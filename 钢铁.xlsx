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wenpe\Desktop\实习202606\平安V2\"/>
    </mc:Choice>
  </mc:AlternateContent>
  <xr:revisionPtr revIDLastSave="0" documentId="13_ncr:1_{1AF6B66B-FCE9-403B-BBA1-D4C394E9986F}" xr6:coauthVersionLast="47" xr6:coauthVersionMax="47" xr10:uidLastSave="{00000000-0000-0000-0000-000000000000}"/>
  <bookViews>
    <workbookView xWindow="-98" yWindow="-98" windowWidth="21795" windowHeight="12975" activeTab="4"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37" i="5" l="1"/>
  <c r="H1137" i="5"/>
  <c r="G1138" i="5"/>
  <c r="H1138" i="5"/>
  <c r="G1139" i="5"/>
  <c r="H1139" i="5"/>
  <c r="G1140" i="5"/>
  <c r="H1140" i="5"/>
  <c r="G1141" i="5"/>
  <c r="H1141" i="5"/>
  <c r="G1142" i="5"/>
  <c r="H1142" i="5"/>
  <c r="G1143" i="5"/>
  <c r="H1143" i="5"/>
  <c r="N35" i="2"/>
  <c r="N36" i="2"/>
  <c r="N37" i="2"/>
  <c r="N38" i="2"/>
  <c r="N39" i="2"/>
  <c r="N40" i="2"/>
  <c r="N41" i="2"/>
  <c r="N42" i="2"/>
  <c r="N43" i="2"/>
  <c r="N44" i="2"/>
  <c r="N45" i="2"/>
  <c r="N46" i="2"/>
  <c r="N47" i="2"/>
  <c r="N48" i="2"/>
  <c r="N49" i="2"/>
  <c r="N50" i="2"/>
  <c r="N51" i="2"/>
  <c r="N52" i="2"/>
  <c r="N53" i="2"/>
  <c r="N54" i="2"/>
  <c r="N55" i="2"/>
  <c r="C2919" i="3"/>
  <c r="C2920" i="3"/>
  <c r="C2921" i="3"/>
  <c r="C2922" i="3"/>
  <c r="C2923" i="3"/>
  <c r="C2924" i="3"/>
  <c r="C2925" i="3"/>
  <c r="C2911" i="1"/>
  <c r="D2911" i="1"/>
  <c r="C2906" i="1"/>
  <c r="D2906" i="1"/>
  <c r="C2907" i="1"/>
  <c r="D2907" i="1"/>
  <c r="C2908" i="1"/>
  <c r="D2908" i="1"/>
  <c r="C2909" i="1"/>
  <c r="D2909" i="1"/>
  <c r="C2910" i="1"/>
  <c r="D2910" i="1"/>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P25" i="4"/>
  <c r="P26" i="4"/>
  <c r="P27" i="4"/>
  <c r="P28" i="4"/>
  <c r="P29" i="4"/>
  <c r="P30" i="4"/>
  <c r="P31" i="4"/>
  <c r="P32" i="4"/>
  <c r="P33" i="4"/>
  <c r="P34" i="4"/>
  <c r="N25" i="2"/>
  <c r="N26" i="2"/>
  <c r="N27" i="2"/>
  <c r="N28" i="2"/>
  <c r="N29" i="2"/>
  <c r="N30" i="2"/>
  <c r="N31" i="2"/>
  <c r="N32" i="2"/>
  <c r="N33" i="2"/>
  <c r="N34" i="2"/>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<sst xmlns="http://schemas.openxmlformats.org/spreadsheetml/2006/main" count="169" uniqueCount="87">
  <si>
    <t>指标名称</t>
  </si>
  <si>
    <t>单位</t>
  </si>
  <si>
    <t>元/吨</t>
  </si>
  <si>
    <t>频度</t>
  </si>
  <si>
    <t>日</t>
  </si>
  <si>
    <t>热轧板卷：4.75mm：汇总价格：上海</t>
    <phoneticPr fontId="4" type="noConversion"/>
  </si>
  <si>
    <t>螺纹钢：HRB400E：Φ20：汇总价格：上海</t>
    <phoneticPr fontId="4" type="noConversion"/>
  </si>
  <si>
    <t>万吨</t>
  </si>
  <si>
    <t>旬</t>
  </si>
  <si>
    <t>01-05</t>
  </si>
  <si>
    <t>01-12</t>
  </si>
  <si>
    <t>01-19</t>
  </si>
  <si>
    <t>01-26</t>
  </si>
  <si>
    <t>02-02</t>
  </si>
  <si>
    <t>02-09</t>
  </si>
  <si>
    <t>02-16</t>
  </si>
  <si>
    <t>02-23</t>
  </si>
  <si>
    <t>03-02</t>
  </si>
  <si>
    <t>03-09</t>
  </si>
  <si>
    <t>03-16</t>
  </si>
  <si>
    <t>03-23</t>
  </si>
  <si>
    <t>03-30</t>
  </si>
  <si>
    <t>04-06</t>
  </si>
  <si>
    <t>04-13</t>
  </si>
  <si>
    <t>04-20</t>
  </si>
  <si>
    <t>04-27</t>
  </si>
  <si>
    <t>05-04</t>
  </si>
  <si>
    <t>05-11</t>
  </si>
  <si>
    <t>05-18</t>
  </si>
  <si>
    <t>05-25</t>
  </si>
  <si>
    <t>06-01</t>
  </si>
  <si>
    <t>06-08</t>
  </si>
  <si>
    <t>06-15</t>
  </si>
  <si>
    <t>06-22</t>
  </si>
  <si>
    <t>06-29</t>
  </si>
  <si>
    <t>07-06</t>
  </si>
  <si>
    <t>07-13</t>
  </si>
  <si>
    <t>07-20</t>
  </si>
  <si>
    <t>07-27</t>
  </si>
  <si>
    <t>08-03</t>
  </si>
  <si>
    <t>08-10</t>
  </si>
  <si>
    <t>08-17</t>
  </si>
  <si>
    <t>08-24</t>
  </si>
  <si>
    <t>08-31</t>
  </si>
  <si>
    <t>09-07</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</si>
  <si>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</si>
  <si>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</si>
  <si>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</si>
  <si>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</si>
  <si>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</si>
  <si>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</si>
  <si>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</si>
  <si>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</si>
  <si>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</si>
  <si>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</si>
  <si>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</si>
  <si>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</si>
  <si>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</si>
  <si>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</si>
  <si>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</si>
  <si>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</si>
  <si>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</si>
  <si>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</si>
  <si>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</si>
  <si>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</si>
  <si>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</si>
  <si>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</si>
  <si>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</si>
  <si>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</si>
  <si>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</si>
  <si>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</si>
  <si>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</si>
  <si>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中国北方:铁矿石价格指数(61%Fe,CFR)</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</si>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</sst>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5"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
      <sz val="10"/>
      <color theme="1"/>
      <name val="等线"/>
      <family val="2"/>
      <scheme val="minor"/>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1">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0" fontId="14" fillId="0" borderId="0" xfId="0" applyFont="1" applyAlignment="1">
      <alignment horizontal="center"/>
    </xf>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2008-06-02:2026-07-23</v>
          </cell>
        </row>
        <row r="8">
          <cell r="A8" t="str">
            <v>时间区间</v>
          </cell>
          <cell r="B8" t="str">
            <v>2011-03-28～2026-07-31</v>
          </cell>
          <cell r="C8" t="str">
            <v>2007-01-04～2026-07-31</v>
          </cell>
          <cell r="J8" t="str">
            <v>时间区间</v>
          </cell>
          <cell r="K8" t="str">
            <v>2022-01-04～2026-07-30</v>
          </cell>
          <cell r="L8" t="str">
            <v>2022-01-04～2026-07-30</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2026-07-24</v>
          </cell>
        </row>
        <row r="10">
          <cell r="A10" t="str">
            <v>结束时间</v>
          </cell>
          <cell r="B10">
            <v>46234</v>
          </cell>
          <cell r="C10">
            <v>46234</v>
          </cell>
          <cell r="J10" t="str">
            <v>结束时间</v>
          </cell>
          <cell r="K10">
            <v>46233</v>
          </cell>
          <cell r="L10">
            <v>46233</v>
          </cell>
          <cell r="M10">
            <v>39601</v>
          </cell>
          <cell r="N10">
            <v>176</v>
          </cell>
        </row>
        <row r="11">
          <cell r="A11" t="str">
            <v>更新时间</v>
          </cell>
          <cell r="B11">
            <v>46234.400416666664</v>
          </cell>
          <cell r="C11">
            <v>46234.375416666669</v>
          </cell>
          <cell r="J11" t="str">
            <v>更新时间</v>
          </cell>
          <cell r="K11">
            <v>46233.7500462963</v>
          </cell>
          <cell r="L11">
            <v>46233.7500462963</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J1124">
            <v>46227</v>
          </cell>
          <cell r="K1124">
            <v>-70</v>
          </cell>
          <cell r="L1124">
            <v>-8</v>
          </cell>
          <cell r="M1124">
            <v>41198</v>
          </cell>
          <cell r="N1124">
            <v>114.75</v>
          </cell>
        </row>
        <row r="1125">
          <cell r="A1125">
            <v>40714</v>
          </cell>
          <cell r="B1125">
            <v>4750</v>
          </cell>
          <cell r="C1125">
            <v>4780</v>
          </cell>
          <cell r="J1125">
            <v>46230</v>
          </cell>
          <cell r="K1125">
            <v>-72</v>
          </cell>
          <cell r="L1125">
            <v>-3</v>
          </cell>
          <cell r="M1125">
            <v>41199</v>
          </cell>
          <cell r="N1125">
            <v>116.5</v>
          </cell>
        </row>
        <row r="1126">
          <cell r="A1126">
            <v>40715</v>
          </cell>
          <cell r="B1126">
            <v>4700</v>
          </cell>
          <cell r="C1126">
            <v>4780</v>
          </cell>
          <cell r="J1126">
            <v>46231</v>
          </cell>
          <cell r="K1126">
            <v>-86</v>
          </cell>
          <cell r="L1126">
            <v>-11</v>
          </cell>
          <cell r="M1126">
            <v>41200</v>
          </cell>
          <cell r="N1126">
            <v>117</v>
          </cell>
        </row>
        <row r="1127">
          <cell r="A1127">
            <v>40716</v>
          </cell>
          <cell r="B1127">
            <v>4700</v>
          </cell>
          <cell r="C1127">
            <v>4770</v>
          </cell>
          <cell r="J1127">
            <v>46232</v>
          </cell>
          <cell r="K1127">
            <v>-88</v>
          </cell>
          <cell r="L1127">
            <v>-9</v>
          </cell>
          <cell r="M1127">
            <v>41201</v>
          </cell>
          <cell r="N1127">
            <v>117.5</v>
          </cell>
        </row>
        <row r="1128">
          <cell r="A1128">
            <v>40717</v>
          </cell>
          <cell r="B1128">
            <v>4700</v>
          </cell>
          <cell r="C1128">
            <v>4770</v>
          </cell>
          <cell r="J1128">
            <v>46233</v>
          </cell>
          <cell r="K1128">
            <v>-80</v>
          </cell>
          <cell r="L1128">
            <v>-2</v>
          </cell>
          <cell r="M1128">
            <v>41204</v>
          </cell>
          <cell r="N1128">
            <v>118.5</v>
          </cell>
        </row>
        <row r="1129">
          <cell r="A1129">
            <v>40718</v>
          </cell>
          <cell r="B1129">
            <v>4700</v>
          </cell>
          <cell r="C1129">
            <v>4770</v>
          </cell>
          <cell r="M1129">
            <v>41205</v>
          </cell>
          <cell r="N1129">
            <v>120</v>
          </cell>
        </row>
        <row r="1130">
          <cell r="A1130">
            <v>40721</v>
          </cell>
          <cell r="B1130">
            <v>4720</v>
          </cell>
          <cell r="C1130">
            <v>4780</v>
          </cell>
          <cell r="M1130">
            <v>41206</v>
          </cell>
          <cell r="N1130">
            <v>120</v>
          </cell>
        </row>
        <row r="1131">
          <cell r="A1131">
            <v>40722</v>
          </cell>
          <cell r="B1131">
            <v>4720</v>
          </cell>
          <cell r="C1131">
            <v>4780</v>
          </cell>
          <cell r="M1131">
            <v>41207</v>
          </cell>
          <cell r="N1131">
            <v>120.5</v>
          </cell>
        </row>
        <row r="1132">
          <cell r="A1132">
            <v>40723</v>
          </cell>
          <cell r="B1132">
            <v>4720</v>
          </cell>
          <cell r="C1132">
            <v>4760</v>
          </cell>
          <cell r="M1132">
            <v>41208</v>
          </cell>
          <cell r="N1132">
            <v>120.5</v>
          </cell>
        </row>
        <row r="1133">
          <cell r="A1133">
            <v>40724</v>
          </cell>
          <cell r="B1133">
            <v>4720</v>
          </cell>
          <cell r="C1133">
            <v>4760</v>
          </cell>
          <cell r="M1133">
            <v>41211</v>
          </cell>
          <cell r="N1133">
            <v>120.5</v>
          </cell>
        </row>
        <row r="1134">
          <cell r="A1134">
            <v>40725</v>
          </cell>
          <cell r="B1134">
            <v>4720</v>
          </cell>
          <cell r="C1134">
            <v>4760</v>
          </cell>
          <cell r="M1134">
            <v>41212</v>
          </cell>
          <cell r="N1134">
            <v>121</v>
          </cell>
        </row>
        <row r="1135">
          <cell r="A1135">
            <v>40728</v>
          </cell>
          <cell r="B1135">
            <v>4720</v>
          </cell>
          <cell r="C1135">
            <v>4780</v>
          </cell>
          <cell r="M1135">
            <v>41213</v>
          </cell>
          <cell r="N1135">
            <v>121</v>
          </cell>
        </row>
        <row r="1136">
          <cell r="A1136">
            <v>40729</v>
          </cell>
          <cell r="B1136">
            <v>4760</v>
          </cell>
          <cell r="C1136">
            <v>4790</v>
          </cell>
          <cell r="M1136">
            <v>41214</v>
          </cell>
          <cell r="N1136">
            <v>122</v>
          </cell>
        </row>
        <row r="1137">
          <cell r="A1137">
            <v>40730</v>
          </cell>
          <cell r="B1137">
            <v>4760</v>
          </cell>
          <cell r="C1137">
            <v>4790</v>
          </cell>
          <cell r="M1137">
            <v>41215</v>
          </cell>
          <cell r="N1137">
            <v>122</v>
          </cell>
        </row>
        <row r="1138">
          <cell r="A1138">
            <v>40731</v>
          </cell>
          <cell r="B1138">
            <v>4760</v>
          </cell>
          <cell r="C1138">
            <v>4790</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row>
        <row r="4578">
          <cell r="A4578">
            <v>45762</v>
          </cell>
          <cell r="B4578">
            <v>3250</v>
          </cell>
          <cell r="C4578">
            <v>3170</v>
          </cell>
        </row>
        <row r="4579">
          <cell r="A4579">
            <v>45763</v>
          </cell>
          <cell r="B4579">
            <v>3230</v>
          </cell>
          <cell r="C4579">
            <v>3150</v>
          </cell>
        </row>
        <row r="4580">
          <cell r="A4580">
            <v>45764</v>
          </cell>
          <cell r="B4580">
            <v>3220</v>
          </cell>
          <cell r="C4580">
            <v>3160</v>
          </cell>
        </row>
        <row r="4581">
          <cell r="A4581">
            <v>45765</v>
          </cell>
          <cell r="B4581">
            <v>3210</v>
          </cell>
          <cell r="C4581">
            <v>3140</v>
          </cell>
        </row>
        <row r="4582">
          <cell r="A4582">
            <v>45768</v>
          </cell>
          <cell r="B4582">
            <v>3260</v>
          </cell>
          <cell r="C4582">
            <v>3180</v>
          </cell>
        </row>
        <row r="4583">
          <cell r="A4583">
            <v>45769</v>
          </cell>
          <cell r="B4583">
            <v>3220</v>
          </cell>
          <cell r="C4583">
            <v>3160</v>
          </cell>
        </row>
        <row r="4584">
          <cell r="A4584">
            <v>45770</v>
          </cell>
          <cell r="B4584">
            <v>3270</v>
          </cell>
          <cell r="C4584">
            <v>3190</v>
          </cell>
        </row>
        <row r="4585">
          <cell r="A4585">
            <v>45771</v>
          </cell>
          <cell r="B4585">
            <v>3240</v>
          </cell>
          <cell r="C4585">
            <v>3180</v>
          </cell>
        </row>
        <row r="4586">
          <cell r="A4586">
            <v>45772</v>
          </cell>
          <cell r="B4586">
            <v>3240</v>
          </cell>
          <cell r="C4586">
            <v>3190</v>
          </cell>
        </row>
        <row r="4587">
          <cell r="A4587">
            <v>45774</v>
          </cell>
          <cell r="B4587">
            <v>3300</v>
          </cell>
          <cell r="C4587">
            <v>3230</v>
          </cell>
        </row>
        <row r="4588">
          <cell r="A4588">
            <v>45775</v>
          </cell>
          <cell r="B4588">
            <v>3280</v>
          </cell>
          <cell r="C4588">
            <v>3240</v>
          </cell>
        </row>
        <row r="4589">
          <cell r="A4589">
            <v>45776</v>
          </cell>
          <cell r="B4589">
            <v>3260</v>
          </cell>
          <cell r="C4589">
            <v>3220</v>
          </cell>
        </row>
        <row r="4590">
          <cell r="A4590">
            <v>45777</v>
          </cell>
          <cell r="B4590">
            <v>3240</v>
          </cell>
          <cell r="C4590">
            <v>3220</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3310</v>
          </cell>
          <cell r="C4895">
            <v>3130</v>
          </cell>
        </row>
        <row r="4896">
          <cell r="A4896">
            <v>46230</v>
          </cell>
          <cell r="B4896">
            <v>3310</v>
          </cell>
          <cell r="C4896">
            <v>3140</v>
          </cell>
        </row>
        <row r="4897">
          <cell r="A4897">
            <v>46231</v>
          </cell>
          <cell r="B4897">
            <v>3300</v>
          </cell>
          <cell r="C4897">
            <v>3120</v>
          </cell>
        </row>
        <row r="4898">
          <cell r="A4898">
            <v>46232</v>
          </cell>
          <cell r="B4898">
            <v>3310</v>
          </cell>
          <cell r="C4898">
            <v>3120</v>
          </cell>
        </row>
        <row r="4899">
          <cell r="A4899">
            <v>46233</v>
          </cell>
          <cell r="B4899">
            <v>3270</v>
          </cell>
          <cell r="C4899">
            <v>3100</v>
          </cell>
        </row>
        <row r="4900">
          <cell r="A4900">
            <v>46234</v>
          </cell>
          <cell r="B4900">
            <v>3270</v>
          </cell>
          <cell r="C4900">
            <v>3100</v>
          </cell>
        </row>
      </sheetData>
      <sheetData sheetId="10">
        <row r="3">
          <cell r="L3">
            <v>2026</v>
          </cell>
          <cell r="U3">
            <v>2026</v>
          </cell>
        </row>
        <row r="25">
          <cell r="A25">
            <v>22</v>
          </cell>
        </row>
        <row r="26">
          <cell r="A26">
            <v>23</v>
          </cell>
        </row>
        <row r="27">
          <cell r="A27">
            <v>24</v>
          </cell>
        </row>
        <row r="28">
          <cell r="A28">
            <v>25</v>
          </cell>
        </row>
        <row r="29">
          <cell r="A29">
            <v>26</v>
          </cell>
        </row>
        <row r="30">
          <cell r="A30">
            <v>27</v>
          </cell>
        </row>
        <row r="31">
          <cell r="A31">
            <v>28</v>
          </cell>
        </row>
        <row r="32">
          <cell r="A32">
            <v>29</v>
          </cell>
        </row>
        <row r="33">
          <cell r="A33">
            <v>30</v>
          </cell>
        </row>
        <row r="34">
          <cell r="A34">
            <v>31</v>
          </cell>
        </row>
        <row r="35">
          <cell r="A35">
            <v>32</v>
          </cell>
        </row>
        <row r="36">
          <cell r="A36">
            <v>33</v>
          </cell>
        </row>
        <row r="37">
          <cell r="A37">
            <v>34</v>
          </cell>
        </row>
        <row r="38">
          <cell r="A38">
            <v>35</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row r="452">
          <cell r="A452">
            <v>2026</v>
          </cell>
          <cell r="B452">
            <v>31</v>
          </cell>
          <cell r="D452">
            <v>818.30000000000018</v>
          </cell>
          <cell r="M452">
            <v>1635.82</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11"/>
  <sheetViews>
    <sheetView topLeftCell="A2885" zoomScale="64" zoomScaleNormal="64" workbookViewId="0">
      <selection activeCell="C2918" sqref="C2918"/>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5</v>
      </c>
      <c r="D2" s="6" t="s">
        <v>6</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3310</v>
      </c>
      <c r="D2905" s="5">
        <f>VLOOKUP($B2905,[1]其他黑色!$A:$C,3,1)</f>
        <v>3130</v>
      </c>
    </row>
    <row r="2906" spans="2:4" x14ac:dyDescent="0.4">
      <c r="B2906" s="4">
        <v>46228</v>
      </c>
      <c r="C2906" s="5">
        <f>VLOOKUP($B2906,[1]其他黑色!$A:$C,2,1)</f>
        <v>3310</v>
      </c>
      <c r="D2906" s="5">
        <f>VLOOKUP($B2906,[1]其他黑色!$A:$C,3,1)</f>
        <v>3130</v>
      </c>
    </row>
    <row r="2907" spans="2:4" x14ac:dyDescent="0.4">
      <c r="B2907" s="4">
        <v>46229</v>
      </c>
      <c r="C2907" s="5">
        <f>VLOOKUP($B2907,[1]其他黑色!$A:$C,2,1)</f>
        <v>3310</v>
      </c>
      <c r="D2907" s="5">
        <f>VLOOKUP($B2907,[1]其他黑色!$A:$C,3,1)</f>
        <v>3130</v>
      </c>
    </row>
    <row r="2908" spans="2:4" x14ac:dyDescent="0.4">
      <c r="B2908" s="4">
        <v>46230</v>
      </c>
      <c r="C2908" s="5">
        <f>VLOOKUP($B2908,[1]其他黑色!$A:$C,2,1)</f>
        <v>3310</v>
      </c>
      <c r="D2908" s="5">
        <f>VLOOKUP($B2908,[1]其他黑色!$A:$C,3,1)</f>
        <v>3140</v>
      </c>
    </row>
    <row r="2909" spans="2:4" x14ac:dyDescent="0.4">
      <c r="B2909" s="4">
        <v>46231</v>
      </c>
      <c r="C2909" s="5">
        <f>VLOOKUP($B2909,[1]其他黑色!$A:$C,2,1)</f>
        <v>3300</v>
      </c>
      <c r="D2909" s="5">
        <f>VLOOKUP($B2909,[1]其他黑色!$A:$C,3,1)</f>
        <v>3120</v>
      </c>
    </row>
    <row r="2910" spans="2:4" x14ac:dyDescent="0.4">
      <c r="B2910" s="4">
        <v>46232</v>
      </c>
      <c r="C2910" s="5">
        <f>VLOOKUP($B2910,[1]其他黑色!$A:$C,2,1)</f>
        <v>3310</v>
      </c>
      <c r="D2910" s="5">
        <f>VLOOKUP($B2910,[1]其他黑色!$A:$C,3,1)</f>
        <v>3120</v>
      </c>
    </row>
    <row r="2911" spans="2:4" x14ac:dyDescent="0.4">
      <c r="B2911" s="4">
        <v>46233</v>
      </c>
      <c r="C2911" s="5">
        <f>VLOOKUP($B2911,[1]其他黑色!$A:$C,2,1)</f>
        <v>3270</v>
      </c>
      <c r="D2911" s="5">
        <f>VLOOKUP($B2911,[1]其他黑色!$A:$C,3,1)</f>
        <v>3100</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25"/>
  <sheetViews>
    <sheetView topLeftCell="A2903" zoomScale="76" zoomScaleNormal="72" workbookViewId="0">
      <selection activeCell="C2924" sqref="C2924"/>
    </sheetView>
  </sheetViews>
  <sheetFormatPr defaultRowHeight="13.9" x14ac:dyDescent="0.4"/>
  <cols>
    <col min="2" max="2" width="12.265625" style="2" customWidth="1"/>
    <col min="3" max="3" width="34.796875" style="2" customWidth="1"/>
  </cols>
  <sheetData>
    <row r="2" spans="2:3" x14ac:dyDescent="0.4">
      <c r="B2" s="22" t="s">
        <v>71</v>
      </c>
      <c r="C2" s="23" t="s">
        <v>72</v>
      </c>
    </row>
    <row r="3" spans="2:3" x14ac:dyDescent="0.4">
      <c r="B3" s="19" t="s">
        <v>73</v>
      </c>
      <c r="C3" s="11" t="s">
        <v>74</v>
      </c>
    </row>
    <row r="4" spans="2:3" x14ac:dyDescent="0.4">
      <c r="B4" s="19" t="s">
        <v>75</v>
      </c>
      <c r="C4" s="11" t="s">
        <v>76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v>46227</v>
      </c>
      <c r="C2919" s="21">
        <f>VLOOKUP($B2919,[1]其他黑色!$M:$N,2,1)</f>
        <v>97.5</v>
      </c>
    </row>
    <row r="2920" spans="2:3" x14ac:dyDescent="0.4">
      <c r="B2920" s="20">
        <v>46228</v>
      </c>
      <c r="C2920" s="21">
        <f>VLOOKUP($B2920,[1]其他黑色!$M:$N,2,1)</f>
        <v>97.5</v>
      </c>
    </row>
    <row r="2921" spans="2:3" x14ac:dyDescent="0.4">
      <c r="B2921" s="20">
        <v>46229</v>
      </c>
      <c r="C2921" s="21">
        <f>VLOOKUP($B2921,[1]其他黑色!$M:$N,2,1)</f>
        <v>97.5</v>
      </c>
    </row>
    <row r="2922" spans="2:3" x14ac:dyDescent="0.4">
      <c r="B2922" s="20">
        <v>46230</v>
      </c>
      <c r="C2922" s="21">
        <f>VLOOKUP($B2922,[1]其他黑色!$M:$N,2,1)</f>
        <v>97.5</v>
      </c>
    </row>
    <row r="2923" spans="2:3" x14ac:dyDescent="0.4">
      <c r="B2923" s="20">
        <v>46231</v>
      </c>
      <c r="C2923" s="21">
        <f>VLOOKUP($B2923,[1]其他黑色!$M:$N,2,1)</f>
        <v>97.5</v>
      </c>
    </row>
    <row r="2924" spans="2:3" x14ac:dyDescent="0.4">
      <c r="B2924" s="20">
        <v>46232</v>
      </c>
      <c r="C2924" s="21">
        <f>VLOOKUP($B2924,[1]其他黑色!$M:$N,2,1)</f>
        <v>97.5</v>
      </c>
    </row>
    <row r="2925" spans="2:3" x14ac:dyDescent="0.4">
      <c r="B2925" s="20">
        <v>46233</v>
      </c>
      <c r="C2925" s="21">
        <f>VLOOKUP($B2925,[1]其他黑色!$M:$N,2,1)</f>
        <v>97.5</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5"/>
  <sheetViews>
    <sheetView topLeftCell="A388" zoomScale="62" zoomScaleNormal="59" workbookViewId="0">
      <selection activeCell="G408" sqref="G408"/>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86</v>
      </c>
      <c r="E2" s="40" t="s">
        <v>70</v>
      </c>
      <c r="F2" s="40"/>
      <c r="G2" s="40"/>
      <c r="H2" s="40"/>
      <c r="I2" s="40"/>
      <c r="J2" s="40"/>
      <c r="K2" s="40"/>
      <c r="L2" s="40"/>
      <c r="M2" s="40"/>
      <c r="N2" s="40"/>
    </row>
    <row r="3" spans="2:14" x14ac:dyDescent="0.4">
      <c r="B3" s="7" t="s">
        <v>1</v>
      </c>
      <c r="C3" s="1" t="s">
        <v>7</v>
      </c>
      <c r="F3" s="17" t="s">
        <v>61</v>
      </c>
      <c r="G3" s="17" t="s">
        <v>62</v>
      </c>
      <c r="H3" s="17" t="s">
        <v>63</v>
      </c>
      <c r="I3" s="17" t="s">
        <v>64</v>
      </c>
      <c r="J3" s="17" t="s">
        <v>65</v>
      </c>
      <c r="K3" s="17" t="s">
        <v>66</v>
      </c>
      <c r="L3" s="17" t="s">
        <v>67</v>
      </c>
      <c r="M3" s="17" t="s">
        <v>68</v>
      </c>
      <c r="N3" s="17" t="s">
        <v>69</v>
      </c>
    </row>
    <row r="4" spans="2:14" x14ac:dyDescent="0.4">
      <c r="B4" s="7" t="s">
        <v>3</v>
      </c>
      <c r="C4" s="1" t="s">
        <v>8</v>
      </c>
      <c r="E4" s="2" t="s">
        <v>9</v>
      </c>
      <c r="F4" s="16">
        <v>1315.65</v>
      </c>
      <c r="G4" s="16">
        <v>1282.5</v>
      </c>
      <c r="H4" s="16">
        <v>1280.81</v>
      </c>
      <c r="I4" s="16">
        <v>1367.98</v>
      </c>
      <c r="J4" s="16">
        <v>1305.74</v>
      </c>
      <c r="K4" s="16">
        <v>1385.7</v>
      </c>
      <c r="L4" s="16">
        <v>1364.09</v>
      </c>
      <c r="M4" s="16">
        <v>1115.74</v>
      </c>
      <c r="N4" s="2">
        <v>1232.1500000000001</v>
      </c>
    </row>
    <row r="5" spans="2:14" x14ac:dyDescent="0.4">
      <c r="B5" s="8">
        <v>42014</v>
      </c>
      <c r="C5" s="9">
        <v>1363.7</v>
      </c>
      <c r="E5" s="2" t="s">
        <v>10</v>
      </c>
      <c r="F5" s="16">
        <v>1416.72</v>
      </c>
      <c r="G5" s="16">
        <v>1306.48</v>
      </c>
      <c r="H5" s="16">
        <v>1367.99</v>
      </c>
      <c r="I5" s="16">
        <v>1440.79</v>
      </c>
      <c r="J5" s="16">
        <v>1315.09</v>
      </c>
      <c r="K5" s="16">
        <v>1492.9</v>
      </c>
      <c r="L5" s="16">
        <v>1392.77</v>
      </c>
      <c r="M5" s="16">
        <v>1132.3499999999999</v>
      </c>
      <c r="N5" s="2">
        <v>1253.92</v>
      </c>
    </row>
    <row r="6" spans="2:14" x14ac:dyDescent="0.4">
      <c r="B6" s="8">
        <v>42024</v>
      </c>
      <c r="C6" s="9">
        <v>1476.26</v>
      </c>
      <c r="E6" s="2" t="s">
        <v>11</v>
      </c>
      <c r="F6" s="16">
        <v>1433.84</v>
      </c>
      <c r="G6" s="16">
        <v>1350.73</v>
      </c>
      <c r="H6" s="16">
        <v>1507.14</v>
      </c>
      <c r="I6" s="16">
        <v>1520</v>
      </c>
      <c r="J6" s="16">
        <v>1337.1</v>
      </c>
      <c r="K6" s="16">
        <v>1638.25</v>
      </c>
      <c r="L6" s="16">
        <v>1422.39</v>
      </c>
      <c r="M6" s="16">
        <v>1151.5</v>
      </c>
      <c r="N6" s="2">
        <v>1247.01</v>
      </c>
    </row>
    <row r="7" spans="2:14" x14ac:dyDescent="0.4">
      <c r="B7" s="8">
        <v>42035</v>
      </c>
      <c r="C7" s="9">
        <v>1476.72</v>
      </c>
      <c r="E7" s="2" t="s">
        <v>12</v>
      </c>
      <c r="F7" s="16">
        <v>1417.41</v>
      </c>
      <c r="G7" s="16">
        <v>1409.26</v>
      </c>
      <c r="H7" s="16">
        <v>1719.58</v>
      </c>
      <c r="I7" s="16">
        <v>1610.92</v>
      </c>
      <c r="J7" s="16">
        <v>1396.05</v>
      </c>
      <c r="K7" s="16">
        <v>1970.04</v>
      </c>
      <c r="L7" s="16">
        <v>1483.28</v>
      </c>
      <c r="M7" s="16">
        <v>1253.3</v>
      </c>
      <c r="N7" s="2">
        <v>1257.08</v>
      </c>
    </row>
    <row r="8" spans="2:14" x14ac:dyDescent="0.4">
      <c r="B8" s="8">
        <v>42045</v>
      </c>
      <c r="C8" s="9">
        <v>1491.72</v>
      </c>
      <c r="E8" s="2" t="s">
        <v>13</v>
      </c>
      <c r="F8" s="16">
        <v>1544.34</v>
      </c>
      <c r="G8" s="16">
        <v>1537.63</v>
      </c>
      <c r="H8" s="16">
        <v>2333.7800000000002</v>
      </c>
      <c r="I8" s="16">
        <v>1785.26</v>
      </c>
      <c r="J8" s="16">
        <v>1552.45</v>
      </c>
      <c r="K8" s="16">
        <v>2218.36</v>
      </c>
      <c r="L8" s="16">
        <v>1598.97</v>
      </c>
      <c r="M8" s="16">
        <v>1570.3</v>
      </c>
      <c r="N8" s="2">
        <v>1278.51</v>
      </c>
    </row>
    <row r="9" spans="2:14" x14ac:dyDescent="0.4">
      <c r="B9" s="8">
        <v>42055</v>
      </c>
      <c r="C9" s="9">
        <v>1646.67</v>
      </c>
      <c r="E9" s="2" t="s">
        <v>14</v>
      </c>
      <c r="F9" s="16">
        <v>1679.03</v>
      </c>
      <c r="G9" s="16">
        <v>2111.63</v>
      </c>
      <c r="H9" s="16">
        <v>2613.34</v>
      </c>
      <c r="I9" s="16">
        <v>2036.08</v>
      </c>
      <c r="J9" s="16">
        <v>2030.02</v>
      </c>
      <c r="K9" s="16">
        <v>2352.5500000000002</v>
      </c>
      <c r="L9" s="16">
        <v>1777.81</v>
      </c>
      <c r="M9" s="16">
        <v>1671.13</v>
      </c>
      <c r="N9" s="2">
        <v>1337.75</v>
      </c>
    </row>
    <row r="10" spans="2:14" x14ac:dyDescent="0.4">
      <c r="B10" s="8">
        <v>42063</v>
      </c>
      <c r="C10" s="9">
        <v>1712.79</v>
      </c>
      <c r="E10" s="2" t="s">
        <v>15</v>
      </c>
      <c r="F10" s="16">
        <v>2013.54</v>
      </c>
      <c r="G10" s="16">
        <v>2288.88</v>
      </c>
      <c r="H10" s="16">
        <v>3043.74</v>
      </c>
      <c r="I10" s="16">
        <v>2412.5349999999999</v>
      </c>
      <c r="J10" s="16">
        <v>2189.67</v>
      </c>
      <c r="K10" s="16">
        <v>2386.5100000000002</v>
      </c>
      <c r="L10" s="16">
        <v>2103.2399999999998</v>
      </c>
      <c r="M10" s="16">
        <v>1822.5</v>
      </c>
      <c r="N10" s="2">
        <v>1442.73</v>
      </c>
    </row>
    <row r="11" spans="2:14" x14ac:dyDescent="0.4">
      <c r="B11" s="8">
        <v>42073</v>
      </c>
      <c r="C11" s="9">
        <v>1736.53</v>
      </c>
      <c r="E11" s="2" t="s">
        <v>16</v>
      </c>
      <c r="F11" s="16">
        <v>2348.0500000000002</v>
      </c>
      <c r="G11" s="16">
        <v>2479.19</v>
      </c>
      <c r="H11" s="16">
        <v>3430.43</v>
      </c>
      <c r="I11" s="16">
        <v>2788.99</v>
      </c>
      <c r="J11" s="16">
        <v>2300.08</v>
      </c>
      <c r="K11" s="16">
        <v>2355.56</v>
      </c>
      <c r="L11" s="16">
        <v>2312.37</v>
      </c>
      <c r="M11" s="16">
        <v>1864.14</v>
      </c>
      <c r="N11" s="2">
        <v>1711.8400000000001</v>
      </c>
    </row>
    <row r="12" spans="2:14" x14ac:dyDescent="0.4">
      <c r="B12" s="8">
        <v>42083</v>
      </c>
      <c r="C12" s="9">
        <v>1735.1</v>
      </c>
      <c r="E12" s="2" t="s">
        <v>17</v>
      </c>
      <c r="F12" s="16">
        <v>2529.29</v>
      </c>
      <c r="G12" s="16">
        <v>2520.94</v>
      </c>
      <c r="H12" s="16">
        <v>3718.1</v>
      </c>
      <c r="I12" s="16">
        <v>3095.25</v>
      </c>
      <c r="J12" s="16">
        <v>2395.02</v>
      </c>
      <c r="K12" s="16">
        <v>2319.9299999999998</v>
      </c>
      <c r="L12" s="16">
        <v>2434.25</v>
      </c>
      <c r="M12" s="16">
        <v>1879.12</v>
      </c>
      <c r="N12" s="2">
        <v>1846.1100000000001</v>
      </c>
    </row>
    <row r="13" spans="2:14" x14ac:dyDescent="0.4">
      <c r="B13" s="8">
        <v>42094</v>
      </c>
      <c r="C13" s="9">
        <v>1545.18</v>
      </c>
      <c r="E13" s="2" t="s">
        <v>18</v>
      </c>
      <c r="F13" s="16">
        <v>2647.54</v>
      </c>
      <c r="G13" s="16">
        <v>2467.0100000000002</v>
      </c>
      <c r="H13" s="16">
        <v>3880.08</v>
      </c>
      <c r="I13" s="16">
        <v>3200.64</v>
      </c>
      <c r="J13" s="16">
        <v>2417.92</v>
      </c>
      <c r="K13" s="16">
        <v>2236.34</v>
      </c>
      <c r="L13" s="16">
        <v>2487.5300000000002</v>
      </c>
      <c r="M13" s="16">
        <v>1860.29</v>
      </c>
      <c r="N13" s="2">
        <v>1952</v>
      </c>
    </row>
    <row r="14" spans="2:14" x14ac:dyDescent="0.4">
      <c r="B14" s="8">
        <v>42104</v>
      </c>
      <c r="C14" s="9">
        <v>1646.8</v>
      </c>
      <c r="E14" s="2" t="s">
        <v>19</v>
      </c>
      <c r="F14" s="16">
        <v>2643.37</v>
      </c>
      <c r="G14" s="16">
        <v>2349.9499999999998</v>
      </c>
      <c r="H14" s="16">
        <v>3890.92</v>
      </c>
      <c r="I14" s="16">
        <v>3177.65</v>
      </c>
      <c r="J14" s="16">
        <v>2351.62</v>
      </c>
      <c r="K14" s="16">
        <v>2157.63</v>
      </c>
      <c r="L14" s="16">
        <v>2505.9699999999998</v>
      </c>
      <c r="M14" s="16">
        <v>1829.62</v>
      </c>
      <c r="N14" s="2">
        <v>1974.8899999999999</v>
      </c>
    </row>
    <row r="15" spans="2:14" x14ac:dyDescent="0.4">
      <c r="B15" s="8">
        <v>42114</v>
      </c>
      <c r="C15" s="9">
        <v>1667.6</v>
      </c>
      <c r="E15" s="2" t="s">
        <v>20</v>
      </c>
      <c r="F15" s="16">
        <v>2573.33</v>
      </c>
      <c r="G15" s="16">
        <v>2215.7600000000002</v>
      </c>
      <c r="H15" s="16">
        <v>3704.7</v>
      </c>
      <c r="I15" s="16">
        <v>3086.2</v>
      </c>
      <c r="J15" s="16">
        <v>2344.34</v>
      </c>
      <c r="K15" s="16">
        <v>2117.34</v>
      </c>
      <c r="L15" s="16">
        <v>2440.7600000000002</v>
      </c>
      <c r="M15" s="16">
        <v>1788.09</v>
      </c>
      <c r="N15" s="2">
        <v>1946.23</v>
      </c>
    </row>
    <row r="16" spans="2:14" x14ac:dyDescent="0.4">
      <c r="B16" s="8">
        <v>42124</v>
      </c>
      <c r="C16" s="9">
        <v>1496.28</v>
      </c>
      <c r="E16" s="2" t="s">
        <v>21</v>
      </c>
      <c r="F16" s="16">
        <v>2490.61</v>
      </c>
      <c r="G16" s="16">
        <v>2123.4299999999998</v>
      </c>
      <c r="H16" s="16">
        <v>3517.95</v>
      </c>
      <c r="I16" s="16">
        <v>2958.14</v>
      </c>
      <c r="J16" s="16">
        <v>2345.5</v>
      </c>
      <c r="K16" s="16">
        <v>2067.11</v>
      </c>
      <c r="L16" s="16">
        <v>2341.19</v>
      </c>
      <c r="M16" s="16">
        <v>1737.81</v>
      </c>
      <c r="N16" s="2">
        <v>1897.8400000000001</v>
      </c>
    </row>
    <row r="17" spans="2:14" x14ac:dyDescent="0.4">
      <c r="B17" s="8">
        <v>42134</v>
      </c>
      <c r="C17" s="9">
        <v>1587.25</v>
      </c>
      <c r="E17" s="2" t="s">
        <v>22</v>
      </c>
      <c r="F17" s="16">
        <v>2308.12</v>
      </c>
      <c r="G17" s="16">
        <v>2007.86</v>
      </c>
      <c r="H17" s="16">
        <v>3368.73</v>
      </c>
      <c r="I17" s="16">
        <v>2795.5</v>
      </c>
      <c r="J17" s="16">
        <v>2315.35</v>
      </c>
      <c r="K17" s="16">
        <v>2046.45</v>
      </c>
      <c r="L17" s="16">
        <v>2241.19</v>
      </c>
      <c r="M17" s="16">
        <v>1690.09</v>
      </c>
      <c r="N17" s="2">
        <v>1850.45</v>
      </c>
    </row>
    <row r="18" spans="2:14" x14ac:dyDescent="0.4">
      <c r="B18" s="8">
        <v>42144</v>
      </c>
      <c r="C18" s="9">
        <v>1656.66</v>
      </c>
      <c r="E18" s="2" t="s">
        <v>23</v>
      </c>
      <c r="F18" s="16">
        <v>2179.9499999999998</v>
      </c>
      <c r="G18" s="16">
        <v>1891.3</v>
      </c>
      <c r="H18" s="16">
        <v>3186.16</v>
      </c>
      <c r="I18" s="16">
        <v>2625.56</v>
      </c>
      <c r="J18" s="16">
        <v>2341.42</v>
      </c>
      <c r="K18" s="16">
        <v>2025.69</v>
      </c>
      <c r="L18" s="16">
        <v>2133.17</v>
      </c>
      <c r="M18" s="16">
        <v>1660.61</v>
      </c>
      <c r="N18" s="2">
        <v>1812.92</v>
      </c>
    </row>
    <row r="19" spans="2:14" x14ac:dyDescent="0.4">
      <c r="B19" s="8">
        <v>42155</v>
      </c>
      <c r="C19" s="9">
        <v>1582.94</v>
      </c>
      <c r="E19" s="2" t="s">
        <v>24</v>
      </c>
      <c r="F19" s="16">
        <v>2053.92</v>
      </c>
      <c r="G19" s="16">
        <v>1787.2</v>
      </c>
      <c r="H19" s="16">
        <v>2984.53</v>
      </c>
      <c r="I19" s="16">
        <v>2495.0700000000002</v>
      </c>
      <c r="J19" s="16">
        <v>2334.4699999999998</v>
      </c>
      <c r="K19" s="16">
        <v>1987.76</v>
      </c>
      <c r="L19" s="16">
        <v>2034.04</v>
      </c>
      <c r="M19" s="16">
        <v>1584.68</v>
      </c>
      <c r="N19" s="2">
        <v>1764.68</v>
      </c>
    </row>
    <row r="20" spans="2:14" x14ac:dyDescent="0.4">
      <c r="B20" s="8">
        <v>42165</v>
      </c>
      <c r="C20" s="9">
        <v>1630.91</v>
      </c>
      <c r="E20" s="2" t="s">
        <v>25</v>
      </c>
      <c r="F20" s="16">
        <v>1917.1</v>
      </c>
      <c r="G20" s="16">
        <v>1720.17</v>
      </c>
      <c r="H20" s="16">
        <v>2828.7</v>
      </c>
      <c r="I20" s="16">
        <v>2401.8000000000002</v>
      </c>
      <c r="J20" s="16">
        <v>2302.89</v>
      </c>
      <c r="K20" s="16">
        <v>1940.07</v>
      </c>
      <c r="L20" s="16">
        <v>1940.14</v>
      </c>
      <c r="M20" s="16">
        <v>1534.27</v>
      </c>
      <c r="N20" s="2">
        <v>1702.5600000000002</v>
      </c>
    </row>
    <row r="21" spans="2:14" x14ac:dyDescent="0.4">
      <c r="B21" s="8">
        <v>42175</v>
      </c>
      <c r="C21" s="9">
        <v>1745.65</v>
      </c>
      <c r="E21" s="2" t="s">
        <v>26</v>
      </c>
      <c r="F21" s="16">
        <v>1827.46</v>
      </c>
      <c r="G21" s="16">
        <v>1714.03</v>
      </c>
      <c r="H21" s="16">
        <v>2626.92</v>
      </c>
      <c r="I21" s="16">
        <v>2269.34</v>
      </c>
      <c r="J21" s="16">
        <v>2261.12</v>
      </c>
      <c r="K21" s="16">
        <v>1957.3</v>
      </c>
      <c r="L21" s="16">
        <v>1929.02</v>
      </c>
      <c r="M21" s="16">
        <v>1447.1</v>
      </c>
      <c r="N21" s="36">
        <v>1647.9099999999999</v>
      </c>
    </row>
    <row r="22" spans="2:14" x14ac:dyDescent="0.4">
      <c r="B22" s="8">
        <v>42185</v>
      </c>
      <c r="C22" s="9">
        <v>1637.33</v>
      </c>
      <c r="E22" s="2" t="s">
        <v>27</v>
      </c>
      <c r="F22" s="16">
        <v>1751.7</v>
      </c>
      <c r="G22" s="16">
        <v>1681.8</v>
      </c>
      <c r="H22" s="16">
        <v>2519.86</v>
      </c>
      <c r="I22" s="16">
        <v>2269.37</v>
      </c>
      <c r="J22" s="16">
        <v>2289.21</v>
      </c>
      <c r="K22" s="16">
        <v>1872.48</v>
      </c>
      <c r="L22" s="16">
        <v>1884.61</v>
      </c>
      <c r="M22" s="16">
        <v>1476.07</v>
      </c>
      <c r="N22" s="36">
        <v>1646.58</v>
      </c>
    </row>
    <row r="23" spans="2:14" x14ac:dyDescent="0.4">
      <c r="B23" s="8">
        <v>42195</v>
      </c>
      <c r="C23" s="9">
        <v>1637.89</v>
      </c>
      <c r="E23" s="2" t="s">
        <v>28</v>
      </c>
      <c r="F23" s="16">
        <v>1688.9</v>
      </c>
      <c r="G23" s="16">
        <v>1638.36</v>
      </c>
      <c r="H23" s="16">
        <v>2372.19</v>
      </c>
      <c r="I23" s="16">
        <v>2112.9899999999998</v>
      </c>
      <c r="J23" s="16">
        <v>2254.7399999999998</v>
      </c>
      <c r="K23" s="16">
        <v>1794.49</v>
      </c>
      <c r="L23" s="16">
        <v>1813.05</v>
      </c>
      <c r="M23" s="16">
        <v>1430.66</v>
      </c>
      <c r="N23" s="2">
        <v>1575.29</v>
      </c>
    </row>
    <row r="24" spans="2:14" x14ac:dyDescent="0.4">
      <c r="B24" s="8">
        <v>42205</v>
      </c>
      <c r="C24" s="9">
        <v>1663.51</v>
      </c>
      <c r="E24" s="2" t="s">
        <v>29</v>
      </c>
      <c r="F24" s="16">
        <v>1615.33</v>
      </c>
      <c r="G24" s="16">
        <v>1579.21</v>
      </c>
      <c r="H24" s="16">
        <v>2220.4</v>
      </c>
      <c r="I24" s="16">
        <v>2040.71</v>
      </c>
      <c r="J24" s="16">
        <v>2224.15</v>
      </c>
      <c r="K24" s="16">
        <v>1741.7</v>
      </c>
      <c r="L24" s="16">
        <v>1758.88</v>
      </c>
      <c r="M24" s="16">
        <v>1398.54</v>
      </c>
      <c r="N24" s="2">
        <v>1556.91</v>
      </c>
    </row>
    <row r="25" spans="2:14" x14ac:dyDescent="0.4">
      <c r="B25" s="8">
        <v>42216</v>
      </c>
      <c r="C25" s="9">
        <v>1511.88</v>
      </c>
      <c r="E25" s="2" t="s">
        <v>30</v>
      </c>
      <c r="F25" s="16">
        <v>1543.65</v>
      </c>
      <c r="G25" s="16">
        <v>1565.33</v>
      </c>
      <c r="H25" s="16">
        <v>2159.58</v>
      </c>
      <c r="I25" s="16">
        <v>2032.53</v>
      </c>
      <c r="J25" s="16">
        <v>2202.69</v>
      </c>
      <c r="K25" s="16">
        <v>1679.17</v>
      </c>
      <c r="L25" s="16">
        <v>1753.99</v>
      </c>
      <c r="M25" s="16">
        <v>1365.6</v>
      </c>
      <c r="N25" s="36">
        <f>IFERROR(INDEX('[1]Short term'!$M:$M,MATCH(1,INDEX(('[1]Short term'!$A:$A='[1]Steel YOY'!$U$3)*('[1]Short term'!$B:$B='[1]Steel YOY'!$A25),0),0)),"")</f>
        <v>1544.44</v>
      </c>
    </row>
    <row r="26" spans="2:14" x14ac:dyDescent="0.4">
      <c r="B26" s="8">
        <v>42226</v>
      </c>
      <c r="C26" s="9">
        <v>1550.95</v>
      </c>
      <c r="E26" s="2" t="s">
        <v>31</v>
      </c>
      <c r="F26" s="16">
        <v>1493.57</v>
      </c>
      <c r="G26" s="16">
        <v>1550</v>
      </c>
      <c r="H26" s="16">
        <v>2055.39</v>
      </c>
      <c r="I26" s="16">
        <v>1980.07</v>
      </c>
      <c r="J26" s="16">
        <v>2160.7399999999998</v>
      </c>
      <c r="K26" s="16">
        <v>1616.04</v>
      </c>
      <c r="L26" s="16">
        <v>1758.06</v>
      </c>
      <c r="M26" s="16">
        <v>1363.81</v>
      </c>
      <c r="N26" s="36">
        <f>IFERROR(INDEX('[1]Short term'!$M:$M,MATCH(1,INDEX(('[1]Short term'!$A:$A='[1]Steel YOY'!$U$3)*('[1]Short term'!$B:$B='[1]Steel YOY'!$A26),0),0)),"")</f>
        <v>1548.17</v>
      </c>
    </row>
    <row r="27" spans="2:14" x14ac:dyDescent="0.4">
      <c r="B27" s="8">
        <v>42236</v>
      </c>
      <c r="C27" s="9">
        <v>1544.57</v>
      </c>
      <c r="E27" s="2" t="s">
        <v>32</v>
      </c>
      <c r="F27" s="16">
        <v>1430.24</v>
      </c>
      <c r="G27" s="16">
        <v>1594.84</v>
      </c>
      <c r="H27" s="16">
        <v>2021.92</v>
      </c>
      <c r="I27" s="16">
        <v>1987.33</v>
      </c>
      <c r="J27" s="16">
        <v>2183.94</v>
      </c>
      <c r="K27" s="16">
        <v>1576.6</v>
      </c>
      <c r="L27" s="16">
        <v>1766.8</v>
      </c>
      <c r="M27" s="16">
        <v>1354.56</v>
      </c>
      <c r="N27" s="36">
        <f>IFERROR(INDEX('[1]Short term'!$M:$M,MATCH(1,INDEX(('[1]Short term'!$A:$A='[1]Steel YOY'!$U$3)*('[1]Short term'!$B:$B='[1]Steel YOY'!$A27),0),0)),"")</f>
        <v>1560.22</v>
      </c>
    </row>
    <row r="28" spans="2:14" x14ac:dyDescent="0.4">
      <c r="B28" s="8">
        <v>42247</v>
      </c>
      <c r="C28" s="9">
        <v>1531.51</v>
      </c>
      <c r="E28" s="2" t="s">
        <v>33</v>
      </c>
      <c r="F28" s="16">
        <v>1456.93</v>
      </c>
      <c r="G28" s="16">
        <v>1617.13</v>
      </c>
      <c r="H28" s="16">
        <v>2015.16</v>
      </c>
      <c r="I28" s="16">
        <v>2053.89</v>
      </c>
      <c r="J28" s="16">
        <v>2215.61</v>
      </c>
      <c r="K28" s="16">
        <v>1544.54</v>
      </c>
      <c r="L28" s="16">
        <v>1761.58</v>
      </c>
      <c r="M28" s="16">
        <v>1338.89</v>
      </c>
      <c r="N28" s="36">
        <f>IFERROR(INDEX('[1]Short term'!$M:$M,MATCH(1,INDEX(('[1]Short term'!$A:$A='[1]Steel YOY'!$U$3)*('[1]Short term'!$B:$B='[1]Steel YOY'!$A28),0),0)),"")</f>
        <v>1557.02</v>
      </c>
    </row>
    <row r="29" spans="2:14" x14ac:dyDescent="0.4">
      <c r="B29" s="8">
        <v>42257</v>
      </c>
      <c r="C29" s="9">
        <v>1617.33</v>
      </c>
      <c r="E29" s="2" t="s">
        <v>34</v>
      </c>
      <c r="F29" s="16">
        <v>1490.21</v>
      </c>
      <c r="G29" s="16">
        <v>1614.26</v>
      </c>
      <c r="H29" s="16">
        <v>2053.02</v>
      </c>
      <c r="I29" s="16">
        <v>2110.0700000000002</v>
      </c>
      <c r="J29" s="16">
        <v>2221.1799999999998</v>
      </c>
      <c r="K29" s="16">
        <v>1580.76</v>
      </c>
      <c r="L29" s="16">
        <v>1773.9</v>
      </c>
      <c r="M29" s="16">
        <v>1340.03</v>
      </c>
      <c r="N29" s="36">
        <f>IFERROR(INDEX('[1]Short term'!$M:$M,MATCH(1,INDEX(('[1]Short term'!$A:$A='[1]Steel YOY'!$U$3)*('[1]Short term'!$B:$B='[1]Steel YOY'!$A29),0),0)),"")</f>
        <v>1600.9899999999998</v>
      </c>
    </row>
    <row r="30" spans="2:14" x14ac:dyDescent="0.4">
      <c r="B30" s="8">
        <v>42267</v>
      </c>
      <c r="C30" s="9">
        <v>1600.13</v>
      </c>
      <c r="E30" s="2" t="s">
        <v>35</v>
      </c>
      <c r="F30" s="16">
        <v>1473.62</v>
      </c>
      <c r="G30" s="16">
        <v>1624.54</v>
      </c>
      <c r="H30" s="16">
        <v>2123.02</v>
      </c>
      <c r="I30" s="16">
        <v>2153.75</v>
      </c>
      <c r="J30" s="16">
        <v>2150.4499999999998</v>
      </c>
      <c r="K30" s="16">
        <v>1601.16</v>
      </c>
      <c r="L30" s="16">
        <v>1779.99</v>
      </c>
      <c r="M30" s="16">
        <v>1339.93</v>
      </c>
      <c r="N30" s="36">
        <f>IFERROR(INDEX('[1]Short term'!$M:$M,MATCH(1,INDEX(('[1]Short term'!$A:$A='[1]Steel YOY'!$U$3)*('[1]Short term'!$B:$B='[1]Steel YOY'!$A30),0),0)),"")</f>
        <v>1623.0500000000002</v>
      </c>
    </row>
    <row r="31" spans="2:14" x14ac:dyDescent="0.4">
      <c r="B31" s="8">
        <v>42277</v>
      </c>
      <c r="C31" s="9">
        <v>1479.45</v>
      </c>
      <c r="E31" s="2" t="s">
        <v>36</v>
      </c>
      <c r="F31" s="16">
        <v>1449.73</v>
      </c>
      <c r="G31" s="16">
        <v>1667.01</v>
      </c>
      <c r="H31" s="16">
        <v>2148.08</v>
      </c>
      <c r="I31" s="16">
        <v>2165.67</v>
      </c>
      <c r="J31" s="16">
        <v>2090.84</v>
      </c>
      <c r="K31" s="16">
        <v>1618.98</v>
      </c>
      <c r="L31" s="16">
        <v>1772.81</v>
      </c>
      <c r="M31" s="16">
        <v>1339.58</v>
      </c>
      <c r="N31" s="36">
        <f>IFERROR(INDEX('[1]Short term'!$M:$M,MATCH(1,INDEX(('[1]Short term'!$A:$A='[1]Steel YOY'!$U$3)*('[1]Short term'!$B:$B='[1]Steel YOY'!$A31),0),0)),"")</f>
        <v>1633.92</v>
      </c>
    </row>
    <row r="32" spans="2:14" x14ac:dyDescent="0.4">
      <c r="B32" s="8">
        <v>42287</v>
      </c>
      <c r="C32" s="9">
        <v>1507.44</v>
      </c>
      <c r="E32" s="2" t="s">
        <v>37</v>
      </c>
      <c r="F32" s="16">
        <v>1451.92</v>
      </c>
      <c r="G32" s="16">
        <v>1715.49</v>
      </c>
      <c r="H32" s="16">
        <v>2163.46</v>
      </c>
      <c r="I32" s="16">
        <v>2156.77</v>
      </c>
      <c r="J32" s="16">
        <v>2043.02</v>
      </c>
      <c r="K32" s="16">
        <v>1619.42</v>
      </c>
      <c r="L32" s="16">
        <v>1757.22</v>
      </c>
      <c r="M32" s="16">
        <v>1337.66</v>
      </c>
      <c r="N32" s="36">
        <f>IFERROR(INDEX('[1]Short term'!$M:$M,MATCH(1,INDEX(('[1]Short term'!$A:$A='[1]Steel YOY'!$U$3)*('[1]Short term'!$B:$B='[1]Steel YOY'!$A32),0),0)),"")</f>
        <v>1616.0600000000002</v>
      </c>
    </row>
    <row r="33" spans="2:14" x14ac:dyDescent="0.4">
      <c r="B33" s="8">
        <v>42297</v>
      </c>
      <c r="C33" s="9">
        <v>1633.82</v>
      </c>
      <c r="E33" s="2" t="s">
        <v>38</v>
      </c>
      <c r="F33" s="16">
        <v>1416.14</v>
      </c>
      <c r="G33" s="16">
        <v>1760.45</v>
      </c>
      <c r="H33" s="16">
        <v>2200.92</v>
      </c>
      <c r="I33" s="16">
        <v>2141.1999999999998</v>
      </c>
      <c r="J33" s="16">
        <v>1948.38</v>
      </c>
      <c r="K33" s="16">
        <v>1611.17</v>
      </c>
      <c r="L33" s="16">
        <v>1757.86</v>
      </c>
      <c r="M33" s="16">
        <v>1336.5</v>
      </c>
      <c r="N33" s="36">
        <f>IFERROR(INDEX('[1]Short term'!$M:$M,MATCH(1,INDEX(('[1]Short term'!$A:$A='[1]Steel YOY'!$U$3)*('[1]Short term'!$B:$B='[1]Steel YOY'!$A33),0),0)),"")</f>
        <v>1629.4100000000003</v>
      </c>
    </row>
    <row r="34" spans="2:14" x14ac:dyDescent="0.4">
      <c r="B34" s="8">
        <v>42308</v>
      </c>
      <c r="C34" s="9">
        <v>1480.52</v>
      </c>
      <c r="E34" s="2" t="s">
        <v>39</v>
      </c>
      <c r="F34" s="16">
        <v>1415.78</v>
      </c>
      <c r="G34" s="16">
        <v>1795.67</v>
      </c>
      <c r="H34" s="16">
        <v>2229.04</v>
      </c>
      <c r="I34" s="16">
        <v>2137.0100000000002</v>
      </c>
      <c r="J34" s="16">
        <v>1835.99</v>
      </c>
      <c r="K34" s="16">
        <v>1644.22</v>
      </c>
      <c r="L34" s="16">
        <v>1747.41</v>
      </c>
      <c r="M34" s="16">
        <v>1351.89</v>
      </c>
      <c r="N34" s="36">
        <f>IFERROR(INDEX('[1]Short term'!$M:$M,MATCH(1,INDEX(('[1]Short term'!$A:$A='[1]Steel YOY'!$U$3)*('[1]Short term'!$B:$B='[1]Steel YOY'!$A34),0),0)),"")</f>
        <v>1635.82</v>
      </c>
    </row>
    <row r="35" spans="2:14" x14ac:dyDescent="0.4">
      <c r="B35" s="8">
        <v>42318</v>
      </c>
      <c r="C35" s="9">
        <v>1502.89</v>
      </c>
      <c r="E35" s="2" t="s">
        <v>40</v>
      </c>
      <c r="F35" s="16">
        <v>1420.26</v>
      </c>
      <c r="G35" s="16">
        <v>1839.53</v>
      </c>
      <c r="H35" s="16">
        <v>2213.94</v>
      </c>
      <c r="I35" s="16">
        <v>2157.9899999999998</v>
      </c>
      <c r="J35" s="16">
        <v>1749.03</v>
      </c>
      <c r="K35" s="16">
        <v>1675.61</v>
      </c>
      <c r="L35" s="16">
        <v>1722.63</v>
      </c>
      <c r="M35" s="16">
        <v>1375.36</v>
      </c>
      <c r="N35" s="36" t="str">
        <f>IFERROR(INDEX('[1]Short term'!$M:$M,MATCH(1,INDEX(('[1]Short term'!$A:$A='[1]Steel YOY'!$U$3)*('[1]Short term'!$B:$B='[1]Steel YOY'!$A35),0),0)),"")</f>
        <v/>
      </c>
    </row>
    <row r="36" spans="2:14" x14ac:dyDescent="0.4">
      <c r="B36" s="8">
        <v>42328</v>
      </c>
      <c r="C36" s="9">
        <v>1519</v>
      </c>
      <c r="E36" s="2" t="s">
        <v>41</v>
      </c>
      <c r="F36" s="16">
        <v>1419.06</v>
      </c>
      <c r="G36" s="16">
        <v>1826.7</v>
      </c>
      <c r="H36" s="16">
        <v>2219.64</v>
      </c>
      <c r="I36" s="16">
        <v>2134.7199999999998</v>
      </c>
      <c r="J36" s="16">
        <v>1702.35</v>
      </c>
      <c r="K36" s="16">
        <v>1660.33</v>
      </c>
      <c r="L36" s="16">
        <v>1700</v>
      </c>
      <c r="M36" s="16">
        <v>1415.97</v>
      </c>
      <c r="N36" s="36" t="str">
        <f>IFERROR(INDEX('[1]Short term'!$M:$M,MATCH(1,INDEX(('[1]Short term'!$A:$A='[1]Steel YOY'!$U$3)*('[1]Short term'!$B:$B='[1]Steel YOY'!$A36),0),0)),"")</f>
        <v/>
      </c>
    </row>
    <row r="37" spans="2:14" x14ac:dyDescent="0.4">
      <c r="B37" s="8">
        <v>42338</v>
      </c>
      <c r="C37" s="9">
        <v>1438.43</v>
      </c>
      <c r="E37" s="2" t="s">
        <v>42</v>
      </c>
      <c r="F37" s="16">
        <v>1415.9</v>
      </c>
      <c r="G37" s="16">
        <v>1810.89</v>
      </c>
      <c r="H37" s="16">
        <v>2225.2800000000002</v>
      </c>
      <c r="I37" s="16">
        <v>2127.2399999999998</v>
      </c>
      <c r="J37" s="16">
        <v>1650.12</v>
      </c>
      <c r="K37" s="16">
        <v>1643.27</v>
      </c>
      <c r="L37" s="16">
        <v>1641.86</v>
      </c>
      <c r="M37" s="16">
        <v>1441.04</v>
      </c>
      <c r="N37" s="36" t="str">
        <f>IFERROR(INDEX('[1]Short term'!$M:$M,MATCH(1,INDEX(('[1]Short term'!$A:$A='[1]Steel YOY'!$U$3)*('[1]Short term'!$B:$B='[1]Steel YOY'!$A37),0),0)),"")</f>
        <v/>
      </c>
    </row>
    <row r="38" spans="2:14" x14ac:dyDescent="0.4">
      <c r="B38" s="8">
        <v>42348</v>
      </c>
      <c r="C38" s="9">
        <v>1434.04</v>
      </c>
      <c r="E38" s="2" t="s">
        <v>43</v>
      </c>
      <c r="F38" s="16">
        <v>1431.79</v>
      </c>
      <c r="G38" s="16">
        <v>1792.78</v>
      </c>
      <c r="H38" s="16">
        <v>2249.36</v>
      </c>
      <c r="I38" s="16">
        <v>2104.4699999999998</v>
      </c>
      <c r="J38" s="16">
        <v>1628.68</v>
      </c>
      <c r="K38" s="16">
        <v>1638.92</v>
      </c>
      <c r="L38" s="16">
        <v>1562.95</v>
      </c>
      <c r="M38" s="16">
        <v>1467.88</v>
      </c>
      <c r="N38" s="36" t="str">
        <f>IFERROR(INDEX('[1]Short term'!$M:$M,MATCH(1,INDEX(('[1]Short term'!$A:$A='[1]Steel YOY'!$U$3)*('[1]Short term'!$B:$B='[1]Steel YOY'!$A38),0),0)),"")</f>
        <v/>
      </c>
    </row>
    <row r="39" spans="2:14" x14ac:dyDescent="0.4">
      <c r="B39" s="8">
        <v>42358</v>
      </c>
      <c r="C39" s="9">
        <v>1467.25</v>
      </c>
      <c r="E39" s="2" t="s">
        <v>44</v>
      </c>
      <c r="F39" s="16">
        <v>1433.16</v>
      </c>
      <c r="G39" s="16">
        <v>1730.29</v>
      </c>
      <c r="H39" s="16">
        <v>2247.61</v>
      </c>
      <c r="I39" s="16">
        <v>2079.31</v>
      </c>
      <c r="J39" s="16">
        <v>1615.34</v>
      </c>
      <c r="K39" s="16">
        <v>1616.44</v>
      </c>
      <c r="L39" s="16">
        <v>1509.2</v>
      </c>
      <c r="M39" s="16">
        <v>1500.7</v>
      </c>
      <c r="N39" s="36" t="str">
        <f>IFERROR(INDEX('[1]Short term'!$M:$M,MATCH(1,INDEX(('[1]Short term'!$A:$A='[1]Steel YOY'!$U$3)*('[1]Short term'!$B:$B='[1]Steel YOY'!$A39),0),0)),"")</f>
        <v/>
      </c>
    </row>
    <row r="40" spans="2:14" x14ac:dyDescent="0.4">
      <c r="B40" s="8">
        <v>42369</v>
      </c>
      <c r="C40" s="9">
        <v>1242.4100000000001</v>
      </c>
      <c r="E40" s="2" t="s">
        <v>45</v>
      </c>
      <c r="F40" s="16">
        <v>1430.13</v>
      </c>
      <c r="G40" s="16">
        <v>1643.16</v>
      </c>
      <c r="H40" s="16">
        <v>2242.2600000000002</v>
      </c>
      <c r="I40" s="16">
        <v>2024</v>
      </c>
      <c r="J40" s="16">
        <v>1584.29</v>
      </c>
      <c r="K40" s="16">
        <v>1579.4</v>
      </c>
      <c r="L40" s="16">
        <v>1418.71</v>
      </c>
      <c r="M40" s="16">
        <v>1514.61</v>
      </c>
      <c r="N40" s="36" t="str">
        <f>IFERROR(INDEX('[1]Short term'!$M:$M,MATCH(1,INDEX(('[1]Short term'!$A:$A='[1]Steel YOY'!$U$3)*('[1]Short term'!$B:$B='[1]Steel YOY'!$A40),0),0)),"")</f>
        <v/>
      </c>
    </row>
    <row r="41" spans="2:14" x14ac:dyDescent="0.4">
      <c r="B41" s="8">
        <v>42379</v>
      </c>
      <c r="C41" s="9">
        <v>1236.1400000000001</v>
      </c>
      <c r="E41" s="2" t="s">
        <v>46</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47</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48</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49</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50</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51</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52</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53</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54</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55</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56</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57</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58</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59</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60</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1582.93</v>
      </c>
    </row>
    <row r="416" spans="2:3" x14ac:dyDescent="0.4">
      <c r="B416" s="12">
        <v>46183</v>
      </c>
      <c r="C416" s="13">
        <v>1686.61</v>
      </c>
    </row>
    <row r="417" spans="2:3" x14ac:dyDescent="0.4">
      <c r="B417" s="12">
        <v>46193</v>
      </c>
      <c r="C417" s="13">
        <v>1790</v>
      </c>
    </row>
    <row r="418" spans="2:3" x14ac:dyDescent="0.4">
      <c r="B418" s="12">
        <v>46203</v>
      </c>
      <c r="C418" s="13">
        <v>1628.2</v>
      </c>
    </row>
    <row r="419" spans="2:3" x14ac:dyDescent="0.4">
      <c r="B419" s="12">
        <v>46213</v>
      </c>
      <c r="C419" s="13">
        <v>1677</v>
      </c>
    </row>
    <row r="420" spans="2:3" x14ac:dyDescent="0.4">
      <c r="B420" s="12">
        <v>46223</v>
      </c>
      <c r="C420" s="13">
        <v>1813</v>
      </c>
    </row>
    <row r="421" spans="2:3" x14ac:dyDescent="0.4">
      <c r="B421" s="12"/>
      <c r="C421" s="13"/>
    </row>
    <row r="422" spans="2:3" x14ac:dyDescent="0.4">
      <c r="B422" s="12"/>
      <c r="C422" s="13"/>
    </row>
    <row r="423" spans="2:3" x14ac:dyDescent="0.4">
      <c r="B423" s="12"/>
      <c r="C423" s="13"/>
    </row>
    <row r="424" spans="2:3" x14ac:dyDescent="0.4">
      <c r="B424" s="12"/>
      <c r="C424" s="13"/>
    </row>
    <row r="425" spans="2:3" x14ac:dyDescent="0.4">
      <c r="B425" s="12"/>
      <c r="C425"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614"/>
  <sheetViews>
    <sheetView topLeftCell="A579" zoomScale="72" zoomScaleNormal="63" workbookViewId="0">
      <selection activeCell="B598" sqref="B598"/>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78</v>
      </c>
      <c r="D2" s="6" t="s">
        <v>79</v>
      </c>
      <c r="G2" s="40" t="s">
        <v>83</v>
      </c>
      <c r="H2" s="40"/>
      <c r="I2" s="40"/>
      <c r="J2" s="40"/>
      <c r="K2" s="40"/>
      <c r="L2" s="40"/>
      <c r="M2" s="40"/>
      <c r="N2" s="40"/>
      <c r="O2" s="40"/>
      <c r="P2" s="40"/>
    </row>
    <row r="3" spans="2:16" x14ac:dyDescent="0.4">
      <c r="B3" s="26" t="s">
        <v>1</v>
      </c>
      <c r="C3" s="27" t="s">
        <v>77</v>
      </c>
      <c r="D3" s="27" t="s">
        <v>7</v>
      </c>
      <c r="G3" s="18"/>
      <c r="H3" s="17" t="s">
        <v>61</v>
      </c>
      <c r="I3" s="17" t="s">
        <v>62</v>
      </c>
      <c r="J3" s="17" t="s">
        <v>63</v>
      </c>
      <c r="K3" s="17" t="s">
        <v>64</v>
      </c>
      <c r="L3" s="17" t="s">
        <v>65</v>
      </c>
      <c r="M3" s="17" t="s">
        <v>66</v>
      </c>
      <c r="N3" s="17" t="s">
        <v>67</v>
      </c>
      <c r="O3" s="17" t="s">
        <v>68</v>
      </c>
      <c r="P3" s="17" t="s">
        <v>69</v>
      </c>
    </row>
    <row r="4" spans="2:16" x14ac:dyDescent="0.4">
      <c r="B4" s="5" t="s">
        <v>82</v>
      </c>
      <c r="C4" s="5" t="s">
        <v>81</v>
      </c>
      <c r="D4" s="5" t="s">
        <v>81</v>
      </c>
      <c r="G4" t="s">
        <v>9</v>
      </c>
      <c r="H4" s="28">
        <v>945.53</v>
      </c>
      <c r="I4" s="28">
        <v>968.37</v>
      </c>
      <c r="J4" s="28">
        <v>1026.01</v>
      </c>
      <c r="K4" s="28">
        <v>1045.44</v>
      </c>
      <c r="L4" s="28">
        <v>905.49</v>
      </c>
      <c r="M4" s="28">
        <v>883.68</v>
      </c>
      <c r="N4" s="28">
        <v>876.45</v>
      </c>
      <c r="O4" s="28">
        <v>829.6400000000001</v>
      </c>
      <c r="P4" s="28">
        <v>815.18</v>
      </c>
    </row>
    <row r="5" spans="2:16" x14ac:dyDescent="0.4">
      <c r="B5" s="4">
        <v>42006</v>
      </c>
      <c r="C5" s="5">
        <v>103.56</v>
      </c>
      <c r="D5" s="5">
        <v>243</v>
      </c>
      <c r="G5" t="s">
        <v>10</v>
      </c>
      <c r="H5" s="28">
        <v>946.3</v>
      </c>
      <c r="I5" s="28">
        <v>975.72</v>
      </c>
      <c r="J5" s="28">
        <v>996.16</v>
      </c>
      <c r="K5" s="28">
        <v>1052.0899999999999</v>
      </c>
      <c r="L5" s="28">
        <v>926.86</v>
      </c>
      <c r="M5" s="28">
        <v>862.46</v>
      </c>
      <c r="N5" s="28">
        <v>869.28</v>
      </c>
      <c r="O5" s="28">
        <v>808.41999999999985</v>
      </c>
      <c r="P5" s="28">
        <v>818.59</v>
      </c>
    </row>
    <row r="6" spans="2:16" x14ac:dyDescent="0.4">
      <c r="B6" s="4">
        <v>42013</v>
      </c>
      <c r="C6" s="5">
        <v>103.4</v>
      </c>
      <c r="D6" s="5">
        <v>248.15</v>
      </c>
      <c r="G6" t="s">
        <v>11</v>
      </c>
      <c r="H6" s="28">
        <v>961.05</v>
      </c>
      <c r="I6" s="28">
        <v>972.19</v>
      </c>
      <c r="J6" s="28">
        <v>988.41</v>
      </c>
      <c r="K6" s="28">
        <v>1052.01</v>
      </c>
      <c r="L6" s="28">
        <v>933.94</v>
      </c>
      <c r="M6" s="28">
        <v>851.14</v>
      </c>
      <c r="N6" s="28">
        <v>855.31</v>
      </c>
      <c r="O6" s="28">
        <v>824.06</v>
      </c>
      <c r="P6" s="28">
        <v>819.21</v>
      </c>
    </row>
    <row r="7" spans="2:16" x14ac:dyDescent="0.4">
      <c r="B7" s="4">
        <v>42020</v>
      </c>
      <c r="C7" s="5">
        <v>103.24</v>
      </c>
      <c r="D7" s="5">
        <v>247.94</v>
      </c>
      <c r="G7" t="s">
        <v>12</v>
      </c>
      <c r="H7" s="28">
        <v>946.76</v>
      </c>
      <c r="I7" s="28">
        <v>963.16</v>
      </c>
      <c r="J7" s="28">
        <v>990.98</v>
      </c>
      <c r="K7" s="28">
        <v>1046.1300000000001</v>
      </c>
      <c r="L7" s="28">
        <v>909.36</v>
      </c>
      <c r="M7" s="28">
        <v>858.04</v>
      </c>
      <c r="N7" s="28">
        <v>860.81999999999994</v>
      </c>
      <c r="O7" s="28">
        <v>811.58</v>
      </c>
      <c r="P7" s="28">
        <v>819.58999999999992</v>
      </c>
    </row>
    <row r="8" spans="2:16" x14ac:dyDescent="0.4">
      <c r="B8" s="4">
        <v>42027</v>
      </c>
      <c r="C8" s="5">
        <v>101.99</v>
      </c>
      <c r="D8" s="5">
        <v>245.41</v>
      </c>
      <c r="G8" t="s">
        <v>13</v>
      </c>
      <c r="H8" s="28">
        <v>933.72</v>
      </c>
      <c r="I8" s="28">
        <v>964.96</v>
      </c>
      <c r="J8" s="28">
        <v>971.54</v>
      </c>
      <c r="K8" s="28">
        <v>1032.3</v>
      </c>
      <c r="L8" s="28">
        <v>912.49</v>
      </c>
      <c r="M8" s="28">
        <v>869.96</v>
      </c>
      <c r="N8" s="28">
        <v>856.03</v>
      </c>
      <c r="O8" s="28">
        <v>806.62999999999988</v>
      </c>
      <c r="P8" s="28">
        <v>823.17000000000007</v>
      </c>
    </row>
    <row r="9" spans="2:16" x14ac:dyDescent="0.4">
      <c r="B9" s="4">
        <v>42034</v>
      </c>
      <c r="C9" s="5">
        <v>99.32</v>
      </c>
      <c r="D9" s="5">
        <v>239.17</v>
      </c>
      <c r="G9" t="s">
        <v>14</v>
      </c>
      <c r="H9" s="28">
        <v>915.11</v>
      </c>
      <c r="I9" s="28">
        <v>950.32</v>
      </c>
      <c r="J9" s="28">
        <v>941.75</v>
      </c>
      <c r="K9" s="28">
        <v>1012.94</v>
      </c>
      <c r="L9" s="28">
        <v>893.45</v>
      </c>
      <c r="M9" s="28">
        <v>902.41</v>
      </c>
      <c r="N9" s="28">
        <v>816.93999999999983</v>
      </c>
      <c r="O9" s="28">
        <v>808.63</v>
      </c>
      <c r="P9" s="28">
        <v>819.90000000000009</v>
      </c>
    </row>
    <row r="10" spans="2:16" x14ac:dyDescent="0.4">
      <c r="B10" s="4">
        <v>42041</v>
      </c>
      <c r="C10" s="5">
        <v>98.7</v>
      </c>
      <c r="D10" s="5">
        <v>234.16</v>
      </c>
      <c r="G10" t="s">
        <v>15</v>
      </c>
      <c r="H10" s="28">
        <v>909.61500000000001</v>
      </c>
      <c r="I10" s="28">
        <v>951.54</v>
      </c>
      <c r="J10" s="28">
        <v>897.97</v>
      </c>
      <c r="K10" s="28">
        <v>1003.68</v>
      </c>
      <c r="L10" s="28">
        <v>870.42</v>
      </c>
      <c r="M10" s="28">
        <v>916.56</v>
      </c>
      <c r="N10" s="28">
        <v>804.06</v>
      </c>
      <c r="O10" s="28">
        <v>814.62</v>
      </c>
      <c r="P10" s="28">
        <v>794.06000000000006</v>
      </c>
    </row>
    <row r="11" spans="2:16" x14ac:dyDescent="0.4">
      <c r="B11" s="4">
        <v>42048</v>
      </c>
      <c r="C11" s="5">
        <v>98.54</v>
      </c>
      <c r="D11" s="5">
        <v>233.48</v>
      </c>
      <c r="G11" t="s">
        <v>16</v>
      </c>
      <c r="H11" s="28">
        <v>904.12</v>
      </c>
      <c r="I11" s="28">
        <v>974.9</v>
      </c>
      <c r="J11" s="28">
        <v>875.25</v>
      </c>
      <c r="K11" s="28">
        <v>1003.68</v>
      </c>
      <c r="L11" s="28">
        <v>886.08</v>
      </c>
      <c r="M11" s="28">
        <v>932.11</v>
      </c>
      <c r="N11" s="28">
        <v>795.7</v>
      </c>
      <c r="O11" s="28">
        <v>836.01</v>
      </c>
      <c r="P11" s="28">
        <v>804.74999999999989</v>
      </c>
    </row>
    <row r="12" spans="2:16" x14ac:dyDescent="0.4">
      <c r="B12" s="4">
        <v>42062</v>
      </c>
      <c r="C12" s="5">
        <v>97.9</v>
      </c>
      <c r="D12" s="5">
        <v>232.64</v>
      </c>
      <c r="G12" t="s">
        <v>17</v>
      </c>
      <c r="H12" s="28">
        <v>933.28</v>
      </c>
      <c r="I12" s="28">
        <v>987.07</v>
      </c>
      <c r="J12" s="28">
        <v>857.17</v>
      </c>
      <c r="K12" s="28">
        <v>1011.15</v>
      </c>
      <c r="L12" s="28">
        <v>924.9</v>
      </c>
      <c r="M12" s="28">
        <v>947.25</v>
      </c>
      <c r="N12" s="28">
        <v>820.41000000000008</v>
      </c>
      <c r="O12" s="28">
        <v>842.26</v>
      </c>
      <c r="P12" s="28">
        <v>796.77</v>
      </c>
    </row>
    <row r="13" spans="2:16" x14ac:dyDescent="0.4">
      <c r="B13" s="4">
        <v>42069</v>
      </c>
      <c r="C13" s="5">
        <v>96.49</v>
      </c>
      <c r="D13" s="5">
        <v>229.98</v>
      </c>
      <c r="G13" t="s">
        <v>18</v>
      </c>
      <c r="H13" s="28">
        <v>942.26</v>
      </c>
      <c r="I13" s="28">
        <v>963.73</v>
      </c>
      <c r="J13" s="28">
        <v>868.29</v>
      </c>
      <c r="K13" s="28">
        <v>1033.8599999999999</v>
      </c>
      <c r="L13" s="28">
        <v>955.97</v>
      </c>
      <c r="M13" s="28">
        <v>952.15</v>
      </c>
      <c r="N13" s="28">
        <v>847.71</v>
      </c>
      <c r="O13" s="28">
        <v>834.28</v>
      </c>
      <c r="P13" s="28">
        <v>797.24</v>
      </c>
    </row>
    <row r="14" spans="2:16" x14ac:dyDescent="0.4">
      <c r="B14" s="4">
        <v>42076</v>
      </c>
      <c r="C14" s="5">
        <v>97.02</v>
      </c>
      <c r="D14" s="5">
        <v>231.86</v>
      </c>
      <c r="G14" t="s">
        <v>19</v>
      </c>
      <c r="H14" s="28">
        <v>947.57</v>
      </c>
      <c r="I14" s="28">
        <v>978.69</v>
      </c>
      <c r="J14" s="28">
        <v>864.39</v>
      </c>
      <c r="K14" s="28">
        <v>1040.3900000000001</v>
      </c>
      <c r="L14" s="28">
        <v>935.4</v>
      </c>
      <c r="M14" s="28">
        <v>959.19</v>
      </c>
      <c r="N14" s="28">
        <v>849</v>
      </c>
      <c r="O14" s="28">
        <v>853.20999999999992</v>
      </c>
      <c r="P14" s="28">
        <v>820.97</v>
      </c>
    </row>
    <row r="15" spans="2:16" x14ac:dyDescent="0.4">
      <c r="B15" s="4">
        <v>42083</v>
      </c>
      <c r="C15" s="5">
        <v>96.49</v>
      </c>
      <c r="D15" s="5">
        <v>229.67</v>
      </c>
      <c r="G15" t="s">
        <v>20</v>
      </c>
      <c r="H15" s="28">
        <v>934.48</v>
      </c>
      <c r="I15" s="28">
        <v>986.47</v>
      </c>
      <c r="J15" s="28">
        <v>892.42</v>
      </c>
      <c r="K15" s="28">
        <v>1027.3699999999999</v>
      </c>
      <c r="L15" s="28">
        <v>954.8</v>
      </c>
      <c r="M15" s="28">
        <v>959.89</v>
      </c>
      <c r="N15" s="28">
        <v>848.25</v>
      </c>
      <c r="O15" s="28">
        <v>865.42000000000007</v>
      </c>
      <c r="P15" s="28">
        <v>839.82</v>
      </c>
    </row>
    <row r="16" spans="2:16" x14ac:dyDescent="0.4">
      <c r="B16" s="4">
        <v>42090</v>
      </c>
      <c r="C16" s="5">
        <v>95.24</v>
      </c>
      <c r="D16" s="5">
        <v>225.52</v>
      </c>
      <c r="G16" t="s">
        <v>21</v>
      </c>
      <c r="H16" s="28">
        <v>929.52</v>
      </c>
      <c r="I16" s="28">
        <v>1000.83</v>
      </c>
      <c r="J16" s="28">
        <v>914.23</v>
      </c>
      <c r="K16" s="28">
        <v>1053.55</v>
      </c>
      <c r="L16" s="28">
        <v>971.57</v>
      </c>
      <c r="M16" s="28">
        <v>974.09</v>
      </c>
      <c r="N16" s="28">
        <v>855.7</v>
      </c>
      <c r="O16" s="28">
        <v>869.5</v>
      </c>
      <c r="P16">
        <v>839.58</v>
      </c>
    </row>
    <row r="17" spans="2:16" x14ac:dyDescent="0.4">
      <c r="B17" s="4">
        <v>42097</v>
      </c>
      <c r="C17" s="5">
        <v>97.76</v>
      </c>
      <c r="D17" s="5">
        <v>233.53</v>
      </c>
      <c r="G17" t="s">
        <v>22</v>
      </c>
      <c r="H17" s="28">
        <v>950.45</v>
      </c>
      <c r="I17" s="28">
        <v>1022.2</v>
      </c>
      <c r="J17" s="28">
        <v>936.23</v>
      </c>
      <c r="K17" s="28">
        <v>1051.3499999999999</v>
      </c>
      <c r="L17" s="28">
        <v>962.58</v>
      </c>
      <c r="M17" s="28">
        <v>981.4</v>
      </c>
      <c r="N17" s="28">
        <v>865.20999999999992</v>
      </c>
      <c r="O17" s="28">
        <v>872.52</v>
      </c>
      <c r="P17">
        <v>851.50999999999988</v>
      </c>
    </row>
    <row r="18" spans="2:16" x14ac:dyDescent="0.4">
      <c r="B18" s="4">
        <v>42104</v>
      </c>
      <c r="C18" s="5">
        <v>98.7</v>
      </c>
      <c r="D18" s="5">
        <v>234.73</v>
      </c>
      <c r="G18" t="s">
        <v>23</v>
      </c>
      <c r="H18" s="28">
        <v>966.14</v>
      </c>
      <c r="I18" s="28">
        <v>1034.6300000000001</v>
      </c>
      <c r="J18" s="28">
        <v>983</v>
      </c>
      <c r="K18" s="28">
        <v>1057.3499999999999</v>
      </c>
      <c r="L18" s="28">
        <v>987.55</v>
      </c>
      <c r="M18" s="28">
        <v>983.17</v>
      </c>
      <c r="N18" s="28">
        <v>856.2</v>
      </c>
      <c r="O18" s="28">
        <v>871.06</v>
      </c>
      <c r="P18">
        <v>858.48000000000013</v>
      </c>
    </row>
    <row r="19" spans="2:16" x14ac:dyDescent="0.4">
      <c r="B19" s="4">
        <v>42111</v>
      </c>
      <c r="C19" s="5">
        <v>98.22</v>
      </c>
      <c r="D19" s="5">
        <v>234.16</v>
      </c>
      <c r="G19" t="s">
        <v>24</v>
      </c>
      <c r="H19" s="28">
        <v>974.05</v>
      </c>
      <c r="I19" s="28">
        <v>1038.95</v>
      </c>
      <c r="J19" s="28">
        <v>1012.35</v>
      </c>
      <c r="K19" s="28">
        <v>1049.93</v>
      </c>
      <c r="L19" s="28">
        <v>988.66</v>
      </c>
      <c r="M19" s="28">
        <v>964.6</v>
      </c>
      <c r="N19" s="28">
        <v>860.45999999999992</v>
      </c>
      <c r="O19" s="28">
        <v>872.71</v>
      </c>
      <c r="P19">
        <v>855.32999999999993</v>
      </c>
    </row>
    <row r="20" spans="2:16" x14ac:dyDescent="0.4">
      <c r="B20" s="4">
        <v>42118</v>
      </c>
      <c r="C20" s="5">
        <v>98.7</v>
      </c>
      <c r="D20" s="5">
        <v>234.89</v>
      </c>
      <c r="G20" t="s">
        <v>25</v>
      </c>
      <c r="H20" s="28">
        <v>969.62</v>
      </c>
      <c r="I20" s="28">
        <v>1051.5899999999999</v>
      </c>
      <c r="J20" s="28">
        <v>1029.22</v>
      </c>
      <c r="K20" s="28">
        <v>1061.42</v>
      </c>
      <c r="L20" s="28">
        <v>994.44</v>
      </c>
      <c r="M20" s="28">
        <v>956</v>
      </c>
      <c r="N20" s="28">
        <v>863.98</v>
      </c>
      <c r="O20" s="28">
        <v>875.84</v>
      </c>
      <c r="P20">
        <v>863.22</v>
      </c>
    </row>
    <row r="21" spans="2:16" x14ac:dyDescent="0.4">
      <c r="B21" s="4">
        <v>42125</v>
      </c>
      <c r="C21" s="5">
        <v>99.01</v>
      </c>
      <c r="D21" s="5">
        <v>235.49</v>
      </c>
      <c r="G21" t="s">
        <v>26</v>
      </c>
      <c r="H21" s="28">
        <v>985.05</v>
      </c>
      <c r="I21" s="28">
        <v>1072.32</v>
      </c>
      <c r="J21" s="28">
        <v>1020.99</v>
      </c>
      <c r="K21" s="28">
        <v>1079.6500000000001</v>
      </c>
      <c r="L21" s="28">
        <v>993.02</v>
      </c>
      <c r="M21" s="28">
        <v>940.93</v>
      </c>
      <c r="N21" s="28">
        <v>877.72</v>
      </c>
      <c r="O21" s="28">
        <v>883.68999999999994</v>
      </c>
      <c r="P21">
        <v>854.82999999999993</v>
      </c>
    </row>
    <row r="22" spans="2:16" x14ac:dyDescent="0.4">
      <c r="B22" s="4">
        <v>42132</v>
      </c>
      <c r="C22" s="5">
        <v>98.38</v>
      </c>
      <c r="D22" s="5">
        <v>235.15</v>
      </c>
      <c r="G22" t="s">
        <v>27</v>
      </c>
      <c r="H22" s="28">
        <v>987.74</v>
      </c>
      <c r="I22" s="28">
        <v>1079.72</v>
      </c>
      <c r="J22" s="28">
        <v>1027</v>
      </c>
      <c r="K22" s="28">
        <v>1092.1199999999999</v>
      </c>
      <c r="L22" s="28">
        <v>1003.99</v>
      </c>
      <c r="M22" s="28">
        <v>922.66</v>
      </c>
      <c r="N22" s="28">
        <v>885.79</v>
      </c>
      <c r="O22" s="28">
        <v>874.16999999999985</v>
      </c>
      <c r="P22">
        <v>839.82999999999993</v>
      </c>
    </row>
    <row r="23" spans="2:16" x14ac:dyDescent="0.4">
      <c r="B23" s="4">
        <v>42139</v>
      </c>
      <c r="C23" s="5">
        <v>98.7</v>
      </c>
      <c r="D23" s="5">
        <v>235.67</v>
      </c>
      <c r="G23" t="s">
        <v>28</v>
      </c>
      <c r="H23" s="28">
        <v>994.45</v>
      </c>
      <c r="I23" s="28">
        <v>1078.45</v>
      </c>
      <c r="J23" s="28">
        <v>1056.28</v>
      </c>
      <c r="K23" s="28">
        <v>1096.99</v>
      </c>
      <c r="L23" s="28">
        <v>1008.72</v>
      </c>
      <c r="M23" s="28">
        <v>918.35</v>
      </c>
      <c r="N23" s="28">
        <v>889.5200000000001</v>
      </c>
      <c r="O23" s="28">
        <v>868.35</v>
      </c>
      <c r="P23">
        <v>840.24</v>
      </c>
    </row>
    <row r="24" spans="2:16" x14ac:dyDescent="0.4">
      <c r="B24" s="4">
        <v>42146</v>
      </c>
      <c r="C24" s="5">
        <v>98.38</v>
      </c>
      <c r="D24" s="5">
        <v>235.36</v>
      </c>
      <c r="G24" t="s">
        <v>29</v>
      </c>
      <c r="H24" s="28">
        <v>994.74</v>
      </c>
      <c r="I24" s="28">
        <v>1085.1300000000001</v>
      </c>
      <c r="J24" s="28">
        <v>1063.82</v>
      </c>
      <c r="K24" s="28">
        <v>1098.0999999999999</v>
      </c>
      <c r="L24" s="28">
        <v>992.64</v>
      </c>
      <c r="M24" s="28">
        <v>926.49</v>
      </c>
      <c r="N24" s="28">
        <v>896.01</v>
      </c>
      <c r="O24" s="28">
        <v>872.44</v>
      </c>
      <c r="P24">
        <v>862.19999999999993</v>
      </c>
    </row>
    <row r="25" spans="2:16" x14ac:dyDescent="0.4">
      <c r="B25" s="4">
        <v>42153</v>
      </c>
      <c r="C25" s="5">
        <v>98.07</v>
      </c>
      <c r="D25" s="5">
        <v>234.65</v>
      </c>
      <c r="G25" t="s">
        <v>30</v>
      </c>
      <c r="H25" s="28">
        <v>1001.55</v>
      </c>
      <c r="I25" s="28">
        <v>1080.72</v>
      </c>
      <c r="J25" s="28">
        <v>1071.77</v>
      </c>
      <c r="K25" s="28">
        <v>1094.97</v>
      </c>
      <c r="L25" s="28">
        <v>978.29</v>
      </c>
      <c r="M25" s="28">
        <v>925.6</v>
      </c>
      <c r="N25" s="28">
        <v>902.92</v>
      </c>
      <c r="O25" s="28">
        <v>880.85000000000014</v>
      </c>
      <c r="P25" s="37">
        <f>IFERROR(INDEX('[1]Short term'!$D:$D,MATCH(1,INDEX(('[1]Short term'!$A:$A='[1]Steel YOY'!$L$3)*('[1]Short term'!$B:$B='[1]Steel YOY'!$A25),0),0)),"")</f>
        <v>863.72</v>
      </c>
    </row>
    <row r="26" spans="2:16" x14ac:dyDescent="0.4">
      <c r="B26" s="4">
        <v>42160</v>
      </c>
      <c r="C26" s="5">
        <v>97.91</v>
      </c>
      <c r="D26" s="5">
        <v>234.5</v>
      </c>
      <c r="G26" t="s">
        <v>31</v>
      </c>
      <c r="H26" s="28">
        <v>996.36</v>
      </c>
      <c r="I26" s="28">
        <v>1073.72</v>
      </c>
      <c r="J26" s="28">
        <v>1076.27</v>
      </c>
      <c r="K26" s="28">
        <v>1099.75</v>
      </c>
      <c r="L26" s="28">
        <v>980.56</v>
      </c>
      <c r="M26" s="28">
        <v>925.26</v>
      </c>
      <c r="N26" s="28">
        <v>896.12999999999988</v>
      </c>
      <c r="O26" s="28">
        <v>880.38000000000011</v>
      </c>
      <c r="P26" s="37">
        <f>IFERROR(INDEX('[1]Short term'!$D:$D,MATCH(1,INDEX(('[1]Short term'!$A:$A='[1]Steel YOY'!$L$3)*('[1]Short term'!$B:$B='[1]Steel YOY'!$A26),0),0)),"")</f>
        <v>852.5</v>
      </c>
    </row>
    <row r="27" spans="2:16" x14ac:dyDescent="0.4">
      <c r="B27" s="4">
        <v>42167</v>
      </c>
      <c r="C27" s="5">
        <v>97.91</v>
      </c>
      <c r="D27" s="5">
        <v>233.5</v>
      </c>
      <c r="G27" t="s">
        <v>32</v>
      </c>
      <c r="H27" s="28">
        <v>980.74</v>
      </c>
      <c r="I27" s="28">
        <v>1078.5</v>
      </c>
      <c r="J27" s="28">
        <v>1091.93</v>
      </c>
      <c r="K27" s="28">
        <v>1104.3399999999999</v>
      </c>
      <c r="L27" s="28">
        <v>1003.55</v>
      </c>
      <c r="M27" s="28">
        <v>927.51</v>
      </c>
      <c r="N27" s="28">
        <v>897.20999999999992</v>
      </c>
      <c r="O27" s="28">
        <v>858.84999999999991</v>
      </c>
      <c r="P27" s="37">
        <f>IFERROR(INDEX('[1]Short term'!$D:$D,MATCH(1,INDEX(('[1]Short term'!$A:$A='[1]Steel YOY'!$L$3)*('[1]Short term'!$B:$B='[1]Steel YOY'!$A27),0),0)),"")</f>
        <v>857.05</v>
      </c>
    </row>
    <row r="28" spans="2:16" x14ac:dyDescent="0.4">
      <c r="B28" s="4">
        <v>42174</v>
      </c>
      <c r="C28" s="5">
        <v>97.29</v>
      </c>
      <c r="D28" s="5">
        <v>232.33</v>
      </c>
      <c r="G28" t="s">
        <v>33</v>
      </c>
      <c r="H28" s="28">
        <v>982.76</v>
      </c>
      <c r="I28" s="28">
        <v>1073.78</v>
      </c>
      <c r="J28" s="28">
        <v>1094</v>
      </c>
      <c r="K28" s="28">
        <v>1114.52</v>
      </c>
      <c r="L28" s="28">
        <v>982.24</v>
      </c>
      <c r="M28" s="28">
        <v>933.59</v>
      </c>
      <c r="N28" s="28">
        <v>891.49</v>
      </c>
      <c r="O28" s="28">
        <v>868.5100000000001</v>
      </c>
      <c r="P28" s="37">
        <f>IFERROR(INDEX('[1]Short term'!$D:$D,MATCH(1,INDEX(('[1]Short term'!$A:$A='[1]Steel YOY'!$L$3)*('[1]Short term'!$B:$B='[1]Steel YOY'!$A28),0),0)),"")</f>
        <v>868.02</v>
      </c>
    </row>
    <row r="29" spans="2:16" x14ac:dyDescent="0.4">
      <c r="B29" s="4">
        <v>42181</v>
      </c>
      <c r="C29" s="5">
        <v>95.71</v>
      </c>
      <c r="D29" s="5">
        <v>228.99</v>
      </c>
      <c r="G29" t="s">
        <v>34</v>
      </c>
      <c r="H29" s="28">
        <v>997.96</v>
      </c>
      <c r="I29" s="28">
        <v>1074.05</v>
      </c>
      <c r="J29" s="28">
        <v>1106.24</v>
      </c>
      <c r="K29" s="28">
        <v>1110.67</v>
      </c>
      <c r="L29" s="28">
        <v>964.52</v>
      </c>
      <c r="M29" s="28">
        <v>940.74</v>
      </c>
      <c r="N29" s="28">
        <v>910.72</v>
      </c>
      <c r="O29" s="28">
        <v>881.09</v>
      </c>
      <c r="P29" s="37">
        <f>IFERROR(INDEX('[1]Short term'!$D:$D,MATCH(1,INDEX(('[1]Short term'!$A:$A='[1]Steel YOY'!$L$3)*('[1]Short term'!$B:$B='[1]Steel YOY'!$A29),0),0)),"")</f>
        <v>858.91</v>
      </c>
    </row>
    <row r="30" spans="2:16" x14ac:dyDescent="0.4">
      <c r="B30" s="4">
        <v>42188</v>
      </c>
      <c r="C30" s="5">
        <v>93.6</v>
      </c>
      <c r="D30" s="5">
        <v>226.4</v>
      </c>
      <c r="G30" t="s">
        <v>35</v>
      </c>
      <c r="H30" s="28">
        <v>1004.46</v>
      </c>
      <c r="I30" s="28">
        <v>1081.6099999999999</v>
      </c>
      <c r="J30" s="28">
        <v>1106.03</v>
      </c>
      <c r="K30" s="28">
        <v>1059.81</v>
      </c>
      <c r="L30" s="28">
        <v>948.41</v>
      </c>
      <c r="M30" s="28">
        <v>936.72</v>
      </c>
      <c r="N30" s="28">
        <v>897.91800000000012</v>
      </c>
      <c r="O30" s="28">
        <v>885.16000000000008</v>
      </c>
      <c r="P30" s="37">
        <f>IFERROR(INDEX('[1]Short term'!$D:$D,MATCH(1,INDEX(('[1]Short term'!$A:$A='[1]Steel YOY'!$L$3)*('[1]Short term'!$B:$B='[1]Steel YOY'!$A30),0),0)),"")</f>
        <v>864.16000000000008</v>
      </c>
    </row>
    <row r="31" spans="2:16" x14ac:dyDescent="0.4">
      <c r="B31" s="4">
        <v>42195</v>
      </c>
      <c r="C31" s="5">
        <v>92.89</v>
      </c>
      <c r="D31" s="5">
        <v>224.55</v>
      </c>
      <c r="G31" t="s">
        <v>36</v>
      </c>
      <c r="H31" s="28">
        <v>1006.87</v>
      </c>
      <c r="I31" s="28">
        <v>1072.71</v>
      </c>
      <c r="J31" s="28">
        <v>1082.21</v>
      </c>
      <c r="K31" s="28">
        <v>1049.19</v>
      </c>
      <c r="L31" s="28">
        <v>922.26</v>
      </c>
      <c r="M31" s="28">
        <v>932.58</v>
      </c>
      <c r="N31" s="28">
        <v>889.01200000000006</v>
      </c>
      <c r="O31" s="28">
        <v>872.72</v>
      </c>
      <c r="P31" s="37">
        <f>IFERROR(INDEX('[1]Short term'!$D:$D,MATCH(1,INDEX(('[1]Short term'!$A:$A='[1]Steel YOY'!$L$3)*('[1]Short term'!$B:$B='[1]Steel YOY'!$A31),0),0)),"")</f>
        <v>847.03</v>
      </c>
    </row>
    <row r="32" spans="2:16" x14ac:dyDescent="0.4">
      <c r="B32" s="4">
        <v>42202</v>
      </c>
      <c r="C32" s="5">
        <v>88.03</v>
      </c>
      <c r="D32" s="5">
        <v>217.92</v>
      </c>
      <c r="G32" t="s">
        <v>37</v>
      </c>
      <c r="H32" s="28">
        <v>1009.71</v>
      </c>
      <c r="I32" s="28">
        <v>1081.99</v>
      </c>
      <c r="J32" s="28">
        <v>1080.18</v>
      </c>
      <c r="K32" s="28">
        <v>1068.3800000000001</v>
      </c>
      <c r="L32" s="28">
        <v>906.54</v>
      </c>
      <c r="M32" s="28">
        <v>939.16</v>
      </c>
      <c r="N32" s="28">
        <v>883.9899999999999</v>
      </c>
      <c r="O32" s="28">
        <v>868.18999999999994</v>
      </c>
      <c r="P32" s="37">
        <f>IFERROR(INDEX('[1]Short term'!$D:$D,MATCH(1,INDEX(('[1]Short term'!$A:$A='[1]Steel YOY'!$L$3)*('[1]Short term'!$B:$B='[1]Steel YOY'!$A32),0),0)),"")</f>
        <v>825.81999999999994</v>
      </c>
    </row>
    <row r="33" spans="2:16" x14ac:dyDescent="0.4">
      <c r="B33" s="4">
        <v>42209</v>
      </c>
      <c r="C33" s="5">
        <v>89.44</v>
      </c>
      <c r="D33" s="5">
        <v>219.98</v>
      </c>
      <c r="G33" t="s">
        <v>38</v>
      </c>
      <c r="H33" s="28">
        <v>997.41</v>
      </c>
      <c r="I33" s="28">
        <v>1076.1300000000001</v>
      </c>
      <c r="J33" s="28">
        <v>1087.71</v>
      </c>
      <c r="K33" s="28">
        <v>1032.6500000000001</v>
      </c>
      <c r="L33" s="28">
        <v>883.23</v>
      </c>
      <c r="M33" s="28">
        <v>933.57</v>
      </c>
      <c r="N33" s="28">
        <v>875.48</v>
      </c>
      <c r="O33" s="28">
        <v>866.97</v>
      </c>
      <c r="P33" s="37">
        <f>IFERROR(INDEX('[1]Short term'!$D:$D,MATCH(1,INDEX(('[1]Short term'!$A:$A='[1]Steel YOY'!$L$3)*('[1]Short term'!$B:$B='[1]Steel YOY'!$A33),0),0)),"")</f>
        <v>837.43000000000006</v>
      </c>
    </row>
    <row r="34" spans="2:16" x14ac:dyDescent="0.4">
      <c r="B34" s="4">
        <v>42216</v>
      </c>
      <c r="C34" s="5">
        <v>90.54</v>
      </c>
      <c r="D34" s="5">
        <v>221.58</v>
      </c>
      <c r="G34" t="s">
        <v>39</v>
      </c>
      <c r="H34" s="28">
        <v>1005.7</v>
      </c>
      <c r="I34" s="28">
        <v>1068.3900000000001</v>
      </c>
      <c r="J34" s="28">
        <v>1095.92</v>
      </c>
      <c r="K34" s="28">
        <v>1006.84</v>
      </c>
      <c r="L34" s="28">
        <v>883.1</v>
      </c>
      <c r="M34" s="28">
        <v>928.6</v>
      </c>
      <c r="N34" s="28">
        <v>844.06000000000006</v>
      </c>
      <c r="O34" s="28">
        <v>867.42000000000007</v>
      </c>
      <c r="P34" s="37">
        <f>IFERROR(INDEX('[1]Short term'!$D:$D,MATCH(1,INDEX(('[1]Short term'!$A:$A='[1]Steel YOY'!$L$3)*('[1]Short term'!$B:$B='[1]Steel YOY'!$A34),0),0)),"")</f>
        <v>818.30000000000018</v>
      </c>
    </row>
    <row r="35" spans="2:16" x14ac:dyDescent="0.4">
      <c r="B35" s="4">
        <v>42223</v>
      </c>
      <c r="C35" s="5">
        <v>90.54</v>
      </c>
      <c r="D35" s="5">
        <v>222.91</v>
      </c>
      <c r="G35" t="s">
        <v>40</v>
      </c>
      <c r="H35" s="28">
        <v>979.99</v>
      </c>
      <c r="I35" s="28">
        <v>1064.97</v>
      </c>
      <c r="J35" s="28">
        <v>1093.01</v>
      </c>
      <c r="K35" s="28">
        <v>1007.2</v>
      </c>
      <c r="L35" s="28">
        <v>897.13</v>
      </c>
      <c r="M35" s="28">
        <v>929.61</v>
      </c>
      <c r="N35" s="28">
        <v>783.51</v>
      </c>
      <c r="O35" s="28">
        <v>869.21</v>
      </c>
    </row>
    <row r="36" spans="2:16" x14ac:dyDescent="0.4">
      <c r="B36" s="4">
        <v>42230</v>
      </c>
      <c r="C36" s="5">
        <v>90.69</v>
      </c>
      <c r="D36" s="5">
        <v>222.85</v>
      </c>
      <c r="G36" t="s">
        <v>41</v>
      </c>
      <c r="H36" s="28">
        <v>991.2</v>
      </c>
      <c r="I36" s="28">
        <v>1056.54</v>
      </c>
      <c r="J36" s="28">
        <v>1100.22</v>
      </c>
      <c r="K36" s="28">
        <v>1017.27</v>
      </c>
      <c r="L36" s="28">
        <v>906.27</v>
      </c>
      <c r="M36" s="28">
        <v>930.52</v>
      </c>
      <c r="N36" s="28">
        <v>777.98</v>
      </c>
      <c r="O36" s="28">
        <v>871.62999999999988</v>
      </c>
    </row>
    <row r="37" spans="2:16" x14ac:dyDescent="0.4">
      <c r="B37" s="4">
        <v>42237</v>
      </c>
      <c r="C37" s="5">
        <v>91.63</v>
      </c>
      <c r="D37" s="5">
        <v>223.64</v>
      </c>
      <c r="G37" t="s">
        <v>42</v>
      </c>
      <c r="H37" s="28">
        <v>997.77</v>
      </c>
      <c r="I37" s="28">
        <v>1051.44</v>
      </c>
      <c r="J37" s="28">
        <v>1090.9000000000001</v>
      </c>
      <c r="K37" s="28">
        <v>1015.59</v>
      </c>
      <c r="L37" s="28">
        <v>915.42</v>
      </c>
      <c r="M37" s="28">
        <v>937.54</v>
      </c>
      <c r="N37" s="28">
        <v>778.93999999999983</v>
      </c>
      <c r="O37" s="28">
        <v>878.06000000000006</v>
      </c>
    </row>
    <row r="38" spans="2:16" x14ac:dyDescent="0.4">
      <c r="B38" s="4">
        <v>42244</v>
      </c>
      <c r="C38" s="5">
        <v>91.95</v>
      </c>
      <c r="D38" s="5">
        <v>221.89</v>
      </c>
      <c r="G38" t="s">
        <v>43</v>
      </c>
      <c r="H38" s="28">
        <v>1003.01</v>
      </c>
      <c r="I38" s="28">
        <v>1042.57</v>
      </c>
      <c r="J38" s="28">
        <v>1091.21</v>
      </c>
      <c r="K38" s="28">
        <v>1012.94</v>
      </c>
      <c r="L38" s="28">
        <v>917.73</v>
      </c>
      <c r="M38" s="28">
        <v>929.63</v>
      </c>
      <c r="N38" s="28">
        <v>778.66</v>
      </c>
      <c r="O38" s="28">
        <v>884.61</v>
      </c>
    </row>
    <row r="39" spans="2:16" x14ac:dyDescent="0.4">
      <c r="B39" s="4">
        <v>42251</v>
      </c>
      <c r="C39" s="5">
        <v>91.33</v>
      </c>
      <c r="D39" s="5">
        <v>223.32</v>
      </c>
      <c r="G39" t="s">
        <v>44</v>
      </c>
      <c r="H39" s="28">
        <v>999.46</v>
      </c>
      <c r="I39" s="28">
        <v>1035.2</v>
      </c>
      <c r="J39" s="28">
        <v>1094.1099999999999</v>
      </c>
      <c r="K39" s="28">
        <v>1016.26</v>
      </c>
      <c r="L39" s="28">
        <v>958.04</v>
      </c>
      <c r="M39" s="28">
        <v>922.4</v>
      </c>
      <c r="N39" s="28">
        <v>801.17000000000007</v>
      </c>
      <c r="O39" s="28">
        <v>860.65</v>
      </c>
    </row>
    <row r="40" spans="2:16" x14ac:dyDescent="0.4">
      <c r="B40" s="4">
        <v>42258</v>
      </c>
      <c r="C40" s="5">
        <v>92.89</v>
      </c>
      <c r="D40" s="5">
        <v>226.14</v>
      </c>
      <c r="G40" t="s">
        <v>45</v>
      </c>
      <c r="H40" s="28">
        <v>999.09</v>
      </c>
      <c r="I40" s="28">
        <v>1031.6500000000001</v>
      </c>
      <c r="J40" s="28">
        <v>1093.18</v>
      </c>
      <c r="K40" s="28">
        <v>1015.29</v>
      </c>
      <c r="L40" s="28">
        <v>972.3</v>
      </c>
      <c r="M40" s="28">
        <v>903.82</v>
      </c>
      <c r="N40" s="28">
        <v>800.78000000000009</v>
      </c>
      <c r="O40" s="28">
        <v>857.24</v>
      </c>
    </row>
    <row r="41" spans="2:16" x14ac:dyDescent="0.4">
      <c r="B41" s="4">
        <v>42265</v>
      </c>
      <c r="C41" s="5">
        <v>93.36</v>
      </c>
      <c r="D41" s="5">
        <v>226.85</v>
      </c>
      <c r="G41" t="s">
        <v>46</v>
      </c>
      <c r="H41" s="28">
        <v>997.51</v>
      </c>
      <c r="I41" s="28">
        <v>1035.72</v>
      </c>
      <c r="J41" s="28">
        <v>1097.26</v>
      </c>
      <c r="K41" s="28">
        <v>978.33</v>
      </c>
      <c r="L41" s="28">
        <v>976.99</v>
      </c>
      <c r="M41" s="28">
        <v>916.94</v>
      </c>
      <c r="N41" s="28">
        <v>808.02</v>
      </c>
      <c r="O41" s="28">
        <v>855.46</v>
      </c>
    </row>
    <row r="42" spans="2:16" x14ac:dyDescent="0.4">
      <c r="B42" s="4">
        <v>42272</v>
      </c>
      <c r="C42" s="5">
        <v>93.2</v>
      </c>
      <c r="D42" s="5">
        <v>227.74</v>
      </c>
      <c r="G42" t="s">
        <v>47</v>
      </c>
      <c r="H42" s="28">
        <v>1014.55</v>
      </c>
      <c r="I42" s="28">
        <v>1028.44</v>
      </c>
      <c r="J42" s="28">
        <v>1092</v>
      </c>
      <c r="K42" s="28">
        <v>917.42</v>
      </c>
      <c r="L42" s="28">
        <v>979.05</v>
      </c>
      <c r="M42" s="28">
        <v>930.27</v>
      </c>
      <c r="N42" s="28">
        <v>823.05000000000007</v>
      </c>
      <c r="O42" s="28">
        <v>864.93000000000018</v>
      </c>
    </row>
    <row r="43" spans="2:16" x14ac:dyDescent="0.4">
      <c r="B43" s="4">
        <v>42286</v>
      </c>
      <c r="C43" s="5">
        <v>92.42</v>
      </c>
      <c r="D43" s="5">
        <v>226.14</v>
      </c>
      <c r="G43" t="s">
        <v>48</v>
      </c>
      <c r="H43" s="28">
        <v>1019.24</v>
      </c>
      <c r="I43" s="28">
        <v>950.83</v>
      </c>
      <c r="J43" s="28">
        <v>1093.26</v>
      </c>
      <c r="K43" s="28">
        <v>859.88</v>
      </c>
      <c r="L43" s="28">
        <v>960.42</v>
      </c>
      <c r="M43" s="28">
        <v>923.41</v>
      </c>
      <c r="N43" s="28">
        <v>853.57999999999993</v>
      </c>
      <c r="O43" s="28">
        <v>867.06999999999994</v>
      </c>
    </row>
    <row r="44" spans="2:16" x14ac:dyDescent="0.4">
      <c r="B44" s="4">
        <v>42293</v>
      </c>
      <c r="C44" s="5">
        <v>91.01</v>
      </c>
      <c r="D44" s="5">
        <v>223.98</v>
      </c>
      <c r="G44" t="s">
        <v>49</v>
      </c>
      <c r="H44" s="28">
        <v>1036.26</v>
      </c>
      <c r="I44" s="28">
        <v>1014.59</v>
      </c>
      <c r="J44" s="28">
        <v>1073.3</v>
      </c>
      <c r="K44" s="28">
        <v>895.02</v>
      </c>
      <c r="L44" s="28">
        <v>965.34</v>
      </c>
      <c r="M44" s="28">
        <v>918.21</v>
      </c>
      <c r="N44" s="28">
        <v>863.82</v>
      </c>
      <c r="O44" s="28">
        <v>863.31</v>
      </c>
    </row>
    <row r="45" spans="2:16" x14ac:dyDescent="0.4">
      <c r="B45" s="4">
        <v>42300</v>
      </c>
      <c r="C45" s="5">
        <v>89.44</v>
      </c>
      <c r="D45" s="5">
        <v>221.29</v>
      </c>
      <c r="G45" t="s">
        <v>50</v>
      </c>
      <c r="H45" s="28">
        <v>1028.8900000000001</v>
      </c>
      <c r="I45" s="28">
        <v>1026.5</v>
      </c>
      <c r="J45" s="28">
        <v>1063.3599999999999</v>
      </c>
      <c r="K45" s="28">
        <v>913.98</v>
      </c>
      <c r="L45" s="28">
        <v>963.09</v>
      </c>
      <c r="M45" s="28">
        <v>901.5</v>
      </c>
      <c r="N45" s="28">
        <v>873.42000000000007</v>
      </c>
      <c r="O45" s="28">
        <v>856.94999999999993</v>
      </c>
    </row>
    <row r="46" spans="2:16" x14ac:dyDescent="0.4">
      <c r="B46" s="4">
        <v>42307</v>
      </c>
      <c r="C46" s="5">
        <v>89.6</v>
      </c>
      <c r="D46" s="5">
        <v>221.52</v>
      </c>
      <c r="G46" t="s">
        <v>51</v>
      </c>
      <c r="H46" s="28">
        <v>1013.75</v>
      </c>
      <c r="I46" s="28">
        <v>1016.2</v>
      </c>
      <c r="J46" s="28">
        <v>1059.98</v>
      </c>
      <c r="K46" s="28">
        <v>878.87</v>
      </c>
      <c r="L46" s="28">
        <v>977.21</v>
      </c>
      <c r="M46" s="28">
        <v>906.12</v>
      </c>
      <c r="N46" s="28">
        <v>880.57999999999993</v>
      </c>
      <c r="O46" s="28">
        <v>865.31999999999982</v>
      </c>
    </row>
    <row r="47" spans="2:16" x14ac:dyDescent="0.4">
      <c r="B47" s="4">
        <v>42314</v>
      </c>
      <c r="C47" s="5">
        <v>88.96</v>
      </c>
      <c r="D47" s="5">
        <v>219.51</v>
      </c>
      <c r="G47" t="s">
        <v>52</v>
      </c>
      <c r="H47" s="28">
        <v>1030.28</v>
      </c>
      <c r="I47" s="28">
        <v>1030.19</v>
      </c>
      <c r="J47" s="28">
        <v>1067.33</v>
      </c>
      <c r="K47" s="28">
        <v>921.9</v>
      </c>
      <c r="L47" s="28">
        <v>979.39</v>
      </c>
      <c r="M47" s="28">
        <v>910.58</v>
      </c>
      <c r="N47" s="28">
        <v>867.28000000000009</v>
      </c>
      <c r="O47" s="28">
        <v>875.29000000000008</v>
      </c>
    </row>
    <row r="48" spans="2:16" x14ac:dyDescent="0.4">
      <c r="B48" s="4">
        <v>42321</v>
      </c>
      <c r="C48" s="5">
        <v>88.96</v>
      </c>
      <c r="D48" s="5">
        <v>219.62</v>
      </c>
      <c r="G48" t="s">
        <v>53</v>
      </c>
      <c r="H48" s="28">
        <v>1024.3499999999999</v>
      </c>
      <c r="I48" s="28">
        <v>1023.59</v>
      </c>
      <c r="J48" s="28">
        <v>1069.71</v>
      </c>
      <c r="K48" s="28">
        <v>920.36</v>
      </c>
      <c r="L48" s="28">
        <v>958.63</v>
      </c>
      <c r="M48" s="28">
        <v>873.42</v>
      </c>
      <c r="N48" s="28">
        <v>861.49</v>
      </c>
      <c r="O48" s="28">
        <v>856.74000000000012</v>
      </c>
    </row>
    <row r="49" spans="2:15" x14ac:dyDescent="0.4">
      <c r="B49" s="4">
        <v>42328</v>
      </c>
      <c r="C49" s="5">
        <v>88.34</v>
      </c>
      <c r="D49" s="5">
        <v>217.32</v>
      </c>
      <c r="G49" t="s">
        <v>54</v>
      </c>
      <c r="H49" s="28">
        <v>1033.8</v>
      </c>
      <c r="I49" s="28">
        <v>1013.89</v>
      </c>
      <c r="J49" s="28">
        <v>1068.52</v>
      </c>
      <c r="K49" s="28">
        <v>915.32</v>
      </c>
      <c r="L49" s="28">
        <v>940.41</v>
      </c>
      <c r="M49" s="28">
        <v>895.08</v>
      </c>
      <c r="N49" s="28">
        <v>861.57999999999993</v>
      </c>
      <c r="O49" s="28">
        <v>834.38000000000011</v>
      </c>
    </row>
    <row r="50" spans="2:15" x14ac:dyDescent="0.4">
      <c r="B50" s="4">
        <v>42335</v>
      </c>
      <c r="C50" s="5">
        <v>88.03</v>
      </c>
      <c r="D50" s="5">
        <v>214.79</v>
      </c>
      <c r="G50" t="s">
        <v>55</v>
      </c>
      <c r="H50" s="28">
        <v>1017.1</v>
      </c>
      <c r="I50" s="28">
        <v>1025.18</v>
      </c>
      <c r="J50" s="28">
        <v>1075.22</v>
      </c>
      <c r="K50" s="28">
        <v>904.2</v>
      </c>
      <c r="L50" s="28">
        <v>928.43</v>
      </c>
      <c r="M50" s="28">
        <v>909.95</v>
      </c>
      <c r="N50" s="28">
        <v>869.30000000000007</v>
      </c>
      <c r="O50" s="28">
        <v>849.91</v>
      </c>
    </row>
    <row r="51" spans="2:15" x14ac:dyDescent="0.4">
      <c r="B51" s="4">
        <v>42342</v>
      </c>
      <c r="C51" s="5">
        <v>87.39</v>
      </c>
      <c r="D51" s="5">
        <v>215.08</v>
      </c>
      <c r="G51" t="s">
        <v>56</v>
      </c>
      <c r="H51" s="28">
        <v>1015.68</v>
      </c>
      <c r="I51" s="28">
        <v>1035.72</v>
      </c>
      <c r="J51" s="28">
        <v>1074.52</v>
      </c>
      <c r="K51" s="28">
        <v>897.07</v>
      </c>
      <c r="L51" s="28">
        <v>919.74</v>
      </c>
      <c r="M51" s="28">
        <v>920.94399999999996</v>
      </c>
      <c r="N51" s="28">
        <v>861.5</v>
      </c>
      <c r="O51" s="28">
        <v>855.71</v>
      </c>
    </row>
    <row r="52" spans="2:15" x14ac:dyDescent="0.4">
      <c r="B52" s="4">
        <v>42349</v>
      </c>
      <c r="C52" s="5">
        <v>86.61</v>
      </c>
      <c r="D52" s="5">
        <v>213.93</v>
      </c>
      <c r="G52" t="s">
        <v>57</v>
      </c>
      <c r="H52" s="28">
        <v>996.16</v>
      </c>
      <c r="I52" s="28">
        <v>1045.27</v>
      </c>
      <c r="J52" s="28">
        <v>1065.54</v>
      </c>
      <c r="K52" s="28">
        <v>891.01</v>
      </c>
      <c r="L52" s="28">
        <v>924.9</v>
      </c>
      <c r="M52" s="28">
        <v>910.90099999999995</v>
      </c>
      <c r="N52" s="28">
        <v>861.2399999999999</v>
      </c>
      <c r="O52" s="28">
        <v>828.95</v>
      </c>
    </row>
    <row r="53" spans="2:15" x14ac:dyDescent="0.4">
      <c r="B53" s="4">
        <v>42356</v>
      </c>
      <c r="C53" s="5">
        <v>86.15</v>
      </c>
      <c r="D53" s="5">
        <v>212.62</v>
      </c>
      <c r="G53" t="s">
        <v>58</v>
      </c>
      <c r="H53" s="28">
        <v>957.53</v>
      </c>
      <c r="I53" s="28">
        <v>1049.21</v>
      </c>
      <c r="J53" s="28">
        <v>1058.27</v>
      </c>
      <c r="K53" s="28">
        <v>906.35</v>
      </c>
      <c r="L53" s="28">
        <v>939.49</v>
      </c>
      <c r="M53" s="28">
        <v>910.24</v>
      </c>
      <c r="N53" s="28">
        <v>860.69999999999993</v>
      </c>
      <c r="O53" s="28">
        <v>806.22</v>
      </c>
    </row>
    <row r="54" spans="2:15" x14ac:dyDescent="0.4">
      <c r="B54" s="4">
        <v>42363</v>
      </c>
      <c r="C54" s="5">
        <v>85.36</v>
      </c>
      <c r="D54" s="5">
        <v>214</v>
      </c>
      <c r="G54" t="s">
        <v>59</v>
      </c>
      <c r="H54" s="28">
        <v>961.76</v>
      </c>
      <c r="I54" s="28">
        <v>1034.77</v>
      </c>
      <c r="J54" s="28">
        <v>1046.22</v>
      </c>
      <c r="K54" s="28">
        <v>907.53</v>
      </c>
      <c r="L54" s="28">
        <v>943.86</v>
      </c>
      <c r="M54" s="28">
        <v>905.83</v>
      </c>
      <c r="N54" s="28">
        <v>849.94</v>
      </c>
      <c r="O54" s="28">
        <v>797.97</v>
      </c>
    </row>
    <row r="55" spans="2:15" x14ac:dyDescent="0.4">
      <c r="B55" s="4">
        <v>42370</v>
      </c>
      <c r="C55" s="5">
        <v>84.1</v>
      </c>
      <c r="D55" s="5">
        <v>218</v>
      </c>
      <c r="G55" t="s">
        <v>60</v>
      </c>
      <c r="H55" s="28">
        <v>970.32</v>
      </c>
      <c r="I55" s="28">
        <v>1034.33</v>
      </c>
      <c r="J55" s="28">
        <v>1040.77</v>
      </c>
      <c r="K55" s="28">
        <v>884.12</v>
      </c>
      <c r="L55" s="28">
        <v>920.48</v>
      </c>
      <c r="M55" s="28">
        <v>886.31</v>
      </c>
      <c r="N55" s="28">
        <v>843.50999999999988</v>
      </c>
      <c r="O55" s="28">
        <v>796.82</v>
      </c>
    </row>
    <row r="56" spans="2:15" x14ac:dyDescent="0.4">
      <c r="B56" s="4">
        <v>42377</v>
      </c>
      <c r="C56" s="5">
        <v>85.32</v>
      </c>
      <c r="D56" s="5">
        <v>221.17</v>
      </c>
    </row>
    <row r="57" spans="2:15" x14ac:dyDescent="0.4">
      <c r="B57" s="4">
        <v>42384</v>
      </c>
      <c r="C57" s="5">
        <v>84.69</v>
      </c>
      <c r="D57" s="5">
        <v>219.53</v>
      </c>
    </row>
    <row r="58" spans="2:15" x14ac:dyDescent="0.4">
      <c r="B58" s="4">
        <v>42391</v>
      </c>
      <c r="C58" s="5">
        <v>84.23</v>
      </c>
      <c r="D58" s="5">
        <v>217.64</v>
      </c>
    </row>
    <row r="59" spans="2:15" x14ac:dyDescent="0.4">
      <c r="B59" s="4">
        <v>42398</v>
      </c>
      <c r="C59" s="5">
        <v>84.39</v>
      </c>
      <c r="D59" s="5">
        <v>218.77</v>
      </c>
    </row>
    <row r="60" spans="2:15" x14ac:dyDescent="0.4">
      <c r="B60" s="4">
        <v>42412</v>
      </c>
      <c r="C60" s="5">
        <v>84.53</v>
      </c>
      <c r="D60" s="5">
        <v>218.14</v>
      </c>
    </row>
    <row r="61" spans="2:15" x14ac:dyDescent="0.4">
      <c r="B61" s="4">
        <v>42419</v>
      </c>
      <c r="C61" s="5">
        <v>84.39</v>
      </c>
      <c r="D61" s="5">
        <v>217.93</v>
      </c>
    </row>
    <row r="62" spans="2:15" x14ac:dyDescent="0.4">
      <c r="B62" s="4">
        <v>42426</v>
      </c>
      <c r="C62" s="5">
        <v>84.85</v>
      </c>
      <c r="D62" s="5">
        <v>218.27</v>
      </c>
    </row>
    <row r="63" spans="2:15" x14ac:dyDescent="0.4">
      <c r="B63" s="4">
        <v>42433</v>
      </c>
      <c r="C63" s="5">
        <v>87.54</v>
      </c>
      <c r="D63" s="5">
        <v>226.59</v>
      </c>
    </row>
    <row r="64" spans="2:15"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4" x14ac:dyDescent="0.4">
      <c r="B593" s="4">
        <v>46199</v>
      </c>
      <c r="C593" s="5">
        <v>84.41</v>
      </c>
      <c r="D593" s="5">
        <v>242.95</v>
      </c>
    </row>
    <row r="594" spans="2:4" x14ac:dyDescent="0.4">
      <c r="B594" s="4">
        <v>46206</v>
      </c>
      <c r="C594" s="5">
        <v>83.99</v>
      </c>
      <c r="D594" s="5">
        <v>243.25</v>
      </c>
    </row>
    <row r="595" spans="2:4" x14ac:dyDescent="0.4">
      <c r="B595" s="4">
        <v>46213</v>
      </c>
      <c r="C595" s="5">
        <v>83.84</v>
      </c>
      <c r="D595" s="5">
        <v>241.27</v>
      </c>
    </row>
    <row r="596" spans="2:4" x14ac:dyDescent="0.4">
      <c r="B596" s="4">
        <v>46220</v>
      </c>
      <c r="C596" s="5">
        <v>82.73</v>
      </c>
      <c r="D596" s="5">
        <v>239.21</v>
      </c>
    </row>
    <row r="597" spans="2:4" x14ac:dyDescent="0.4">
      <c r="B597" s="4">
        <v>46227</v>
      </c>
      <c r="C597" s="5">
        <v>82.09</v>
      </c>
      <c r="D597" s="5">
        <v>237.7</v>
      </c>
    </row>
    <row r="598" spans="2:4" x14ac:dyDescent="0.4">
      <c r="B598" s="4">
        <v>46234</v>
      </c>
      <c r="C598" s="5">
        <v>81.849999999999994</v>
      </c>
      <c r="D598" s="39">
        <v>235.55</v>
      </c>
    </row>
    <row r="599" spans="2:4" x14ac:dyDescent="0.4">
      <c r="B599" s="4"/>
    </row>
    <row r="600" spans="2:4" x14ac:dyDescent="0.4">
      <c r="B600" s="4"/>
    </row>
    <row r="601" spans="2:4" x14ac:dyDescent="0.4">
      <c r="B601" s="4"/>
    </row>
    <row r="602" spans="2:4" x14ac:dyDescent="0.4">
      <c r="B602" s="4"/>
    </row>
    <row r="603" spans="2:4" x14ac:dyDescent="0.4">
      <c r="B603" s="4"/>
    </row>
    <row r="604" spans="2:4" x14ac:dyDescent="0.4">
      <c r="B604" s="4"/>
    </row>
    <row r="605" spans="2:4" x14ac:dyDescent="0.4">
      <c r="B605" s="4"/>
    </row>
    <row r="606" spans="2:4" x14ac:dyDescent="0.4">
      <c r="B606" s="4"/>
    </row>
    <row r="607" spans="2:4" x14ac:dyDescent="0.4">
      <c r="B607" s="4"/>
    </row>
    <row r="608" spans="2:4" x14ac:dyDescent="0.4">
      <c r="B608" s="4"/>
    </row>
    <row r="609" spans="2:2" x14ac:dyDescent="0.4">
      <c r="B609" s="4"/>
    </row>
    <row r="610" spans="2:2" x14ac:dyDescent="0.4">
      <c r="B610" s="4"/>
    </row>
    <row r="611" spans="2:2" x14ac:dyDescent="0.4">
      <c r="B611" s="4"/>
    </row>
    <row r="612" spans="2:2" x14ac:dyDescent="0.4">
      <c r="B612" s="4"/>
    </row>
    <row r="613" spans="2:2" x14ac:dyDescent="0.4">
      <c r="B613" s="4"/>
    </row>
    <row r="614" spans="2:2" x14ac:dyDescent="0.4">
      <c r="B61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43"/>
  <sheetViews>
    <sheetView tabSelected="1" topLeftCell="A1117" zoomScale="75" zoomScaleNormal="75" workbookViewId="0">
      <selection activeCell="G1142" sqref="G1142"/>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80</v>
      </c>
      <c r="F2" s="25" t="s">
        <v>0</v>
      </c>
      <c r="G2" s="6" t="s">
        <v>85</v>
      </c>
      <c r="H2" s="6" t="s">
        <v>84</v>
      </c>
    </row>
    <row r="3" spans="2:8" x14ac:dyDescent="0.4">
      <c r="B3" s="29" t="s">
        <v>1</v>
      </c>
      <c r="C3" s="27" t="s">
        <v>77</v>
      </c>
      <c r="F3" s="29" t="s">
        <v>1</v>
      </c>
      <c r="G3" s="27" t="s">
        <v>2</v>
      </c>
      <c r="H3" s="27" t="s">
        <v>2</v>
      </c>
    </row>
    <row r="4" spans="2:8" x14ac:dyDescent="0.4">
      <c r="B4" s="5" t="s">
        <v>82</v>
      </c>
      <c r="C4" s="5" t="s">
        <v>81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v>46234</v>
      </c>
      <c r="C598" s="5">
        <v>33.770000000000003</v>
      </c>
      <c r="F598" s="30">
        <v>45449</v>
      </c>
      <c r="G598" s="31">
        <v>109</v>
      </c>
      <c r="H598" s="31">
        <v>94</v>
      </c>
    </row>
    <row r="599" spans="2:8" x14ac:dyDescent="0.4">
      <c r="B599" s="4"/>
      <c r="F599" s="30">
        <v>45450</v>
      </c>
      <c r="G599" s="31">
        <v>107</v>
      </c>
      <c r="H599" s="31">
        <v>89</v>
      </c>
    </row>
    <row r="600" spans="2:8" x14ac:dyDescent="0.4">
      <c r="B600" s="4"/>
      <c r="F600" s="30">
        <v>45454</v>
      </c>
      <c r="G600" s="31">
        <v>93</v>
      </c>
      <c r="H600" s="31">
        <v>75</v>
      </c>
    </row>
    <row r="601" spans="2:8" x14ac:dyDescent="0.4">
      <c r="B601" s="4"/>
      <c r="F601" s="30">
        <v>45455</v>
      </c>
      <c r="G601" s="31">
        <v>110</v>
      </c>
      <c r="H601" s="31">
        <v>107</v>
      </c>
    </row>
    <row r="602" spans="2:8" x14ac:dyDescent="0.4">
      <c r="B602" s="4"/>
      <c r="F602" s="30">
        <v>45456</v>
      </c>
      <c r="G602" s="31">
        <v>120</v>
      </c>
      <c r="H602" s="31">
        <v>123</v>
      </c>
    </row>
    <row r="603" spans="2:8" x14ac:dyDescent="0.4">
      <c r="B603" s="4"/>
      <c r="F603" s="30">
        <v>45457</v>
      </c>
      <c r="G603" s="31">
        <v>112</v>
      </c>
      <c r="H603" s="31">
        <v>110</v>
      </c>
    </row>
    <row r="604" spans="2:8" x14ac:dyDescent="0.4">
      <c r="B604" s="4"/>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8" x14ac:dyDescent="0.4">
      <c r="F1137" s="34">
        <v>46227</v>
      </c>
      <c r="G1137" s="5">
        <f>VLOOKUP($F1137,[1]其他黑色!$J:$L,2,1)</f>
        <v>-70</v>
      </c>
      <c r="H1137" s="5">
        <f>VLOOKUP($F1137,[1]其他黑色!$J:$L,3,1)</f>
        <v>-8</v>
      </c>
    </row>
    <row r="1138" spans="6:8" x14ac:dyDescent="0.4">
      <c r="F1138" s="34">
        <v>46228</v>
      </c>
      <c r="G1138" s="5">
        <f>VLOOKUP($F1138,[1]其他黑色!$J:$L,2,1)</f>
        <v>-70</v>
      </c>
      <c r="H1138" s="5">
        <f>VLOOKUP($F1138,[1]其他黑色!$J:$L,3,1)</f>
        <v>-8</v>
      </c>
    </row>
    <row r="1139" spans="6:8" x14ac:dyDescent="0.4">
      <c r="F1139" s="34">
        <v>46229</v>
      </c>
      <c r="G1139" s="5">
        <f>VLOOKUP($F1139,[1]其他黑色!$J:$L,2,1)</f>
        <v>-70</v>
      </c>
      <c r="H1139" s="5">
        <f>VLOOKUP($F1139,[1]其他黑色!$J:$L,3,1)</f>
        <v>-8</v>
      </c>
    </row>
    <row r="1140" spans="6:8" x14ac:dyDescent="0.4">
      <c r="F1140" s="34">
        <v>46230</v>
      </c>
      <c r="G1140" s="5">
        <f>VLOOKUP($F1140,[1]其他黑色!$J:$L,2,1)</f>
        <v>-72</v>
      </c>
      <c r="H1140" s="5">
        <f>VLOOKUP($F1140,[1]其他黑色!$J:$L,3,1)</f>
        <v>-3</v>
      </c>
    </row>
    <row r="1141" spans="6:8" x14ac:dyDescent="0.4">
      <c r="F1141" s="34">
        <v>46231</v>
      </c>
      <c r="G1141" s="5">
        <f>VLOOKUP($F1141,[1]其他黑色!$J:$L,2,1)</f>
        <v>-86</v>
      </c>
      <c r="H1141" s="5">
        <f>VLOOKUP($F1141,[1]其他黑色!$J:$L,3,1)</f>
        <v>-11</v>
      </c>
    </row>
    <row r="1142" spans="6:8" x14ac:dyDescent="0.4">
      <c r="F1142" s="34">
        <v>46232</v>
      </c>
      <c r="G1142" s="5">
        <f>VLOOKUP($F1142,[1]其他黑色!$J:$L,2,1)</f>
        <v>-88</v>
      </c>
      <c r="H1142" s="5">
        <f>VLOOKUP($F1142,[1]其他黑色!$J:$L,3,1)</f>
        <v>-9</v>
      </c>
    </row>
    <row r="1143" spans="6:8" x14ac:dyDescent="0.4">
      <c r="F1143" s="34">
        <v>46233</v>
      </c>
      <c r="G1143" s="5">
        <f>VLOOKUP($F1143,[1]其他黑色!$J:$L,2,1)</f>
        <v>-80</v>
      </c>
      <c r="H1143" s="5">
        <f>VLOOKUP($F1143,[1]其他黑色!$J:$L,3,1)</f>
        <v>-2</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wenpei Zhang</cp:lastModifiedBy>
  <dcterms:created xsi:type="dcterms:W3CDTF">2015-06-05T18:19:34Z</dcterms:created>
  <dcterms:modified xsi:type="dcterms:W3CDTF">2026-07-31T05:58:33Z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