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C37ED9DC-C457-455B-81F9-706FF7E0B580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3" i="4" l="1"/>
  <c r="W615" i="4"/>
  <c r="X615" i="4"/>
  <c r="Y615" i="4"/>
  <c r="C563" i="4" s="1"/>
  <c r="AA557" i="4"/>
  <c r="AB557" i="4"/>
  <c r="AC557" i="4"/>
  <c r="AD557" i="4"/>
  <c r="AE557" i="4"/>
  <c r="AF557" i="4"/>
  <c r="A660" i="12"/>
  <c r="B660" i="12"/>
  <c r="C660" i="12"/>
  <c r="D660" i="12"/>
  <c r="A925" i="9"/>
  <c r="B925" i="9"/>
  <c r="C925" i="9"/>
  <c r="D925" i="9"/>
  <c r="E925" i="9"/>
  <c r="F925" i="9"/>
  <c r="B3118" i="5"/>
  <c r="C3118" i="5"/>
  <c r="D3118" i="5"/>
  <c r="E3118" i="5"/>
  <c r="F3118" i="5"/>
  <c r="B3114" i="5"/>
  <c r="C3114" i="5"/>
  <c r="D3114" i="5"/>
  <c r="E3114" i="5"/>
  <c r="F3114" i="5"/>
  <c r="B3115" i="5"/>
  <c r="C3115" i="5"/>
  <c r="D3115" i="5"/>
  <c r="E3115" i="5"/>
  <c r="F3115" i="5"/>
  <c r="B3116" i="5"/>
  <c r="C3116" i="5"/>
  <c r="D3116" i="5"/>
  <c r="E3116" i="5"/>
  <c r="F3116" i="5"/>
  <c r="B3117" i="5"/>
  <c r="C3117" i="5"/>
  <c r="D3117" i="5"/>
  <c r="E3117" i="5"/>
  <c r="F3117" i="5"/>
  <c r="H594" i="5"/>
  <c r="I594" i="5"/>
  <c r="B561" i="4"/>
  <c r="B562" i="4"/>
  <c r="AA555" i="4"/>
  <c r="AB555" i="4"/>
  <c r="AC555" i="4"/>
  <c r="AD555" i="4"/>
  <c r="AE555" i="4"/>
  <c r="AF555" i="4"/>
  <c r="AA556" i="4"/>
  <c r="AB556" i="4"/>
  <c r="AC556" i="4"/>
  <c r="AD556" i="4"/>
  <c r="AE556" i="4"/>
  <c r="AF556" i="4"/>
  <c r="W613" i="4"/>
  <c r="X613" i="4"/>
  <c r="Y613" i="4"/>
  <c r="W614" i="4"/>
  <c r="X614" i="4"/>
  <c r="Y614" i="4"/>
  <c r="A658" i="12"/>
  <c r="B658" i="12"/>
  <c r="C658" i="12"/>
  <c r="D658" i="12"/>
  <c r="A659" i="12"/>
  <c r="B659" i="12"/>
  <c r="C659" i="12"/>
  <c r="D659" i="12"/>
  <c r="A923" i="9"/>
  <c r="B923" i="9"/>
  <c r="C923" i="9"/>
  <c r="D923" i="9"/>
  <c r="E923" i="9"/>
  <c r="F923" i="9"/>
  <c r="A924" i="9"/>
  <c r="B924" i="9"/>
  <c r="C924" i="9"/>
  <c r="D924" i="9"/>
  <c r="E924" i="9"/>
  <c r="F924" i="9"/>
  <c r="B3104" i="5"/>
  <c r="C3104" i="5"/>
  <c r="D3104" i="5"/>
  <c r="E3104" i="5"/>
  <c r="F3104" i="5"/>
  <c r="B3105" i="5"/>
  <c r="C3105" i="5"/>
  <c r="D3105" i="5"/>
  <c r="E3105" i="5"/>
  <c r="F3105" i="5"/>
  <c r="B3106" i="5"/>
  <c r="C3106" i="5"/>
  <c r="D3106" i="5"/>
  <c r="E3106" i="5"/>
  <c r="F3106" i="5"/>
  <c r="B3107" i="5"/>
  <c r="C3107" i="5"/>
  <c r="D3107" i="5"/>
  <c r="E3107" i="5"/>
  <c r="F3107" i="5"/>
  <c r="B3108" i="5"/>
  <c r="C3108" i="5"/>
  <c r="D3108" i="5"/>
  <c r="E3108" i="5"/>
  <c r="F3108" i="5"/>
  <c r="B3109" i="5"/>
  <c r="C3109" i="5"/>
  <c r="D3109" i="5"/>
  <c r="E3109" i="5"/>
  <c r="F3109" i="5"/>
  <c r="B3110" i="5"/>
  <c r="C3110" i="5"/>
  <c r="D3110" i="5"/>
  <c r="E3110" i="5"/>
  <c r="F3110" i="5"/>
  <c r="B3111" i="5"/>
  <c r="C3111" i="5"/>
  <c r="D3111" i="5"/>
  <c r="E3111" i="5"/>
  <c r="F3111" i="5"/>
  <c r="B3112" i="5"/>
  <c r="C3112" i="5"/>
  <c r="D3112" i="5"/>
  <c r="E3112" i="5"/>
  <c r="F3112" i="5"/>
  <c r="B3113" i="5"/>
  <c r="C3113" i="5"/>
  <c r="D3113" i="5"/>
  <c r="E3113" i="5"/>
  <c r="F3113" i="5"/>
  <c r="H593" i="5"/>
  <c r="I593" i="5"/>
  <c r="J593" i="5"/>
  <c r="J594" i="5" s="1"/>
  <c r="J592" i="5"/>
  <c r="J585" i="5"/>
  <c r="J586" i="5"/>
  <c r="J587" i="5"/>
  <c r="J588" i="5"/>
  <c r="J589" i="5"/>
  <c r="J590" i="5"/>
  <c r="J591" i="5"/>
  <c r="H592" i="5"/>
  <c r="I592" i="5"/>
  <c r="B560" i="4"/>
  <c r="AA554" i="4"/>
  <c r="AB554" i="4"/>
  <c r="AC554" i="4"/>
  <c r="AD554" i="4"/>
  <c r="AE554" i="4"/>
  <c r="AF554" i="4"/>
  <c r="W612" i="4"/>
  <c r="X612" i="4"/>
  <c r="Y612" i="4"/>
  <c r="A657" i="12"/>
  <c r="B657" i="12"/>
  <c r="C657" i="12"/>
  <c r="D657" i="12"/>
  <c r="A922" i="9"/>
  <c r="B922" i="9"/>
  <c r="C922" i="9"/>
  <c r="D922" i="9"/>
  <c r="E922" i="9"/>
  <c r="F922" i="9"/>
  <c r="H591" i="5"/>
  <c r="I591" i="5"/>
  <c r="B3103" i="5"/>
  <c r="C3103" i="5"/>
  <c r="D3103" i="5"/>
  <c r="E3103" i="5"/>
  <c r="F3103" i="5"/>
  <c r="B3098" i="5"/>
  <c r="C3098" i="5"/>
  <c r="D3098" i="5"/>
  <c r="E3098" i="5"/>
  <c r="F3098" i="5"/>
  <c r="B3099" i="5"/>
  <c r="C3099" i="5"/>
  <c r="D3099" i="5"/>
  <c r="E3099" i="5"/>
  <c r="F3099" i="5"/>
  <c r="B3100" i="5"/>
  <c r="C3100" i="5"/>
  <c r="D3100" i="5"/>
  <c r="E3100" i="5"/>
  <c r="F3100" i="5"/>
  <c r="B3101" i="5"/>
  <c r="C3101" i="5"/>
  <c r="D3101" i="5"/>
  <c r="E3101" i="5"/>
  <c r="F3101" i="5"/>
  <c r="B3102" i="5"/>
  <c r="C3102" i="5"/>
  <c r="D3102" i="5"/>
  <c r="E3102" i="5"/>
  <c r="F3102" i="5"/>
  <c r="B559" i="4"/>
  <c r="W611" i="4"/>
  <c r="X611" i="4"/>
  <c r="Y611" i="4"/>
  <c r="AA553" i="4"/>
  <c r="AB553" i="4"/>
  <c r="AC553" i="4"/>
  <c r="AD553" i="4"/>
  <c r="AE553" i="4"/>
  <c r="AF553" i="4"/>
  <c r="A656" i="12"/>
  <c r="B656" i="12"/>
  <c r="C656" i="12"/>
  <c r="D656" i="12"/>
  <c r="A921" i="9"/>
  <c r="B921" i="9"/>
  <c r="C921" i="9"/>
  <c r="D921" i="9"/>
  <c r="E921" i="9"/>
  <c r="F921" i="9"/>
  <c r="B3094" i="5"/>
  <c r="C3094" i="5"/>
  <c r="E3094" i="5"/>
  <c r="F3094" i="5"/>
  <c r="B3095" i="5"/>
  <c r="C3095" i="5"/>
  <c r="D3095" i="5"/>
  <c r="E3095" i="5"/>
  <c r="F3095" i="5"/>
  <c r="B3096" i="5"/>
  <c r="C3096" i="5"/>
  <c r="D3096" i="5"/>
  <c r="E3096" i="5"/>
  <c r="F3096" i="5"/>
  <c r="B3097" i="5"/>
  <c r="C3097" i="5"/>
  <c r="D3097" i="5"/>
  <c r="E3097" i="5"/>
  <c r="F3097" i="5"/>
  <c r="H588" i="5"/>
  <c r="I588" i="5"/>
  <c r="H589" i="5"/>
  <c r="I589" i="5"/>
  <c r="H590" i="5"/>
  <c r="I590" i="5"/>
  <c r="B558" i="4"/>
  <c r="AF552" i="4"/>
  <c r="AE552" i="4"/>
  <c r="AD552" i="4"/>
  <c r="AC552" i="4"/>
  <c r="AB552" i="4"/>
  <c r="AA552" i="4"/>
  <c r="W610" i="4"/>
  <c r="Y610" i="4"/>
  <c r="X610" i="4"/>
  <c r="D655" i="12"/>
  <c r="C655" i="12"/>
  <c r="B655" i="12"/>
  <c r="A655" i="12"/>
  <c r="F920" i="9"/>
  <c r="E920" i="9"/>
  <c r="D920" i="9"/>
  <c r="C920" i="9"/>
  <c r="B920" i="9"/>
  <c r="A920" i="9"/>
  <c r="F3093" i="5"/>
  <c r="E3093" i="5"/>
  <c r="D3093" i="5"/>
  <c r="D3094" i="5" s="1"/>
  <c r="B3093" i="5"/>
  <c r="F3092" i="5"/>
  <c r="E3092" i="5"/>
  <c r="D3092" i="5"/>
  <c r="C3092" i="5"/>
  <c r="C3093" i="5" s="1"/>
  <c r="B3092" i="5"/>
  <c r="F3091" i="5"/>
  <c r="E3091" i="5"/>
  <c r="D3091" i="5"/>
  <c r="C3091" i="5"/>
  <c r="B3091" i="5"/>
  <c r="F3090" i="5"/>
  <c r="E3090" i="5"/>
  <c r="D3090" i="5"/>
  <c r="C3090" i="5"/>
  <c r="B3090" i="5"/>
  <c r="F3089" i="5"/>
  <c r="E3089" i="5"/>
  <c r="D3089" i="5"/>
  <c r="C3089" i="5"/>
  <c r="B3089" i="5"/>
  <c r="AF551" i="4"/>
  <c r="AE551" i="4"/>
  <c r="AD551" i="4"/>
  <c r="AC551" i="4"/>
  <c r="AB551" i="4"/>
  <c r="AA551" i="4"/>
  <c r="Y609" i="4"/>
  <c r="X609" i="4"/>
  <c r="W609" i="4"/>
  <c r="B557" i="4"/>
  <c r="D654" i="12"/>
  <c r="C654" i="12"/>
  <c r="B654" i="12"/>
  <c r="A654" i="12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C561" i="4" l="1"/>
  <c r="C562" i="4"/>
  <c r="C560" i="4"/>
  <c r="C559" i="4"/>
  <c r="C557" i="4"/>
  <c r="C558" i="4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63" i="4" l="1"/>
  <c r="E563" i="4"/>
  <c r="F563" i="4"/>
  <c r="E561" i="4"/>
  <c r="D562" i="4"/>
  <c r="E562" i="4"/>
  <c r="D561" i="4"/>
  <c r="F562" i="4"/>
  <c r="F561" i="4"/>
  <c r="D560" i="4"/>
  <c r="E560" i="4"/>
  <c r="F560" i="4"/>
  <c r="D559" i="4"/>
  <c r="E559" i="4"/>
  <c r="F559" i="4"/>
  <c r="F558" i="4"/>
  <c r="D558" i="4"/>
  <c r="E558" i="4"/>
  <c r="F557" i="4"/>
  <c r="E557" i="4"/>
  <c r="D557" i="4"/>
  <c r="D556" i="4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<sst xmlns="http://schemas.openxmlformats.org/spreadsheetml/2006/main" count="169" uniqueCount="63">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</sst>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78" fontId="0" fillId="0" borderId="0" xfId="3" applyNumberFormat="1" applyFont="1" applyAlignment="1">
      <alignment horizontal="right"/>
    </xf>
    <xf numFmtId="0" fontId="0" fillId="0" borderId="0" xfId="0" applyNumberForma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C3196D-1F31-4932-9517-F5C2F3DD465E}">
  <we:reference id="wa200010215" version="2.0.0.0" store="zh-CN" storeType="OMEX"/>
  <we:alternateReferences>
    <we:reference id="wa200010215" version="2.0.0.0" store="wa200010215" storeType="OMEX"/>
  </we:alternateReferences>
  <we:properties>
    <we:property name="bps.codex_control.document_id" value="&quot;b6c8dcc5-197d-4329-8fbc-90246f6bc42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zoomScale="70" zoomScaleNormal="70" workbookViewId="0">
      <pane xSplit="2" ySplit="4" topLeftCell="C3088" activePane="bottomRight" state="frozen"/>
      <selection pane="topRight" activeCell="C1" sqref="C1"/>
      <selection pane="bottomLeft" activeCell="A5" sqref="A5"/>
      <selection pane="bottomRight" activeCell="D3106" sqref="D3106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6" t="s">
        <v>6</v>
      </c>
      <c r="M2" s="36" t="s">
        <v>10</v>
      </c>
      <c r="N2" s="36" t="s">
        <v>14</v>
      </c>
      <c r="O2" s="36" t="s">
        <v>13</v>
      </c>
      <c r="P2" s="36" t="s">
        <v>53</v>
      </c>
      <c r="Q2" s="1"/>
      <c r="R2" s="36" t="s">
        <v>6</v>
      </c>
      <c r="S2" s="36" t="s">
        <v>31</v>
      </c>
      <c r="T2" s="36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6" t="s">
        <v>11</v>
      </c>
      <c r="M3" s="36" t="s">
        <v>12</v>
      </c>
      <c r="N3" s="36" t="s">
        <v>12</v>
      </c>
      <c r="O3" s="36" t="s">
        <v>12</v>
      </c>
      <c r="P3" s="36" t="s">
        <v>12</v>
      </c>
      <c r="Q3" s="1"/>
      <c r="R3" s="36" t="s">
        <v>11</v>
      </c>
      <c r="S3" s="36" t="s">
        <v>7</v>
      </c>
      <c r="T3" s="36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6" t="s">
        <v>4</v>
      </c>
      <c r="M4" s="36"/>
      <c r="N4" s="36" t="s">
        <v>8</v>
      </c>
      <c r="O4" s="36" t="s">
        <v>5</v>
      </c>
      <c r="P4" s="36" t="s">
        <v>5</v>
      </c>
      <c r="Q4" s="1"/>
      <c r="R4" s="36" t="s">
        <v>4</v>
      </c>
      <c r="S4" s="36" t="s">
        <v>5</v>
      </c>
      <c r="T4" s="36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92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f t="shared" si="65"/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81.86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81.86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:H591" si="70">R588</f>
        <v>46235</v>
      </c>
      <c r="I588" s="29">
        <f t="shared" ref="I588:I591" si="71">IF(S588&lt;&gt;0,S588,I587)</f>
        <v>9460</v>
      </c>
      <c r="J588" s="1">
        <f t="shared" si="65"/>
        <v>80.97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80.97</v>
      </c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>
        <f t="shared" si="70"/>
        <v>46242</v>
      </c>
      <c r="I589" s="29">
        <f t="shared" si="71"/>
        <v>9430</v>
      </c>
      <c r="J589" s="1">
        <f t="shared" si="65"/>
        <v>80.930000000000007</v>
      </c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>
        <v>46242</v>
      </c>
      <c r="S589" s="9">
        <v>9430</v>
      </c>
      <c r="T589" s="9">
        <v>80.930000000000007</v>
      </c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>
        <f t="shared" si="70"/>
        <v>46249</v>
      </c>
      <c r="I590" s="29">
        <f t="shared" si="71"/>
        <v>9400</v>
      </c>
      <c r="J590" s="1">
        <f t="shared" si="65"/>
        <v>80.930000000000007</v>
      </c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>
        <v>46249</v>
      </c>
      <c r="S590" s="9">
        <v>9400</v>
      </c>
      <c r="T590" s="9">
        <v>80.930000000000007</v>
      </c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>
        <f t="shared" si="70"/>
        <v>46256</v>
      </c>
      <c r="I591" s="29">
        <f t="shared" si="71"/>
        <v>9635</v>
      </c>
      <c r="J591" s="1">
        <f t="shared" si="65"/>
        <v>80.930000000000007</v>
      </c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>
        <v>46256</v>
      </c>
      <c r="S591" s="9">
        <v>9635</v>
      </c>
      <c r="T591" s="9">
        <v>80.930000000000007</v>
      </c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>
        <f t="shared" ref="H592:H594" si="72">R592</f>
        <v>46263</v>
      </c>
      <c r="I592" s="29">
        <f t="shared" ref="I592:I594" si="73">IF(S592&lt;&gt;0,S592,I591)</f>
        <v>9860</v>
      </c>
      <c r="J592" s="1">
        <f t="shared" si="65"/>
        <v>80.430000000000007</v>
      </c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>
        <v>46263</v>
      </c>
      <c r="S592" s="9">
        <v>9860</v>
      </c>
      <c r="T592" s="9">
        <v>80.430000000000007</v>
      </c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>
        <f t="shared" si="72"/>
        <v>46270</v>
      </c>
      <c r="I593" s="29">
        <f t="shared" si="73"/>
        <v>10060</v>
      </c>
      <c r="J593" s="1">
        <f t="shared" ref="J593:J594" si="74">IF(T593&lt;&gt;0,T593,J592)</f>
        <v>80.430000000000007</v>
      </c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>
        <v>46270</v>
      </c>
      <c r="S593" s="9">
        <v>10060</v>
      </c>
      <c r="T593" s="9">
        <v>80.430000000000007</v>
      </c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>
        <f t="shared" si="72"/>
        <v>46277</v>
      </c>
      <c r="I594" s="29">
        <f t="shared" si="73"/>
        <v>10270</v>
      </c>
      <c r="J594" s="1">
        <f t="shared" si="74"/>
        <v>80.430000000000007</v>
      </c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>
        <v>46277</v>
      </c>
      <c r="S594" s="9">
        <v>10270</v>
      </c>
      <c r="T594" s="9">
        <v>0</v>
      </c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5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5"/>
        <v>42877</v>
      </c>
      <c r="C647" s="1">
        <f t="shared" ref="C647:C710" si="76">IF(M647&lt;&gt;0,M647,C646)</f>
        <v>4472</v>
      </c>
      <c r="D647" s="1">
        <f t="shared" ref="D647:D710" si="77">IF(N647&lt;&gt;0,N647,D646)</f>
        <v>1100</v>
      </c>
      <c r="E647" s="1">
        <f t="shared" ref="E647:E710" si="78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5"/>
        <v>42878</v>
      </c>
      <c r="C648" s="1">
        <f t="shared" si="76"/>
        <v>4477</v>
      </c>
      <c r="D648" s="1">
        <f t="shared" si="77"/>
        <v>1060</v>
      </c>
      <c r="E648" s="1">
        <f t="shared" si="78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5"/>
        <v>42879</v>
      </c>
      <c r="C649" s="1">
        <f t="shared" si="76"/>
        <v>4471</v>
      </c>
      <c r="D649" s="1">
        <f t="shared" si="77"/>
        <v>1060</v>
      </c>
      <c r="E649" s="1">
        <f t="shared" si="78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5"/>
        <v>42880</v>
      </c>
      <c r="C650" s="1">
        <f t="shared" si="76"/>
        <v>4474</v>
      </c>
      <c r="D650" s="1">
        <f t="shared" si="77"/>
        <v>1040</v>
      </c>
      <c r="E650" s="1">
        <f t="shared" si="78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5"/>
        <v>42881</v>
      </c>
      <c r="C651" s="1">
        <f t="shared" si="76"/>
        <v>4465</v>
      </c>
      <c r="D651" s="1">
        <f t="shared" si="77"/>
        <v>1030</v>
      </c>
      <c r="E651" s="1">
        <f t="shared" si="78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5"/>
        <v>42882</v>
      </c>
      <c r="C652" s="1">
        <f t="shared" si="76"/>
        <v>4459</v>
      </c>
      <c r="D652" s="1">
        <f t="shared" si="77"/>
        <v>1030</v>
      </c>
      <c r="E652" s="1">
        <f t="shared" si="78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5"/>
        <v>42884</v>
      </c>
      <c r="C653" s="1">
        <f t="shared" si="76"/>
        <v>4459</v>
      </c>
      <c r="D653" s="1">
        <f t="shared" si="77"/>
        <v>1030</v>
      </c>
      <c r="E653" s="1">
        <f t="shared" si="78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5"/>
        <v>42885</v>
      </c>
      <c r="C654" s="1">
        <f t="shared" si="76"/>
        <v>4459</v>
      </c>
      <c r="D654" s="1">
        <f t="shared" si="77"/>
        <v>1030</v>
      </c>
      <c r="E654" s="1">
        <f t="shared" si="78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5"/>
        <v>42886</v>
      </c>
      <c r="C655" s="1">
        <f t="shared" si="76"/>
        <v>4474</v>
      </c>
      <c r="D655" s="1">
        <f t="shared" si="77"/>
        <v>1030</v>
      </c>
      <c r="E655" s="1">
        <f t="shared" si="78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5"/>
        <v>42887</v>
      </c>
      <c r="C656" s="1">
        <f t="shared" si="76"/>
        <v>4460</v>
      </c>
      <c r="D656" s="1">
        <f t="shared" si="77"/>
        <v>1010</v>
      </c>
      <c r="E656" s="1">
        <f t="shared" si="78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5"/>
        <v>42888</v>
      </c>
      <c r="C657" s="1">
        <f t="shared" si="76"/>
        <v>4449</v>
      </c>
      <c r="D657" s="1">
        <f t="shared" si="77"/>
        <v>965</v>
      </c>
      <c r="E657" s="1">
        <f t="shared" si="78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5"/>
        <v>42891</v>
      </c>
      <c r="C658" s="1">
        <f t="shared" si="76"/>
        <v>4436</v>
      </c>
      <c r="D658" s="1">
        <f t="shared" si="77"/>
        <v>965</v>
      </c>
      <c r="E658" s="1">
        <f t="shared" si="78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5"/>
        <v>42892</v>
      </c>
      <c r="C659" s="1">
        <f t="shared" si="76"/>
        <v>4434</v>
      </c>
      <c r="D659" s="1">
        <f t="shared" si="77"/>
        <v>965</v>
      </c>
      <c r="E659" s="1">
        <f t="shared" si="78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5"/>
        <v>42893</v>
      </c>
      <c r="C660" s="1">
        <f t="shared" si="76"/>
        <v>4432</v>
      </c>
      <c r="D660" s="1">
        <f t="shared" si="77"/>
        <v>965</v>
      </c>
      <c r="E660" s="1">
        <f t="shared" si="78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5"/>
        <v>42894</v>
      </c>
      <c r="C661" s="1">
        <f t="shared" si="76"/>
        <v>4433</v>
      </c>
      <c r="D661" s="1">
        <f t="shared" si="77"/>
        <v>965</v>
      </c>
      <c r="E661" s="1">
        <f t="shared" si="78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5"/>
        <v>42895</v>
      </c>
      <c r="C662" s="1">
        <f t="shared" si="76"/>
        <v>4435</v>
      </c>
      <c r="D662" s="1">
        <f t="shared" si="77"/>
        <v>940</v>
      </c>
      <c r="E662" s="1">
        <f t="shared" si="78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5"/>
        <v>42898</v>
      </c>
      <c r="C663" s="1">
        <f t="shared" si="76"/>
        <v>4446</v>
      </c>
      <c r="D663" s="1">
        <f t="shared" si="77"/>
        <v>940</v>
      </c>
      <c r="E663" s="1">
        <f t="shared" si="78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5"/>
        <v>42899</v>
      </c>
      <c r="C664" s="1">
        <f t="shared" si="76"/>
        <v>4459</v>
      </c>
      <c r="D664" s="1">
        <f t="shared" si="77"/>
        <v>951</v>
      </c>
      <c r="E664" s="1">
        <f t="shared" si="78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5"/>
        <v>42900</v>
      </c>
      <c r="C665" s="1">
        <f t="shared" si="76"/>
        <v>4457</v>
      </c>
      <c r="D665" s="1">
        <f t="shared" si="77"/>
        <v>951</v>
      </c>
      <c r="E665" s="1">
        <f t="shared" si="78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5"/>
        <v>42901</v>
      </c>
      <c r="C666" s="1">
        <f t="shared" si="76"/>
        <v>4452</v>
      </c>
      <c r="D666" s="1">
        <f t="shared" si="77"/>
        <v>951</v>
      </c>
      <c r="E666" s="1">
        <f t="shared" si="78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5"/>
        <v>42902</v>
      </c>
      <c r="C667" s="1">
        <f t="shared" si="76"/>
        <v>4455</v>
      </c>
      <c r="D667" s="1">
        <f t="shared" si="77"/>
        <v>951</v>
      </c>
      <c r="E667" s="1">
        <f t="shared" si="78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5"/>
        <v>42905</v>
      </c>
      <c r="C668" s="1">
        <f t="shared" si="76"/>
        <v>4455</v>
      </c>
      <c r="D668" s="1">
        <f t="shared" si="77"/>
        <v>951</v>
      </c>
      <c r="E668" s="1">
        <f t="shared" si="78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5"/>
        <v>42906</v>
      </c>
      <c r="C669" s="1">
        <f t="shared" si="76"/>
        <v>4449</v>
      </c>
      <c r="D669" s="1">
        <f t="shared" si="77"/>
        <v>951</v>
      </c>
      <c r="E669" s="1">
        <f t="shared" si="78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5"/>
        <v>42907</v>
      </c>
      <c r="C670" s="1">
        <f t="shared" si="76"/>
        <v>4447</v>
      </c>
      <c r="D670" s="1">
        <f t="shared" si="77"/>
        <v>960</v>
      </c>
      <c r="E670" s="1">
        <f t="shared" si="78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5"/>
        <v>42908</v>
      </c>
      <c r="C671" s="1">
        <f t="shared" si="76"/>
        <v>4441</v>
      </c>
      <c r="D671" s="1">
        <f t="shared" si="77"/>
        <v>960</v>
      </c>
      <c r="E671" s="1">
        <f t="shared" si="78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5"/>
        <v>42909</v>
      </c>
      <c r="C672" s="1">
        <f t="shared" si="76"/>
        <v>4427</v>
      </c>
      <c r="D672" s="1">
        <f t="shared" si="77"/>
        <v>960</v>
      </c>
      <c r="E672" s="1">
        <f t="shared" si="78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5"/>
        <v>42912</v>
      </c>
      <c r="C673" s="1">
        <f t="shared" si="76"/>
        <v>4427</v>
      </c>
      <c r="D673" s="1">
        <f t="shared" si="77"/>
        <v>960</v>
      </c>
      <c r="E673" s="1">
        <f t="shared" si="78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5"/>
        <v>42913</v>
      </c>
      <c r="C674" s="1">
        <f t="shared" si="76"/>
        <v>4426</v>
      </c>
      <c r="D674" s="1">
        <f t="shared" si="77"/>
        <v>960</v>
      </c>
      <c r="E674" s="1">
        <f t="shared" si="78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5"/>
        <v>42914</v>
      </c>
      <c r="C675" s="1">
        <f t="shared" si="76"/>
        <v>4433</v>
      </c>
      <c r="D675" s="1">
        <f t="shared" si="77"/>
        <v>960</v>
      </c>
      <c r="E675" s="1">
        <f t="shared" si="78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5"/>
        <v>42915</v>
      </c>
      <c r="C676" s="1">
        <f t="shared" si="76"/>
        <v>4435</v>
      </c>
      <c r="D676" s="1">
        <f t="shared" si="77"/>
        <v>960</v>
      </c>
      <c r="E676" s="1">
        <f t="shared" si="78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5"/>
        <v>42916</v>
      </c>
      <c r="C677" s="1">
        <f t="shared" si="76"/>
        <v>4444</v>
      </c>
      <c r="D677" s="1">
        <f t="shared" si="77"/>
        <v>930</v>
      </c>
      <c r="E677" s="1">
        <f t="shared" si="78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5"/>
        <v>42919</v>
      </c>
      <c r="C678" s="1">
        <f t="shared" si="76"/>
        <v>4451</v>
      </c>
      <c r="D678" s="1">
        <f t="shared" si="77"/>
        <v>930</v>
      </c>
      <c r="E678" s="1">
        <f t="shared" si="78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5"/>
        <v>42920</v>
      </c>
      <c r="C679" s="1">
        <f t="shared" si="76"/>
        <v>4460</v>
      </c>
      <c r="D679" s="1">
        <f t="shared" si="77"/>
        <v>930</v>
      </c>
      <c r="E679" s="1">
        <f t="shared" si="78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5"/>
        <v>42921</v>
      </c>
      <c r="C680" s="1">
        <f t="shared" si="76"/>
        <v>4463</v>
      </c>
      <c r="D680" s="1">
        <f t="shared" si="77"/>
        <v>930</v>
      </c>
      <c r="E680" s="1">
        <f t="shared" si="78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5"/>
        <v>42922</v>
      </c>
      <c r="C681" s="1">
        <f t="shared" si="76"/>
        <v>4472</v>
      </c>
      <c r="D681" s="1">
        <f t="shared" si="77"/>
        <v>941</v>
      </c>
      <c r="E681" s="1">
        <f t="shared" si="78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5"/>
        <v>42923</v>
      </c>
      <c r="C682" s="1">
        <f t="shared" si="76"/>
        <v>4487</v>
      </c>
      <c r="D682" s="1">
        <f t="shared" si="77"/>
        <v>945</v>
      </c>
      <c r="E682" s="1">
        <f t="shared" si="78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5"/>
        <v>42926</v>
      </c>
      <c r="C683" s="1">
        <f t="shared" si="76"/>
        <v>4500</v>
      </c>
      <c r="D683" s="1">
        <f t="shared" si="77"/>
        <v>945</v>
      </c>
      <c r="E683" s="1">
        <f t="shared" si="78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5"/>
        <v>42927</v>
      </c>
      <c r="C684" s="1">
        <f t="shared" si="76"/>
        <v>4527</v>
      </c>
      <c r="D684" s="1">
        <f t="shared" si="77"/>
        <v>945</v>
      </c>
      <c r="E684" s="1">
        <f t="shared" si="78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5"/>
        <v>42928</v>
      </c>
      <c r="C685" s="1">
        <f t="shared" si="76"/>
        <v>4558</v>
      </c>
      <c r="D685" s="1">
        <f t="shared" si="77"/>
        <v>945</v>
      </c>
      <c r="E685" s="1">
        <f t="shared" si="78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5"/>
        <v>42929</v>
      </c>
      <c r="C686" s="1">
        <f t="shared" si="76"/>
        <v>4578</v>
      </c>
      <c r="D686" s="1">
        <f t="shared" si="77"/>
        <v>945</v>
      </c>
      <c r="E686" s="1">
        <f t="shared" si="78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5"/>
        <v>42930</v>
      </c>
      <c r="C687" s="1">
        <f t="shared" si="76"/>
        <v>4595</v>
      </c>
      <c r="D687" s="1">
        <f t="shared" si="77"/>
        <v>955</v>
      </c>
      <c r="E687" s="1">
        <f t="shared" si="78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5"/>
        <v>42933</v>
      </c>
      <c r="C688" s="1">
        <f t="shared" si="76"/>
        <v>4619</v>
      </c>
      <c r="D688" s="1">
        <f t="shared" si="77"/>
        <v>955</v>
      </c>
      <c r="E688" s="1">
        <f t="shared" si="78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5"/>
        <v>42934</v>
      </c>
      <c r="C689" s="1">
        <f t="shared" si="76"/>
        <v>4622</v>
      </c>
      <c r="D689" s="1">
        <f t="shared" si="77"/>
        <v>970</v>
      </c>
      <c r="E689" s="1">
        <f t="shared" si="78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5"/>
        <v>42935</v>
      </c>
      <c r="C690" s="1">
        <f t="shared" si="76"/>
        <v>4622</v>
      </c>
      <c r="D690" s="1">
        <f t="shared" si="77"/>
        <v>970</v>
      </c>
      <c r="E690" s="1">
        <f t="shared" si="78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5"/>
        <v>42936</v>
      </c>
      <c r="C691" s="1">
        <f t="shared" si="76"/>
        <v>4633</v>
      </c>
      <c r="D691" s="1">
        <f t="shared" si="77"/>
        <v>970</v>
      </c>
      <c r="E691" s="1">
        <f t="shared" si="78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5"/>
        <v>42937</v>
      </c>
      <c r="C692" s="1">
        <f t="shared" si="76"/>
        <v>4644</v>
      </c>
      <c r="D692" s="1">
        <f t="shared" si="77"/>
        <v>970</v>
      </c>
      <c r="E692" s="1">
        <f t="shared" si="78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5"/>
        <v>42940</v>
      </c>
      <c r="C693" s="1">
        <f t="shared" si="76"/>
        <v>4638</v>
      </c>
      <c r="D693" s="1">
        <f t="shared" si="77"/>
        <v>981</v>
      </c>
      <c r="E693" s="1">
        <f t="shared" si="78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5"/>
        <v>42941</v>
      </c>
      <c r="C694" s="1">
        <f t="shared" si="76"/>
        <v>4646</v>
      </c>
      <c r="D694" s="1">
        <f t="shared" si="77"/>
        <v>985</v>
      </c>
      <c r="E694" s="1">
        <f t="shared" si="78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5"/>
        <v>42942</v>
      </c>
      <c r="C695" s="1">
        <f t="shared" si="76"/>
        <v>4648</v>
      </c>
      <c r="D695" s="1">
        <f t="shared" si="77"/>
        <v>985</v>
      </c>
      <c r="E695" s="1">
        <f t="shared" si="78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5"/>
        <v>42943</v>
      </c>
      <c r="C696" s="1">
        <f t="shared" si="76"/>
        <v>4641</v>
      </c>
      <c r="D696" s="1">
        <f t="shared" si="77"/>
        <v>990</v>
      </c>
      <c r="E696" s="1">
        <f t="shared" si="78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5"/>
        <v>42944</v>
      </c>
      <c r="C697" s="1">
        <f t="shared" si="76"/>
        <v>4645</v>
      </c>
      <c r="D697" s="1">
        <f t="shared" si="77"/>
        <v>990</v>
      </c>
      <c r="E697" s="1">
        <f t="shared" si="78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5"/>
        <v>42947</v>
      </c>
      <c r="C698" s="1">
        <f t="shared" si="76"/>
        <v>4644</v>
      </c>
      <c r="D698" s="1">
        <f t="shared" si="77"/>
        <v>990</v>
      </c>
      <c r="E698" s="1">
        <f t="shared" si="78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5"/>
        <v>42948</v>
      </c>
      <c r="C699" s="1">
        <f t="shared" si="76"/>
        <v>4655</v>
      </c>
      <c r="D699" s="1">
        <f t="shared" si="77"/>
        <v>1020</v>
      </c>
      <c r="E699" s="1">
        <f t="shared" si="78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5"/>
        <v>42949</v>
      </c>
      <c r="C700" s="1">
        <f t="shared" si="76"/>
        <v>4665</v>
      </c>
      <c r="D700" s="1">
        <f t="shared" si="77"/>
        <v>1050</v>
      </c>
      <c r="E700" s="1">
        <f t="shared" si="78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5"/>
        <v>42950</v>
      </c>
      <c r="C701" s="1">
        <f t="shared" si="76"/>
        <v>4668</v>
      </c>
      <c r="D701" s="1">
        <f t="shared" si="77"/>
        <v>1080</v>
      </c>
      <c r="E701" s="1">
        <f t="shared" si="78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5"/>
        <v>42951</v>
      </c>
      <c r="C702" s="1">
        <f t="shared" si="76"/>
        <v>4673</v>
      </c>
      <c r="D702" s="1">
        <f t="shared" si="77"/>
        <v>1090</v>
      </c>
      <c r="E702" s="1">
        <f t="shared" si="78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5"/>
        <v>42954</v>
      </c>
      <c r="C703" s="1">
        <f t="shared" si="76"/>
        <v>4682</v>
      </c>
      <c r="D703" s="1">
        <f t="shared" si="77"/>
        <v>1090</v>
      </c>
      <c r="E703" s="1">
        <f t="shared" si="78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5"/>
        <v>42955</v>
      </c>
      <c r="C704" s="1">
        <f t="shared" si="76"/>
        <v>4687</v>
      </c>
      <c r="D704" s="1">
        <f t="shared" si="77"/>
        <v>1105</v>
      </c>
      <c r="E704" s="1">
        <f t="shared" si="78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5"/>
        <v>42956</v>
      </c>
      <c r="C705" s="1">
        <f t="shared" si="76"/>
        <v>4713</v>
      </c>
      <c r="D705" s="1">
        <f t="shared" si="77"/>
        <v>1105</v>
      </c>
      <c r="E705" s="1">
        <f t="shared" si="78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5"/>
        <v>42957</v>
      </c>
      <c r="C706" s="1">
        <f t="shared" si="76"/>
        <v>4719</v>
      </c>
      <c r="D706" s="1">
        <f t="shared" si="77"/>
        <v>1115</v>
      </c>
      <c r="E706" s="1">
        <f t="shared" si="78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5"/>
        <v>42958</v>
      </c>
      <c r="C707" s="1">
        <f t="shared" si="76"/>
        <v>4729</v>
      </c>
      <c r="D707" s="1">
        <f t="shared" si="77"/>
        <v>1200</v>
      </c>
      <c r="E707" s="1">
        <f t="shared" si="78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5"/>
        <v>42961</v>
      </c>
      <c r="C708" s="1">
        <f t="shared" si="76"/>
        <v>4708</v>
      </c>
      <c r="D708" s="1">
        <f t="shared" si="77"/>
        <v>1200</v>
      </c>
      <c r="E708" s="1">
        <f t="shared" si="78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5"/>
        <v>42962</v>
      </c>
      <c r="C709" s="1">
        <f t="shared" si="76"/>
        <v>4694</v>
      </c>
      <c r="D709" s="1">
        <f t="shared" si="77"/>
        <v>1200</v>
      </c>
      <c r="E709" s="1">
        <f t="shared" si="78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9">L710</f>
        <v>42963</v>
      </c>
      <c r="C710" s="1">
        <f t="shared" si="76"/>
        <v>4685</v>
      </c>
      <c r="D710" s="1">
        <f t="shared" si="77"/>
        <v>1250</v>
      </c>
      <c r="E710" s="1">
        <f t="shared" si="78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9"/>
        <v>42964</v>
      </c>
      <c r="C711" s="1">
        <f t="shared" ref="C711:C774" si="80">IF(M711&lt;&gt;0,M711,C710)</f>
        <v>4696</v>
      </c>
      <c r="D711" s="1">
        <f t="shared" ref="D711:D774" si="81">IF(N711&lt;&gt;0,N711,D710)</f>
        <v>1250</v>
      </c>
      <c r="E711" s="1">
        <f t="shared" ref="E711:E774" si="82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9"/>
        <v>42965</v>
      </c>
      <c r="C712" s="1">
        <f t="shared" si="80"/>
        <v>4704</v>
      </c>
      <c r="D712" s="1">
        <f t="shared" si="81"/>
        <v>1265</v>
      </c>
      <c r="E712" s="1">
        <f t="shared" si="82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9"/>
        <v>42968</v>
      </c>
      <c r="C713" s="1">
        <f t="shared" si="80"/>
        <v>4726</v>
      </c>
      <c r="D713" s="1">
        <f t="shared" si="81"/>
        <v>1265</v>
      </c>
      <c r="E713" s="1">
        <f t="shared" si="82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9"/>
        <v>42969</v>
      </c>
      <c r="C714" s="1">
        <f t="shared" si="80"/>
        <v>4741</v>
      </c>
      <c r="D714" s="1">
        <f t="shared" si="81"/>
        <v>1265</v>
      </c>
      <c r="E714" s="1">
        <f t="shared" si="82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9"/>
        <v>42970</v>
      </c>
      <c r="C715" s="1">
        <f t="shared" si="80"/>
        <v>4742</v>
      </c>
      <c r="D715" s="1">
        <f t="shared" si="81"/>
        <v>1265</v>
      </c>
      <c r="E715" s="1">
        <f t="shared" si="82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9"/>
        <v>42971</v>
      </c>
      <c r="C716" s="1">
        <f t="shared" si="80"/>
        <v>4744</v>
      </c>
      <c r="D716" s="1">
        <f t="shared" si="81"/>
        <v>1265</v>
      </c>
      <c r="E716" s="1">
        <f t="shared" si="82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9"/>
        <v>42972</v>
      </c>
      <c r="C717" s="1">
        <f t="shared" si="80"/>
        <v>4769</v>
      </c>
      <c r="D717" s="1">
        <f t="shared" si="81"/>
        <v>1280</v>
      </c>
      <c r="E717" s="1">
        <f t="shared" si="82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9"/>
        <v>42975</v>
      </c>
      <c r="C718" s="1">
        <f t="shared" si="80"/>
        <v>4779</v>
      </c>
      <c r="D718" s="1">
        <f t="shared" si="81"/>
        <v>1280</v>
      </c>
      <c r="E718" s="1">
        <f t="shared" si="82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9"/>
        <v>42976</v>
      </c>
      <c r="C719" s="1">
        <f t="shared" si="80"/>
        <v>4816</v>
      </c>
      <c r="D719" s="1">
        <f t="shared" si="81"/>
        <v>1280</v>
      </c>
      <c r="E719" s="1">
        <f t="shared" si="82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9"/>
        <v>42977</v>
      </c>
      <c r="C720" s="1">
        <f t="shared" si="80"/>
        <v>4835</v>
      </c>
      <c r="D720" s="1">
        <f t="shared" si="81"/>
        <v>1280</v>
      </c>
      <c r="E720" s="1">
        <f t="shared" si="82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9"/>
        <v>42978</v>
      </c>
      <c r="C721" s="1">
        <f t="shared" si="80"/>
        <v>4856</v>
      </c>
      <c r="D721" s="1">
        <f t="shared" si="81"/>
        <v>1280</v>
      </c>
      <c r="E721" s="1">
        <f t="shared" si="82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9"/>
        <v>42979</v>
      </c>
      <c r="C722" s="1">
        <f t="shared" si="80"/>
        <v>4898</v>
      </c>
      <c r="D722" s="1">
        <f t="shared" si="81"/>
        <v>1280</v>
      </c>
      <c r="E722" s="1">
        <f t="shared" si="82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9"/>
        <v>42982</v>
      </c>
      <c r="C723" s="1">
        <f t="shared" si="80"/>
        <v>4983</v>
      </c>
      <c r="D723" s="1">
        <f t="shared" si="81"/>
        <v>1280</v>
      </c>
      <c r="E723" s="1">
        <f t="shared" si="82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9"/>
        <v>42983</v>
      </c>
      <c r="C724" s="1">
        <f t="shared" si="80"/>
        <v>5014</v>
      </c>
      <c r="D724" s="1">
        <f t="shared" si="81"/>
        <v>1280</v>
      </c>
      <c r="E724" s="1">
        <f t="shared" si="82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9"/>
        <v>42984</v>
      </c>
      <c r="C725" s="1">
        <f t="shared" si="80"/>
        <v>5028</v>
      </c>
      <c r="D725" s="1">
        <f t="shared" si="81"/>
        <v>1280</v>
      </c>
      <c r="E725" s="1">
        <f t="shared" si="82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9"/>
        <v>42985</v>
      </c>
      <c r="C726" s="1">
        <f t="shared" si="80"/>
        <v>5035</v>
      </c>
      <c r="D726" s="1">
        <f t="shared" si="81"/>
        <v>1280</v>
      </c>
      <c r="E726" s="1">
        <f t="shared" si="82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9"/>
        <v>42986</v>
      </c>
      <c r="C727" s="1">
        <f t="shared" si="80"/>
        <v>5041</v>
      </c>
      <c r="D727" s="1">
        <f t="shared" si="81"/>
        <v>1290</v>
      </c>
      <c r="E727" s="1">
        <f t="shared" si="82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9"/>
        <v>42989</v>
      </c>
      <c r="C728" s="1">
        <f t="shared" si="80"/>
        <v>5027</v>
      </c>
      <c r="D728" s="1">
        <f t="shared" si="81"/>
        <v>1305</v>
      </c>
      <c r="E728" s="1">
        <f t="shared" si="82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9"/>
        <v>42990</v>
      </c>
      <c r="C729" s="1">
        <f t="shared" si="80"/>
        <v>5056</v>
      </c>
      <c r="D729" s="1">
        <f t="shared" si="81"/>
        <v>1315</v>
      </c>
      <c r="E729" s="1">
        <f t="shared" si="82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9"/>
        <v>42991</v>
      </c>
      <c r="C730" s="1">
        <f t="shared" si="80"/>
        <v>5067</v>
      </c>
      <c r="D730" s="1">
        <f t="shared" si="81"/>
        <v>1315</v>
      </c>
      <c r="E730" s="1">
        <f t="shared" si="82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9"/>
        <v>42992</v>
      </c>
      <c r="C731" s="1">
        <f t="shared" si="80"/>
        <v>5055</v>
      </c>
      <c r="D731" s="1">
        <f t="shared" si="81"/>
        <v>1315</v>
      </c>
      <c r="E731" s="1">
        <f t="shared" si="82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9"/>
        <v>42993</v>
      </c>
      <c r="C732" s="1">
        <f t="shared" si="80"/>
        <v>5058</v>
      </c>
      <c r="D732" s="1">
        <f t="shared" si="81"/>
        <v>1320</v>
      </c>
      <c r="E732" s="1">
        <f t="shared" si="82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9"/>
        <v>42996</v>
      </c>
      <c r="C733" s="1">
        <f t="shared" si="80"/>
        <v>5043</v>
      </c>
      <c r="D733" s="1">
        <f t="shared" si="81"/>
        <v>1320</v>
      </c>
      <c r="E733" s="1">
        <f t="shared" si="82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9"/>
        <v>42997</v>
      </c>
      <c r="C734" s="1">
        <f t="shared" si="80"/>
        <v>5045</v>
      </c>
      <c r="D734" s="1">
        <f t="shared" si="81"/>
        <v>1320</v>
      </c>
      <c r="E734" s="1">
        <f t="shared" si="82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9"/>
        <v>42998</v>
      </c>
      <c r="C735" s="1">
        <f t="shared" si="80"/>
        <v>5042</v>
      </c>
      <c r="D735" s="1">
        <f t="shared" si="81"/>
        <v>1320</v>
      </c>
      <c r="E735" s="1">
        <f t="shared" si="82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9"/>
        <v>42999</v>
      </c>
      <c r="C736" s="1">
        <f t="shared" si="80"/>
        <v>5044</v>
      </c>
      <c r="D736" s="1">
        <f t="shared" si="81"/>
        <v>1320</v>
      </c>
      <c r="E736" s="1">
        <f t="shared" si="82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9"/>
        <v>43000</v>
      </c>
      <c r="C737" s="1">
        <f t="shared" si="80"/>
        <v>5006</v>
      </c>
      <c r="D737" s="1">
        <f t="shared" si="81"/>
        <v>1350</v>
      </c>
      <c r="E737" s="1">
        <f t="shared" si="82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9"/>
        <v>43003</v>
      </c>
      <c r="C738" s="1">
        <f t="shared" si="80"/>
        <v>5014</v>
      </c>
      <c r="D738" s="1">
        <f t="shared" si="81"/>
        <v>1350</v>
      </c>
      <c r="E738" s="1">
        <f t="shared" si="82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9"/>
        <v>43004</v>
      </c>
      <c r="C739" s="1">
        <f t="shared" si="80"/>
        <v>5038</v>
      </c>
      <c r="D739" s="1">
        <f t="shared" si="81"/>
        <v>1350</v>
      </c>
      <c r="E739" s="1">
        <f t="shared" si="82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9"/>
        <v>43005</v>
      </c>
      <c r="C740" s="1">
        <f t="shared" si="80"/>
        <v>5053</v>
      </c>
      <c r="D740" s="1">
        <f t="shared" si="81"/>
        <v>1350</v>
      </c>
      <c r="E740" s="1">
        <f t="shared" si="82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9"/>
        <v>43006</v>
      </c>
      <c r="C741" s="1">
        <f t="shared" si="80"/>
        <v>5036</v>
      </c>
      <c r="D741" s="1">
        <f t="shared" si="81"/>
        <v>1350</v>
      </c>
      <c r="E741" s="1">
        <f t="shared" si="82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9"/>
        <v>43007</v>
      </c>
      <c r="C742" s="1">
        <f t="shared" si="80"/>
        <v>5021</v>
      </c>
      <c r="D742" s="1">
        <f t="shared" si="81"/>
        <v>1325</v>
      </c>
      <c r="E742" s="1">
        <f t="shared" si="82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9"/>
        <v>43008</v>
      </c>
      <c r="C743" s="1">
        <f t="shared" si="80"/>
        <v>5024</v>
      </c>
      <c r="D743" s="1">
        <f t="shared" si="81"/>
        <v>1325</v>
      </c>
      <c r="E743" s="1">
        <f t="shared" si="82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9"/>
        <v>43010</v>
      </c>
      <c r="C744" s="1">
        <f t="shared" si="80"/>
        <v>5024</v>
      </c>
      <c r="D744" s="1">
        <f t="shared" si="81"/>
        <v>1325</v>
      </c>
      <c r="E744" s="1">
        <f t="shared" si="82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9"/>
        <v>43011</v>
      </c>
      <c r="C745" s="1">
        <f t="shared" si="80"/>
        <v>5024</v>
      </c>
      <c r="D745" s="1">
        <f t="shared" si="81"/>
        <v>1300</v>
      </c>
      <c r="E745" s="1">
        <f t="shared" si="82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9"/>
        <v>43012</v>
      </c>
      <c r="C746" s="1">
        <f t="shared" si="80"/>
        <v>5024</v>
      </c>
      <c r="D746" s="1">
        <f t="shared" si="81"/>
        <v>1300</v>
      </c>
      <c r="E746" s="1">
        <f t="shared" si="82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9"/>
        <v>43013</v>
      </c>
      <c r="C747" s="1">
        <f t="shared" si="80"/>
        <v>5024</v>
      </c>
      <c r="D747" s="1">
        <f t="shared" si="81"/>
        <v>1295</v>
      </c>
      <c r="E747" s="1">
        <f t="shared" si="82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9"/>
        <v>43014</v>
      </c>
      <c r="C748" s="1">
        <f t="shared" si="80"/>
        <v>5024</v>
      </c>
      <c r="D748" s="1">
        <f t="shared" si="81"/>
        <v>1295</v>
      </c>
      <c r="E748" s="1">
        <f t="shared" si="82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9"/>
        <v>43017</v>
      </c>
      <c r="C749" s="1">
        <f t="shared" si="80"/>
        <v>5031</v>
      </c>
      <c r="D749" s="1">
        <f t="shared" si="81"/>
        <v>1295</v>
      </c>
      <c r="E749" s="1">
        <f t="shared" si="82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9"/>
        <v>43018</v>
      </c>
      <c r="C750" s="1">
        <f t="shared" si="80"/>
        <v>5028</v>
      </c>
      <c r="D750" s="1">
        <f t="shared" si="81"/>
        <v>1295</v>
      </c>
      <c r="E750" s="1">
        <f t="shared" si="82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9"/>
        <v>43019</v>
      </c>
      <c r="C751" s="1">
        <f t="shared" si="80"/>
        <v>5017</v>
      </c>
      <c r="D751" s="1">
        <f t="shared" si="81"/>
        <v>1295</v>
      </c>
      <c r="E751" s="1">
        <f t="shared" si="82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9"/>
        <v>43020</v>
      </c>
      <c r="C752" s="1">
        <f t="shared" si="80"/>
        <v>5013</v>
      </c>
      <c r="D752" s="1">
        <f t="shared" si="81"/>
        <v>1295</v>
      </c>
      <c r="E752" s="1">
        <f t="shared" si="82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9"/>
        <v>43021</v>
      </c>
      <c r="C753" s="1">
        <f t="shared" si="80"/>
        <v>5027</v>
      </c>
      <c r="D753" s="1">
        <f t="shared" si="81"/>
        <v>1295</v>
      </c>
      <c r="E753" s="1">
        <f t="shared" si="82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9"/>
        <v>43024</v>
      </c>
      <c r="C754" s="1">
        <f t="shared" si="80"/>
        <v>5050</v>
      </c>
      <c r="D754" s="1">
        <f t="shared" si="81"/>
        <v>1295</v>
      </c>
      <c r="E754" s="1">
        <f t="shared" si="82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9"/>
        <v>43025</v>
      </c>
      <c r="C755" s="1">
        <f t="shared" si="80"/>
        <v>5068</v>
      </c>
      <c r="D755" s="1">
        <f t="shared" si="81"/>
        <v>1295</v>
      </c>
      <c r="E755" s="1">
        <f t="shared" si="82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9"/>
        <v>43026</v>
      </c>
      <c r="C756" s="1">
        <f t="shared" si="80"/>
        <v>5078</v>
      </c>
      <c r="D756" s="1">
        <f t="shared" si="81"/>
        <v>1295</v>
      </c>
      <c r="E756" s="1">
        <f t="shared" si="82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9"/>
        <v>43027</v>
      </c>
      <c r="C757" s="1">
        <f t="shared" si="80"/>
        <v>5075</v>
      </c>
      <c r="D757" s="1">
        <f t="shared" si="81"/>
        <v>1295</v>
      </c>
      <c r="E757" s="1">
        <f t="shared" si="82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9"/>
        <v>43028</v>
      </c>
      <c r="C758" s="1">
        <f t="shared" si="80"/>
        <v>5076</v>
      </c>
      <c r="D758" s="1">
        <f t="shared" si="81"/>
        <v>1280</v>
      </c>
      <c r="E758" s="1">
        <f t="shared" si="82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9"/>
        <v>43031</v>
      </c>
      <c r="C759" s="1">
        <f t="shared" si="80"/>
        <v>5106</v>
      </c>
      <c r="D759" s="1">
        <f t="shared" si="81"/>
        <v>1280</v>
      </c>
      <c r="E759" s="1">
        <f t="shared" si="82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9"/>
        <v>43032</v>
      </c>
      <c r="C760" s="1">
        <f t="shared" si="80"/>
        <v>5114</v>
      </c>
      <c r="D760" s="1">
        <f t="shared" si="81"/>
        <v>1275</v>
      </c>
      <c r="E760" s="1">
        <f t="shared" si="82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9"/>
        <v>43033</v>
      </c>
      <c r="C761" s="1">
        <f t="shared" si="80"/>
        <v>5122</v>
      </c>
      <c r="D761" s="1">
        <f t="shared" si="81"/>
        <v>1275</v>
      </c>
      <c r="E761" s="1">
        <f t="shared" si="82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9"/>
        <v>43034</v>
      </c>
      <c r="C762" s="1">
        <f t="shared" si="80"/>
        <v>5117</v>
      </c>
      <c r="D762" s="1">
        <f t="shared" si="81"/>
        <v>1245</v>
      </c>
      <c r="E762" s="1">
        <f t="shared" si="82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9"/>
        <v>43035</v>
      </c>
      <c r="C763" s="1">
        <f t="shared" si="80"/>
        <v>5106</v>
      </c>
      <c r="D763" s="1">
        <f t="shared" si="81"/>
        <v>1240</v>
      </c>
      <c r="E763" s="1">
        <f t="shared" si="82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9"/>
        <v>43038</v>
      </c>
      <c r="C764" s="1">
        <f t="shared" si="80"/>
        <v>5089</v>
      </c>
      <c r="D764" s="1">
        <f t="shared" si="81"/>
        <v>1240</v>
      </c>
      <c r="E764" s="1">
        <f t="shared" si="82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9"/>
        <v>43039</v>
      </c>
      <c r="C765" s="1">
        <f t="shared" si="80"/>
        <v>5072</v>
      </c>
      <c r="D765" s="1">
        <f t="shared" si="81"/>
        <v>1240</v>
      </c>
      <c r="E765" s="1">
        <f t="shared" si="82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9"/>
        <v>43040</v>
      </c>
      <c r="C766" s="1">
        <f t="shared" si="80"/>
        <v>5073</v>
      </c>
      <c r="D766" s="1">
        <f t="shared" si="81"/>
        <v>1240</v>
      </c>
      <c r="E766" s="1">
        <f t="shared" si="82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9"/>
        <v>43041</v>
      </c>
      <c r="C767" s="1">
        <f t="shared" si="80"/>
        <v>5085</v>
      </c>
      <c r="D767" s="1">
        <f t="shared" si="81"/>
        <v>1240</v>
      </c>
      <c r="E767" s="1">
        <f t="shared" si="82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9"/>
        <v>43042</v>
      </c>
      <c r="C768" s="1">
        <f t="shared" si="80"/>
        <v>5083</v>
      </c>
      <c r="D768" s="1">
        <f t="shared" si="81"/>
        <v>1250</v>
      </c>
      <c r="E768" s="1">
        <f t="shared" si="82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9"/>
        <v>43045</v>
      </c>
      <c r="C769" s="1">
        <f t="shared" si="80"/>
        <v>5103</v>
      </c>
      <c r="D769" s="1">
        <f t="shared" si="81"/>
        <v>1250</v>
      </c>
      <c r="E769" s="1">
        <f t="shared" si="82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9"/>
        <v>43046</v>
      </c>
      <c r="C770" s="1">
        <f t="shared" si="80"/>
        <v>5116</v>
      </c>
      <c r="D770" s="1">
        <f t="shared" si="81"/>
        <v>1260</v>
      </c>
      <c r="E770" s="1">
        <f t="shared" si="82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9"/>
        <v>43047</v>
      </c>
      <c r="C771" s="1">
        <f t="shared" si="80"/>
        <v>5120</v>
      </c>
      <c r="D771" s="1">
        <f t="shared" si="81"/>
        <v>1290</v>
      </c>
      <c r="E771" s="1">
        <f t="shared" si="82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9"/>
        <v>43048</v>
      </c>
      <c r="C772" s="1">
        <f t="shared" si="80"/>
        <v>5128</v>
      </c>
      <c r="D772" s="1">
        <f t="shared" si="81"/>
        <v>1300</v>
      </c>
      <c r="E772" s="1">
        <f t="shared" si="82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9"/>
        <v>43049</v>
      </c>
      <c r="C773" s="1">
        <f t="shared" si="80"/>
        <v>5121</v>
      </c>
      <c r="D773" s="1">
        <f t="shared" si="81"/>
        <v>1300</v>
      </c>
      <c r="E773" s="1">
        <f t="shared" si="82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83">L774</f>
        <v>43052</v>
      </c>
      <c r="C774" s="1">
        <f t="shared" si="80"/>
        <v>5132</v>
      </c>
      <c r="D774" s="1">
        <f t="shared" si="81"/>
        <v>1300</v>
      </c>
      <c r="E774" s="1">
        <f t="shared" si="82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83"/>
        <v>43053</v>
      </c>
      <c r="C775" s="1">
        <f t="shared" ref="C775:C838" si="84">IF(M775&lt;&gt;0,M775,C774)</f>
        <v>5154</v>
      </c>
      <c r="D775" s="1">
        <f t="shared" ref="D775:D838" si="85">IF(N775&lt;&gt;0,N775,D774)</f>
        <v>1300</v>
      </c>
      <c r="E775" s="1">
        <f t="shared" ref="E775:E838" si="86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83"/>
        <v>43054</v>
      </c>
      <c r="C776" s="1">
        <f t="shared" si="84"/>
        <v>5140</v>
      </c>
      <c r="D776" s="1">
        <f t="shared" si="85"/>
        <v>1300</v>
      </c>
      <c r="E776" s="1">
        <f t="shared" si="86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83"/>
        <v>43055</v>
      </c>
      <c r="C777" s="1">
        <f t="shared" si="84"/>
        <v>5132</v>
      </c>
      <c r="D777" s="1">
        <f t="shared" si="85"/>
        <v>1300</v>
      </c>
      <c r="E777" s="1">
        <f t="shared" si="86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83"/>
        <v>43056</v>
      </c>
      <c r="C778" s="1">
        <f t="shared" si="84"/>
        <v>5135</v>
      </c>
      <c r="D778" s="1">
        <f t="shared" si="85"/>
        <v>1295</v>
      </c>
      <c r="E778" s="1">
        <f t="shared" si="86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83"/>
        <v>43059</v>
      </c>
      <c r="C779" s="1">
        <f t="shared" si="84"/>
        <v>5136</v>
      </c>
      <c r="D779" s="1">
        <f t="shared" si="85"/>
        <v>1295</v>
      </c>
      <c r="E779" s="1">
        <f t="shared" si="86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83"/>
        <v>43060</v>
      </c>
      <c r="C780" s="1">
        <f t="shared" si="84"/>
        <v>5159</v>
      </c>
      <c r="D780" s="1">
        <f t="shared" si="85"/>
        <v>1295</v>
      </c>
      <c r="E780" s="1">
        <f t="shared" si="86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83"/>
        <v>43061</v>
      </c>
      <c r="C781" s="1">
        <f t="shared" si="84"/>
        <v>5172</v>
      </c>
      <c r="D781" s="1">
        <f t="shared" si="85"/>
        <v>1295</v>
      </c>
      <c r="E781" s="1">
        <f t="shared" si="86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83"/>
        <v>43062</v>
      </c>
      <c r="C782" s="1">
        <f t="shared" si="84"/>
        <v>5186</v>
      </c>
      <c r="D782" s="1">
        <f t="shared" si="85"/>
        <v>1300</v>
      </c>
      <c r="E782" s="1">
        <f t="shared" si="86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83"/>
        <v>43063</v>
      </c>
      <c r="C783" s="1">
        <f t="shared" si="84"/>
        <v>5189</v>
      </c>
      <c r="D783" s="1">
        <f t="shared" si="85"/>
        <v>1300</v>
      </c>
      <c r="E783" s="1">
        <f t="shared" si="86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83"/>
        <v>43066</v>
      </c>
      <c r="C784" s="1">
        <f t="shared" si="84"/>
        <v>5193</v>
      </c>
      <c r="D784" s="1">
        <f t="shared" si="85"/>
        <v>1301</v>
      </c>
      <c r="E784" s="1">
        <f t="shared" si="86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83"/>
        <v>43067</v>
      </c>
      <c r="C785" s="1">
        <f t="shared" si="84"/>
        <v>5178</v>
      </c>
      <c r="D785" s="1">
        <f t="shared" si="85"/>
        <v>1300</v>
      </c>
      <c r="E785" s="1">
        <f t="shared" si="86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83"/>
        <v>43068</v>
      </c>
      <c r="C786" s="1">
        <f t="shared" si="84"/>
        <v>5184</v>
      </c>
      <c r="D786" s="1">
        <f t="shared" si="85"/>
        <v>1300</v>
      </c>
      <c r="E786" s="1">
        <f t="shared" si="86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83"/>
        <v>43069</v>
      </c>
      <c r="C787" s="1">
        <f t="shared" si="84"/>
        <v>5195</v>
      </c>
      <c r="D787" s="1">
        <f t="shared" si="85"/>
        <v>1301</v>
      </c>
      <c r="E787" s="1">
        <f t="shared" si="86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83"/>
        <v>43070</v>
      </c>
      <c r="C788" s="1">
        <f t="shared" si="84"/>
        <v>5177</v>
      </c>
      <c r="D788" s="1">
        <f t="shared" si="85"/>
        <v>1310</v>
      </c>
      <c r="E788" s="1">
        <f t="shared" si="86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83"/>
        <v>43073</v>
      </c>
      <c r="C789" s="1">
        <f t="shared" si="84"/>
        <v>5231</v>
      </c>
      <c r="D789" s="1">
        <f t="shared" si="85"/>
        <v>1310</v>
      </c>
      <c r="E789" s="1">
        <f t="shared" si="86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83"/>
        <v>43074</v>
      </c>
      <c r="C790" s="1">
        <f t="shared" si="84"/>
        <v>5250</v>
      </c>
      <c r="D790" s="1">
        <f t="shared" si="85"/>
        <v>1310</v>
      </c>
      <c r="E790" s="1">
        <f t="shared" si="86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83"/>
        <v>43075</v>
      </c>
      <c r="C791" s="1">
        <f t="shared" si="84"/>
        <v>5262</v>
      </c>
      <c r="D791" s="1">
        <f t="shared" si="85"/>
        <v>1310</v>
      </c>
      <c r="E791" s="1">
        <f t="shared" si="86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83"/>
        <v>43076</v>
      </c>
      <c r="C792" s="1">
        <f t="shared" si="84"/>
        <v>5258</v>
      </c>
      <c r="D792" s="1">
        <f t="shared" si="85"/>
        <v>1310</v>
      </c>
      <c r="E792" s="1">
        <f t="shared" si="86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83"/>
        <v>43077</v>
      </c>
      <c r="C793" s="1">
        <f t="shared" si="84"/>
        <v>5252</v>
      </c>
      <c r="D793" s="1">
        <f t="shared" si="85"/>
        <v>1310</v>
      </c>
      <c r="E793" s="1">
        <f t="shared" si="86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83"/>
        <v>43080</v>
      </c>
      <c r="C794" s="1">
        <f t="shared" si="84"/>
        <v>5249</v>
      </c>
      <c r="D794" s="1">
        <f t="shared" si="85"/>
        <v>1310</v>
      </c>
      <c r="E794" s="1">
        <f t="shared" si="86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83"/>
        <v>43081</v>
      </c>
      <c r="C795" s="1">
        <f t="shared" si="84"/>
        <v>5262</v>
      </c>
      <c r="D795" s="1">
        <f t="shared" si="85"/>
        <v>1310</v>
      </c>
      <c r="E795" s="1">
        <f t="shared" si="86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83"/>
        <v>43082</v>
      </c>
      <c r="C796" s="1">
        <f t="shared" si="84"/>
        <v>5267</v>
      </c>
      <c r="D796" s="1">
        <f t="shared" si="85"/>
        <v>1330</v>
      </c>
      <c r="E796" s="1">
        <f t="shared" si="86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83"/>
        <v>43083</v>
      </c>
      <c r="C797" s="1">
        <f t="shared" si="84"/>
        <v>5276</v>
      </c>
      <c r="D797" s="1">
        <f t="shared" si="85"/>
        <v>1330</v>
      </c>
      <c r="E797" s="1">
        <f t="shared" si="86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83"/>
        <v>43084</v>
      </c>
      <c r="C798" s="1">
        <f t="shared" si="84"/>
        <v>5263</v>
      </c>
      <c r="D798" s="1">
        <f t="shared" si="85"/>
        <v>1330</v>
      </c>
      <c r="E798" s="1">
        <f t="shared" si="86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83"/>
        <v>43087</v>
      </c>
      <c r="C799" s="1">
        <f t="shared" si="84"/>
        <v>5270</v>
      </c>
      <c r="D799" s="1">
        <f t="shared" si="85"/>
        <v>1330</v>
      </c>
      <c r="E799" s="1">
        <f t="shared" si="86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83"/>
        <v>43088</v>
      </c>
      <c r="C800" s="1">
        <f t="shared" si="84"/>
        <v>5263</v>
      </c>
      <c r="D800" s="1">
        <f t="shared" si="85"/>
        <v>1330</v>
      </c>
      <c r="E800" s="1">
        <f t="shared" si="86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83"/>
        <v>43089</v>
      </c>
      <c r="C801" s="1">
        <f t="shared" si="84"/>
        <v>5280</v>
      </c>
      <c r="D801" s="1">
        <f t="shared" si="85"/>
        <v>1360</v>
      </c>
      <c r="E801" s="1">
        <f t="shared" si="86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83"/>
        <v>43090</v>
      </c>
      <c r="C802" s="1">
        <f t="shared" si="84"/>
        <v>5296</v>
      </c>
      <c r="D802" s="1">
        <f t="shared" si="85"/>
        <v>1360</v>
      </c>
      <c r="E802" s="1">
        <f t="shared" si="86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83"/>
        <v>43091</v>
      </c>
      <c r="C803" s="1">
        <f t="shared" si="84"/>
        <v>5292</v>
      </c>
      <c r="D803" s="1">
        <f t="shared" si="85"/>
        <v>1360</v>
      </c>
      <c r="E803" s="1">
        <f t="shared" si="86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83"/>
        <v>43094</v>
      </c>
      <c r="C804" s="1">
        <f t="shared" si="84"/>
        <v>5287</v>
      </c>
      <c r="D804" s="1">
        <f t="shared" si="85"/>
        <v>1360</v>
      </c>
      <c r="E804" s="1">
        <f t="shared" si="86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83"/>
        <v>43095</v>
      </c>
      <c r="C805" s="1">
        <f t="shared" si="84"/>
        <v>5278</v>
      </c>
      <c r="D805" s="1">
        <f t="shared" si="85"/>
        <v>1360</v>
      </c>
      <c r="E805" s="1">
        <f t="shared" si="86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83"/>
        <v>43096</v>
      </c>
      <c r="C806" s="1">
        <f t="shared" si="84"/>
        <v>5271</v>
      </c>
      <c r="D806" s="1">
        <f t="shared" si="85"/>
        <v>1360</v>
      </c>
      <c r="E806" s="1">
        <f t="shared" si="86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83"/>
        <v>43097</v>
      </c>
      <c r="C807" s="1">
        <f t="shared" si="84"/>
        <v>5264</v>
      </c>
      <c r="D807" s="1">
        <f t="shared" si="85"/>
        <v>1380</v>
      </c>
      <c r="E807" s="1">
        <f t="shared" si="86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83"/>
        <v>43098</v>
      </c>
      <c r="C808" s="1">
        <f t="shared" si="84"/>
        <v>5267</v>
      </c>
      <c r="D808" s="1">
        <f t="shared" si="85"/>
        <v>1380</v>
      </c>
      <c r="E808" s="1">
        <f t="shared" si="86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83"/>
        <v>43101</v>
      </c>
      <c r="C809" s="1">
        <f t="shared" si="84"/>
        <v>5267</v>
      </c>
      <c r="D809" s="1">
        <f t="shared" si="85"/>
        <v>1380</v>
      </c>
      <c r="E809" s="1">
        <f t="shared" si="86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83"/>
        <v>43102</v>
      </c>
      <c r="C810" s="1">
        <f t="shared" si="84"/>
        <v>5296</v>
      </c>
      <c r="D810" s="1">
        <f t="shared" si="85"/>
        <v>1380</v>
      </c>
      <c r="E810" s="1">
        <f t="shared" si="86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83"/>
        <v>43103</v>
      </c>
      <c r="C811" s="1">
        <f t="shared" si="84"/>
        <v>5312</v>
      </c>
      <c r="D811" s="1">
        <f t="shared" si="85"/>
        <v>1380</v>
      </c>
      <c r="E811" s="1">
        <f t="shared" si="86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83"/>
        <v>43104</v>
      </c>
      <c r="C812" s="1">
        <f t="shared" si="84"/>
        <v>5312</v>
      </c>
      <c r="D812" s="1">
        <f t="shared" si="85"/>
        <v>1400</v>
      </c>
      <c r="E812" s="1">
        <f t="shared" si="86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83"/>
        <v>43105</v>
      </c>
      <c r="C813" s="1">
        <f t="shared" si="84"/>
        <v>5321</v>
      </c>
      <c r="D813" s="1">
        <f t="shared" si="85"/>
        <v>1405</v>
      </c>
      <c r="E813" s="1">
        <f t="shared" si="86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83"/>
        <v>43108</v>
      </c>
      <c r="C814" s="1">
        <f t="shared" si="84"/>
        <v>5351</v>
      </c>
      <c r="D814" s="1">
        <f t="shared" si="85"/>
        <v>1405</v>
      </c>
      <c r="E814" s="1">
        <f t="shared" si="86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83"/>
        <v>43109</v>
      </c>
      <c r="C815" s="1">
        <f t="shared" si="84"/>
        <v>5351</v>
      </c>
      <c r="D815" s="1">
        <f t="shared" si="85"/>
        <v>1405</v>
      </c>
      <c r="E815" s="1">
        <f t="shared" si="86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83"/>
        <v>43110</v>
      </c>
      <c r="C816" s="1">
        <f t="shared" si="84"/>
        <v>5357</v>
      </c>
      <c r="D816" s="1">
        <f t="shared" si="85"/>
        <v>1420</v>
      </c>
      <c r="E816" s="1">
        <f t="shared" si="86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83"/>
        <v>43111</v>
      </c>
      <c r="C817" s="1">
        <f t="shared" si="84"/>
        <v>5352</v>
      </c>
      <c r="D817" s="1">
        <f t="shared" si="85"/>
        <v>1420</v>
      </c>
      <c r="E817" s="1">
        <f t="shared" si="86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83"/>
        <v>43112</v>
      </c>
      <c r="C818" s="1">
        <f t="shared" si="84"/>
        <v>5360</v>
      </c>
      <c r="D818" s="1">
        <f t="shared" si="85"/>
        <v>1380</v>
      </c>
      <c r="E818" s="1">
        <f t="shared" si="86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83"/>
        <v>43115</v>
      </c>
      <c r="C819" s="1">
        <f t="shared" si="84"/>
        <v>5359</v>
      </c>
      <c r="D819" s="1">
        <f t="shared" si="85"/>
        <v>1380</v>
      </c>
      <c r="E819" s="1">
        <f t="shared" si="86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83"/>
        <v>43116</v>
      </c>
      <c r="C820" s="1">
        <f t="shared" si="84"/>
        <v>5347</v>
      </c>
      <c r="D820" s="1">
        <f t="shared" si="85"/>
        <v>1380</v>
      </c>
      <c r="E820" s="1">
        <f t="shared" si="86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83"/>
        <v>43117</v>
      </c>
      <c r="C821" s="1">
        <f t="shared" si="84"/>
        <v>5322</v>
      </c>
      <c r="D821" s="1">
        <f t="shared" si="85"/>
        <v>1380</v>
      </c>
      <c r="E821" s="1">
        <f t="shared" si="86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83"/>
        <v>43118</v>
      </c>
      <c r="C822" s="1">
        <f t="shared" si="84"/>
        <v>5315</v>
      </c>
      <c r="D822" s="1">
        <f t="shared" si="85"/>
        <v>1380</v>
      </c>
      <c r="E822" s="1">
        <f t="shared" si="86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83"/>
        <v>43119</v>
      </c>
      <c r="C823" s="1">
        <f t="shared" si="84"/>
        <v>5303</v>
      </c>
      <c r="D823" s="1">
        <f t="shared" si="85"/>
        <v>1380</v>
      </c>
      <c r="E823" s="1">
        <f t="shared" si="86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83"/>
        <v>43122</v>
      </c>
      <c r="C824" s="1">
        <f t="shared" si="84"/>
        <v>5304</v>
      </c>
      <c r="D824" s="1">
        <f t="shared" si="85"/>
        <v>1380</v>
      </c>
      <c r="E824" s="1">
        <f t="shared" si="86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83"/>
        <v>43123</v>
      </c>
      <c r="C825" s="1">
        <f t="shared" si="84"/>
        <v>5301</v>
      </c>
      <c r="D825" s="1">
        <f t="shared" si="85"/>
        <v>1360</v>
      </c>
      <c r="E825" s="1">
        <f t="shared" si="86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83"/>
        <v>43124</v>
      </c>
      <c r="C826" s="1">
        <f t="shared" si="84"/>
        <v>5304</v>
      </c>
      <c r="D826" s="1">
        <f t="shared" si="85"/>
        <v>1360</v>
      </c>
      <c r="E826" s="1">
        <f t="shared" si="86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83"/>
        <v>43125</v>
      </c>
      <c r="C827" s="1">
        <f t="shared" si="84"/>
        <v>5314</v>
      </c>
      <c r="D827" s="1">
        <f t="shared" si="85"/>
        <v>1360</v>
      </c>
      <c r="E827" s="1">
        <f t="shared" si="86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83"/>
        <v>43126</v>
      </c>
      <c r="C828" s="1">
        <f t="shared" si="84"/>
        <v>5313</v>
      </c>
      <c r="D828" s="1">
        <f t="shared" si="85"/>
        <v>1330</v>
      </c>
      <c r="E828" s="1">
        <f t="shared" si="86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83"/>
        <v>43129</v>
      </c>
      <c r="C829" s="1">
        <f t="shared" si="84"/>
        <v>5321</v>
      </c>
      <c r="D829" s="1">
        <f t="shared" si="85"/>
        <v>1330</v>
      </c>
      <c r="E829" s="1">
        <f t="shared" si="86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83"/>
        <v>43130</v>
      </c>
      <c r="C830" s="1">
        <f t="shared" si="84"/>
        <v>5317</v>
      </c>
      <c r="D830" s="1">
        <f t="shared" si="85"/>
        <v>1330</v>
      </c>
      <c r="E830" s="1">
        <f t="shared" si="86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83"/>
        <v>43131</v>
      </c>
      <c r="C831" s="1">
        <f t="shared" si="84"/>
        <v>5304</v>
      </c>
      <c r="D831" s="1">
        <f t="shared" si="85"/>
        <v>1330</v>
      </c>
      <c r="E831" s="1">
        <f t="shared" si="86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83"/>
        <v>43132</v>
      </c>
      <c r="C832" s="1">
        <f t="shared" si="84"/>
        <v>5302</v>
      </c>
      <c r="D832" s="1">
        <f t="shared" si="85"/>
        <v>1320</v>
      </c>
      <c r="E832" s="1">
        <f t="shared" si="86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83"/>
        <v>43133</v>
      </c>
      <c r="C833" s="1">
        <f t="shared" si="84"/>
        <v>5301</v>
      </c>
      <c r="D833" s="1">
        <f t="shared" si="85"/>
        <v>1320</v>
      </c>
      <c r="E833" s="1">
        <f t="shared" si="86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83"/>
        <v>43136</v>
      </c>
      <c r="C834" s="1">
        <f t="shared" si="84"/>
        <v>5304</v>
      </c>
      <c r="D834" s="1">
        <f t="shared" si="85"/>
        <v>1320</v>
      </c>
      <c r="E834" s="1">
        <f t="shared" si="86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83"/>
        <v>43137</v>
      </c>
      <c r="C835" s="1">
        <f t="shared" si="84"/>
        <v>5299</v>
      </c>
      <c r="D835" s="1">
        <f t="shared" si="85"/>
        <v>1320</v>
      </c>
      <c r="E835" s="1">
        <f t="shared" si="86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83"/>
        <v>43138</v>
      </c>
      <c r="C836" s="1">
        <f t="shared" si="84"/>
        <v>5286</v>
      </c>
      <c r="D836" s="1">
        <f t="shared" si="85"/>
        <v>1315</v>
      </c>
      <c r="E836" s="1">
        <f t="shared" si="86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83"/>
        <v>43139</v>
      </c>
      <c r="C837" s="1">
        <f t="shared" si="84"/>
        <v>5268</v>
      </c>
      <c r="D837" s="1">
        <f t="shared" si="85"/>
        <v>1315</v>
      </c>
      <c r="E837" s="1">
        <f t="shared" si="86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7">L838</f>
        <v>43140</v>
      </c>
      <c r="C838" s="1">
        <f t="shared" si="84"/>
        <v>5258</v>
      </c>
      <c r="D838" s="1">
        <f t="shared" si="85"/>
        <v>1300</v>
      </c>
      <c r="E838" s="1">
        <f t="shared" si="86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7"/>
        <v>43142</v>
      </c>
      <c r="C839" s="1">
        <f t="shared" ref="C839:C902" si="88">IF(M839&lt;&gt;0,M839,C838)</f>
        <v>5247</v>
      </c>
      <c r="D839" s="1">
        <f t="shared" ref="D839:D902" si="89">IF(N839&lt;&gt;0,N839,D838)</f>
        <v>1300</v>
      </c>
      <c r="E839" s="1">
        <f t="shared" ref="E839:E902" si="90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7"/>
        <v>43143</v>
      </c>
      <c r="C840" s="1">
        <f t="shared" si="88"/>
        <v>5242</v>
      </c>
      <c r="D840" s="1">
        <f t="shared" si="89"/>
        <v>1290</v>
      </c>
      <c r="E840" s="1">
        <f t="shared" si="90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7"/>
        <v>43144</v>
      </c>
      <c r="C841" s="1">
        <f t="shared" si="88"/>
        <v>5242</v>
      </c>
      <c r="D841" s="1">
        <f t="shared" si="89"/>
        <v>1290</v>
      </c>
      <c r="E841" s="1">
        <f t="shared" si="90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7"/>
        <v>43145</v>
      </c>
      <c r="C842" s="1">
        <f t="shared" si="88"/>
        <v>5236</v>
      </c>
      <c r="D842" s="1">
        <f t="shared" si="89"/>
        <v>1290</v>
      </c>
      <c r="E842" s="1">
        <f t="shared" si="90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7"/>
        <v>43146</v>
      </c>
      <c r="C843" s="1">
        <f t="shared" si="88"/>
        <v>5236</v>
      </c>
      <c r="D843" s="1">
        <f t="shared" si="89"/>
        <v>1290</v>
      </c>
      <c r="E843" s="1">
        <f t="shared" si="90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7"/>
        <v>43147</v>
      </c>
      <c r="C844" s="1">
        <f t="shared" si="88"/>
        <v>5236</v>
      </c>
      <c r="D844" s="1">
        <f t="shared" si="89"/>
        <v>1290</v>
      </c>
      <c r="E844" s="1">
        <f t="shared" si="90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7"/>
        <v>43150</v>
      </c>
      <c r="C845" s="1">
        <f t="shared" si="88"/>
        <v>5236</v>
      </c>
      <c r="D845" s="1">
        <f t="shared" si="89"/>
        <v>1290</v>
      </c>
      <c r="E845" s="1">
        <f t="shared" si="90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7"/>
        <v>43151</v>
      </c>
      <c r="C846" s="1">
        <f t="shared" si="88"/>
        <v>5236</v>
      </c>
      <c r="D846" s="1">
        <f t="shared" si="89"/>
        <v>1290</v>
      </c>
      <c r="E846" s="1">
        <f t="shared" si="90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7"/>
        <v>43152</v>
      </c>
      <c r="C847" s="1">
        <f t="shared" si="88"/>
        <v>5236</v>
      </c>
      <c r="D847" s="1">
        <f t="shared" si="89"/>
        <v>1290</v>
      </c>
      <c r="E847" s="1">
        <f t="shared" si="90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7"/>
        <v>43153</v>
      </c>
      <c r="C848" s="1">
        <f t="shared" si="88"/>
        <v>5223</v>
      </c>
      <c r="D848" s="1">
        <f t="shared" si="89"/>
        <v>1285</v>
      </c>
      <c r="E848" s="1">
        <f t="shared" si="90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7"/>
        <v>43154</v>
      </c>
      <c r="C849" s="1">
        <f t="shared" si="88"/>
        <v>5247</v>
      </c>
      <c r="D849" s="1">
        <f t="shared" si="89"/>
        <v>1230</v>
      </c>
      <c r="E849" s="1">
        <f t="shared" si="90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7"/>
        <v>43155</v>
      </c>
      <c r="C850" s="1">
        <f t="shared" si="88"/>
        <v>5257</v>
      </c>
      <c r="D850" s="1">
        <f t="shared" si="89"/>
        <v>1230</v>
      </c>
      <c r="E850" s="1">
        <f t="shared" si="90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7"/>
        <v>43157</v>
      </c>
      <c r="C851" s="1">
        <f t="shared" si="88"/>
        <v>5258</v>
      </c>
      <c r="D851" s="1">
        <f t="shared" si="89"/>
        <v>1230</v>
      </c>
      <c r="E851" s="1">
        <f t="shared" si="90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7"/>
        <v>43158</v>
      </c>
      <c r="C852" s="1">
        <f t="shared" si="88"/>
        <v>5239</v>
      </c>
      <c r="D852" s="1">
        <f t="shared" si="89"/>
        <v>1230</v>
      </c>
      <c r="E852" s="1">
        <f t="shared" si="90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7"/>
        <v>43159</v>
      </c>
      <c r="C853" s="1">
        <f t="shared" si="88"/>
        <v>5238</v>
      </c>
      <c r="D853" s="1">
        <f t="shared" si="89"/>
        <v>1250</v>
      </c>
      <c r="E853" s="1">
        <f t="shared" si="90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7"/>
        <v>43160</v>
      </c>
      <c r="C854" s="1">
        <f t="shared" si="88"/>
        <v>5233</v>
      </c>
      <c r="D854" s="1">
        <f t="shared" si="89"/>
        <v>1250</v>
      </c>
      <c r="E854" s="1">
        <f t="shared" si="90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7"/>
        <v>43161</v>
      </c>
      <c r="C855" s="1">
        <f t="shared" si="88"/>
        <v>5234</v>
      </c>
      <c r="D855" s="1">
        <f t="shared" si="89"/>
        <v>1240</v>
      </c>
      <c r="E855" s="1">
        <f t="shared" si="90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7"/>
        <v>43164</v>
      </c>
      <c r="C856" s="1">
        <f t="shared" si="88"/>
        <v>5217</v>
      </c>
      <c r="D856" s="1">
        <f t="shared" si="89"/>
        <v>1240</v>
      </c>
      <c r="E856" s="1">
        <f t="shared" si="90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7"/>
        <v>43165</v>
      </c>
      <c r="C857" s="1">
        <f t="shared" si="88"/>
        <v>5203</v>
      </c>
      <c r="D857" s="1">
        <f t="shared" si="89"/>
        <v>1270</v>
      </c>
      <c r="E857" s="1">
        <f t="shared" si="90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7"/>
        <v>43166</v>
      </c>
      <c r="C858" s="1">
        <f t="shared" si="88"/>
        <v>5192</v>
      </c>
      <c r="D858" s="1">
        <f t="shared" si="89"/>
        <v>1300</v>
      </c>
      <c r="E858" s="1">
        <f t="shared" si="90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7"/>
        <v>43167</v>
      </c>
      <c r="C859" s="1">
        <f t="shared" si="88"/>
        <v>5149</v>
      </c>
      <c r="D859" s="1">
        <f t="shared" si="89"/>
        <v>1310</v>
      </c>
      <c r="E859" s="1">
        <f t="shared" si="90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7"/>
        <v>43168</v>
      </c>
      <c r="C860" s="1">
        <f t="shared" si="88"/>
        <v>5126</v>
      </c>
      <c r="D860" s="1">
        <f t="shared" si="89"/>
        <v>1310</v>
      </c>
      <c r="E860" s="1">
        <f t="shared" si="90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7"/>
        <v>43171</v>
      </c>
      <c r="C861" s="1">
        <f t="shared" si="88"/>
        <v>5110</v>
      </c>
      <c r="D861" s="1">
        <f t="shared" si="89"/>
        <v>1310</v>
      </c>
      <c r="E861" s="1">
        <f t="shared" si="90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7"/>
        <v>43172</v>
      </c>
      <c r="C862" s="1">
        <f t="shared" si="88"/>
        <v>5107</v>
      </c>
      <c r="D862" s="1">
        <f t="shared" si="89"/>
        <v>1335</v>
      </c>
      <c r="E862" s="1">
        <f t="shared" si="90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7"/>
        <v>43173</v>
      </c>
      <c r="C863" s="1">
        <f t="shared" si="88"/>
        <v>5111</v>
      </c>
      <c r="D863" s="1">
        <f t="shared" si="89"/>
        <v>1335</v>
      </c>
      <c r="E863" s="1">
        <f t="shared" si="90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7"/>
        <v>43174</v>
      </c>
      <c r="C864" s="1">
        <f t="shared" si="88"/>
        <v>5096</v>
      </c>
      <c r="D864" s="1">
        <f t="shared" si="89"/>
        <v>1335</v>
      </c>
      <c r="E864" s="1">
        <f t="shared" si="90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7"/>
        <v>43175</v>
      </c>
      <c r="C865" s="1">
        <f t="shared" si="88"/>
        <v>5059</v>
      </c>
      <c r="D865" s="1">
        <f t="shared" si="89"/>
        <v>1380</v>
      </c>
      <c r="E865" s="1">
        <f t="shared" si="90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7"/>
        <v>43178</v>
      </c>
      <c r="C866" s="1">
        <f t="shared" si="88"/>
        <v>5059</v>
      </c>
      <c r="D866" s="1">
        <f t="shared" si="89"/>
        <v>1380</v>
      </c>
      <c r="E866" s="1">
        <f t="shared" si="90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7"/>
        <v>43179</v>
      </c>
      <c r="C867" s="1">
        <f t="shared" si="88"/>
        <v>5045</v>
      </c>
      <c r="D867" s="1">
        <f t="shared" si="89"/>
        <v>1380</v>
      </c>
      <c r="E867" s="1">
        <f t="shared" si="90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7"/>
        <v>43180</v>
      </c>
      <c r="C868" s="1">
        <f t="shared" si="88"/>
        <v>5037</v>
      </c>
      <c r="D868" s="1">
        <f t="shared" si="89"/>
        <v>1380</v>
      </c>
      <c r="E868" s="1">
        <f t="shared" si="90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7"/>
        <v>43181</v>
      </c>
      <c r="C869" s="1">
        <f t="shared" si="88"/>
        <v>5045</v>
      </c>
      <c r="D869" s="1">
        <f t="shared" si="89"/>
        <v>1380</v>
      </c>
      <c r="E869" s="1">
        <f t="shared" si="90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7"/>
        <v>43182</v>
      </c>
      <c r="C870" s="1">
        <f t="shared" si="88"/>
        <v>5036</v>
      </c>
      <c r="D870" s="1">
        <f t="shared" si="89"/>
        <v>1385</v>
      </c>
      <c r="E870" s="1">
        <f t="shared" si="90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7"/>
        <v>43185</v>
      </c>
      <c r="C871" s="1">
        <f t="shared" si="88"/>
        <v>5032</v>
      </c>
      <c r="D871" s="1">
        <f t="shared" si="89"/>
        <v>1385</v>
      </c>
      <c r="E871" s="1">
        <f t="shared" si="90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7"/>
        <v>43186</v>
      </c>
      <c r="C872" s="1">
        <f t="shared" si="88"/>
        <v>5019</v>
      </c>
      <c r="D872" s="1">
        <f t="shared" si="89"/>
        <v>1385</v>
      </c>
      <c r="E872" s="1">
        <f t="shared" si="90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7"/>
        <v>43187</v>
      </c>
      <c r="C873" s="1">
        <f t="shared" si="88"/>
        <v>5018</v>
      </c>
      <c r="D873" s="1">
        <f t="shared" si="89"/>
        <v>1385</v>
      </c>
      <c r="E873" s="1">
        <f t="shared" si="90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7"/>
        <v>43188</v>
      </c>
      <c r="C874" s="1">
        <f t="shared" si="88"/>
        <v>5012</v>
      </c>
      <c r="D874" s="1">
        <f t="shared" si="89"/>
        <v>1385</v>
      </c>
      <c r="E874" s="1">
        <f t="shared" si="90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7"/>
        <v>43189</v>
      </c>
      <c r="C875" s="1">
        <f t="shared" si="88"/>
        <v>5015</v>
      </c>
      <c r="D875" s="1">
        <f t="shared" si="89"/>
        <v>1385</v>
      </c>
      <c r="E875" s="1">
        <f t="shared" si="90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7"/>
        <v>43192</v>
      </c>
      <c r="C876" s="1">
        <f t="shared" si="88"/>
        <v>5022</v>
      </c>
      <c r="D876" s="1">
        <f t="shared" si="89"/>
        <v>1385</v>
      </c>
      <c r="E876" s="1">
        <f t="shared" si="90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7"/>
        <v>43193</v>
      </c>
      <c r="C877" s="1">
        <f t="shared" si="88"/>
        <v>5023</v>
      </c>
      <c r="D877" s="1">
        <f t="shared" si="89"/>
        <v>1380</v>
      </c>
      <c r="E877" s="1">
        <f t="shared" si="90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7"/>
        <v>43194</v>
      </c>
      <c r="C878" s="1">
        <f t="shared" si="88"/>
        <v>5009</v>
      </c>
      <c r="D878" s="1">
        <f t="shared" si="89"/>
        <v>1365</v>
      </c>
      <c r="E878" s="1">
        <f t="shared" si="90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7"/>
        <v>43195</v>
      </c>
      <c r="C879" s="1">
        <f t="shared" si="88"/>
        <v>5009</v>
      </c>
      <c r="D879" s="1">
        <f t="shared" si="89"/>
        <v>1360</v>
      </c>
      <c r="E879" s="1">
        <f t="shared" si="90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7"/>
        <v>43196</v>
      </c>
      <c r="C880" s="1">
        <f t="shared" si="88"/>
        <v>5009</v>
      </c>
      <c r="D880" s="1">
        <f t="shared" si="89"/>
        <v>1345</v>
      </c>
      <c r="E880" s="1">
        <f t="shared" si="90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7"/>
        <v>43198</v>
      </c>
      <c r="C881" s="1">
        <f t="shared" si="88"/>
        <v>5007</v>
      </c>
      <c r="D881" s="1">
        <f t="shared" si="89"/>
        <v>1345</v>
      </c>
      <c r="E881" s="1">
        <f t="shared" si="90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7"/>
        <v>43199</v>
      </c>
      <c r="C882" s="1">
        <f t="shared" si="88"/>
        <v>5032</v>
      </c>
      <c r="D882" s="1">
        <f t="shared" si="89"/>
        <v>1345</v>
      </c>
      <c r="E882" s="1">
        <f t="shared" si="90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7"/>
        <v>43200</v>
      </c>
      <c r="C883" s="1">
        <f t="shared" si="88"/>
        <v>5047</v>
      </c>
      <c r="D883" s="1">
        <f t="shared" si="89"/>
        <v>1345</v>
      </c>
      <c r="E883" s="1">
        <f t="shared" si="90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7"/>
        <v>43201</v>
      </c>
      <c r="C884" s="1">
        <f t="shared" si="88"/>
        <v>5059</v>
      </c>
      <c r="D884" s="1">
        <f t="shared" si="89"/>
        <v>1360</v>
      </c>
      <c r="E884" s="1">
        <f t="shared" si="90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7"/>
        <v>43202</v>
      </c>
      <c r="C885" s="1">
        <f t="shared" si="88"/>
        <v>5065</v>
      </c>
      <c r="D885" s="1">
        <f t="shared" si="89"/>
        <v>1360</v>
      </c>
      <c r="E885" s="1">
        <f t="shared" si="90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7"/>
        <v>43203</v>
      </c>
      <c r="C886" s="1">
        <f t="shared" si="88"/>
        <v>5072</v>
      </c>
      <c r="D886" s="1">
        <f t="shared" si="89"/>
        <v>1375</v>
      </c>
      <c r="E886" s="1">
        <f t="shared" si="90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7"/>
        <v>43206</v>
      </c>
      <c r="C887" s="1">
        <f t="shared" si="88"/>
        <v>5100</v>
      </c>
      <c r="D887" s="1">
        <f t="shared" si="89"/>
        <v>1360</v>
      </c>
      <c r="E887" s="1">
        <f t="shared" si="90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7"/>
        <v>43207</v>
      </c>
      <c r="C888" s="1">
        <f t="shared" si="88"/>
        <v>5122</v>
      </c>
      <c r="D888" s="1">
        <f t="shared" si="89"/>
        <v>1360</v>
      </c>
      <c r="E888" s="1">
        <f t="shared" si="90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7"/>
        <v>43208</v>
      </c>
      <c r="C889" s="1">
        <f t="shared" si="88"/>
        <v>5133</v>
      </c>
      <c r="D889" s="1">
        <f t="shared" si="89"/>
        <v>1360</v>
      </c>
      <c r="E889" s="1">
        <f t="shared" si="90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7"/>
        <v>43209</v>
      </c>
      <c r="C890" s="1">
        <f t="shared" si="88"/>
        <v>5145</v>
      </c>
      <c r="D890" s="1">
        <f t="shared" si="89"/>
        <v>1360</v>
      </c>
      <c r="E890" s="1">
        <f t="shared" si="90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7"/>
        <v>43210</v>
      </c>
      <c r="C891" s="1">
        <f t="shared" si="88"/>
        <v>5133</v>
      </c>
      <c r="D891" s="1">
        <f t="shared" si="89"/>
        <v>1340</v>
      </c>
      <c r="E891" s="1">
        <f t="shared" si="90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7"/>
        <v>43213</v>
      </c>
      <c r="C892" s="1">
        <f t="shared" si="88"/>
        <v>5127</v>
      </c>
      <c r="D892" s="1">
        <f t="shared" si="89"/>
        <v>1340</v>
      </c>
      <c r="E892" s="1">
        <f t="shared" si="90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7"/>
        <v>43214</v>
      </c>
      <c r="C893" s="1">
        <f t="shared" si="88"/>
        <v>5136</v>
      </c>
      <c r="D893" s="1">
        <f t="shared" si="89"/>
        <v>1335</v>
      </c>
      <c r="E893" s="1">
        <f t="shared" si="90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7"/>
        <v>43215</v>
      </c>
      <c r="C894" s="1">
        <f t="shared" si="88"/>
        <v>5142</v>
      </c>
      <c r="D894" s="1">
        <f t="shared" si="89"/>
        <v>1310</v>
      </c>
      <c r="E894" s="1">
        <f t="shared" si="90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7"/>
        <v>43216</v>
      </c>
      <c r="C895" s="1">
        <f t="shared" si="88"/>
        <v>5138</v>
      </c>
      <c r="D895" s="1">
        <f t="shared" si="89"/>
        <v>1310</v>
      </c>
      <c r="E895" s="1">
        <f t="shared" si="90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7"/>
        <v>43217</v>
      </c>
      <c r="C896" s="1">
        <f t="shared" si="88"/>
        <v>5139</v>
      </c>
      <c r="D896" s="1">
        <f t="shared" si="89"/>
        <v>1285</v>
      </c>
      <c r="E896" s="1">
        <f t="shared" si="90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7"/>
        <v>43218</v>
      </c>
      <c r="C897" s="1">
        <f t="shared" si="88"/>
        <v>5152</v>
      </c>
      <c r="D897" s="1">
        <f t="shared" si="89"/>
        <v>1285</v>
      </c>
      <c r="E897" s="1">
        <f t="shared" si="90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7"/>
        <v>43220</v>
      </c>
      <c r="C898" s="1">
        <f t="shared" si="88"/>
        <v>5152</v>
      </c>
      <c r="D898" s="1">
        <f t="shared" si="89"/>
        <v>1285</v>
      </c>
      <c r="E898" s="1">
        <f t="shared" si="90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7"/>
        <v>43221</v>
      </c>
      <c r="C899" s="1">
        <f t="shared" si="88"/>
        <v>5152</v>
      </c>
      <c r="D899" s="1">
        <f t="shared" si="89"/>
        <v>1285</v>
      </c>
      <c r="E899" s="1">
        <f t="shared" si="90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7"/>
        <v>43222</v>
      </c>
      <c r="C900" s="1">
        <f t="shared" si="88"/>
        <v>5179</v>
      </c>
      <c r="D900" s="1">
        <f t="shared" si="89"/>
        <v>1260</v>
      </c>
      <c r="E900" s="1">
        <f t="shared" si="90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7"/>
        <v>43223</v>
      </c>
      <c r="C901" s="1">
        <f t="shared" si="88"/>
        <v>5178</v>
      </c>
      <c r="D901" s="1">
        <f t="shared" si="89"/>
        <v>1260</v>
      </c>
      <c r="E901" s="1">
        <f t="shared" si="90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91">L902</f>
        <v>43224</v>
      </c>
      <c r="C902" s="1">
        <f t="shared" si="88"/>
        <v>5180</v>
      </c>
      <c r="D902" s="1">
        <f t="shared" si="89"/>
        <v>1260</v>
      </c>
      <c r="E902" s="1">
        <f t="shared" si="90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91"/>
        <v>43227</v>
      </c>
      <c r="C903" s="1">
        <f t="shared" ref="C903:C966" si="92">IF(M903&lt;&gt;0,M903,C902)</f>
        <v>5213</v>
      </c>
      <c r="D903" s="1">
        <f t="shared" ref="D903:D966" si="93">IF(N903&lt;&gt;0,N903,D902)</f>
        <v>1260</v>
      </c>
      <c r="E903" s="1">
        <f t="shared" ref="E903:E966" si="94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91"/>
        <v>43228</v>
      </c>
      <c r="C904" s="1">
        <f t="shared" si="92"/>
        <v>5227</v>
      </c>
      <c r="D904" s="1">
        <f t="shared" si="93"/>
        <v>1260</v>
      </c>
      <c r="E904" s="1">
        <f t="shared" si="94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91"/>
        <v>43229</v>
      </c>
      <c r="C905" s="1">
        <f t="shared" si="92"/>
        <v>5238</v>
      </c>
      <c r="D905" s="1">
        <f t="shared" si="93"/>
        <v>1260</v>
      </c>
      <c r="E905" s="1">
        <f t="shared" si="94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91"/>
        <v>43230</v>
      </c>
      <c r="C906" s="1">
        <f t="shared" si="92"/>
        <v>5231</v>
      </c>
      <c r="D906" s="1">
        <f t="shared" si="93"/>
        <v>1260</v>
      </c>
      <c r="E906" s="1">
        <f t="shared" si="94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91"/>
        <v>43231</v>
      </c>
      <c r="C907" s="1">
        <f t="shared" si="92"/>
        <v>5240</v>
      </c>
      <c r="D907" s="1">
        <f t="shared" si="93"/>
        <v>1250</v>
      </c>
      <c r="E907" s="1">
        <f t="shared" si="94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91"/>
        <v>43234</v>
      </c>
      <c r="C908" s="1">
        <f t="shared" si="92"/>
        <v>5237</v>
      </c>
      <c r="D908" s="1">
        <f t="shared" si="93"/>
        <v>1250</v>
      </c>
      <c r="E908" s="1">
        <f t="shared" si="94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91"/>
        <v>43235</v>
      </c>
      <c r="C909" s="1">
        <f t="shared" si="92"/>
        <v>5252</v>
      </c>
      <c r="D909" s="1">
        <f t="shared" si="93"/>
        <v>1250</v>
      </c>
      <c r="E909" s="1">
        <f t="shared" si="94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91"/>
        <v>43236</v>
      </c>
      <c r="C910" s="1">
        <f t="shared" si="92"/>
        <v>5269</v>
      </c>
      <c r="D910" s="1">
        <f t="shared" si="93"/>
        <v>1250</v>
      </c>
      <c r="E910" s="1">
        <f t="shared" si="94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91"/>
        <v>43237</v>
      </c>
      <c r="C911" s="1">
        <f t="shared" si="92"/>
        <v>5249</v>
      </c>
      <c r="D911" s="1">
        <f t="shared" si="93"/>
        <v>1250</v>
      </c>
      <c r="E911" s="1">
        <f t="shared" si="94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91"/>
        <v>43238</v>
      </c>
      <c r="C912" s="1">
        <f t="shared" si="92"/>
        <v>5233</v>
      </c>
      <c r="D912" s="1">
        <f t="shared" si="93"/>
        <v>1250</v>
      </c>
      <c r="E912" s="1">
        <f t="shared" si="94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91"/>
        <v>43241</v>
      </c>
      <c r="C913" s="1">
        <f t="shared" si="92"/>
        <v>5225</v>
      </c>
      <c r="D913" s="1">
        <f t="shared" si="93"/>
        <v>1260</v>
      </c>
      <c r="E913" s="1">
        <f t="shared" si="94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91"/>
        <v>43242</v>
      </c>
      <c r="C914" s="1">
        <f t="shared" si="92"/>
        <v>5220</v>
      </c>
      <c r="D914" s="1">
        <f t="shared" si="93"/>
        <v>1270</v>
      </c>
      <c r="E914" s="1">
        <f t="shared" si="94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91"/>
        <v>43243</v>
      </c>
      <c r="C915" s="1">
        <f t="shared" si="92"/>
        <v>5205</v>
      </c>
      <c r="D915" s="1">
        <f t="shared" si="93"/>
        <v>1270</v>
      </c>
      <c r="E915" s="1">
        <f t="shared" si="94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91"/>
        <v>43244</v>
      </c>
      <c r="C916" s="1">
        <f t="shared" si="92"/>
        <v>5203</v>
      </c>
      <c r="D916" s="1">
        <f t="shared" si="93"/>
        <v>1300</v>
      </c>
      <c r="E916" s="1">
        <f t="shared" si="94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91"/>
        <v>43245</v>
      </c>
      <c r="C917" s="1">
        <f t="shared" si="92"/>
        <v>5190</v>
      </c>
      <c r="D917" s="1">
        <f t="shared" si="93"/>
        <v>1340</v>
      </c>
      <c r="E917" s="1">
        <f t="shared" si="94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91"/>
        <v>43248</v>
      </c>
      <c r="C918" s="1">
        <f t="shared" si="92"/>
        <v>5176</v>
      </c>
      <c r="D918" s="1">
        <f t="shared" si="93"/>
        <v>1340</v>
      </c>
      <c r="E918" s="1">
        <f t="shared" si="94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91"/>
        <v>43249</v>
      </c>
      <c r="C919" s="1">
        <f t="shared" si="92"/>
        <v>5171</v>
      </c>
      <c r="D919" s="1">
        <f t="shared" si="93"/>
        <v>1340</v>
      </c>
      <c r="E919" s="1">
        <f t="shared" si="94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91"/>
        <v>43250</v>
      </c>
      <c r="C920" s="1">
        <f t="shared" si="92"/>
        <v>5166</v>
      </c>
      <c r="D920" s="1">
        <f t="shared" si="93"/>
        <v>1340</v>
      </c>
      <c r="E920" s="1">
        <f t="shared" si="94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91"/>
        <v>43251</v>
      </c>
      <c r="C921" s="1">
        <f t="shared" si="92"/>
        <v>5174</v>
      </c>
      <c r="D921" s="1">
        <f t="shared" si="93"/>
        <v>1340</v>
      </c>
      <c r="E921" s="1">
        <f t="shared" si="94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91"/>
        <v>43252</v>
      </c>
      <c r="C922" s="1">
        <f t="shared" si="92"/>
        <v>5185</v>
      </c>
      <c r="D922" s="1">
        <f t="shared" si="93"/>
        <v>1335</v>
      </c>
      <c r="E922" s="1">
        <f t="shared" si="94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91"/>
        <v>43255</v>
      </c>
      <c r="C923" s="1">
        <f t="shared" si="92"/>
        <v>5207</v>
      </c>
      <c r="D923" s="1">
        <f t="shared" si="93"/>
        <v>1335</v>
      </c>
      <c r="E923" s="1">
        <f t="shared" si="94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91"/>
        <v>43256</v>
      </c>
      <c r="C924" s="1">
        <f t="shared" si="92"/>
        <v>5181</v>
      </c>
      <c r="D924" s="1">
        <f t="shared" si="93"/>
        <v>1335</v>
      </c>
      <c r="E924" s="1">
        <f t="shared" si="94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91"/>
        <v>43257</v>
      </c>
      <c r="C925" s="1">
        <f t="shared" si="92"/>
        <v>5176</v>
      </c>
      <c r="D925" s="1">
        <f t="shared" si="93"/>
        <v>1350</v>
      </c>
      <c r="E925" s="1">
        <f t="shared" si="94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91"/>
        <v>43258</v>
      </c>
      <c r="C926" s="1">
        <f t="shared" si="92"/>
        <v>5169</v>
      </c>
      <c r="D926" s="1">
        <f t="shared" si="93"/>
        <v>1350</v>
      </c>
      <c r="E926" s="1">
        <f t="shared" si="94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91"/>
        <v>43259</v>
      </c>
      <c r="C927" s="1">
        <f t="shared" si="92"/>
        <v>5167</v>
      </c>
      <c r="D927" s="1">
        <f t="shared" si="93"/>
        <v>1350</v>
      </c>
      <c r="E927" s="1">
        <f t="shared" si="94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91"/>
        <v>43262</v>
      </c>
      <c r="C928" s="1">
        <f t="shared" si="92"/>
        <v>5168</v>
      </c>
      <c r="D928" s="1">
        <f t="shared" si="93"/>
        <v>1350</v>
      </c>
      <c r="E928" s="1">
        <f t="shared" si="94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91"/>
        <v>43263</v>
      </c>
      <c r="C929" s="1">
        <f t="shared" si="92"/>
        <v>5175</v>
      </c>
      <c r="D929" s="1">
        <f t="shared" si="93"/>
        <v>1350</v>
      </c>
      <c r="E929" s="1">
        <f t="shared" si="94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91"/>
        <v>43264</v>
      </c>
      <c r="C930" s="1">
        <f t="shared" si="92"/>
        <v>5172</v>
      </c>
      <c r="D930" s="1">
        <f t="shared" si="93"/>
        <v>1355</v>
      </c>
      <c r="E930" s="1">
        <f t="shared" si="94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91"/>
        <v>43265</v>
      </c>
      <c r="C931" s="1">
        <f t="shared" si="92"/>
        <v>5156</v>
      </c>
      <c r="D931" s="1">
        <f t="shared" si="93"/>
        <v>1375</v>
      </c>
      <c r="E931" s="1">
        <f t="shared" si="94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91"/>
        <v>43266</v>
      </c>
      <c r="C932" s="1">
        <f t="shared" si="92"/>
        <v>5151</v>
      </c>
      <c r="D932" s="1">
        <f t="shared" si="93"/>
        <v>1375</v>
      </c>
      <c r="E932" s="1">
        <f t="shared" si="94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91"/>
        <v>43269</v>
      </c>
      <c r="C933" s="1">
        <f t="shared" si="92"/>
        <v>5151</v>
      </c>
      <c r="D933" s="1">
        <f t="shared" si="93"/>
        <v>1375</v>
      </c>
      <c r="E933" s="1">
        <f t="shared" si="94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91"/>
        <v>43270</v>
      </c>
      <c r="C934" s="1">
        <f t="shared" si="92"/>
        <v>5116</v>
      </c>
      <c r="D934" s="1">
        <f t="shared" si="93"/>
        <v>1375</v>
      </c>
      <c r="E934" s="1">
        <f t="shared" si="94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91"/>
        <v>43271</v>
      </c>
      <c r="C935" s="1">
        <f t="shared" si="92"/>
        <v>5088</v>
      </c>
      <c r="D935" s="1">
        <f t="shared" si="93"/>
        <v>1375</v>
      </c>
      <c r="E935" s="1">
        <f t="shared" si="94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91"/>
        <v>43272</v>
      </c>
      <c r="C936" s="1">
        <f t="shared" si="92"/>
        <v>5075</v>
      </c>
      <c r="D936" s="1">
        <f t="shared" si="93"/>
        <v>1375</v>
      </c>
      <c r="E936" s="1">
        <f t="shared" si="94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91"/>
        <v>43273</v>
      </c>
      <c r="C937" s="1">
        <f t="shared" si="92"/>
        <v>5058</v>
      </c>
      <c r="D937" s="1">
        <f t="shared" si="93"/>
        <v>1375</v>
      </c>
      <c r="E937" s="1">
        <f t="shared" si="94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91"/>
        <v>43276</v>
      </c>
      <c r="C938" s="1">
        <f t="shared" si="92"/>
        <v>5049</v>
      </c>
      <c r="D938" s="1">
        <f t="shared" si="93"/>
        <v>1375</v>
      </c>
      <c r="E938" s="1">
        <f t="shared" si="94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91"/>
        <v>43277</v>
      </c>
      <c r="C939" s="1">
        <f t="shared" si="92"/>
        <v>5040</v>
      </c>
      <c r="D939" s="1">
        <f t="shared" si="93"/>
        <v>1375</v>
      </c>
      <c r="E939" s="1">
        <f t="shared" si="94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91"/>
        <v>43278</v>
      </c>
      <c r="C940" s="1">
        <f t="shared" si="92"/>
        <v>5054</v>
      </c>
      <c r="D940" s="1">
        <f t="shared" si="93"/>
        <v>1375</v>
      </c>
      <c r="E940" s="1">
        <f t="shared" si="94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91"/>
        <v>43279</v>
      </c>
      <c r="C941" s="1">
        <f t="shared" si="92"/>
        <v>5081</v>
      </c>
      <c r="D941" s="1">
        <f t="shared" si="93"/>
        <v>1375</v>
      </c>
      <c r="E941" s="1">
        <f t="shared" si="94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91"/>
        <v>43280</v>
      </c>
      <c r="C942" s="1">
        <f t="shared" si="92"/>
        <v>5074</v>
      </c>
      <c r="D942" s="1">
        <f t="shared" si="93"/>
        <v>1375</v>
      </c>
      <c r="E942" s="1">
        <f t="shared" si="94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91"/>
        <v>43283</v>
      </c>
      <c r="C943" s="1">
        <f t="shared" si="92"/>
        <v>5078</v>
      </c>
      <c r="D943" s="1">
        <f t="shared" si="93"/>
        <v>1385</v>
      </c>
      <c r="E943" s="1">
        <f t="shared" si="94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91"/>
        <v>43284</v>
      </c>
      <c r="C944" s="1">
        <f t="shared" si="92"/>
        <v>5097</v>
      </c>
      <c r="D944" s="1">
        <f t="shared" si="93"/>
        <v>1395</v>
      </c>
      <c r="E944" s="1">
        <f t="shared" si="94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91"/>
        <v>43285</v>
      </c>
      <c r="C945" s="1">
        <f t="shared" si="92"/>
        <v>5110</v>
      </c>
      <c r="D945" s="1">
        <f t="shared" si="93"/>
        <v>1395</v>
      </c>
      <c r="E945" s="1">
        <f t="shared" si="94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91"/>
        <v>43286</v>
      </c>
      <c r="C946" s="1">
        <f t="shared" si="92"/>
        <v>5121</v>
      </c>
      <c r="D946" s="1">
        <f t="shared" si="93"/>
        <v>1390</v>
      </c>
      <c r="E946" s="1">
        <f t="shared" si="94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91"/>
        <v>43287</v>
      </c>
      <c r="C947" s="1">
        <f t="shared" si="92"/>
        <v>5120</v>
      </c>
      <c r="D947" s="1">
        <f t="shared" si="93"/>
        <v>1390</v>
      </c>
      <c r="E947" s="1">
        <f t="shared" si="94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91"/>
        <v>43290</v>
      </c>
      <c r="C948" s="1">
        <f t="shared" si="92"/>
        <v>5125</v>
      </c>
      <c r="D948" s="1">
        <f t="shared" si="93"/>
        <v>1390</v>
      </c>
      <c r="E948" s="1">
        <f t="shared" si="94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91"/>
        <v>43291</v>
      </c>
      <c r="C949" s="1">
        <f t="shared" si="92"/>
        <v>5133</v>
      </c>
      <c r="D949" s="1">
        <f t="shared" si="93"/>
        <v>1390</v>
      </c>
      <c r="E949" s="1">
        <f t="shared" si="94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91"/>
        <v>43292</v>
      </c>
      <c r="C950" s="1">
        <f t="shared" si="92"/>
        <v>5139</v>
      </c>
      <c r="D950" s="1">
        <f t="shared" si="93"/>
        <v>1390</v>
      </c>
      <c r="E950" s="1">
        <f t="shared" si="94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91"/>
        <v>43293</v>
      </c>
      <c r="C951" s="1">
        <f t="shared" si="92"/>
        <v>5141</v>
      </c>
      <c r="D951" s="1">
        <f t="shared" si="93"/>
        <v>1400</v>
      </c>
      <c r="E951" s="1">
        <f t="shared" si="94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91"/>
        <v>43294</v>
      </c>
      <c r="C952" s="1">
        <f t="shared" si="92"/>
        <v>5144</v>
      </c>
      <c r="D952" s="1">
        <f t="shared" si="93"/>
        <v>1410</v>
      </c>
      <c r="E952" s="1">
        <f t="shared" si="94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91"/>
        <v>43297</v>
      </c>
      <c r="C953" s="1">
        <f t="shared" si="92"/>
        <v>5151</v>
      </c>
      <c r="D953" s="1">
        <f t="shared" si="93"/>
        <v>1410</v>
      </c>
      <c r="E953" s="1">
        <f t="shared" si="94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91"/>
        <v>43298</v>
      </c>
      <c r="C954" s="1">
        <f t="shared" si="92"/>
        <v>5143</v>
      </c>
      <c r="D954" s="1">
        <f t="shared" si="93"/>
        <v>1410</v>
      </c>
      <c r="E954" s="1">
        <f t="shared" si="94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91"/>
        <v>43299</v>
      </c>
      <c r="C955" s="1">
        <f t="shared" si="92"/>
        <v>5129</v>
      </c>
      <c r="D955" s="1">
        <f t="shared" si="93"/>
        <v>1400</v>
      </c>
      <c r="E955" s="1">
        <f t="shared" si="94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91"/>
        <v>43300</v>
      </c>
      <c r="C956" s="1">
        <f t="shared" si="92"/>
        <v>5133</v>
      </c>
      <c r="D956" s="1">
        <f t="shared" si="93"/>
        <v>1400</v>
      </c>
      <c r="E956" s="1">
        <f t="shared" si="94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91"/>
        <v>43301</v>
      </c>
      <c r="C957" s="1">
        <f t="shared" si="92"/>
        <v>5143</v>
      </c>
      <c r="D957" s="1">
        <f t="shared" si="93"/>
        <v>1380</v>
      </c>
      <c r="E957" s="1">
        <f t="shared" si="94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91"/>
        <v>43304</v>
      </c>
      <c r="C958" s="1">
        <f t="shared" si="92"/>
        <v>5165</v>
      </c>
      <c r="D958" s="1">
        <f t="shared" si="93"/>
        <v>1380</v>
      </c>
      <c r="E958" s="1">
        <f t="shared" si="94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91"/>
        <v>43305</v>
      </c>
      <c r="C959" s="1">
        <f t="shared" si="92"/>
        <v>5178</v>
      </c>
      <c r="D959" s="1">
        <f t="shared" si="93"/>
        <v>1365</v>
      </c>
      <c r="E959" s="1">
        <f t="shared" si="94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91"/>
        <v>43306</v>
      </c>
      <c r="C960" s="1">
        <f t="shared" si="92"/>
        <v>5182</v>
      </c>
      <c r="D960" s="1">
        <f t="shared" si="93"/>
        <v>1365</v>
      </c>
      <c r="E960" s="1">
        <f t="shared" si="94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91"/>
        <v>43307</v>
      </c>
      <c r="C961" s="1">
        <f t="shared" si="92"/>
        <v>5193</v>
      </c>
      <c r="D961" s="1">
        <f t="shared" si="93"/>
        <v>1360</v>
      </c>
      <c r="E961" s="1">
        <f t="shared" si="94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91"/>
        <v>43308</v>
      </c>
      <c r="C962" s="1">
        <f t="shared" si="92"/>
        <v>5199</v>
      </c>
      <c r="D962" s="1">
        <f t="shared" si="93"/>
        <v>1360</v>
      </c>
      <c r="E962" s="1">
        <f t="shared" si="94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91"/>
        <v>43311</v>
      </c>
      <c r="C963" s="1">
        <f t="shared" si="92"/>
        <v>5223</v>
      </c>
      <c r="D963" s="1">
        <f t="shared" si="93"/>
        <v>1350</v>
      </c>
      <c r="E963" s="1">
        <f t="shared" si="94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91"/>
        <v>43312</v>
      </c>
      <c r="C964" s="1">
        <f t="shared" si="92"/>
        <v>5275</v>
      </c>
      <c r="D964" s="1">
        <f t="shared" si="93"/>
        <v>1350</v>
      </c>
      <c r="E964" s="1">
        <f t="shared" si="94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91"/>
        <v>43313</v>
      </c>
      <c r="C965" s="1">
        <f t="shared" si="92"/>
        <v>5283</v>
      </c>
      <c r="D965" s="1">
        <f t="shared" si="93"/>
        <v>1350</v>
      </c>
      <c r="E965" s="1">
        <f t="shared" si="94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5">L966</f>
        <v>43314</v>
      </c>
      <c r="C966" s="1">
        <f t="shared" si="92"/>
        <v>5297</v>
      </c>
      <c r="D966" s="1">
        <f t="shared" si="93"/>
        <v>1350</v>
      </c>
      <c r="E966" s="1">
        <f t="shared" si="94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5"/>
        <v>43315</v>
      </c>
      <c r="C967" s="1">
        <f t="shared" ref="C967:C1030" si="96">IF(M967&lt;&gt;0,M967,C966)</f>
        <v>5356</v>
      </c>
      <c r="D967" s="1">
        <f t="shared" ref="D967:D1030" si="97">IF(N967&lt;&gt;0,N967,D966)</f>
        <v>1360</v>
      </c>
      <c r="E967" s="1">
        <f t="shared" ref="E967:E1030" si="98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5"/>
        <v>43318</v>
      </c>
      <c r="C968" s="1">
        <f t="shared" si="96"/>
        <v>5424</v>
      </c>
      <c r="D968" s="1">
        <f t="shared" si="97"/>
        <v>1360</v>
      </c>
      <c r="E968" s="1">
        <f t="shared" si="98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5"/>
        <v>43319</v>
      </c>
      <c r="C969" s="1">
        <f t="shared" si="96"/>
        <v>5442</v>
      </c>
      <c r="D969" s="1">
        <f t="shared" si="97"/>
        <v>1380</v>
      </c>
      <c r="E969" s="1">
        <f t="shared" si="98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5"/>
        <v>43320</v>
      </c>
      <c r="C970" s="1">
        <f t="shared" si="96"/>
        <v>5463</v>
      </c>
      <c r="D970" s="1">
        <f t="shared" si="97"/>
        <v>1400</v>
      </c>
      <c r="E970" s="1">
        <f t="shared" si="98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5"/>
        <v>43321</v>
      </c>
      <c r="C971" s="1">
        <f t="shared" si="96"/>
        <v>5466</v>
      </c>
      <c r="D971" s="1">
        <f t="shared" si="97"/>
        <v>1400</v>
      </c>
      <c r="E971" s="1">
        <f t="shared" si="98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5"/>
        <v>43322</v>
      </c>
      <c r="C972" s="1">
        <f t="shared" si="96"/>
        <v>5467</v>
      </c>
      <c r="D972" s="1">
        <f t="shared" si="97"/>
        <v>1400</v>
      </c>
      <c r="E972" s="1">
        <f t="shared" si="98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5"/>
        <v>43325</v>
      </c>
      <c r="C973" s="1">
        <f t="shared" si="96"/>
        <v>5485</v>
      </c>
      <c r="D973" s="1">
        <f t="shared" si="97"/>
        <v>1401</v>
      </c>
      <c r="E973" s="1">
        <f t="shared" si="98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5"/>
        <v>43326</v>
      </c>
      <c r="C974" s="1">
        <f t="shared" si="96"/>
        <v>5512</v>
      </c>
      <c r="D974" s="1">
        <f t="shared" si="97"/>
        <v>1401</v>
      </c>
      <c r="E974" s="1">
        <f t="shared" si="98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5"/>
        <v>43327</v>
      </c>
      <c r="C975" s="1">
        <f t="shared" si="96"/>
        <v>5520</v>
      </c>
      <c r="D975" s="1">
        <f t="shared" si="97"/>
        <v>1401</v>
      </c>
      <c r="E975" s="1">
        <f t="shared" si="98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5"/>
        <v>43328</v>
      </c>
      <c r="C976" s="1">
        <f t="shared" si="96"/>
        <v>5541</v>
      </c>
      <c r="D976" s="1">
        <f t="shared" si="97"/>
        <v>1401</v>
      </c>
      <c r="E976" s="1">
        <f t="shared" si="98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5"/>
        <v>43329</v>
      </c>
      <c r="C977" s="1">
        <f t="shared" si="96"/>
        <v>5560</v>
      </c>
      <c r="D977" s="1">
        <f t="shared" si="97"/>
        <v>1401</v>
      </c>
      <c r="E977" s="1">
        <f t="shared" si="98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5"/>
        <v>43332</v>
      </c>
      <c r="C978" s="1">
        <f t="shared" si="96"/>
        <v>5590</v>
      </c>
      <c r="D978" s="1">
        <f t="shared" si="97"/>
        <v>1401</v>
      </c>
      <c r="E978" s="1">
        <f t="shared" si="98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5"/>
        <v>43333</v>
      </c>
      <c r="C979" s="1">
        <f t="shared" si="96"/>
        <v>5624</v>
      </c>
      <c r="D979" s="1">
        <f t="shared" si="97"/>
        <v>1401</v>
      </c>
      <c r="E979" s="1">
        <f t="shared" si="98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5"/>
        <v>43334</v>
      </c>
      <c r="C980" s="1">
        <f t="shared" si="96"/>
        <v>5652</v>
      </c>
      <c r="D980" s="1">
        <f t="shared" si="97"/>
        <v>1401</v>
      </c>
      <c r="E980" s="1">
        <f t="shared" si="98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5"/>
        <v>43335</v>
      </c>
      <c r="C981" s="1">
        <f t="shared" si="96"/>
        <v>5660</v>
      </c>
      <c r="D981" s="1">
        <f t="shared" si="97"/>
        <v>1401</v>
      </c>
      <c r="E981" s="1">
        <f t="shared" si="98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5"/>
        <v>43336</v>
      </c>
      <c r="C982" s="1">
        <f t="shared" si="96"/>
        <v>5670</v>
      </c>
      <c r="D982" s="1">
        <f t="shared" si="97"/>
        <v>1396</v>
      </c>
      <c r="E982" s="1">
        <f t="shared" si="98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5"/>
        <v>43339</v>
      </c>
      <c r="C983" s="1">
        <f t="shared" si="96"/>
        <v>5693</v>
      </c>
      <c r="D983" s="1">
        <f t="shared" si="97"/>
        <v>1396</v>
      </c>
      <c r="E983" s="1">
        <f t="shared" si="98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5"/>
        <v>43340</v>
      </c>
      <c r="C984" s="1">
        <f t="shared" si="96"/>
        <v>5717</v>
      </c>
      <c r="D984" s="1">
        <f t="shared" si="97"/>
        <v>1396</v>
      </c>
      <c r="E984" s="1">
        <f t="shared" si="98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5"/>
        <v>43341</v>
      </c>
      <c r="C985" s="1">
        <f t="shared" si="96"/>
        <v>5749</v>
      </c>
      <c r="D985" s="1">
        <f t="shared" si="97"/>
        <v>1396</v>
      </c>
      <c r="E985" s="1">
        <f t="shared" si="98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5"/>
        <v>43342</v>
      </c>
      <c r="C986" s="1">
        <f t="shared" si="96"/>
        <v>5764</v>
      </c>
      <c r="D986" s="1">
        <f t="shared" si="97"/>
        <v>1366</v>
      </c>
      <c r="E986" s="1">
        <f t="shared" si="98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5"/>
        <v>43343</v>
      </c>
      <c r="C987" s="1">
        <f t="shared" si="96"/>
        <v>5785</v>
      </c>
      <c r="D987" s="1">
        <f t="shared" si="97"/>
        <v>1346</v>
      </c>
      <c r="E987" s="1">
        <f t="shared" si="98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5"/>
        <v>43346</v>
      </c>
      <c r="C988" s="1">
        <f t="shared" si="96"/>
        <v>5796</v>
      </c>
      <c r="D988" s="1">
        <f t="shared" si="97"/>
        <v>1336</v>
      </c>
      <c r="E988" s="1">
        <f t="shared" si="98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5"/>
        <v>43347</v>
      </c>
      <c r="C989" s="1">
        <f t="shared" si="96"/>
        <v>5802</v>
      </c>
      <c r="D989" s="1">
        <f t="shared" si="97"/>
        <v>1336</v>
      </c>
      <c r="E989" s="1">
        <f t="shared" si="98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5"/>
        <v>43348</v>
      </c>
      <c r="C990" s="1">
        <f t="shared" si="96"/>
        <v>5801</v>
      </c>
      <c r="D990" s="1">
        <f t="shared" si="97"/>
        <v>1336</v>
      </c>
      <c r="E990" s="1">
        <f t="shared" si="98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5"/>
        <v>43349</v>
      </c>
      <c r="C991" s="1">
        <f t="shared" si="96"/>
        <v>5797</v>
      </c>
      <c r="D991" s="1">
        <f t="shared" si="97"/>
        <v>1331</v>
      </c>
      <c r="E991" s="1">
        <f t="shared" si="98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5"/>
        <v>43350</v>
      </c>
      <c r="C992" s="1">
        <f t="shared" si="96"/>
        <v>5800</v>
      </c>
      <c r="D992" s="1">
        <f t="shared" si="97"/>
        <v>1321</v>
      </c>
      <c r="E992" s="1">
        <f t="shared" si="98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5"/>
        <v>43353</v>
      </c>
      <c r="C993" s="1">
        <f t="shared" si="96"/>
        <v>5799</v>
      </c>
      <c r="D993" s="1">
        <f t="shared" si="97"/>
        <v>1321</v>
      </c>
      <c r="E993" s="1">
        <f t="shared" si="98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5"/>
        <v>43354</v>
      </c>
      <c r="C994" s="1">
        <f t="shared" si="96"/>
        <v>5794</v>
      </c>
      <c r="D994" s="1">
        <f t="shared" si="97"/>
        <v>1321</v>
      </c>
      <c r="E994" s="1">
        <f t="shared" si="98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5"/>
        <v>43355</v>
      </c>
      <c r="C995" s="1">
        <f t="shared" si="96"/>
        <v>5783</v>
      </c>
      <c r="D995" s="1">
        <f t="shared" si="97"/>
        <v>1321</v>
      </c>
      <c r="E995" s="1">
        <f t="shared" si="98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5"/>
        <v>43356</v>
      </c>
      <c r="C996" s="1">
        <f t="shared" si="96"/>
        <v>5790</v>
      </c>
      <c r="D996" s="1">
        <f t="shared" si="97"/>
        <v>1301</v>
      </c>
      <c r="E996" s="1">
        <f t="shared" si="98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5"/>
        <v>43357</v>
      </c>
      <c r="C997" s="1">
        <f t="shared" si="96"/>
        <v>5791</v>
      </c>
      <c r="D997" s="1">
        <f t="shared" si="97"/>
        <v>1301</v>
      </c>
      <c r="E997" s="1">
        <f t="shared" si="98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5"/>
        <v>43360</v>
      </c>
      <c r="C998" s="1">
        <f t="shared" si="96"/>
        <v>5773</v>
      </c>
      <c r="D998" s="1">
        <f t="shared" si="97"/>
        <v>1271</v>
      </c>
      <c r="E998" s="1">
        <f t="shared" si="98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5"/>
        <v>43361</v>
      </c>
      <c r="C999" s="1">
        <f t="shared" si="96"/>
        <v>5719</v>
      </c>
      <c r="D999" s="1">
        <f t="shared" si="97"/>
        <v>1271</v>
      </c>
      <c r="E999" s="1">
        <f t="shared" si="98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5"/>
        <v>43362</v>
      </c>
      <c r="C1000" s="1">
        <f t="shared" si="96"/>
        <v>5656</v>
      </c>
      <c r="D1000" s="1">
        <f t="shared" si="97"/>
        <v>1241</v>
      </c>
      <c r="E1000" s="1">
        <f t="shared" si="98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5"/>
        <v>43363</v>
      </c>
      <c r="C1001" s="1">
        <f t="shared" si="96"/>
        <v>5611</v>
      </c>
      <c r="D1001" s="1">
        <f t="shared" si="97"/>
        <v>1286</v>
      </c>
      <c r="E1001" s="1">
        <f t="shared" si="98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5"/>
        <v>43364</v>
      </c>
      <c r="C1002" s="1">
        <f t="shared" si="96"/>
        <v>5608</v>
      </c>
      <c r="D1002" s="1">
        <f t="shared" si="97"/>
        <v>1301</v>
      </c>
      <c r="E1002" s="1">
        <f t="shared" si="98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5"/>
        <v>43367</v>
      </c>
      <c r="C1003" s="1">
        <f t="shared" si="96"/>
        <v>5608</v>
      </c>
      <c r="D1003" s="1">
        <f t="shared" si="97"/>
        <v>1301</v>
      </c>
      <c r="E1003" s="1">
        <f t="shared" si="98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5"/>
        <v>43368</v>
      </c>
      <c r="C1004" s="1">
        <f t="shared" si="96"/>
        <v>5617</v>
      </c>
      <c r="D1004" s="1">
        <f t="shared" si="97"/>
        <v>1301</v>
      </c>
      <c r="E1004" s="1">
        <f t="shared" si="98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5"/>
        <v>43369</v>
      </c>
      <c r="C1005" s="1">
        <f t="shared" si="96"/>
        <v>5628</v>
      </c>
      <c r="D1005" s="1">
        <f t="shared" si="97"/>
        <v>1301</v>
      </c>
      <c r="E1005" s="1">
        <f t="shared" si="98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5"/>
        <v>43370</v>
      </c>
      <c r="C1006" s="1">
        <f t="shared" si="96"/>
        <v>5626</v>
      </c>
      <c r="D1006" s="1">
        <f t="shared" si="97"/>
        <v>1281</v>
      </c>
      <c r="E1006" s="1">
        <f t="shared" si="98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5"/>
        <v>43371</v>
      </c>
      <c r="C1007" s="1">
        <f t="shared" si="96"/>
        <v>5640</v>
      </c>
      <c r="D1007" s="1">
        <f t="shared" si="97"/>
        <v>1231</v>
      </c>
      <c r="E1007" s="1">
        <f t="shared" si="98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5"/>
        <v>43372</v>
      </c>
      <c r="C1008" s="1">
        <f t="shared" si="96"/>
        <v>5640</v>
      </c>
      <c r="D1008" s="1">
        <f t="shared" si="97"/>
        <v>1231</v>
      </c>
      <c r="E1008" s="1">
        <f t="shared" si="98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5"/>
        <v>43373</v>
      </c>
      <c r="C1009" s="1">
        <f t="shared" si="96"/>
        <v>5644</v>
      </c>
      <c r="D1009" s="1">
        <f t="shared" si="97"/>
        <v>1231</v>
      </c>
      <c r="E1009" s="1">
        <f t="shared" si="98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5"/>
        <v>43374</v>
      </c>
      <c r="C1010" s="1">
        <f t="shared" si="96"/>
        <v>5644</v>
      </c>
      <c r="D1010" s="1">
        <f t="shared" si="97"/>
        <v>1221</v>
      </c>
      <c r="E1010" s="1">
        <f t="shared" si="98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5"/>
        <v>43375</v>
      </c>
      <c r="C1011" s="1">
        <f t="shared" si="96"/>
        <v>5644</v>
      </c>
      <c r="D1011" s="1">
        <f t="shared" si="97"/>
        <v>1221</v>
      </c>
      <c r="E1011" s="1">
        <f t="shared" si="98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5"/>
        <v>43376</v>
      </c>
      <c r="C1012" s="1">
        <f t="shared" si="96"/>
        <v>5644</v>
      </c>
      <c r="D1012" s="1">
        <f t="shared" si="97"/>
        <v>1221</v>
      </c>
      <c r="E1012" s="1">
        <f t="shared" si="98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5"/>
        <v>43377</v>
      </c>
      <c r="C1013" s="1">
        <f t="shared" si="96"/>
        <v>5644</v>
      </c>
      <c r="D1013" s="1">
        <f t="shared" si="97"/>
        <v>1201</v>
      </c>
      <c r="E1013" s="1">
        <f t="shared" si="98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5"/>
        <v>43378</v>
      </c>
      <c r="C1014" s="1">
        <f t="shared" si="96"/>
        <v>5644</v>
      </c>
      <c r="D1014" s="1">
        <f t="shared" si="97"/>
        <v>1181</v>
      </c>
      <c r="E1014" s="1">
        <f t="shared" si="98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5"/>
        <v>43381</v>
      </c>
      <c r="C1015" s="1">
        <f t="shared" si="96"/>
        <v>5676</v>
      </c>
      <c r="D1015" s="1">
        <f t="shared" si="97"/>
        <v>1181</v>
      </c>
      <c r="E1015" s="1">
        <f t="shared" si="98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5"/>
        <v>43382</v>
      </c>
      <c r="C1016" s="1">
        <f t="shared" si="96"/>
        <v>5715</v>
      </c>
      <c r="D1016" s="1">
        <f t="shared" si="97"/>
        <v>1161</v>
      </c>
      <c r="E1016" s="1">
        <f t="shared" si="98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5"/>
        <v>43383</v>
      </c>
      <c r="C1017" s="1">
        <f t="shared" si="96"/>
        <v>5739</v>
      </c>
      <c r="D1017" s="1">
        <f t="shared" si="97"/>
        <v>1161</v>
      </c>
      <c r="E1017" s="1">
        <f t="shared" si="98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5"/>
        <v>43384</v>
      </c>
      <c r="C1018" s="1">
        <f t="shared" si="96"/>
        <v>5736</v>
      </c>
      <c r="D1018" s="1">
        <f t="shared" si="97"/>
        <v>1141</v>
      </c>
      <c r="E1018" s="1">
        <f t="shared" si="98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5"/>
        <v>43385</v>
      </c>
      <c r="C1019" s="1">
        <f t="shared" si="96"/>
        <v>5727</v>
      </c>
      <c r="D1019" s="1">
        <f t="shared" si="97"/>
        <v>1121</v>
      </c>
      <c r="E1019" s="1">
        <f t="shared" si="98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5"/>
        <v>43388</v>
      </c>
      <c r="C1020" s="1">
        <f t="shared" si="96"/>
        <v>5720</v>
      </c>
      <c r="D1020" s="1">
        <f t="shared" si="97"/>
        <v>1121</v>
      </c>
      <c r="E1020" s="1">
        <f t="shared" si="98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5"/>
        <v>43389</v>
      </c>
      <c r="C1021" s="1">
        <f t="shared" si="96"/>
        <v>5687</v>
      </c>
      <c r="D1021" s="1">
        <f t="shared" si="97"/>
        <v>1101</v>
      </c>
      <c r="E1021" s="1">
        <f t="shared" si="98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5"/>
        <v>43390</v>
      </c>
      <c r="C1022" s="1">
        <f t="shared" si="96"/>
        <v>5657</v>
      </c>
      <c r="D1022" s="1">
        <f t="shared" si="97"/>
        <v>1101</v>
      </c>
      <c r="E1022" s="1">
        <f t="shared" si="98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5"/>
        <v>43391</v>
      </c>
      <c r="C1023" s="1">
        <f t="shared" si="96"/>
        <v>5630</v>
      </c>
      <c r="D1023" s="1">
        <f t="shared" si="97"/>
        <v>1101</v>
      </c>
      <c r="E1023" s="1">
        <f t="shared" si="98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5"/>
        <v>43392</v>
      </c>
      <c r="C1024" s="1">
        <f t="shared" si="96"/>
        <v>5596</v>
      </c>
      <c r="D1024" s="1">
        <f t="shared" si="97"/>
        <v>1091</v>
      </c>
      <c r="E1024" s="1">
        <f t="shared" si="98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5"/>
        <v>43395</v>
      </c>
      <c r="C1025" s="1">
        <f t="shared" si="96"/>
        <v>5579</v>
      </c>
      <c r="D1025" s="1">
        <f t="shared" si="97"/>
        <v>1071</v>
      </c>
      <c r="E1025" s="1">
        <f t="shared" si="98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5"/>
        <v>43396</v>
      </c>
      <c r="C1026" s="1">
        <f t="shared" si="96"/>
        <v>5565</v>
      </c>
      <c r="D1026" s="1">
        <f t="shared" si="97"/>
        <v>1071</v>
      </c>
      <c r="E1026" s="1">
        <f t="shared" si="98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5"/>
        <v>43397</v>
      </c>
      <c r="C1027" s="1">
        <f t="shared" si="96"/>
        <v>5543</v>
      </c>
      <c r="D1027" s="1">
        <f t="shared" si="97"/>
        <v>1071</v>
      </c>
      <c r="E1027" s="1">
        <f t="shared" si="98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5"/>
        <v>43398</v>
      </c>
      <c r="C1028" s="1">
        <f t="shared" si="96"/>
        <v>5495</v>
      </c>
      <c r="D1028" s="1">
        <f t="shared" si="97"/>
        <v>1031</v>
      </c>
      <c r="E1028" s="1">
        <f t="shared" si="98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5"/>
        <v>43399</v>
      </c>
      <c r="C1029" s="1">
        <f t="shared" si="96"/>
        <v>5483</v>
      </c>
      <c r="D1029" s="1">
        <f t="shared" si="97"/>
        <v>991</v>
      </c>
      <c r="E1029" s="1">
        <f t="shared" si="98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9">L1030</f>
        <v>43402</v>
      </c>
      <c r="C1030" s="1">
        <f t="shared" si="96"/>
        <v>5432</v>
      </c>
      <c r="D1030" s="1">
        <f t="shared" si="97"/>
        <v>991</v>
      </c>
      <c r="E1030" s="1">
        <f t="shared" si="98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9"/>
        <v>43403</v>
      </c>
      <c r="C1031" s="1">
        <f t="shared" ref="C1031:C1094" si="100">IF(M1031&lt;&gt;0,M1031,C1030)</f>
        <v>5437</v>
      </c>
      <c r="D1031" s="1">
        <f t="shared" ref="D1031:D1094" si="101">IF(N1031&lt;&gt;0,N1031,D1030)</f>
        <v>931</v>
      </c>
      <c r="E1031" s="1">
        <f t="shared" ref="E1031:E1094" si="102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9"/>
        <v>43404</v>
      </c>
      <c r="C1032" s="1">
        <f t="shared" si="100"/>
        <v>5431</v>
      </c>
      <c r="D1032" s="1">
        <f t="shared" si="101"/>
        <v>931</v>
      </c>
      <c r="E1032" s="1">
        <f t="shared" si="102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9"/>
        <v>43405</v>
      </c>
      <c r="C1033" s="1">
        <f t="shared" si="100"/>
        <v>5392</v>
      </c>
      <c r="D1033" s="1">
        <f t="shared" si="101"/>
        <v>921</v>
      </c>
      <c r="E1033" s="1">
        <f t="shared" si="102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9"/>
        <v>43406</v>
      </c>
      <c r="C1034" s="1">
        <f t="shared" si="100"/>
        <v>5360</v>
      </c>
      <c r="D1034" s="1">
        <f t="shared" si="101"/>
        <v>921</v>
      </c>
      <c r="E1034" s="1">
        <f t="shared" si="102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9"/>
        <v>43409</v>
      </c>
      <c r="C1035" s="1">
        <f t="shared" si="100"/>
        <v>5339</v>
      </c>
      <c r="D1035" s="1">
        <f t="shared" si="101"/>
        <v>921</v>
      </c>
      <c r="E1035" s="1">
        <f t="shared" si="102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9"/>
        <v>43410</v>
      </c>
      <c r="C1036" s="1">
        <f t="shared" si="100"/>
        <v>5309</v>
      </c>
      <c r="D1036" s="1">
        <f t="shared" si="101"/>
        <v>921</v>
      </c>
      <c r="E1036" s="1">
        <f t="shared" si="102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9"/>
        <v>43411</v>
      </c>
      <c r="C1037" s="1">
        <f t="shared" si="100"/>
        <v>5238</v>
      </c>
      <c r="D1037" s="1">
        <f t="shared" si="101"/>
        <v>921</v>
      </c>
      <c r="E1037" s="1">
        <f t="shared" si="102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9"/>
        <v>43412</v>
      </c>
      <c r="C1038" s="1">
        <f t="shared" si="100"/>
        <v>5215</v>
      </c>
      <c r="D1038" s="1">
        <f t="shared" si="101"/>
        <v>921</v>
      </c>
      <c r="E1038" s="1">
        <f t="shared" si="102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9"/>
        <v>43413</v>
      </c>
      <c r="C1039" s="1">
        <f t="shared" si="100"/>
        <v>5159</v>
      </c>
      <c r="D1039" s="1">
        <f t="shared" si="101"/>
        <v>941</v>
      </c>
      <c r="E1039" s="1">
        <f t="shared" si="102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9"/>
        <v>43416</v>
      </c>
      <c r="C1040" s="1">
        <f t="shared" si="100"/>
        <v>5128</v>
      </c>
      <c r="D1040" s="1">
        <f t="shared" si="101"/>
        <v>941</v>
      </c>
      <c r="E1040" s="1">
        <f t="shared" si="102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9"/>
        <v>43417</v>
      </c>
      <c r="C1041" s="1">
        <f t="shared" si="100"/>
        <v>5096</v>
      </c>
      <c r="D1041" s="1">
        <f t="shared" si="101"/>
        <v>951</v>
      </c>
      <c r="E1041" s="1">
        <f t="shared" si="102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9"/>
        <v>43418</v>
      </c>
      <c r="C1042" s="1">
        <f t="shared" si="100"/>
        <v>5031</v>
      </c>
      <c r="D1042" s="1">
        <f t="shared" si="101"/>
        <v>971</v>
      </c>
      <c r="E1042" s="1">
        <f t="shared" si="102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9"/>
        <v>43419</v>
      </c>
      <c r="C1043" s="1">
        <f t="shared" si="100"/>
        <v>5014</v>
      </c>
      <c r="D1043" s="1">
        <f t="shared" si="101"/>
        <v>1001</v>
      </c>
      <c r="E1043" s="1">
        <f t="shared" si="102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9"/>
        <v>43420</v>
      </c>
      <c r="C1044" s="1">
        <f t="shared" si="100"/>
        <v>5016</v>
      </c>
      <c r="D1044" s="1">
        <f t="shared" si="101"/>
        <v>1031</v>
      </c>
      <c r="E1044" s="1">
        <f t="shared" si="102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9"/>
        <v>43423</v>
      </c>
      <c r="C1045" s="1">
        <f t="shared" si="100"/>
        <v>5009</v>
      </c>
      <c r="D1045" s="1">
        <f t="shared" si="101"/>
        <v>1041</v>
      </c>
      <c r="E1045" s="1">
        <f t="shared" si="102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9"/>
        <v>43424</v>
      </c>
      <c r="C1046" s="1">
        <f t="shared" si="100"/>
        <v>4983</v>
      </c>
      <c r="D1046" s="1">
        <f t="shared" si="101"/>
        <v>1051</v>
      </c>
      <c r="E1046" s="1">
        <f t="shared" si="102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9"/>
        <v>43425</v>
      </c>
      <c r="C1047" s="1">
        <f t="shared" si="100"/>
        <v>4937</v>
      </c>
      <c r="D1047" s="1">
        <f t="shared" si="101"/>
        <v>1051</v>
      </c>
      <c r="E1047" s="1">
        <f t="shared" si="102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9"/>
        <v>43426</v>
      </c>
      <c r="C1048" s="1">
        <f t="shared" si="100"/>
        <v>4897</v>
      </c>
      <c r="D1048" s="1">
        <f t="shared" si="101"/>
        <v>1051</v>
      </c>
      <c r="E1048" s="1">
        <f t="shared" si="102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9"/>
        <v>43427</v>
      </c>
      <c r="C1049" s="1">
        <f t="shared" si="100"/>
        <v>4869</v>
      </c>
      <c r="D1049" s="1">
        <f t="shared" si="101"/>
        <v>1041</v>
      </c>
      <c r="E1049" s="1">
        <f t="shared" si="102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9"/>
        <v>43430</v>
      </c>
      <c r="C1050" s="1">
        <f t="shared" si="100"/>
        <v>4797</v>
      </c>
      <c r="D1050" s="1">
        <f t="shared" si="101"/>
        <v>1011</v>
      </c>
      <c r="E1050" s="1">
        <f t="shared" si="102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9"/>
        <v>43431</v>
      </c>
      <c r="C1051" s="1">
        <f t="shared" si="100"/>
        <v>4772</v>
      </c>
      <c r="D1051" s="1">
        <f t="shared" si="101"/>
        <v>1011</v>
      </c>
      <c r="E1051" s="1">
        <f t="shared" si="102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9"/>
        <v>43432</v>
      </c>
      <c r="C1052" s="1">
        <f t="shared" si="100"/>
        <v>4760</v>
      </c>
      <c r="D1052" s="1">
        <f t="shared" si="101"/>
        <v>1011</v>
      </c>
      <c r="E1052" s="1">
        <f t="shared" si="102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9"/>
        <v>43433</v>
      </c>
      <c r="C1053" s="1">
        <f t="shared" si="100"/>
        <v>4747</v>
      </c>
      <c r="D1053" s="1">
        <f t="shared" si="101"/>
        <v>1001</v>
      </c>
      <c r="E1053" s="1">
        <f t="shared" si="102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9"/>
        <v>43434</v>
      </c>
      <c r="C1054" s="1">
        <f t="shared" si="100"/>
        <v>4721</v>
      </c>
      <c r="D1054" s="1">
        <f t="shared" si="101"/>
        <v>951</v>
      </c>
      <c r="E1054" s="1">
        <f t="shared" si="102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9"/>
        <v>43437</v>
      </c>
      <c r="C1055" s="1">
        <f t="shared" si="100"/>
        <v>4719</v>
      </c>
      <c r="D1055" s="1">
        <f t="shared" si="101"/>
        <v>941</v>
      </c>
      <c r="E1055" s="1">
        <f t="shared" si="102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9"/>
        <v>43438</v>
      </c>
      <c r="C1056" s="1">
        <f t="shared" si="100"/>
        <v>4754</v>
      </c>
      <c r="D1056" s="1">
        <f t="shared" si="101"/>
        <v>921</v>
      </c>
      <c r="E1056" s="1">
        <f t="shared" si="102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9"/>
        <v>43439</v>
      </c>
      <c r="C1057" s="1">
        <f t="shared" si="100"/>
        <v>4774</v>
      </c>
      <c r="D1057" s="1">
        <f t="shared" si="101"/>
        <v>881</v>
      </c>
      <c r="E1057" s="1">
        <f t="shared" si="102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9"/>
        <v>43440</v>
      </c>
      <c r="C1058" s="1">
        <f t="shared" si="100"/>
        <v>4807</v>
      </c>
      <c r="D1058" s="1">
        <f t="shared" si="101"/>
        <v>861</v>
      </c>
      <c r="E1058" s="1">
        <f t="shared" si="102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9"/>
        <v>43441</v>
      </c>
      <c r="C1059" s="1">
        <f t="shared" si="100"/>
        <v>4837</v>
      </c>
      <c r="D1059" s="1">
        <f t="shared" si="101"/>
        <v>841</v>
      </c>
      <c r="E1059" s="1">
        <f t="shared" si="102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9"/>
        <v>43444</v>
      </c>
      <c r="C1060" s="1">
        <f t="shared" si="100"/>
        <v>4833</v>
      </c>
      <c r="D1060" s="1">
        <f t="shared" si="101"/>
        <v>841</v>
      </c>
      <c r="E1060" s="1">
        <f t="shared" si="102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9"/>
        <v>43445</v>
      </c>
      <c r="C1061" s="1">
        <f t="shared" si="100"/>
        <v>4815</v>
      </c>
      <c r="D1061" s="1">
        <f t="shared" si="101"/>
        <v>851</v>
      </c>
      <c r="E1061" s="1">
        <f t="shared" si="102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9"/>
        <v>43446</v>
      </c>
      <c r="C1062" s="1">
        <f t="shared" si="100"/>
        <v>4794</v>
      </c>
      <c r="D1062" s="1">
        <f t="shared" si="101"/>
        <v>851</v>
      </c>
      <c r="E1062" s="1">
        <f t="shared" si="102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9"/>
        <v>43447</v>
      </c>
      <c r="C1063" s="1">
        <f t="shared" si="100"/>
        <v>4802</v>
      </c>
      <c r="D1063" s="1">
        <f t="shared" si="101"/>
        <v>851</v>
      </c>
      <c r="E1063" s="1">
        <f t="shared" si="102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9"/>
        <v>43448</v>
      </c>
      <c r="C1064" s="1">
        <f t="shared" si="100"/>
        <v>4816</v>
      </c>
      <c r="D1064" s="1">
        <f t="shared" si="101"/>
        <v>871</v>
      </c>
      <c r="E1064" s="1">
        <f t="shared" si="102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9"/>
        <v>43451</v>
      </c>
      <c r="C1065" s="1">
        <f t="shared" si="100"/>
        <v>4825</v>
      </c>
      <c r="D1065" s="1">
        <f t="shared" si="101"/>
        <v>871</v>
      </c>
      <c r="E1065" s="1">
        <f t="shared" si="102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9"/>
        <v>43452</v>
      </c>
      <c r="C1066" s="1">
        <f t="shared" si="100"/>
        <v>4828</v>
      </c>
      <c r="D1066" s="1">
        <f t="shared" si="101"/>
        <v>911</v>
      </c>
      <c r="E1066" s="1">
        <f t="shared" si="102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9"/>
        <v>43453</v>
      </c>
      <c r="C1067" s="1">
        <f t="shared" si="100"/>
        <v>4808</v>
      </c>
      <c r="D1067" s="1">
        <f t="shared" si="101"/>
        <v>931</v>
      </c>
      <c r="E1067" s="1">
        <f t="shared" si="102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9"/>
        <v>43454</v>
      </c>
      <c r="C1068" s="1">
        <f t="shared" si="100"/>
        <v>4796</v>
      </c>
      <c r="D1068" s="1">
        <f t="shared" si="101"/>
        <v>941</v>
      </c>
      <c r="E1068" s="1">
        <f t="shared" si="102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9"/>
        <v>43455</v>
      </c>
      <c r="C1069" s="1">
        <f t="shared" si="100"/>
        <v>4779</v>
      </c>
      <c r="D1069" s="1">
        <f t="shared" si="101"/>
        <v>941</v>
      </c>
      <c r="E1069" s="1">
        <f t="shared" si="102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9"/>
        <v>43458</v>
      </c>
      <c r="C1070" s="1">
        <f t="shared" si="100"/>
        <v>4745</v>
      </c>
      <c r="D1070" s="1">
        <f t="shared" si="101"/>
        <v>941</v>
      </c>
      <c r="E1070" s="1">
        <f t="shared" si="102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9"/>
        <v>43459</v>
      </c>
      <c r="C1071" s="1">
        <f t="shared" si="100"/>
        <v>4704</v>
      </c>
      <c r="D1071" s="1">
        <f t="shared" si="101"/>
        <v>941</v>
      </c>
      <c r="E1071" s="1">
        <f t="shared" si="102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9"/>
        <v>43460</v>
      </c>
      <c r="C1072" s="1">
        <f t="shared" si="100"/>
        <v>4692</v>
      </c>
      <c r="D1072" s="1">
        <f t="shared" si="101"/>
        <v>941</v>
      </c>
      <c r="E1072" s="1">
        <f t="shared" si="102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9"/>
        <v>43461</v>
      </c>
      <c r="C1073" s="1">
        <f t="shared" si="100"/>
        <v>4659</v>
      </c>
      <c r="D1073" s="1">
        <f t="shared" si="101"/>
        <v>931</v>
      </c>
      <c r="E1073" s="1">
        <f t="shared" si="102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9"/>
        <v>43462</v>
      </c>
      <c r="C1074" s="1">
        <f t="shared" si="100"/>
        <v>4643</v>
      </c>
      <c r="D1074" s="1">
        <f t="shared" si="101"/>
        <v>931</v>
      </c>
      <c r="E1074" s="1">
        <f t="shared" si="102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9"/>
        <v>43463</v>
      </c>
      <c r="C1075" s="1">
        <f t="shared" si="100"/>
        <v>4637</v>
      </c>
      <c r="D1075" s="1">
        <f t="shared" si="101"/>
        <v>931</v>
      </c>
      <c r="E1075" s="1">
        <f t="shared" si="102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9"/>
        <v>43467</v>
      </c>
      <c r="C1076" s="1">
        <f t="shared" si="100"/>
        <v>4611</v>
      </c>
      <c r="D1076" s="1">
        <f t="shared" si="101"/>
        <v>931</v>
      </c>
      <c r="E1076" s="1">
        <f t="shared" si="102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9"/>
        <v>43468</v>
      </c>
      <c r="C1077" s="1">
        <f t="shared" si="100"/>
        <v>4601</v>
      </c>
      <c r="D1077" s="1">
        <f t="shared" si="101"/>
        <v>901</v>
      </c>
      <c r="E1077" s="1">
        <f t="shared" si="102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9"/>
        <v>43469</v>
      </c>
      <c r="C1078" s="1">
        <f t="shared" si="100"/>
        <v>4607</v>
      </c>
      <c r="D1078" s="1">
        <f t="shared" si="101"/>
        <v>871</v>
      </c>
      <c r="E1078" s="1">
        <f t="shared" si="102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9"/>
        <v>43472</v>
      </c>
      <c r="C1079" s="1">
        <f t="shared" si="100"/>
        <v>4624</v>
      </c>
      <c r="D1079" s="1">
        <f t="shared" si="101"/>
        <v>871</v>
      </c>
      <c r="E1079" s="1">
        <f t="shared" si="102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9"/>
        <v>43473</v>
      </c>
      <c r="C1080" s="1">
        <f t="shared" si="100"/>
        <v>4628</v>
      </c>
      <c r="D1080" s="1">
        <f t="shared" si="101"/>
        <v>871</v>
      </c>
      <c r="E1080" s="1">
        <f t="shared" si="102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9"/>
        <v>43474</v>
      </c>
      <c r="C1081" s="1">
        <f t="shared" si="100"/>
        <v>4639</v>
      </c>
      <c r="D1081" s="1">
        <f t="shared" si="101"/>
        <v>871</v>
      </c>
      <c r="E1081" s="1">
        <f t="shared" si="102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9"/>
        <v>43475</v>
      </c>
      <c r="C1082" s="1">
        <f t="shared" si="100"/>
        <v>4657</v>
      </c>
      <c r="D1082" s="1">
        <f t="shared" si="101"/>
        <v>871</v>
      </c>
      <c r="E1082" s="1">
        <f t="shared" si="102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9"/>
        <v>43476</v>
      </c>
      <c r="C1083" s="1">
        <f t="shared" si="100"/>
        <v>4656</v>
      </c>
      <c r="D1083" s="1">
        <f t="shared" si="101"/>
        <v>871</v>
      </c>
      <c r="E1083" s="1">
        <f t="shared" si="102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9"/>
        <v>43479</v>
      </c>
      <c r="C1084" s="1">
        <f t="shared" si="100"/>
        <v>4659</v>
      </c>
      <c r="D1084" s="1">
        <f t="shared" si="101"/>
        <v>881</v>
      </c>
      <c r="E1084" s="1">
        <f t="shared" si="102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9"/>
        <v>43480</v>
      </c>
      <c r="C1085" s="1">
        <f t="shared" si="100"/>
        <v>4661</v>
      </c>
      <c r="D1085" s="1">
        <f t="shared" si="101"/>
        <v>881</v>
      </c>
      <c r="E1085" s="1">
        <f t="shared" si="102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9"/>
        <v>43481</v>
      </c>
      <c r="C1086" s="1">
        <f t="shared" si="100"/>
        <v>4661</v>
      </c>
      <c r="D1086" s="1">
        <f t="shared" si="101"/>
        <v>901</v>
      </c>
      <c r="E1086" s="1">
        <f t="shared" si="102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9"/>
        <v>43482</v>
      </c>
      <c r="C1087" s="1">
        <f t="shared" si="100"/>
        <v>4650</v>
      </c>
      <c r="D1087" s="1">
        <f t="shared" si="101"/>
        <v>911</v>
      </c>
      <c r="E1087" s="1">
        <f t="shared" si="102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9"/>
        <v>43483</v>
      </c>
      <c r="C1088" s="1">
        <f t="shared" si="100"/>
        <v>4643</v>
      </c>
      <c r="D1088" s="1">
        <f t="shared" si="101"/>
        <v>956</v>
      </c>
      <c r="E1088" s="1">
        <f t="shared" si="102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9"/>
        <v>43486</v>
      </c>
      <c r="C1089" s="1">
        <f t="shared" si="100"/>
        <v>4662</v>
      </c>
      <c r="D1089" s="1">
        <f t="shared" si="101"/>
        <v>956</v>
      </c>
      <c r="E1089" s="1">
        <f t="shared" si="102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9"/>
        <v>43487</v>
      </c>
      <c r="C1090" s="1">
        <f t="shared" si="100"/>
        <v>4677</v>
      </c>
      <c r="D1090" s="1">
        <f t="shared" si="101"/>
        <v>956</v>
      </c>
      <c r="E1090" s="1">
        <f t="shared" si="102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9"/>
        <v>43488</v>
      </c>
      <c r="C1091" s="1">
        <f t="shared" si="100"/>
        <v>4669</v>
      </c>
      <c r="D1091" s="1">
        <f t="shared" si="101"/>
        <v>1001</v>
      </c>
      <c r="E1091" s="1">
        <f t="shared" si="102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9"/>
        <v>43489</v>
      </c>
      <c r="C1092" s="1">
        <f t="shared" si="100"/>
        <v>4660</v>
      </c>
      <c r="D1092" s="1">
        <f t="shared" si="101"/>
        <v>1041</v>
      </c>
      <c r="E1092" s="1">
        <f t="shared" si="102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9"/>
        <v>43490</v>
      </c>
      <c r="C1093" s="1">
        <f t="shared" si="100"/>
        <v>4668</v>
      </c>
      <c r="D1093" s="1">
        <f t="shared" si="101"/>
        <v>1041</v>
      </c>
      <c r="E1093" s="1">
        <f t="shared" si="102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103">L1094</f>
        <v>43493</v>
      </c>
      <c r="C1094" s="1">
        <f t="shared" si="100"/>
        <v>4660</v>
      </c>
      <c r="D1094" s="1">
        <f t="shared" si="101"/>
        <v>1041</v>
      </c>
      <c r="E1094" s="1">
        <f t="shared" si="102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103"/>
        <v>43494</v>
      </c>
      <c r="C1095" s="1">
        <f t="shared" ref="C1095:C1158" si="104">IF(M1095&lt;&gt;0,M1095,C1094)</f>
        <v>4643</v>
      </c>
      <c r="D1095" s="1">
        <f t="shared" ref="D1095:D1158" si="105">IF(N1095&lt;&gt;0,N1095,D1094)</f>
        <v>1041</v>
      </c>
      <c r="E1095" s="1">
        <f t="shared" ref="E1095:E1158" si="106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103"/>
        <v>43495</v>
      </c>
      <c r="C1096" s="1">
        <f t="shared" si="104"/>
        <v>4643</v>
      </c>
      <c r="D1096" s="1">
        <f t="shared" si="105"/>
        <v>1041</v>
      </c>
      <c r="E1096" s="1">
        <f t="shared" si="106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103"/>
        <v>43496</v>
      </c>
      <c r="C1097" s="1">
        <f t="shared" si="104"/>
        <v>4655</v>
      </c>
      <c r="D1097" s="1">
        <f t="shared" si="105"/>
        <v>1076</v>
      </c>
      <c r="E1097" s="1">
        <f t="shared" si="106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103"/>
        <v>43497</v>
      </c>
      <c r="C1098" s="1">
        <f t="shared" si="104"/>
        <v>4666</v>
      </c>
      <c r="D1098" s="1">
        <f t="shared" si="105"/>
        <v>1086</v>
      </c>
      <c r="E1098" s="1">
        <f t="shared" si="106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103"/>
        <v>43498</v>
      </c>
      <c r="C1099" s="1">
        <f t="shared" si="104"/>
        <v>4663</v>
      </c>
      <c r="D1099" s="1">
        <f t="shared" si="105"/>
        <v>1086</v>
      </c>
      <c r="E1099" s="1">
        <f t="shared" si="106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103"/>
        <v>43499</v>
      </c>
      <c r="C1100" s="1">
        <f t="shared" si="104"/>
        <v>4663</v>
      </c>
      <c r="D1100" s="1">
        <f t="shared" si="105"/>
        <v>1086</v>
      </c>
      <c r="E1100" s="1">
        <f t="shared" si="106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103"/>
        <v>43500</v>
      </c>
      <c r="C1101" s="1">
        <f t="shared" si="104"/>
        <v>4663</v>
      </c>
      <c r="D1101" s="1">
        <f t="shared" si="105"/>
        <v>1086</v>
      </c>
      <c r="E1101" s="1">
        <f t="shared" si="106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103"/>
        <v>43501</v>
      </c>
      <c r="C1102" s="1">
        <f t="shared" si="104"/>
        <v>4663</v>
      </c>
      <c r="D1102" s="1">
        <f t="shared" si="105"/>
        <v>1086</v>
      </c>
      <c r="E1102" s="1">
        <f t="shared" si="106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103"/>
        <v>43502</v>
      </c>
      <c r="C1103" s="1">
        <f t="shared" si="104"/>
        <v>4663</v>
      </c>
      <c r="D1103" s="1">
        <f t="shared" si="105"/>
        <v>1086</v>
      </c>
      <c r="E1103" s="1">
        <f t="shared" si="106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103"/>
        <v>43503</v>
      </c>
      <c r="C1104" s="1">
        <f t="shared" si="104"/>
        <v>4663</v>
      </c>
      <c r="D1104" s="1">
        <f t="shared" si="105"/>
        <v>1086</v>
      </c>
      <c r="E1104" s="1">
        <f t="shared" si="106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103"/>
        <v>43504</v>
      </c>
      <c r="C1105" s="1">
        <f t="shared" si="104"/>
        <v>4663</v>
      </c>
      <c r="D1105" s="1">
        <f t="shared" si="105"/>
        <v>1086</v>
      </c>
      <c r="E1105" s="1">
        <f t="shared" si="106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103"/>
        <v>43507</v>
      </c>
      <c r="C1106" s="1">
        <f t="shared" si="104"/>
        <v>4668</v>
      </c>
      <c r="D1106" s="1">
        <f t="shared" si="105"/>
        <v>1101</v>
      </c>
      <c r="E1106" s="1">
        <f t="shared" si="106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103"/>
        <v>43508</v>
      </c>
      <c r="C1107" s="1">
        <f t="shared" si="104"/>
        <v>4681</v>
      </c>
      <c r="D1107" s="1">
        <f t="shared" si="105"/>
        <v>1131</v>
      </c>
      <c r="E1107" s="1">
        <f t="shared" si="106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103"/>
        <v>43509</v>
      </c>
      <c r="C1108" s="1">
        <f t="shared" si="104"/>
        <v>4663</v>
      </c>
      <c r="D1108" s="1">
        <f t="shared" si="105"/>
        <v>1161</v>
      </c>
      <c r="E1108" s="1">
        <f t="shared" si="106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103"/>
        <v>43510</v>
      </c>
      <c r="C1109" s="1">
        <f t="shared" si="104"/>
        <v>4653</v>
      </c>
      <c r="D1109" s="1">
        <f t="shared" si="105"/>
        <v>1181</v>
      </c>
      <c r="E1109" s="1">
        <f t="shared" si="106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103"/>
        <v>43511</v>
      </c>
      <c r="C1110" s="1">
        <f t="shared" si="104"/>
        <v>4644</v>
      </c>
      <c r="D1110" s="1">
        <f t="shared" si="105"/>
        <v>1196</v>
      </c>
      <c r="E1110" s="1">
        <f t="shared" si="106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103"/>
        <v>43514</v>
      </c>
      <c r="C1111" s="1">
        <f t="shared" si="104"/>
        <v>4649</v>
      </c>
      <c r="D1111" s="1">
        <f t="shared" si="105"/>
        <v>1201</v>
      </c>
      <c r="E1111" s="1">
        <f t="shared" si="106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103"/>
        <v>43515</v>
      </c>
      <c r="C1112" s="1">
        <f t="shared" si="104"/>
        <v>4647</v>
      </c>
      <c r="D1112" s="1">
        <f t="shared" si="105"/>
        <v>1201</v>
      </c>
      <c r="E1112" s="1">
        <f t="shared" si="106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103"/>
        <v>43516</v>
      </c>
      <c r="C1113" s="1">
        <f t="shared" si="104"/>
        <v>4644</v>
      </c>
      <c r="D1113" s="1">
        <f t="shared" si="105"/>
        <v>1201</v>
      </c>
      <c r="E1113" s="1">
        <f t="shared" si="106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103"/>
        <v>43517</v>
      </c>
      <c r="C1114" s="1">
        <f t="shared" si="104"/>
        <v>4647</v>
      </c>
      <c r="D1114" s="1">
        <f t="shared" si="105"/>
        <v>1201</v>
      </c>
      <c r="E1114" s="1">
        <f t="shared" si="106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103"/>
        <v>43518</v>
      </c>
      <c r="C1115" s="1">
        <f t="shared" si="104"/>
        <v>4643</v>
      </c>
      <c r="D1115" s="1">
        <f t="shared" si="105"/>
        <v>1201</v>
      </c>
      <c r="E1115" s="1">
        <f t="shared" si="106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103"/>
        <v>43521</v>
      </c>
      <c r="C1116" s="1">
        <f t="shared" si="104"/>
        <v>4642</v>
      </c>
      <c r="D1116" s="1">
        <f t="shared" si="105"/>
        <v>1196</v>
      </c>
      <c r="E1116" s="1">
        <f t="shared" si="106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103"/>
        <v>43522</v>
      </c>
      <c r="C1117" s="1">
        <f t="shared" si="104"/>
        <v>4646</v>
      </c>
      <c r="D1117" s="1">
        <f t="shared" si="105"/>
        <v>1196</v>
      </c>
      <c r="E1117" s="1">
        <f t="shared" si="106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103"/>
        <v>43523</v>
      </c>
      <c r="C1118" s="1">
        <f t="shared" si="104"/>
        <v>4635</v>
      </c>
      <c r="D1118" s="1">
        <f t="shared" si="105"/>
        <v>1191</v>
      </c>
      <c r="E1118" s="1">
        <f t="shared" si="106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103"/>
        <v>43524</v>
      </c>
      <c r="C1119" s="1">
        <f t="shared" si="104"/>
        <v>4631</v>
      </c>
      <c r="D1119" s="1">
        <f t="shared" si="105"/>
        <v>1176</v>
      </c>
      <c r="E1119" s="1">
        <f t="shared" si="106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103"/>
        <v>43525</v>
      </c>
      <c r="C1120" s="1">
        <f t="shared" si="104"/>
        <v>4637</v>
      </c>
      <c r="D1120" s="1">
        <f t="shared" si="105"/>
        <v>1151</v>
      </c>
      <c r="E1120" s="1">
        <f t="shared" si="106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103"/>
        <v>43528</v>
      </c>
      <c r="C1121" s="1">
        <f t="shared" si="104"/>
        <v>4673</v>
      </c>
      <c r="D1121" s="1">
        <f t="shared" si="105"/>
        <v>1131</v>
      </c>
      <c r="E1121" s="1">
        <f t="shared" si="106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103"/>
        <v>43529</v>
      </c>
      <c r="C1122" s="1">
        <f t="shared" si="104"/>
        <v>4672</v>
      </c>
      <c r="D1122" s="1">
        <f t="shared" si="105"/>
        <v>1101</v>
      </c>
      <c r="E1122" s="1">
        <f t="shared" si="106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103"/>
        <v>43530</v>
      </c>
      <c r="C1123" s="1">
        <f t="shared" si="104"/>
        <v>4706</v>
      </c>
      <c r="D1123" s="1">
        <f t="shared" si="105"/>
        <v>1071</v>
      </c>
      <c r="E1123" s="1">
        <f t="shared" si="106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103"/>
        <v>43531</v>
      </c>
      <c r="C1124" s="1">
        <f t="shared" si="104"/>
        <v>4728</v>
      </c>
      <c r="D1124" s="1">
        <f t="shared" si="105"/>
        <v>1061</v>
      </c>
      <c r="E1124" s="1">
        <f t="shared" si="106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103"/>
        <v>43532</v>
      </c>
      <c r="C1125" s="1">
        <f t="shared" si="104"/>
        <v>4726</v>
      </c>
      <c r="D1125" s="1">
        <f t="shared" si="105"/>
        <v>1031</v>
      </c>
      <c r="E1125" s="1">
        <f t="shared" si="106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103"/>
        <v>43535</v>
      </c>
      <c r="C1126" s="1">
        <f t="shared" si="104"/>
        <v>4725</v>
      </c>
      <c r="D1126" s="1">
        <f t="shared" si="105"/>
        <v>1031</v>
      </c>
      <c r="E1126" s="1">
        <f t="shared" si="106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103"/>
        <v>43536</v>
      </c>
      <c r="C1127" s="1">
        <f t="shared" si="104"/>
        <v>4710</v>
      </c>
      <c r="D1127" s="1">
        <f t="shared" si="105"/>
        <v>1031</v>
      </c>
      <c r="E1127" s="1">
        <f t="shared" si="106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103"/>
        <v>43537</v>
      </c>
      <c r="C1128" s="1">
        <f t="shared" si="104"/>
        <v>4706</v>
      </c>
      <c r="D1128" s="1">
        <f t="shared" si="105"/>
        <v>1031</v>
      </c>
      <c r="E1128" s="1">
        <f t="shared" si="106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103"/>
        <v>43538</v>
      </c>
      <c r="C1129" s="1">
        <f t="shared" si="104"/>
        <v>4705</v>
      </c>
      <c r="D1129" s="1">
        <f t="shared" si="105"/>
        <v>1056</v>
      </c>
      <c r="E1129" s="1">
        <f t="shared" si="106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103"/>
        <v>43539</v>
      </c>
      <c r="C1130" s="1">
        <f t="shared" si="104"/>
        <v>4701</v>
      </c>
      <c r="D1130" s="1">
        <f t="shared" si="105"/>
        <v>1066</v>
      </c>
      <c r="E1130" s="1">
        <f t="shared" si="106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103"/>
        <v>43542</v>
      </c>
      <c r="C1131" s="1">
        <f t="shared" si="104"/>
        <v>4678</v>
      </c>
      <c r="D1131" s="1">
        <f t="shared" si="105"/>
        <v>1066</v>
      </c>
      <c r="E1131" s="1">
        <f t="shared" si="106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103"/>
        <v>43543</v>
      </c>
      <c r="C1132" s="1">
        <f t="shared" si="104"/>
        <v>4657</v>
      </c>
      <c r="D1132" s="1">
        <f t="shared" si="105"/>
        <v>1076</v>
      </c>
      <c r="E1132" s="1">
        <f t="shared" si="106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103"/>
        <v>43544</v>
      </c>
      <c r="C1133" s="1">
        <f t="shared" si="104"/>
        <v>4645</v>
      </c>
      <c r="D1133" s="1">
        <f t="shared" si="105"/>
        <v>1091</v>
      </c>
      <c r="E1133" s="1">
        <f t="shared" si="106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103"/>
        <v>43545</v>
      </c>
      <c r="C1134" s="1">
        <f t="shared" si="104"/>
        <v>4646</v>
      </c>
      <c r="D1134" s="1">
        <f t="shared" si="105"/>
        <v>1096</v>
      </c>
      <c r="E1134" s="1">
        <f t="shared" si="106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103"/>
        <v>43546</v>
      </c>
      <c r="C1135" s="1">
        <f t="shared" si="104"/>
        <v>4654</v>
      </c>
      <c r="D1135" s="1">
        <f t="shared" si="105"/>
        <v>1096</v>
      </c>
      <c r="E1135" s="1">
        <f t="shared" si="106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103"/>
        <v>43549</v>
      </c>
      <c r="C1136" s="1">
        <f t="shared" si="104"/>
        <v>4654</v>
      </c>
      <c r="D1136" s="1">
        <f t="shared" si="105"/>
        <v>1096</v>
      </c>
      <c r="E1136" s="1">
        <f t="shared" si="106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103"/>
        <v>43550</v>
      </c>
      <c r="C1137" s="1">
        <f t="shared" si="104"/>
        <v>4658</v>
      </c>
      <c r="D1137" s="1">
        <f t="shared" si="105"/>
        <v>1096</v>
      </c>
      <c r="E1137" s="1">
        <f t="shared" si="106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103"/>
        <v>43551</v>
      </c>
      <c r="C1138" s="1">
        <f t="shared" si="104"/>
        <v>4656</v>
      </c>
      <c r="D1138" s="1">
        <f t="shared" si="105"/>
        <v>1096</v>
      </c>
      <c r="E1138" s="1">
        <f t="shared" si="106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103"/>
        <v>43552</v>
      </c>
      <c r="C1139" s="1">
        <f t="shared" si="104"/>
        <v>4644</v>
      </c>
      <c r="D1139" s="1">
        <f t="shared" si="105"/>
        <v>1051</v>
      </c>
      <c r="E1139" s="1">
        <f t="shared" si="106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103"/>
        <v>43553</v>
      </c>
      <c r="C1140" s="1">
        <f t="shared" si="104"/>
        <v>4653</v>
      </c>
      <c r="D1140" s="1">
        <f t="shared" si="105"/>
        <v>1021</v>
      </c>
      <c r="E1140" s="1">
        <f t="shared" si="106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103"/>
        <v>43556</v>
      </c>
      <c r="C1141" s="1">
        <f t="shared" si="104"/>
        <v>4654</v>
      </c>
      <c r="D1141" s="1">
        <f t="shared" si="105"/>
        <v>1021</v>
      </c>
      <c r="E1141" s="1">
        <f t="shared" si="106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103"/>
        <v>43557</v>
      </c>
      <c r="C1142" s="1">
        <f t="shared" si="104"/>
        <v>4641</v>
      </c>
      <c r="D1142" s="1">
        <f t="shared" si="105"/>
        <v>1021</v>
      </c>
      <c r="E1142" s="1">
        <f t="shared" si="106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103"/>
        <v>43558</v>
      </c>
      <c r="C1143" s="1">
        <f t="shared" si="104"/>
        <v>4633</v>
      </c>
      <c r="D1143" s="1">
        <f t="shared" si="105"/>
        <v>1021</v>
      </c>
      <c r="E1143" s="1">
        <f t="shared" si="106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103"/>
        <v>43559</v>
      </c>
      <c r="C1144" s="1">
        <f t="shared" si="104"/>
        <v>4616</v>
      </c>
      <c r="D1144" s="1">
        <f t="shared" si="105"/>
        <v>1021</v>
      </c>
      <c r="E1144" s="1">
        <f t="shared" si="106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103"/>
        <v>43560</v>
      </c>
      <c r="C1145" s="1">
        <f t="shared" si="104"/>
        <v>4616</v>
      </c>
      <c r="D1145" s="1">
        <f t="shared" si="105"/>
        <v>1021</v>
      </c>
      <c r="E1145" s="1">
        <f t="shared" si="106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103"/>
        <v>43563</v>
      </c>
      <c r="C1146" s="1">
        <f t="shared" si="104"/>
        <v>4649</v>
      </c>
      <c r="D1146" s="1">
        <f t="shared" si="105"/>
        <v>1031</v>
      </c>
      <c r="E1146" s="1">
        <f t="shared" si="106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103"/>
        <v>43564</v>
      </c>
      <c r="C1147" s="1">
        <f t="shared" si="104"/>
        <v>4657</v>
      </c>
      <c r="D1147" s="1">
        <f t="shared" si="105"/>
        <v>1031</v>
      </c>
      <c r="E1147" s="1">
        <f t="shared" si="106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103"/>
        <v>43565</v>
      </c>
      <c r="C1148" s="1">
        <f t="shared" si="104"/>
        <v>4652</v>
      </c>
      <c r="D1148" s="1">
        <f t="shared" si="105"/>
        <v>1026</v>
      </c>
      <c r="E1148" s="1">
        <f t="shared" si="106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103"/>
        <v>43566</v>
      </c>
      <c r="C1149" s="1">
        <f t="shared" si="104"/>
        <v>4657</v>
      </c>
      <c r="D1149" s="1">
        <f t="shared" si="105"/>
        <v>1026</v>
      </c>
      <c r="E1149" s="1">
        <f t="shared" si="106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103"/>
        <v>43567</v>
      </c>
      <c r="C1150" s="1">
        <f t="shared" si="104"/>
        <v>4669</v>
      </c>
      <c r="D1150" s="1">
        <f t="shared" si="105"/>
        <v>1026</v>
      </c>
      <c r="E1150" s="1">
        <f t="shared" si="106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103"/>
        <v>43570</v>
      </c>
      <c r="C1151" s="1">
        <f t="shared" si="104"/>
        <v>4683</v>
      </c>
      <c r="D1151" s="1">
        <f t="shared" si="105"/>
        <v>1021</v>
      </c>
      <c r="E1151" s="1">
        <f t="shared" si="106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103"/>
        <v>43571</v>
      </c>
      <c r="C1152" s="1">
        <f t="shared" si="104"/>
        <v>4677</v>
      </c>
      <c r="D1152" s="1">
        <f t="shared" si="105"/>
        <v>1016</v>
      </c>
      <c r="E1152" s="1">
        <f t="shared" si="106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103"/>
        <v>43572</v>
      </c>
      <c r="C1153" s="1">
        <f t="shared" si="104"/>
        <v>4678</v>
      </c>
      <c r="D1153" s="1">
        <f t="shared" si="105"/>
        <v>991</v>
      </c>
      <c r="E1153" s="1">
        <f t="shared" si="106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103"/>
        <v>43573</v>
      </c>
      <c r="C1154" s="1">
        <f t="shared" si="104"/>
        <v>4663</v>
      </c>
      <c r="D1154" s="1">
        <f t="shared" si="105"/>
        <v>991</v>
      </c>
      <c r="E1154" s="1">
        <f t="shared" si="106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103"/>
        <v>43574</v>
      </c>
      <c r="C1155" s="1">
        <f t="shared" si="104"/>
        <v>4652</v>
      </c>
      <c r="D1155" s="1">
        <f t="shared" si="105"/>
        <v>991</v>
      </c>
      <c r="E1155" s="1">
        <f t="shared" si="106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103"/>
        <v>43577</v>
      </c>
      <c r="C1156" s="1">
        <f t="shared" si="104"/>
        <v>4651</v>
      </c>
      <c r="D1156" s="1">
        <f t="shared" si="105"/>
        <v>991</v>
      </c>
      <c r="E1156" s="1">
        <f t="shared" si="106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103"/>
        <v>43578</v>
      </c>
      <c r="C1157" s="1">
        <f t="shared" si="104"/>
        <v>4643</v>
      </c>
      <c r="D1157" s="1">
        <f t="shared" si="105"/>
        <v>966</v>
      </c>
      <c r="E1157" s="1">
        <f t="shared" si="106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7">L1158</f>
        <v>43579</v>
      </c>
      <c r="C1158" s="1">
        <f t="shared" si="104"/>
        <v>4634</v>
      </c>
      <c r="D1158" s="1">
        <f t="shared" si="105"/>
        <v>966</v>
      </c>
      <c r="E1158" s="1">
        <f t="shared" si="106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7"/>
        <v>43580</v>
      </c>
      <c r="C1159" s="1">
        <f t="shared" ref="C1159:C1222" si="108">IF(M1159&lt;&gt;0,M1159,C1158)</f>
        <v>4629</v>
      </c>
      <c r="D1159" s="1">
        <f t="shared" ref="D1159:D1222" si="109">IF(N1159&lt;&gt;0,N1159,D1158)</f>
        <v>961</v>
      </c>
      <c r="E1159" s="1">
        <f t="shared" ref="E1159:E1222" si="110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7"/>
        <v>43581</v>
      </c>
      <c r="C1160" s="1">
        <f t="shared" si="108"/>
        <v>4618</v>
      </c>
      <c r="D1160" s="1">
        <f t="shared" si="109"/>
        <v>951</v>
      </c>
      <c r="E1160" s="1">
        <f t="shared" si="110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7"/>
        <v>43583</v>
      </c>
      <c r="C1161" s="1">
        <f t="shared" si="108"/>
        <v>4620</v>
      </c>
      <c r="D1161" s="1">
        <f t="shared" si="109"/>
        <v>951</v>
      </c>
      <c r="E1161" s="1">
        <f t="shared" si="110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7"/>
        <v>43584</v>
      </c>
      <c r="C1162" s="1">
        <f t="shared" si="108"/>
        <v>4621</v>
      </c>
      <c r="D1162" s="1">
        <f t="shared" si="109"/>
        <v>951</v>
      </c>
      <c r="E1162" s="1">
        <f t="shared" si="110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7"/>
        <v>43585</v>
      </c>
      <c r="C1163" s="1">
        <f t="shared" si="108"/>
        <v>4615</v>
      </c>
      <c r="D1163" s="1">
        <f t="shared" si="109"/>
        <v>941</v>
      </c>
      <c r="E1163" s="1">
        <f t="shared" si="110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7"/>
        <v>43586</v>
      </c>
      <c r="C1164" s="1">
        <f t="shared" si="108"/>
        <v>4615</v>
      </c>
      <c r="D1164" s="1">
        <f t="shared" si="109"/>
        <v>941</v>
      </c>
      <c r="E1164" s="1">
        <f t="shared" si="110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7"/>
        <v>43587</v>
      </c>
      <c r="C1165" s="1">
        <f t="shared" si="108"/>
        <v>4615</v>
      </c>
      <c r="D1165" s="1">
        <f t="shared" si="109"/>
        <v>941</v>
      </c>
      <c r="E1165" s="1">
        <f t="shared" si="110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7"/>
        <v>43588</v>
      </c>
      <c r="C1166" s="1">
        <f t="shared" si="108"/>
        <v>4615</v>
      </c>
      <c r="D1166" s="1">
        <f t="shared" si="109"/>
        <v>931</v>
      </c>
      <c r="E1166" s="1">
        <f t="shared" si="110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7"/>
        <v>43590</v>
      </c>
      <c r="C1167" s="1">
        <f t="shared" si="108"/>
        <v>4596</v>
      </c>
      <c r="D1167" s="1">
        <f t="shared" si="109"/>
        <v>931</v>
      </c>
      <c r="E1167" s="1">
        <f t="shared" si="110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7"/>
        <v>43591</v>
      </c>
      <c r="C1168" s="1">
        <f t="shared" si="108"/>
        <v>4599</v>
      </c>
      <c r="D1168" s="1">
        <f t="shared" si="109"/>
        <v>951</v>
      </c>
      <c r="E1168" s="1">
        <f t="shared" si="110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7"/>
        <v>43592</v>
      </c>
      <c r="C1169" s="1">
        <f t="shared" si="108"/>
        <v>4590</v>
      </c>
      <c r="D1169" s="1">
        <f t="shared" si="109"/>
        <v>961</v>
      </c>
      <c r="E1169" s="1">
        <f t="shared" si="110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7"/>
        <v>43593</v>
      </c>
      <c r="C1170" s="1">
        <f t="shared" si="108"/>
        <v>4584</v>
      </c>
      <c r="D1170" s="1">
        <f t="shared" si="109"/>
        <v>961</v>
      </c>
      <c r="E1170" s="1">
        <f t="shared" si="110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7"/>
        <v>43594</v>
      </c>
      <c r="C1171" s="1">
        <f t="shared" si="108"/>
        <v>4560</v>
      </c>
      <c r="D1171" s="1">
        <f t="shared" si="109"/>
        <v>961</v>
      </c>
      <c r="E1171" s="1">
        <f t="shared" si="110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7"/>
        <v>43595</v>
      </c>
      <c r="C1172" s="1">
        <f t="shared" si="108"/>
        <v>4553</v>
      </c>
      <c r="D1172" s="1">
        <f t="shared" si="109"/>
        <v>981</v>
      </c>
      <c r="E1172" s="1">
        <f t="shared" si="110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7"/>
        <v>43598</v>
      </c>
      <c r="C1173" s="1">
        <f t="shared" si="108"/>
        <v>4538</v>
      </c>
      <c r="D1173" s="1">
        <f t="shared" si="109"/>
        <v>981</v>
      </c>
      <c r="E1173" s="1">
        <f t="shared" si="110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7"/>
        <v>43599</v>
      </c>
      <c r="C1174" s="1">
        <f t="shared" si="108"/>
        <v>4506</v>
      </c>
      <c r="D1174" s="1">
        <f t="shared" si="109"/>
        <v>981</v>
      </c>
      <c r="E1174" s="1">
        <f t="shared" si="110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7"/>
        <v>43600</v>
      </c>
      <c r="C1175" s="1">
        <f t="shared" si="108"/>
        <v>4441</v>
      </c>
      <c r="D1175" s="1">
        <f t="shared" si="109"/>
        <v>981</v>
      </c>
      <c r="E1175" s="1">
        <f t="shared" si="110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7"/>
        <v>43601</v>
      </c>
      <c r="C1176" s="1">
        <f t="shared" si="108"/>
        <v>4422</v>
      </c>
      <c r="D1176" s="1">
        <f t="shared" si="109"/>
        <v>981</v>
      </c>
      <c r="E1176" s="1">
        <f t="shared" si="110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7"/>
        <v>43602</v>
      </c>
      <c r="C1177" s="1">
        <f t="shared" si="108"/>
        <v>4407</v>
      </c>
      <c r="D1177" s="1">
        <f t="shared" si="109"/>
        <v>981</v>
      </c>
      <c r="E1177" s="1">
        <f t="shared" si="110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7"/>
        <v>43605</v>
      </c>
      <c r="C1178" s="1">
        <f t="shared" si="108"/>
        <v>4414</v>
      </c>
      <c r="D1178" s="1">
        <f t="shared" si="109"/>
        <v>981</v>
      </c>
      <c r="E1178" s="1">
        <f t="shared" si="110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7"/>
        <v>43606</v>
      </c>
      <c r="C1179" s="1">
        <f t="shared" si="108"/>
        <v>4396</v>
      </c>
      <c r="D1179" s="1">
        <f t="shared" si="109"/>
        <v>1006</v>
      </c>
      <c r="E1179" s="1">
        <f t="shared" si="110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7"/>
        <v>43607</v>
      </c>
      <c r="C1180" s="1">
        <f t="shared" si="108"/>
        <v>4381</v>
      </c>
      <c r="D1180" s="1">
        <f t="shared" si="109"/>
        <v>1011</v>
      </c>
      <c r="E1180" s="1">
        <f t="shared" si="110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7"/>
        <v>43608</v>
      </c>
      <c r="C1181" s="1">
        <f t="shared" si="108"/>
        <v>4351</v>
      </c>
      <c r="D1181" s="1">
        <f t="shared" si="109"/>
        <v>1021</v>
      </c>
      <c r="E1181" s="1">
        <f t="shared" si="110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7"/>
        <v>43609</v>
      </c>
      <c r="C1182" s="1">
        <f t="shared" si="108"/>
        <v>4317</v>
      </c>
      <c r="D1182" s="1">
        <f t="shared" si="109"/>
        <v>1021</v>
      </c>
      <c r="E1182" s="1">
        <f t="shared" si="110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7"/>
        <v>43612</v>
      </c>
      <c r="C1183" s="1">
        <f t="shared" si="108"/>
        <v>4309</v>
      </c>
      <c r="D1183" s="1">
        <f t="shared" si="109"/>
        <v>1021</v>
      </c>
      <c r="E1183" s="1">
        <f t="shared" si="110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7"/>
        <v>43613</v>
      </c>
      <c r="C1184" s="1">
        <f t="shared" si="108"/>
        <v>4315</v>
      </c>
      <c r="D1184" s="1">
        <f t="shared" si="109"/>
        <v>991</v>
      </c>
      <c r="E1184" s="1">
        <f t="shared" si="110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7"/>
        <v>43614</v>
      </c>
      <c r="C1185" s="1">
        <f t="shared" si="108"/>
        <v>4321</v>
      </c>
      <c r="D1185" s="1">
        <f t="shared" si="109"/>
        <v>941</v>
      </c>
      <c r="E1185" s="1">
        <f t="shared" si="110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7"/>
        <v>43615</v>
      </c>
      <c r="C1186" s="1">
        <f t="shared" si="108"/>
        <v>4316</v>
      </c>
      <c r="D1186" s="1">
        <f t="shared" si="109"/>
        <v>931</v>
      </c>
      <c r="E1186" s="1">
        <f t="shared" si="110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7"/>
        <v>43616</v>
      </c>
      <c r="C1187" s="1">
        <f t="shared" si="108"/>
        <v>4314</v>
      </c>
      <c r="D1187" s="1">
        <f t="shared" si="109"/>
        <v>921</v>
      </c>
      <c r="E1187" s="1">
        <f t="shared" si="110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7"/>
        <v>43619</v>
      </c>
      <c r="C1188" s="1">
        <f t="shared" si="108"/>
        <v>4291</v>
      </c>
      <c r="D1188" s="1">
        <f t="shared" si="109"/>
        <v>891</v>
      </c>
      <c r="E1188" s="1">
        <f t="shared" si="110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7"/>
        <v>43620</v>
      </c>
      <c r="C1189" s="1">
        <f t="shared" si="108"/>
        <v>4271</v>
      </c>
      <c r="D1189" s="1">
        <f t="shared" si="109"/>
        <v>871</v>
      </c>
      <c r="E1189" s="1">
        <f t="shared" si="110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7"/>
        <v>43621</v>
      </c>
      <c r="C1190" s="1">
        <f t="shared" si="108"/>
        <v>4259</v>
      </c>
      <c r="D1190" s="1">
        <f t="shared" si="109"/>
        <v>871</v>
      </c>
      <c r="E1190" s="1">
        <f t="shared" si="110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7"/>
        <v>43622</v>
      </c>
      <c r="C1191" s="1">
        <f t="shared" si="108"/>
        <v>4248</v>
      </c>
      <c r="D1191" s="1">
        <f t="shared" si="109"/>
        <v>821</v>
      </c>
      <c r="E1191" s="1">
        <f t="shared" si="110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7"/>
        <v>43623</v>
      </c>
      <c r="C1192" s="1">
        <f t="shared" si="108"/>
        <v>4248</v>
      </c>
      <c r="D1192" s="1">
        <f t="shared" si="109"/>
        <v>811</v>
      </c>
      <c r="E1192" s="1">
        <f t="shared" si="110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7"/>
        <v>43626</v>
      </c>
      <c r="C1193" s="1">
        <f t="shared" si="108"/>
        <v>4270</v>
      </c>
      <c r="D1193" s="1">
        <f t="shared" si="109"/>
        <v>811</v>
      </c>
      <c r="E1193" s="1">
        <f t="shared" si="110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7"/>
        <v>43627</v>
      </c>
      <c r="C1194" s="1">
        <f t="shared" si="108"/>
        <v>4276</v>
      </c>
      <c r="D1194" s="1">
        <f t="shared" si="109"/>
        <v>811</v>
      </c>
      <c r="E1194" s="1">
        <f t="shared" si="110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7"/>
        <v>43628</v>
      </c>
      <c r="C1195" s="1">
        <f t="shared" si="108"/>
        <v>4267</v>
      </c>
      <c r="D1195" s="1">
        <f t="shared" si="109"/>
        <v>811</v>
      </c>
      <c r="E1195" s="1">
        <f t="shared" si="110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7"/>
        <v>43629</v>
      </c>
      <c r="C1196" s="1">
        <f t="shared" si="108"/>
        <v>4258</v>
      </c>
      <c r="D1196" s="1">
        <f t="shared" si="109"/>
        <v>811</v>
      </c>
      <c r="E1196" s="1">
        <f t="shared" si="110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7"/>
        <v>43630</v>
      </c>
      <c r="C1197" s="1">
        <f t="shared" si="108"/>
        <v>4259</v>
      </c>
      <c r="D1197" s="1">
        <f t="shared" si="109"/>
        <v>791</v>
      </c>
      <c r="E1197" s="1">
        <f t="shared" si="110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7"/>
        <v>43633</v>
      </c>
      <c r="C1198" s="1">
        <f t="shared" si="108"/>
        <v>4254</v>
      </c>
      <c r="D1198" s="1">
        <f t="shared" si="109"/>
        <v>781</v>
      </c>
      <c r="E1198" s="1">
        <f t="shared" si="110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7"/>
        <v>43634</v>
      </c>
      <c r="C1199" s="1">
        <f t="shared" si="108"/>
        <v>4257</v>
      </c>
      <c r="D1199" s="1">
        <f t="shared" si="109"/>
        <v>781</v>
      </c>
      <c r="E1199" s="1">
        <f t="shared" si="110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7"/>
        <v>43635</v>
      </c>
      <c r="C1200" s="1">
        <f t="shared" si="108"/>
        <v>4268</v>
      </c>
      <c r="D1200" s="1">
        <f t="shared" si="109"/>
        <v>781</v>
      </c>
      <c r="E1200" s="1">
        <f t="shared" si="110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7"/>
        <v>43636</v>
      </c>
      <c r="C1201" s="1">
        <f t="shared" si="108"/>
        <v>4283</v>
      </c>
      <c r="D1201" s="1">
        <f t="shared" si="109"/>
        <v>781</v>
      </c>
      <c r="E1201" s="1">
        <f t="shared" si="110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7"/>
        <v>43637</v>
      </c>
      <c r="C1202" s="1">
        <f t="shared" si="108"/>
        <v>4297</v>
      </c>
      <c r="D1202" s="1">
        <f t="shared" si="109"/>
        <v>781</v>
      </c>
      <c r="E1202" s="1">
        <f t="shared" si="110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7"/>
        <v>43640</v>
      </c>
      <c r="C1203" s="1">
        <f t="shared" si="108"/>
        <v>4313</v>
      </c>
      <c r="D1203" s="1">
        <f t="shared" si="109"/>
        <v>781</v>
      </c>
      <c r="E1203" s="1">
        <f t="shared" si="110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7"/>
        <v>43641</v>
      </c>
      <c r="C1204" s="1">
        <f t="shared" si="108"/>
        <v>4313</v>
      </c>
      <c r="D1204" s="1">
        <f t="shared" si="109"/>
        <v>781</v>
      </c>
      <c r="E1204" s="1">
        <f t="shared" si="110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7"/>
        <v>43642</v>
      </c>
      <c r="C1205" s="1">
        <f t="shared" si="108"/>
        <v>4316</v>
      </c>
      <c r="D1205" s="1">
        <f t="shared" si="109"/>
        <v>781</v>
      </c>
      <c r="E1205" s="1">
        <f t="shared" si="110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7"/>
        <v>43643</v>
      </c>
      <c r="C1206" s="1">
        <f t="shared" si="108"/>
        <v>4345</v>
      </c>
      <c r="D1206" s="1">
        <f t="shared" si="109"/>
        <v>761</v>
      </c>
      <c r="E1206" s="1">
        <f t="shared" si="110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7"/>
        <v>43644</v>
      </c>
      <c r="C1207" s="1">
        <f t="shared" si="108"/>
        <v>4344</v>
      </c>
      <c r="D1207" s="1">
        <f t="shared" si="109"/>
        <v>761</v>
      </c>
      <c r="E1207" s="1">
        <f t="shared" si="110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7"/>
        <v>43647</v>
      </c>
      <c r="C1208" s="1">
        <f t="shared" si="108"/>
        <v>4374</v>
      </c>
      <c r="D1208" s="1">
        <f t="shared" si="109"/>
        <v>761</v>
      </c>
      <c r="E1208" s="1">
        <f t="shared" si="110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7"/>
        <v>43648</v>
      </c>
      <c r="C1209" s="1">
        <f t="shared" si="108"/>
        <v>4414</v>
      </c>
      <c r="D1209" s="1">
        <f t="shared" si="109"/>
        <v>781</v>
      </c>
      <c r="E1209" s="1">
        <f t="shared" si="110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7"/>
        <v>43649</v>
      </c>
      <c r="C1210" s="1">
        <f t="shared" si="108"/>
        <v>4439</v>
      </c>
      <c r="D1210" s="1">
        <f t="shared" si="109"/>
        <v>781</v>
      </c>
      <c r="E1210" s="1">
        <f t="shared" si="110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7"/>
        <v>43650</v>
      </c>
      <c r="C1211" s="1">
        <f t="shared" si="108"/>
        <v>4428</v>
      </c>
      <c r="D1211" s="1">
        <f t="shared" si="109"/>
        <v>781</v>
      </c>
      <c r="E1211" s="1">
        <f t="shared" si="110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7"/>
        <v>43651</v>
      </c>
      <c r="C1212" s="1">
        <f t="shared" si="108"/>
        <v>4421</v>
      </c>
      <c r="D1212" s="1">
        <f t="shared" si="109"/>
        <v>791</v>
      </c>
      <c r="E1212" s="1">
        <f t="shared" si="110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7"/>
        <v>43654</v>
      </c>
      <c r="C1213" s="1">
        <f t="shared" si="108"/>
        <v>4423</v>
      </c>
      <c r="D1213" s="1">
        <f t="shared" si="109"/>
        <v>796</v>
      </c>
      <c r="E1213" s="1">
        <f t="shared" si="110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7"/>
        <v>43655</v>
      </c>
      <c r="C1214" s="1">
        <f t="shared" si="108"/>
        <v>4418</v>
      </c>
      <c r="D1214" s="1">
        <f t="shared" si="109"/>
        <v>796</v>
      </c>
      <c r="E1214" s="1">
        <f t="shared" si="110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7"/>
        <v>43656</v>
      </c>
      <c r="C1215" s="1">
        <f t="shared" si="108"/>
        <v>4413</v>
      </c>
      <c r="D1215" s="1">
        <f t="shared" si="109"/>
        <v>801</v>
      </c>
      <c r="E1215" s="1">
        <f t="shared" si="110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7"/>
        <v>43657</v>
      </c>
      <c r="C1216" s="1">
        <f t="shared" si="108"/>
        <v>4427</v>
      </c>
      <c r="D1216" s="1">
        <f t="shared" si="109"/>
        <v>801</v>
      </c>
      <c r="E1216" s="1">
        <f t="shared" si="110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7"/>
        <v>43658</v>
      </c>
      <c r="C1217" s="1">
        <f t="shared" si="108"/>
        <v>4420</v>
      </c>
      <c r="D1217" s="1">
        <f t="shared" si="109"/>
        <v>801</v>
      </c>
      <c r="E1217" s="1">
        <f t="shared" si="110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7"/>
        <v>43661</v>
      </c>
      <c r="C1218" s="1">
        <f t="shared" si="108"/>
        <v>4422</v>
      </c>
      <c r="D1218" s="1">
        <f t="shared" si="109"/>
        <v>801</v>
      </c>
      <c r="E1218" s="1">
        <f t="shared" si="110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7"/>
        <v>43662</v>
      </c>
      <c r="C1219" s="1">
        <f t="shared" si="108"/>
        <v>4404</v>
      </c>
      <c r="D1219" s="1">
        <f t="shared" si="109"/>
        <v>801</v>
      </c>
      <c r="E1219" s="1">
        <f t="shared" si="110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7"/>
        <v>43663</v>
      </c>
      <c r="C1220" s="1">
        <f t="shared" si="108"/>
        <v>4387</v>
      </c>
      <c r="D1220" s="1">
        <f t="shared" si="109"/>
        <v>801</v>
      </c>
      <c r="E1220" s="1">
        <f t="shared" si="110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7"/>
        <v>43664</v>
      </c>
      <c r="C1221" s="1">
        <f t="shared" si="108"/>
        <v>4375</v>
      </c>
      <c r="D1221" s="1">
        <f t="shared" si="109"/>
        <v>831</v>
      </c>
      <c r="E1221" s="1">
        <f t="shared" si="110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11">L1222</f>
        <v>43665</v>
      </c>
      <c r="C1222" s="1">
        <f t="shared" si="108"/>
        <v>4368</v>
      </c>
      <c r="D1222" s="1">
        <f t="shared" si="109"/>
        <v>841</v>
      </c>
      <c r="E1222" s="1">
        <f t="shared" si="110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11"/>
        <v>43668</v>
      </c>
      <c r="C1223" s="1">
        <f t="shared" ref="C1223:C1286" si="112">IF(M1223&lt;&gt;0,M1223,C1222)</f>
        <v>4351</v>
      </c>
      <c r="D1223" s="1">
        <f t="shared" ref="D1223:D1286" si="113">IF(N1223&lt;&gt;0,N1223,D1222)</f>
        <v>841</v>
      </c>
      <c r="E1223" s="1">
        <f t="shared" ref="E1223:E1286" si="114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11"/>
        <v>43669</v>
      </c>
      <c r="C1224" s="1">
        <f t="shared" si="112"/>
        <v>4297</v>
      </c>
      <c r="D1224" s="1">
        <f t="shared" si="113"/>
        <v>841</v>
      </c>
      <c r="E1224" s="1">
        <f t="shared" si="114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11"/>
        <v>43670</v>
      </c>
      <c r="C1225" s="1">
        <f t="shared" si="112"/>
        <v>4286</v>
      </c>
      <c r="D1225" s="1">
        <f t="shared" si="113"/>
        <v>841</v>
      </c>
      <c r="E1225" s="1">
        <f t="shared" si="114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11"/>
        <v>43671</v>
      </c>
      <c r="C1226" s="1">
        <f t="shared" si="112"/>
        <v>4271</v>
      </c>
      <c r="D1226" s="1">
        <f t="shared" si="113"/>
        <v>841</v>
      </c>
      <c r="E1226" s="1">
        <f t="shared" si="114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11"/>
        <v>43672</v>
      </c>
      <c r="C1227" s="1">
        <f t="shared" si="112"/>
        <v>4271</v>
      </c>
      <c r="D1227" s="1">
        <f t="shared" si="113"/>
        <v>841</v>
      </c>
      <c r="E1227" s="1">
        <f t="shared" si="114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11"/>
        <v>43675</v>
      </c>
      <c r="C1228" s="1">
        <f t="shared" si="112"/>
        <v>4263</v>
      </c>
      <c r="D1228" s="1">
        <f t="shared" si="113"/>
        <v>841</v>
      </c>
      <c r="E1228" s="1">
        <f t="shared" si="114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11"/>
        <v>43676</v>
      </c>
      <c r="C1229" s="1">
        <f t="shared" si="112"/>
        <v>4251</v>
      </c>
      <c r="D1229" s="1">
        <f t="shared" si="113"/>
        <v>841</v>
      </c>
      <c r="E1229" s="1">
        <f t="shared" si="114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11"/>
        <v>43677</v>
      </c>
      <c r="C1230" s="1">
        <f t="shared" si="112"/>
        <v>4257</v>
      </c>
      <c r="D1230" s="1">
        <f t="shared" si="113"/>
        <v>841</v>
      </c>
      <c r="E1230" s="1">
        <f t="shared" si="114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11"/>
        <v>43678</v>
      </c>
      <c r="C1231" s="1">
        <f t="shared" si="112"/>
        <v>4265</v>
      </c>
      <c r="D1231" s="1">
        <f t="shared" si="113"/>
        <v>871</v>
      </c>
      <c r="E1231" s="1">
        <f t="shared" si="114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11"/>
        <v>43679</v>
      </c>
      <c r="C1232" s="1">
        <f t="shared" si="112"/>
        <v>4258</v>
      </c>
      <c r="D1232" s="1">
        <f t="shared" si="113"/>
        <v>901</v>
      </c>
      <c r="E1232" s="1">
        <f t="shared" si="114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11"/>
        <v>43682</v>
      </c>
      <c r="C1233" s="1">
        <f t="shared" si="112"/>
        <v>4241</v>
      </c>
      <c r="D1233" s="1">
        <f t="shared" si="113"/>
        <v>921</v>
      </c>
      <c r="E1233" s="1">
        <f t="shared" si="114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11"/>
        <v>43683</v>
      </c>
      <c r="C1234" s="1">
        <f t="shared" si="112"/>
        <v>4226</v>
      </c>
      <c r="D1234" s="1">
        <f t="shared" si="113"/>
        <v>921</v>
      </c>
      <c r="E1234" s="1">
        <f t="shared" si="114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11"/>
        <v>43684</v>
      </c>
      <c r="C1235" s="1">
        <f t="shared" si="112"/>
        <v>4218</v>
      </c>
      <c r="D1235" s="1">
        <f t="shared" si="113"/>
        <v>921</v>
      </c>
      <c r="E1235" s="1">
        <f t="shared" si="114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11"/>
        <v>43685</v>
      </c>
      <c r="C1236" s="1">
        <f t="shared" si="112"/>
        <v>4217</v>
      </c>
      <c r="D1236" s="1">
        <f t="shared" si="113"/>
        <v>921</v>
      </c>
      <c r="E1236" s="1">
        <f t="shared" si="114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11"/>
        <v>43686</v>
      </c>
      <c r="C1237" s="1">
        <f t="shared" si="112"/>
        <v>4220</v>
      </c>
      <c r="D1237" s="1">
        <f t="shared" si="113"/>
        <v>921</v>
      </c>
      <c r="E1237" s="1">
        <f t="shared" si="114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11"/>
        <v>43689</v>
      </c>
      <c r="C1238" s="1">
        <f t="shared" si="112"/>
        <v>4228</v>
      </c>
      <c r="D1238" s="1">
        <f t="shared" si="113"/>
        <v>921</v>
      </c>
      <c r="E1238" s="1">
        <f t="shared" si="114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11"/>
        <v>43690</v>
      </c>
      <c r="C1239" s="1">
        <f t="shared" si="112"/>
        <v>4231</v>
      </c>
      <c r="D1239" s="1">
        <f t="shared" si="113"/>
        <v>941</v>
      </c>
      <c r="E1239" s="1">
        <f t="shared" si="114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11"/>
        <v>43691</v>
      </c>
      <c r="C1240" s="1">
        <f t="shared" si="112"/>
        <v>4235</v>
      </c>
      <c r="D1240" s="1">
        <f t="shared" si="113"/>
        <v>961</v>
      </c>
      <c r="E1240" s="1">
        <f t="shared" si="114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11"/>
        <v>43692</v>
      </c>
      <c r="C1241" s="1">
        <f t="shared" si="112"/>
        <v>4246</v>
      </c>
      <c r="D1241" s="1">
        <f t="shared" si="113"/>
        <v>961</v>
      </c>
      <c r="E1241" s="1">
        <f t="shared" si="114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11"/>
        <v>43693</v>
      </c>
      <c r="C1242" s="1">
        <f t="shared" si="112"/>
        <v>4244</v>
      </c>
      <c r="D1242" s="1">
        <f t="shared" si="113"/>
        <v>946</v>
      </c>
      <c r="E1242" s="1">
        <f t="shared" si="114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11"/>
        <v>43696</v>
      </c>
      <c r="C1243" s="1">
        <f t="shared" si="112"/>
        <v>4233</v>
      </c>
      <c r="D1243" s="1">
        <f t="shared" si="113"/>
        <v>931</v>
      </c>
      <c r="E1243" s="1">
        <f t="shared" si="114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11"/>
        <v>43697</v>
      </c>
      <c r="C1244" s="1">
        <f t="shared" si="112"/>
        <v>4238</v>
      </c>
      <c r="D1244" s="1">
        <f t="shared" si="113"/>
        <v>931</v>
      </c>
      <c r="E1244" s="1">
        <f t="shared" si="114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11"/>
        <v>43698</v>
      </c>
      <c r="C1245" s="1">
        <f t="shared" si="112"/>
        <v>4239</v>
      </c>
      <c r="D1245" s="1">
        <f t="shared" si="113"/>
        <v>931</v>
      </c>
      <c r="E1245" s="1">
        <f t="shared" si="114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11"/>
        <v>43699</v>
      </c>
      <c r="C1246" s="1">
        <f t="shared" si="112"/>
        <v>4227</v>
      </c>
      <c r="D1246" s="1">
        <f t="shared" si="113"/>
        <v>901</v>
      </c>
      <c r="E1246" s="1">
        <f t="shared" si="114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11"/>
        <v>43700</v>
      </c>
      <c r="C1247" s="1">
        <f t="shared" si="112"/>
        <v>4224</v>
      </c>
      <c r="D1247" s="1">
        <f t="shared" si="113"/>
        <v>881</v>
      </c>
      <c r="E1247" s="1">
        <f t="shared" si="114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11"/>
        <v>43703</v>
      </c>
      <c r="C1248" s="1">
        <f t="shared" si="112"/>
        <v>4234</v>
      </c>
      <c r="D1248" s="1">
        <f t="shared" si="113"/>
        <v>881</v>
      </c>
      <c r="E1248" s="1">
        <f t="shared" si="114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11"/>
        <v>43704</v>
      </c>
      <c r="C1249" s="1">
        <f t="shared" si="112"/>
        <v>4237</v>
      </c>
      <c r="D1249" s="1">
        <f t="shared" si="113"/>
        <v>891</v>
      </c>
      <c r="E1249" s="1">
        <f t="shared" si="114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11"/>
        <v>43705</v>
      </c>
      <c r="C1250" s="1">
        <f t="shared" si="112"/>
        <v>4239</v>
      </c>
      <c r="D1250" s="1">
        <f t="shared" si="113"/>
        <v>891</v>
      </c>
      <c r="E1250" s="1">
        <f t="shared" si="114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11"/>
        <v>43706</v>
      </c>
      <c r="C1251" s="1">
        <f t="shared" si="112"/>
        <v>4242</v>
      </c>
      <c r="D1251" s="1">
        <f t="shared" si="113"/>
        <v>891</v>
      </c>
      <c r="E1251" s="1">
        <f t="shared" si="114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11"/>
        <v>43707</v>
      </c>
      <c r="C1252" s="1">
        <f t="shared" si="112"/>
        <v>4241</v>
      </c>
      <c r="D1252" s="1">
        <f t="shared" si="113"/>
        <v>891</v>
      </c>
      <c r="E1252" s="1">
        <f t="shared" si="114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11"/>
        <v>43710</v>
      </c>
      <c r="C1253" s="1">
        <f t="shared" si="112"/>
        <v>4250</v>
      </c>
      <c r="D1253" s="1">
        <f t="shared" si="113"/>
        <v>891</v>
      </c>
      <c r="E1253" s="1">
        <f t="shared" si="114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11"/>
        <v>43711</v>
      </c>
      <c r="C1254" s="1">
        <f t="shared" si="112"/>
        <v>4264</v>
      </c>
      <c r="D1254" s="1">
        <f t="shared" si="113"/>
        <v>891</v>
      </c>
      <c r="E1254" s="1">
        <f t="shared" si="114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11"/>
        <v>43712</v>
      </c>
      <c r="C1255" s="1">
        <f t="shared" si="112"/>
        <v>4272</v>
      </c>
      <c r="D1255" s="1">
        <f t="shared" si="113"/>
        <v>891</v>
      </c>
      <c r="E1255" s="1">
        <f t="shared" si="114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11"/>
        <v>43713</v>
      </c>
      <c r="C1256" s="1">
        <f t="shared" si="112"/>
        <v>4281</v>
      </c>
      <c r="D1256" s="1">
        <f t="shared" si="113"/>
        <v>871</v>
      </c>
      <c r="E1256" s="1">
        <f t="shared" si="114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11"/>
        <v>43714</v>
      </c>
      <c r="C1257" s="1">
        <f t="shared" si="112"/>
        <v>4295</v>
      </c>
      <c r="D1257" s="1">
        <f t="shared" si="113"/>
        <v>861</v>
      </c>
      <c r="E1257" s="1">
        <f t="shared" si="114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11"/>
        <v>43717</v>
      </c>
      <c r="C1258" s="1">
        <f t="shared" si="112"/>
        <v>4320</v>
      </c>
      <c r="D1258" s="1">
        <f t="shared" si="113"/>
        <v>861</v>
      </c>
      <c r="E1258" s="1">
        <f t="shared" si="114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11"/>
        <v>43718</v>
      </c>
      <c r="C1259" s="1">
        <f t="shared" si="112"/>
        <v>4341</v>
      </c>
      <c r="D1259" s="1">
        <f t="shared" si="113"/>
        <v>851</v>
      </c>
      <c r="E1259" s="1">
        <f t="shared" si="114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11"/>
        <v>43719</v>
      </c>
      <c r="C1260" s="1">
        <f t="shared" si="112"/>
        <v>4339</v>
      </c>
      <c r="D1260" s="1">
        <f t="shared" si="113"/>
        <v>851</v>
      </c>
      <c r="E1260" s="1">
        <f t="shared" si="114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11"/>
        <v>43720</v>
      </c>
      <c r="C1261" s="1">
        <f t="shared" si="112"/>
        <v>4336</v>
      </c>
      <c r="D1261" s="1">
        <f t="shared" si="113"/>
        <v>851</v>
      </c>
      <c r="E1261" s="1">
        <f t="shared" si="114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11"/>
        <v>43721</v>
      </c>
      <c r="C1262" s="1">
        <f t="shared" si="112"/>
        <v>4336</v>
      </c>
      <c r="D1262" s="1">
        <f t="shared" si="113"/>
        <v>851</v>
      </c>
      <c r="E1262" s="1">
        <f t="shared" si="114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11"/>
        <v>43724</v>
      </c>
      <c r="C1263" s="1">
        <f t="shared" si="112"/>
        <v>4350</v>
      </c>
      <c r="D1263" s="1">
        <f t="shared" si="113"/>
        <v>851</v>
      </c>
      <c r="E1263" s="1">
        <f t="shared" si="114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11"/>
        <v>43725</v>
      </c>
      <c r="C1264" s="1">
        <f t="shared" si="112"/>
        <v>4427</v>
      </c>
      <c r="D1264" s="1">
        <f t="shared" si="113"/>
        <v>871</v>
      </c>
      <c r="E1264" s="1">
        <f t="shared" si="114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11"/>
        <v>43726</v>
      </c>
      <c r="C1265" s="1">
        <f t="shared" si="112"/>
        <v>4447</v>
      </c>
      <c r="D1265" s="1">
        <f t="shared" si="113"/>
        <v>901</v>
      </c>
      <c r="E1265" s="1">
        <f t="shared" si="114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11"/>
        <v>43727</v>
      </c>
      <c r="C1266" s="1">
        <f t="shared" si="112"/>
        <v>4427</v>
      </c>
      <c r="D1266" s="1">
        <f t="shared" si="113"/>
        <v>901</v>
      </c>
      <c r="E1266" s="1">
        <f t="shared" si="114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11"/>
        <v>43728</v>
      </c>
      <c r="C1267" s="1">
        <f t="shared" si="112"/>
        <v>4417</v>
      </c>
      <c r="D1267" s="1">
        <f t="shared" si="113"/>
        <v>901</v>
      </c>
      <c r="E1267" s="1">
        <f t="shared" si="114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11"/>
        <v>43731</v>
      </c>
      <c r="C1268" s="1">
        <f t="shared" si="112"/>
        <v>4406</v>
      </c>
      <c r="D1268" s="1">
        <f t="shared" si="113"/>
        <v>881</v>
      </c>
      <c r="E1268" s="1">
        <f t="shared" si="114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11"/>
        <v>43732</v>
      </c>
      <c r="C1269" s="1">
        <f t="shared" si="112"/>
        <v>4407</v>
      </c>
      <c r="D1269" s="1">
        <f t="shared" si="113"/>
        <v>851</v>
      </c>
      <c r="E1269" s="1">
        <f t="shared" si="114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11"/>
        <v>43733</v>
      </c>
      <c r="C1270" s="1">
        <f t="shared" si="112"/>
        <v>4405</v>
      </c>
      <c r="D1270" s="1">
        <f t="shared" si="113"/>
        <v>851</v>
      </c>
      <c r="E1270" s="1">
        <f t="shared" si="114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11"/>
        <v>43734</v>
      </c>
      <c r="C1271" s="1">
        <f t="shared" si="112"/>
        <v>4401</v>
      </c>
      <c r="D1271" s="1">
        <f t="shared" si="113"/>
        <v>851</v>
      </c>
      <c r="E1271" s="1">
        <f t="shared" si="114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11"/>
        <v>43735</v>
      </c>
      <c r="C1272" s="1">
        <f t="shared" si="112"/>
        <v>4398</v>
      </c>
      <c r="D1272" s="1">
        <f t="shared" si="113"/>
        <v>851</v>
      </c>
      <c r="E1272" s="1">
        <f t="shared" si="114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11"/>
        <v>43737</v>
      </c>
      <c r="C1273" s="1">
        <f t="shared" si="112"/>
        <v>4391</v>
      </c>
      <c r="D1273" s="1">
        <f t="shared" si="113"/>
        <v>851</v>
      </c>
      <c r="E1273" s="1">
        <f t="shared" si="114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11"/>
        <v>43738</v>
      </c>
      <c r="C1274" s="1">
        <f t="shared" si="112"/>
        <v>4390</v>
      </c>
      <c r="D1274" s="1">
        <f t="shared" si="113"/>
        <v>851</v>
      </c>
      <c r="E1274" s="1">
        <f t="shared" si="114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11"/>
        <v>43739</v>
      </c>
      <c r="C1275" s="1">
        <f t="shared" si="112"/>
        <v>4390</v>
      </c>
      <c r="D1275" s="1">
        <f t="shared" si="113"/>
        <v>851</v>
      </c>
      <c r="E1275" s="1">
        <f t="shared" si="114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11"/>
        <v>43740</v>
      </c>
      <c r="C1276" s="1">
        <f t="shared" si="112"/>
        <v>4390</v>
      </c>
      <c r="D1276" s="1">
        <f t="shared" si="113"/>
        <v>851</v>
      </c>
      <c r="E1276" s="1">
        <f t="shared" si="114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11"/>
        <v>43741</v>
      </c>
      <c r="C1277" s="1">
        <f t="shared" si="112"/>
        <v>4390</v>
      </c>
      <c r="D1277" s="1">
        <f t="shared" si="113"/>
        <v>811</v>
      </c>
      <c r="E1277" s="1">
        <f t="shared" si="114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11"/>
        <v>43742</v>
      </c>
      <c r="C1278" s="1">
        <f t="shared" si="112"/>
        <v>4390</v>
      </c>
      <c r="D1278" s="1">
        <f t="shared" si="113"/>
        <v>811</v>
      </c>
      <c r="E1278" s="1">
        <f t="shared" si="114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11"/>
        <v>43745</v>
      </c>
      <c r="C1279" s="1">
        <f t="shared" si="112"/>
        <v>4390</v>
      </c>
      <c r="D1279" s="1">
        <f t="shared" si="113"/>
        <v>811</v>
      </c>
      <c r="E1279" s="1">
        <f t="shared" si="114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11"/>
        <v>43746</v>
      </c>
      <c r="C1280" s="1">
        <f t="shared" si="112"/>
        <v>4415</v>
      </c>
      <c r="D1280" s="1">
        <f t="shared" si="113"/>
        <v>796</v>
      </c>
      <c r="E1280" s="1">
        <f t="shared" si="114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11"/>
        <v>43747</v>
      </c>
      <c r="C1281" s="1">
        <f t="shared" si="112"/>
        <v>4405</v>
      </c>
      <c r="D1281" s="1">
        <f t="shared" si="113"/>
        <v>796</v>
      </c>
      <c r="E1281" s="1">
        <f t="shared" si="114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11"/>
        <v>43748</v>
      </c>
      <c r="C1282" s="1">
        <f t="shared" si="112"/>
        <v>4393</v>
      </c>
      <c r="D1282" s="1">
        <f t="shared" si="113"/>
        <v>796</v>
      </c>
      <c r="E1282" s="1">
        <f t="shared" si="114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11"/>
        <v>43749</v>
      </c>
      <c r="C1283" s="1">
        <f t="shared" si="112"/>
        <v>4369</v>
      </c>
      <c r="D1283" s="1">
        <f t="shared" si="113"/>
        <v>741</v>
      </c>
      <c r="E1283" s="1">
        <f t="shared" si="114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11"/>
        <v>43750</v>
      </c>
      <c r="C1284" s="1">
        <f t="shared" si="112"/>
        <v>4365</v>
      </c>
      <c r="D1284" s="1">
        <f t="shared" si="113"/>
        <v>741</v>
      </c>
      <c r="E1284" s="1">
        <f t="shared" si="114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11"/>
        <v>43752</v>
      </c>
      <c r="C1285" s="1">
        <f t="shared" si="112"/>
        <v>4357</v>
      </c>
      <c r="D1285" s="1">
        <f t="shared" si="113"/>
        <v>741</v>
      </c>
      <c r="E1285" s="1">
        <f t="shared" si="114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5">L1286</f>
        <v>43753</v>
      </c>
      <c r="C1286" s="1">
        <f t="shared" si="112"/>
        <v>4338</v>
      </c>
      <c r="D1286" s="1">
        <f t="shared" si="113"/>
        <v>741</v>
      </c>
      <c r="E1286" s="1">
        <f t="shared" si="114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5"/>
        <v>43754</v>
      </c>
      <c r="C1287" s="1">
        <f t="shared" ref="C1287:C1350" si="116">IF(M1287&lt;&gt;0,M1287,C1286)</f>
        <v>4319</v>
      </c>
      <c r="D1287" s="1">
        <f t="shared" ref="D1287:D1350" si="117">IF(N1287&lt;&gt;0,N1287,D1286)</f>
        <v>741</v>
      </c>
      <c r="E1287" s="1">
        <f t="shared" ref="E1287:E1350" si="118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5"/>
        <v>43755</v>
      </c>
      <c r="C1288" s="1">
        <f t="shared" si="116"/>
        <v>4293</v>
      </c>
      <c r="D1288" s="1">
        <f t="shared" si="117"/>
        <v>741</v>
      </c>
      <c r="E1288" s="1">
        <f t="shared" si="118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5"/>
        <v>43756</v>
      </c>
      <c r="C1289" s="1">
        <f t="shared" si="116"/>
        <v>4280</v>
      </c>
      <c r="D1289" s="1">
        <f t="shared" si="117"/>
        <v>711</v>
      </c>
      <c r="E1289" s="1">
        <f t="shared" si="118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5"/>
        <v>43759</v>
      </c>
      <c r="C1290" s="1">
        <f t="shared" si="116"/>
        <v>4264</v>
      </c>
      <c r="D1290" s="1">
        <f t="shared" si="117"/>
        <v>711</v>
      </c>
      <c r="E1290" s="1">
        <f t="shared" si="118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5"/>
        <v>43760</v>
      </c>
      <c r="C1291" s="1">
        <f t="shared" si="116"/>
        <v>4241</v>
      </c>
      <c r="D1291" s="1">
        <f t="shared" si="117"/>
        <v>681</v>
      </c>
      <c r="E1291" s="1">
        <f t="shared" si="118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5"/>
        <v>43761</v>
      </c>
      <c r="C1292" s="1">
        <f t="shared" si="116"/>
        <v>4224</v>
      </c>
      <c r="D1292" s="1">
        <f t="shared" si="117"/>
        <v>681</v>
      </c>
      <c r="E1292" s="1">
        <f t="shared" si="118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5"/>
        <v>43762</v>
      </c>
      <c r="C1293" s="1">
        <f t="shared" si="116"/>
        <v>4218</v>
      </c>
      <c r="D1293" s="1">
        <f t="shared" si="117"/>
        <v>681</v>
      </c>
      <c r="E1293" s="1">
        <f t="shared" si="118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5"/>
        <v>43763</v>
      </c>
      <c r="C1294" s="1">
        <f t="shared" si="116"/>
        <v>4220</v>
      </c>
      <c r="D1294" s="1">
        <f t="shared" si="117"/>
        <v>681</v>
      </c>
      <c r="E1294" s="1">
        <f t="shared" si="118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5"/>
        <v>43766</v>
      </c>
      <c r="C1295" s="1">
        <f t="shared" si="116"/>
        <v>4207</v>
      </c>
      <c r="D1295" s="1">
        <f t="shared" si="117"/>
        <v>681</v>
      </c>
      <c r="E1295" s="1">
        <f t="shared" si="118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5"/>
        <v>43767</v>
      </c>
      <c r="C1296" s="1">
        <f t="shared" si="116"/>
        <v>4192</v>
      </c>
      <c r="D1296" s="1">
        <f t="shared" si="117"/>
        <v>681</v>
      </c>
      <c r="E1296" s="1">
        <f t="shared" si="118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5"/>
        <v>43768</v>
      </c>
      <c r="C1297" s="1">
        <f t="shared" si="116"/>
        <v>4175</v>
      </c>
      <c r="D1297" s="1">
        <f t="shared" si="117"/>
        <v>681</v>
      </c>
      <c r="E1297" s="1">
        <f t="shared" si="118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5"/>
        <v>43769</v>
      </c>
      <c r="C1298" s="1">
        <f t="shared" si="116"/>
        <v>4156</v>
      </c>
      <c r="D1298" s="1">
        <f t="shared" si="117"/>
        <v>711</v>
      </c>
      <c r="E1298" s="1">
        <f t="shared" si="118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5"/>
        <v>43770</v>
      </c>
      <c r="C1299" s="1">
        <f t="shared" si="116"/>
        <v>4144</v>
      </c>
      <c r="D1299" s="1">
        <f t="shared" si="117"/>
        <v>721</v>
      </c>
      <c r="E1299" s="1">
        <f t="shared" si="118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5"/>
        <v>43773</v>
      </c>
      <c r="C1300" s="1">
        <f t="shared" si="116"/>
        <v>4116</v>
      </c>
      <c r="D1300" s="1">
        <f t="shared" si="117"/>
        <v>721</v>
      </c>
      <c r="E1300" s="1">
        <f t="shared" si="118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5"/>
        <v>43774</v>
      </c>
      <c r="C1301" s="1">
        <f t="shared" si="116"/>
        <v>4115</v>
      </c>
      <c r="D1301" s="1">
        <f t="shared" si="117"/>
        <v>741</v>
      </c>
      <c r="E1301" s="1">
        <f t="shared" si="118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5"/>
        <v>43775</v>
      </c>
      <c r="C1302" s="1">
        <f t="shared" si="116"/>
        <v>4119</v>
      </c>
      <c r="D1302" s="1">
        <f t="shared" si="117"/>
        <v>741</v>
      </c>
      <c r="E1302" s="1">
        <f t="shared" si="118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5"/>
        <v>43776</v>
      </c>
      <c r="C1303" s="1">
        <f t="shared" si="116"/>
        <v>4111</v>
      </c>
      <c r="D1303" s="1">
        <f t="shared" si="117"/>
        <v>751</v>
      </c>
      <c r="E1303" s="1">
        <f t="shared" si="118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5"/>
        <v>43777</v>
      </c>
      <c r="C1304" s="1">
        <f t="shared" si="116"/>
        <v>4098</v>
      </c>
      <c r="D1304" s="1">
        <f t="shared" si="117"/>
        <v>751</v>
      </c>
      <c r="E1304" s="1">
        <f t="shared" si="118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5"/>
        <v>43780</v>
      </c>
      <c r="C1305" s="1">
        <f t="shared" si="116"/>
        <v>4085</v>
      </c>
      <c r="D1305" s="1">
        <f t="shared" si="117"/>
        <v>751</v>
      </c>
      <c r="E1305" s="1">
        <f t="shared" si="118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5"/>
        <v>43781</v>
      </c>
      <c r="C1306" s="1">
        <f t="shared" si="116"/>
        <v>4080</v>
      </c>
      <c r="D1306" s="1">
        <f t="shared" si="117"/>
        <v>751</v>
      </c>
      <c r="E1306" s="1">
        <f t="shared" si="118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5"/>
        <v>43782</v>
      </c>
      <c r="C1307" s="1">
        <f t="shared" si="116"/>
        <v>4079</v>
      </c>
      <c r="D1307" s="1">
        <f t="shared" si="117"/>
        <v>751</v>
      </c>
      <c r="E1307" s="1">
        <f t="shared" si="118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5"/>
        <v>43783</v>
      </c>
      <c r="C1308" s="1">
        <f t="shared" si="116"/>
        <v>4084</v>
      </c>
      <c r="D1308" s="1">
        <f t="shared" si="117"/>
        <v>801</v>
      </c>
      <c r="E1308" s="1">
        <f t="shared" si="118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5"/>
        <v>43784</v>
      </c>
      <c r="C1309" s="1">
        <f t="shared" si="116"/>
        <v>4086</v>
      </c>
      <c r="D1309" s="1">
        <f t="shared" si="117"/>
        <v>801</v>
      </c>
      <c r="E1309" s="1">
        <f t="shared" si="118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5"/>
        <v>43787</v>
      </c>
      <c r="C1310" s="1">
        <f t="shared" si="116"/>
        <v>4057</v>
      </c>
      <c r="D1310" s="1">
        <f t="shared" si="117"/>
        <v>811</v>
      </c>
      <c r="E1310" s="1">
        <f t="shared" si="118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5"/>
        <v>43788</v>
      </c>
      <c r="C1311" s="1">
        <f t="shared" si="116"/>
        <v>4039</v>
      </c>
      <c r="D1311" s="1">
        <f t="shared" si="117"/>
        <v>811</v>
      </c>
      <c r="E1311" s="1">
        <f t="shared" si="118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5"/>
        <v>43789</v>
      </c>
      <c r="C1312" s="1">
        <f t="shared" si="116"/>
        <v>4032</v>
      </c>
      <c r="D1312" s="1">
        <f t="shared" si="117"/>
        <v>811</v>
      </c>
      <c r="E1312" s="1">
        <f t="shared" si="118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5"/>
        <v>43790</v>
      </c>
      <c r="C1313" s="1">
        <f t="shared" si="116"/>
        <v>4037</v>
      </c>
      <c r="D1313" s="1">
        <f t="shared" si="117"/>
        <v>821</v>
      </c>
      <c r="E1313" s="1">
        <f t="shared" si="118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5"/>
        <v>43791</v>
      </c>
      <c r="C1314" s="1">
        <f t="shared" si="116"/>
        <v>4038</v>
      </c>
      <c r="D1314" s="1">
        <f t="shared" si="117"/>
        <v>821</v>
      </c>
      <c r="E1314" s="1">
        <f t="shared" si="118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5"/>
        <v>43794</v>
      </c>
      <c r="C1315" s="1">
        <f t="shared" si="116"/>
        <v>4044</v>
      </c>
      <c r="D1315" s="1">
        <f t="shared" si="117"/>
        <v>821</v>
      </c>
      <c r="E1315" s="1">
        <f t="shared" si="118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5"/>
        <v>43795</v>
      </c>
      <c r="C1316" s="1">
        <f t="shared" si="116"/>
        <v>4051</v>
      </c>
      <c r="D1316" s="1">
        <f t="shared" si="117"/>
        <v>821</v>
      </c>
      <c r="E1316" s="1">
        <f t="shared" si="118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5"/>
        <v>43796</v>
      </c>
      <c r="C1317" s="1">
        <f t="shared" si="116"/>
        <v>4050</v>
      </c>
      <c r="D1317" s="1">
        <f t="shared" si="117"/>
        <v>831</v>
      </c>
      <c r="E1317" s="1">
        <f t="shared" si="118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5"/>
        <v>43797</v>
      </c>
      <c r="C1318" s="1">
        <f t="shared" si="116"/>
        <v>4050</v>
      </c>
      <c r="D1318" s="1">
        <f t="shared" si="117"/>
        <v>831</v>
      </c>
      <c r="E1318" s="1">
        <f t="shared" si="118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5"/>
        <v>43798</v>
      </c>
      <c r="C1319" s="1">
        <f t="shared" si="116"/>
        <v>4046</v>
      </c>
      <c r="D1319" s="1">
        <f t="shared" si="117"/>
        <v>831</v>
      </c>
      <c r="E1319" s="1">
        <f t="shared" si="118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5"/>
        <v>43801</v>
      </c>
      <c r="C1320" s="1">
        <f t="shared" si="116"/>
        <v>4050</v>
      </c>
      <c r="D1320" s="1">
        <f t="shared" si="117"/>
        <v>811</v>
      </c>
      <c r="E1320" s="1">
        <f t="shared" si="118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5"/>
        <v>43802</v>
      </c>
      <c r="C1321" s="1">
        <f t="shared" si="116"/>
        <v>4054</v>
      </c>
      <c r="D1321" s="1">
        <f t="shared" si="117"/>
        <v>791</v>
      </c>
      <c r="E1321" s="1">
        <f t="shared" si="118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5"/>
        <v>43803</v>
      </c>
      <c r="C1322" s="1">
        <f t="shared" si="116"/>
        <v>4067</v>
      </c>
      <c r="D1322" s="1">
        <f t="shared" si="117"/>
        <v>786</v>
      </c>
      <c r="E1322" s="1">
        <f t="shared" si="118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5"/>
        <v>43804</v>
      </c>
      <c r="C1323" s="1">
        <f t="shared" si="116"/>
        <v>4076</v>
      </c>
      <c r="D1323" s="1">
        <f t="shared" si="117"/>
        <v>781</v>
      </c>
      <c r="E1323" s="1">
        <f t="shared" si="118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5"/>
        <v>43805</v>
      </c>
      <c r="C1324" s="1">
        <f t="shared" si="116"/>
        <v>4090</v>
      </c>
      <c r="D1324" s="1">
        <f t="shared" si="117"/>
        <v>771</v>
      </c>
      <c r="E1324" s="1">
        <f t="shared" si="118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5"/>
        <v>43808</v>
      </c>
      <c r="C1325" s="1">
        <f t="shared" si="116"/>
        <v>4101</v>
      </c>
      <c r="D1325" s="1">
        <f t="shared" si="117"/>
        <v>771</v>
      </c>
      <c r="E1325" s="1">
        <f t="shared" si="118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5"/>
        <v>43809</v>
      </c>
      <c r="C1326" s="1">
        <f t="shared" si="116"/>
        <v>4111</v>
      </c>
      <c r="D1326" s="1">
        <f t="shared" si="117"/>
        <v>751</v>
      </c>
      <c r="E1326" s="1">
        <f t="shared" si="118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5"/>
        <v>43810</v>
      </c>
      <c r="C1327" s="1">
        <f t="shared" si="116"/>
        <v>4109</v>
      </c>
      <c r="D1327" s="1">
        <f t="shared" si="117"/>
        <v>751</v>
      </c>
      <c r="E1327" s="1">
        <f t="shared" si="118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5"/>
        <v>43811</v>
      </c>
      <c r="C1328" s="1">
        <f t="shared" si="116"/>
        <v>4120</v>
      </c>
      <c r="D1328" s="1">
        <f t="shared" si="117"/>
        <v>751</v>
      </c>
      <c r="E1328" s="1">
        <f t="shared" si="118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5"/>
        <v>43812</v>
      </c>
      <c r="C1329" s="1">
        <f t="shared" si="116"/>
        <v>4122</v>
      </c>
      <c r="D1329" s="1">
        <f t="shared" si="117"/>
        <v>731</v>
      </c>
      <c r="E1329" s="1">
        <f t="shared" si="118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5"/>
        <v>43815</v>
      </c>
      <c r="C1330" s="1">
        <f t="shared" si="116"/>
        <v>4133</v>
      </c>
      <c r="D1330" s="1">
        <f t="shared" si="117"/>
        <v>721</v>
      </c>
      <c r="E1330" s="1">
        <f t="shared" si="118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5"/>
        <v>43816</v>
      </c>
      <c r="C1331" s="1">
        <f t="shared" si="116"/>
        <v>4139</v>
      </c>
      <c r="D1331" s="1">
        <f t="shared" si="117"/>
        <v>731</v>
      </c>
      <c r="E1331" s="1">
        <f t="shared" si="118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5"/>
        <v>43817</v>
      </c>
      <c r="C1332" s="1">
        <f t="shared" si="116"/>
        <v>4142</v>
      </c>
      <c r="D1332" s="1">
        <f t="shared" si="117"/>
        <v>741</v>
      </c>
      <c r="E1332" s="1">
        <f t="shared" si="118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5"/>
        <v>43818</v>
      </c>
      <c r="C1333" s="1">
        <f t="shared" si="116"/>
        <v>4138</v>
      </c>
      <c r="D1333" s="1">
        <f t="shared" si="117"/>
        <v>741</v>
      </c>
      <c r="E1333" s="1">
        <f t="shared" si="118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5"/>
        <v>43819</v>
      </c>
      <c r="C1334" s="1">
        <f t="shared" si="116"/>
        <v>4125</v>
      </c>
      <c r="D1334" s="1">
        <f t="shared" si="117"/>
        <v>751</v>
      </c>
      <c r="E1334" s="1">
        <f t="shared" si="118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5"/>
        <v>43822</v>
      </c>
      <c r="C1335" s="1">
        <f t="shared" si="116"/>
        <v>4105</v>
      </c>
      <c r="D1335" s="1">
        <f t="shared" si="117"/>
        <v>751</v>
      </c>
      <c r="E1335" s="1">
        <f t="shared" si="118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5"/>
        <v>43823</v>
      </c>
      <c r="C1336" s="1">
        <f t="shared" si="116"/>
        <v>4093</v>
      </c>
      <c r="D1336" s="1">
        <f t="shared" si="117"/>
        <v>751</v>
      </c>
      <c r="E1336" s="1">
        <f t="shared" si="118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5"/>
        <v>43824</v>
      </c>
      <c r="C1337" s="1">
        <f t="shared" si="116"/>
        <v>4091</v>
      </c>
      <c r="D1337" s="1">
        <f t="shared" si="117"/>
        <v>751</v>
      </c>
      <c r="E1337" s="1">
        <f t="shared" si="118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5"/>
        <v>43825</v>
      </c>
      <c r="C1338" s="1">
        <f t="shared" si="116"/>
        <v>4089</v>
      </c>
      <c r="D1338" s="1">
        <f t="shared" si="117"/>
        <v>751</v>
      </c>
      <c r="E1338" s="1">
        <f t="shared" si="118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5"/>
        <v>43826</v>
      </c>
      <c r="C1339" s="1">
        <f t="shared" si="116"/>
        <v>4093</v>
      </c>
      <c r="D1339" s="1">
        <f t="shared" si="117"/>
        <v>751</v>
      </c>
      <c r="E1339" s="1">
        <f t="shared" si="118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5"/>
        <v>43829</v>
      </c>
      <c r="C1340" s="1">
        <f t="shared" si="116"/>
        <v>4089</v>
      </c>
      <c r="D1340" s="1">
        <f t="shared" si="117"/>
        <v>751</v>
      </c>
      <c r="E1340" s="1">
        <f t="shared" si="118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5"/>
        <v>43830</v>
      </c>
      <c r="C1341" s="1">
        <f t="shared" si="116"/>
        <v>4080</v>
      </c>
      <c r="D1341" s="1">
        <f t="shared" si="117"/>
        <v>751</v>
      </c>
      <c r="E1341" s="1">
        <f t="shared" si="118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5"/>
        <v>43831</v>
      </c>
      <c r="C1342" s="1">
        <f t="shared" si="116"/>
        <v>4080</v>
      </c>
      <c r="D1342" s="1">
        <f t="shared" si="117"/>
        <v>751</v>
      </c>
      <c r="E1342" s="1">
        <f t="shared" si="118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5"/>
        <v>43832</v>
      </c>
      <c r="C1343" s="1">
        <f t="shared" si="116"/>
        <v>4076</v>
      </c>
      <c r="D1343" s="1">
        <f t="shared" si="117"/>
        <v>751</v>
      </c>
      <c r="E1343" s="1">
        <f t="shared" si="118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5"/>
        <v>43833</v>
      </c>
      <c r="C1344" s="1">
        <f t="shared" si="116"/>
        <v>4062</v>
      </c>
      <c r="D1344" s="1">
        <f t="shared" si="117"/>
        <v>751</v>
      </c>
      <c r="E1344" s="1">
        <f t="shared" si="118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5"/>
        <v>43836</v>
      </c>
      <c r="C1345" s="1">
        <f t="shared" si="116"/>
        <v>4079</v>
      </c>
      <c r="D1345" s="1">
        <f t="shared" si="117"/>
        <v>756</v>
      </c>
      <c r="E1345" s="1">
        <f t="shared" si="118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5"/>
        <v>43837</v>
      </c>
      <c r="C1346" s="1">
        <f t="shared" si="116"/>
        <v>4085</v>
      </c>
      <c r="D1346" s="1">
        <f t="shared" si="117"/>
        <v>756</v>
      </c>
      <c r="E1346" s="1">
        <f t="shared" si="118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5"/>
        <v>43838</v>
      </c>
      <c r="C1347" s="1">
        <f t="shared" si="116"/>
        <v>4090</v>
      </c>
      <c r="D1347" s="1">
        <f t="shared" si="117"/>
        <v>761</v>
      </c>
      <c r="E1347" s="1">
        <f t="shared" si="118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5"/>
        <v>43839</v>
      </c>
      <c r="C1348" s="1">
        <f t="shared" si="116"/>
        <v>4083</v>
      </c>
      <c r="D1348" s="1">
        <f t="shared" si="117"/>
        <v>781</v>
      </c>
      <c r="E1348" s="1">
        <f t="shared" si="118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5"/>
        <v>43840</v>
      </c>
      <c r="C1349" s="1">
        <f t="shared" si="116"/>
        <v>4071</v>
      </c>
      <c r="D1349" s="1">
        <f t="shared" si="117"/>
        <v>806</v>
      </c>
      <c r="E1349" s="1">
        <f t="shared" si="118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9">L1350</f>
        <v>43843</v>
      </c>
      <c r="C1350" s="1">
        <f t="shared" si="116"/>
        <v>4081</v>
      </c>
      <c r="D1350" s="1">
        <f t="shared" si="117"/>
        <v>806</v>
      </c>
      <c r="E1350" s="1">
        <f t="shared" si="118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9"/>
        <v>43844</v>
      </c>
      <c r="C1351" s="1">
        <f t="shared" ref="C1351:C1414" si="120">IF(M1351&lt;&gt;0,M1351,C1350)</f>
        <v>4083</v>
      </c>
      <c r="D1351" s="1">
        <f t="shared" ref="D1351:D1414" si="121">IF(N1351&lt;&gt;0,N1351,D1350)</f>
        <v>821</v>
      </c>
      <c r="E1351" s="1">
        <f t="shared" ref="E1351:E1414" si="122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9"/>
        <v>43845</v>
      </c>
      <c r="C1352" s="1">
        <f t="shared" si="120"/>
        <v>4084</v>
      </c>
      <c r="D1352" s="1">
        <f t="shared" si="121"/>
        <v>821</v>
      </c>
      <c r="E1352" s="1">
        <f t="shared" si="122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9"/>
        <v>43846</v>
      </c>
      <c r="C1353" s="1">
        <f t="shared" si="120"/>
        <v>4075</v>
      </c>
      <c r="D1353" s="1">
        <f t="shared" si="121"/>
        <v>821</v>
      </c>
      <c r="E1353" s="1">
        <f t="shared" si="122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9"/>
        <v>43847</v>
      </c>
      <c r="C1354" s="1">
        <f t="shared" si="120"/>
        <v>4076</v>
      </c>
      <c r="D1354" s="1">
        <f t="shared" si="121"/>
        <v>836</v>
      </c>
      <c r="E1354" s="1">
        <f t="shared" si="122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9"/>
        <v>43849</v>
      </c>
      <c r="C1355" s="1">
        <f t="shared" si="120"/>
        <v>4076</v>
      </c>
      <c r="D1355" s="1">
        <f t="shared" si="121"/>
        <v>836</v>
      </c>
      <c r="E1355" s="1">
        <f t="shared" si="122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9"/>
        <v>43850</v>
      </c>
      <c r="C1356" s="1">
        <f t="shared" si="120"/>
        <v>4077</v>
      </c>
      <c r="D1356" s="1">
        <f t="shared" si="121"/>
        <v>836</v>
      </c>
      <c r="E1356" s="1">
        <f t="shared" si="122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9"/>
        <v>43851</v>
      </c>
      <c r="C1357" s="1">
        <f t="shared" si="120"/>
        <v>4075</v>
      </c>
      <c r="D1357" s="1">
        <f t="shared" si="121"/>
        <v>836</v>
      </c>
      <c r="E1357" s="1">
        <f t="shared" si="122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9"/>
        <v>43852</v>
      </c>
      <c r="C1358" s="1">
        <f t="shared" si="120"/>
        <v>4069</v>
      </c>
      <c r="D1358" s="1">
        <f t="shared" si="121"/>
        <v>836</v>
      </c>
      <c r="E1358" s="1">
        <f t="shared" si="122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9"/>
        <v>43853</v>
      </c>
      <c r="C1359" s="1">
        <f t="shared" si="120"/>
        <v>4068</v>
      </c>
      <c r="D1359" s="1">
        <f t="shared" si="121"/>
        <v>836</v>
      </c>
      <c r="E1359" s="1">
        <f t="shared" si="122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9"/>
        <v>43854</v>
      </c>
      <c r="C1360" s="1">
        <f t="shared" si="120"/>
        <v>4068</v>
      </c>
      <c r="D1360" s="1">
        <f t="shared" si="121"/>
        <v>836</v>
      </c>
      <c r="E1360" s="1">
        <f t="shared" si="122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9"/>
        <v>43857</v>
      </c>
      <c r="C1361" s="1">
        <f t="shared" si="120"/>
        <v>4068</v>
      </c>
      <c r="D1361" s="1">
        <f t="shared" si="121"/>
        <v>836</v>
      </c>
      <c r="E1361" s="1">
        <f t="shared" si="122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9"/>
        <v>43858</v>
      </c>
      <c r="C1362" s="1">
        <f t="shared" si="120"/>
        <v>4068</v>
      </c>
      <c r="D1362" s="1">
        <f t="shared" si="121"/>
        <v>836</v>
      </c>
      <c r="E1362" s="1">
        <f t="shared" si="122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9"/>
        <v>43859</v>
      </c>
      <c r="C1363" s="1">
        <f t="shared" si="120"/>
        <v>4068</v>
      </c>
      <c r="D1363" s="1">
        <f t="shared" si="121"/>
        <v>836</v>
      </c>
      <c r="E1363" s="1">
        <f t="shared" si="122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9"/>
        <v>43860</v>
      </c>
      <c r="C1364" s="1">
        <f t="shared" si="120"/>
        <v>4068</v>
      </c>
      <c r="D1364" s="1">
        <f t="shared" si="121"/>
        <v>836</v>
      </c>
      <c r="E1364" s="1">
        <f t="shared" si="122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9"/>
        <v>43861</v>
      </c>
      <c r="C1365" s="1">
        <f t="shared" si="120"/>
        <v>4068</v>
      </c>
      <c r="D1365" s="1">
        <f t="shared" si="121"/>
        <v>836</v>
      </c>
      <c r="E1365" s="1">
        <f t="shared" si="122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9"/>
        <v>43864</v>
      </c>
      <c r="C1366" s="1">
        <f t="shared" si="120"/>
        <v>4068</v>
      </c>
      <c r="D1366" s="1">
        <f t="shared" si="121"/>
        <v>821</v>
      </c>
      <c r="E1366" s="1">
        <f t="shared" si="122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9"/>
        <v>43865</v>
      </c>
      <c r="C1367" s="1">
        <f t="shared" si="120"/>
        <v>4068</v>
      </c>
      <c r="D1367" s="1">
        <f t="shared" si="121"/>
        <v>821</v>
      </c>
      <c r="E1367" s="1">
        <f t="shared" si="122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9"/>
        <v>43866</v>
      </c>
      <c r="C1368" s="1">
        <f t="shared" si="120"/>
        <v>4068</v>
      </c>
      <c r="D1368" s="1">
        <f t="shared" si="121"/>
        <v>831</v>
      </c>
      <c r="E1368" s="1">
        <f t="shared" si="122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9"/>
        <v>43867</v>
      </c>
      <c r="C1369" s="1">
        <f t="shared" si="120"/>
        <v>4068</v>
      </c>
      <c r="D1369" s="1">
        <f t="shared" si="121"/>
        <v>811</v>
      </c>
      <c r="E1369" s="1">
        <f t="shared" si="122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9"/>
        <v>43868</v>
      </c>
      <c r="C1370" s="1">
        <f t="shared" si="120"/>
        <v>4068</v>
      </c>
      <c r="D1370" s="1">
        <f t="shared" si="121"/>
        <v>806</v>
      </c>
      <c r="E1370" s="1">
        <f t="shared" si="122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9"/>
        <v>43871</v>
      </c>
      <c r="C1371" s="1">
        <f t="shared" si="120"/>
        <v>3944</v>
      </c>
      <c r="D1371" s="1">
        <f t="shared" si="121"/>
        <v>791</v>
      </c>
      <c r="E1371" s="1">
        <f t="shared" si="122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9"/>
        <v>43872</v>
      </c>
      <c r="C1372" s="1">
        <f t="shared" si="120"/>
        <v>3912</v>
      </c>
      <c r="D1372" s="1">
        <f t="shared" si="121"/>
        <v>771</v>
      </c>
      <c r="E1372" s="1">
        <f t="shared" si="122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9"/>
        <v>43873</v>
      </c>
      <c r="C1373" s="1">
        <f t="shared" si="120"/>
        <v>3895</v>
      </c>
      <c r="D1373" s="1">
        <f t="shared" si="121"/>
        <v>741</v>
      </c>
      <c r="E1373" s="1">
        <f t="shared" si="122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9"/>
        <v>43874</v>
      </c>
      <c r="C1374" s="1">
        <f t="shared" si="120"/>
        <v>3882</v>
      </c>
      <c r="D1374" s="1">
        <f t="shared" si="121"/>
        <v>741</v>
      </c>
      <c r="E1374" s="1">
        <f t="shared" si="122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9"/>
        <v>43875</v>
      </c>
      <c r="C1375" s="1">
        <f t="shared" si="120"/>
        <v>3867</v>
      </c>
      <c r="D1375" s="1">
        <f t="shared" si="121"/>
        <v>741</v>
      </c>
      <c r="E1375" s="1">
        <f t="shared" si="122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9"/>
        <v>43878</v>
      </c>
      <c r="C1376" s="1">
        <f t="shared" si="120"/>
        <v>3854</v>
      </c>
      <c r="D1376" s="1">
        <f t="shared" si="121"/>
        <v>706</v>
      </c>
      <c r="E1376" s="1">
        <f t="shared" si="122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9"/>
        <v>43879</v>
      </c>
      <c r="C1377" s="1">
        <f t="shared" si="120"/>
        <v>3849</v>
      </c>
      <c r="D1377" s="1">
        <f t="shared" si="121"/>
        <v>706</v>
      </c>
      <c r="E1377" s="1">
        <f t="shared" si="122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9"/>
        <v>43880</v>
      </c>
      <c r="C1378" s="1">
        <f t="shared" si="120"/>
        <v>3841</v>
      </c>
      <c r="D1378" s="1">
        <f t="shared" si="121"/>
        <v>706</v>
      </c>
      <c r="E1378" s="1">
        <f t="shared" si="122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9"/>
        <v>43881</v>
      </c>
      <c r="C1379" s="1">
        <f t="shared" si="120"/>
        <v>3842</v>
      </c>
      <c r="D1379" s="1">
        <f t="shared" si="121"/>
        <v>706</v>
      </c>
      <c r="E1379" s="1">
        <f t="shared" si="122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9"/>
        <v>43882</v>
      </c>
      <c r="C1380" s="1">
        <f t="shared" si="120"/>
        <v>3850</v>
      </c>
      <c r="D1380" s="1">
        <f t="shared" si="121"/>
        <v>706</v>
      </c>
      <c r="E1380" s="1">
        <f t="shared" si="122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9"/>
        <v>43885</v>
      </c>
      <c r="C1381" s="1">
        <f t="shared" si="120"/>
        <v>3848</v>
      </c>
      <c r="D1381" s="1">
        <f t="shared" si="121"/>
        <v>706</v>
      </c>
      <c r="E1381" s="1">
        <f t="shared" si="122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9"/>
        <v>43886</v>
      </c>
      <c r="C1382" s="1">
        <f t="shared" si="120"/>
        <v>3841</v>
      </c>
      <c r="D1382" s="1">
        <f t="shared" si="121"/>
        <v>706</v>
      </c>
      <c r="E1382" s="1">
        <f t="shared" si="122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9"/>
        <v>43887</v>
      </c>
      <c r="C1383" s="1">
        <f t="shared" si="120"/>
        <v>3826</v>
      </c>
      <c r="D1383" s="1">
        <f t="shared" si="121"/>
        <v>701</v>
      </c>
      <c r="E1383" s="1">
        <f t="shared" si="122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9"/>
        <v>43888</v>
      </c>
      <c r="C1384" s="1">
        <f t="shared" si="120"/>
        <v>3807</v>
      </c>
      <c r="D1384" s="1">
        <f t="shared" si="121"/>
        <v>701</v>
      </c>
      <c r="E1384" s="1">
        <f t="shared" si="122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9"/>
        <v>43889</v>
      </c>
      <c r="C1385" s="1">
        <f t="shared" si="120"/>
        <v>3783</v>
      </c>
      <c r="D1385" s="1">
        <f t="shared" si="121"/>
        <v>701</v>
      </c>
      <c r="E1385" s="1">
        <f t="shared" si="122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9"/>
        <v>43892</v>
      </c>
      <c r="C1386" s="1">
        <f t="shared" si="120"/>
        <v>3768</v>
      </c>
      <c r="D1386" s="1">
        <f t="shared" si="121"/>
        <v>696</v>
      </c>
      <c r="E1386" s="1">
        <f t="shared" si="122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9"/>
        <v>43893</v>
      </c>
      <c r="C1387" s="1">
        <f t="shared" si="120"/>
        <v>3770</v>
      </c>
      <c r="D1387" s="1">
        <f t="shared" si="121"/>
        <v>696</v>
      </c>
      <c r="E1387" s="1">
        <f t="shared" si="122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9"/>
        <v>43894</v>
      </c>
      <c r="C1388" s="1">
        <f t="shared" si="120"/>
        <v>3772</v>
      </c>
      <c r="D1388" s="1">
        <f t="shared" si="121"/>
        <v>696</v>
      </c>
      <c r="E1388" s="1">
        <f t="shared" si="122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9"/>
        <v>43895</v>
      </c>
      <c r="C1389" s="1">
        <f t="shared" si="120"/>
        <v>3784</v>
      </c>
      <c r="D1389" s="1">
        <f t="shared" si="121"/>
        <v>696</v>
      </c>
      <c r="E1389" s="1">
        <f t="shared" si="122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9"/>
        <v>43896</v>
      </c>
      <c r="C1390" s="1">
        <f t="shared" si="120"/>
        <v>3787</v>
      </c>
      <c r="D1390" s="1">
        <f t="shared" si="121"/>
        <v>696</v>
      </c>
      <c r="E1390" s="1">
        <f t="shared" si="122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9"/>
        <v>43899</v>
      </c>
      <c r="C1391" s="1">
        <f t="shared" si="120"/>
        <v>3724</v>
      </c>
      <c r="D1391" s="1">
        <f t="shared" si="121"/>
        <v>671</v>
      </c>
      <c r="E1391" s="1">
        <f t="shared" si="122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9"/>
        <v>43900</v>
      </c>
      <c r="C1392" s="1">
        <f t="shared" si="120"/>
        <v>3661</v>
      </c>
      <c r="D1392" s="1">
        <f t="shared" si="121"/>
        <v>671</v>
      </c>
      <c r="E1392" s="1">
        <f t="shared" si="122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9"/>
        <v>43901</v>
      </c>
      <c r="C1393" s="1">
        <f t="shared" si="120"/>
        <v>3677</v>
      </c>
      <c r="D1393" s="1">
        <f t="shared" si="121"/>
        <v>646</v>
      </c>
      <c r="E1393" s="1">
        <f t="shared" si="122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9"/>
        <v>43902</v>
      </c>
      <c r="C1394" s="1">
        <f t="shared" si="120"/>
        <v>3667</v>
      </c>
      <c r="D1394" s="1">
        <f t="shared" si="121"/>
        <v>641</v>
      </c>
      <c r="E1394" s="1">
        <f t="shared" si="122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9"/>
        <v>43903</v>
      </c>
      <c r="C1395" s="1">
        <f t="shared" si="120"/>
        <v>3649</v>
      </c>
      <c r="D1395" s="1">
        <f t="shared" si="121"/>
        <v>641</v>
      </c>
      <c r="E1395" s="1">
        <f t="shared" si="122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9"/>
        <v>43906</v>
      </c>
      <c r="C1396" s="1">
        <f t="shared" si="120"/>
        <v>3657</v>
      </c>
      <c r="D1396" s="1">
        <f t="shared" si="121"/>
        <v>641</v>
      </c>
      <c r="E1396" s="1">
        <f t="shared" si="122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9"/>
        <v>43907</v>
      </c>
      <c r="C1397" s="1">
        <f t="shared" si="120"/>
        <v>3617</v>
      </c>
      <c r="D1397" s="1">
        <f t="shared" si="121"/>
        <v>626</v>
      </c>
      <c r="E1397" s="1">
        <f t="shared" si="122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9"/>
        <v>43908</v>
      </c>
      <c r="C1398" s="1">
        <f t="shared" si="120"/>
        <v>3585</v>
      </c>
      <c r="D1398" s="1">
        <f t="shared" si="121"/>
        <v>606</v>
      </c>
      <c r="E1398" s="1">
        <f t="shared" si="122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9"/>
        <v>43909</v>
      </c>
      <c r="C1399" s="1">
        <f t="shared" si="120"/>
        <v>3522</v>
      </c>
      <c r="D1399" s="1">
        <f t="shared" si="121"/>
        <v>606</v>
      </c>
      <c r="E1399" s="1">
        <f t="shared" si="122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9"/>
        <v>43910</v>
      </c>
      <c r="C1400" s="1">
        <f t="shared" si="120"/>
        <v>3502</v>
      </c>
      <c r="D1400" s="1">
        <f t="shared" si="121"/>
        <v>591</v>
      </c>
      <c r="E1400" s="1">
        <f t="shared" si="122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9"/>
        <v>43913</v>
      </c>
      <c r="C1401" s="1">
        <f t="shared" si="120"/>
        <v>3503</v>
      </c>
      <c r="D1401" s="1">
        <f t="shared" si="121"/>
        <v>551</v>
      </c>
      <c r="E1401" s="1">
        <f t="shared" si="122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9"/>
        <v>43914</v>
      </c>
      <c r="C1402" s="1">
        <f t="shared" si="120"/>
        <v>3432</v>
      </c>
      <c r="D1402" s="1">
        <f t="shared" si="121"/>
        <v>551</v>
      </c>
      <c r="E1402" s="1">
        <f t="shared" si="122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9"/>
        <v>43915</v>
      </c>
      <c r="C1403" s="1">
        <f t="shared" si="120"/>
        <v>3392</v>
      </c>
      <c r="D1403" s="1">
        <f t="shared" si="121"/>
        <v>551</v>
      </c>
      <c r="E1403" s="1">
        <f t="shared" si="122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9"/>
        <v>43916</v>
      </c>
      <c r="C1404" s="1">
        <f t="shared" si="120"/>
        <v>3373</v>
      </c>
      <c r="D1404" s="1">
        <f t="shared" si="121"/>
        <v>551</v>
      </c>
      <c r="E1404" s="1">
        <f t="shared" si="122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9"/>
        <v>43917</v>
      </c>
      <c r="C1405" s="1">
        <f t="shared" si="120"/>
        <v>3355</v>
      </c>
      <c r="D1405" s="1">
        <f t="shared" si="121"/>
        <v>541</v>
      </c>
      <c r="E1405" s="1">
        <f t="shared" si="122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9"/>
        <v>43920</v>
      </c>
      <c r="C1406" s="1">
        <f t="shared" si="120"/>
        <v>3298</v>
      </c>
      <c r="D1406" s="1">
        <f t="shared" si="121"/>
        <v>536</v>
      </c>
      <c r="E1406" s="1">
        <f t="shared" si="122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9"/>
        <v>43921</v>
      </c>
      <c r="C1407" s="1">
        <f t="shared" si="120"/>
        <v>3228</v>
      </c>
      <c r="D1407" s="1">
        <f t="shared" si="121"/>
        <v>511</v>
      </c>
      <c r="E1407" s="1">
        <f t="shared" si="122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9"/>
        <v>43922</v>
      </c>
      <c r="C1408" s="1">
        <f t="shared" si="120"/>
        <v>3200</v>
      </c>
      <c r="D1408" s="1">
        <f t="shared" si="121"/>
        <v>481</v>
      </c>
      <c r="E1408" s="1">
        <f t="shared" si="122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9"/>
        <v>43923</v>
      </c>
      <c r="C1409" s="1">
        <f t="shared" si="120"/>
        <v>3154</v>
      </c>
      <c r="D1409" s="1">
        <f t="shared" si="121"/>
        <v>481</v>
      </c>
      <c r="E1409" s="1">
        <f t="shared" si="122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9"/>
        <v>43924</v>
      </c>
      <c r="C1410" s="1">
        <f t="shared" si="120"/>
        <v>3180</v>
      </c>
      <c r="D1410" s="1">
        <f t="shared" si="121"/>
        <v>451</v>
      </c>
      <c r="E1410" s="1">
        <f t="shared" si="122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9"/>
        <v>43927</v>
      </c>
      <c r="C1411" s="1">
        <f t="shared" si="120"/>
        <v>3180</v>
      </c>
      <c r="D1411" s="1">
        <f t="shared" si="121"/>
        <v>451</v>
      </c>
      <c r="E1411" s="1">
        <f t="shared" si="122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9"/>
        <v>43928</v>
      </c>
      <c r="C1412" s="1">
        <f t="shared" si="120"/>
        <v>3239</v>
      </c>
      <c r="D1412" s="1">
        <f t="shared" si="121"/>
        <v>411</v>
      </c>
      <c r="E1412" s="1">
        <f t="shared" si="122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9"/>
        <v>43929</v>
      </c>
      <c r="C1413" s="1">
        <f t="shared" si="120"/>
        <v>3264</v>
      </c>
      <c r="D1413" s="1">
        <f t="shared" si="121"/>
        <v>411</v>
      </c>
      <c r="E1413" s="1">
        <f t="shared" si="122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23">L1414</f>
        <v>43930</v>
      </c>
      <c r="C1414" s="1">
        <f t="shared" si="120"/>
        <v>3287</v>
      </c>
      <c r="D1414" s="1">
        <f t="shared" si="121"/>
        <v>411</v>
      </c>
      <c r="E1414" s="1">
        <f t="shared" si="122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23"/>
        <v>43931</v>
      </c>
      <c r="C1415" s="1">
        <f t="shared" ref="C1415:C1478" si="124">IF(M1415&lt;&gt;0,M1415,C1414)</f>
        <v>3303</v>
      </c>
      <c r="D1415" s="1">
        <f t="shared" ref="D1415:D1478" si="125">IF(N1415&lt;&gt;0,N1415,D1414)</f>
        <v>411</v>
      </c>
      <c r="E1415" s="1">
        <f t="shared" ref="E1415:E1478" si="126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23"/>
        <v>43934</v>
      </c>
      <c r="C1416" s="1">
        <f t="shared" si="124"/>
        <v>3403</v>
      </c>
      <c r="D1416" s="1">
        <f t="shared" si="125"/>
        <v>441</v>
      </c>
      <c r="E1416" s="1">
        <f t="shared" si="126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23"/>
        <v>43935</v>
      </c>
      <c r="C1417" s="1">
        <f t="shared" si="124"/>
        <v>3438</v>
      </c>
      <c r="D1417" s="1">
        <f t="shared" si="125"/>
        <v>441</v>
      </c>
      <c r="E1417" s="1">
        <f t="shared" si="126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23"/>
        <v>43936</v>
      </c>
      <c r="C1418" s="1">
        <f t="shared" si="124"/>
        <v>3402</v>
      </c>
      <c r="D1418" s="1">
        <f t="shared" si="125"/>
        <v>431</v>
      </c>
      <c r="E1418" s="1">
        <f t="shared" si="126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23"/>
        <v>43937</v>
      </c>
      <c r="C1419" s="1">
        <f t="shared" si="124"/>
        <v>3375</v>
      </c>
      <c r="D1419" s="1">
        <f t="shared" si="125"/>
        <v>401</v>
      </c>
      <c r="E1419" s="1">
        <f t="shared" si="126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23"/>
        <v>43938</v>
      </c>
      <c r="C1420" s="1">
        <f t="shared" si="124"/>
        <v>3353</v>
      </c>
      <c r="D1420" s="1">
        <f t="shared" si="125"/>
        <v>396</v>
      </c>
      <c r="E1420" s="1">
        <f t="shared" si="126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23"/>
        <v>43941</v>
      </c>
      <c r="C1421" s="1">
        <f t="shared" si="124"/>
        <v>3332</v>
      </c>
      <c r="D1421" s="1">
        <f t="shared" si="125"/>
        <v>386</v>
      </c>
      <c r="E1421" s="1">
        <f t="shared" si="126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23"/>
        <v>43942</v>
      </c>
      <c r="C1422" s="1">
        <f t="shared" si="124"/>
        <v>3288</v>
      </c>
      <c r="D1422" s="1">
        <f t="shared" si="125"/>
        <v>331</v>
      </c>
      <c r="E1422" s="1">
        <f t="shared" si="126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23"/>
        <v>43943</v>
      </c>
      <c r="C1423" s="1">
        <f t="shared" si="124"/>
        <v>3225</v>
      </c>
      <c r="D1423" s="1">
        <f t="shared" si="125"/>
        <v>331</v>
      </c>
      <c r="E1423" s="1">
        <f t="shared" si="126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23"/>
        <v>43944</v>
      </c>
      <c r="C1424" s="1">
        <f t="shared" si="124"/>
        <v>3215</v>
      </c>
      <c r="D1424" s="1">
        <f t="shared" si="125"/>
        <v>331</v>
      </c>
      <c r="E1424" s="1">
        <f t="shared" si="126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23"/>
        <v>43945</v>
      </c>
      <c r="C1425" s="1">
        <f t="shared" si="124"/>
        <v>3247</v>
      </c>
      <c r="D1425" s="1">
        <f t="shared" si="125"/>
        <v>356</v>
      </c>
      <c r="E1425" s="1">
        <f t="shared" si="126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23"/>
        <v>43947</v>
      </c>
      <c r="C1426" s="1">
        <f t="shared" si="124"/>
        <v>3245</v>
      </c>
      <c r="D1426" s="1">
        <f t="shared" si="125"/>
        <v>356</v>
      </c>
      <c r="E1426" s="1">
        <f t="shared" si="126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23"/>
        <v>43948</v>
      </c>
      <c r="C1427" s="1">
        <f t="shared" si="124"/>
        <v>3258</v>
      </c>
      <c r="D1427" s="1">
        <f t="shared" si="125"/>
        <v>356</v>
      </c>
      <c r="E1427" s="1">
        <f t="shared" si="126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23"/>
        <v>43949</v>
      </c>
      <c r="C1428" s="1">
        <f t="shared" si="124"/>
        <v>3252</v>
      </c>
      <c r="D1428" s="1">
        <f t="shared" si="125"/>
        <v>366</v>
      </c>
      <c r="E1428" s="1">
        <f t="shared" si="126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23"/>
        <v>43950</v>
      </c>
      <c r="C1429" s="1">
        <f t="shared" si="124"/>
        <v>3255</v>
      </c>
      <c r="D1429" s="1">
        <f t="shared" si="125"/>
        <v>376</v>
      </c>
      <c r="E1429" s="1">
        <f t="shared" si="126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23"/>
        <v>43951</v>
      </c>
      <c r="C1430" s="1">
        <f t="shared" si="124"/>
        <v>3273</v>
      </c>
      <c r="D1430" s="1">
        <f t="shared" si="125"/>
        <v>376</v>
      </c>
      <c r="E1430" s="1">
        <f t="shared" si="126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23"/>
        <v>43952</v>
      </c>
      <c r="C1431" s="1">
        <f t="shared" si="124"/>
        <v>3273</v>
      </c>
      <c r="D1431" s="1">
        <f t="shared" si="125"/>
        <v>376</v>
      </c>
      <c r="E1431" s="1">
        <f t="shared" si="126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23"/>
        <v>43955</v>
      </c>
      <c r="C1432" s="1">
        <f t="shared" si="124"/>
        <v>3273</v>
      </c>
      <c r="D1432" s="1">
        <f t="shared" si="125"/>
        <v>376</v>
      </c>
      <c r="E1432" s="1">
        <f t="shared" si="126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23"/>
        <v>43956</v>
      </c>
      <c r="C1433" s="1">
        <f t="shared" si="124"/>
        <v>3273</v>
      </c>
      <c r="D1433" s="1">
        <f t="shared" si="125"/>
        <v>376</v>
      </c>
      <c r="E1433" s="1">
        <f t="shared" si="126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23"/>
        <v>43957</v>
      </c>
      <c r="C1434" s="1">
        <f t="shared" si="124"/>
        <v>3313</v>
      </c>
      <c r="D1434" s="1">
        <f t="shared" si="125"/>
        <v>416</v>
      </c>
      <c r="E1434" s="1">
        <f t="shared" si="126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23"/>
        <v>43958</v>
      </c>
      <c r="C1435" s="1">
        <f t="shared" si="124"/>
        <v>3335</v>
      </c>
      <c r="D1435" s="1">
        <f t="shared" si="125"/>
        <v>416</v>
      </c>
      <c r="E1435" s="1">
        <f t="shared" si="126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23"/>
        <v>43959</v>
      </c>
      <c r="C1436" s="1">
        <f t="shared" si="124"/>
        <v>3338</v>
      </c>
      <c r="D1436" s="1">
        <f t="shared" si="125"/>
        <v>456</v>
      </c>
      <c r="E1436" s="1">
        <f t="shared" si="126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23"/>
        <v>43960</v>
      </c>
      <c r="C1437" s="1">
        <f t="shared" si="124"/>
        <v>3345</v>
      </c>
      <c r="D1437" s="1">
        <f t="shared" si="125"/>
        <v>456</v>
      </c>
      <c r="E1437" s="1">
        <f t="shared" si="126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23"/>
        <v>43962</v>
      </c>
      <c r="C1438" s="1">
        <f t="shared" si="124"/>
        <v>3364</v>
      </c>
      <c r="D1438" s="1">
        <f t="shared" si="125"/>
        <v>456</v>
      </c>
      <c r="E1438" s="1">
        <f t="shared" si="126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23"/>
        <v>43963</v>
      </c>
      <c r="C1439" s="1">
        <f t="shared" si="124"/>
        <v>3362</v>
      </c>
      <c r="D1439" s="1">
        <f t="shared" si="125"/>
        <v>506</v>
      </c>
      <c r="E1439" s="1">
        <f t="shared" si="126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23"/>
        <v>43964</v>
      </c>
      <c r="C1440" s="1">
        <f t="shared" si="124"/>
        <v>3347</v>
      </c>
      <c r="D1440" s="1">
        <f t="shared" si="125"/>
        <v>571</v>
      </c>
      <c r="E1440" s="1">
        <f t="shared" si="126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23"/>
        <v>43965</v>
      </c>
      <c r="C1441" s="1">
        <f t="shared" si="124"/>
        <v>3340</v>
      </c>
      <c r="D1441" s="1">
        <f t="shared" si="125"/>
        <v>581</v>
      </c>
      <c r="E1441" s="1">
        <f t="shared" si="126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23"/>
        <v>43966</v>
      </c>
      <c r="C1442" s="1">
        <f t="shared" si="124"/>
        <v>3351</v>
      </c>
      <c r="D1442" s="1">
        <f t="shared" si="125"/>
        <v>581</v>
      </c>
      <c r="E1442" s="1">
        <f t="shared" si="126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23"/>
        <v>43969</v>
      </c>
      <c r="C1443" s="1">
        <f t="shared" si="124"/>
        <v>3386</v>
      </c>
      <c r="D1443" s="1">
        <f t="shared" si="125"/>
        <v>601</v>
      </c>
      <c r="E1443" s="1">
        <f t="shared" si="126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23"/>
        <v>43970</v>
      </c>
      <c r="C1444" s="1">
        <f t="shared" si="124"/>
        <v>3411</v>
      </c>
      <c r="D1444" s="1">
        <f t="shared" si="125"/>
        <v>606</v>
      </c>
      <c r="E1444" s="1">
        <f t="shared" si="126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23"/>
        <v>43971</v>
      </c>
      <c r="C1445" s="1">
        <f t="shared" si="124"/>
        <v>3432</v>
      </c>
      <c r="D1445" s="1">
        <f t="shared" si="125"/>
        <v>616</v>
      </c>
      <c r="E1445" s="1">
        <f t="shared" si="126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23"/>
        <v>43972</v>
      </c>
      <c r="C1446" s="1">
        <f t="shared" si="124"/>
        <v>3443</v>
      </c>
      <c r="D1446" s="1">
        <f t="shared" si="125"/>
        <v>616</v>
      </c>
      <c r="E1446" s="1">
        <f t="shared" si="126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23"/>
        <v>43973</v>
      </c>
      <c r="C1447" s="1">
        <f t="shared" si="124"/>
        <v>3436</v>
      </c>
      <c r="D1447" s="1">
        <f t="shared" si="125"/>
        <v>676</v>
      </c>
      <c r="E1447" s="1">
        <f t="shared" si="126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23"/>
        <v>43976</v>
      </c>
      <c r="C1448" s="1">
        <f t="shared" si="124"/>
        <v>3423</v>
      </c>
      <c r="D1448" s="1">
        <f t="shared" si="125"/>
        <v>676</v>
      </c>
      <c r="E1448" s="1">
        <f t="shared" si="126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23"/>
        <v>43977</v>
      </c>
      <c r="C1449" s="1">
        <f t="shared" si="124"/>
        <v>3426</v>
      </c>
      <c r="D1449" s="1">
        <f t="shared" si="125"/>
        <v>731</v>
      </c>
      <c r="E1449" s="1">
        <f t="shared" si="126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23"/>
        <v>43978</v>
      </c>
      <c r="C1450" s="1">
        <f t="shared" si="124"/>
        <v>3418</v>
      </c>
      <c r="D1450" s="1">
        <f t="shared" si="125"/>
        <v>721</v>
      </c>
      <c r="E1450" s="1">
        <f t="shared" si="126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23"/>
        <v>43979</v>
      </c>
      <c r="C1451" s="1">
        <f t="shared" si="124"/>
        <v>3414</v>
      </c>
      <c r="D1451" s="1">
        <f t="shared" si="125"/>
        <v>721</v>
      </c>
      <c r="E1451" s="1">
        <f t="shared" si="126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23"/>
        <v>43980</v>
      </c>
      <c r="C1452" s="1">
        <f t="shared" si="124"/>
        <v>3420</v>
      </c>
      <c r="D1452" s="1">
        <f t="shared" si="125"/>
        <v>711</v>
      </c>
      <c r="E1452" s="1">
        <f t="shared" si="126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23"/>
        <v>43983</v>
      </c>
      <c r="C1453" s="1">
        <f t="shared" si="124"/>
        <v>3446</v>
      </c>
      <c r="D1453" s="1">
        <f t="shared" si="125"/>
        <v>711</v>
      </c>
      <c r="E1453" s="1">
        <f t="shared" si="126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23"/>
        <v>43984</v>
      </c>
      <c r="C1454" s="1">
        <f t="shared" si="124"/>
        <v>3470</v>
      </c>
      <c r="D1454" s="1">
        <f t="shared" si="125"/>
        <v>711</v>
      </c>
      <c r="E1454" s="1">
        <f t="shared" si="126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23"/>
        <v>43985</v>
      </c>
      <c r="C1455" s="1">
        <f t="shared" si="124"/>
        <v>3483</v>
      </c>
      <c r="D1455" s="1">
        <f t="shared" si="125"/>
        <v>711</v>
      </c>
      <c r="E1455" s="1">
        <f t="shared" si="126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23"/>
        <v>43986</v>
      </c>
      <c r="C1456" s="1">
        <f t="shared" si="124"/>
        <v>3503</v>
      </c>
      <c r="D1456" s="1">
        <f t="shared" si="125"/>
        <v>711</v>
      </c>
      <c r="E1456" s="1">
        <f t="shared" si="126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23"/>
        <v>43987</v>
      </c>
      <c r="C1457" s="1">
        <f t="shared" si="124"/>
        <v>3514</v>
      </c>
      <c r="D1457" s="1">
        <f t="shared" si="125"/>
        <v>711</v>
      </c>
      <c r="E1457" s="1">
        <f t="shared" si="126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23"/>
        <v>43990</v>
      </c>
      <c r="C1458" s="1">
        <f t="shared" si="124"/>
        <v>3543</v>
      </c>
      <c r="D1458" s="1">
        <f t="shared" si="125"/>
        <v>711</v>
      </c>
      <c r="E1458" s="1">
        <f t="shared" si="126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23"/>
        <v>43991</v>
      </c>
      <c r="C1459" s="1">
        <f t="shared" si="124"/>
        <v>3556</v>
      </c>
      <c r="D1459" s="1">
        <f t="shared" si="125"/>
        <v>751</v>
      </c>
      <c r="E1459" s="1">
        <f t="shared" si="126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23"/>
        <v>43992</v>
      </c>
      <c r="C1460" s="1">
        <f t="shared" si="124"/>
        <v>3554</v>
      </c>
      <c r="D1460" s="1">
        <f t="shared" si="125"/>
        <v>806</v>
      </c>
      <c r="E1460" s="1">
        <f t="shared" si="126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23"/>
        <v>43993</v>
      </c>
      <c r="C1461" s="1">
        <f t="shared" si="124"/>
        <v>3536</v>
      </c>
      <c r="D1461" s="1">
        <f t="shared" si="125"/>
        <v>806</v>
      </c>
      <c r="E1461" s="1">
        <f t="shared" si="126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23"/>
        <v>43994</v>
      </c>
      <c r="C1462" s="1">
        <f t="shared" si="124"/>
        <v>3522</v>
      </c>
      <c r="D1462" s="1">
        <f t="shared" si="125"/>
        <v>806</v>
      </c>
      <c r="E1462" s="1">
        <f t="shared" si="126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23"/>
        <v>43997</v>
      </c>
      <c r="C1463" s="1">
        <f t="shared" si="124"/>
        <v>3514</v>
      </c>
      <c r="D1463" s="1">
        <f t="shared" si="125"/>
        <v>841</v>
      </c>
      <c r="E1463" s="1">
        <f t="shared" si="126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23"/>
        <v>43998</v>
      </c>
      <c r="C1464" s="1">
        <f t="shared" si="124"/>
        <v>3516</v>
      </c>
      <c r="D1464" s="1">
        <f t="shared" si="125"/>
        <v>841</v>
      </c>
      <c r="E1464" s="1">
        <f t="shared" si="126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23"/>
        <v>43999</v>
      </c>
      <c r="C1465" s="1">
        <f t="shared" si="124"/>
        <v>3539</v>
      </c>
      <c r="D1465" s="1">
        <f t="shared" si="125"/>
        <v>841</v>
      </c>
      <c r="E1465" s="1">
        <f t="shared" si="126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23"/>
        <v>44000</v>
      </c>
      <c r="C1466" s="1">
        <f t="shared" si="124"/>
        <v>3540</v>
      </c>
      <c r="D1466" s="1">
        <f t="shared" si="125"/>
        <v>841</v>
      </c>
      <c r="E1466" s="1">
        <f t="shared" si="126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23"/>
        <v>44001</v>
      </c>
      <c r="C1467" s="1">
        <f t="shared" si="124"/>
        <v>3545</v>
      </c>
      <c r="D1467" s="1">
        <f t="shared" si="125"/>
        <v>841</v>
      </c>
      <c r="E1467" s="1">
        <f t="shared" si="126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23"/>
        <v>44004</v>
      </c>
      <c r="C1468" s="1">
        <f t="shared" si="124"/>
        <v>3558</v>
      </c>
      <c r="D1468" s="1">
        <f t="shared" si="125"/>
        <v>841</v>
      </c>
      <c r="E1468" s="1">
        <f t="shared" si="126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23"/>
        <v>44005</v>
      </c>
      <c r="C1469" s="1">
        <f t="shared" si="124"/>
        <v>3552</v>
      </c>
      <c r="D1469" s="1">
        <f t="shared" si="125"/>
        <v>841</v>
      </c>
      <c r="E1469" s="1">
        <f t="shared" si="126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23"/>
        <v>44006</v>
      </c>
      <c r="C1470" s="1">
        <f t="shared" si="124"/>
        <v>3539</v>
      </c>
      <c r="D1470" s="1">
        <f t="shared" si="125"/>
        <v>851</v>
      </c>
      <c r="E1470" s="1">
        <f t="shared" si="126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23"/>
        <v>44007</v>
      </c>
      <c r="C1471" s="1">
        <f t="shared" si="124"/>
        <v>3539</v>
      </c>
      <c r="D1471" s="1">
        <f t="shared" si="125"/>
        <v>851</v>
      </c>
      <c r="E1471" s="1">
        <f t="shared" si="126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23"/>
        <v>44008</v>
      </c>
      <c r="C1472" s="1">
        <f t="shared" si="124"/>
        <v>3539</v>
      </c>
      <c r="D1472" s="1">
        <f t="shared" si="125"/>
        <v>851</v>
      </c>
      <c r="E1472" s="1">
        <f t="shared" si="126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23"/>
        <v>44010</v>
      </c>
      <c r="C1473" s="1">
        <f t="shared" si="124"/>
        <v>3529</v>
      </c>
      <c r="D1473" s="1">
        <f t="shared" si="125"/>
        <v>851</v>
      </c>
      <c r="E1473" s="1">
        <f t="shared" si="126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23"/>
        <v>44011</v>
      </c>
      <c r="C1474" s="1">
        <f t="shared" si="124"/>
        <v>3528</v>
      </c>
      <c r="D1474" s="1">
        <f t="shared" si="125"/>
        <v>856</v>
      </c>
      <c r="E1474" s="1">
        <f t="shared" si="126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23"/>
        <v>44012</v>
      </c>
      <c r="C1475" s="1">
        <f t="shared" si="124"/>
        <v>3520</v>
      </c>
      <c r="D1475" s="1">
        <f t="shared" si="125"/>
        <v>856</v>
      </c>
      <c r="E1475" s="1">
        <f t="shared" si="126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23"/>
        <v>44013</v>
      </c>
      <c r="C1476" s="1">
        <f t="shared" si="124"/>
        <v>3512</v>
      </c>
      <c r="D1476" s="1">
        <f t="shared" si="125"/>
        <v>881</v>
      </c>
      <c r="E1476" s="1">
        <f t="shared" si="126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23"/>
        <v>44014</v>
      </c>
      <c r="C1477" s="1">
        <f t="shared" si="124"/>
        <v>3509</v>
      </c>
      <c r="D1477" s="1">
        <f t="shared" si="125"/>
        <v>881</v>
      </c>
      <c r="E1477" s="1">
        <f t="shared" si="126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7">L1478</f>
        <v>44015</v>
      </c>
      <c r="C1478" s="1">
        <f t="shared" si="124"/>
        <v>3512</v>
      </c>
      <c r="D1478" s="1">
        <f t="shared" si="125"/>
        <v>881</v>
      </c>
      <c r="E1478" s="1">
        <f t="shared" si="126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7"/>
        <v>44018</v>
      </c>
      <c r="C1479" s="1">
        <f t="shared" ref="C1479:C1542" si="128">IF(M1479&lt;&gt;0,M1479,C1478)</f>
        <v>3521</v>
      </c>
      <c r="D1479" s="1">
        <f t="shared" ref="D1479:D1542" si="129">IF(N1479&lt;&gt;0,N1479,D1478)</f>
        <v>851</v>
      </c>
      <c r="E1479" s="1">
        <f t="shared" ref="E1479:E1542" si="130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7"/>
        <v>44019</v>
      </c>
      <c r="C1480" s="1">
        <f t="shared" si="128"/>
        <v>3531</v>
      </c>
      <c r="D1480" s="1">
        <f t="shared" si="129"/>
        <v>841</v>
      </c>
      <c r="E1480" s="1">
        <f t="shared" si="130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7"/>
        <v>44020</v>
      </c>
      <c r="C1481" s="1">
        <f t="shared" si="128"/>
        <v>3531</v>
      </c>
      <c r="D1481" s="1">
        <f t="shared" si="129"/>
        <v>801</v>
      </c>
      <c r="E1481" s="1">
        <f t="shared" si="130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7"/>
        <v>44021</v>
      </c>
      <c r="C1482" s="1">
        <f t="shared" si="128"/>
        <v>3526</v>
      </c>
      <c r="D1482" s="1">
        <f t="shared" si="129"/>
        <v>801</v>
      </c>
      <c r="E1482" s="1">
        <f t="shared" si="130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7"/>
        <v>44022</v>
      </c>
      <c r="C1483" s="1">
        <f t="shared" si="128"/>
        <v>3521</v>
      </c>
      <c r="D1483" s="1">
        <f t="shared" si="129"/>
        <v>801</v>
      </c>
      <c r="E1483" s="1">
        <f t="shared" si="130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7"/>
        <v>44025</v>
      </c>
      <c r="C1484" s="1">
        <f t="shared" si="128"/>
        <v>3521</v>
      </c>
      <c r="D1484" s="1">
        <f t="shared" si="129"/>
        <v>801</v>
      </c>
      <c r="E1484" s="1">
        <f t="shared" si="130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7"/>
        <v>44026</v>
      </c>
      <c r="C1485" s="1">
        <f t="shared" si="128"/>
        <v>3519</v>
      </c>
      <c r="D1485" s="1">
        <f t="shared" si="129"/>
        <v>801</v>
      </c>
      <c r="E1485" s="1">
        <f t="shared" si="130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7"/>
        <v>44027</v>
      </c>
      <c r="C1486" s="1">
        <f t="shared" si="128"/>
        <v>3520</v>
      </c>
      <c r="D1486" s="1">
        <f t="shared" si="129"/>
        <v>801</v>
      </c>
      <c r="E1486" s="1">
        <f t="shared" si="130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7"/>
        <v>44028</v>
      </c>
      <c r="C1487" s="1">
        <f t="shared" si="128"/>
        <v>3522</v>
      </c>
      <c r="D1487" s="1">
        <f t="shared" si="129"/>
        <v>801</v>
      </c>
      <c r="E1487" s="1">
        <f t="shared" si="130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7"/>
        <v>44029</v>
      </c>
      <c r="C1488" s="1">
        <f t="shared" si="128"/>
        <v>3516</v>
      </c>
      <c r="D1488" s="1">
        <f t="shared" si="129"/>
        <v>801</v>
      </c>
      <c r="E1488" s="1">
        <f t="shared" si="130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7"/>
        <v>44032</v>
      </c>
      <c r="C1489" s="1">
        <f t="shared" si="128"/>
        <v>3499</v>
      </c>
      <c r="D1489" s="1">
        <f t="shared" si="129"/>
        <v>801</v>
      </c>
      <c r="E1489" s="1">
        <f t="shared" si="130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7"/>
        <v>44033</v>
      </c>
      <c r="C1490" s="1">
        <f t="shared" si="128"/>
        <v>3487</v>
      </c>
      <c r="D1490" s="1">
        <f t="shared" si="129"/>
        <v>801</v>
      </c>
      <c r="E1490" s="1">
        <f t="shared" si="130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7"/>
        <v>44034</v>
      </c>
      <c r="C1491" s="1">
        <f t="shared" si="128"/>
        <v>3486</v>
      </c>
      <c r="D1491" s="1">
        <f t="shared" si="129"/>
        <v>801</v>
      </c>
      <c r="E1491" s="1">
        <f t="shared" si="130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7"/>
        <v>44035</v>
      </c>
      <c r="C1492" s="1">
        <f t="shared" si="128"/>
        <v>3472</v>
      </c>
      <c r="D1492" s="1">
        <f t="shared" si="129"/>
        <v>801</v>
      </c>
      <c r="E1492" s="1">
        <f t="shared" si="130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7"/>
        <v>44036</v>
      </c>
      <c r="C1493" s="1">
        <f t="shared" si="128"/>
        <v>3476</v>
      </c>
      <c r="D1493" s="1">
        <f t="shared" si="129"/>
        <v>801</v>
      </c>
      <c r="E1493" s="1">
        <f t="shared" si="130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7"/>
        <v>44039</v>
      </c>
      <c r="C1494" s="1">
        <f t="shared" si="128"/>
        <v>3483</v>
      </c>
      <c r="D1494" s="1">
        <f t="shared" si="129"/>
        <v>801</v>
      </c>
      <c r="E1494" s="1">
        <f t="shared" si="130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7"/>
        <v>44040</v>
      </c>
      <c r="C1495" s="1">
        <f t="shared" si="128"/>
        <v>3483</v>
      </c>
      <c r="D1495" s="1">
        <f t="shared" si="129"/>
        <v>801</v>
      </c>
      <c r="E1495" s="1">
        <f t="shared" si="130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7"/>
        <v>44041</v>
      </c>
      <c r="C1496" s="1">
        <f t="shared" si="128"/>
        <v>3484</v>
      </c>
      <c r="D1496" s="1">
        <f t="shared" si="129"/>
        <v>801</v>
      </c>
      <c r="E1496" s="1">
        <f t="shared" si="130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7"/>
        <v>44042</v>
      </c>
      <c r="C1497" s="1">
        <f t="shared" si="128"/>
        <v>3484</v>
      </c>
      <c r="D1497" s="1">
        <f t="shared" si="129"/>
        <v>801</v>
      </c>
      <c r="E1497" s="1">
        <f t="shared" si="130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7"/>
        <v>44043</v>
      </c>
      <c r="C1498" s="1">
        <f t="shared" si="128"/>
        <v>3485</v>
      </c>
      <c r="D1498" s="1">
        <f t="shared" si="129"/>
        <v>801</v>
      </c>
      <c r="E1498" s="1">
        <f t="shared" si="130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7"/>
        <v>44046</v>
      </c>
      <c r="C1499" s="1">
        <f t="shared" si="128"/>
        <v>3482</v>
      </c>
      <c r="D1499" s="1">
        <f t="shared" si="129"/>
        <v>801</v>
      </c>
      <c r="E1499" s="1">
        <f t="shared" si="130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7"/>
        <v>44047</v>
      </c>
      <c r="C1500" s="1">
        <f t="shared" si="128"/>
        <v>3492</v>
      </c>
      <c r="D1500" s="1">
        <f t="shared" si="129"/>
        <v>781</v>
      </c>
      <c r="E1500" s="1">
        <f t="shared" si="130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7"/>
        <v>44048</v>
      </c>
      <c r="C1501" s="1">
        <f t="shared" si="128"/>
        <v>3498</v>
      </c>
      <c r="D1501" s="1">
        <f t="shared" si="129"/>
        <v>771</v>
      </c>
      <c r="E1501" s="1">
        <f t="shared" si="130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7"/>
        <v>44049</v>
      </c>
      <c r="C1502" s="1">
        <f t="shared" si="128"/>
        <v>3503</v>
      </c>
      <c r="D1502" s="1">
        <f t="shared" si="129"/>
        <v>771</v>
      </c>
      <c r="E1502" s="1">
        <f t="shared" si="130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7"/>
        <v>44050</v>
      </c>
      <c r="C1503" s="1">
        <f t="shared" si="128"/>
        <v>3509</v>
      </c>
      <c r="D1503" s="1">
        <f t="shared" si="129"/>
        <v>751</v>
      </c>
      <c r="E1503" s="1">
        <f t="shared" si="130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7"/>
        <v>44053</v>
      </c>
      <c r="C1504" s="1">
        <f t="shared" si="128"/>
        <v>3526</v>
      </c>
      <c r="D1504" s="1">
        <f t="shared" si="129"/>
        <v>751</v>
      </c>
      <c r="E1504" s="1">
        <f t="shared" si="130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7"/>
        <v>44054</v>
      </c>
      <c r="C1505" s="1">
        <f t="shared" si="128"/>
        <v>3540</v>
      </c>
      <c r="D1505" s="1">
        <f t="shared" si="129"/>
        <v>751</v>
      </c>
      <c r="E1505" s="1">
        <f t="shared" si="130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7"/>
        <v>44055</v>
      </c>
      <c r="C1506" s="1">
        <f t="shared" si="128"/>
        <v>3541</v>
      </c>
      <c r="D1506" s="1">
        <f t="shared" si="129"/>
        <v>751</v>
      </c>
      <c r="E1506" s="1">
        <f t="shared" si="130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7"/>
        <v>44056</v>
      </c>
      <c r="C1507" s="1">
        <f t="shared" si="128"/>
        <v>3537</v>
      </c>
      <c r="D1507" s="1">
        <f t="shared" si="129"/>
        <v>751</v>
      </c>
      <c r="E1507" s="1">
        <f t="shared" si="130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7"/>
        <v>44057</v>
      </c>
      <c r="C1508" s="1">
        <f t="shared" si="128"/>
        <v>3537</v>
      </c>
      <c r="D1508" s="1">
        <f t="shared" si="129"/>
        <v>741</v>
      </c>
      <c r="E1508" s="1">
        <f t="shared" si="130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7"/>
        <v>44060</v>
      </c>
      <c r="C1509" s="1">
        <f t="shared" si="128"/>
        <v>3537</v>
      </c>
      <c r="D1509" s="1">
        <f t="shared" si="129"/>
        <v>721</v>
      </c>
      <c r="E1509" s="1">
        <f t="shared" si="130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7"/>
        <v>44061</v>
      </c>
      <c r="C1510" s="1">
        <f t="shared" si="128"/>
        <v>3546</v>
      </c>
      <c r="D1510" s="1">
        <f t="shared" si="129"/>
        <v>721</v>
      </c>
      <c r="E1510" s="1">
        <f t="shared" si="130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7"/>
        <v>44062</v>
      </c>
      <c r="C1511" s="1">
        <f t="shared" si="128"/>
        <v>3546</v>
      </c>
      <c r="D1511" s="1">
        <f t="shared" si="129"/>
        <v>721</v>
      </c>
      <c r="E1511" s="1">
        <f t="shared" si="130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7"/>
        <v>44063</v>
      </c>
      <c r="C1512" s="1">
        <f t="shared" si="128"/>
        <v>3553</v>
      </c>
      <c r="D1512" s="1">
        <f t="shared" si="129"/>
        <v>691</v>
      </c>
      <c r="E1512" s="1">
        <f t="shared" si="130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7"/>
        <v>44064</v>
      </c>
      <c r="C1513" s="1">
        <f t="shared" si="128"/>
        <v>3560</v>
      </c>
      <c r="D1513" s="1">
        <f t="shared" si="129"/>
        <v>716</v>
      </c>
      <c r="E1513" s="1">
        <f t="shared" si="130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7"/>
        <v>44067</v>
      </c>
      <c r="C1514" s="1">
        <f t="shared" si="128"/>
        <v>3578</v>
      </c>
      <c r="D1514" s="1">
        <f t="shared" si="129"/>
        <v>716</v>
      </c>
      <c r="E1514" s="1">
        <f t="shared" si="130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7"/>
        <v>44068</v>
      </c>
      <c r="C1515" s="1">
        <f t="shared" si="128"/>
        <v>3587</v>
      </c>
      <c r="D1515" s="1">
        <f t="shared" si="129"/>
        <v>721</v>
      </c>
      <c r="E1515" s="1">
        <f t="shared" si="130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7"/>
        <v>44069</v>
      </c>
      <c r="C1516" s="1">
        <f t="shared" si="128"/>
        <v>3597</v>
      </c>
      <c r="D1516" s="1">
        <f t="shared" si="129"/>
        <v>721</v>
      </c>
      <c r="E1516" s="1">
        <f t="shared" si="130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7"/>
        <v>44070</v>
      </c>
      <c r="C1517" s="1">
        <f t="shared" si="128"/>
        <v>3604</v>
      </c>
      <c r="D1517" s="1">
        <f t="shared" si="129"/>
        <v>721</v>
      </c>
      <c r="E1517" s="1">
        <f t="shared" si="130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7"/>
        <v>44071</v>
      </c>
      <c r="C1518" s="1">
        <f t="shared" si="128"/>
        <v>3609</v>
      </c>
      <c r="D1518" s="1">
        <f t="shared" si="129"/>
        <v>726</v>
      </c>
      <c r="E1518" s="1">
        <f t="shared" si="130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7"/>
        <v>44074</v>
      </c>
      <c r="C1519" s="1">
        <f t="shared" si="128"/>
        <v>3627</v>
      </c>
      <c r="D1519" s="1">
        <f t="shared" si="129"/>
        <v>741</v>
      </c>
      <c r="E1519" s="1">
        <f t="shared" si="130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7"/>
        <v>44075</v>
      </c>
      <c r="C1520" s="1">
        <f t="shared" si="128"/>
        <v>3650</v>
      </c>
      <c r="D1520" s="1">
        <f t="shared" si="129"/>
        <v>751</v>
      </c>
      <c r="E1520" s="1">
        <f t="shared" si="130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7"/>
        <v>44076</v>
      </c>
      <c r="C1521" s="1">
        <f t="shared" si="128"/>
        <v>3680</v>
      </c>
      <c r="D1521" s="1">
        <f t="shared" si="129"/>
        <v>761</v>
      </c>
      <c r="E1521" s="1">
        <f t="shared" si="130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7"/>
        <v>44077</v>
      </c>
      <c r="C1522" s="1">
        <f t="shared" si="128"/>
        <v>3706</v>
      </c>
      <c r="D1522" s="1">
        <f t="shared" si="129"/>
        <v>776</v>
      </c>
      <c r="E1522" s="1">
        <f t="shared" si="130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7"/>
        <v>44078</v>
      </c>
      <c r="C1523" s="1">
        <f t="shared" si="128"/>
        <v>3729</v>
      </c>
      <c r="D1523" s="1">
        <f t="shared" si="129"/>
        <v>776</v>
      </c>
      <c r="E1523" s="1">
        <f t="shared" si="130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7"/>
        <v>44081</v>
      </c>
      <c r="C1524" s="1">
        <f t="shared" si="128"/>
        <v>3737</v>
      </c>
      <c r="D1524" s="1">
        <f t="shared" si="129"/>
        <v>776</v>
      </c>
      <c r="E1524" s="1">
        <f t="shared" si="130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7"/>
        <v>44082</v>
      </c>
      <c r="C1525" s="1">
        <f t="shared" si="128"/>
        <v>3741</v>
      </c>
      <c r="D1525" s="1">
        <f t="shared" si="129"/>
        <v>786</v>
      </c>
      <c r="E1525" s="1">
        <f t="shared" si="130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7"/>
        <v>44083</v>
      </c>
      <c r="C1526" s="1">
        <f t="shared" si="128"/>
        <v>3732</v>
      </c>
      <c r="D1526" s="1">
        <f t="shared" si="129"/>
        <v>786</v>
      </c>
      <c r="E1526" s="1">
        <f t="shared" si="130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7"/>
        <v>44084</v>
      </c>
      <c r="C1527" s="1">
        <f t="shared" si="128"/>
        <v>3732</v>
      </c>
      <c r="D1527" s="1">
        <f t="shared" si="129"/>
        <v>786</v>
      </c>
      <c r="E1527" s="1">
        <f t="shared" si="130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7"/>
        <v>44085</v>
      </c>
      <c r="C1528" s="1">
        <f t="shared" si="128"/>
        <v>3736</v>
      </c>
      <c r="D1528" s="1">
        <f t="shared" si="129"/>
        <v>801</v>
      </c>
      <c r="E1528" s="1">
        <f t="shared" si="130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7"/>
        <v>44088</v>
      </c>
      <c r="C1529" s="1">
        <f t="shared" si="128"/>
        <v>3743</v>
      </c>
      <c r="D1529" s="1">
        <f t="shared" si="129"/>
        <v>801</v>
      </c>
      <c r="E1529" s="1">
        <f t="shared" si="130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7"/>
        <v>44089</v>
      </c>
      <c r="C1530" s="1">
        <f t="shared" si="128"/>
        <v>3738</v>
      </c>
      <c r="D1530" s="1">
        <f t="shared" si="129"/>
        <v>806</v>
      </c>
      <c r="E1530" s="1">
        <f t="shared" si="130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7"/>
        <v>44090</v>
      </c>
      <c r="C1531" s="1">
        <f t="shared" si="128"/>
        <v>3743</v>
      </c>
      <c r="D1531" s="1">
        <f t="shared" si="129"/>
        <v>811</v>
      </c>
      <c r="E1531" s="1">
        <f t="shared" si="130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7"/>
        <v>44091</v>
      </c>
      <c r="C1532" s="1">
        <f t="shared" si="128"/>
        <v>3751</v>
      </c>
      <c r="D1532" s="1">
        <f t="shared" si="129"/>
        <v>851</v>
      </c>
      <c r="E1532" s="1">
        <f t="shared" si="130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7"/>
        <v>44092</v>
      </c>
      <c r="C1533" s="1">
        <f t="shared" si="128"/>
        <v>3763</v>
      </c>
      <c r="D1533" s="1">
        <f t="shared" si="129"/>
        <v>851</v>
      </c>
      <c r="E1533" s="1">
        <f t="shared" si="130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7"/>
        <v>44095</v>
      </c>
      <c r="C1534" s="1">
        <f t="shared" si="128"/>
        <v>3780</v>
      </c>
      <c r="D1534" s="1">
        <f t="shared" si="129"/>
        <v>851</v>
      </c>
      <c r="E1534" s="1">
        <f t="shared" si="130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7"/>
        <v>44096</v>
      </c>
      <c r="C1535" s="1">
        <f t="shared" si="128"/>
        <v>3785</v>
      </c>
      <c r="D1535" s="1">
        <f t="shared" si="129"/>
        <v>851</v>
      </c>
      <c r="E1535" s="1">
        <f t="shared" si="130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7"/>
        <v>44097</v>
      </c>
      <c r="C1536" s="1">
        <f t="shared" si="128"/>
        <v>3778</v>
      </c>
      <c r="D1536" s="1">
        <f t="shared" si="129"/>
        <v>851</v>
      </c>
      <c r="E1536" s="1">
        <f t="shared" si="130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7"/>
        <v>44098</v>
      </c>
      <c r="C1537" s="1">
        <f t="shared" si="128"/>
        <v>3773</v>
      </c>
      <c r="D1537" s="1">
        <f t="shared" si="129"/>
        <v>851</v>
      </c>
      <c r="E1537" s="1">
        <f t="shared" si="130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7"/>
        <v>44099</v>
      </c>
      <c r="C1538" s="1">
        <f t="shared" si="128"/>
        <v>3771</v>
      </c>
      <c r="D1538" s="1">
        <f t="shared" si="129"/>
        <v>861</v>
      </c>
      <c r="E1538" s="1">
        <f t="shared" si="130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7"/>
        <v>44101</v>
      </c>
      <c r="C1539" s="1">
        <f t="shared" si="128"/>
        <v>3779</v>
      </c>
      <c r="D1539" s="1">
        <f t="shared" si="129"/>
        <v>861</v>
      </c>
      <c r="E1539" s="1">
        <f t="shared" si="130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7"/>
        <v>44102</v>
      </c>
      <c r="C1540" s="1">
        <f t="shared" si="128"/>
        <v>3780</v>
      </c>
      <c r="D1540" s="1">
        <f t="shared" si="129"/>
        <v>861</v>
      </c>
      <c r="E1540" s="1">
        <f t="shared" si="130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7"/>
        <v>44103</v>
      </c>
      <c r="C1541" s="1">
        <f t="shared" si="128"/>
        <v>3776</v>
      </c>
      <c r="D1541" s="1">
        <f t="shared" si="129"/>
        <v>861</v>
      </c>
      <c r="E1541" s="1">
        <f t="shared" si="130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31">L1542</f>
        <v>44104</v>
      </c>
      <c r="C1542" s="1">
        <f t="shared" si="128"/>
        <v>3774</v>
      </c>
      <c r="D1542" s="1">
        <f t="shared" si="129"/>
        <v>861</v>
      </c>
      <c r="E1542" s="1">
        <f t="shared" si="130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31"/>
        <v>44105</v>
      </c>
      <c r="C1543" s="1">
        <f t="shared" ref="C1543:C1606" si="132">IF(M1543&lt;&gt;0,M1543,C1542)</f>
        <v>3774</v>
      </c>
      <c r="D1543" s="1">
        <f t="shared" ref="D1543:D1606" si="133">IF(N1543&lt;&gt;0,N1543,D1542)</f>
        <v>861</v>
      </c>
      <c r="E1543" s="1">
        <f t="shared" ref="E1543:E1606" si="134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31"/>
        <v>44106</v>
      </c>
      <c r="C1544" s="1">
        <f t="shared" si="132"/>
        <v>3774</v>
      </c>
      <c r="D1544" s="1">
        <f t="shared" si="133"/>
        <v>861</v>
      </c>
      <c r="E1544" s="1">
        <f t="shared" si="134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31"/>
        <v>44109</v>
      </c>
      <c r="C1545" s="1">
        <f t="shared" si="132"/>
        <v>3774</v>
      </c>
      <c r="D1545" s="1">
        <f t="shared" si="133"/>
        <v>861</v>
      </c>
      <c r="E1545" s="1">
        <f t="shared" si="134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31"/>
        <v>44110</v>
      </c>
      <c r="C1546" s="1">
        <f t="shared" si="132"/>
        <v>3774</v>
      </c>
      <c r="D1546" s="1">
        <f t="shared" si="133"/>
        <v>861</v>
      </c>
      <c r="E1546" s="1">
        <f t="shared" si="134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31"/>
        <v>44111</v>
      </c>
      <c r="C1547" s="1">
        <f t="shared" si="132"/>
        <v>3774</v>
      </c>
      <c r="D1547" s="1">
        <f t="shared" si="133"/>
        <v>861</v>
      </c>
      <c r="E1547" s="1">
        <f t="shared" si="134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31"/>
        <v>44112</v>
      </c>
      <c r="C1548" s="1">
        <f t="shared" si="132"/>
        <v>3774</v>
      </c>
      <c r="D1548" s="1">
        <f t="shared" si="133"/>
        <v>861</v>
      </c>
      <c r="E1548" s="1">
        <f t="shared" si="134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31"/>
        <v>44113</v>
      </c>
      <c r="C1549" s="1">
        <f t="shared" si="132"/>
        <v>3776</v>
      </c>
      <c r="D1549" s="1">
        <f t="shared" si="133"/>
        <v>871</v>
      </c>
      <c r="E1549" s="1">
        <f t="shared" si="134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31"/>
        <v>44114</v>
      </c>
      <c r="C1550" s="1">
        <f t="shared" si="132"/>
        <v>3790</v>
      </c>
      <c r="D1550" s="1">
        <f t="shared" si="133"/>
        <v>871</v>
      </c>
      <c r="E1550" s="1">
        <f t="shared" si="134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31"/>
        <v>44116</v>
      </c>
      <c r="C1551" s="1">
        <f t="shared" si="132"/>
        <v>3819</v>
      </c>
      <c r="D1551" s="1">
        <f t="shared" si="133"/>
        <v>871</v>
      </c>
      <c r="E1551" s="1">
        <f t="shared" si="134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31"/>
        <v>44117</v>
      </c>
      <c r="C1552" s="1">
        <f t="shared" si="132"/>
        <v>3850</v>
      </c>
      <c r="D1552" s="1">
        <f t="shared" si="133"/>
        <v>871</v>
      </c>
      <c r="E1552" s="1">
        <f t="shared" si="134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31"/>
        <v>44118</v>
      </c>
      <c r="C1553" s="1">
        <f t="shared" si="132"/>
        <v>3882</v>
      </c>
      <c r="D1553" s="1">
        <f t="shared" si="133"/>
        <v>856</v>
      </c>
      <c r="E1553" s="1">
        <f t="shared" si="134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31"/>
        <v>44119</v>
      </c>
      <c r="C1554" s="1">
        <f t="shared" si="132"/>
        <v>3903</v>
      </c>
      <c r="D1554" s="1">
        <f t="shared" si="133"/>
        <v>856</v>
      </c>
      <c r="E1554" s="1">
        <f t="shared" si="134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31"/>
        <v>44120</v>
      </c>
      <c r="C1555" s="1">
        <f t="shared" si="132"/>
        <v>3923</v>
      </c>
      <c r="D1555" s="1">
        <f t="shared" si="133"/>
        <v>856</v>
      </c>
      <c r="E1555" s="1">
        <f t="shared" si="134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31"/>
        <v>44123</v>
      </c>
      <c r="C1556" s="1">
        <f t="shared" si="132"/>
        <v>3938</v>
      </c>
      <c r="D1556" s="1">
        <f t="shared" si="133"/>
        <v>841</v>
      </c>
      <c r="E1556" s="1">
        <f t="shared" si="134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31"/>
        <v>44124</v>
      </c>
      <c r="C1557" s="1">
        <f t="shared" si="132"/>
        <v>3947</v>
      </c>
      <c r="D1557" s="1">
        <f t="shared" si="133"/>
        <v>841</v>
      </c>
      <c r="E1557" s="1">
        <f t="shared" si="134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31"/>
        <v>44125</v>
      </c>
      <c r="C1558" s="1">
        <f t="shared" si="132"/>
        <v>3951</v>
      </c>
      <c r="D1558" s="1">
        <f t="shared" si="133"/>
        <v>811</v>
      </c>
      <c r="E1558" s="1">
        <f t="shared" si="134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31"/>
        <v>44126</v>
      </c>
      <c r="C1559" s="1">
        <f t="shared" si="132"/>
        <v>3959</v>
      </c>
      <c r="D1559" s="1">
        <f t="shared" si="133"/>
        <v>811</v>
      </c>
      <c r="E1559" s="1">
        <f t="shared" si="134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31"/>
        <v>44127</v>
      </c>
      <c r="C1560" s="1">
        <f t="shared" si="132"/>
        <v>3953</v>
      </c>
      <c r="D1560" s="1">
        <f t="shared" si="133"/>
        <v>811</v>
      </c>
      <c r="E1560" s="1">
        <f t="shared" si="134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31"/>
        <v>44130</v>
      </c>
      <c r="C1561" s="1">
        <f t="shared" si="132"/>
        <v>3962</v>
      </c>
      <c r="D1561" s="1">
        <f t="shared" si="133"/>
        <v>806</v>
      </c>
      <c r="E1561" s="1">
        <f t="shared" si="134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31"/>
        <v>44131</v>
      </c>
      <c r="C1562" s="1">
        <f t="shared" si="132"/>
        <v>3957</v>
      </c>
      <c r="D1562" s="1">
        <f t="shared" si="133"/>
        <v>791</v>
      </c>
      <c r="E1562" s="1">
        <f t="shared" si="134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31"/>
        <v>44132</v>
      </c>
      <c r="C1563" s="1">
        <f t="shared" si="132"/>
        <v>3957</v>
      </c>
      <c r="D1563" s="1">
        <f t="shared" si="133"/>
        <v>791</v>
      </c>
      <c r="E1563" s="1">
        <f t="shared" si="134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31"/>
        <v>44133</v>
      </c>
      <c r="C1564" s="1">
        <f t="shared" si="132"/>
        <v>3964</v>
      </c>
      <c r="D1564" s="1">
        <f t="shared" si="133"/>
        <v>776</v>
      </c>
      <c r="E1564" s="1">
        <f t="shared" si="134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31"/>
        <v>44134</v>
      </c>
      <c r="C1565" s="1">
        <f t="shared" si="132"/>
        <v>3974</v>
      </c>
      <c r="D1565" s="1">
        <f t="shared" si="133"/>
        <v>746</v>
      </c>
      <c r="E1565" s="1">
        <f t="shared" si="134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31"/>
        <v>44137</v>
      </c>
      <c r="C1566" s="1">
        <f t="shared" si="132"/>
        <v>3999</v>
      </c>
      <c r="D1566" s="1">
        <f t="shared" si="133"/>
        <v>746</v>
      </c>
      <c r="E1566" s="1">
        <f t="shared" si="134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31"/>
        <v>44138</v>
      </c>
      <c r="C1567" s="1">
        <f t="shared" si="132"/>
        <v>4014</v>
      </c>
      <c r="D1567" s="1">
        <f t="shared" si="133"/>
        <v>741</v>
      </c>
      <c r="E1567" s="1">
        <f t="shared" si="134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31"/>
        <v>44139</v>
      </c>
      <c r="C1568" s="1">
        <f t="shared" si="132"/>
        <v>4018</v>
      </c>
      <c r="D1568" s="1">
        <f t="shared" si="133"/>
        <v>741</v>
      </c>
      <c r="E1568" s="1">
        <f t="shared" si="134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31"/>
        <v>44140</v>
      </c>
      <c r="C1569" s="1">
        <f t="shared" si="132"/>
        <v>4007</v>
      </c>
      <c r="D1569" s="1">
        <f t="shared" si="133"/>
        <v>746</v>
      </c>
      <c r="E1569" s="1">
        <f t="shared" si="134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31"/>
        <v>44141</v>
      </c>
      <c r="C1570" s="1">
        <f t="shared" si="132"/>
        <v>3995</v>
      </c>
      <c r="D1570" s="1">
        <f t="shared" si="133"/>
        <v>771</v>
      </c>
      <c r="E1570" s="1">
        <f t="shared" si="134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31"/>
        <v>44144</v>
      </c>
      <c r="C1571" s="1">
        <f t="shared" si="132"/>
        <v>4008</v>
      </c>
      <c r="D1571" s="1">
        <f t="shared" si="133"/>
        <v>781</v>
      </c>
      <c r="E1571" s="1">
        <f t="shared" si="134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31"/>
        <v>44145</v>
      </c>
      <c r="C1572" s="1">
        <f t="shared" si="132"/>
        <v>4035</v>
      </c>
      <c r="D1572" s="1">
        <f t="shared" si="133"/>
        <v>786</v>
      </c>
      <c r="E1572" s="1">
        <f t="shared" si="134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31"/>
        <v>44146</v>
      </c>
      <c r="C1573" s="1">
        <f t="shared" si="132"/>
        <v>4068</v>
      </c>
      <c r="D1573" s="1">
        <f t="shared" si="133"/>
        <v>841</v>
      </c>
      <c r="E1573" s="1">
        <f t="shared" si="134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31"/>
        <v>44147</v>
      </c>
      <c r="C1574" s="1">
        <f t="shared" si="132"/>
        <v>4093</v>
      </c>
      <c r="D1574" s="1">
        <f t="shared" si="133"/>
        <v>841</v>
      </c>
      <c r="E1574" s="1">
        <f t="shared" si="134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31"/>
        <v>44148</v>
      </c>
      <c r="C1575" s="1">
        <f t="shared" si="132"/>
        <v>4132</v>
      </c>
      <c r="D1575" s="1">
        <f t="shared" si="133"/>
        <v>851</v>
      </c>
      <c r="E1575" s="1">
        <f t="shared" si="134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31"/>
        <v>44151</v>
      </c>
      <c r="C1576" s="1">
        <f t="shared" si="132"/>
        <v>4192</v>
      </c>
      <c r="D1576" s="1">
        <f t="shared" si="133"/>
        <v>851</v>
      </c>
      <c r="E1576" s="1">
        <f t="shared" si="134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31"/>
        <v>44152</v>
      </c>
      <c r="C1577" s="1">
        <f t="shared" si="132"/>
        <v>4221</v>
      </c>
      <c r="D1577" s="1">
        <f t="shared" si="133"/>
        <v>861</v>
      </c>
      <c r="E1577" s="1">
        <f t="shared" si="134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31"/>
        <v>44153</v>
      </c>
      <c r="C1578" s="1">
        <f t="shared" si="132"/>
        <v>4231</v>
      </c>
      <c r="D1578" s="1">
        <f t="shared" si="133"/>
        <v>861</v>
      </c>
      <c r="E1578" s="1">
        <f t="shared" si="134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31"/>
        <v>44154</v>
      </c>
      <c r="C1579" s="1">
        <f t="shared" si="132"/>
        <v>4236</v>
      </c>
      <c r="D1579" s="1">
        <f t="shared" si="133"/>
        <v>926</v>
      </c>
      <c r="E1579" s="1">
        <f t="shared" si="134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31"/>
        <v>44155</v>
      </c>
      <c r="C1580" s="1">
        <f t="shared" si="132"/>
        <v>4233</v>
      </c>
      <c r="D1580" s="1">
        <f t="shared" si="133"/>
        <v>951</v>
      </c>
      <c r="E1580" s="1">
        <f t="shared" si="134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31"/>
        <v>44158</v>
      </c>
      <c r="C1581" s="1">
        <f t="shared" si="132"/>
        <v>4261</v>
      </c>
      <c r="D1581" s="1">
        <f t="shared" si="133"/>
        <v>961</v>
      </c>
      <c r="E1581" s="1">
        <f t="shared" si="134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31"/>
        <v>44159</v>
      </c>
      <c r="C1582" s="1">
        <f t="shared" si="132"/>
        <v>4289</v>
      </c>
      <c r="D1582" s="1">
        <f t="shared" si="133"/>
        <v>971</v>
      </c>
      <c r="E1582" s="1">
        <f t="shared" si="134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31"/>
        <v>44160</v>
      </c>
      <c r="C1583" s="1">
        <f t="shared" si="132"/>
        <v>4296</v>
      </c>
      <c r="D1583" s="1">
        <f t="shared" si="133"/>
        <v>971</v>
      </c>
      <c r="E1583" s="1">
        <f t="shared" si="134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31"/>
        <v>44161</v>
      </c>
      <c r="C1584" s="1">
        <f t="shared" si="132"/>
        <v>4293</v>
      </c>
      <c r="D1584" s="1">
        <f t="shared" si="133"/>
        <v>971</v>
      </c>
      <c r="E1584" s="1">
        <f t="shared" si="134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31"/>
        <v>44162</v>
      </c>
      <c r="C1585" s="1">
        <f t="shared" si="132"/>
        <v>4280</v>
      </c>
      <c r="D1585" s="1">
        <f t="shared" si="133"/>
        <v>971</v>
      </c>
      <c r="E1585" s="1">
        <f t="shared" si="134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31"/>
        <v>44165</v>
      </c>
      <c r="C1586" s="1">
        <f t="shared" si="132"/>
        <v>4281</v>
      </c>
      <c r="D1586" s="1">
        <f t="shared" si="133"/>
        <v>991</v>
      </c>
      <c r="E1586" s="1">
        <f t="shared" si="134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31"/>
        <v>44166</v>
      </c>
      <c r="C1587" s="1">
        <f t="shared" si="132"/>
        <v>4273</v>
      </c>
      <c r="D1587" s="1">
        <f t="shared" si="133"/>
        <v>991</v>
      </c>
      <c r="E1587" s="1">
        <f t="shared" si="134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31"/>
        <v>44167</v>
      </c>
      <c r="C1588" s="1">
        <f t="shared" si="132"/>
        <v>4263</v>
      </c>
      <c r="D1588" s="1">
        <f t="shared" si="133"/>
        <v>991</v>
      </c>
      <c r="E1588" s="1">
        <f t="shared" si="134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31"/>
        <v>44168</v>
      </c>
      <c r="C1589" s="1">
        <f t="shared" si="132"/>
        <v>4248</v>
      </c>
      <c r="D1589" s="1">
        <f t="shared" si="133"/>
        <v>991</v>
      </c>
      <c r="E1589" s="1">
        <f t="shared" si="134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31"/>
        <v>44169</v>
      </c>
      <c r="C1590" s="1">
        <f t="shared" si="132"/>
        <v>4245</v>
      </c>
      <c r="D1590" s="1">
        <f t="shared" si="133"/>
        <v>981</v>
      </c>
      <c r="E1590" s="1">
        <f t="shared" si="134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31"/>
        <v>44172</v>
      </c>
      <c r="C1591" s="1">
        <f t="shared" si="132"/>
        <v>4273</v>
      </c>
      <c r="D1591" s="1">
        <f t="shared" si="133"/>
        <v>976</v>
      </c>
      <c r="E1591" s="1">
        <f t="shared" si="134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31"/>
        <v>44173</v>
      </c>
      <c r="C1592" s="1">
        <f t="shared" si="132"/>
        <v>4299</v>
      </c>
      <c r="D1592" s="1">
        <f t="shared" si="133"/>
        <v>966</v>
      </c>
      <c r="E1592" s="1">
        <f t="shared" si="134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31"/>
        <v>44174</v>
      </c>
      <c r="C1593" s="1">
        <f t="shared" si="132"/>
        <v>4321</v>
      </c>
      <c r="D1593" s="1">
        <f t="shared" si="133"/>
        <v>961</v>
      </c>
      <c r="E1593" s="1">
        <f t="shared" si="134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31"/>
        <v>44175</v>
      </c>
      <c r="C1594" s="1">
        <f t="shared" si="132"/>
        <v>4319</v>
      </c>
      <c r="D1594" s="1">
        <f t="shared" si="133"/>
        <v>971</v>
      </c>
      <c r="E1594" s="1">
        <f t="shared" si="134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31"/>
        <v>44176</v>
      </c>
      <c r="C1595" s="1">
        <f t="shared" si="132"/>
        <v>4319</v>
      </c>
      <c r="D1595" s="1">
        <f t="shared" si="133"/>
        <v>971</v>
      </c>
      <c r="E1595" s="1">
        <f t="shared" si="134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31"/>
        <v>44179</v>
      </c>
      <c r="C1596" s="1">
        <f t="shared" si="132"/>
        <v>4304</v>
      </c>
      <c r="D1596" s="1">
        <f t="shared" si="133"/>
        <v>971</v>
      </c>
      <c r="E1596" s="1">
        <f t="shared" si="134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31"/>
        <v>44180</v>
      </c>
      <c r="C1597" s="1">
        <f t="shared" si="132"/>
        <v>4287</v>
      </c>
      <c r="D1597" s="1">
        <f t="shared" si="133"/>
        <v>971</v>
      </c>
      <c r="E1597" s="1">
        <f t="shared" si="134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31"/>
        <v>44181</v>
      </c>
      <c r="C1598" s="1">
        <f t="shared" si="132"/>
        <v>4275</v>
      </c>
      <c r="D1598" s="1">
        <f t="shared" si="133"/>
        <v>971</v>
      </c>
      <c r="E1598" s="1">
        <f t="shared" si="134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31"/>
        <v>44182</v>
      </c>
      <c r="C1599" s="1">
        <f t="shared" si="132"/>
        <v>4274</v>
      </c>
      <c r="D1599" s="1">
        <f t="shared" si="133"/>
        <v>991</v>
      </c>
      <c r="E1599" s="1">
        <f t="shared" si="134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31"/>
        <v>44183</v>
      </c>
      <c r="C1600" s="1">
        <f t="shared" si="132"/>
        <v>4289</v>
      </c>
      <c r="D1600" s="1">
        <f t="shared" si="133"/>
        <v>991</v>
      </c>
      <c r="E1600" s="1">
        <f t="shared" si="134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31"/>
        <v>44186</v>
      </c>
      <c r="C1601" s="1">
        <f t="shared" si="132"/>
        <v>4289</v>
      </c>
      <c r="D1601" s="1">
        <f t="shared" si="133"/>
        <v>991</v>
      </c>
      <c r="E1601" s="1">
        <f t="shared" si="134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31"/>
        <v>44187</v>
      </c>
      <c r="C1602" s="1">
        <f t="shared" si="132"/>
        <v>4279</v>
      </c>
      <c r="D1602" s="1">
        <f t="shared" si="133"/>
        <v>991</v>
      </c>
      <c r="E1602" s="1">
        <f t="shared" si="134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31"/>
        <v>44188</v>
      </c>
      <c r="C1603" s="1">
        <f t="shared" si="132"/>
        <v>4249</v>
      </c>
      <c r="D1603" s="1">
        <f t="shared" si="133"/>
        <v>991</v>
      </c>
      <c r="E1603" s="1">
        <f t="shared" si="134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31"/>
        <v>44189</v>
      </c>
      <c r="C1604" s="1">
        <f t="shared" si="132"/>
        <v>4226</v>
      </c>
      <c r="D1604" s="1">
        <f t="shared" si="133"/>
        <v>996</v>
      </c>
      <c r="E1604" s="1">
        <f t="shared" si="134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31"/>
        <v>44190</v>
      </c>
      <c r="C1605" s="1">
        <f t="shared" si="132"/>
        <v>4229</v>
      </c>
      <c r="D1605" s="1">
        <f t="shared" si="133"/>
        <v>996</v>
      </c>
      <c r="E1605" s="1">
        <f t="shared" si="134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5">L1606</f>
        <v>44193</v>
      </c>
      <c r="C1606" s="1">
        <f t="shared" si="132"/>
        <v>4202</v>
      </c>
      <c r="D1606" s="1">
        <f t="shared" si="133"/>
        <v>996</v>
      </c>
      <c r="E1606" s="1">
        <f t="shared" si="134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5"/>
        <v>44194</v>
      </c>
      <c r="C1607" s="1">
        <f t="shared" ref="C1607:C1670" si="136">IF(M1607&lt;&gt;0,M1607,C1606)</f>
        <v>4160</v>
      </c>
      <c r="D1607" s="1">
        <f t="shared" ref="D1607:D1670" si="137">IF(N1607&lt;&gt;0,N1607,D1606)</f>
        <v>996</v>
      </c>
      <c r="E1607" s="1">
        <f t="shared" ref="E1607:E1670" si="138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5"/>
        <v>44195</v>
      </c>
      <c r="C1608" s="1">
        <f t="shared" si="136"/>
        <v>4138</v>
      </c>
      <c r="D1608" s="1">
        <f t="shared" si="137"/>
        <v>996</v>
      </c>
      <c r="E1608" s="1">
        <f t="shared" si="138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5"/>
        <v>44196</v>
      </c>
      <c r="C1609" s="1">
        <f t="shared" si="136"/>
        <v>4136</v>
      </c>
      <c r="D1609" s="1">
        <f t="shared" si="137"/>
        <v>996</v>
      </c>
      <c r="E1609" s="1">
        <f t="shared" si="138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5"/>
        <v>44197</v>
      </c>
      <c r="C1610" s="1">
        <f t="shared" si="136"/>
        <v>4136</v>
      </c>
      <c r="D1610" s="1">
        <f t="shared" si="137"/>
        <v>996</v>
      </c>
      <c r="E1610" s="1">
        <f t="shared" si="138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5"/>
        <v>44200</v>
      </c>
      <c r="C1611" s="1">
        <f t="shared" si="136"/>
        <v>4153</v>
      </c>
      <c r="D1611" s="1">
        <f t="shared" si="137"/>
        <v>996</v>
      </c>
      <c r="E1611" s="1">
        <f t="shared" si="138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5"/>
        <v>44201</v>
      </c>
      <c r="C1612" s="1">
        <f t="shared" si="136"/>
        <v>4157</v>
      </c>
      <c r="D1612" s="1">
        <f t="shared" si="137"/>
        <v>996</v>
      </c>
      <c r="E1612" s="1">
        <f t="shared" si="138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5"/>
        <v>44202</v>
      </c>
      <c r="C1613" s="1">
        <f t="shared" si="136"/>
        <v>4169</v>
      </c>
      <c r="D1613" s="1">
        <f t="shared" si="137"/>
        <v>1001</v>
      </c>
      <c r="E1613" s="1">
        <f t="shared" si="138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5"/>
        <v>44203</v>
      </c>
      <c r="C1614" s="1">
        <f t="shared" si="136"/>
        <v>4168</v>
      </c>
      <c r="D1614" s="1">
        <f t="shared" si="137"/>
        <v>1066</v>
      </c>
      <c r="E1614" s="1">
        <f t="shared" si="138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5"/>
        <v>44204</v>
      </c>
      <c r="C1615" s="1">
        <f t="shared" si="136"/>
        <v>4168</v>
      </c>
      <c r="D1615" s="1">
        <f t="shared" si="137"/>
        <v>1066</v>
      </c>
      <c r="E1615" s="1">
        <f t="shared" si="138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5"/>
        <v>44207</v>
      </c>
      <c r="C1616" s="1">
        <f t="shared" si="136"/>
        <v>4157</v>
      </c>
      <c r="D1616" s="1">
        <f t="shared" si="137"/>
        <v>1061</v>
      </c>
      <c r="E1616" s="1">
        <f t="shared" si="138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5"/>
        <v>44208</v>
      </c>
      <c r="C1617" s="1">
        <f t="shared" si="136"/>
        <v>4152</v>
      </c>
      <c r="D1617" s="1">
        <f t="shared" si="137"/>
        <v>1061</v>
      </c>
      <c r="E1617" s="1">
        <f t="shared" si="138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5"/>
        <v>44209</v>
      </c>
      <c r="C1618" s="1">
        <f t="shared" si="136"/>
        <v>4182</v>
      </c>
      <c r="D1618" s="1">
        <f t="shared" si="137"/>
        <v>1061</v>
      </c>
      <c r="E1618" s="1">
        <f t="shared" si="138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5"/>
        <v>44210</v>
      </c>
      <c r="C1619" s="1">
        <f t="shared" si="136"/>
        <v>4206</v>
      </c>
      <c r="D1619" s="1">
        <f t="shared" si="137"/>
        <v>1051</v>
      </c>
      <c r="E1619" s="1">
        <f t="shared" si="138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5"/>
        <v>44211</v>
      </c>
      <c r="C1620" s="1">
        <f t="shared" si="136"/>
        <v>4223</v>
      </c>
      <c r="D1620" s="1">
        <f t="shared" si="137"/>
        <v>1046</v>
      </c>
      <c r="E1620" s="1">
        <f t="shared" si="138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5"/>
        <v>44214</v>
      </c>
      <c r="C1621" s="1">
        <f t="shared" si="136"/>
        <v>4262</v>
      </c>
      <c r="D1621" s="1">
        <f t="shared" si="137"/>
        <v>1036</v>
      </c>
      <c r="E1621" s="1">
        <f t="shared" si="138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5"/>
        <v>44215</v>
      </c>
      <c r="C1622" s="1">
        <f t="shared" si="136"/>
        <v>4285</v>
      </c>
      <c r="D1622" s="1">
        <f t="shared" si="137"/>
        <v>996</v>
      </c>
      <c r="E1622" s="1">
        <f t="shared" si="138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5"/>
        <v>44216</v>
      </c>
      <c r="C1623" s="1">
        <f t="shared" si="136"/>
        <v>4303</v>
      </c>
      <c r="D1623" s="1">
        <f t="shared" si="137"/>
        <v>966</v>
      </c>
      <c r="E1623" s="1">
        <f t="shared" si="138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5"/>
        <v>44217</v>
      </c>
      <c r="C1624" s="1">
        <f t="shared" si="136"/>
        <v>4326</v>
      </c>
      <c r="D1624" s="1">
        <f t="shared" si="137"/>
        <v>956</v>
      </c>
      <c r="E1624" s="1">
        <f t="shared" si="138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5"/>
        <v>44218</v>
      </c>
      <c r="C1625" s="1">
        <f t="shared" si="136"/>
        <v>4329</v>
      </c>
      <c r="D1625" s="1">
        <f t="shared" si="137"/>
        <v>926</v>
      </c>
      <c r="E1625" s="1">
        <f t="shared" si="138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5"/>
        <v>44221</v>
      </c>
      <c r="C1626" s="1">
        <f t="shared" si="136"/>
        <v>4327</v>
      </c>
      <c r="D1626" s="1">
        <f t="shared" si="137"/>
        <v>916</v>
      </c>
      <c r="E1626" s="1">
        <f t="shared" si="138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5"/>
        <v>44222</v>
      </c>
      <c r="C1627" s="1">
        <f t="shared" si="136"/>
        <v>4332</v>
      </c>
      <c r="D1627" s="1">
        <f t="shared" si="137"/>
        <v>926</v>
      </c>
      <c r="E1627" s="1">
        <f t="shared" si="138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5"/>
        <v>44223</v>
      </c>
      <c r="C1628" s="1">
        <f t="shared" si="136"/>
        <v>4334</v>
      </c>
      <c r="D1628" s="1">
        <f t="shared" si="137"/>
        <v>926</v>
      </c>
      <c r="E1628" s="1">
        <f t="shared" si="138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5"/>
        <v>44224</v>
      </c>
      <c r="C1629" s="1">
        <f t="shared" si="136"/>
        <v>4333</v>
      </c>
      <c r="D1629" s="1">
        <f t="shared" si="137"/>
        <v>926</v>
      </c>
      <c r="E1629" s="1">
        <f t="shared" si="138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5"/>
        <v>44225</v>
      </c>
      <c r="C1630" s="1">
        <f t="shared" si="136"/>
        <v>4327</v>
      </c>
      <c r="D1630" s="1">
        <f t="shared" si="137"/>
        <v>926</v>
      </c>
      <c r="E1630" s="1">
        <f t="shared" si="138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5"/>
        <v>44228</v>
      </c>
      <c r="C1631" s="1">
        <f t="shared" si="136"/>
        <v>4336</v>
      </c>
      <c r="D1631" s="1">
        <f t="shared" si="137"/>
        <v>906</v>
      </c>
      <c r="E1631" s="1">
        <f t="shared" si="138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5"/>
        <v>44229</v>
      </c>
      <c r="C1632" s="1">
        <f t="shared" si="136"/>
        <v>4373</v>
      </c>
      <c r="D1632" s="1">
        <f t="shared" si="137"/>
        <v>906</v>
      </c>
      <c r="E1632" s="1">
        <f t="shared" si="138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5"/>
        <v>44230</v>
      </c>
      <c r="C1633" s="1">
        <f t="shared" si="136"/>
        <v>4384</v>
      </c>
      <c r="D1633" s="1">
        <f t="shared" si="137"/>
        <v>896</v>
      </c>
      <c r="E1633" s="1">
        <f t="shared" si="138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5"/>
        <v>44231</v>
      </c>
      <c r="C1634" s="1">
        <f t="shared" si="136"/>
        <v>4395</v>
      </c>
      <c r="D1634" s="1">
        <f t="shared" si="137"/>
        <v>851</v>
      </c>
      <c r="E1634" s="1">
        <f t="shared" si="138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5"/>
        <v>44232</v>
      </c>
      <c r="C1635" s="1">
        <f t="shared" si="136"/>
        <v>4427</v>
      </c>
      <c r="D1635" s="1">
        <f t="shared" si="137"/>
        <v>851</v>
      </c>
      <c r="E1635" s="1">
        <f t="shared" si="138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5"/>
        <v>44234</v>
      </c>
      <c r="C1636" s="1">
        <f t="shared" si="136"/>
        <v>4430</v>
      </c>
      <c r="D1636" s="1">
        <f t="shared" si="137"/>
        <v>851</v>
      </c>
      <c r="E1636" s="1">
        <f t="shared" si="138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5"/>
        <v>44235</v>
      </c>
      <c r="C1637" s="1">
        <f t="shared" si="136"/>
        <v>4443</v>
      </c>
      <c r="D1637" s="1">
        <f t="shared" si="137"/>
        <v>851</v>
      </c>
      <c r="E1637" s="1">
        <f t="shared" si="138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5"/>
        <v>44236</v>
      </c>
      <c r="C1638" s="1">
        <f t="shared" si="136"/>
        <v>4452</v>
      </c>
      <c r="D1638" s="1">
        <f t="shared" si="137"/>
        <v>851</v>
      </c>
      <c r="E1638" s="1">
        <f t="shared" si="138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5"/>
        <v>44237</v>
      </c>
      <c r="C1639" s="1">
        <f t="shared" si="136"/>
        <v>4451</v>
      </c>
      <c r="D1639" s="1">
        <f t="shared" si="137"/>
        <v>851</v>
      </c>
      <c r="E1639" s="1">
        <f t="shared" si="138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5"/>
        <v>44238</v>
      </c>
      <c r="C1640" s="1">
        <f t="shared" si="136"/>
        <v>4451</v>
      </c>
      <c r="D1640" s="1">
        <f t="shared" si="137"/>
        <v>851</v>
      </c>
      <c r="E1640" s="1">
        <f t="shared" si="138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5"/>
        <v>44239</v>
      </c>
      <c r="C1641" s="1">
        <f t="shared" si="136"/>
        <v>4451</v>
      </c>
      <c r="D1641" s="1">
        <f t="shared" si="137"/>
        <v>851</v>
      </c>
      <c r="E1641" s="1">
        <f t="shared" si="138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5"/>
        <v>44242</v>
      </c>
      <c r="C1642" s="1">
        <f t="shared" si="136"/>
        <v>4451</v>
      </c>
      <c r="D1642" s="1">
        <f t="shared" si="137"/>
        <v>851</v>
      </c>
      <c r="E1642" s="1">
        <f t="shared" si="138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5"/>
        <v>44243</v>
      </c>
      <c r="C1643" s="1">
        <f t="shared" si="136"/>
        <v>4451</v>
      </c>
      <c r="D1643" s="1">
        <f t="shared" si="137"/>
        <v>851</v>
      </c>
      <c r="E1643" s="1">
        <f t="shared" si="138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5"/>
        <v>44244</v>
      </c>
      <c r="C1644" s="1">
        <f t="shared" si="136"/>
        <v>4451</v>
      </c>
      <c r="D1644" s="1">
        <f t="shared" si="137"/>
        <v>851</v>
      </c>
      <c r="E1644" s="1">
        <f t="shared" si="138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5"/>
        <v>44245</v>
      </c>
      <c r="C1645" s="1">
        <f t="shared" si="136"/>
        <v>4540</v>
      </c>
      <c r="D1645" s="1">
        <f t="shared" si="137"/>
        <v>856</v>
      </c>
      <c r="E1645" s="1">
        <f t="shared" si="138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5"/>
        <v>44246</v>
      </c>
      <c r="C1646" s="1">
        <f t="shared" si="136"/>
        <v>4617</v>
      </c>
      <c r="D1646" s="1">
        <f t="shared" si="137"/>
        <v>856</v>
      </c>
      <c r="E1646" s="1">
        <f t="shared" si="138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5"/>
        <v>44247</v>
      </c>
      <c r="C1647" s="1">
        <f t="shared" si="136"/>
        <v>4678</v>
      </c>
      <c r="D1647" s="1">
        <f t="shared" si="137"/>
        <v>856</v>
      </c>
      <c r="E1647" s="1">
        <f t="shared" si="138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5"/>
        <v>44249</v>
      </c>
      <c r="C1648" s="1">
        <f t="shared" si="136"/>
        <v>4764</v>
      </c>
      <c r="D1648" s="1">
        <f t="shared" si="137"/>
        <v>891</v>
      </c>
      <c r="E1648" s="1">
        <f t="shared" si="138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5"/>
        <v>44250</v>
      </c>
      <c r="C1649" s="1">
        <f t="shared" si="136"/>
        <v>4882</v>
      </c>
      <c r="D1649" s="1">
        <f t="shared" si="137"/>
        <v>981</v>
      </c>
      <c r="E1649" s="1">
        <f t="shared" si="138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5"/>
        <v>44251</v>
      </c>
      <c r="C1650" s="1">
        <f t="shared" si="136"/>
        <v>4947</v>
      </c>
      <c r="D1650" s="1">
        <f t="shared" si="137"/>
        <v>1001</v>
      </c>
      <c r="E1650" s="1">
        <f t="shared" si="138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5"/>
        <v>44252</v>
      </c>
      <c r="C1651" s="1">
        <f t="shared" si="136"/>
        <v>5002</v>
      </c>
      <c r="D1651" s="1">
        <f t="shared" si="137"/>
        <v>1001</v>
      </c>
      <c r="E1651" s="1">
        <f t="shared" si="138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5"/>
        <v>44253</v>
      </c>
      <c r="C1652" s="1">
        <f t="shared" si="136"/>
        <v>5063</v>
      </c>
      <c r="D1652" s="1">
        <f t="shared" si="137"/>
        <v>1051</v>
      </c>
      <c r="E1652" s="1">
        <f t="shared" si="138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5"/>
        <v>44256</v>
      </c>
      <c r="C1653" s="1">
        <f t="shared" si="136"/>
        <v>5075</v>
      </c>
      <c r="D1653" s="1">
        <f t="shared" si="137"/>
        <v>1076</v>
      </c>
      <c r="E1653" s="1">
        <f t="shared" si="138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5"/>
        <v>44257</v>
      </c>
      <c r="C1654" s="1">
        <f t="shared" si="136"/>
        <v>5066</v>
      </c>
      <c r="D1654" s="1">
        <f t="shared" si="137"/>
        <v>1106</v>
      </c>
      <c r="E1654" s="1">
        <f t="shared" si="138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5"/>
        <v>44258</v>
      </c>
      <c r="C1655" s="1">
        <f t="shared" si="136"/>
        <v>5041</v>
      </c>
      <c r="D1655" s="1">
        <f t="shared" si="137"/>
        <v>1161</v>
      </c>
      <c r="E1655" s="1">
        <f t="shared" si="138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5"/>
        <v>44259</v>
      </c>
      <c r="C1656" s="1">
        <f t="shared" si="136"/>
        <v>5059</v>
      </c>
      <c r="D1656" s="1">
        <f t="shared" si="137"/>
        <v>1181</v>
      </c>
      <c r="E1656" s="1">
        <f t="shared" si="138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5"/>
        <v>44260</v>
      </c>
      <c r="C1657" s="1">
        <f t="shared" si="136"/>
        <v>5063</v>
      </c>
      <c r="D1657" s="1">
        <f t="shared" si="137"/>
        <v>1201</v>
      </c>
      <c r="E1657" s="1">
        <f t="shared" si="138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5"/>
        <v>44263</v>
      </c>
      <c r="C1658" s="1">
        <f t="shared" si="136"/>
        <v>5092</v>
      </c>
      <c r="D1658" s="1">
        <f t="shared" si="137"/>
        <v>1201</v>
      </c>
      <c r="E1658" s="1">
        <f t="shared" si="138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5"/>
        <v>44264</v>
      </c>
      <c r="C1659" s="1">
        <f t="shared" si="136"/>
        <v>5128</v>
      </c>
      <c r="D1659" s="1">
        <f t="shared" si="137"/>
        <v>1201</v>
      </c>
      <c r="E1659" s="1">
        <f t="shared" si="138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5"/>
        <v>44265</v>
      </c>
      <c r="C1660" s="1">
        <f t="shared" si="136"/>
        <v>5081</v>
      </c>
      <c r="D1660" s="1">
        <f t="shared" si="137"/>
        <v>1201</v>
      </c>
      <c r="E1660" s="1">
        <f t="shared" si="138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5"/>
        <v>44266</v>
      </c>
      <c r="C1661" s="1">
        <f t="shared" si="136"/>
        <v>5071</v>
      </c>
      <c r="D1661" s="1">
        <f t="shared" si="137"/>
        <v>1201</v>
      </c>
      <c r="E1661" s="1">
        <f t="shared" si="138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5"/>
        <v>44267</v>
      </c>
      <c r="C1662" s="1">
        <f t="shared" si="136"/>
        <v>5066</v>
      </c>
      <c r="D1662" s="1">
        <f t="shared" si="137"/>
        <v>1201</v>
      </c>
      <c r="E1662" s="1">
        <f t="shared" si="138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5"/>
        <v>44270</v>
      </c>
      <c r="C1663" s="1">
        <f t="shared" si="136"/>
        <v>5075</v>
      </c>
      <c r="D1663" s="1">
        <f t="shared" si="137"/>
        <v>1201</v>
      </c>
      <c r="E1663" s="1">
        <f t="shared" si="138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5"/>
        <v>44271</v>
      </c>
      <c r="C1664" s="1">
        <f t="shared" si="136"/>
        <v>5079</v>
      </c>
      <c r="D1664" s="1">
        <f t="shared" si="137"/>
        <v>1131</v>
      </c>
      <c r="E1664" s="1">
        <f t="shared" si="138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5"/>
        <v>44272</v>
      </c>
      <c r="C1665" s="1">
        <f t="shared" si="136"/>
        <v>5045</v>
      </c>
      <c r="D1665" s="1">
        <f t="shared" si="137"/>
        <v>1131</v>
      </c>
      <c r="E1665" s="1">
        <f t="shared" si="138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5"/>
        <v>44273</v>
      </c>
      <c r="C1666" s="1">
        <f t="shared" si="136"/>
        <v>5044</v>
      </c>
      <c r="D1666" s="1">
        <f t="shared" si="137"/>
        <v>1131</v>
      </c>
      <c r="E1666" s="1">
        <f t="shared" si="138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5"/>
        <v>44274</v>
      </c>
      <c r="C1667" s="1">
        <f t="shared" si="136"/>
        <v>5011</v>
      </c>
      <c r="D1667" s="1">
        <f t="shared" si="137"/>
        <v>1101</v>
      </c>
      <c r="E1667" s="1">
        <f t="shared" si="138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5"/>
        <v>44277</v>
      </c>
      <c r="C1668" s="1">
        <f t="shared" si="136"/>
        <v>4975</v>
      </c>
      <c r="D1668" s="1">
        <f t="shared" si="137"/>
        <v>1091</v>
      </c>
      <c r="E1668" s="1">
        <f t="shared" si="138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5"/>
        <v>44278</v>
      </c>
      <c r="C1669" s="1">
        <f t="shared" si="136"/>
        <v>4967</v>
      </c>
      <c r="D1669" s="1">
        <f t="shared" si="137"/>
        <v>1091</v>
      </c>
      <c r="E1669" s="1">
        <f t="shared" si="138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9">L1670</f>
        <v>44279</v>
      </c>
      <c r="C1670" s="1">
        <f t="shared" si="136"/>
        <v>4945</v>
      </c>
      <c r="D1670" s="1">
        <f t="shared" si="137"/>
        <v>1051</v>
      </c>
      <c r="E1670" s="1">
        <f t="shared" si="138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9"/>
        <v>44280</v>
      </c>
      <c r="C1671" s="1">
        <f t="shared" ref="C1671:C1734" si="140">IF(M1671&lt;&gt;0,M1671,C1670)</f>
        <v>4964</v>
      </c>
      <c r="D1671" s="1">
        <f t="shared" ref="D1671:D1734" si="141">IF(N1671&lt;&gt;0,N1671,D1670)</f>
        <v>1051</v>
      </c>
      <c r="E1671" s="1">
        <f t="shared" ref="E1671:E1734" si="142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9"/>
        <v>44281</v>
      </c>
      <c r="C1672" s="1">
        <f t="shared" si="140"/>
        <v>4969</v>
      </c>
      <c r="D1672" s="1">
        <f t="shared" si="141"/>
        <v>1051</v>
      </c>
      <c r="E1672" s="1">
        <f t="shared" si="142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9"/>
        <v>44284</v>
      </c>
      <c r="C1673" s="1">
        <f t="shared" si="140"/>
        <v>5025</v>
      </c>
      <c r="D1673" s="1">
        <f t="shared" si="141"/>
        <v>1061</v>
      </c>
      <c r="E1673" s="1">
        <f t="shared" si="142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9"/>
        <v>44285</v>
      </c>
      <c r="C1674" s="1">
        <f t="shared" si="140"/>
        <v>5044</v>
      </c>
      <c r="D1674" s="1">
        <f t="shared" si="141"/>
        <v>1061</v>
      </c>
      <c r="E1674" s="1">
        <f t="shared" si="142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9"/>
        <v>44286</v>
      </c>
      <c r="C1675" s="1">
        <f t="shared" si="140"/>
        <v>5053</v>
      </c>
      <c r="D1675" s="1">
        <f t="shared" si="141"/>
        <v>1061</v>
      </c>
      <c r="E1675" s="1">
        <f t="shared" si="142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9"/>
        <v>44287</v>
      </c>
      <c r="C1676" s="1">
        <f t="shared" si="140"/>
        <v>5055</v>
      </c>
      <c r="D1676" s="1">
        <f t="shared" si="141"/>
        <v>1061</v>
      </c>
      <c r="E1676" s="1">
        <f t="shared" si="142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9"/>
        <v>44288</v>
      </c>
      <c r="C1677" s="1">
        <f t="shared" si="140"/>
        <v>5046</v>
      </c>
      <c r="D1677" s="1">
        <f t="shared" si="141"/>
        <v>1061</v>
      </c>
      <c r="E1677" s="1">
        <f t="shared" si="142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9"/>
        <v>44291</v>
      </c>
      <c r="C1678" s="1">
        <f t="shared" si="140"/>
        <v>5046</v>
      </c>
      <c r="D1678" s="1">
        <f t="shared" si="141"/>
        <v>1061</v>
      </c>
      <c r="E1678" s="1">
        <f t="shared" si="142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9"/>
        <v>44292</v>
      </c>
      <c r="C1679" s="1">
        <f t="shared" si="140"/>
        <v>5033</v>
      </c>
      <c r="D1679" s="1">
        <f t="shared" si="141"/>
        <v>1061</v>
      </c>
      <c r="E1679" s="1">
        <f t="shared" si="142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9"/>
        <v>44293</v>
      </c>
      <c r="C1680" s="1">
        <f t="shared" si="140"/>
        <v>5036</v>
      </c>
      <c r="D1680" s="1">
        <f t="shared" si="141"/>
        <v>1061</v>
      </c>
      <c r="E1680" s="1">
        <f t="shared" si="142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9"/>
        <v>44294</v>
      </c>
      <c r="C1681" s="1">
        <f t="shared" si="140"/>
        <v>5026</v>
      </c>
      <c r="D1681" s="1">
        <f t="shared" si="141"/>
        <v>1071</v>
      </c>
      <c r="E1681" s="1">
        <f t="shared" si="142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9"/>
        <v>44295</v>
      </c>
      <c r="C1682" s="1">
        <f t="shared" si="140"/>
        <v>5059</v>
      </c>
      <c r="D1682" s="1">
        <f t="shared" si="141"/>
        <v>1071</v>
      </c>
      <c r="E1682" s="1">
        <f t="shared" si="142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9"/>
        <v>44298</v>
      </c>
      <c r="C1683" s="1">
        <f t="shared" si="140"/>
        <v>5065</v>
      </c>
      <c r="D1683" s="1">
        <f t="shared" si="141"/>
        <v>1071</v>
      </c>
      <c r="E1683" s="1">
        <f t="shared" si="142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9"/>
        <v>44299</v>
      </c>
      <c r="C1684" s="1">
        <f t="shared" si="140"/>
        <v>5044</v>
      </c>
      <c r="D1684" s="1">
        <f t="shared" si="141"/>
        <v>1091</v>
      </c>
      <c r="E1684" s="1">
        <f t="shared" si="142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9"/>
        <v>44300</v>
      </c>
      <c r="C1685" s="1">
        <f t="shared" si="140"/>
        <v>5049</v>
      </c>
      <c r="D1685" s="1">
        <f t="shared" si="141"/>
        <v>1091</v>
      </c>
      <c r="E1685" s="1">
        <f t="shared" si="142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9"/>
        <v>44301</v>
      </c>
      <c r="C1686" s="1">
        <f t="shared" si="140"/>
        <v>5038</v>
      </c>
      <c r="D1686" s="1">
        <f t="shared" si="141"/>
        <v>1106</v>
      </c>
      <c r="E1686" s="1">
        <f t="shared" si="142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9"/>
        <v>44302</v>
      </c>
      <c r="C1687" s="1">
        <f t="shared" si="140"/>
        <v>5066</v>
      </c>
      <c r="D1687" s="1">
        <f t="shared" si="141"/>
        <v>1106</v>
      </c>
      <c r="E1687" s="1">
        <f t="shared" si="142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9"/>
        <v>44305</v>
      </c>
      <c r="C1688" s="1">
        <f t="shared" si="140"/>
        <v>5084</v>
      </c>
      <c r="D1688" s="1">
        <f t="shared" si="141"/>
        <v>1106</v>
      </c>
      <c r="E1688" s="1">
        <f t="shared" si="142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9"/>
        <v>44306</v>
      </c>
      <c r="C1689" s="1">
        <f t="shared" si="140"/>
        <v>5093</v>
      </c>
      <c r="D1689" s="1">
        <f t="shared" si="141"/>
        <v>1106</v>
      </c>
      <c r="E1689" s="1">
        <f t="shared" si="142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9"/>
        <v>44307</v>
      </c>
      <c r="C1690" s="1">
        <f t="shared" si="140"/>
        <v>5094</v>
      </c>
      <c r="D1690" s="1">
        <f t="shared" si="141"/>
        <v>1106</v>
      </c>
      <c r="E1690" s="1">
        <f t="shared" si="142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9"/>
        <v>44308</v>
      </c>
      <c r="C1691" s="1">
        <f t="shared" si="140"/>
        <v>5061</v>
      </c>
      <c r="D1691" s="1">
        <f t="shared" si="141"/>
        <v>1106</v>
      </c>
      <c r="E1691" s="1">
        <f t="shared" si="142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9"/>
        <v>44309</v>
      </c>
      <c r="C1692" s="1">
        <f t="shared" si="140"/>
        <v>5046</v>
      </c>
      <c r="D1692" s="1">
        <f t="shared" si="141"/>
        <v>1106</v>
      </c>
      <c r="E1692" s="1">
        <f t="shared" si="142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9"/>
        <v>44311</v>
      </c>
      <c r="C1693" s="1">
        <f t="shared" si="140"/>
        <v>5037</v>
      </c>
      <c r="D1693" s="1">
        <f t="shared" si="141"/>
        <v>1106</v>
      </c>
      <c r="E1693" s="1">
        <f t="shared" si="142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9"/>
        <v>44312</v>
      </c>
      <c r="C1694" s="1">
        <f t="shared" si="140"/>
        <v>5032</v>
      </c>
      <c r="D1694" s="1">
        <f t="shared" si="141"/>
        <v>1106</v>
      </c>
      <c r="E1694" s="1">
        <f t="shared" si="142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9"/>
        <v>44313</v>
      </c>
      <c r="C1695" s="1">
        <f t="shared" si="140"/>
        <v>5020</v>
      </c>
      <c r="D1695" s="1">
        <f t="shared" si="141"/>
        <v>1106</v>
      </c>
      <c r="E1695" s="1">
        <f t="shared" si="142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9"/>
        <v>44314</v>
      </c>
      <c r="C1696" s="1">
        <f t="shared" si="140"/>
        <v>5025</v>
      </c>
      <c r="D1696" s="1">
        <f t="shared" si="141"/>
        <v>1106</v>
      </c>
      <c r="E1696" s="1">
        <f t="shared" si="142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9"/>
        <v>44315</v>
      </c>
      <c r="C1697" s="1">
        <f t="shared" si="140"/>
        <v>5033</v>
      </c>
      <c r="D1697" s="1">
        <f t="shared" si="141"/>
        <v>1106</v>
      </c>
      <c r="E1697" s="1">
        <f t="shared" si="142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9"/>
        <v>44316</v>
      </c>
      <c r="C1698" s="1">
        <f t="shared" si="140"/>
        <v>5026</v>
      </c>
      <c r="D1698" s="1">
        <f t="shared" si="141"/>
        <v>1106</v>
      </c>
      <c r="E1698" s="1">
        <f t="shared" si="142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9"/>
        <v>44319</v>
      </c>
      <c r="C1699" s="1">
        <f t="shared" si="140"/>
        <v>5026</v>
      </c>
      <c r="D1699" s="1">
        <f t="shared" si="141"/>
        <v>1106</v>
      </c>
      <c r="E1699" s="1">
        <f t="shared" si="142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9"/>
        <v>44320</v>
      </c>
      <c r="C1700" s="1">
        <f t="shared" si="140"/>
        <v>5026</v>
      </c>
      <c r="D1700" s="1">
        <f t="shared" si="141"/>
        <v>1106</v>
      </c>
      <c r="E1700" s="1">
        <f t="shared" si="142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9"/>
        <v>44321</v>
      </c>
      <c r="C1701" s="1">
        <f t="shared" si="140"/>
        <v>5026</v>
      </c>
      <c r="D1701" s="1">
        <f t="shared" si="141"/>
        <v>1106</v>
      </c>
      <c r="E1701" s="1">
        <f t="shared" si="142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9"/>
        <v>44322</v>
      </c>
      <c r="C1702" s="1">
        <f t="shared" si="140"/>
        <v>5057</v>
      </c>
      <c r="D1702" s="1">
        <f t="shared" si="141"/>
        <v>1106</v>
      </c>
      <c r="E1702" s="1">
        <f t="shared" si="142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9"/>
        <v>44323</v>
      </c>
      <c r="C1703" s="1">
        <f t="shared" si="140"/>
        <v>5057</v>
      </c>
      <c r="D1703" s="1">
        <f t="shared" si="141"/>
        <v>1106</v>
      </c>
      <c r="E1703" s="1">
        <f t="shared" si="142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9"/>
        <v>44324</v>
      </c>
      <c r="C1704" s="1">
        <f t="shared" si="140"/>
        <v>5071</v>
      </c>
      <c r="D1704" s="1">
        <f t="shared" si="141"/>
        <v>1106</v>
      </c>
      <c r="E1704" s="1">
        <f t="shared" si="142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9"/>
        <v>44326</v>
      </c>
      <c r="C1705" s="1">
        <f t="shared" si="140"/>
        <v>5095</v>
      </c>
      <c r="D1705" s="1">
        <f t="shared" si="141"/>
        <v>1151</v>
      </c>
      <c r="E1705" s="1">
        <f t="shared" si="142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9"/>
        <v>44327</v>
      </c>
      <c r="C1706" s="1">
        <f t="shared" si="140"/>
        <v>5062</v>
      </c>
      <c r="D1706" s="1">
        <f t="shared" si="141"/>
        <v>1151</v>
      </c>
      <c r="E1706" s="1">
        <f t="shared" si="142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9"/>
        <v>44328</v>
      </c>
      <c r="C1707" s="1">
        <f t="shared" si="140"/>
        <v>5064</v>
      </c>
      <c r="D1707" s="1">
        <f t="shared" si="141"/>
        <v>1151</v>
      </c>
      <c r="E1707" s="1">
        <f t="shared" si="142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9"/>
        <v>44329</v>
      </c>
      <c r="C1708" s="1">
        <f t="shared" si="140"/>
        <v>5073</v>
      </c>
      <c r="D1708" s="1">
        <f t="shared" si="141"/>
        <v>1151</v>
      </c>
      <c r="E1708" s="1">
        <f t="shared" si="142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9"/>
        <v>44330</v>
      </c>
      <c r="C1709" s="1">
        <f t="shared" si="140"/>
        <v>5078</v>
      </c>
      <c r="D1709" s="1">
        <f t="shared" si="141"/>
        <v>1141</v>
      </c>
      <c r="E1709" s="1">
        <f t="shared" si="142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9"/>
        <v>44333</v>
      </c>
      <c r="C1710" s="1">
        <f t="shared" si="140"/>
        <v>5063</v>
      </c>
      <c r="D1710" s="1">
        <f t="shared" si="141"/>
        <v>1111</v>
      </c>
      <c r="E1710" s="1">
        <f t="shared" si="142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9"/>
        <v>44334</v>
      </c>
      <c r="C1711" s="1">
        <f t="shared" si="140"/>
        <v>5064</v>
      </c>
      <c r="D1711" s="1">
        <f t="shared" si="141"/>
        <v>1091</v>
      </c>
      <c r="E1711" s="1">
        <f t="shared" si="142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9"/>
        <v>44335</v>
      </c>
      <c r="C1712" s="1">
        <f t="shared" si="140"/>
        <v>5045</v>
      </c>
      <c r="D1712" s="1">
        <f t="shared" si="141"/>
        <v>1091</v>
      </c>
      <c r="E1712" s="1">
        <f t="shared" si="142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9"/>
        <v>44336</v>
      </c>
      <c r="C1713" s="1">
        <f t="shared" si="140"/>
        <v>5016</v>
      </c>
      <c r="D1713" s="1">
        <f t="shared" si="141"/>
        <v>1076</v>
      </c>
      <c r="E1713" s="1">
        <f t="shared" si="142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9"/>
        <v>44337</v>
      </c>
      <c r="C1714" s="1">
        <f t="shared" si="140"/>
        <v>4988</v>
      </c>
      <c r="D1714" s="1">
        <f t="shared" si="141"/>
        <v>1076</v>
      </c>
      <c r="E1714" s="1">
        <f t="shared" si="142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9"/>
        <v>44340</v>
      </c>
      <c r="C1715" s="1">
        <f t="shared" si="140"/>
        <v>4988</v>
      </c>
      <c r="D1715" s="1">
        <f t="shared" si="141"/>
        <v>1066</v>
      </c>
      <c r="E1715" s="1">
        <f t="shared" si="142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9"/>
        <v>44341</v>
      </c>
      <c r="C1716" s="1">
        <f t="shared" si="140"/>
        <v>5007</v>
      </c>
      <c r="D1716" s="1">
        <f t="shared" si="141"/>
        <v>1066</v>
      </c>
      <c r="E1716" s="1">
        <f t="shared" si="142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9"/>
        <v>44342</v>
      </c>
      <c r="C1717" s="1">
        <f t="shared" si="140"/>
        <v>5020</v>
      </c>
      <c r="D1717" s="1">
        <f t="shared" si="141"/>
        <v>1066</v>
      </c>
      <c r="E1717" s="1">
        <f t="shared" si="142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9"/>
        <v>44343</v>
      </c>
      <c r="C1718" s="1">
        <f t="shared" si="140"/>
        <v>5012</v>
      </c>
      <c r="D1718" s="1">
        <f t="shared" si="141"/>
        <v>1026</v>
      </c>
      <c r="E1718" s="1">
        <f t="shared" si="142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9"/>
        <v>44344</v>
      </c>
      <c r="C1719" s="1">
        <f t="shared" si="140"/>
        <v>5003</v>
      </c>
      <c r="D1719" s="1">
        <f t="shared" si="141"/>
        <v>1026</v>
      </c>
      <c r="E1719" s="1">
        <f t="shared" si="142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9"/>
        <v>44347</v>
      </c>
      <c r="C1720" s="1">
        <f t="shared" si="140"/>
        <v>5000</v>
      </c>
      <c r="D1720" s="1">
        <f t="shared" si="141"/>
        <v>1026</v>
      </c>
      <c r="E1720" s="1">
        <f t="shared" si="142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9"/>
        <v>44348</v>
      </c>
      <c r="C1721" s="1">
        <f t="shared" si="140"/>
        <v>5030</v>
      </c>
      <c r="D1721" s="1">
        <f t="shared" si="141"/>
        <v>1026</v>
      </c>
      <c r="E1721" s="1">
        <f t="shared" si="142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9"/>
        <v>44349</v>
      </c>
      <c r="C1722" s="1">
        <f t="shared" si="140"/>
        <v>5037</v>
      </c>
      <c r="D1722" s="1">
        <f t="shared" si="141"/>
        <v>1026</v>
      </c>
      <c r="E1722" s="1">
        <f t="shared" si="142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9"/>
        <v>44350</v>
      </c>
      <c r="C1723" s="1">
        <f t="shared" si="140"/>
        <v>5047</v>
      </c>
      <c r="D1723" s="1">
        <f t="shared" si="141"/>
        <v>1026</v>
      </c>
      <c r="E1723" s="1">
        <f t="shared" si="142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9"/>
        <v>44351</v>
      </c>
      <c r="C1724" s="1">
        <f t="shared" si="140"/>
        <v>5046</v>
      </c>
      <c r="D1724" s="1">
        <f t="shared" si="141"/>
        <v>1021</v>
      </c>
      <c r="E1724" s="1">
        <f t="shared" si="142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9"/>
        <v>44354</v>
      </c>
      <c r="C1725" s="1">
        <f t="shared" si="140"/>
        <v>5050</v>
      </c>
      <c r="D1725" s="1">
        <f t="shared" si="141"/>
        <v>971</v>
      </c>
      <c r="E1725" s="1">
        <f t="shared" si="142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9"/>
        <v>44355</v>
      </c>
      <c r="C1726" s="1">
        <f t="shared" si="140"/>
        <v>5022</v>
      </c>
      <c r="D1726" s="1">
        <f t="shared" si="141"/>
        <v>961</v>
      </c>
      <c r="E1726" s="1">
        <f t="shared" si="142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9"/>
        <v>44356</v>
      </c>
      <c r="C1727" s="1">
        <f t="shared" si="140"/>
        <v>5021</v>
      </c>
      <c r="D1727" s="1">
        <f t="shared" si="141"/>
        <v>961</v>
      </c>
      <c r="E1727" s="1">
        <f t="shared" si="142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9"/>
        <v>44357</v>
      </c>
      <c r="C1728" s="1">
        <f t="shared" si="140"/>
        <v>5014</v>
      </c>
      <c r="D1728" s="1">
        <f t="shared" si="141"/>
        <v>956</v>
      </c>
      <c r="E1728" s="1">
        <f t="shared" si="142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9"/>
        <v>44358</v>
      </c>
      <c r="C1729" s="1">
        <f t="shared" si="140"/>
        <v>5007</v>
      </c>
      <c r="D1729" s="1">
        <f t="shared" si="141"/>
        <v>951</v>
      </c>
      <c r="E1729" s="1">
        <f t="shared" si="142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9"/>
        <v>44361</v>
      </c>
      <c r="C1730" s="1">
        <f t="shared" si="140"/>
        <v>5007</v>
      </c>
      <c r="D1730" s="1">
        <f t="shared" si="141"/>
        <v>916</v>
      </c>
      <c r="E1730" s="1">
        <f t="shared" si="142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9"/>
        <v>44362</v>
      </c>
      <c r="C1731" s="1">
        <f t="shared" si="140"/>
        <v>4995</v>
      </c>
      <c r="D1731" s="1">
        <f t="shared" si="141"/>
        <v>916</v>
      </c>
      <c r="E1731" s="1">
        <f t="shared" si="142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9"/>
        <v>44363</v>
      </c>
      <c r="C1732" s="1">
        <f t="shared" si="140"/>
        <v>4993</v>
      </c>
      <c r="D1732" s="1">
        <f t="shared" si="141"/>
        <v>901</v>
      </c>
      <c r="E1732" s="1">
        <f t="shared" si="142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9"/>
        <v>44364</v>
      </c>
      <c r="C1733" s="1">
        <f t="shared" si="140"/>
        <v>4981</v>
      </c>
      <c r="D1733" s="1">
        <f t="shared" si="141"/>
        <v>901</v>
      </c>
      <c r="E1733" s="1">
        <f t="shared" si="142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43">L1734</f>
        <v>44365</v>
      </c>
      <c r="C1734" s="1">
        <f t="shared" si="140"/>
        <v>4968</v>
      </c>
      <c r="D1734" s="1">
        <f t="shared" si="141"/>
        <v>861</v>
      </c>
      <c r="E1734" s="1">
        <f t="shared" si="142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43"/>
        <v>44368</v>
      </c>
      <c r="C1735" s="1">
        <f t="shared" ref="C1735:C1798" si="144">IF(M1735&lt;&gt;0,M1735,C1734)</f>
        <v>4992</v>
      </c>
      <c r="D1735" s="1">
        <f t="shared" ref="D1735:D1798" si="145">IF(N1735&lt;&gt;0,N1735,D1734)</f>
        <v>861</v>
      </c>
      <c r="E1735" s="1">
        <f t="shared" ref="E1735:E1798" si="146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43"/>
        <v>44369</v>
      </c>
      <c r="C1736" s="1">
        <f t="shared" si="144"/>
        <v>5015</v>
      </c>
      <c r="D1736" s="1">
        <f t="shared" si="145"/>
        <v>861</v>
      </c>
      <c r="E1736" s="1">
        <f t="shared" si="146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43"/>
        <v>44370</v>
      </c>
      <c r="C1737" s="1">
        <f t="shared" si="144"/>
        <v>5046</v>
      </c>
      <c r="D1737" s="1">
        <f t="shared" si="145"/>
        <v>871</v>
      </c>
      <c r="E1737" s="1">
        <f t="shared" si="146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43"/>
        <v>44371</v>
      </c>
      <c r="C1738" s="1">
        <f t="shared" si="144"/>
        <v>5066</v>
      </c>
      <c r="D1738" s="1">
        <f t="shared" si="145"/>
        <v>871</v>
      </c>
      <c r="E1738" s="1">
        <f t="shared" si="146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43"/>
        <v>44372</v>
      </c>
      <c r="C1739" s="1">
        <f t="shared" si="144"/>
        <v>5089</v>
      </c>
      <c r="D1739" s="1">
        <f t="shared" si="145"/>
        <v>901</v>
      </c>
      <c r="E1739" s="1">
        <f t="shared" si="146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43"/>
        <v>44375</v>
      </c>
      <c r="C1740" s="1">
        <f t="shared" si="144"/>
        <v>5102</v>
      </c>
      <c r="D1740" s="1">
        <f t="shared" si="145"/>
        <v>901</v>
      </c>
      <c r="E1740" s="1">
        <f t="shared" si="146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43"/>
        <v>44376</v>
      </c>
      <c r="C1741" s="1">
        <f t="shared" si="144"/>
        <v>5104</v>
      </c>
      <c r="D1741" s="1">
        <f t="shared" si="145"/>
        <v>911</v>
      </c>
      <c r="E1741" s="1">
        <f t="shared" si="146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43"/>
        <v>44377</v>
      </c>
      <c r="C1742" s="1">
        <f t="shared" si="144"/>
        <v>5100</v>
      </c>
      <c r="D1742" s="1">
        <f t="shared" si="145"/>
        <v>911</v>
      </c>
      <c r="E1742" s="1">
        <f t="shared" si="146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43"/>
        <v>44378</v>
      </c>
      <c r="C1743" s="1">
        <f t="shared" si="144"/>
        <v>5107</v>
      </c>
      <c r="D1743" s="1">
        <f t="shared" si="145"/>
        <v>951</v>
      </c>
      <c r="E1743" s="1">
        <f t="shared" si="146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43"/>
        <v>44379</v>
      </c>
      <c r="C1744" s="1">
        <f t="shared" si="144"/>
        <v>5124</v>
      </c>
      <c r="D1744" s="1">
        <f t="shared" si="145"/>
        <v>976</v>
      </c>
      <c r="E1744" s="1">
        <f t="shared" si="146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43"/>
        <v>44382</v>
      </c>
      <c r="C1745" s="1">
        <f t="shared" si="144"/>
        <v>5141</v>
      </c>
      <c r="D1745" s="1">
        <f t="shared" si="145"/>
        <v>976</v>
      </c>
      <c r="E1745" s="1">
        <f t="shared" si="146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43"/>
        <v>44383</v>
      </c>
      <c r="C1746" s="1">
        <f t="shared" si="144"/>
        <v>5139</v>
      </c>
      <c r="D1746" s="1">
        <f t="shared" si="145"/>
        <v>976</v>
      </c>
      <c r="E1746" s="1">
        <f t="shared" si="146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43"/>
        <v>44384</v>
      </c>
      <c r="C1747" s="1">
        <f t="shared" si="144"/>
        <v>5133</v>
      </c>
      <c r="D1747" s="1">
        <f t="shared" si="145"/>
        <v>976</v>
      </c>
      <c r="E1747" s="1">
        <f t="shared" si="146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43"/>
        <v>44385</v>
      </c>
      <c r="C1748" s="1">
        <f t="shared" si="144"/>
        <v>5114</v>
      </c>
      <c r="D1748" s="1">
        <f t="shared" si="145"/>
        <v>981</v>
      </c>
      <c r="E1748" s="1">
        <f t="shared" si="146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43"/>
        <v>44386</v>
      </c>
      <c r="C1749" s="1">
        <f t="shared" si="144"/>
        <v>5115</v>
      </c>
      <c r="D1749" s="1">
        <f t="shared" si="145"/>
        <v>981</v>
      </c>
      <c r="E1749" s="1">
        <f t="shared" si="146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43"/>
        <v>44389</v>
      </c>
      <c r="C1750" s="1">
        <f t="shared" si="144"/>
        <v>5146</v>
      </c>
      <c r="D1750" s="1">
        <f t="shared" si="145"/>
        <v>986</v>
      </c>
      <c r="E1750" s="1">
        <f t="shared" si="146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43"/>
        <v>44390</v>
      </c>
      <c r="C1751" s="1">
        <f t="shared" si="144"/>
        <v>5167</v>
      </c>
      <c r="D1751" s="1">
        <f t="shared" si="145"/>
        <v>986</v>
      </c>
      <c r="E1751" s="1">
        <f t="shared" si="146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43"/>
        <v>44391</v>
      </c>
      <c r="C1752" s="1">
        <f t="shared" si="144"/>
        <v>5176</v>
      </c>
      <c r="D1752" s="1">
        <f t="shared" si="145"/>
        <v>986</v>
      </c>
      <c r="E1752" s="1">
        <f t="shared" si="146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43"/>
        <v>44392</v>
      </c>
      <c r="C1753" s="1">
        <f t="shared" si="144"/>
        <v>5189</v>
      </c>
      <c r="D1753" s="1">
        <f t="shared" si="145"/>
        <v>1001</v>
      </c>
      <c r="E1753" s="1">
        <f t="shared" si="146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43"/>
        <v>44393</v>
      </c>
      <c r="C1754" s="1">
        <f t="shared" si="144"/>
        <v>5209</v>
      </c>
      <c r="D1754" s="1">
        <f t="shared" si="145"/>
        <v>1006</v>
      </c>
      <c r="E1754" s="1">
        <f t="shared" si="146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43"/>
        <v>44396</v>
      </c>
      <c r="C1755" s="1">
        <f t="shared" si="144"/>
        <v>5241</v>
      </c>
      <c r="D1755" s="1">
        <f t="shared" si="145"/>
        <v>1006</v>
      </c>
      <c r="E1755" s="1">
        <f t="shared" si="146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43"/>
        <v>44397</v>
      </c>
      <c r="C1756" s="1">
        <f t="shared" si="144"/>
        <v>5345</v>
      </c>
      <c r="D1756" s="1">
        <f t="shared" si="145"/>
        <v>1006</v>
      </c>
      <c r="E1756" s="1">
        <f t="shared" si="146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43"/>
        <v>44398</v>
      </c>
      <c r="C1757" s="1">
        <f t="shared" si="144"/>
        <v>5353</v>
      </c>
      <c r="D1757" s="1">
        <f t="shared" si="145"/>
        <v>1006</v>
      </c>
      <c r="E1757" s="1">
        <f t="shared" si="146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43"/>
        <v>44399</v>
      </c>
      <c r="C1758" s="1">
        <f t="shared" si="144"/>
        <v>5390</v>
      </c>
      <c r="D1758" s="1">
        <f t="shared" si="145"/>
        <v>1006</v>
      </c>
      <c r="E1758" s="1">
        <f t="shared" si="146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43"/>
        <v>44400</v>
      </c>
      <c r="C1759" s="1">
        <f t="shared" si="144"/>
        <v>5387</v>
      </c>
      <c r="D1759" s="1">
        <f t="shared" si="145"/>
        <v>1006</v>
      </c>
      <c r="E1759" s="1">
        <f t="shared" si="146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43"/>
        <v>44403</v>
      </c>
      <c r="C1760" s="1">
        <f t="shared" si="144"/>
        <v>5371</v>
      </c>
      <c r="D1760" s="1">
        <f t="shared" si="145"/>
        <v>1006</v>
      </c>
      <c r="E1760" s="1">
        <f t="shared" si="146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43"/>
        <v>44404</v>
      </c>
      <c r="C1761" s="1">
        <f t="shared" si="144"/>
        <v>5370</v>
      </c>
      <c r="D1761" s="1">
        <f t="shared" si="145"/>
        <v>1006</v>
      </c>
      <c r="E1761" s="1">
        <f t="shared" si="146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43"/>
        <v>44405</v>
      </c>
      <c r="C1762" s="1">
        <f t="shared" si="144"/>
        <v>5369</v>
      </c>
      <c r="D1762" s="1">
        <f t="shared" si="145"/>
        <v>1006</v>
      </c>
      <c r="E1762" s="1">
        <f t="shared" si="146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43"/>
        <v>44406</v>
      </c>
      <c r="C1763" s="1">
        <f t="shared" si="144"/>
        <v>5372</v>
      </c>
      <c r="D1763" s="1">
        <f t="shared" si="145"/>
        <v>1006</v>
      </c>
      <c r="E1763" s="1">
        <f t="shared" si="146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43"/>
        <v>44407</v>
      </c>
      <c r="C1764" s="1">
        <f t="shared" si="144"/>
        <v>5377</v>
      </c>
      <c r="D1764" s="1">
        <f t="shared" si="145"/>
        <v>1006</v>
      </c>
      <c r="E1764" s="1">
        <f t="shared" si="146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43"/>
        <v>44410</v>
      </c>
      <c r="C1765" s="1">
        <f t="shared" si="144"/>
        <v>5386</v>
      </c>
      <c r="D1765" s="1">
        <f t="shared" si="145"/>
        <v>1001</v>
      </c>
      <c r="E1765" s="1">
        <f t="shared" si="146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43"/>
        <v>44411</v>
      </c>
      <c r="C1766" s="1">
        <f t="shared" si="144"/>
        <v>5378</v>
      </c>
      <c r="D1766" s="1">
        <f t="shared" si="145"/>
        <v>981</v>
      </c>
      <c r="E1766" s="1">
        <f t="shared" si="146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43"/>
        <v>44412</v>
      </c>
      <c r="C1767" s="1">
        <f t="shared" si="144"/>
        <v>5391</v>
      </c>
      <c r="D1767" s="1">
        <f t="shared" si="145"/>
        <v>971</v>
      </c>
      <c r="E1767" s="1">
        <f t="shared" si="146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43"/>
        <v>44413</v>
      </c>
      <c r="C1768" s="1">
        <f t="shared" si="144"/>
        <v>5382</v>
      </c>
      <c r="D1768" s="1">
        <f t="shared" si="145"/>
        <v>971</v>
      </c>
      <c r="E1768" s="1">
        <f t="shared" si="146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43"/>
        <v>44414</v>
      </c>
      <c r="C1769" s="1">
        <f t="shared" si="144"/>
        <v>5376</v>
      </c>
      <c r="D1769" s="1">
        <f t="shared" si="145"/>
        <v>971</v>
      </c>
      <c r="E1769" s="1">
        <f t="shared" si="146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43"/>
        <v>44417</v>
      </c>
      <c r="C1770" s="1">
        <f t="shared" si="144"/>
        <v>5370</v>
      </c>
      <c r="D1770" s="1">
        <f t="shared" si="145"/>
        <v>971</v>
      </c>
      <c r="E1770" s="1">
        <f t="shared" si="146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43"/>
        <v>44418</v>
      </c>
      <c r="C1771" s="1">
        <f t="shared" si="144"/>
        <v>5375</v>
      </c>
      <c r="D1771" s="1">
        <f t="shared" si="145"/>
        <v>971</v>
      </c>
      <c r="E1771" s="1">
        <f t="shared" si="146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43"/>
        <v>44419</v>
      </c>
      <c r="C1772" s="1">
        <f t="shared" si="144"/>
        <v>5369</v>
      </c>
      <c r="D1772" s="1">
        <f t="shared" si="145"/>
        <v>951</v>
      </c>
      <c r="E1772" s="1">
        <f t="shared" si="146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43"/>
        <v>44420</v>
      </c>
      <c r="C1773" s="1">
        <f t="shared" si="144"/>
        <v>5366</v>
      </c>
      <c r="D1773" s="1">
        <f t="shared" si="145"/>
        <v>931</v>
      </c>
      <c r="E1773" s="1">
        <f t="shared" si="146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43"/>
        <v>44421</v>
      </c>
      <c r="C1774" s="1">
        <f t="shared" si="144"/>
        <v>5375</v>
      </c>
      <c r="D1774" s="1">
        <f t="shared" si="145"/>
        <v>931</v>
      </c>
      <c r="E1774" s="1">
        <f t="shared" si="146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43"/>
        <v>44424</v>
      </c>
      <c r="C1775" s="1">
        <f t="shared" si="144"/>
        <v>5373</v>
      </c>
      <c r="D1775" s="1">
        <f t="shared" si="145"/>
        <v>931</v>
      </c>
      <c r="E1775" s="1">
        <f t="shared" si="146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43"/>
        <v>44425</v>
      </c>
      <c r="C1776" s="1">
        <f t="shared" si="144"/>
        <v>5368</v>
      </c>
      <c r="D1776" s="1">
        <f t="shared" si="145"/>
        <v>931</v>
      </c>
      <c r="E1776" s="1">
        <f t="shared" si="146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43"/>
        <v>44426</v>
      </c>
      <c r="C1777" s="1">
        <f t="shared" si="144"/>
        <v>5364</v>
      </c>
      <c r="D1777" s="1">
        <f t="shared" si="145"/>
        <v>931</v>
      </c>
      <c r="E1777" s="1">
        <f t="shared" si="146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43"/>
        <v>44427</v>
      </c>
      <c r="C1778" s="1">
        <f t="shared" si="144"/>
        <v>5354</v>
      </c>
      <c r="D1778" s="1">
        <f t="shared" si="145"/>
        <v>931</v>
      </c>
      <c r="E1778" s="1">
        <f t="shared" si="146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43"/>
        <v>44428</v>
      </c>
      <c r="C1779" s="1">
        <f t="shared" si="144"/>
        <v>5350</v>
      </c>
      <c r="D1779" s="1">
        <f t="shared" si="145"/>
        <v>931</v>
      </c>
      <c r="E1779" s="1">
        <f t="shared" si="146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43"/>
        <v>44431</v>
      </c>
      <c r="C1780" s="1">
        <f t="shared" si="144"/>
        <v>5334</v>
      </c>
      <c r="D1780" s="1">
        <f t="shared" si="145"/>
        <v>931</v>
      </c>
      <c r="E1780" s="1">
        <f t="shared" si="146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43"/>
        <v>44432</v>
      </c>
      <c r="C1781" s="1">
        <f t="shared" si="144"/>
        <v>5327</v>
      </c>
      <c r="D1781" s="1">
        <f t="shared" si="145"/>
        <v>931</v>
      </c>
      <c r="E1781" s="1">
        <f t="shared" si="146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43"/>
        <v>44433</v>
      </c>
      <c r="C1782" s="1">
        <f t="shared" si="144"/>
        <v>5321</v>
      </c>
      <c r="D1782" s="1">
        <f t="shared" si="145"/>
        <v>956</v>
      </c>
      <c r="E1782" s="1">
        <f t="shared" si="146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43"/>
        <v>44434</v>
      </c>
      <c r="C1783" s="1">
        <f t="shared" si="144"/>
        <v>5302</v>
      </c>
      <c r="D1783" s="1">
        <f t="shared" si="145"/>
        <v>966</v>
      </c>
      <c r="E1783" s="1">
        <f t="shared" si="146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43"/>
        <v>44435</v>
      </c>
      <c r="C1784" s="1">
        <f t="shared" si="144"/>
        <v>5268</v>
      </c>
      <c r="D1784" s="1">
        <f t="shared" si="145"/>
        <v>966</v>
      </c>
      <c r="E1784" s="1">
        <f t="shared" si="146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43"/>
        <v>44438</v>
      </c>
      <c r="C1785" s="1">
        <f t="shared" si="144"/>
        <v>5238</v>
      </c>
      <c r="D1785" s="1">
        <f t="shared" si="145"/>
        <v>966</v>
      </c>
      <c r="E1785" s="1">
        <f t="shared" si="146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43"/>
        <v>44439</v>
      </c>
      <c r="C1786" s="1">
        <f t="shared" si="144"/>
        <v>5242</v>
      </c>
      <c r="D1786" s="1">
        <f t="shared" si="145"/>
        <v>981</v>
      </c>
      <c r="E1786" s="1">
        <f t="shared" si="146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43"/>
        <v>44440</v>
      </c>
      <c r="C1787" s="1">
        <f t="shared" si="144"/>
        <v>5233</v>
      </c>
      <c r="D1787" s="1">
        <f t="shared" si="145"/>
        <v>981</v>
      </c>
      <c r="E1787" s="1">
        <f t="shared" si="146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43"/>
        <v>44441</v>
      </c>
      <c r="C1788" s="1">
        <f t="shared" si="144"/>
        <v>5262</v>
      </c>
      <c r="D1788" s="1">
        <f t="shared" si="145"/>
        <v>1011</v>
      </c>
      <c r="E1788" s="1">
        <f t="shared" si="146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43"/>
        <v>44442</v>
      </c>
      <c r="C1789" s="1">
        <f t="shared" si="144"/>
        <v>5289</v>
      </c>
      <c r="D1789" s="1">
        <f t="shared" si="145"/>
        <v>1031</v>
      </c>
      <c r="E1789" s="1">
        <f t="shared" si="146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43"/>
        <v>44445</v>
      </c>
      <c r="C1790" s="1">
        <f t="shared" si="144"/>
        <v>5312</v>
      </c>
      <c r="D1790" s="1">
        <f t="shared" si="145"/>
        <v>1031</v>
      </c>
      <c r="E1790" s="1">
        <f t="shared" si="146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43"/>
        <v>44446</v>
      </c>
      <c r="C1791" s="1">
        <f t="shared" si="144"/>
        <v>5328</v>
      </c>
      <c r="D1791" s="1">
        <f t="shared" si="145"/>
        <v>1066</v>
      </c>
      <c r="E1791" s="1">
        <f t="shared" si="146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43"/>
        <v>44447</v>
      </c>
      <c r="C1792" s="1">
        <f t="shared" si="144"/>
        <v>5357</v>
      </c>
      <c r="D1792" s="1">
        <f t="shared" si="145"/>
        <v>1066</v>
      </c>
      <c r="E1792" s="1">
        <f t="shared" si="146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43"/>
        <v>44448</v>
      </c>
      <c r="C1793" s="1">
        <f t="shared" si="144"/>
        <v>5390</v>
      </c>
      <c r="D1793" s="1">
        <f t="shared" si="145"/>
        <v>1066</v>
      </c>
      <c r="E1793" s="1">
        <f t="shared" si="146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43"/>
        <v>44449</v>
      </c>
      <c r="C1794" s="1">
        <f t="shared" si="144"/>
        <v>5400</v>
      </c>
      <c r="D1794" s="1">
        <f t="shared" si="145"/>
        <v>1081</v>
      </c>
      <c r="E1794" s="1">
        <f t="shared" si="146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43"/>
        <v>44452</v>
      </c>
      <c r="C1795" s="1">
        <f t="shared" si="144"/>
        <v>5449</v>
      </c>
      <c r="D1795" s="1">
        <f t="shared" si="145"/>
        <v>1091</v>
      </c>
      <c r="E1795" s="1">
        <f t="shared" si="146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43"/>
        <v>44453</v>
      </c>
      <c r="C1796" s="1">
        <f t="shared" si="144"/>
        <v>5480</v>
      </c>
      <c r="D1796" s="1">
        <f t="shared" si="145"/>
        <v>1091</v>
      </c>
      <c r="E1796" s="1">
        <f t="shared" si="146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43"/>
        <v>44454</v>
      </c>
      <c r="C1797" s="1">
        <f t="shared" si="144"/>
        <v>5494</v>
      </c>
      <c r="D1797" s="1">
        <f t="shared" si="145"/>
        <v>1106</v>
      </c>
      <c r="E1797" s="1">
        <f t="shared" si="146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7">L1798</f>
        <v>44455</v>
      </c>
      <c r="C1798" s="1">
        <f t="shared" si="144"/>
        <v>5532</v>
      </c>
      <c r="D1798" s="1">
        <f t="shared" si="145"/>
        <v>1111</v>
      </c>
      <c r="E1798" s="1">
        <f t="shared" si="146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7"/>
        <v>44456</v>
      </c>
      <c r="C1799" s="1">
        <f t="shared" ref="C1799:C1862" si="148">IF(M1799&lt;&gt;0,M1799,C1798)</f>
        <v>5576</v>
      </c>
      <c r="D1799" s="1">
        <f t="shared" ref="D1799:D1862" si="149">IF(N1799&lt;&gt;0,N1799,D1798)</f>
        <v>1111</v>
      </c>
      <c r="E1799" s="1">
        <f t="shared" ref="E1799:E1862" si="150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7"/>
        <v>44457</v>
      </c>
      <c r="C1800" s="1">
        <f t="shared" si="148"/>
        <v>5601</v>
      </c>
      <c r="D1800" s="1">
        <f t="shared" si="149"/>
        <v>1111</v>
      </c>
      <c r="E1800" s="1">
        <f t="shared" si="150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7"/>
        <v>44459</v>
      </c>
      <c r="C1801" s="1">
        <f t="shared" si="148"/>
        <v>5601</v>
      </c>
      <c r="D1801" s="1">
        <f t="shared" si="149"/>
        <v>1111</v>
      </c>
      <c r="E1801" s="1">
        <f t="shared" si="150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7"/>
        <v>44460</v>
      </c>
      <c r="C1802" s="1">
        <f t="shared" si="148"/>
        <v>5601</v>
      </c>
      <c r="D1802" s="1">
        <f t="shared" si="149"/>
        <v>1111</v>
      </c>
      <c r="E1802" s="1">
        <f t="shared" si="150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7"/>
        <v>44461</v>
      </c>
      <c r="C1803" s="1">
        <f t="shared" si="148"/>
        <v>5650</v>
      </c>
      <c r="D1803" s="1">
        <f t="shared" si="149"/>
        <v>1111</v>
      </c>
      <c r="E1803" s="1">
        <f t="shared" si="150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7"/>
        <v>44462</v>
      </c>
      <c r="C1804" s="1">
        <f t="shared" si="148"/>
        <v>5699</v>
      </c>
      <c r="D1804" s="1">
        <f t="shared" si="149"/>
        <v>1111</v>
      </c>
      <c r="E1804" s="1">
        <f t="shared" si="150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7"/>
        <v>44463</v>
      </c>
      <c r="C1805" s="1">
        <f t="shared" si="148"/>
        <v>5736</v>
      </c>
      <c r="D1805" s="1">
        <f t="shared" si="149"/>
        <v>1136</v>
      </c>
      <c r="E1805" s="1">
        <f t="shared" si="150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7"/>
        <v>44465</v>
      </c>
      <c r="C1806" s="1">
        <f t="shared" si="148"/>
        <v>5824</v>
      </c>
      <c r="D1806" s="1">
        <f t="shared" si="149"/>
        <v>1136</v>
      </c>
      <c r="E1806" s="1">
        <f t="shared" si="150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7"/>
        <v>44466</v>
      </c>
      <c r="C1807" s="1">
        <f t="shared" si="148"/>
        <v>5864</v>
      </c>
      <c r="D1807" s="1">
        <f t="shared" si="149"/>
        <v>1136</v>
      </c>
      <c r="E1807" s="1">
        <f t="shared" si="150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7"/>
        <v>44467</v>
      </c>
      <c r="C1808" s="1">
        <f t="shared" si="148"/>
        <v>5928</v>
      </c>
      <c r="D1808" s="1">
        <f t="shared" si="149"/>
        <v>1136</v>
      </c>
      <c r="E1808" s="1">
        <f t="shared" si="150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7"/>
        <v>44468</v>
      </c>
      <c r="C1809" s="1">
        <f t="shared" si="148"/>
        <v>5911</v>
      </c>
      <c r="D1809" s="1">
        <f t="shared" si="149"/>
        <v>1136</v>
      </c>
      <c r="E1809" s="1">
        <f t="shared" si="150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7"/>
        <v>44469</v>
      </c>
      <c r="C1810" s="1">
        <f t="shared" si="148"/>
        <v>5921</v>
      </c>
      <c r="D1810" s="1">
        <f t="shared" si="149"/>
        <v>1136</v>
      </c>
      <c r="E1810" s="1">
        <f t="shared" si="150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7"/>
        <v>44470</v>
      </c>
      <c r="C1811" s="1">
        <f t="shared" si="148"/>
        <v>5921</v>
      </c>
      <c r="D1811" s="1">
        <f t="shared" si="149"/>
        <v>1136</v>
      </c>
      <c r="E1811" s="1">
        <f t="shared" si="150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7"/>
        <v>44473</v>
      </c>
      <c r="C1812" s="1">
        <f t="shared" si="148"/>
        <v>5921</v>
      </c>
      <c r="D1812" s="1">
        <f t="shared" si="149"/>
        <v>1136</v>
      </c>
      <c r="E1812" s="1">
        <f t="shared" si="150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7"/>
        <v>44474</v>
      </c>
      <c r="C1813" s="1">
        <f t="shared" si="148"/>
        <v>5921</v>
      </c>
      <c r="D1813" s="1">
        <f t="shared" si="149"/>
        <v>1136</v>
      </c>
      <c r="E1813" s="1">
        <f t="shared" si="150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7"/>
        <v>44475</v>
      </c>
      <c r="C1814" s="1">
        <f t="shared" si="148"/>
        <v>5921</v>
      </c>
      <c r="D1814" s="1">
        <f t="shared" si="149"/>
        <v>1136</v>
      </c>
      <c r="E1814" s="1">
        <f t="shared" si="150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7"/>
        <v>44476</v>
      </c>
      <c r="C1815" s="1">
        <f t="shared" si="148"/>
        <v>5921</v>
      </c>
      <c r="D1815" s="1">
        <f t="shared" si="149"/>
        <v>1136</v>
      </c>
      <c r="E1815" s="1">
        <f t="shared" si="150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7"/>
        <v>44477</v>
      </c>
      <c r="C1816" s="1">
        <f t="shared" si="148"/>
        <v>6048</v>
      </c>
      <c r="D1816" s="1">
        <f t="shared" si="149"/>
        <v>1151</v>
      </c>
      <c r="E1816" s="1">
        <f t="shared" si="150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7"/>
        <v>44478</v>
      </c>
      <c r="C1817" s="1">
        <f t="shared" si="148"/>
        <v>6231</v>
      </c>
      <c r="D1817" s="1">
        <f t="shared" si="149"/>
        <v>1151</v>
      </c>
      <c r="E1817" s="1">
        <f t="shared" si="150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7"/>
        <v>44480</v>
      </c>
      <c r="C1818" s="1">
        <f t="shared" si="148"/>
        <v>6382</v>
      </c>
      <c r="D1818" s="1">
        <f t="shared" si="149"/>
        <v>1151</v>
      </c>
      <c r="E1818" s="1">
        <f t="shared" si="150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7"/>
        <v>44481</v>
      </c>
      <c r="C1819" s="1">
        <f t="shared" si="148"/>
        <v>6455</v>
      </c>
      <c r="D1819" s="1">
        <f t="shared" si="149"/>
        <v>1161</v>
      </c>
      <c r="E1819" s="1">
        <f t="shared" si="150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7"/>
        <v>44482</v>
      </c>
      <c r="C1820" s="1">
        <f t="shared" si="148"/>
        <v>6440</v>
      </c>
      <c r="D1820" s="1">
        <f t="shared" si="149"/>
        <v>1161</v>
      </c>
      <c r="E1820" s="1">
        <f t="shared" si="150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7"/>
        <v>44483</v>
      </c>
      <c r="C1821" s="1">
        <f t="shared" si="148"/>
        <v>6388</v>
      </c>
      <c r="D1821" s="1">
        <f t="shared" si="149"/>
        <v>1161</v>
      </c>
      <c r="E1821" s="1">
        <f t="shared" si="150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7"/>
        <v>44484</v>
      </c>
      <c r="C1822" s="1">
        <f t="shared" si="148"/>
        <v>6401</v>
      </c>
      <c r="D1822" s="1">
        <f t="shared" si="149"/>
        <v>1166</v>
      </c>
      <c r="E1822" s="1">
        <f t="shared" si="150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7"/>
        <v>44487</v>
      </c>
      <c r="C1823" s="1">
        <f t="shared" si="148"/>
        <v>6445</v>
      </c>
      <c r="D1823" s="1">
        <f t="shared" si="149"/>
        <v>1166</v>
      </c>
      <c r="E1823" s="1">
        <f t="shared" si="150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7"/>
        <v>44488</v>
      </c>
      <c r="C1824" s="1">
        <f t="shared" si="148"/>
        <v>6467</v>
      </c>
      <c r="D1824" s="1">
        <f t="shared" si="149"/>
        <v>1191</v>
      </c>
      <c r="E1824" s="1">
        <f t="shared" si="150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7"/>
        <v>44489</v>
      </c>
      <c r="C1825" s="1">
        <f t="shared" si="148"/>
        <v>6433</v>
      </c>
      <c r="D1825" s="1">
        <f t="shared" si="149"/>
        <v>1191</v>
      </c>
      <c r="E1825" s="1">
        <f t="shared" si="150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7"/>
        <v>44490</v>
      </c>
      <c r="C1826" s="1">
        <f t="shared" si="148"/>
        <v>6379</v>
      </c>
      <c r="D1826" s="1">
        <f t="shared" si="149"/>
        <v>1191</v>
      </c>
      <c r="E1826" s="1">
        <f t="shared" si="150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7"/>
        <v>44491</v>
      </c>
      <c r="C1827" s="1">
        <f t="shared" si="148"/>
        <v>6324</v>
      </c>
      <c r="D1827" s="1">
        <f t="shared" si="149"/>
        <v>1201</v>
      </c>
      <c r="E1827" s="1">
        <f t="shared" si="150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7"/>
        <v>44494</v>
      </c>
      <c r="C1828" s="1">
        <f t="shared" si="148"/>
        <v>6205</v>
      </c>
      <c r="D1828" s="1">
        <f t="shared" si="149"/>
        <v>1201</v>
      </c>
      <c r="E1828" s="1">
        <f t="shared" si="150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7"/>
        <v>44495</v>
      </c>
      <c r="C1829" s="1">
        <f t="shared" si="148"/>
        <v>6101</v>
      </c>
      <c r="D1829" s="1">
        <f t="shared" si="149"/>
        <v>1201</v>
      </c>
      <c r="E1829" s="1">
        <f t="shared" si="150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7"/>
        <v>44496</v>
      </c>
      <c r="C1830" s="1">
        <f t="shared" si="148"/>
        <v>6022</v>
      </c>
      <c r="D1830" s="1">
        <f t="shared" si="149"/>
        <v>1201</v>
      </c>
      <c r="E1830" s="1">
        <f t="shared" si="150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7"/>
        <v>44497</v>
      </c>
      <c r="C1831" s="1">
        <f t="shared" si="148"/>
        <v>5982</v>
      </c>
      <c r="D1831" s="1">
        <f t="shared" si="149"/>
        <v>1201</v>
      </c>
      <c r="E1831" s="1">
        <f t="shared" si="150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7"/>
        <v>44498</v>
      </c>
      <c r="C1832" s="1">
        <f t="shared" si="148"/>
        <v>5957</v>
      </c>
      <c r="D1832" s="1">
        <f t="shared" si="149"/>
        <v>1201</v>
      </c>
      <c r="E1832" s="1">
        <f t="shared" si="150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7"/>
        <v>44501</v>
      </c>
      <c r="C1833" s="1">
        <f t="shared" si="148"/>
        <v>5887</v>
      </c>
      <c r="D1833" s="1">
        <f t="shared" si="149"/>
        <v>1201</v>
      </c>
      <c r="E1833" s="1">
        <f t="shared" si="150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7"/>
        <v>44502</v>
      </c>
      <c r="C1834" s="1">
        <f t="shared" si="148"/>
        <v>5831</v>
      </c>
      <c r="D1834" s="1">
        <f t="shared" si="149"/>
        <v>1201</v>
      </c>
      <c r="E1834" s="1">
        <f t="shared" si="150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7"/>
        <v>44503</v>
      </c>
      <c r="C1835" s="1">
        <f t="shared" si="148"/>
        <v>5769</v>
      </c>
      <c r="D1835" s="1">
        <f t="shared" si="149"/>
        <v>1201</v>
      </c>
      <c r="E1835" s="1">
        <f t="shared" si="150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7"/>
        <v>44504</v>
      </c>
      <c r="C1836" s="1">
        <f t="shared" si="148"/>
        <v>5691</v>
      </c>
      <c r="D1836" s="1">
        <f t="shared" si="149"/>
        <v>1201</v>
      </c>
      <c r="E1836" s="1">
        <f t="shared" si="150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7"/>
        <v>44505</v>
      </c>
      <c r="C1837" s="1">
        <f t="shared" si="148"/>
        <v>5660</v>
      </c>
      <c r="D1837" s="1">
        <f t="shared" si="149"/>
        <v>1171</v>
      </c>
      <c r="E1837" s="1">
        <f t="shared" si="150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7"/>
        <v>44508</v>
      </c>
      <c r="C1838" s="1">
        <f t="shared" si="148"/>
        <v>5627</v>
      </c>
      <c r="D1838" s="1">
        <f t="shared" si="149"/>
        <v>1161</v>
      </c>
      <c r="E1838" s="1">
        <f t="shared" si="150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7"/>
        <v>44509</v>
      </c>
      <c r="C1839" s="1">
        <f t="shared" si="148"/>
        <v>5580</v>
      </c>
      <c r="D1839" s="1">
        <f t="shared" si="149"/>
        <v>1161</v>
      </c>
      <c r="E1839" s="1">
        <f t="shared" si="150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7"/>
        <v>44510</v>
      </c>
      <c r="C1840" s="1">
        <f t="shared" si="148"/>
        <v>5560</v>
      </c>
      <c r="D1840" s="1">
        <f t="shared" si="149"/>
        <v>1161</v>
      </c>
      <c r="E1840" s="1">
        <f t="shared" si="150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7"/>
        <v>44511</v>
      </c>
      <c r="C1841" s="1">
        <f t="shared" si="148"/>
        <v>5531</v>
      </c>
      <c r="D1841" s="1">
        <f t="shared" si="149"/>
        <v>1161</v>
      </c>
      <c r="E1841" s="1">
        <f t="shared" si="150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7"/>
        <v>44512</v>
      </c>
      <c r="C1842" s="1">
        <f t="shared" si="148"/>
        <v>5506</v>
      </c>
      <c r="D1842" s="1">
        <f t="shared" si="149"/>
        <v>1161</v>
      </c>
      <c r="E1842" s="1">
        <f t="shared" si="150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7"/>
        <v>44515</v>
      </c>
      <c r="C1843" s="1">
        <f t="shared" si="148"/>
        <v>5433</v>
      </c>
      <c r="D1843" s="1">
        <f t="shared" si="149"/>
        <v>1151</v>
      </c>
      <c r="E1843" s="1">
        <f t="shared" si="150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7"/>
        <v>44516</v>
      </c>
      <c r="C1844" s="1">
        <f t="shared" si="148"/>
        <v>5375</v>
      </c>
      <c r="D1844" s="1">
        <f t="shared" si="149"/>
        <v>1151</v>
      </c>
      <c r="E1844" s="1">
        <f t="shared" si="150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7"/>
        <v>44517</v>
      </c>
      <c r="C1845" s="1">
        <f t="shared" si="148"/>
        <v>5362</v>
      </c>
      <c r="D1845" s="1">
        <f t="shared" si="149"/>
        <v>1151</v>
      </c>
      <c r="E1845" s="1">
        <f t="shared" si="150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7"/>
        <v>44518</v>
      </c>
      <c r="C1846" s="1">
        <f t="shared" si="148"/>
        <v>5339</v>
      </c>
      <c r="D1846" s="1">
        <f t="shared" si="149"/>
        <v>1151</v>
      </c>
      <c r="E1846" s="1">
        <f t="shared" si="150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7"/>
        <v>44519</v>
      </c>
      <c r="C1847" s="1">
        <f t="shared" si="148"/>
        <v>5321</v>
      </c>
      <c r="D1847" s="1">
        <f t="shared" si="149"/>
        <v>1141</v>
      </c>
      <c r="E1847" s="1">
        <f t="shared" si="150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7"/>
        <v>44522</v>
      </c>
      <c r="C1848" s="1">
        <f t="shared" si="148"/>
        <v>5360</v>
      </c>
      <c r="D1848" s="1">
        <f t="shared" si="149"/>
        <v>1131</v>
      </c>
      <c r="E1848" s="1">
        <f t="shared" si="150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7"/>
        <v>44523</v>
      </c>
      <c r="C1849" s="1">
        <f t="shared" si="148"/>
        <v>5341</v>
      </c>
      <c r="D1849" s="1">
        <f t="shared" si="149"/>
        <v>1131</v>
      </c>
      <c r="E1849" s="1">
        <f t="shared" si="150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7"/>
        <v>44524</v>
      </c>
      <c r="C1850" s="1">
        <f t="shared" si="148"/>
        <v>5350</v>
      </c>
      <c r="D1850" s="1">
        <f t="shared" si="149"/>
        <v>1131</v>
      </c>
      <c r="E1850" s="1">
        <f t="shared" si="150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7"/>
        <v>44525</v>
      </c>
      <c r="C1851" s="1">
        <f t="shared" si="148"/>
        <v>5352</v>
      </c>
      <c r="D1851" s="1">
        <f t="shared" si="149"/>
        <v>1131</v>
      </c>
      <c r="E1851" s="1">
        <f t="shared" si="150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7"/>
        <v>44526</v>
      </c>
      <c r="C1852" s="1">
        <f t="shared" si="148"/>
        <v>5328</v>
      </c>
      <c r="D1852" s="1">
        <f t="shared" si="149"/>
        <v>1131</v>
      </c>
      <c r="E1852" s="1">
        <f t="shared" si="150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7"/>
        <v>44529</v>
      </c>
      <c r="C1853" s="1">
        <f t="shared" si="148"/>
        <v>5303</v>
      </c>
      <c r="D1853" s="1">
        <f t="shared" si="149"/>
        <v>1131</v>
      </c>
      <c r="E1853" s="1">
        <f t="shared" si="150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7"/>
        <v>44530</v>
      </c>
      <c r="C1854" s="1">
        <f t="shared" si="148"/>
        <v>5264</v>
      </c>
      <c r="D1854" s="1">
        <f t="shared" si="149"/>
        <v>1121</v>
      </c>
      <c r="E1854" s="1">
        <f t="shared" si="150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7"/>
        <v>44531</v>
      </c>
      <c r="C1855" s="1">
        <f t="shared" si="148"/>
        <v>5257</v>
      </c>
      <c r="D1855" s="1">
        <f t="shared" si="149"/>
        <v>1101</v>
      </c>
      <c r="E1855" s="1">
        <f t="shared" si="150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7"/>
        <v>44532</v>
      </c>
      <c r="C1856" s="1">
        <f t="shared" si="148"/>
        <v>5221</v>
      </c>
      <c r="D1856" s="1">
        <f t="shared" si="149"/>
        <v>1101</v>
      </c>
      <c r="E1856" s="1">
        <f t="shared" si="150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7"/>
        <v>44533</v>
      </c>
      <c r="C1857" s="1">
        <f t="shared" si="148"/>
        <v>5210</v>
      </c>
      <c r="D1857" s="1">
        <f t="shared" si="149"/>
        <v>1091</v>
      </c>
      <c r="E1857" s="1">
        <f t="shared" si="150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7"/>
        <v>44536</v>
      </c>
      <c r="C1858" s="1">
        <f t="shared" si="148"/>
        <v>5194</v>
      </c>
      <c r="D1858" s="1">
        <f t="shared" si="149"/>
        <v>1091</v>
      </c>
      <c r="E1858" s="1">
        <f t="shared" si="150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7"/>
        <v>44537</v>
      </c>
      <c r="C1859" s="1">
        <f t="shared" si="148"/>
        <v>5201</v>
      </c>
      <c r="D1859" s="1">
        <f t="shared" si="149"/>
        <v>1081</v>
      </c>
      <c r="E1859" s="1">
        <f t="shared" si="150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7"/>
        <v>44538</v>
      </c>
      <c r="C1860" s="1">
        <f t="shared" si="148"/>
        <v>5194</v>
      </c>
      <c r="D1860" s="1">
        <f t="shared" si="149"/>
        <v>1081</v>
      </c>
      <c r="E1860" s="1">
        <f t="shared" si="150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7"/>
        <v>44539</v>
      </c>
      <c r="C1861" s="1">
        <f t="shared" si="148"/>
        <v>5179</v>
      </c>
      <c r="D1861" s="1">
        <f t="shared" si="149"/>
        <v>1061</v>
      </c>
      <c r="E1861" s="1">
        <f t="shared" si="150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51">L1862</f>
        <v>44540</v>
      </c>
      <c r="C1862" s="1">
        <f t="shared" si="148"/>
        <v>5158</v>
      </c>
      <c r="D1862" s="1">
        <f t="shared" si="149"/>
        <v>1061</v>
      </c>
      <c r="E1862" s="1">
        <f t="shared" si="150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51"/>
        <v>44543</v>
      </c>
      <c r="C1863" s="1">
        <f t="shared" ref="C1863:C1926" si="152">IF(M1863&lt;&gt;0,M1863,C1862)</f>
        <v>5138</v>
      </c>
      <c r="D1863" s="1">
        <f t="shared" ref="D1863:D1926" si="153">IF(N1863&lt;&gt;0,N1863,D1862)</f>
        <v>1061</v>
      </c>
      <c r="E1863" s="1">
        <f t="shared" ref="E1863:E1926" si="154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51"/>
        <v>44544</v>
      </c>
      <c r="C1864" s="1">
        <f t="shared" si="152"/>
        <v>5158</v>
      </c>
      <c r="D1864" s="1">
        <f t="shared" si="153"/>
        <v>1061</v>
      </c>
      <c r="E1864" s="1">
        <f t="shared" si="154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51"/>
        <v>44545</v>
      </c>
      <c r="C1865" s="1">
        <f t="shared" si="152"/>
        <v>5157</v>
      </c>
      <c r="D1865" s="1">
        <f t="shared" si="153"/>
        <v>1061</v>
      </c>
      <c r="E1865" s="1">
        <f t="shared" si="154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51"/>
        <v>44546</v>
      </c>
      <c r="C1866" s="1">
        <f t="shared" si="152"/>
        <v>5158</v>
      </c>
      <c r="D1866" s="1">
        <f t="shared" si="153"/>
        <v>1061</v>
      </c>
      <c r="E1866" s="1">
        <f t="shared" si="154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51"/>
        <v>44547</v>
      </c>
      <c r="C1867" s="1">
        <f t="shared" si="152"/>
        <v>5163</v>
      </c>
      <c r="D1867" s="1">
        <f t="shared" si="153"/>
        <v>1056</v>
      </c>
      <c r="E1867" s="1">
        <f t="shared" si="154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51"/>
        <v>44550</v>
      </c>
      <c r="C1868" s="1">
        <f t="shared" si="152"/>
        <v>5172</v>
      </c>
      <c r="D1868" s="1">
        <f t="shared" si="153"/>
        <v>1056</v>
      </c>
      <c r="E1868" s="1">
        <f t="shared" si="154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51"/>
        <v>44551</v>
      </c>
      <c r="C1869" s="1">
        <f t="shared" si="152"/>
        <v>5162</v>
      </c>
      <c r="D1869" s="1">
        <f t="shared" si="153"/>
        <v>1056</v>
      </c>
      <c r="E1869" s="1">
        <f t="shared" si="154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51"/>
        <v>44552</v>
      </c>
      <c r="C1870" s="1">
        <f t="shared" si="152"/>
        <v>5184</v>
      </c>
      <c r="D1870" s="1">
        <f t="shared" si="153"/>
        <v>1056</v>
      </c>
      <c r="E1870" s="1">
        <f t="shared" si="154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51"/>
        <v>44553</v>
      </c>
      <c r="C1871" s="1">
        <f t="shared" si="152"/>
        <v>5188</v>
      </c>
      <c r="D1871" s="1">
        <f t="shared" si="153"/>
        <v>1021</v>
      </c>
      <c r="E1871" s="1">
        <f t="shared" si="154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51"/>
        <v>44554</v>
      </c>
      <c r="C1872" s="1">
        <f t="shared" si="152"/>
        <v>5189</v>
      </c>
      <c r="D1872" s="1">
        <f t="shared" si="153"/>
        <v>1021</v>
      </c>
      <c r="E1872" s="1">
        <f t="shared" si="154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51"/>
        <v>44557</v>
      </c>
      <c r="C1873" s="1">
        <f t="shared" si="152"/>
        <v>5168</v>
      </c>
      <c r="D1873" s="1">
        <f t="shared" si="153"/>
        <v>1021</v>
      </c>
      <c r="E1873" s="1">
        <f t="shared" si="154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51"/>
        <v>44558</v>
      </c>
      <c r="C1874" s="1">
        <f t="shared" si="152"/>
        <v>5157</v>
      </c>
      <c r="D1874" s="1">
        <f t="shared" si="153"/>
        <v>1021</v>
      </c>
      <c r="E1874" s="1">
        <f t="shared" si="154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51"/>
        <v>44559</v>
      </c>
      <c r="C1875" s="1">
        <f t="shared" si="152"/>
        <v>5155</v>
      </c>
      <c r="D1875" s="1">
        <f t="shared" si="153"/>
        <v>1021</v>
      </c>
      <c r="E1875" s="1">
        <f t="shared" si="154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51"/>
        <v>44560</v>
      </c>
      <c r="C1876" s="1">
        <f t="shared" si="152"/>
        <v>5154</v>
      </c>
      <c r="D1876" s="1">
        <f t="shared" si="153"/>
        <v>1021</v>
      </c>
      <c r="E1876" s="1">
        <f t="shared" si="154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51"/>
        <v>44561</v>
      </c>
      <c r="C1877" s="1">
        <f t="shared" si="152"/>
        <v>5153</v>
      </c>
      <c r="D1877" s="1">
        <f t="shared" si="153"/>
        <v>1021</v>
      </c>
      <c r="E1877" s="1">
        <f t="shared" si="154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51"/>
        <v>44564</v>
      </c>
      <c r="C1878" s="1">
        <f t="shared" si="152"/>
        <v>5153</v>
      </c>
      <c r="D1878" s="1">
        <f t="shared" si="153"/>
        <v>1021</v>
      </c>
      <c r="E1878" s="1">
        <f t="shared" si="154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51"/>
        <v>44565</v>
      </c>
      <c r="C1879" s="1">
        <f t="shared" si="152"/>
        <v>5187</v>
      </c>
      <c r="D1879" s="1">
        <f t="shared" si="153"/>
        <v>1021</v>
      </c>
      <c r="E1879" s="1">
        <f t="shared" si="154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51"/>
        <v>44566</v>
      </c>
      <c r="C1880" s="1">
        <f t="shared" si="152"/>
        <v>5215</v>
      </c>
      <c r="D1880" s="1">
        <f t="shared" si="153"/>
        <v>1021</v>
      </c>
      <c r="E1880" s="1">
        <f t="shared" si="154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51"/>
        <v>44567</v>
      </c>
      <c r="C1881" s="1">
        <f t="shared" si="152"/>
        <v>5229</v>
      </c>
      <c r="D1881" s="1">
        <f t="shared" si="153"/>
        <v>1021</v>
      </c>
      <c r="E1881" s="1">
        <f t="shared" si="154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51"/>
        <v>44568</v>
      </c>
      <c r="C1882" s="1">
        <f t="shared" si="152"/>
        <v>5230</v>
      </c>
      <c r="D1882" s="1">
        <f t="shared" si="153"/>
        <v>976</v>
      </c>
      <c r="E1882" s="1">
        <f t="shared" si="154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51"/>
        <v>44571</v>
      </c>
      <c r="C1883" s="1">
        <f t="shared" si="152"/>
        <v>5227</v>
      </c>
      <c r="D1883" s="1">
        <f t="shared" si="153"/>
        <v>976</v>
      </c>
      <c r="E1883" s="1">
        <f t="shared" si="154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51"/>
        <v>44572</v>
      </c>
      <c r="C1884" s="1">
        <f t="shared" si="152"/>
        <v>5240</v>
      </c>
      <c r="D1884" s="1">
        <f t="shared" si="153"/>
        <v>976</v>
      </c>
      <c r="E1884" s="1">
        <f t="shared" si="154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51"/>
        <v>44573</v>
      </c>
      <c r="C1885" s="1">
        <f t="shared" si="152"/>
        <v>5242</v>
      </c>
      <c r="D1885" s="1">
        <f t="shared" si="153"/>
        <v>976</v>
      </c>
      <c r="E1885" s="1">
        <f t="shared" si="154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51"/>
        <v>44574</v>
      </c>
      <c r="C1886" s="1">
        <f t="shared" si="152"/>
        <v>5282</v>
      </c>
      <c r="D1886" s="1">
        <f t="shared" si="153"/>
        <v>976</v>
      </c>
      <c r="E1886" s="1">
        <f t="shared" si="154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51"/>
        <v>44575</v>
      </c>
      <c r="C1887" s="1">
        <f t="shared" si="152"/>
        <v>5328</v>
      </c>
      <c r="D1887" s="1">
        <f t="shared" si="153"/>
        <v>951</v>
      </c>
      <c r="E1887" s="1">
        <f t="shared" si="154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51"/>
        <v>44578</v>
      </c>
      <c r="C1888" s="1">
        <f t="shared" si="152"/>
        <v>5357</v>
      </c>
      <c r="D1888" s="1">
        <f t="shared" si="153"/>
        <v>926</v>
      </c>
      <c r="E1888" s="1">
        <f t="shared" si="154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51"/>
        <v>44579</v>
      </c>
      <c r="C1889" s="1">
        <f t="shared" si="152"/>
        <v>5347</v>
      </c>
      <c r="D1889" s="1">
        <f t="shared" si="153"/>
        <v>926</v>
      </c>
      <c r="E1889" s="1">
        <f t="shared" si="154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51"/>
        <v>44580</v>
      </c>
      <c r="C1890" s="1">
        <f t="shared" si="152"/>
        <v>5360</v>
      </c>
      <c r="D1890" s="1">
        <f t="shared" si="153"/>
        <v>926</v>
      </c>
      <c r="E1890" s="1">
        <f t="shared" si="154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51"/>
        <v>44581</v>
      </c>
      <c r="C1891" s="1">
        <f t="shared" si="152"/>
        <v>5364</v>
      </c>
      <c r="D1891" s="1">
        <f t="shared" si="153"/>
        <v>926</v>
      </c>
      <c r="E1891" s="1">
        <f t="shared" si="154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51"/>
        <v>44582</v>
      </c>
      <c r="C1892" s="1">
        <f t="shared" si="152"/>
        <v>5344</v>
      </c>
      <c r="D1892" s="1">
        <f t="shared" si="153"/>
        <v>926</v>
      </c>
      <c r="E1892" s="1">
        <f t="shared" si="154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51"/>
        <v>44585</v>
      </c>
      <c r="C1893" s="1">
        <f t="shared" si="152"/>
        <v>5342</v>
      </c>
      <c r="D1893" s="1">
        <f t="shared" si="153"/>
        <v>926</v>
      </c>
      <c r="E1893" s="1">
        <f t="shared" si="154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51"/>
        <v>44586</v>
      </c>
      <c r="C1894" s="1">
        <f t="shared" si="152"/>
        <v>5335</v>
      </c>
      <c r="D1894" s="1">
        <f t="shared" si="153"/>
        <v>981</v>
      </c>
      <c r="E1894" s="1">
        <f t="shared" si="154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51"/>
        <v>44587</v>
      </c>
      <c r="C1895" s="1">
        <f t="shared" si="152"/>
        <v>5347</v>
      </c>
      <c r="D1895" s="1">
        <f t="shared" si="153"/>
        <v>981</v>
      </c>
      <c r="E1895" s="1">
        <f t="shared" si="154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51"/>
        <v>44588</v>
      </c>
      <c r="C1896" s="1">
        <f t="shared" si="152"/>
        <v>5374</v>
      </c>
      <c r="D1896" s="1">
        <f t="shared" si="153"/>
        <v>981</v>
      </c>
      <c r="E1896" s="1">
        <f t="shared" si="154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51"/>
        <v>44589</v>
      </c>
      <c r="C1897" s="1">
        <f t="shared" si="152"/>
        <v>5401</v>
      </c>
      <c r="D1897" s="1">
        <f t="shared" si="153"/>
        <v>1001</v>
      </c>
      <c r="E1897" s="1">
        <f t="shared" si="154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51"/>
        <v>44590</v>
      </c>
      <c r="C1898" s="1">
        <f t="shared" si="152"/>
        <v>5402</v>
      </c>
      <c r="D1898" s="1">
        <f t="shared" si="153"/>
        <v>1001</v>
      </c>
      <c r="E1898" s="1">
        <f t="shared" si="154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51"/>
        <v>44591</v>
      </c>
      <c r="C1899" s="1">
        <f t="shared" si="152"/>
        <v>5401</v>
      </c>
      <c r="D1899" s="1">
        <f t="shared" si="153"/>
        <v>1001</v>
      </c>
      <c r="E1899" s="1">
        <f t="shared" si="154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51"/>
        <v>44592</v>
      </c>
      <c r="C1900" s="1">
        <f t="shared" si="152"/>
        <v>5401</v>
      </c>
      <c r="D1900" s="1">
        <f t="shared" si="153"/>
        <v>1001</v>
      </c>
      <c r="E1900" s="1">
        <f t="shared" si="154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51"/>
        <v>44593</v>
      </c>
      <c r="C1901" s="1">
        <f t="shared" si="152"/>
        <v>5401</v>
      </c>
      <c r="D1901" s="1">
        <f t="shared" si="153"/>
        <v>1001</v>
      </c>
      <c r="E1901" s="1">
        <f t="shared" si="154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51"/>
        <v>44594</v>
      </c>
      <c r="C1902" s="1">
        <f t="shared" si="152"/>
        <v>5401</v>
      </c>
      <c r="D1902" s="1">
        <f t="shared" si="153"/>
        <v>1001</v>
      </c>
      <c r="E1902" s="1">
        <f t="shared" si="154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51"/>
        <v>44595</v>
      </c>
      <c r="C1903" s="1">
        <f t="shared" si="152"/>
        <v>5401</v>
      </c>
      <c r="D1903" s="1">
        <f t="shared" si="153"/>
        <v>1001</v>
      </c>
      <c r="E1903" s="1">
        <f t="shared" si="154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51"/>
        <v>44596</v>
      </c>
      <c r="C1904" s="1">
        <f t="shared" si="152"/>
        <v>5401</v>
      </c>
      <c r="D1904" s="1">
        <f t="shared" si="153"/>
        <v>1001</v>
      </c>
      <c r="E1904" s="1">
        <f t="shared" si="154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51"/>
        <v>44599</v>
      </c>
      <c r="C1905" s="1">
        <f t="shared" si="152"/>
        <v>5468</v>
      </c>
      <c r="D1905" s="1">
        <f t="shared" si="153"/>
        <v>1101</v>
      </c>
      <c r="E1905" s="1">
        <f t="shared" si="154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51"/>
        <v>44600</v>
      </c>
      <c r="C1906" s="1">
        <f t="shared" si="152"/>
        <v>5514</v>
      </c>
      <c r="D1906" s="1">
        <f t="shared" si="153"/>
        <v>1101</v>
      </c>
      <c r="E1906" s="1">
        <f t="shared" si="154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51"/>
        <v>44601</v>
      </c>
      <c r="C1907" s="1">
        <f t="shared" si="152"/>
        <v>5544</v>
      </c>
      <c r="D1907" s="1">
        <f t="shared" si="153"/>
        <v>1101</v>
      </c>
      <c r="E1907" s="1">
        <f t="shared" si="154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51"/>
        <v>44602</v>
      </c>
      <c r="C1908" s="1">
        <f t="shared" si="152"/>
        <v>5532</v>
      </c>
      <c r="D1908" s="1">
        <f t="shared" si="153"/>
        <v>1191</v>
      </c>
      <c r="E1908" s="1">
        <f t="shared" si="154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51"/>
        <v>44603</v>
      </c>
      <c r="C1909" s="1">
        <f t="shared" si="152"/>
        <v>5530</v>
      </c>
      <c r="D1909" s="1">
        <f t="shared" si="153"/>
        <v>1201</v>
      </c>
      <c r="E1909" s="1">
        <f t="shared" si="154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51"/>
        <v>44606</v>
      </c>
      <c r="C1910" s="1">
        <f t="shared" si="152"/>
        <v>5521</v>
      </c>
      <c r="D1910" s="1">
        <f t="shared" si="153"/>
        <v>1211</v>
      </c>
      <c r="E1910" s="1">
        <f t="shared" si="154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51"/>
        <v>44607</v>
      </c>
      <c r="C1911" s="1">
        <f t="shared" si="152"/>
        <v>5522</v>
      </c>
      <c r="D1911" s="1">
        <f t="shared" si="153"/>
        <v>1211</v>
      </c>
      <c r="E1911" s="1">
        <f t="shared" si="154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51"/>
        <v>44608</v>
      </c>
      <c r="C1912" s="1">
        <f t="shared" si="152"/>
        <v>5502</v>
      </c>
      <c r="D1912" s="1">
        <f t="shared" si="153"/>
        <v>1211</v>
      </c>
      <c r="E1912" s="1">
        <f t="shared" si="154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51"/>
        <v>44609</v>
      </c>
      <c r="C1913" s="1">
        <f t="shared" si="152"/>
        <v>5483</v>
      </c>
      <c r="D1913" s="1">
        <f t="shared" si="153"/>
        <v>1211</v>
      </c>
      <c r="E1913" s="1">
        <f t="shared" si="154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51"/>
        <v>44610</v>
      </c>
      <c r="C1914" s="1">
        <f t="shared" si="152"/>
        <v>5499</v>
      </c>
      <c r="D1914" s="1">
        <f t="shared" si="153"/>
        <v>1221</v>
      </c>
      <c r="E1914" s="1">
        <f t="shared" si="154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51"/>
        <v>44613</v>
      </c>
      <c r="C1915" s="1">
        <f t="shared" si="152"/>
        <v>5486</v>
      </c>
      <c r="D1915" s="1">
        <f t="shared" si="153"/>
        <v>1221</v>
      </c>
      <c r="E1915" s="1">
        <f t="shared" si="154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51"/>
        <v>44614</v>
      </c>
      <c r="C1916" s="1">
        <f t="shared" si="152"/>
        <v>5498</v>
      </c>
      <c r="D1916" s="1">
        <f t="shared" si="153"/>
        <v>1221</v>
      </c>
      <c r="E1916" s="1">
        <f t="shared" si="154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51"/>
        <v>44615</v>
      </c>
      <c r="C1917" s="1">
        <f t="shared" si="152"/>
        <v>5509</v>
      </c>
      <c r="D1917" s="1">
        <f t="shared" si="153"/>
        <v>1221</v>
      </c>
      <c r="E1917" s="1">
        <f t="shared" si="154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51"/>
        <v>44616</v>
      </c>
      <c r="C1918" s="1">
        <f t="shared" si="152"/>
        <v>5523</v>
      </c>
      <c r="D1918" s="1">
        <f t="shared" si="153"/>
        <v>1261</v>
      </c>
      <c r="E1918" s="1">
        <f t="shared" si="154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51"/>
        <v>44617</v>
      </c>
      <c r="C1919" s="1">
        <f t="shared" si="152"/>
        <v>5546</v>
      </c>
      <c r="D1919" s="1">
        <f t="shared" si="153"/>
        <v>1231</v>
      </c>
      <c r="E1919" s="1">
        <f t="shared" si="154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51"/>
        <v>44620</v>
      </c>
      <c r="C1920" s="1">
        <f t="shared" si="152"/>
        <v>5526</v>
      </c>
      <c r="D1920" s="1">
        <f t="shared" si="153"/>
        <v>1231</v>
      </c>
      <c r="E1920" s="1">
        <f t="shared" si="154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51"/>
        <v>44621</v>
      </c>
      <c r="C1921" s="1">
        <f t="shared" si="152"/>
        <v>5538</v>
      </c>
      <c r="D1921" s="1">
        <f t="shared" si="153"/>
        <v>1231</v>
      </c>
      <c r="E1921" s="1">
        <f t="shared" si="154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51"/>
        <v>44622</v>
      </c>
      <c r="C1922" s="1">
        <f t="shared" si="152"/>
        <v>5583</v>
      </c>
      <c r="D1922" s="1">
        <f t="shared" si="153"/>
        <v>1251</v>
      </c>
      <c r="E1922" s="1">
        <f t="shared" si="154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51"/>
        <v>44623</v>
      </c>
      <c r="C1923" s="1">
        <f t="shared" si="152"/>
        <v>5683</v>
      </c>
      <c r="D1923" s="1">
        <f t="shared" si="153"/>
        <v>1251</v>
      </c>
      <c r="E1923" s="1">
        <f t="shared" si="154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51"/>
        <v>44624</v>
      </c>
      <c r="C1924" s="1">
        <f t="shared" si="152"/>
        <v>5725</v>
      </c>
      <c r="D1924" s="1">
        <f t="shared" si="153"/>
        <v>1261</v>
      </c>
      <c r="E1924" s="1">
        <f t="shared" si="154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51"/>
        <v>44627</v>
      </c>
      <c r="C1925" s="1">
        <f t="shared" si="152"/>
        <v>5792</v>
      </c>
      <c r="D1925" s="1">
        <f t="shared" si="153"/>
        <v>1281</v>
      </c>
      <c r="E1925" s="1">
        <f t="shared" si="154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5">L1926</f>
        <v>44628</v>
      </c>
      <c r="C1926" s="1">
        <f t="shared" si="152"/>
        <v>5848</v>
      </c>
      <c r="D1926" s="1">
        <f t="shared" si="153"/>
        <v>1311</v>
      </c>
      <c r="E1926" s="1">
        <f t="shared" si="154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5"/>
        <v>44629</v>
      </c>
      <c r="C1927" s="1">
        <f t="shared" ref="C1927:C1990" si="156">IF(M1927&lt;&gt;0,M1927,C1926)</f>
        <v>5942</v>
      </c>
      <c r="D1927" s="1">
        <f t="shared" ref="D1927:D1990" si="157">IF(N1927&lt;&gt;0,N1927,D1926)</f>
        <v>1361</v>
      </c>
      <c r="E1927" s="1">
        <f t="shared" ref="E1927:E1990" si="158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5"/>
        <v>44630</v>
      </c>
      <c r="C1928" s="1">
        <f t="shared" si="156"/>
        <v>5941</v>
      </c>
      <c r="D1928" s="1">
        <f t="shared" si="157"/>
        <v>1361</v>
      </c>
      <c r="E1928" s="1">
        <f t="shared" si="158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5"/>
        <v>44631</v>
      </c>
      <c r="C1929" s="1">
        <f t="shared" si="156"/>
        <v>5908</v>
      </c>
      <c r="D1929" s="1">
        <f t="shared" si="157"/>
        <v>1351</v>
      </c>
      <c r="E1929" s="1">
        <f t="shared" si="158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5"/>
        <v>44634</v>
      </c>
      <c r="C1930" s="1">
        <f t="shared" si="156"/>
        <v>5873</v>
      </c>
      <c r="D1930" s="1">
        <f t="shared" si="157"/>
        <v>1351</v>
      </c>
      <c r="E1930" s="1">
        <f t="shared" si="158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5"/>
        <v>44635</v>
      </c>
      <c r="C1931" s="1">
        <f t="shared" si="156"/>
        <v>5810</v>
      </c>
      <c r="D1931" s="1">
        <f t="shared" si="157"/>
        <v>1301</v>
      </c>
      <c r="E1931" s="1">
        <f t="shared" si="158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5"/>
        <v>44636</v>
      </c>
      <c r="C1932" s="1">
        <f t="shared" si="156"/>
        <v>5714</v>
      </c>
      <c r="D1932" s="1">
        <f t="shared" si="157"/>
        <v>1301</v>
      </c>
      <c r="E1932" s="1">
        <f t="shared" si="158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5"/>
        <v>44637</v>
      </c>
      <c r="C1933" s="1">
        <f t="shared" si="156"/>
        <v>5698</v>
      </c>
      <c r="D1933" s="1">
        <f t="shared" si="157"/>
        <v>1301</v>
      </c>
      <c r="E1933" s="1">
        <f t="shared" si="158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5"/>
        <v>44638</v>
      </c>
      <c r="C1934" s="1">
        <f t="shared" si="156"/>
        <v>5711</v>
      </c>
      <c r="D1934" s="1">
        <f t="shared" si="157"/>
        <v>1351</v>
      </c>
      <c r="E1934" s="1">
        <f t="shared" si="158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5"/>
        <v>44641</v>
      </c>
      <c r="C1935" s="1">
        <f t="shared" si="156"/>
        <v>5738</v>
      </c>
      <c r="D1935" s="1">
        <f t="shared" si="157"/>
        <v>1351</v>
      </c>
      <c r="E1935" s="1">
        <f t="shared" si="158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5"/>
        <v>44642</v>
      </c>
      <c r="C1936" s="1">
        <f t="shared" si="156"/>
        <v>5804</v>
      </c>
      <c r="D1936" s="1">
        <f t="shared" si="157"/>
        <v>1351</v>
      </c>
      <c r="E1936" s="1">
        <f t="shared" si="158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5"/>
        <v>44643</v>
      </c>
      <c r="C1937" s="1">
        <f t="shared" si="156"/>
        <v>5829</v>
      </c>
      <c r="D1937" s="1">
        <f t="shared" si="157"/>
        <v>1351</v>
      </c>
      <c r="E1937" s="1">
        <f t="shared" si="158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5"/>
        <v>44644</v>
      </c>
      <c r="C1938" s="1">
        <f t="shared" si="156"/>
        <v>5872</v>
      </c>
      <c r="D1938" s="1">
        <f t="shared" si="157"/>
        <v>1351</v>
      </c>
      <c r="E1938" s="1">
        <f t="shared" si="158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5"/>
        <v>44645</v>
      </c>
      <c r="C1939" s="1">
        <f t="shared" si="156"/>
        <v>5890</v>
      </c>
      <c r="D1939" s="1">
        <f t="shared" si="157"/>
        <v>1371</v>
      </c>
      <c r="E1939" s="1">
        <f t="shared" si="158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5"/>
        <v>44648</v>
      </c>
      <c r="C1940" s="1">
        <f t="shared" si="156"/>
        <v>5877</v>
      </c>
      <c r="D1940" s="1">
        <f t="shared" si="157"/>
        <v>1371</v>
      </c>
      <c r="E1940" s="1">
        <f t="shared" si="158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5"/>
        <v>44649</v>
      </c>
      <c r="C1941" s="1">
        <f t="shared" si="156"/>
        <v>5843</v>
      </c>
      <c r="D1941" s="1">
        <f t="shared" si="157"/>
        <v>1371</v>
      </c>
      <c r="E1941" s="1">
        <f t="shared" si="158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5"/>
        <v>44650</v>
      </c>
      <c r="C1942" s="1">
        <f t="shared" si="156"/>
        <v>5810</v>
      </c>
      <c r="D1942" s="1">
        <f t="shared" si="157"/>
        <v>1371</v>
      </c>
      <c r="E1942" s="1">
        <f t="shared" si="158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5"/>
        <v>44651</v>
      </c>
      <c r="C1943" s="1">
        <f t="shared" si="156"/>
        <v>5793</v>
      </c>
      <c r="D1943" s="1">
        <f t="shared" si="157"/>
        <v>1401</v>
      </c>
      <c r="E1943" s="1">
        <f t="shared" si="158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5"/>
        <v>44652</v>
      </c>
      <c r="C1944" s="1">
        <f t="shared" si="156"/>
        <v>5789</v>
      </c>
      <c r="D1944" s="1">
        <f t="shared" si="157"/>
        <v>1401</v>
      </c>
      <c r="E1944" s="1">
        <f t="shared" si="158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5"/>
        <v>44653</v>
      </c>
      <c r="C1945" s="1">
        <f t="shared" si="156"/>
        <v>5786</v>
      </c>
      <c r="D1945" s="1">
        <f t="shared" si="157"/>
        <v>1401</v>
      </c>
      <c r="E1945" s="1">
        <f t="shared" si="158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5"/>
        <v>44655</v>
      </c>
      <c r="C1946" s="1">
        <f t="shared" si="156"/>
        <v>5786</v>
      </c>
      <c r="D1946" s="1">
        <f t="shared" si="157"/>
        <v>1401</v>
      </c>
      <c r="E1946" s="1">
        <f t="shared" si="158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5"/>
        <v>44656</v>
      </c>
      <c r="C1947" s="1">
        <f t="shared" si="156"/>
        <v>5786</v>
      </c>
      <c r="D1947" s="1">
        <f t="shared" si="157"/>
        <v>1401</v>
      </c>
      <c r="E1947" s="1">
        <f t="shared" si="158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5"/>
        <v>44657</v>
      </c>
      <c r="C1948" s="1">
        <f t="shared" si="156"/>
        <v>5824</v>
      </c>
      <c r="D1948" s="1">
        <f t="shared" si="157"/>
        <v>1381</v>
      </c>
      <c r="E1948" s="1">
        <f t="shared" si="158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5"/>
        <v>44658</v>
      </c>
      <c r="C1949" s="1">
        <f t="shared" si="156"/>
        <v>5834</v>
      </c>
      <c r="D1949" s="1">
        <f t="shared" si="157"/>
        <v>1381</v>
      </c>
      <c r="E1949" s="1">
        <f t="shared" si="158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5"/>
        <v>44659</v>
      </c>
      <c r="C1950" s="1">
        <f t="shared" si="156"/>
        <v>5816</v>
      </c>
      <c r="D1950" s="1">
        <f t="shared" si="157"/>
        <v>1371</v>
      </c>
      <c r="E1950" s="1">
        <f t="shared" si="158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5"/>
        <v>44662</v>
      </c>
      <c r="C1951" s="1">
        <f t="shared" si="156"/>
        <v>5768</v>
      </c>
      <c r="D1951" s="1">
        <f t="shared" si="157"/>
        <v>1351</v>
      </c>
      <c r="E1951" s="1">
        <f t="shared" si="158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5"/>
        <v>44663</v>
      </c>
      <c r="C1952" s="1">
        <f t="shared" si="156"/>
        <v>5751</v>
      </c>
      <c r="D1952" s="1">
        <f t="shared" si="157"/>
        <v>1351</v>
      </c>
      <c r="E1952" s="1">
        <f t="shared" si="158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5"/>
        <v>44664</v>
      </c>
      <c r="C1953" s="1">
        <f t="shared" si="156"/>
        <v>5752</v>
      </c>
      <c r="D1953" s="1">
        <f t="shared" si="157"/>
        <v>1311</v>
      </c>
      <c r="E1953" s="1">
        <f t="shared" si="158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5"/>
        <v>44665</v>
      </c>
      <c r="C1954" s="1">
        <f t="shared" si="156"/>
        <v>5749</v>
      </c>
      <c r="D1954" s="1">
        <f t="shared" si="157"/>
        <v>1311</v>
      </c>
      <c r="E1954" s="1">
        <f t="shared" si="158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5"/>
        <v>44666</v>
      </c>
      <c r="C1955" s="1">
        <f t="shared" si="156"/>
        <v>5763</v>
      </c>
      <c r="D1955" s="1">
        <f t="shared" si="157"/>
        <v>1311</v>
      </c>
      <c r="E1955" s="1">
        <f t="shared" si="158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5"/>
        <v>44669</v>
      </c>
      <c r="C1956" s="1">
        <f t="shared" si="156"/>
        <v>5794</v>
      </c>
      <c r="D1956" s="1">
        <f t="shared" si="157"/>
        <v>1311</v>
      </c>
      <c r="E1956" s="1">
        <f t="shared" si="158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5"/>
        <v>44670</v>
      </c>
      <c r="C1957" s="1">
        <f t="shared" si="156"/>
        <v>5829</v>
      </c>
      <c r="D1957" s="1">
        <f t="shared" si="157"/>
        <v>1311</v>
      </c>
      <c r="E1957" s="1">
        <f t="shared" si="158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5"/>
        <v>44671</v>
      </c>
      <c r="C1958" s="1">
        <f t="shared" si="156"/>
        <v>5840</v>
      </c>
      <c r="D1958" s="1">
        <f t="shared" si="157"/>
        <v>1311</v>
      </c>
      <c r="E1958" s="1">
        <f t="shared" si="158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5"/>
        <v>44672</v>
      </c>
      <c r="C1959" s="1">
        <f t="shared" si="156"/>
        <v>5843</v>
      </c>
      <c r="D1959" s="1">
        <f t="shared" si="157"/>
        <v>1311</v>
      </c>
      <c r="E1959" s="1">
        <f t="shared" si="158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5"/>
        <v>44673</v>
      </c>
      <c r="C1960" s="1">
        <f t="shared" si="156"/>
        <v>5843</v>
      </c>
      <c r="D1960" s="1">
        <f t="shared" si="157"/>
        <v>1301</v>
      </c>
      <c r="E1960" s="1">
        <f t="shared" si="158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5"/>
        <v>44675</v>
      </c>
      <c r="C1961" s="1">
        <f t="shared" si="156"/>
        <v>5818</v>
      </c>
      <c r="D1961" s="1">
        <f t="shared" si="157"/>
        <v>1301</v>
      </c>
      <c r="E1961" s="1">
        <f t="shared" si="158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5"/>
        <v>44676</v>
      </c>
      <c r="C1962" s="1">
        <f t="shared" si="156"/>
        <v>5785</v>
      </c>
      <c r="D1962" s="1">
        <f t="shared" si="157"/>
        <v>1281</v>
      </c>
      <c r="E1962" s="1">
        <f t="shared" si="158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5"/>
        <v>44677</v>
      </c>
      <c r="C1963" s="1">
        <f t="shared" si="156"/>
        <v>5750</v>
      </c>
      <c r="D1963" s="1">
        <f t="shared" si="157"/>
        <v>1281</v>
      </c>
      <c r="E1963" s="1">
        <f t="shared" si="158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5"/>
        <v>44678</v>
      </c>
      <c r="C1964" s="1">
        <f t="shared" si="156"/>
        <v>5751</v>
      </c>
      <c r="D1964" s="1">
        <f t="shared" si="157"/>
        <v>1281</v>
      </c>
      <c r="E1964" s="1">
        <f t="shared" si="158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5"/>
        <v>44679</v>
      </c>
      <c r="C1965" s="1">
        <f t="shared" si="156"/>
        <v>5758</v>
      </c>
      <c r="D1965" s="1">
        <f t="shared" si="157"/>
        <v>1241</v>
      </c>
      <c r="E1965" s="1">
        <f t="shared" si="158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5"/>
        <v>44680</v>
      </c>
      <c r="C1966" s="1">
        <f t="shared" si="156"/>
        <v>5782</v>
      </c>
      <c r="D1966" s="1">
        <f t="shared" si="157"/>
        <v>1211</v>
      </c>
      <c r="E1966" s="1">
        <f t="shared" si="158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5"/>
        <v>44683</v>
      </c>
      <c r="C1967" s="1">
        <f t="shared" si="156"/>
        <v>5782</v>
      </c>
      <c r="D1967" s="1">
        <f t="shared" si="157"/>
        <v>1211</v>
      </c>
      <c r="E1967" s="1">
        <f t="shared" si="158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5"/>
        <v>44685</v>
      </c>
      <c r="C1968" s="1">
        <f t="shared" si="156"/>
        <v>5782</v>
      </c>
      <c r="D1968" s="1">
        <f t="shared" si="157"/>
        <v>1211</v>
      </c>
      <c r="E1968" s="1">
        <f t="shared" si="158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5"/>
        <v>44686</v>
      </c>
      <c r="C1969" s="1">
        <f t="shared" si="156"/>
        <v>5851</v>
      </c>
      <c r="D1969" s="1">
        <f t="shared" si="157"/>
        <v>1211</v>
      </c>
      <c r="E1969" s="1">
        <f t="shared" si="158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5"/>
        <v>44687</v>
      </c>
      <c r="C1970" s="1">
        <f t="shared" si="156"/>
        <v>5882</v>
      </c>
      <c r="D1970" s="1">
        <f t="shared" si="157"/>
        <v>1191</v>
      </c>
      <c r="E1970" s="1">
        <f t="shared" si="158"/>
        <v>3110</v>
      </c>
      <c r="F1970" s="1">
        <f t="shared" ref="F1970:F2033" si="159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5"/>
        <v>44688</v>
      </c>
      <c r="C1971" s="1">
        <f t="shared" si="156"/>
        <v>5880</v>
      </c>
      <c r="D1971" s="1">
        <f t="shared" si="157"/>
        <v>1191</v>
      </c>
      <c r="E1971" s="1">
        <f t="shared" si="158"/>
        <v>3150</v>
      </c>
      <c r="F1971" s="1">
        <f t="shared" si="159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5"/>
        <v>44690</v>
      </c>
      <c r="C1972" s="1">
        <f t="shared" si="156"/>
        <v>5908</v>
      </c>
      <c r="D1972" s="1">
        <f t="shared" si="157"/>
        <v>1191</v>
      </c>
      <c r="E1972" s="1">
        <f t="shared" si="158"/>
        <v>3190</v>
      </c>
      <c r="F1972" s="1">
        <f t="shared" si="159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5"/>
        <v>44691</v>
      </c>
      <c r="C1973" s="1">
        <f t="shared" si="156"/>
        <v>5899</v>
      </c>
      <c r="D1973" s="1">
        <f t="shared" si="157"/>
        <v>1191</v>
      </c>
      <c r="E1973" s="1">
        <f t="shared" si="158"/>
        <v>3240</v>
      </c>
      <c r="F1973" s="1">
        <f t="shared" si="159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5"/>
        <v>44692</v>
      </c>
      <c r="C1974" s="1">
        <f t="shared" si="156"/>
        <v>5929</v>
      </c>
      <c r="D1974" s="1">
        <f t="shared" si="157"/>
        <v>1171</v>
      </c>
      <c r="E1974" s="1">
        <f t="shared" si="158"/>
        <v>3250</v>
      </c>
      <c r="F1974" s="1">
        <f t="shared" si="159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5"/>
        <v>44693</v>
      </c>
      <c r="C1975" s="1">
        <f t="shared" si="156"/>
        <v>5969</v>
      </c>
      <c r="D1975" s="1">
        <f t="shared" si="157"/>
        <v>1171</v>
      </c>
      <c r="E1975" s="1">
        <f t="shared" si="158"/>
        <v>3265</v>
      </c>
      <c r="F1975" s="1">
        <f t="shared" si="159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5"/>
        <v>44694</v>
      </c>
      <c r="C1976" s="1">
        <f t="shared" si="156"/>
        <v>5996</v>
      </c>
      <c r="D1976" s="1">
        <f t="shared" si="157"/>
        <v>1171</v>
      </c>
      <c r="E1976" s="1">
        <f t="shared" si="158"/>
        <v>3265</v>
      </c>
      <c r="F1976" s="1">
        <f t="shared" si="159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5"/>
        <v>44697</v>
      </c>
      <c r="C1977" s="1">
        <f t="shared" si="156"/>
        <v>6014</v>
      </c>
      <c r="D1977" s="1">
        <f t="shared" si="157"/>
        <v>1171</v>
      </c>
      <c r="E1977" s="1">
        <f t="shared" si="158"/>
        <v>3265</v>
      </c>
      <c r="F1977" s="1">
        <f t="shared" si="159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5"/>
        <v>44698</v>
      </c>
      <c r="C1978" s="1">
        <f t="shared" si="156"/>
        <v>6010</v>
      </c>
      <c r="D1978" s="1">
        <f t="shared" si="157"/>
        <v>1151</v>
      </c>
      <c r="E1978" s="1">
        <f t="shared" si="158"/>
        <v>3265</v>
      </c>
      <c r="F1978" s="1">
        <f t="shared" si="159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5"/>
        <v>44699</v>
      </c>
      <c r="C1979" s="1">
        <f t="shared" si="156"/>
        <v>6009</v>
      </c>
      <c r="D1979" s="1">
        <f t="shared" si="157"/>
        <v>1101</v>
      </c>
      <c r="E1979" s="1">
        <f t="shared" si="158"/>
        <v>3265</v>
      </c>
      <c r="F1979" s="1">
        <f t="shared" si="159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5"/>
        <v>44700</v>
      </c>
      <c r="C1980" s="1">
        <f t="shared" si="156"/>
        <v>5989</v>
      </c>
      <c r="D1980" s="1">
        <f t="shared" si="157"/>
        <v>1101</v>
      </c>
      <c r="E1980" s="1">
        <f t="shared" si="158"/>
        <v>3270</v>
      </c>
      <c r="F1980" s="1">
        <f t="shared" si="159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5"/>
        <v>44701</v>
      </c>
      <c r="C1981" s="1">
        <f t="shared" si="156"/>
        <v>5986</v>
      </c>
      <c r="D1981" s="1">
        <f t="shared" si="157"/>
        <v>1101</v>
      </c>
      <c r="E1981" s="1">
        <f t="shared" si="158"/>
        <v>3270</v>
      </c>
      <c r="F1981" s="1">
        <f t="shared" si="159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5"/>
        <v>44704</v>
      </c>
      <c r="C1982" s="1">
        <f t="shared" si="156"/>
        <v>6016</v>
      </c>
      <c r="D1982" s="1">
        <f t="shared" si="157"/>
        <v>1101</v>
      </c>
      <c r="E1982" s="1">
        <f t="shared" si="158"/>
        <v>3260</v>
      </c>
      <c r="F1982" s="1">
        <f t="shared" si="159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5"/>
        <v>44705</v>
      </c>
      <c r="C1983" s="1">
        <f t="shared" si="156"/>
        <v>6019</v>
      </c>
      <c r="D1983" s="1">
        <f t="shared" si="157"/>
        <v>1101</v>
      </c>
      <c r="E1983" s="1">
        <f t="shared" si="158"/>
        <v>3245</v>
      </c>
      <c r="F1983" s="1">
        <f t="shared" si="159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5"/>
        <v>44706</v>
      </c>
      <c r="C1984" s="1">
        <f t="shared" si="156"/>
        <v>6010</v>
      </c>
      <c r="D1984" s="1">
        <f t="shared" si="157"/>
        <v>1071</v>
      </c>
      <c r="E1984" s="1">
        <f t="shared" si="158"/>
        <v>3245</v>
      </c>
      <c r="F1984" s="1">
        <f t="shared" si="159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5"/>
        <v>44707</v>
      </c>
      <c r="C1985" s="1">
        <f t="shared" si="156"/>
        <v>6004</v>
      </c>
      <c r="D1985" s="1">
        <f t="shared" si="157"/>
        <v>1071</v>
      </c>
      <c r="E1985" s="1">
        <f t="shared" si="158"/>
        <v>3245</v>
      </c>
      <c r="F1985" s="1">
        <f t="shared" si="159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5"/>
        <v>44708</v>
      </c>
      <c r="C1986" s="1">
        <f t="shared" si="156"/>
        <v>6022</v>
      </c>
      <c r="D1986" s="1">
        <f t="shared" si="157"/>
        <v>1051</v>
      </c>
      <c r="E1986" s="1">
        <f t="shared" si="158"/>
        <v>3245</v>
      </c>
      <c r="F1986" s="1">
        <f t="shared" si="159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5"/>
        <v>44711</v>
      </c>
      <c r="C1987" s="1">
        <f t="shared" si="156"/>
        <v>6029</v>
      </c>
      <c r="D1987" s="1">
        <f t="shared" si="157"/>
        <v>1051</v>
      </c>
      <c r="E1987" s="1">
        <f t="shared" si="158"/>
        <v>3240</v>
      </c>
      <c r="F1987" s="1">
        <f t="shared" si="159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5"/>
        <v>44712</v>
      </c>
      <c r="C1988" s="1">
        <f t="shared" si="156"/>
        <v>6052</v>
      </c>
      <c r="D1988" s="1">
        <f t="shared" si="157"/>
        <v>1051</v>
      </c>
      <c r="E1988" s="1">
        <f t="shared" si="158"/>
        <v>3235</v>
      </c>
      <c r="F1988" s="1">
        <f t="shared" si="159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5"/>
        <v>44713</v>
      </c>
      <c r="C1989" s="1">
        <f t="shared" si="156"/>
        <v>6044</v>
      </c>
      <c r="D1989" s="1">
        <f t="shared" si="157"/>
        <v>1051</v>
      </c>
      <c r="E1989" s="1">
        <f t="shared" si="158"/>
        <v>3235</v>
      </c>
      <c r="F1989" s="1">
        <f t="shared" si="159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60">L1990</f>
        <v>44714</v>
      </c>
      <c r="C1990" s="1">
        <f t="shared" si="156"/>
        <v>6038</v>
      </c>
      <c r="D1990" s="1">
        <f t="shared" si="157"/>
        <v>1031</v>
      </c>
      <c r="E1990" s="1">
        <f t="shared" si="158"/>
        <v>3240</v>
      </c>
      <c r="F1990" s="1">
        <f t="shared" si="159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60"/>
        <v>44715</v>
      </c>
      <c r="C1991" s="1">
        <f t="shared" ref="C1991:C2054" si="161">IF(M1991&lt;&gt;0,M1991,C1990)</f>
        <v>6038</v>
      </c>
      <c r="D1991" s="1">
        <f t="shared" ref="D1991:D2054" si="162">IF(N1991&lt;&gt;0,N1991,D1990)</f>
        <v>1031</v>
      </c>
      <c r="E1991" s="1">
        <f t="shared" ref="E1991:E2054" si="163">IF(O1991&lt;&gt;0,O1991,E1990)</f>
        <v>3240</v>
      </c>
      <c r="F1991" s="1">
        <f t="shared" si="159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60"/>
        <v>44718</v>
      </c>
      <c r="C1992" s="1">
        <f t="shared" si="161"/>
        <v>6119</v>
      </c>
      <c r="D1992" s="1">
        <f t="shared" si="162"/>
        <v>1031</v>
      </c>
      <c r="E1992" s="1">
        <f t="shared" si="163"/>
        <v>3245</v>
      </c>
      <c r="F1992" s="1">
        <f t="shared" si="159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60"/>
        <v>44719</v>
      </c>
      <c r="C1993" s="1">
        <f t="shared" si="161"/>
        <v>6161</v>
      </c>
      <c r="D1993" s="1">
        <f t="shared" si="162"/>
        <v>1031</v>
      </c>
      <c r="E1993" s="1">
        <f t="shared" si="163"/>
        <v>3255</v>
      </c>
      <c r="F1993" s="1">
        <f t="shared" si="159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60"/>
        <v>44720</v>
      </c>
      <c r="C1994" s="1">
        <f t="shared" si="161"/>
        <v>6205</v>
      </c>
      <c r="D1994" s="1">
        <f t="shared" si="162"/>
        <v>1031</v>
      </c>
      <c r="E1994" s="1">
        <f t="shared" si="163"/>
        <v>3275</v>
      </c>
      <c r="F1994" s="1">
        <f t="shared" si="159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60"/>
        <v>44721</v>
      </c>
      <c r="C1995" s="1">
        <f t="shared" si="161"/>
        <v>6210</v>
      </c>
      <c r="D1995" s="1">
        <f t="shared" si="162"/>
        <v>1031</v>
      </c>
      <c r="E1995" s="1">
        <f t="shared" si="163"/>
        <v>3290</v>
      </c>
      <c r="F1995" s="1">
        <f t="shared" si="159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60"/>
        <v>44722</v>
      </c>
      <c r="C1996" s="1">
        <f t="shared" si="161"/>
        <v>6243</v>
      </c>
      <c r="D1996" s="1">
        <f t="shared" si="162"/>
        <v>1011</v>
      </c>
      <c r="E1996" s="1">
        <f t="shared" si="163"/>
        <v>3295</v>
      </c>
      <c r="F1996" s="1">
        <f t="shared" si="159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60"/>
        <v>44725</v>
      </c>
      <c r="C1997" s="1">
        <f t="shared" si="161"/>
        <v>6178</v>
      </c>
      <c r="D1997" s="1">
        <f t="shared" si="162"/>
        <v>1011</v>
      </c>
      <c r="E1997" s="1">
        <f t="shared" si="163"/>
        <v>3290</v>
      </c>
      <c r="F1997" s="1">
        <f t="shared" si="159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60"/>
        <v>44726</v>
      </c>
      <c r="C1998" s="1">
        <f t="shared" si="161"/>
        <v>6128</v>
      </c>
      <c r="D1998" s="1">
        <f t="shared" si="162"/>
        <v>1011</v>
      </c>
      <c r="E1998" s="1">
        <f t="shared" si="163"/>
        <v>3270</v>
      </c>
      <c r="F1998" s="1">
        <f t="shared" si="159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60"/>
        <v>44727</v>
      </c>
      <c r="C1999" s="1">
        <f t="shared" si="161"/>
        <v>6097</v>
      </c>
      <c r="D1999" s="1">
        <f t="shared" si="162"/>
        <v>1011</v>
      </c>
      <c r="E1999" s="1">
        <f t="shared" si="163"/>
        <v>3250</v>
      </c>
      <c r="F1999" s="1">
        <f t="shared" si="159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60"/>
        <v>44728</v>
      </c>
      <c r="C2000" s="1">
        <f t="shared" si="161"/>
        <v>6034</v>
      </c>
      <c r="D2000" s="1">
        <f t="shared" si="162"/>
        <v>1011</v>
      </c>
      <c r="E2000" s="1">
        <f t="shared" si="163"/>
        <v>3220</v>
      </c>
      <c r="F2000" s="1">
        <f t="shared" si="159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60"/>
        <v>44729</v>
      </c>
      <c r="C2001" s="1">
        <f t="shared" si="161"/>
        <v>5975</v>
      </c>
      <c r="D2001" s="1">
        <f t="shared" si="162"/>
        <v>991</v>
      </c>
      <c r="E2001" s="1">
        <f t="shared" si="163"/>
        <v>3210</v>
      </c>
      <c r="F2001" s="1">
        <f t="shared" si="159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60"/>
        <v>44732</v>
      </c>
      <c r="C2002" s="1">
        <f t="shared" si="161"/>
        <v>5945</v>
      </c>
      <c r="D2002" s="1">
        <f t="shared" si="162"/>
        <v>991</v>
      </c>
      <c r="E2002" s="1">
        <f t="shared" si="163"/>
        <v>3135</v>
      </c>
      <c r="F2002" s="1">
        <f t="shared" si="159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60"/>
        <v>44733</v>
      </c>
      <c r="C2003" s="1">
        <f t="shared" si="161"/>
        <v>5923</v>
      </c>
      <c r="D2003" s="1">
        <f t="shared" si="162"/>
        <v>991</v>
      </c>
      <c r="E2003" s="1">
        <f t="shared" si="163"/>
        <v>3110</v>
      </c>
      <c r="F2003" s="1">
        <f t="shared" si="159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60"/>
        <v>44734</v>
      </c>
      <c r="C2004" s="1">
        <f t="shared" si="161"/>
        <v>5877</v>
      </c>
      <c r="D2004" s="1">
        <f t="shared" si="162"/>
        <v>981</v>
      </c>
      <c r="E2004" s="1">
        <f t="shared" si="163"/>
        <v>3110</v>
      </c>
      <c r="F2004" s="1">
        <f t="shared" si="159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60"/>
        <v>44735</v>
      </c>
      <c r="C2005" s="1">
        <f t="shared" si="161"/>
        <v>5822</v>
      </c>
      <c r="D2005" s="1">
        <f t="shared" si="162"/>
        <v>981</v>
      </c>
      <c r="E2005" s="1">
        <f t="shared" si="163"/>
        <v>3120</v>
      </c>
      <c r="F2005" s="1">
        <f t="shared" si="159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60"/>
        <v>44736</v>
      </c>
      <c r="C2006" s="1">
        <f t="shared" si="161"/>
        <v>5787</v>
      </c>
      <c r="D2006" s="1">
        <f t="shared" si="162"/>
        <v>981</v>
      </c>
      <c r="E2006" s="1">
        <f t="shared" si="163"/>
        <v>3125</v>
      </c>
      <c r="F2006" s="1">
        <f t="shared" si="159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60"/>
        <v>44739</v>
      </c>
      <c r="C2007" s="1">
        <f t="shared" si="161"/>
        <v>5756</v>
      </c>
      <c r="D2007" s="1">
        <f t="shared" si="162"/>
        <v>981</v>
      </c>
      <c r="E2007" s="1">
        <f t="shared" si="163"/>
        <v>3125</v>
      </c>
      <c r="F2007" s="1">
        <f t="shared" si="159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60"/>
        <v>44740</v>
      </c>
      <c r="C2008" s="1">
        <f t="shared" si="161"/>
        <v>5751</v>
      </c>
      <c r="D2008" s="1">
        <f t="shared" si="162"/>
        <v>981</v>
      </c>
      <c r="E2008" s="1">
        <f t="shared" si="163"/>
        <v>3120</v>
      </c>
      <c r="F2008" s="1">
        <f t="shared" si="159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60"/>
        <v>44741</v>
      </c>
      <c r="C2009" s="1">
        <f t="shared" si="161"/>
        <v>5736</v>
      </c>
      <c r="D2009" s="1">
        <f t="shared" si="162"/>
        <v>951</v>
      </c>
      <c r="E2009" s="1">
        <f t="shared" si="163"/>
        <v>3115</v>
      </c>
      <c r="F2009" s="1">
        <f t="shared" si="159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60"/>
        <v>44742</v>
      </c>
      <c r="C2010" s="1">
        <f t="shared" si="161"/>
        <v>5723</v>
      </c>
      <c r="D2010" s="1">
        <f t="shared" si="162"/>
        <v>941</v>
      </c>
      <c r="E2010" s="1">
        <f t="shared" si="163"/>
        <v>3095</v>
      </c>
      <c r="F2010" s="1">
        <f t="shared" si="159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60"/>
        <v>44743</v>
      </c>
      <c r="C2011" s="1">
        <f t="shared" si="161"/>
        <v>5684</v>
      </c>
      <c r="D2011" s="1">
        <f t="shared" si="162"/>
        <v>941</v>
      </c>
      <c r="E2011" s="1">
        <f t="shared" si="163"/>
        <v>3075</v>
      </c>
      <c r="F2011" s="1">
        <f t="shared" si="159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60"/>
        <v>44746</v>
      </c>
      <c r="C2012" s="1">
        <f t="shared" si="161"/>
        <v>5662</v>
      </c>
      <c r="D2012" s="1">
        <f t="shared" si="162"/>
        <v>941</v>
      </c>
      <c r="E2012" s="1">
        <f t="shared" si="163"/>
        <v>2945</v>
      </c>
      <c r="F2012" s="1">
        <f t="shared" si="159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60"/>
        <v>44747</v>
      </c>
      <c r="C2013" s="1">
        <f t="shared" si="161"/>
        <v>5638</v>
      </c>
      <c r="D2013" s="1">
        <f t="shared" si="162"/>
        <v>941</v>
      </c>
      <c r="E2013" s="1">
        <f t="shared" si="163"/>
        <v>2945</v>
      </c>
      <c r="F2013" s="1">
        <f t="shared" si="159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60"/>
        <v>44748</v>
      </c>
      <c r="C2014" s="1">
        <f t="shared" si="161"/>
        <v>5559</v>
      </c>
      <c r="D2014" s="1">
        <f t="shared" si="162"/>
        <v>921</v>
      </c>
      <c r="E2014" s="1">
        <f t="shared" si="163"/>
        <v>2895</v>
      </c>
      <c r="F2014" s="1">
        <f t="shared" si="159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60"/>
        <v>44749</v>
      </c>
      <c r="C2015" s="1">
        <f t="shared" si="161"/>
        <v>5511</v>
      </c>
      <c r="D2015" s="1">
        <f t="shared" si="162"/>
        <v>921</v>
      </c>
      <c r="E2015" s="1">
        <f t="shared" si="163"/>
        <v>2850</v>
      </c>
      <c r="F2015" s="1">
        <f t="shared" si="159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60"/>
        <v>44750</v>
      </c>
      <c r="C2016" s="1">
        <f t="shared" si="161"/>
        <v>5487</v>
      </c>
      <c r="D2016" s="1">
        <f t="shared" si="162"/>
        <v>921</v>
      </c>
      <c r="E2016" s="1">
        <f t="shared" si="163"/>
        <v>2810</v>
      </c>
      <c r="F2016" s="1">
        <f t="shared" si="159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60"/>
        <v>44753</v>
      </c>
      <c r="C2017" s="1">
        <f t="shared" si="161"/>
        <v>5421</v>
      </c>
      <c r="D2017" s="1">
        <f t="shared" si="162"/>
        <v>921</v>
      </c>
      <c r="E2017" s="1">
        <f t="shared" si="163"/>
        <v>2680</v>
      </c>
      <c r="F2017" s="1">
        <f t="shared" si="159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60"/>
        <v>44754</v>
      </c>
      <c r="C2018" s="1">
        <f t="shared" si="161"/>
        <v>5352</v>
      </c>
      <c r="D2018" s="1">
        <f t="shared" si="162"/>
        <v>891</v>
      </c>
      <c r="E2018" s="1">
        <f t="shared" si="163"/>
        <v>2640</v>
      </c>
      <c r="F2018" s="1">
        <f t="shared" si="159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60"/>
        <v>44755</v>
      </c>
      <c r="C2019" s="1">
        <f t="shared" si="161"/>
        <v>5280</v>
      </c>
      <c r="D2019" s="1">
        <f t="shared" si="162"/>
        <v>891</v>
      </c>
      <c r="E2019" s="1">
        <f t="shared" si="163"/>
        <v>2615</v>
      </c>
      <c r="F2019" s="1">
        <f t="shared" si="159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60"/>
        <v>44756</v>
      </c>
      <c r="C2020" s="1">
        <f t="shared" si="161"/>
        <v>5250</v>
      </c>
      <c r="D2020" s="1">
        <f t="shared" si="162"/>
        <v>881</v>
      </c>
      <c r="E2020" s="1">
        <f t="shared" si="163"/>
        <v>2610</v>
      </c>
      <c r="F2020" s="1">
        <f t="shared" si="159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60"/>
        <v>44757</v>
      </c>
      <c r="C2021" s="1">
        <f t="shared" si="161"/>
        <v>5192</v>
      </c>
      <c r="D2021" s="1">
        <f t="shared" si="162"/>
        <v>861</v>
      </c>
      <c r="E2021" s="1">
        <f t="shared" si="163"/>
        <v>2615</v>
      </c>
      <c r="F2021" s="1">
        <f t="shared" si="159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60"/>
        <v>44760</v>
      </c>
      <c r="C2022" s="1">
        <f t="shared" si="161"/>
        <v>5189</v>
      </c>
      <c r="D2022" s="1">
        <f t="shared" si="162"/>
        <v>861</v>
      </c>
      <c r="E2022" s="1">
        <f t="shared" si="163"/>
        <v>2640</v>
      </c>
      <c r="F2022" s="1">
        <f t="shared" si="159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60"/>
        <v>44761</v>
      </c>
      <c r="C2023" s="1">
        <f t="shared" si="161"/>
        <v>5175</v>
      </c>
      <c r="D2023" s="1">
        <f t="shared" si="162"/>
        <v>861</v>
      </c>
      <c r="E2023" s="1">
        <f t="shared" si="163"/>
        <v>2650</v>
      </c>
      <c r="F2023" s="1">
        <f t="shared" si="159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60"/>
        <v>44762</v>
      </c>
      <c r="C2024" s="1">
        <f t="shared" si="161"/>
        <v>5153</v>
      </c>
      <c r="D2024" s="1">
        <f t="shared" si="162"/>
        <v>861</v>
      </c>
      <c r="E2024" s="1">
        <f t="shared" si="163"/>
        <v>2655</v>
      </c>
      <c r="F2024" s="1">
        <f t="shared" si="159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60"/>
        <v>44763</v>
      </c>
      <c r="C2025" s="1">
        <f t="shared" si="161"/>
        <v>5123</v>
      </c>
      <c r="D2025" s="1">
        <f t="shared" si="162"/>
        <v>861</v>
      </c>
      <c r="E2025" s="1">
        <f t="shared" si="163"/>
        <v>2655</v>
      </c>
      <c r="F2025" s="1">
        <f t="shared" si="159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60"/>
        <v>44764</v>
      </c>
      <c r="C2026" s="1">
        <f t="shared" si="161"/>
        <v>5117</v>
      </c>
      <c r="D2026" s="1">
        <f t="shared" si="162"/>
        <v>891</v>
      </c>
      <c r="E2026" s="1">
        <f t="shared" si="163"/>
        <v>2640</v>
      </c>
      <c r="F2026" s="1">
        <f t="shared" si="159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60"/>
        <v>44767</v>
      </c>
      <c r="C2027" s="1">
        <f t="shared" si="161"/>
        <v>5118</v>
      </c>
      <c r="D2027" s="1">
        <f t="shared" si="162"/>
        <v>901</v>
      </c>
      <c r="E2027" s="1">
        <f t="shared" si="163"/>
        <v>2570</v>
      </c>
      <c r="F2027" s="1">
        <f t="shared" si="159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60"/>
        <v>44768</v>
      </c>
      <c r="C2028" s="1">
        <f t="shared" si="161"/>
        <v>5133</v>
      </c>
      <c r="D2028" s="1">
        <f t="shared" si="162"/>
        <v>901</v>
      </c>
      <c r="E2028" s="1">
        <f t="shared" si="163"/>
        <v>2530</v>
      </c>
      <c r="F2028" s="1">
        <f t="shared" si="159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60"/>
        <v>44769</v>
      </c>
      <c r="C2029" s="1">
        <f t="shared" si="161"/>
        <v>5123</v>
      </c>
      <c r="D2029" s="1">
        <f t="shared" si="162"/>
        <v>901</v>
      </c>
      <c r="E2029" s="1">
        <f t="shared" si="163"/>
        <v>2465</v>
      </c>
      <c r="F2029" s="1">
        <f t="shared" si="159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60"/>
        <v>44770</v>
      </c>
      <c r="C2030" s="1">
        <f t="shared" si="161"/>
        <v>5136</v>
      </c>
      <c r="D2030" s="1">
        <f t="shared" si="162"/>
        <v>911</v>
      </c>
      <c r="E2030" s="1">
        <f t="shared" si="163"/>
        <v>2430</v>
      </c>
      <c r="F2030" s="1">
        <f t="shared" si="159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60"/>
        <v>44771</v>
      </c>
      <c r="C2031" s="1">
        <f t="shared" si="161"/>
        <v>5125</v>
      </c>
      <c r="D2031" s="1">
        <f t="shared" si="162"/>
        <v>901</v>
      </c>
      <c r="E2031" s="1">
        <f t="shared" si="163"/>
        <v>2410</v>
      </c>
      <c r="F2031" s="1">
        <f t="shared" si="159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60"/>
        <v>44774</v>
      </c>
      <c r="C2032" s="1">
        <f t="shared" si="161"/>
        <v>5111</v>
      </c>
      <c r="D2032" s="1">
        <f t="shared" si="162"/>
        <v>901</v>
      </c>
      <c r="E2032" s="1">
        <f t="shared" si="163"/>
        <v>2435</v>
      </c>
      <c r="F2032" s="1">
        <f t="shared" si="159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60"/>
        <v>44775</v>
      </c>
      <c r="C2033" s="1">
        <f t="shared" si="161"/>
        <v>5075</v>
      </c>
      <c r="D2033" s="1">
        <f t="shared" si="162"/>
        <v>901</v>
      </c>
      <c r="E2033" s="1">
        <f t="shared" si="163"/>
        <v>2435</v>
      </c>
      <c r="F2033" s="1">
        <f t="shared" si="159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60"/>
        <v>44776</v>
      </c>
      <c r="C2034" s="1">
        <f t="shared" si="161"/>
        <v>5068</v>
      </c>
      <c r="D2034" s="1">
        <f t="shared" si="162"/>
        <v>901</v>
      </c>
      <c r="E2034" s="1">
        <f t="shared" si="163"/>
        <v>2440</v>
      </c>
      <c r="F2034" s="1">
        <f t="shared" ref="F2034:F2097" si="164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60"/>
        <v>44777</v>
      </c>
      <c r="C2035" s="1">
        <f t="shared" si="161"/>
        <v>5047</v>
      </c>
      <c r="D2035" s="1">
        <f t="shared" si="162"/>
        <v>901</v>
      </c>
      <c r="E2035" s="1">
        <f t="shared" si="163"/>
        <v>2440</v>
      </c>
      <c r="F2035" s="1">
        <f t="shared" si="164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60"/>
        <v>44778</v>
      </c>
      <c r="C2036" s="1">
        <f t="shared" si="161"/>
        <v>4999</v>
      </c>
      <c r="D2036" s="1">
        <f t="shared" si="162"/>
        <v>881</v>
      </c>
      <c r="E2036" s="1">
        <f t="shared" si="163"/>
        <v>2430</v>
      </c>
      <c r="F2036" s="1">
        <f t="shared" si="164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60"/>
        <v>44781</v>
      </c>
      <c r="C2037" s="1">
        <f t="shared" si="161"/>
        <v>4988</v>
      </c>
      <c r="D2037" s="1">
        <f t="shared" si="162"/>
        <v>881</v>
      </c>
      <c r="E2037" s="1">
        <f t="shared" si="163"/>
        <v>2385</v>
      </c>
      <c r="F2037" s="1">
        <f t="shared" si="164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60"/>
        <v>44782</v>
      </c>
      <c r="C2038" s="1">
        <f t="shared" si="161"/>
        <v>4977</v>
      </c>
      <c r="D2038" s="1">
        <f t="shared" si="162"/>
        <v>881</v>
      </c>
      <c r="E2038" s="1">
        <f t="shared" si="163"/>
        <v>2360</v>
      </c>
      <c r="F2038" s="1">
        <f t="shared" si="164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60"/>
        <v>44783</v>
      </c>
      <c r="C2039" s="1">
        <f t="shared" si="161"/>
        <v>4964</v>
      </c>
      <c r="D2039" s="1">
        <f t="shared" si="162"/>
        <v>861</v>
      </c>
      <c r="E2039" s="1">
        <f t="shared" si="163"/>
        <v>2355</v>
      </c>
      <c r="F2039" s="1">
        <f t="shared" si="164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60"/>
        <v>44784</v>
      </c>
      <c r="C2040" s="1">
        <f t="shared" si="161"/>
        <v>4969</v>
      </c>
      <c r="D2040" s="1">
        <f t="shared" si="162"/>
        <v>851</v>
      </c>
      <c r="E2040" s="1">
        <f t="shared" si="163"/>
        <v>2355</v>
      </c>
      <c r="F2040" s="1">
        <f t="shared" si="164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60"/>
        <v>44785</v>
      </c>
      <c r="C2041" s="1">
        <f t="shared" si="161"/>
        <v>4983</v>
      </c>
      <c r="D2041" s="1">
        <f t="shared" si="162"/>
        <v>821</v>
      </c>
      <c r="E2041" s="1">
        <f t="shared" si="163"/>
        <v>2370</v>
      </c>
      <c r="F2041" s="1">
        <f t="shared" si="164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60"/>
        <v>44788</v>
      </c>
      <c r="C2042" s="1">
        <f t="shared" si="161"/>
        <v>4983</v>
      </c>
      <c r="D2042" s="1">
        <f t="shared" si="162"/>
        <v>821</v>
      </c>
      <c r="E2042" s="1">
        <f t="shared" si="163"/>
        <v>2375</v>
      </c>
      <c r="F2042" s="1">
        <f t="shared" si="164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60"/>
        <v>44789</v>
      </c>
      <c r="C2043" s="1">
        <f t="shared" si="161"/>
        <v>4949</v>
      </c>
      <c r="D2043" s="1">
        <f t="shared" si="162"/>
        <v>821</v>
      </c>
      <c r="E2043" s="1">
        <f t="shared" si="163"/>
        <v>2375</v>
      </c>
      <c r="F2043" s="1">
        <f t="shared" si="164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60"/>
        <v>44790</v>
      </c>
      <c r="C2044" s="1">
        <f t="shared" si="161"/>
        <v>4922</v>
      </c>
      <c r="D2044" s="1">
        <f t="shared" si="162"/>
        <v>821</v>
      </c>
      <c r="E2044" s="1">
        <f t="shared" si="163"/>
        <v>2375</v>
      </c>
      <c r="F2044" s="1">
        <f t="shared" si="164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60"/>
        <v>44791</v>
      </c>
      <c r="C2045" s="1">
        <f t="shared" si="161"/>
        <v>4906</v>
      </c>
      <c r="D2045" s="1">
        <f t="shared" si="162"/>
        <v>821</v>
      </c>
      <c r="E2045" s="1">
        <f t="shared" si="163"/>
        <v>2365</v>
      </c>
      <c r="F2045" s="1">
        <f t="shared" si="164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60"/>
        <v>44792</v>
      </c>
      <c r="C2046" s="1">
        <f t="shared" si="161"/>
        <v>4902</v>
      </c>
      <c r="D2046" s="1">
        <f t="shared" si="162"/>
        <v>821</v>
      </c>
      <c r="E2046" s="1">
        <f t="shared" si="163"/>
        <v>2365</v>
      </c>
      <c r="F2046" s="1">
        <f t="shared" si="164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60"/>
        <v>44795</v>
      </c>
      <c r="C2047" s="1">
        <f t="shared" si="161"/>
        <v>4908</v>
      </c>
      <c r="D2047" s="1">
        <f t="shared" si="162"/>
        <v>821</v>
      </c>
      <c r="E2047" s="1">
        <f t="shared" si="163"/>
        <v>2335</v>
      </c>
      <c r="F2047" s="1">
        <f t="shared" si="164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60"/>
        <v>44796</v>
      </c>
      <c r="C2048" s="1">
        <f t="shared" si="161"/>
        <v>4914</v>
      </c>
      <c r="D2048" s="1">
        <f t="shared" si="162"/>
        <v>821</v>
      </c>
      <c r="E2048" s="1">
        <f t="shared" si="163"/>
        <v>2335</v>
      </c>
      <c r="F2048" s="1">
        <f t="shared" si="164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60"/>
        <v>44797</v>
      </c>
      <c r="C2049" s="1">
        <f t="shared" si="161"/>
        <v>4932</v>
      </c>
      <c r="D2049" s="1">
        <f t="shared" si="162"/>
        <v>821</v>
      </c>
      <c r="E2049" s="1">
        <f t="shared" si="163"/>
        <v>2355</v>
      </c>
      <c r="F2049" s="1">
        <f t="shared" si="164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60"/>
        <v>44798</v>
      </c>
      <c r="C2050" s="1">
        <f t="shared" si="161"/>
        <v>4953</v>
      </c>
      <c r="D2050" s="1">
        <f t="shared" si="162"/>
        <v>821</v>
      </c>
      <c r="E2050" s="1">
        <f t="shared" si="163"/>
        <v>2370</v>
      </c>
      <c r="F2050" s="1">
        <f t="shared" si="164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60"/>
        <v>44799</v>
      </c>
      <c r="C2051" s="1">
        <f t="shared" si="161"/>
        <v>4952</v>
      </c>
      <c r="D2051" s="1">
        <f t="shared" si="162"/>
        <v>861</v>
      </c>
      <c r="E2051" s="1">
        <f t="shared" si="163"/>
        <v>2385</v>
      </c>
      <c r="F2051" s="1">
        <f t="shared" si="164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60"/>
        <v>44802</v>
      </c>
      <c r="C2052" s="1">
        <f t="shared" si="161"/>
        <v>4962</v>
      </c>
      <c r="D2052" s="1">
        <f t="shared" si="162"/>
        <v>861</v>
      </c>
      <c r="E2052" s="1">
        <f t="shared" si="163"/>
        <v>2390</v>
      </c>
      <c r="F2052" s="1">
        <f t="shared" si="164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60"/>
        <v>44803</v>
      </c>
      <c r="C2053" s="1">
        <f t="shared" si="161"/>
        <v>4972</v>
      </c>
      <c r="D2053" s="1">
        <f t="shared" si="162"/>
        <v>901</v>
      </c>
      <c r="E2053" s="1">
        <f t="shared" si="163"/>
        <v>2390</v>
      </c>
      <c r="F2053" s="1">
        <f t="shared" si="164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5">L2054</f>
        <v>44804</v>
      </c>
      <c r="C2054" s="1">
        <f t="shared" si="161"/>
        <v>4978</v>
      </c>
      <c r="D2054" s="1">
        <f t="shared" si="162"/>
        <v>951</v>
      </c>
      <c r="E2054" s="1">
        <f t="shared" si="163"/>
        <v>2385</v>
      </c>
      <c r="F2054" s="1">
        <f t="shared" si="164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5"/>
        <v>44805</v>
      </c>
      <c r="C2055" s="1">
        <f t="shared" ref="C2055:C2118" si="166">IF(M2055&lt;&gt;0,M2055,C2054)</f>
        <v>4993</v>
      </c>
      <c r="D2055" s="1">
        <f t="shared" ref="D2055:D2118" si="167">IF(N2055&lt;&gt;0,N2055,D2054)</f>
        <v>951</v>
      </c>
      <c r="E2055" s="1">
        <f t="shared" ref="E2055:E2118" si="168">IF(O2055&lt;&gt;0,O2055,E2054)</f>
        <v>2385</v>
      </c>
      <c r="F2055" s="1">
        <f t="shared" si="164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5"/>
        <v>44806</v>
      </c>
      <c r="C2056" s="1">
        <f t="shared" si="166"/>
        <v>5000</v>
      </c>
      <c r="D2056" s="1">
        <f t="shared" si="167"/>
        <v>971</v>
      </c>
      <c r="E2056" s="1">
        <f t="shared" si="168"/>
        <v>2395</v>
      </c>
      <c r="F2056" s="1">
        <f t="shared" si="164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5"/>
        <v>44809</v>
      </c>
      <c r="C2057" s="1">
        <f t="shared" si="166"/>
        <v>5077</v>
      </c>
      <c r="D2057" s="1">
        <f t="shared" si="167"/>
        <v>1001</v>
      </c>
      <c r="E2057" s="1">
        <f t="shared" si="168"/>
        <v>2445</v>
      </c>
      <c r="F2057" s="1">
        <f t="shared" si="164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5"/>
        <v>44810</v>
      </c>
      <c r="C2058" s="1">
        <f t="shared" si="166"/>
        <v>5114</v>
      </c>
      <c r="D2058" s="1">
        <f t="shared" si="167"/>
        <v>1001</v>
      </c>
      <c r="E2058" s="1">
        <f t="shared" si="168"/>
        <v>2495</v>
      </c>
      <c r="F2058" s="1">
        <f t="shared" si="164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5"/>
        <v>44811</v>
      </c>
      <c r="C2059" s="1">
        <f t="shared" si="166"/>
        <v>5096</v>
      </c>
      <c r="D2059" s="1">
        <f t="shared" si="167"/>
        <v>1001</v>
      </c>
      <c r="E2059" s="1">
        <f t="shared" si="168"/>
        <v>2520</v>
      </c>
      <c r="F2059" s="1">
        <f t="shared" si="164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5"/>
        <v>44812</v>
      </c>
      <c r="C2060" s="1">
        <f t="shared" si="166"/>
        <v>5101</v>
      </c>
      <c r="D2060" s="1">
        <f t="shared" si="167"/>
        <v>1001</v>
      </c>
      <c r="E2060" s="1">
        <f t="shared" si="168"/>
        <v>2520</v>
      </c>
      <c r="F2060" s="1">
        <f t="shared" si="164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5"/>
        <v>44813</v>
      </c>
      <c r="C2061" s="1">
        <f t="shared" si="166"/>
        <v>5125</v>
      </c>
      <c r="D2061" s="1">
        <f t="shared" si="167"/>
        <v>1001</v>
      </c>
      <c r="E2061" s="1">
        <f t="shared" si="168"/>
        <v>2520</v>
      </c>
      <c r="F2061" s="1">
        <f t="shared" si="164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5"/>
        <v>44816</v>
      </c>
      <c r="C2062" s="1">
        <f t="shared" si="166"/>
        <v>5125</v>
      </c>
      <c r="D2062" s="1">
        <f t="shared" si="167"/>
        <v>1001</v>
      </c>
      <c r="E2062" s="1">
        <f t="shared" si="168"/>
        <v>2520</v>
      </c>
      <c r="F2062" s="1">
        <f t="shared" si="164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5"/>
        <v>44817</v>
      </c>
      <c r="C2063" s="1">
        <f t="shared" si="166"/>
        <v>5169</v>
      </c>
      <c r="D2063" s="1">
        <f t="shared" si="167"/>
        <v>1001</v>
      </c>
      <c r="E2063" s="1">
        <f t="shared" si="168"/>
        <v>2535</v>
      </c>
      <c r="F2063" s="1">
        <f t="shared" si="164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5"/>
        <v>44818</v>
      </c>
      <c r="C2064" s="1">
        <f t="shared" si="166"/>
        <v>5202</v>
      </c>
      <c r="D2064" s="1">
        <f t="shared" si="167"/>
        <v>1001</v>
      </c>
      <c r="E2064" s="1">
        <f t="shared" si="168"/>
        <v>2535</v>
      </c>
      <c r="F2064" s="1">
        <f t="shared" si="164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5"/>
        <v>44819</v>
      </c>
      <c r="C2065" s="1">
        <f t="shared" si="166"/>
        <v>5217</v>
      </c>
      <c r="D2065" s="1">
        <f t="shared" si="167"/>
        <v>971</v>
      </c>
      <c r="E2065" s="1">
        <f t="shared" si="168"/>
        <v>2585</v>
      </c>
      <c r="F2065" s="1">
        <f t="shared" si="164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5"/>
        <v>44820</v>
      </c>
      <c r="C2066" s="1">
        <f t="shared" si="166"/>
        <v>5199</v>
      </c>
      <c r="D2066" s="1">
        <f t="shared" si="167"/>
        <v>971</v>
      </c>
      <c r="E2066" s="1">
        <f t="shared" si="168"/>
        <v>2585</v>
      </c>
      <c r="F2066" s="1">
        <f t="shared" si="164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5"/>
        <v>44823</v>
      </c>
      <c r="C2067" s="1">
        <f t="shared" si="166"/>
        <v>5172</v>
      </c>
      <c r="D2067" s="1">
        <f t="shared" si="167"/>
        <v>971</v>
      </c>
      <c r="E2067" s="1">
        <f t="shared" si="168"/>
        <v>2580</v>
      </c>
      <c r="F2067" s="1">
        <f t="shared" si="164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5"/>
        <v>44824</v>
      </c>
      <c r="C2068" s="1">
        <f t="shared" si="166"/>
        <v>5162</v>
      </c>
      <c r="D2068" s="1">
        <f t="shared" si="167"/>
        <v>971</v>
      </c>
      <c r="E2068" s="1">
        <f t="shared" si="168"/>
        <v>2560</v>
      </c>
      <c r="F2068" s="1">
        <f t="shared" si="164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5"/>
        <v>44825</v>
      </c>
      <c r="C2069" s="1">
        <f t="shared" si="166"/>
        <v>5168</v>
      </c>
      <c r="D2069" s="1">
        <f t="shared" si="167"/>
        <v>941</v>
      </c>
      <c r="E2069" s="1">
        <f t="shared" si="168"/>
        <v>2555</v>
      </c>
      <c r="F2069" s="1">
        <f t="shared" si="164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5"/>
        <v>44826</v>
      </c>
      <c r="C2070" s="1">
        <f t="shared" si="166"/>
        <v>5174</v>
      </c>
      <c r="D2070" s="1">
        <f t="shared" si="167"/>
        <v>941</v>
      </c>
      <c r="E2070" s="1">
        <f t="shared" si="168"/>
        <v>2560</v>
      </c>
      <c r="F2070" s="1">
        <f t="shared" si="164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5"/>
        <v>44827</v>
      </c>
      <c r="C2071" s="1">
        <f t="shared" si="166"/>
        <v>5166</v>
      </c>
      <c r="D2071" s="1">
        <f t="shared" si="167"/>
        <v>901</v>
      </c>
      <c r="E2071" s="1">
        <f t="shared" si="168"/>
        <v>2565</v>
      </c>
      <c r="F2071" s="1">
        <f t="shared" si="164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5"/>
        <v>44830</v>
      </c>
      <c r="C2072" s="1">
        <f t="shared" si="166"/>
        <v>5150</v>
      </c>
      <c r="D2072" s="1">
        <f t="shared" si="167"/>
        <v>901</v>
      </c>
      <c r="E2072" s="1">
        <f t="shared" si="168"/>
        <v>2565</v>
      </c>
      <c r="F2072" s="1">
        <f t="shared" si="164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5"/>
        <v>44831</v>
      </c>
      <c r="C2073" s="1">
        <f t="shared" si="166"/>
        <v>5128</v>
      </c>
      <c r="D2073" s="1">
        <f t="shared" si="167"/>
        <v>901</v>
      </c>
      <c r="E2073" s="1">
        <f t="shared" si="168"/>
        <v>2550</v>
      </c>
      <c r="F2073" s="1">
        <f t="shared" si="164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5"/>
        <v>44832</v>
      </c>
      <c r="C2074" s="1">
        <f t="shared" si="166"/>
        <v>5125</v>
      </c>
      <c r="D2074" s="1">
        <f t="shared" si="167"/>
        <v>891</v>
      </c>
      <c r="E2074" s="1">
        <f t="shared" si="168"/>
        <v>2545</v>
      </c>
      <c r="F2074" s="1">
        <f t="shared" si="164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5"/>
        <v>44833</v>
      </c>
      <c r="C2075" s="1">
        <f t="shared" si="166"/>
        <v>5133</v>
      </c>
      <c r="D2075" s="1">
        <f t="shared" si="167"/>
        <v>851</v>
      </c>
      <c r="E2075" s="1">
        <f t="shared" si="168"/>
        <v>2545</v>
      </c>
      <c r="F2075" s="1">
        <f t="shared" si="164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5"/>
        <v>44834</v>
      </c>
      <c r="C2076" s="1">
        <f t="shared" si="166"/>
        <v>5146</v>
      </c>
      <c r="D2076" s="1">
        <f t="shared" si="167"/>
        <v>851</v>
      </c>
      <c r="E2076" s="1">
        <f t="shared" si="168"/>
        <v>2545</v>
      </c>
      <c r="F2076" s="1">
        <f t="shared" si="164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5"/>
        <v>44837</v>
      </c>
      <c r="C2077" s="1">
        <f t="shared" si="166"/>
        <v>5146</v>
      </c>
      <c r="D2077" s="1">
        <f t="shared" si="167"/>
        <v>866</v>
      </c>
      <c r="E2077" s="1">
        <f t="shared" si="168"/>
        <v>2545</v>
      </c>
      <c r="F2077" s="1">
        <f t="shared" si="164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5"/>
        <v>44838</v>
      </c>
      <c r="C2078" s="1">
        <f t="shared" si="166"/>
        <v>5146</v>
      </c>
      <c r="D2078" s="1">
        <f t="shared" si="167"/>
        <v>861</v>
      </c>
      <c r="E2078" s="1">
        <f t="shared" si="168"/>
        <v>2545</v>
      </c>
      <c r="F2078" s="1">
        <f t="shared" si="164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5"/>
        <v>44839</v>
      </c>
      <c r="C2079" s="1">
        <f t="shared" si="166"/>
        <v>5146</v>
      </c>
      <c r="D2079" s="1">
        <f t="shared" si="167"/>
        <v>861</v>
      </c>
      <c r="E2079" s="1">
        <f t="shared" si="168"/>
        <v>2545</v>
      </c>
      <c r="F2079" s="1">
        <f t="shared" si="164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5"/>
        <v>44840</v>
      </c>
      <c r="C2080" s="1">
        <f t="shared" si="166"/>
        <v>5146</v>
      </c>
      <c r="D2080" s="1">
        <f t="shared" si="167"/>
        <v>841</v>
      </c>
      <c r="E2080" s="1">
        <f t="shared" si="168"/>
        <v>2545</v>
      </c>
      <c r="F2080" s="1">
        <f t="shared" si="164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5"/>
        <v>44841</v>
      </c>
      <c r="C2081" s="1">
        <f t="shared" si="166"/>
        <v>5146</v>
      </c>
      <c r="D2081" s="1">
        <f t="shared" si="167"/>
        <v>831</v>
      </c>
      <c r="E2081" s="1">
        <f t="shared" si="168"/>
        <v>2545</v>
      </c>
      <c r="F2081" s="1">
        <f t="shared" si="164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5"/>
        <v>44842</v>
      </c>
      <c r="C2082" s="1">
        <f t="shared" si="166"/>
        <v>5263</v>
      </c>
      <c r="D2082" s="1">
        <f t="shared" si="167"/>
        <v>831</v>
      </c>
      <c r="E2082" s="1">
        <f t="shared" si="168"/>
        <v>2540</v>
      </c>
      <c r="F2082" s="1">
        <f t="shared" si="164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5"/>
        <v>44843</v>
      </c>
      <c r="C2083" s="1">
        <f t="shared" si="166"/>
        <v>5265</v>
      </c>
      <c r="D2083" s="1">
        <f t="shared" si="167"/>
        <v>831</v>
      </c>
      <c r="E2083" s="1">
        <f t="shared" si="168"/>
        <v>2530</v>
      </c>
      <c r="F2083" s="1">
        <f t="shared" si="164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5"/>
        <v>44844</v>
      </c>
      <c r="C2084" s="1">
        <f t="shared" si="166"/>
        <v>5254</v>
      </c>
      <c r="D2084" s="1">
        <f t="shared" si="167"/>
        <v>831</v>
      </c>
      <c r="E2084" s="1">
        <f t="shared" si="168"/>
        <v>2530</v>
      </c>
      <c r="F2084" s="1">
        <f t="shared" si="164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5"/>
        <v>44845</v>
      </c>
      <c r="C2085" s="1">
        <f t="shared" si="166"/>
        <v>5237</v>
      </c>
      <c r="D2085" s="1">
        <f t="shared" si="167"/>
        <v>831</v>
      </c>
      <c r="E2085" s="1">
        <f t="shared" si="168"/>
        <v>2535</v>
      </c>
      <c r="F2085" s="1">
        <f t="shared" si="164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5"/>
        <v>44846</v>
      </c>
      <c r="C2086" s="1">
        <f t="shared" si="166"/>
        <v>5187</v>
      </c>
      <c r="D2086" s="1">
        <f t="shared" si="167"/>
        <v>831</v>
      </c>
      <c r="E2086" s="1">
        <f t="shared" si="168"/>
        <v>2540</v>
      </c>
      <c r="F2086" s="1">
        <f t="shared" si="164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5"/>
        <v>44847</v>
      </c>
      <c r="C2087" s="1">
        <f t="shared" si="166"/>
        <v>5174</v>
      </c>
      <c r="D2087" s="1">
        <f t="shared" si="167"/>
        <v>851</v>
      </c>
      <c r="E2087" s="1">
        <f t="shared" si="168"/>
        <v>2540</v>
      </c>
      <c r="F2087" s="1">
        <f t="shared" si="164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5"/>
        <v>44848</v>
      </c>
      <c r="C2088" s="1">
        <f t="shared" si="166"/>
        <v>5164</v>
      </c>
      <c r="D2088" s="1">
        <f t="shared" si="167"/>
        <v>851</v>
      </c>
      <c r="E2088" s="1">
        <f t="shared" si="168"/>
        <v>2540</v>
      </c>
      <c r="F2088" s="1">
        <f t="shared" si="164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5"/>
        <v>44851</v>
      </c>
      <c r="C2089" s="1">
        <f t="shared" si="166"/>
        <v>5117</v>
      </c>
      <c r="D2089" s="1">
        <f t="shared" si="167"/>
        <v>851</v>
      </c>
      <c r="E2089" s="1">
        <f t="shared" si="168"/>
        <v>2535</v>
      </c>
      <c r="F2089" s="1">
        <f t="shared" si="164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5"/>
        <v>44852</v>
      </c>
      <c r="C2090" s="1">
        <f t="shared" si="166"/>
        <v>5082</v>
      </c>
      <c r="D2090" s="1">
        <f t="shared" si="167"/>
        <v>851</v>
      </c>
      <c r="E2090" s="1">
        <f t="shared" si="168"/>
        <v>2525</v>
      </c>
      <c r="F2090" s="1">
        <f t="shared" si="164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5"/>
        <v>44853</v>
      </c>
      <c r="C2091" s="1">
        <f t="shared" si="166"/>
        <v>5064</v>
      </c>
      <c r="D2091" s="1">
        <f t="shared" si="167"/>
        <v>851</v>
      </c>
      <c r="E2091" s="1">
        <f t="shared" si="168"/>
        <v>2515</v>
      </c>
      <c r="F2091" s="1">
        <f t="shared" si="164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5"/>
        <v>44854</v>
      </c>
      <c r="C2092" s="1">
        <f t="shared" si="166"/>
        <v>5058</v>
      </c>
      <c r="D2092" s="1">
        <f t="shared" si="167"/>
        <v>871</v>
      </c>
      <c r="E2092" s="1">
        <f t="shared" si="168"/>
        <v>2495</v>
      </c>
      <c r="F2092" s="1">
        <f t="shared" si="164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5"/>
        <v>44855</v>
      </c>
      <c r="C2093" s="1">
        <f t="shared" si="166"/>
        <v>5049</v>
      </c>
      <c r="D2093" s="1">
        <f t="shared" si="167"/>
        <v>871</v>
      </c>
      <c r="E2093" s="1">
        <f t="shared" si="168"/>
        <v>2480</v>
      </c>
      <c r="F2093" s="1">
        <f t="shared" si="164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5"/>
        <v>44858</v>
      </c>
      <c r="C2094" s="1">
        <f t="shared" si="166"/>
        <v>5023</v>
      </c>
      <c r="D2094" s="1">
        <f t="shared" si="167"/>
        <v>871</v>
      </c>
      <c r="E2094" s="1">
        <f t="shared" si="168"/>
        <v>2445</v>
      </c>
      <c r="F2094" s="1">
        <f t="shared" si="164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5"/>
        <v>44859</v>
      </c>
      <c r="C2095" s="1">
        <f t="shared" si="166"/>
        <v>5002</v>
      </c>
      <c r="D2095" s="1">
        <f t="shared" si="167"/>
        <v>871</v>
      </c>
      <c r="E2095" s="1">
        <f t="shared" si="168"/>
        <v>2445</v>
      </c>
      <c r="F2095" s="1">
        <f t="shared" si="164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5"/>
        <v>44860</v>
      </c>
      <c r="C2096" s="1">
        <f t="shared" si="166"/>
        <v>4976</v>
      </c>
      <c r="D2096" s="1">
        <f t="shared" si="167"/>
        <v>871</v>
      </c>
      <c r="E2096" s="1">
        <f t="shared" si="168"/>
        <v>2455</v>
      </c>
      <c r="F2096" s="1">
        <f t="shared" si="164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5"/>
        <v>44861</v>
      </c>
      <c r="C2097" s="1">
        <f t="shared" si="166"/>
        <v>4952</v>
      </c>
      <c r="D2097" s="1">
        <f t="shared" si="167"/>
        <v>871</v>
      </c>
      <c r="E2097" s="1">
        <f t="shared" si="168"/>
        <v>2465</v>
      </c>
      <c r="F2097" s="1">
        <f t="shared" si="164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5"/>
        <v>44862</v>
      </c>
      <c r="C2098" s="1">
        <f t="shared" si="166"/>
        <v>4929</v>
      </c>
      <c r="D2098" s="1">
        <f t="shared" si="167"/>
        <v>871</v>
      </c>
      <c r="E2098" s="1">
        <f t="shared" si="168"/>
        <v>2465</v>
      </c>
      <c r="F2098" s="1">
        <f t="shared" ref="F2098:F2161" si="169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5"/>
        <v>44865</v>
      </c>
      <c r="C2099" s="1">
        <f t="shared" si="166"/>
        <v>4878</v>
      </c>
      <c r="D2099" s="1">
        <f t="shared" si="167"/>
        <v>881</v>
      </c>
      <c r="E2099" s="1">
        <f t="shared" si="168"/>
        <v>2470</v>
      </c>
      <c r="F2099" s="1">
        <f t="shared" si="169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5"/>
        <v>44866</v>
      </c>
      <c r="C2100" s="1">
        <f t="shared" si="166"/>
        <v>4867</v>
      </c>
      <c r="D2100" s="1">
        <f t="shared" si="167"/>
        <v>881</v>
      </c>
      <c r="E2100" s="1">
        <f t="shared" si="168"/>
        <v>2470</v>
      </c>
      <c r="F2100" s="1">
        <f t="shared" si="169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5"/>
        <v>44867</v>
      </c>
      <c r="C2101" s="1">
        <f t="shared" si="166"/>
        <v>4860</v>
      </c>
      <c r="D2101" s="1">
        <f t="shared" si="167"/>
        <v>881</v>
      </c>
      <c r="E2101" s="1">
        <f t="shared" si="168"/>
        <v>2470</v>
      </c>
      <c r="F2101" s="1">
        <f t="shared" si="169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5"/>
        <v>44868</v>
      </c>
      <c r="C2102" s="1">
        <f t="shared" si="166"/>
        <v>4883</v>
      </c>
      <c r="D2102" s="1">
        <f t="shared" si="167"/>
        <v>881</v>
      </c>
      <c r="E2102" s="1">
        <f t="shared" si="168"/>
        <v>2470</v>
      </c>
      <c r="F2102" s="1">
        <f t="shared" si="169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5"/>
        <v>44869</v>
      </c>
      <c r="C2103" s="1">
        <f t="shared" si="166"/>
        <v>4885</v>
      </c>
      <c r="D2103" s="1">
        <f t="shared" si="167"/>
        <v>881</v>
      </c>
      <c r="E2103" s="1">
        <f t="shared" si="168"/>
        <v>2480</v>
      </c>
      <c r="F2103" s="1">
        <f t="shared" si="169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5"/>
        <v>44872</v>
      </c>
      <c r="C2104" s="1">
        <f t="shared" si="166"/>
        <v>4902</v>
      </c>
      <c r="D2104" s="1">
        <f t="shared" si="167"/>
        <v>881</v>
      </c>
      <c r="E2104" s="1">
        <f t="shared" si="168"/>
        <v>2490</v>
      </c>
      <c r="F2104" s="1">
        <f t="shared" si="169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5"/>
        <v>44873</v>
      </c>
      <c r="C2105" s="1">
        <f t="shared" si="166"/>
        <v>4890</v>
      </c>
      <c r="D2105" s="1">
        <f t="shared" si="167"/>
        <v>881</v>
      </c>
      <c r="E2105" s="1">
        <f t="shared" si="168"/>
        <v>2490</v>
      </c>
      <c r="F2105" s="1">
        <f t="shared" si="169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5"/>
        <v>44874</v>
      </c>
      <c r="C2106" s="1">
        <f t="shared" si="166"/>
        <v>4898</v>
      </c>
      <c r="D2106" s="1">
        <f t="shared" si="167"/>
        <v>881</v>
      </c>
      <c r="E2106" s="1">
        <f t="shared" si="168"/>
        <v>2545</v>
      </c>
      <c r="F2106" s="1">
        <f t="shared" si="169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5"/>
        <v>44875</v>
      </c>
      <c r="C2107" s="1">
        <f t="shared" si="166"/>
        <v>4878</v>
      </c>
      <c r="D2107" s="1">
        <f t="shared" si="167"/>
        <v>881</v>
      </c>
      <c r="E2107" s="1">
        <f t="shared" si="168"/>
        <v>2560</v>
      </c>
      <c r="F2107" s="1">
        <f t="shared" si="169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5"/>
        <v>44876</v>
      </c>
      <c r="C2108" s="1">
        <f t="shared" si="166"/>
        <v>4879</v>
      </c>
      <c r="D2108" s="1">
        <f t="shared" si="167"/>
        <v>881</v>
      </c>
      <c r="E2108" s="1">
        <f t="shared" si="168"/>
        <v>2585</v>
      </c>
      <c r="F2108" s="1">
        <f t="shared" si="169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5"/>
        <v>44879</v>
      </c>
      <c r="C2109" s="1">
        <f t="shared" si="166"/>
        <v>4911</v>
      </c>
      <c r="D2109" s="1">
        <f t="shared" si="167"/>
        <v>881</v>
      </c>
      <c r="E2109" s="1">
        <f t="shared" si="168"/>
        <v>2585</v>
      </c>
      <c r="F2109" s="1">
        <f t="shared" si="169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5"/>
        <v>44880</v>
      </c>
      <c r="C2110" s="1">
        <f t="shared" si="166"/>
        <v>4902</v>
      </c>
      <c r="D2110" s="1">
        <f t="shared" si="167"/>
        <v>881</v>
      </c>
      <c r="E2110" s="1">
        <f t="shared" si="168"/>
        <v>2625</v>
      </c>
      <c r="F2110" s="1">
        <f t="shared" si="169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5"/>
        <v>44881</v>
      </c>
      <c r="C2111" s="1">
        <f t="shared" si="166"/>
        <v>4893</v>
      </c>
      <c r="D2111" s="1">
        <f t="shared" si="167"/>
        <v>881</v>
      </c>
      <c r="E2111" s="1">
        <f t="shared" si="168"/>
        <v>2625</v>
      </c>
      <c r="F2111" s="1">
        <f t="shared" si="169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5"/>
        <v>44882</v>
      </c>
      <c r="C2112" s="1">
        <f t="shared" si="166"/>
        <v>4878</v>
      </c>
      <c r="D2112" s="1">
        <f t="shared" si="167"/>
        <v>881</v>
      </c>
      <c r="E2112" s="1">
        <f t="shared" si="168"/>
        <v>2625</v>
      </c>
      <c r="F2112" s="1">
        <f t="shared" si="169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5"/>
        <v>44883</v>
      </c>
      <c r="C2113" s="1">
        <f t="shared" si="166"/>
        <v>4883</v>
      </c>
      <c r="D2113" s="1">
        <f t="shared" si="167"/>
        <v>881</v>
      </c>
      <c r="E2113" s="1">
        <f t="shared" si="168"/>
        <v>2625</v>
      </c>
      <c r="F2113" s="1">
        <f t="shared" si="169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5"/>
        <v>44886</v>
      </c>
      <c r="C2114" s="1">
        <f t="shared" si="166"/>
        <v>4881</v>
      </c>
      <c r="D2114" s="1">
        <f t="shared" si="167"/>
        <v>881</v>
      </c>
      <c r="E2114" s="1">
        <f t="shared" si="168"/>
        <v>2675</v>
      </c>
      <c r="F2114" s="1">
        <f t="shared" si="169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5"/>
        <v>44887</v>
      </c>
      <c r="C2115" s="1">
        <f t="shared" si="166"/>
        <v>4871</v>
      </c>
      <c r="D2115" s="1">
        <f t="shared" si="167"/>
        <v>881</v>
      </c>
      <c r="E2115" s="1">
        <f t="shared" si="168"/>
        <v>2710</v>
      </c>
      <c r="F2115" s="1">
        <f t="shared" si="169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5"/>
        <v>44888</v>
      </c>
      <c r="C2116" s="1">
        <f t="shared" si="166"/>
        <v>4858</v>
      </c>
      <c r="D2116" s="1">
        <f t="shared" si="167"/>
        <v>881</v>
      </c>
      <c r="E2116" s="1">
        <f t="shared" si="168"/>
        <v>2725</v>
      </c>
      <c r="F2116" s="1">
        <f t="shared" si="169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5"/>
        <v>44889</v>
      </c>
      <c r="C2117" s="1">
        <f t="shared" si="166"/>
        <v>4855</v>
      </c>
      <c r="D2117" s="1">
        <f t="shared" si="167"/>
        <v>881</v>
      </c>
      <c r="E2117" s="1">
        <f t="shared" si="168"/>
        <v>2735</v>
      </c>
      <c r="F2117" s="1">
        <f t="shared" si="169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70">L2118</f>
        <v>44890</v>
      </c>
      <c r="C2118" s="1">
        <f t="shared" si="166"/>
        <v>4853</v>
      </c>
      <c r="D2118" s="1">
        <f t="shared" si="167"/>
        <v>881</v>
      </c>
      <c r="E2118" s="1">
        <f t="shared" si="168"/>
        <v>2770</v>
      </c>
      <c r="F2118" s="1">
        <f t="shared" si="169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70"/>
        <v>44893</v>
      </c>
      <c r="C2119" s="1">
        <f t="shared" ref="C2119:C2182" si="171">IF(M2119&lt;&gt;0,M2119,C2118)</f>
        <v>4834</v>
      </c>
      <c r="D2119" s="1">
        <f t="shared" ref="D2119:D2182" si="172">IF(N2119&lt;&gt;0,N2119,D2118)</f>
        <v>881</v>
      </c>
      <c r="E2119" s="1">
        <f t="shared" ref="E2119:E2182" si="173">IF(O2119&lt;&gt;0,O2119,E2118)</f>
        <v>2795</v>
      </c>
      <c r="F2119" s="1">
        <f t="shared" si="169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70"/>
        <v>44894</v>
      </c>
      <c r="C2120" s="1">
        <f t="shared" si="171"/>
        <v>4834</v>
      </c>
      <c r="D2120" s="1">
        <f t="shared" si="172"/>
        <v>881</v>
      </c>
      <c r="E2120" s="1">
        <f t="shared" si="173"/>
        <v>2795</v>
      </c>
      <c r="F2120" s="1">
        <f t="shared" si="169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70"/>
        <v>44895</v>
      </c>
      <c r="C2121" s="1">
        <f t="shared" si="171"/>
        <v>4836</v>
      </c>
      <c r="D2121" s="1">
        <f t="shared" si="172"/>
        <v>881</v>
      </c>
      <c r="E2121" s="1">
        <f t="shared" si="173"/>
        <v>2795</v>
      </c>
      <c r="F2121" s="1">
        <f t="shared" si="169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70"/>
        <v>44896</v>
      </c>
      <c r="C2122" s="1">
        <f t="shared" si="171"/>
        <v>4832</v>
      </c>
      <c r="D2122" s="1">
        <f t="shared" si="172"/>
        <v>881</v>
      </c>
      <c r="E2122" s="1">
        <f t="shared" si="173"/>
        <v>2790</v>
      </c>
      <c r="F2122" s="1">
        <f t="shared" si="169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70"/>
        <v>44897</v>
      </c>
      <c r="C2123" s="1">
        <f t="shared" si="171"/>
        <v>4819</v>
      </c>
      <c r="D2123" s="1">
        <f t="shared" si="172"/>
        <v>881</v>
      </c>
      <c r="E2123" s="1">
        <f t="shared" si="173"/>
        <v>2780</v>
      </c>
      <c r="F2123" s="1">
        <f t="shared" si="169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70"/>
        <v>44900</v>
      </c>
      <c r="C2124" s="1">
        <f t="shared" si="171"/>
        <v>4834</v>
      </c>
      <c r="D2124" s="1">
        <f t="shared" si="172"/>
        <v>881</v>
      </c>
      <c r="E2124" s="1">
        <f t="shared" si="173"/>
        <v>2765</v>
      </c>
      <c r="F2124" s="1">
        <f t="shared" si="169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70"/>
        <v>44901</v>
      </c>
      <c r="C2125" s="1">
        <f t="shared" si="171"/>
        <v>4813</v>
      </c>
      <c r="D2125" s="1">
        <f t="shared" si="172"/>
        <v>881</v>
      </c>
      <c r="E2125" s="1">
        <f t="shared" si="173"/>
        <v>2765</v>
      </c>
      <c r="F2125" s="1">
        <f t="shared" si="169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70"/>
        <v>44902</v>
      </c>
      <c r="C2126" s="1">
        <f t="shared" si="171"/>
        <v>4798</v>
      </c>
      <c r="D2126" s="1">
        <f t="shared" si="172"/>
        <v>891</v>
      </c>
      <c r="E2126" s="1">
        <f t="shared" si="173"/>
        <v>2750</v>
      </c>
      <c r="F2126" s="1">
        <f t="shared" si="169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70"/>
        <v>44903</v>
      </c>
      <c r="C2127" s="1">
        <f t="shared" si="171"/>
        <v>4788</v>
      </c>
      <c r="D2127" s="1">
        <f t="shared" si="172"/>
        <v>891</v>
      </c>
      <c r="E2127" s="1">
        <f t="shared" si="173"/>
        <v>2745</v>
      </c>
      <c r="F2127" s="1">
        <f t="shared" si="169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70"/>
        <v>44904</v>
      </c>
      <c r="C2128" s="1">
        <f t="shared" si="171"/>
        <v>4800</v>
      </c>
      <c r="D2128" s="1">
        <f t="shared" si="172"/>
        <v>891</v>
      </c>
      <c r="E2128" s="1">
        <f t="shared" si="173"/>
        <v>2745</v>
      </c>
      <c r="F2128" s="1">
        <f t="shared" si="169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70"/>
        <v>44907</v>
      </c>
      <c r="C2129" s="1">
        <f t="shared" si="171"/>
        <v>4820</v>
      </c>
      <c r="D2129" s="1">
        <f t="shared" si="172"/>
        <v>891</v>
      </c>
      <c r="E2129" s="1">
        <f t="shared" si="173"/>
        <v>2765</v>
      </c>
      <c r="F2129" s="1">
        <f t="shared" si="169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70"/>
        <v>44908</v>
      </c>
      <c r="C2130" s="1">
        <f t="shared" si="171"/>
        <v>4818</v>
      </c>
      <c r="D2130" s="1">
        <f t="shared" si="172"/>
        <v>891</v>
      </c>
      <c r="E2130" s="1">
        <f t="shared" si="173"/>
        <v>2790</v>
      </c>
      <c r="F2130" s="1">
        <f t="shared" si="169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70"/>
        <v>44909</v>
      </c>
      <c r="C2131" s="1">
        <f t="shared" si="171"/>
        <v>4825</v>
      </c>
      <c r="D2131" s="1">
        <f t="shared" si="172"/>
        <v>896</v>
      </c>
      <c r="E2131" s="1">
        <f t="shared" si="173"/>
        <v>2810</v>
      </c>
      <c r="F2131" s="1">
        <f t="shared" si="169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70"/>
        <v>44910</v>
      </c>
      <c r="C2132" s="1">
        <f t="shared" si="171"/>
        <v>4830</v>
      </c>
      <c r="D2132" s="1">
        <f t="shared" si="172"/>
        <v>881</v>
      </c>
      <c r="E2132" s="1">
        <f t="shared" si="173"/>
        <v>2815</v>
      </c>
      <c r="F2132" s="1">
        <f t="shared" si="169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70"/>
        <v>44911</v>
      </c>
      <c r="C2133" s="1">
        <f t="shared" si="171"/>
        <v>4832</v>
      </c>
      <c r="D2133" s="1">
        <f t="shared" si="172"/>
        <v>871</v>
      </c>
      <c r="E2133" s="1">
        <f t="shared" si="173"/>
        <v>2815</v>
      </c>
      <c r="F2133" s="1">
        <f t="shared" si="169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70"/>
        <v>44914</v>
      </c>
      <c r="C2134" s="1">
        <f t="shared" si="171"/>
        <v>4825</v>
      </c>
      <c r="D2134" s="1">
        <f t="shared" si="172"/>
        <v>871</v>
      </c>
      <c r="E2134" s="1">
        <f t="shared" si="173"/>
        <v>2815</v>
      </c>
      <c r="F2134" s="1">
        <f t="shared" si="169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70"/>
        <v>44915</v>
      </c>
      <c r="C2135" s="1">
        <f t="shared" si="171"/>
        <v>4802</v>
      </c>
      <c r="D2135" s="1">
        <f t="shared" si="172"/>
        <v>871</v>
      </c>
      <c r="E2135" s="1">
        <f t="shared" si="173"/>
        <v>2780</v>
      </c>
      <c r="F2135" s="1">
        <f t="shared" si="169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70"/>
        <v>44916</v>
      </c>
      <c r="C2136" s="1">
        <f t="shared" si="171"/>
        <v>4804</v>
      </c>
      <c r="D2136" s="1">
        <f t="shared" si="172"/>
        <v>871</v>
      </c>
      <c r="E2136" s="1">
        <f t="shared" si="173"/>
        <v>2760</v>
      </c>
      <c r="F2136" s="1">
        <f t="shared" si="169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70"/>
        <v>44917</v>
      </c>
      <c r="C2137" s="1">
        <f t="shared" si="171"/>
        <v>4817</v>
      </c>
      <c r="D2137" s="1">
        <f t="shared" si="172"/>
        <v>871</v>
      </c>
      <c r="E2137" s="1">
        <f t="shared" si="173"/>
        <v>2760</v>
      </c>
      <c r="F2137" s="1">
        <f t="shared" si="169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70"/>
        <v>44918</v>
      </c>
      <c r="C2138" s="1">
        <f t="shared" si="171"/>
        <v>4803</v>
      </c>
      <c r="D2138" s="1">
        <f t="shared" si="172"/>
        <v>871</v>
      </c>
      <c r="E2138" s="1">
        <f t="shared" si="173"/>
        <v>2760</v>
      </c>
      <c r="F2138" s="1">
        <f t="shared" si="169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70"/>
        <v>44921</v>
      </c>
      <c r="C2139" s="1">
        <f t="shared" si="171"/>
        <v>4799</v>
      </c>
      <c r="D2139" s="1">
        <f t="shared" si="172"/>
        <v>871</v>
      </c>
      <c r="E2139" s="1">
        <f t="shared" si="173"/>
        <v>2760</v>
      </c>
      <c r="F2139" s="1">
        <f t="shared" si="169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70"/>
        <v>44922</v>
      </c>
      <c r="C2140" s="1">
        <f t="shared" si="171"/>
        <v>4800</v>
      </c>
      <c r="D2140" s="1">
        <f t="shared" si="172"/>
        <v>871</v>
      </c>
      <c r="E2140" s="1">
        <f t="shared" si="173"/>
        <v>2760</v>
      </c>
      <c r="F2140" s="1">
        <f t="shared" si="169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70"/>
        <v>44923</v>
      </c>
      <c r="C2141" s="1">
        <f t="shared" si="171"/>
        <v>4801</v>
      </c>
      <c r="D2141" s="1">
        <f t="shared" si="172"/>
        <v>871</v>
      </c>
      <c r="E2141" s="1">
        <f t="shared" si="173"/>
        <v>2745</v>
      </c>
      <c r="F2141" s="1">
        <f t="shared" si="169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70"/>
        <v>44924</v>
      </c>
      <c r="C2142" s="1">
        <f t="shared" si="171"/>
        <v>4804</v>
      </c>
      <c r="D2142" s="1">
        <f t="shared" si="172"/>
        <v>871</v>
      </c>
      <c r="E2142" s="1">
        <f t="shared" si="173"/>
        <v>2745</v>
      </c>
      <c r="F2142" s="1">
        <f t="shared" si="169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70"/>
        <v>44925</v>
      </c>
      <c r="C2143" s="1">
        <f t="shared" si="171"/>
        <v>4804</v>
      </c>
      <c r="D2143" s="1">
        <f t="shared" si="172"/>
        <v>871</v>
      </c>
      <c r="E2143" s="1">
        <f t="shared" si="173"/>
        <v>2745</v>
      </c>
      <c r="F2143" s="1">
        <f t="shared" si="169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70"/>
        <v>44929</v>
      </c>
      <c r="C2144" s="1">
        <f t="shared" si="171"/>
        <v>4815</v>
      </c>
      <c r="D2144" s="1">
        <f t="shared" si="172"/>
        <v>871</v>
      </c>
      <c r="E2144" s="1">
        <f t="shared" si="173"/>
        <v>2745</v>
      </c>
      <c r="F2144" s="1">
        <f t="shared" si="169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70"/>
        <v>44930</v>
      </c>
      <c r="C2145" s="1">
        <f t="shared" si="171"/>
        <v>4797</v>
      </c>
      <c r="D2145" s="1">
        <f t="shared" si="172"/>
        <v>871</v>
      </c>
      <c r="E2145" s="1">
        <f t="shared" si="173"/>
        <v>2755</v>
      </c>
      <c r="F2145" s="1">
        <f t="shared" si="169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70"/>
        <v>44931</v>
      </c>
      <c r="C2146" s="1">
        <f t="shared" si="171"/>
        <v>4785</v>
      </c>
      <c r="D2146" s="1">
        <f t="shared" si="172"/>
        <v>851</v>
      </c>
      <c r="E2146" s="1">
        <f t="shared" si="173"/>
        <v>2770</v>
      </c>
      <c r="F2146" s="1">
        <f t="shared" si="169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70"/>
        <v>44932</v>
      </c>
      <c r="C2147" s="1">
        <f t="shared" si="171"/>
        <v>4782</v>
      </c>
      <c r="D2147" s="1">
        <f t="shared" si="172"/>
        <v>831</v>
      </c>
      <c r="E2147" s="1">
        <f t="shared" si="173"/>
        <v>2775</v>
      </c>
      <c r="F2147" s="1">
        <f t="shared" si="169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70"/>
        <v>44935</v>
      </c>
      <c r="C2148" s="1">
        <f t="shared" si="171"/>
        <v>4778</v>
      </c>
      <c r="D2148" s="1">
        <f t="shared" si="172"/>
        <v>821</v>
      </c>
      <c r="E2148" s="1">
        <f t="shared" si="173"/>
        <v>2775</v>
      </c>
      <c r="F2148" s="1">
        <f t="shared" si="169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70"/>
        <v>44936</v>
      </c>
      <c r="C2149" s="1">
        <f t="shared" si="171"/>
        <v>4783</v>
      </c>
      <c r="D2149" s="1">
        <f t="shared" si="172"/>
        <v>821</v>
      </c>
      <c r="E2149" s="1">
        <f t="shared" si="173"/>
        <v>2775</v>
      </c>
      <c r="F2149" s="1">
        <f t="shared" si="169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70"/>
        <v>44937</v>
      </c>
      <c r="C2150" s="1">
        <f t="shared" si="171"/>
        <v>4792</v>
      </c>
      <c r="D2150" s="1">
        <f t="shared" si="172"/>
        <v>821</v>
      </c>
      <c r="E2150" s="1">
        <f t="shared" si="173"/>
        <v>2775</v>
      </c>
      <c r="F2150" s="1">
        <f t="shared" si="169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70"/>
        <v>44938</v>
      </c>
      <c r="C2151" s="1">
        <f t="shared" si="171"/>
        <v>4804</v>
      </c>
      <c r="D2151" s="1">
        <f t="shared" si="172"/>
        <v>811</v>
      </c>
      <c r="E2151" s="1">
        <f t="shared" si="173"/>
        <v>2775</v>
      </c>
      <c r="F2151" s="1">
        <f t="shared" si="169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70"/>
        <v>44939</v>
      </c>
      <c r="C2152" s="1">
        <f t="shared" si="171"/>
        <v>4831</v>
      </c>
      <c r="D2152" s="1">
        <f t="shared" si="172"/>
        <v>801</v>
      </c>
      <c r="E2152" s="1">
        <f t="shared" si="173"/>
        <v>2775</v>
      </c>
      <c r="F2152" s="1">
        <f t="shared" si="169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70"/>
        <v>44942</v>
      </c>
      <c r="C2153" s="1">
        <f t="shared" si="171"/>
        <v>4848</v>
      </c>
      <c r="D2153" s="1">
        <f t="shared" si="172"/>
        <v>766</v>
      </c>
      <c r="E2153" s="1">
        <f t="shared" si="173"/>
        <v>2780</v>
      </c>
      <c r="F2153" s="1">
        <f t="shared" si="169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70"/>
        <v>44943</v>
      </c>
      <c r="C2154" s="1">
        <f t="shared" si="171"/>
        <v>4859</v>
      </c>
      <c r="D2154" s="1">
        <f t="shared" si="172"/>
        <v>766</v>
      </c>
      <c r="E2154" s="1">
        <f t="shared" si="173"/>
        <v>2780</v>
      </c>
      <c r="F2154" s="1">
        <f t="shared" si="169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70"/>
        <v>44944</v>
      </c>
      <c r="C2155" s="1">
        <f t="shared" si="171"/>
        <v>4876</v>
      </c>
      <c r="D2155" s="1">
        <f t="shared" si="172"/>
        <v>766</v>
      </c>
      <c r="E2155" s="1">
        <f t="shared" si="173"/>
        <v>2780</v>
      </c>
      <c r="F2155" s="1">
        <f t="shared" si="169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70"/>
        <v>44945</v>
      </c>
      <c r="C2156" s="1">
        <f t="shared" si="171"/>
        <v>4885</v>
      </c>
      <c r="D2156" s="1">
        <f t="shared" si="172"/>
        <v>766</v>
      </c>
      <c r="E2156" s="1">
        <f t="shared" si="173"/>
        <v>2780</v>
      </c>
      <c r="F2156" s="1">
        <f t="shared" si="169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70"/>
        <v>44946</v>
      </c>
      <c r="C2157" s="1">
        <f t="shared" si="171"/>
        <v>4893</v>
      </c>
      <c r="D2157" s="1">
        <f t="shared" si="172"/>
        <v>766</v>
      </c>
      <c r="E2157" s="1">
        <f t="shared" si="173"/>
        <v>2780</v>
      </c>
      <c r="F2157" s="1">
        <f t="shared" si="169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70"/>
        <v>44951</v>
      </c>
      <c r="C2158" s="1">
        <f t="shared" si="171"/>
        <v>4893</v>
      </c>
      <c r="D2158" s="1">
        <f t="shared" si="172"/>
        <v>771</v>
      </c>
      <c r="E2158" s="1">
        <f t="shared" si="173"/>
        <v>2780</v>
      </c>
      <c r="F2158" s="1">
        <f t="shared" si="169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70"/>
        <v>44952</v>
      </c>
      <c r="C2159" s="1">
        <f t="shared" si="171"/>
        <v>4893</v>
      </c>
      <c r="D2159" s="1">
        <f t="shared" si="172"/>
        <v>771</v>
      </c>
      <c r="E2159" s="1">
        <f t="shared" si="173"/>
        <v>2780</v>
      </c>
      <c r="F2159" s="1">
        <f t="shared" si="169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70"/>
        <v>44953</v>
      </c>
      <c r="C2160" s="1">
        <f t="shared" si="171"/>
        <v>4893</v>
      </c>
      <c r="D2160" s="1">
        <f t="shared" si="172"/>
        <v>781</v>
      </c>
      <c r="E2160" s="1">
        <f t="shared" si="173"/>
        <v>2780</v>
      </c>
      <c r="F2160" s="1">
        <f t="shared" si="169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70"/>
        <v>44954</v>
      </c>
      <c r="C2161" s="1">
        <f t="shared" si="171"/>
        <v>4909</v>
      </c>
      <c r="D2161" s="1">
        <f t="shared" si="172"/>
        <v>781</v>
      </c>
      <c r="E2161" s="1">
        <f t="shared" si="173"/>
        <v>2790</v>
      </c>
      <c r="F2161" s="1">
        <f t="shared" si="169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70"/>
        <v>44955</v>
      </c>
      <c r="C2162" s="1">
        <f t="shared" si="171"/>
        <v>4929</v>
      </c>
      <c r="D2162" s="1">
        <f t="shared" si="172"/>
        <v>781</v>
      </c>
      <c r="E2162" s="1">
        <f t="shared" si="173"/>
        <v>2790</v>
      </c>
      <c r="F2162" s="1">
        <f t="shared" ref="F2162:F2225" si="174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70"/>
        <v>44956</v>
      </c>
      <c r="C2163" s="1">
        <f t="shared" si="171"/>
        <v>4954</v>
      </c>
      <c r="D2163" s="1">
        <f t="shared" si="172"/>
        <v>781</v>
      </c>
      <c r="E2163" s="1">
        <f t="shared" si="173"/>
        <v>2795</v>
      </c>
      <c r="F2163" s="1">
        <f t="shared" si="174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70"/>
        <v>44957</v>
      </c>
      <c r="C2164" s="1">
        <f t="shared" si="171"/>
        <v>4962</v>
      </c>
      <c r="D2164" s="1">
        <f t="shared" si="172"/>
        <v>781</v>
      </c>
      <c r="E2164" s="1">
        <f t="shared" si="173"/>
        <v>2800</v>
      </c>
      <c r="F2164" s="1">
        <f t="shared" si="174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70"/>
        <v>44958</v>
      </c>
      <c r="C2165" s="1">
        <f t="shared" si="171"/>
        <v>4953</v>
      </c>
      <c r="D2165" s="1">
        <f t="shared" si="172"/>
        <v>831</v>
      </c>
      <c r="E2165" s="1">
        <f t="shared" si="173"/>
        <v>2810</v>
      </c>
      <c r="F2165" s="1">
        <f t="shared" si="174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70"/>
        <v>44959</v>
      </c>
      <c r="C2166" s="1">
        <f t="shared" si="171"/>
        <v>4938</v>
      </c>
      <c r="D2166" s="1">
        <f t="shared" si="172"/>
        <v>831</v>
      </c>
      <c r="E2166" s="1">
        <f t="shared" si="173"/>
        <v>2810</v>
      </c>
      <c r="F2166" s="1">
        <f t="shared" si="174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70"/>
        <v>44960</v>
      </c>
      <c r="C2167" s="1">
        <f t="shared" si="171"/>
        <v>4890</v>
      </c>
      <c r="D2167" s="1">
        <f t="shared" si="172"/>
        <v>861</v>
      </c>
      <c r="E2167" s="1">
        <f t="shared" si="173"/>
        <v>2810</v>
      </c>
      <c r="F2167" s="1">
        <f t="shared" si="174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70"/>
        <v>44963</v>
      </c>
      <c r="C2168" s="1">
        <f t="shared" si="171"/>
        <v>4876</v>
      </c>
      <c r="D2168" s="1">
        <f t="shared" si="172"/>
        <v>861</v>
      </c>
      <c r="E2168" s="1">
        <f t="shared" si="173"/>
        <v>2810</v>
      </c>
      <c r="F2168" s="1">
        <f t="shared" si="174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70"/>
        <v>44964</v>
      </c>
      <c r="C2169" s="1">
        <f t="shared" si="171"/>
        <v>4880</v>
      </c>
      <c r="D2169" s="1">
        <f t="shared" si="172"/>
        <v>861</v>
      </c>
      <c r="E2169" s="1">
        <f t="shared" si="173"/>
        <v>2810</v>
      </c>
      <c r="F2169" s="1">
        <f t="shared" si="174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70"/>
        <v>44965</v>
      </c>
      <c r="C2170" s="1">
        <f t="shared" si="171"/>
        <v>4875</v>
      </c>
      <c r="D2170" s="1">
        <f t="shared" si="172"/>
        <v>866</v>
      </c>
      <c r="E2170" s="1">
        <f t="shared" si="173"/>
        <v>2810</v>
      </c>
      <c r="F2170" s="1">
        <f t="shared" si="174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70"/>
        <v>44966</v>
      </c>
      <c r="C2171" s="1">
        <f t="shared" si="171"/>
        <v>4891</v>
      </c>
      <c r="D2171" s="1">
        <f t="shared" si="172"/>
        <v>876</v>
      </c>
      <c r="E2171" s="1">
        <f t="shared" si="173"/>
        <v>2810</v>
      </c>
      <c r="F2171" s="1">
        <f t="shared" si="174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70"/>
        <v>44967</v>
      </c>
      <c r="C2172" s="1">
        <f t="shared" si="171"/>
        <v>4875</v>
      </c>
      <c r="D2172" s="1">
        <f t="shared" si="172"/>
        <v>876</v>
      </c>
      <c r="E2172" s="1">
        <f t="shared" si="173"/>
        <v>2810</v>
      </c>
      <c r="F2172" s="1">
        <f t="shared" si="174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70"/>
        <v>44970</v>
      </c>
      <c r="C2173" s="1">
        <f t="shared" si="171"/>
        <v>4871</v>
      </c>
      <c r="D2173" s="1">
        <f t="shared" si="172"/>
        <v>876</v>
      </c>
      <c r="E2173" s="1">
        <f t="shared" si="173"/>
        <v>2785</v>
      </c>
      <c r="F2173" s="1">
        <f t="shared" si="174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70"/>
        <v>44971</v>
      </c>
      <c r="C2174" s="1">
        <f t="shared" si="171"/>
        <v>4874</v>
      </c>
      <c r="D2174" s="1">
        <f t="shared" si="172"/>
        <v>876</v>
      </c>
      <c r="E2174" s="1">
        <f t="shared" si="173"/>
        <v>2755</v>
      </c>
      <c r="F2174" s="1">
        <f t="shared" si="174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70"/>
        <v>44972</v>
      </c>
      <c r="C2175" s="1">
        <f t="shared" si="171"/>
        <v>4869</v>
      </c>
      <c r="D2175" s="1">
        <f t="shared" si="172"/>
        <v>901</v>
      </c>
      <c r="E2175" s="1">
        <f t="shared" si="173"/>
        <v>2755</v>
      </c>
      <c r="F2175" s="1">
        <f t="shared" si="174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70"/>
        <v>44973</v>
      </c>
      <c r="C2176" s="1">
        <f t="shared" si="171"/>
        <v>4876</v>
      </c>
      <c r="D2176" s="1">
        <f t="shared" si="172"/>
        <v>911</v>
      </c>
      <c r="E2176" s="1">
        <f t="shared" si="173"/>
        <v>2755</v>
      </c>
      <c r="F2176" s="1">
        <f t="shared" si="174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70"/>
        <v>44974</v>
      </c>
      <c r="C2177" s="1">
        <f t="shared" si="171"/>
        <v>4882</v>
      </c>
      <c r="D2177" s="1">
        <f t="shared" si="172"/>
        <v>936</v>
      </c>
      <c r="E2177" s="1">
        <f t="shared" si="173"/>
        <v>2760</v>
      </c>
      <c r="F2177" s="1">
        <f t="shared" si="174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70"/>
        <v>44977</v>
      </c>
      <c r="C2178" s="1">
        <f t="shared" si="171"/>
        <v>4848</v>
      </c>
      <c r="D2178" s="1">
        <f t="shared" si="172"/>
        <v>941</v>
      </c>
      <c r="E2178" s="1">
        <f t="shared" si="173"/>
        <v>2770</v>
      </c>
      <c r="F2178" s="1">
        <f t="shared" si="174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70"/>
        <v>44978</v>
      </c>
      <c r="C2179" s="1">
        <f t="shared" si="171"/>
        <v>4868</v>
      </c>
      <c r="D2179" s="1">
        <f t="shared" si="172"/>
        <v>941</v>
      </c>
      <c r="E2179" s="1">
        <f t="shared" si="173"/>
        <v>2775</v>
      </c>
      <c r="F2179" s="1">
        <f t="shared" si="174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70"/>
        <v>44979</v>
      </c>
      <c r="C2180" s="1">
        <f t="shared" si="171"/>
        <v>4881</v>
      </c>
      <c r="D2180" s="1">
        <f t="shared" si="172"/>
        <v>941</v>
      </c>
      <c r="E2180" s="1">
        <f t="shared" si="173"/>
        <v>2780</v>
      </c>
      <c r="F2180" s="1">
        <f t="shared" si="174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70"/>
        <v>44980</v>
      </c>
      <c r="C2181" s="1">
        <f t="shared" si="171"/>
        <v>4897</v>
      </c>
      <c r="D2181" s="1">
        <f t="shared" si="172"/>
        <v>941</v>
      </c>
      <c r="E2181" s="1">
        <f t="shared" si="173"/>
        <v>2790</v>
      </c>
      <c r="F2181" s="1">
        <f t="shared" si="174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5">L2182</f>
        <v>44981</v>
      </c>
      <c r="C2182" s="1">
        <f t="shared" si="171"/>
        <v>4905</v>
      </c>
      <c r="D2182" s="1">
        <f t="shared" si="172"/>
        <v>961</v>
      </c>
      <c r="E2182" s="1">
        <f t="shared" si="173"/>
        <v>2790</v>
      </c>
      <c r="F2182" s="1">
        <f t="shared" si="174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5"/>
        <v>44984</v>
      </c>
      <c r="C2183" s="1">
        <f t="shared" ref="C2183:C2246" si="176">IF(M2183&lt;&gt;0,M2183,C2182)</f>
        <v>4936</v>
      </c>
      <c r="D2183" s="1">
        <f t="shared" ref="D2183:D2246" si="177">IF(N2183&lt;&gt;0,N2183,D2182)</f>
        <v>961</v>
      </c>
      <c r="E2183" s="1">
        <f t="shared" ref="E2183:E2246" si="178">IF(O2183&lt;&gt;0,O2183,E2182)</f>
        <v>2800</v>
      </c>
      <c r="F2183" s="1">
        <f t="shared" si="174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5"/>
        <v>44985</v>
      </c>
      <c r="C2184" s="1">
        <f t="shared" si="176"/>
        <v>4921</v>
      </c>
      <c r="D2184" s="1">
        <f t="shared" si="177"/>
        <v>961</v>
      </c>
      <c r="E2184" s="1">
        <f t="shared" si="178"/>
        <v>2785</v>
      </c>
      <c r="F2184" s="1">
        <f t="shared" si="174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5"/>
        <v>44986</v>
      </c>
      <c r="C2185" s="1">
        <f t="shared" si="176"/>
        <v>4929</v>
      </c>
      <c r="D2185" s="1">
        <f t="shared" si="177"/>
        <v>961</v>
      </c>
      <c r="E2185" s="1">
        <f t="shared" si="178"/>
        <v>2770</v>
      </c>
      <c r="F2185" s="1">
        <f t="shared" si="174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5"/>
        <v>44987</v>
      </c>
      <c r="C2186" s="1">
        <f t="shared" si="176"/>
        <v>4931</v>
      </c>
      <c r="D2186" s="1">
        <f t="shared" si="177"/>
        <v>961</v>
      </c>
      <c r="E2186" s="1">
        <f t="shared" si="178"/>
        <v>2775</v>
      </c>
      <c r="F2186" s="1">
        <f t="shared" si="174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5"/>
        <v>44988</v>
      </c>
      <c r="C2187" s="1">
        <f t="shared" si="176"/>
        <v>4933</v>
      </c>
      <c r="D2187" s="1">
        <f t="shared" si="177"/>
        <v>961</v>
      </c>
      <c r="E2187" s="1">
        <f t="shared" si="178"/>
        <v>2775</v>
      </c>
      <c r="F2187" s="1">
        <f t="shared" si="174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5"/>
        <v>44991</v>
      </c>
      <c r="C2188" s="1">
        <f t="shared" si="176"/>
        <v>4932</v>
      </c>
      <c r="D2188" s="1">
        <f t="shared" si="177"/>
        <v>961</v>
      </c>
      <c r="E2188" s="1">
        <f t="shared" si="178"/>
        <v>2785</v>
      </c>
      <c r="F2188" s="1">
        <f t="shared" si="174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5"/>
        <v>44992</v>
      </c>
      <c r="C2189" s="1">
        <f t="shared" si="176"/>
        <v>4943</v>
      </c>
      <c r="D2189" s="1">
        <f t="shared" si="177"/>
        <v>961</v>
      </c>
      <c r="E2189" s="1">
        <f t="shared" si="178"/>
        <v>2785</v>
      </c>
      <c r="F2189" s="1">
        <f t="shared" si="174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5"/>
        <v>44993</v>
      </c>
      <c r="C2190" s="1">
        <f t="shared" si="176"/>
        <v>4942</v>
      </c>
      <c r="D2190" s="1">
        <f t="shared" si="177"/>
        <v>961</v>
      </c>
      <c r="E2190" s="1">
        <f t="shared" si="178"/>
        <v>2785</v>
      </c>
      <c r="F2190" s="1">
        <f t="shared" si="174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5"/>
        <v>44994</v>
      </c>
      <c r="C2191" s="1">
        <f t="shared" si="176"/>
        <v>4931</v>
      </c>
      <c r="D2191" s="1">
        <f t="shared" si="177"/>
        <v>961</v>
      </c>
      <c r="E2191" s="1">
        <f t="shared" si="178"/>
        <v>2785</v>
      </c>
      <c r="F2191" s="1">
        <f t="shared" si="174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5"/>
        <v>44995</v>
      </c>
      <c r="C2192" s="1">
        <f t="shared" si="176"/>
        <v>4921</v>
      </c>
      <c r="D2192" s="1">
        <f t="shared" si="177"/>
        <v>961</v>
      </c>
      <c r="E2192" s="1">
        <f t="shared" si="178"/>
        <v>2785</v>
      </c>
      <c r="F2192" s="1">
        <f t="shared" si="174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5"/>
        <v>44998</v>
      </c>
      <c r="C2193" s="1">
        <f t="shared" si="176"/>
        <v>4918</v>
      </c>
      <c r="D2193" s="1">
        <f t="shared" si="177"/>
        <v>961</v>
      </c>
      <c r="E2193" s="1">
        <f t="shared" si="178"/>
        <v>2775</v>
      </c>
      <c r="F2193" s="1">
        <f t="shared" si="174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5"/>
        <v>44999</v>
      </c>
      <c r="C2194" s="1">
        <f t="shared" si="176"/>
        <v>4879</v>
      </c>
      <c r="D2194" s="1">
        <f t="shared" si="177"/>
        <v>961</v>
      </c>
      <c r="E2194" s="1">
        <f t="shared" si="178"/>
        <v>2760</v>
      </c>
      <c r="F2194" s="1">
        <f t="shared" si="174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5"/>
        <v>45000</v>
      </c>
      <c r="C2195" s="1">
        <f t="shared" si="176"/>
        <v>4856</v>
      </c>
      <c r="D2195" s="1">
        <f t="shared" si="177"/>
        <v>961</v>
      </c>
      <c r="E2195" s="1">
        <f t="shared" si="178"/>
        <v>2760</v>
      </c>
      <c r="F2195" s="1">
        <f t="shared" si="174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5"/>
        <v>45001</v>
      </c>
      <c r="C2196" s="1">
        <f t="shared" si="176"/>
        <v>4839</v>
      </c>
      <c r="D2196" s="1">
        <f t="shared" si="177"/>
        <v>961</v>
      </c>
      <c r="E2196" s="1">
        <f t="shared" si="178"/>
        <v>2765</v>
      </c>
      <c r="F2196" s="1">
        <f t="shared" si="174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5"/>
        <v>45002</v>
      </c>
      <c r="C2197" s="1">
        <f t="shared" si="176"/>
        <v>4837</v>
      </c>
      <c r="D2197" s="1">
        <f t="shared" si="177"/>
        <v>951</v>
      </c>
      <c r="E2197" s="1">
        <f t="shared" si="178"/>
        <v>2770</v>
      </c>
      <c r="F2197" s="1">
        <f t="shared" si="174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5"/>
        <v>45005</v>
      </c>
      <c r="C2198" s="1">
        <f t="shared" si="176"/>
        <v>4838</v>
      </c>
      <c r="D2198" s="1">
        <f t="shared" si="177"/>
        <v>951</v>
      </c>
      <c r="E2198" s="1">
        <f t="shared" si="178"/>
        <v>2775</v>
      </c>
      <c r="F2198" s="1">
        <f t="shared" si="174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5"/>
        <v>45006</v>
      </c>
      <c r="C2199" s="1">
        <f t="shared" si="176"/>
        <v>4829</v>
      </c>
      <c r="D2199" s="1">
        <f t="shared" si="177"/>
        <v>951</v>
      </c>
      <c r="E2199" s="1">
        <f t="shared" si="178"/>
        <v>2775</v>
      </c>
      <c r="F2199" s="1">
        <f t="shared" si="174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5"/>
        <v>45007</v>
      </c>
      <c r="C2200" s="1">
        <f t="shared" si="176"/>
        <v>4804</v>
      </c>
      <c r="D2200" s="1">
        <f t="shared" si="177"/>
        <v>951</v>
      </c>
      <c r="E2200" s="1">
        <f t="shared" si="178"/>
        <v>2775</v>
      </c>
      <c r="F2200" s="1">
        <f t="shared" si="174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5"/>
        <v>45008</v>
      </c>
      <c r="C2201" s="1">
        <f t="shared" si="176"/>
        <v>4799</v>
      </c>
      <c r="D2201" s="1">
        <f t="shared" si="177"/>
        <v>951</v>
      </c>
      <c r="E2201" s="1">
        <f t="shared" si="178"/>
        <v>2765</v>
      </c>
      <c r="F2201" s="1">
        <f t="shared" si="174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5"/>
        <v>45009</v>
      </c>
      <c r="C2202" s="1">
        <f t="shared" si="176"/>
        <v>4800</v>
      </c>
      <c r="D2202" s="1">
        <f t="shared" si="177"/>
        <v>951</v>
      </c>
      <c r="E2202" s="1">
        <f t="shared" si="178"/>
        <v>2765</v>
      </c>
      <c r="F2202" s="1">
        <f t="shared" si="174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5"/>
        <v>45012</v>
      </c>
      <c r="C2203" s="1">
        <f t="shared" si="176"/>
        <v>4814</v>
      </c>
      <c r="D2203" s="1">
        <f t="shared" si="177"/>
        <v>951</v>
      </c>
      <c r="E2203" s="1">
        <f t="shared" si="178"/>
        <v>2750</v>
      </c>
      <c r="F2203" s="1">
        <f t="shared" si="174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5"/>
        <v>45013</v>
      </c>
      <c r="C2204" s="1">
        <f t="shared" si="176"/>
        <v>4818</v>
      </c>
      <c r="D2204" s="1">
        <f t="shared" si="177"/>
        <v>951</v>
      </c>
      <c r="E2204" s="1">
        <f t="shared" si="178"/>
        <v>2735</v>
      </c>
      <c r="F2204" s="1">
        <f t="shared" si="174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5"/>
        <v>45014</v>
      </c>
      <c r="C2205" s="1">
        <f t="shared" si="176"/>
        <v>4820</v>
      </c>
      <c r="D2205" s="1">
        <f t="shared" si="177"/>
        <v>951</v>
      </c>
      <c r="E2205" s="1">
        <f t="shared" si="178"/>
        <v>2730</v>
      </c>
      <c r="F2205" s="1">
        <f t="shared" si="174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5"/>
        <v>45015</v>
      </c>
      <c r="C2206" s="1">
        <f t="shared" si="176"/>
        <v>4818</v>
      </c>
      <c r="D2206" s="1">
        <f t="shared" si="177"/>
        <v>941</v>
      </c>
      <c r="E2206" s="1">
        <f t="shared" si="178"/>
        <v>2710</v>
      </c>
      <c r="F2206" s="1">
        <f t="shared" si="174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5"/>
        <v>45016</v>
      </c>
      <c r="C2207" s="1">
        <f t="shared" si="176"/>
        <v>4812</v>
      </c>
      <c r="D2207" s="1">
        <f t="shared" si="177"/>
        <v>941</v>
      </c>
      <c r="E2207" s="1">
        <f t="shared" si="178"/>
        <v>2690</v>
      </c>
      <c r="F2207" s="1">
        <f t="shared" si="174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5"/>
        <v>45019</v>
      </c>
      <c r="C2208" s="1">
        <f t="shared" si="176"/>
        <v>4818</v>
      </c>
      <c r="D2208" s="1">
        <f t="shared" si="177"/>
        <v>941</v>
      </c>
      <c r="E2208" s="1">
        <f t="shared" si="178"/>
        <v>2655</v>
      </c>
      <c r="F2208" s="1">
        <f t="shared" si="174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5"/>
        <v>45020</v>
      </c>
      <c r="C2209" s="1">
        <f t="shared" si="176"/>
        <v>4794</v>
      </c>
      <c r="D2209" s="1">
        <f t="shared" si="177"/>
        <v>941</v>
      </c>
      <c r="E2209" s="1">
        <f t="shared" si="178"/>
        <v>2630</v>
      </c>
      <c r="F2209" s="1">
        <f t="shared" si="174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5"/>
        <v>45021</v>
      </c>
      <c r="C2210" s="1">
        <f t="shared" si="176"/>
        <v>4794</v>
      </c>
      <c r="D2210" s="1">
        <f t="shared" si="177"/>
        <v>941</v>
      </c>
      <c r="E2210" s="1">
        <f t="shared" si="178"/>
        <v>2630</v>
      </c>
      <c r="F2210" s="1">
        <f t="shared" si="174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5"/>
        <v>45022</v>
      </c>
      <c r="C2211" s="1">
        <f t="shared" si="176"/>
        <v>4775</v>
      </c>
      <c r="D2211" s="1">
        <f t="shared" si="177"/>
        <v>941</v>
      </c>
      <c r="E2211" s="1">
        <f t="shared" si="178"/>
        <v>2590</v>
      </c>
      <c r="F2211" s="1">
        <f t="shared" si="174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5"/>
        <v>45023</v>
      </c>
      <c r="C2212" s="1">
        <f t="shared" si="176"/>
        <v>4748</v>
      </c>
      <c r="D2212" s="1">
        <f t="shared" si="177"/>
        <v>941</v>
      </c>
      <c r="E2212" s="1">
        <f t="shared" si="178"/>
        <v>2555</v>
      </c>
      <c r="F2212" s="1">
        <f t="shared" si="174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5"/>
        <v>45026</v>
      </c>
      <c r="C2213" s="1">
        <f t="shared" si="176"/>
        <v>4714</v>
      </c>
      <c r="D2213" s="1">
        <f t="shared" si="177"/>
        <v>941</v>
      </c>
      <c r="E2213" s="1">
        <f t="shared" si="178"/>
        <v>2520</v>
      </c>
      <c r="F2213" s="1">
        <f t="shared" si="174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5"/>
        <v>45027</v>
      </c>
      <c r="C2214" s="1">
        <f t="shared" si="176"/>
        <v>4712</v>
      </c>
      <c r="D2214" s="1">
        <f t="shared" si="177"/>
        <v>941</v>
      </c>
      <c r="E2214" s="1">
        <f t="shared" si="178"/>
        <v>2525</v>
      </c>
      <c r="F2214" s="1">
        <f t="shared" si="174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5"/>
        <v>45028</v>
      </c>
      <c r="C2215" s="1">
        <f t="shared" si="176"/>
        <v>4717</v>
      </c>
      <c r="D2215" s="1">
        <f t="shared" si="177"/>
        <v>941</v>
      </c>
      <c r="E2215" s="1">
        <f t="shared" si="178"/>
        <v>2540</v>
      </c>
      <c r="F2215" s="1">
        <f t="shared" si="174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5"/>
        <v>45029</v>
      </c>
      <c r="C2216" s="1">
        <f t="shared" si="176"/>
        <v>4712</v>
      </c>
      <c r="D2216" s="1">
        <f t="shared" si="177"/>
        <v>941</v>
      </c>
      <c r="E2216" s="1">
        <f t="shared" si="178"/>
        <v>2540</v>
      </c>
      <c r="F2216" s="1">
        <f t="shared" si="174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5"/>
        <v>45030</v>
      </c>
      <c r="C2217" s="1">
        <f t="shared" si="176"/>
        <v>4716</v>
      </c>
      <c r="D2217" s="1">
        <f t="shared" si="177"/>
        <v>941</v>
      </c>
      <c r="E2217" s="1">
        <f t="shared" si="178"/>
        <v>2540</v>
      </c>
      <c r="F2217" s="1">
        <f t="shared" si="174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5"/>
        <v>45033</v>
      </c>
      <c r="C2218" s="1">
        <f t="shared" si="176"/>
        <v>4716</v>
      </c>
      <c r="D2218" s="1">
        <f t="shared" si="177"/>
        <v>941</v>
      </c>
      <c r="E2218" s="1">
        <f t="shared" si="178"/>
        <v>2540</v>
      </c>
      <c r="F2218" s="1">
        <f t="shared" si="174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5"/>
        <v>45034</v>
      </c>
      <c r="C2219" s="1">
        <f t="shared" si="176"/>
        <v>4713</v>
      </c>
      <c r="D2219" s="1">
        <f t="shared" si="177"/>
        <v>921</v>
      </c>
      <c r="E2219" s="1">
        <f t="shared" si="178"/>
        <v>2535</v>
      </c>
      <c r="F2219" s="1">
        <f t="shared" si="174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5"/>
        <v>45035</v>
      </c>
      <c r="C2220" s="1">
        <f t="shared" si="176"/>
        <v>4710</v>
      </c>
      <c r="D2220" s="1">
        <f t="shared" si="177"/>
        <v>921</v>
      </c>
      <c r="E2220" s="1">
        <f t="shared" si="178"/>
        <v>2525</v>
      </c>
      <c r="F2220" s="1">
        <f t="shared" si="174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5"/>
        <v>45036</v>
      </c>
      <c r="C2221" s="1">
        <f t="shared" si="176"/>
        <v>4696</v>
      </c>
      <c r="D2221" s="1">
        <f t="shared" si="177"/>
        <v>921</v>
      </c>
      <c r="E2221" s="1">
        <f t="shared" si="178"/>
        <v>2505</v>
      </c>
      <c r="F2221" s="1">
        <f t="shared" si="174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5"/>
        <v>45037</v>
      </c>
      <c r="C2222" s="1">
        <f t="shared" si="176"/>
        <v>4679</v>
      </c>
      <c r="D2222" s="1">
        <f t="shared" si="177"/>
        <v>921</v>
      </c>
      <c r="E2222" s="1">
        <f t="shared" si="178"/>
        <v>2505</v>
      </c>
      <c r="F2222" s="1">
        <f t="shared" si="174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5"/>
        <v>45039</v>
      </c>
      <c r="C2223" s="1">
        <f t="shared" si="176"/>
        <v>4670</v>
      </c>
      <c r="D2223" s="1">
        <f t="shared" si="177"/>
        <v>921</v>
      </c>
      <c r="E2223" s="1">
        <f t="shared" si="178"/>
        <v>2505</v>
      </c>
      <c r="F2223" s="1">
        <f t="shared" si="174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5"/>
        <v>45040</v>
      </c>
      <c r="C2224" s="1">
        <f t="shared" si="176"/>
        <v>4651</v>
      </c>
      <c r="D2224" s="1">
        <f t="shared" si="177"/>
        <v>921</v>
      </c>
      <c r="E2224" s="1">
        <f t="shared" si="178"/>
        <v>2500</v>
      </c>
      <c r="F2224" s="1">
        <f t="shared" si="174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5"/>
        <v>45041</v>
      </c>
      <c r="C2225" s="1">
        <f t="shared" si="176"/>
        <v>4636</v>
      </c>
      <c r="D2225" s="1">
        <f t="shared" si="177"/>
        <v>921</v>
      </c>
      <c r="E2225" s="1">
        <f t="shared" si="178"/>
        <v>2480</v>
      </c>
      <c r="F2225" s="1">
        <f t="shared" si="174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5"/>
        <v>45042</v>
      </c>
      <c r="C2226" s="1">
        <f t="shared" si="176"/>
        <v>4628</v>
      </c>
      <c r="D2226" s="1">
        <f t="shared" si="177"/>
        <v>921</v>
      </c>
      <c r="E2226" s="1">
        <f t="shared" si="178"/>
        <v>2455</v>
      </c>
      <c r="F2226" s="1">
        <f t="shared" ref="F2226:F2289" si="179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5"/>
        <v>45043</v>
      </c>
      <c r="C2227" s="1">
        <f t="shared" si="176"/>
        <v>4613</v>
      </c>
      <c r="D2227" s="1">
        <f t="shared" si="177"/>
        <v>921</v>
      </c>
      <c r="E2227" s="1">
        <f t="shared" si="178"/>
        <v>2430</v>
      </c>
      <c r="F2227" s="1">
        <f t="shared" si="179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5"/>
        <v>45044</v>
      </c>
      <c r="C2228" s="1">
        <f t="shared" si="176"/>
        <v>4604</v>
      </c>
      <c r="D2228" s="1">
        <f t="shared" si="177"/>
        <v>921</v>
      </c>
      <c r="E2228" s="1">
        <f t="shared" si="178"/>
        <v>2430</v>
      </c>
      <c r="F2228" s="1">
        <f t="shared" si="179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5"/>
        <v>45047</v>
      </c>
      <c r="C2229" s="1">
        <f t="shared" si="176"/>
        <v>4604</v>
      </c>
      <c r="D2229" s="1">
        <f t="shared" si="177"/>
        <v>921</v>
      </c>
      <c r="E2229" s="1">
        <f t="shared" si="178"/>
        <v>2430</v>
      </c>
      <c r="F2229" s="1">
        <f t="shared" si="179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5"/>
        <v>45048</v>
      </c>
      <c r="C2230" s="1">
        <f t="shared" si="176"/>
        <v>4604</v>
      </c>
      <c r="D2230" s="1">
        <f t="shared" si="177"/>
        <v>921</v>
      </c>
      <c r="E2230" s="1">
        <f t="shared" si="178"/>
        <v>2430</v>
      </c>
      <c r="F2230" s="1">
        <f t="shared" si="179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5"/>
        <v>45049</v>
      </c>
      <c r="C2231" s="1">
        <f t="shared" si="176"/>
        <v>4604</v>
      </c>
      <c r="D2231" s="1">
        <f t="shared" si="177"/>
        <v>901</v>
      </c>
      <c r="E2231" s="1">
        <f t="shared" si="178"/>
        <v>2430</v>
      </c>
      <c r="F2231" s="1">
        <f t="shared" si="179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5"/>
        <v>45050</v>
      </c>
      <c r="C2232" s="1">
        <f t="shared" si="176"/>
        <v>4561</v>
      </c>
      <c r="D2232" s="1">
        <f t="shared" si="177"/>
        <v>891</v>
      </c>
      <c r="E2232" s="1">
        <f t="shared" si="178"/>
        <v>2400</v>
      </c>
      <c r="F2232" s="1">
        <f t="shared" si="179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5"/>
        <v>45051</v>
      </c>
      <c r="C2233" s="1">
        <f t="shared" si="176"/>
        <v>4537</v>
      </c>
      <c r="D2233" s="1">
        <f t="shared" si="177"/>
        <v>891</v>
      </c>
      <c r="E2233" s="1">
        <f t="shared" si="178"/>
        <v>2400</v>
      </c>
      <c r="F2233" s="1">
        <f t="shared" si="179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5"/>
        <v>45052</v>
      </c>
      <c r="C2234" s="1">
        <f t="shared" si="176"/>
        <v>4547</v>
      </c>
      <c r="D2234" s="1">
        <f t="shared" si="177"/>
        <v>891</v>
      </c>
      <c r="E2234" s="1">
        <f t="shared" si="178"/>
        <v>2400</v>
      </c>
      <c r="F2234" s="1">
        <f t="shared" si="179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5"/>
        <v>45054</v>
      </c>
      <c r="C2235" s="1">
        <f t="shared" si="176"/>
        <v>4541</v>
      </c>
      <c r="D2235" s="1">
        <f t="shared" si="177"/>
        <v>891</v>
      </c>
      <c r="E2235" s="1">
        <f t="shared" si="178"/>
        <v>2400</v>
      </c>
      <c r="F2235" s="1">
        <f t="shared" si="179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5"/>
        <v>45055</v>
      </c>
      <c r="C2236" s="1">
        <f t="shared" si="176"/>
        <v>4521</v>
      </c>
      <c r="D2236" s="1">
        <f t="shared" si="177"/>
        <v>891</v>
      </c>
      <c r="E2236" s="1">
        <f t="shared" si="178"/>
        <v>2400</v>
      </c>
      <c r="F2236" s="1">
        <f t="shared" si="179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5"/>
        <v>45056</v>
      </c>
      <c r="C2237" s="1">
        <f t="shared" si="176"/>
        <v>4496</v>
      </c>
      <c r="D2237" s="1">
        <f t="shared" si="177"/>
        <v>871</v>
      </c>
      <c r="E2237" s="1">
        <f t="shared" si="178"/>
        <v>2395</v>
      </c>
      <c r="F2237" s="1">
        <f t="shared" si="179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5"/>
        <v>45057</v>
      </c>
      <c r="C2238" s="1">
        <f t="shared" si="176"/>
        <v>4479</v>
      </c>
      <c r="D2238" s="1">
        <f t="shared" si="177"/>
        <v>866</v>
      </c>
      <c r="E2238" s="1">
        <f t="shared" si="178"/>
        <v>2395</v>
      </c>
      <c r="F2238" s="1">
        <f t="shared" si="179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5"/>
        <v>45058</v>
      </c>
      <c r="C2239" s="1">
        <f t="shared" si="176"/>
        <v>4464</v>
      </c>
      <c r="D2239" s="1">
        <f t="shared" si="177"/>
        <v>866</v>
      </c>
      <c r="E2239" s="1">
        <f t="shared" si="178"/>
        <v>2395</v>
      </c>
      <c r="F2239" s="1">
        <f t="shared" si="179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5"/>
        <v>45061</v>
      </c>
      <c r="C2240" s="1">
        <f t="shared" si="176"/>
        <v>4430</v>
      </c>
      <c r="D2240" s="1">
        <f t="shared" si="177"/>
        <v>866</v>
      </c>
      <c r="E2240" s="1">
        <f t="shared" si="178"/>
        <v>2350</v>
      </c>
      <c r="F2240" s="1">
        <f t="shared" si="179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5"/>
        <v>45062</v>
      </c>
      <c r="C2241" s="1">
        <f t="shared" si="176"/>
        <v>4410</v>
      </c>
      <c r="D2241" s="1">
        <f t="shared" si="177"/>
        <v>866</v>
      </c>
      <c r="E2241" s="1">
        <f t="shared" si="178"/>
        <v>2320</v>
      </c>
      <c r="F2241" s="1">
        <f t="shared" si="179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5"/>
        <v>45063</v>
      </c>
      <c r="C2242" s="1">
        <f t="shared" si="176"/>
        <v>4398</v>
      </c>
      <c r="D2242" s="1">
        <f t="shared" si="177"/>
        <v>866</v>
      </c>
      <c r="E2242" s="1">
        <f t="shared" si="178"/>
        <v>2300</v>
      </c>
      <c r="F2242" s="1">
        <f t="shared" si="179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5"/>
        <v>45064</v>
      </c>
      <c r="C2243" s="1">
        <f t="shared" si="176"/>
        <v>4406</v>
      </c>
      <c r="D2243" s="1">
        <f t="shared" si="177"/>
        <v>851</v>
      </c>
      <c r="E2243" s="1">
        <f t="shared" si="178"/>
        <v>2285</v>
      </c>
      <c r="F2243" s="1">
        <f t="shared" si="179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5"/>
        <v>45065</v>
      </c>
      <c r="C2244" s="1">
        <f t="shared" si="176"/>
        <v>4403</v>
      </c>
      <c r="D2244" s="1">
        <f t="shared" si="177"/>
        <v>841</v>
      </c>
      <c r="E2244" s="1">
        <f t="shared" si="178"/>
        <v>2280</v>
      </c>
      <c r="F2244" s="1">
        <f t="shared" si="179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5"/>
        <v>45068</v>
      </c>
      <c r="C2245" s="1">
        <f t="shared" si="176"/>
        <v>4378</v>
      </c>
      <c r="D2245" s="1">
        <f t="shared" si="177"/>
        <v>841</v>
      </c>
      <c r="E2245" s="1">
        <f t="shared" si="178"/>
        <v>2225</v>
      </c>
      <c r="F2245" s="1">
        <f t="shared" si="179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80">L2246</f>
        <v>45069</v>
      </c>
      <c r="C2246" s="1">
        <f t="shared" si="176"/>
        <v>4361</v>
      </c>
      <c r="D2246" s="1">
        <f t="shared" si="177"/>
        <v>831</v>
      </c>
      <c r="E2246" s="1">
        <f t="shared" si="178"/>
        <v>2215</v>
      </c>
      <c r="F2246" s="1">
        <f t="shared" si="179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80"/>
        <v>45070</v>
      </c>
      <c r="C2247" s="1">
        <f t="shared" ref="C2247:C2310" si="181">IF(M2247&lt;&gt;0,M2247,C2246)</f>
        <v>4348</v>
      </c>
      <c r="D2247" s="1">
        <f t="shared" ref="D2247:D2310" si="182">IF(N2247&lt;&gt;0,N2247,D2246)</f>
        <v>831</v>
      </c>
      <c r="E2247" s="1">
        <f t="shared" ref="E2247:E2310" si="183">IF(O2247&lt;&gt;0,O2247,E2246)</f>
        <v>2205</v>
      </c>
      <c r="F2247" s="1">
        <f t="shared" si="179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80"/>
        <v>45071</v>
      </c>
      <c r="C2248" s="1">
        <f t="shared" si="181"/>
        <v>4334</v>
      </c>
      <c r="D2248" s="1">
        <f t="shared" si="182"/>
        <v>821</v>
      </c>
      <c r="E2248" s="1">
        <f t="shared" si="183"/>
        <v>2190</v>
      </c>
      <c r="F2248" s="1">
        <f t="shared" si="179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80"/>
        <v>45072</v>
      </c>
      <c r="C2249" s="1">
        <f t="shared" si="181"/>
        <v>4325</v>
      </c>
      <c r="D2249" s="1">
        <f t="shared" si="182"/>
        <v>821</v>
      </c>
      <c r="E2249" s="1">
        <f t="shared" si="183"/>
        <v>2190</v>
      </c>
      <c r="F2249" s="1">
        <f t="shared" si="179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80"/>
        <v>45075</v>
      </c>
      <c r="C2250" s="1">
        <f t="shared" si="181"/>
        <v>4322</v>
      </c>
      <c r="D2250" s="1">
        <f t="shared" si="182"/>
        <v>821</v>
      </c>
      <c r="E2250" s="1">
        <f t="shared" si="183"/>
        <v>2140</v>
      </c>
      <c r="F2250" s="1">
        <f t="shared" si="179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80"/>
        <v>45076</v>
      </c>
      <c r="C2251" s="1">
        <f t="shared" si="181"/>
        <v>4323</v>
      </c>
      <c r="D2251" s="1">
        <f t="shared" si="182"/>
        <v>821</v>
      </c>
      <c r="E2251" s="1">
        <f t="shared" si="183"/>
        <v>2130</v>
      </c>
      <c r="F2251" s="1">
        <f t="shared" si="179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80"/>
        <v>45077</v>
      </c>
      <c r="C2252" s="1">
        <f t="shared" si="181"/>
        <v>4291</v>
      </c>
      <c r="D2252" s="1">
        <f t="shared" si="182"/>
        <v>821</v>
      </c>
      <c r="E2252" s="1">
        <f t="shared" si="183"/>
        <v>2125</v>
      </c>
      <c r="F2252" s="1">
        <f t="shared" si="179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80"/>
        <v>45078</v>
      </c>
      <c r="C2253" s="1">
        <f t="shared" si="181"/>
        <v>4289</v>
      </c>
      <c r="D2253" s="1">
        <f t="shared" si="182"/>
        <v>821</v>
      </c>
      <c r="E2253" s="1">
        <f t="shared" si="183"/>
        <v>2140</v>
      </c>
      <c r="F2253" s="1">
        <f t="shared" si="179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80"/>
        <v>45079</v>
      </c>
      <c r="C2254" s="1">
        <f t="shared" si="181"/>
        <v>4292</v>
      </c>
      <c r="D2254" s="1">
        <f t="shared" si="182"/>
        <v>771</v>
      </c>
      <c r="E2254" s="1">
        <f t="shared" si="183"/>
        <v>2155</v>
      </c>
      <c r="F2254" s="1">
        <f t="shared" si="179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80"/>
        <v>45082</v>
      </c>
      <c r="C2255" s="1">
        <f t="shared" si="181"/>
        <v>4301</v>
      </c>
      <c r="D2255" s="1">
        <f t="shared" si="182"/>
        <v>771</v>
      </c>
      <c r="E2255" s="1">
        <f t="shared" si="183"/>
        <v>2210</v>
      </c>
      <c r="F2255" s="1">
        <f t="shared" si="179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80"/>
        <v>45083</v>
      </c>
      <c r="C2256" s="1">
        <f t="shared" si="181"/>
        <v>4319</v>
      </c>
      <c r="D2256" s="1">
        <f t="shared" si="182"/>
        <v>761</v>
      </c>
      <c r="E2256" s="1">
        <f t="shared" si="183"/>
        <v>2270</v>
      </c>
      <c r="F2256" s="1">
        <f t="shared" si="179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80"/>
        <v>45084</v>
      </c>
      <c r="C2257" s="1">
        <f t="shared" si="181"/>
        <v>4313</v>
      </c>
      <c r="D2257" s="1">
        <f t="shared" si="182"/>
        <v>761</v>
      </c>
      <c r="E2257" s="1">
        <f t="shared" si="183"/>
        <v>2300</v>
      </c>
      <c r="F2257" s="1">
        <f t="shared" si="179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80"/>
        <v>45085</v>
      </c>
      <c r="C2258" s="1">
        <f t="shared" si="181"/>
        <v>4304</v>
      </c>
      <c r="D2258" s="1">
        <f t="shared" si="182"/>
        <v>751</v>
      </c>
      <c r="E2258" s="1">
        <f t="shared" si="183"/>
        <v>2300</v>
      </c>
      <c r="F2258" s="1">
        <f t="shared" si="179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80"/>
        <v>45086</v>
      </c>
      <c r="C2259" s="1">
        <f t="shared" si="181"/>
        <v>4291</v>
      </c>
      <c r="D2259" s="1">
        <f t="shared" si="182"/>
        <v>731</v>
      </c>
      <c r="E2259" s="1">
        <f t="shared" si="183"/>
        <v>2310</v>
      </c>
      <c r="F2259" s="1">
        <f t="shared" si="179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80"/>
        <v>45089</v>
      </c>
      <c r="C2260" s="1">
        <f t="shared" si="181"/>
        <v>4273</v>
      </c>
      <c r="D2260" s="1">
        <f t="shared" si="182"/>
        <v>726</v>
      </c>
      <c r="E2260" s="1">
        <f t="shared" si="183"/>
        <v>2270</v>
      </c>
      <c r="F2260" s="1">
        <f t="shared" si="179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80"/>
        <v>45090</v>
      </c>
      <c r="C2261" s="1">
        <f t="shared" si="181"/>
        <v>4252</v>
      </c>
      <c r="D2261" s="1">
        <f t="shared" si="182"/>
        <v>726</v>
      </c>
      <c r="E2261" s="1">
        <f t="shared" si="183"/>
        <v>2210</v>
      </c>
      <c r="F2261" s="1">
        <f t="shared" si="179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80"/>
        <v>45091</v>
      </c>
      <c r="C2262" s="1">
        <f t="shared" si="181"/>
        <v>4267</v>
      </c>
      <c r="D2262" s="1">
        <f t="shared" si="182"/>
        <v>716</v>
      </c>
      <c r="E2262" s="1">
        <f t="shared" si="183"/>
        <v>2180</v>
      </c>
      <c r="F2262" s="1">
        <f t="shared" si="179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80"/>
        <v>45092</v>
      </c>
      <c r="C2263" s="1">
        <f t="shared" si="181"/>
        <v>4255</v>
      </c>
      <c r="D2263" s="1">
        <f t="shared" si="182"/>
        <v>716</v>
      </c>
      <c r="E2263" s="1">
        <f t="shared" si="183"/>
        <v>2140</v>
      </c>
      <c r="F2263" s="1">
        <f t="shared" si="179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80"/>
        <v>45093</v>
      </c>
      <c r="C2264" s="1">
        <f t="shared" si="181"/>
        <v>4261</v>
      </c>
      <c r="D2264" s="1">
        <f t="shared" si="182"/>
        <v>716</v>
      </c>
      <c r="E2264" s="1">
        <f t="shared" si="183"/>
        <v>2140</v>
      </c>
      <c r="F2264" s="1">
        <f t="shared" si="179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80"/>
        <v>45096</v>
      </c>
      <c r="C2265" s="1">
        <f t="shared" si="181"/>
        <v>4241</v>
      </c>
      <c r="D2265" s="1">
        <f t="shared" si="182"/>
        <v>716</v>
      </c>
      <c r="E2265" s="1">
        <f t="shared" si="183"/>
        <v>2130</v>
      </c>
      <c r="F2265" s="1">
        <f t="shared" si="179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80"/>
        <v>45097</v>
      </c>
      <c r="C2266" s="1">
        <f t="shared" si="181"/>
        <v>4238</v>
      </c>
      <c r="D2266" s="1">
        <f t="shared" si="182"/>
        <v>716</v>
      </c>
      <c r="E2266" s="1">
        <f t="shared" si="183"/>
        <v>2150</v>
      </c>
      <c r="F2266" s="1">
        <f t="shared" si="179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80"/>
        <v>45098</v>
      </c>
      <c r="C2267" s="1">
        <f t="shared" si="181"/>
        <v>4250</v>
      </c>
      <c r="D2267" s="1">
        <f t="shared" si="182"/>
        <v>716</v>
      </c>
      <c r="E2267" s="1">
        <f t="shared" si="183"/>
        <v>2150</v>
      </c>
      <c r="F2267" s="1">
        <f t="shared" si="179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80"/>
        <v>45099</v>
      </c>
      <c r="C2268" s="1">
        <f t="shared" si="181"/>
        <v>4250</v>
      </c>
      <c r="D2268" s="1">
        <f t="shared" si="182"/>
        <v>716</v>
      </c>
      <c r="E2268" s="1">
        <f t="shared" si="183"/>
        <v>2150</v>
      </c>
      <c r="F2268" s="1">
        <f t="shared" si="179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80"/>
        <v>45100</v>
      </c>
      <c r="C2269" s="1">
        <f t="shared" si="181"/>
        <v>4250</v>
      </c>
      <c r="D2269" s="1">
        <f t="shared" si="182"/>
        <v>731</v>
      </c>
      <c r="E2269" s="1">
        <f t="shared" si="183"/>
        <v>2150</v>
      </c>
      <c r="F2269" s="1">
        <f t="shared" si="179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80"/>
        <v>45102</v>
      </c>
      <c r="C2270" s="1">
        <f t="shared" si="181"/>
        <v>4252</v>
      </c>
      <c r="D2270" s="1">
        <f t="shared" si="182"/>
        <v>731</v>
      </c>
      <c r="E2270" s="1">
        <f t="shared" si="183"/>
        <v>2150</v>
      </c>
      <c r="F2270" s="1">
        <f t="shared" si="179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80"/>
        <v>45103</v>
      </c>
      <c r="C2271" s="1">
        <f t="shared" si="181"/>
        <v>4240</v>
      </c>
      <c r="D2271" s="1">
        <f t="shared" si="182"/>
        <v>731</v>
      </c>
      <c r="E2271" s="1">
        <f t="shared" si="183"/>
        <v>2130</v>
      </c>
      <c r="F2271" s="1">
        <f t="shared" si="179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80"/>
        <v>45104</v>
      </c>
      <c r="C2272" s="1">
        <f t="shared" si="181"/>
        <v>4217</v>
      </c>
      <c r="D2272" s="1">
        <f t="shared" si="182"/>
        <v>731</v>
      </c>
      <c r="E2272" s="1">
        <f t="shared" si="183"/>
        <v>2130</v>
      </c>
      <c r="F2272" s="1">
        <f t="shared" si="179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80"/>
        <v>45105</v>
      </c>
      <c r="C2273" s="1">
        <f t="shared" si="181"/>
        <v>4222</v>
      </c>
      <c r="D2273" s="1">
        <f t="shared" si="182"/>
        <v>731</v>
      </c>
      <c r="E2273" s="1">
        <f t="shared" si="183"/>
        <v>2160</v>
      </c>
      <c r="F2273" s="1">
        <f t="shared" si="179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80"/>
        <v>45106</v>
      </c>
      <c r="C2274" s="1">
        <f t="shared" si="181"/>
        <v>4233</v>
      </c>
      <c r="D2274" s="1">
        <f t="shared" si="182"/>
        <v>751</v>
      </c>
      <c r="E2274" s="1">
        <f t="shared" si="183"/>
        <v>2190</v>
      </c>
      <c r="F2274" s="1">
        <f t="shared" si="179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80"/>
        <v>45107</v>
      </c>
      <c r="C2275" s="1">
        <f t="shared" si="181"/>
        <v>4244</v>
      </c>
      <c r="D2275" s="1">
        <f t="shared" si="182"/>
        <v>751</v>
      </c>
      <c r="E2275" s="1">
        <f t="shared" si="183"/>
        <v>2220</v>
      </c>
      <c r="F2275" s="1">
        <f t="shared" si="179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80"/>
        <v>45110</v>
      </c>
      <c r="C2276" s="1">
        <f t="shared" si="181"/>
        <v>4261</v>
      </c>
      <c r="D2276" s="1">
        <f t="shared" si="182"/>
        <v>751</v>
      </c>
      <c r="E2276" s="1">
        <f t="shared" si="183"/>
        <v>2275</v>
      </c>
      <c r="F2276" s="1">
        <f t="shared" si="179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80"/>
        <v>45111</v>
      </c>
      <c r="C2277" s="1">
        <f t="shared" si="181"/>
        <v>4270</v>
      </c>
      <c r="D2277" s="1">
        <f t="shared" si="182"/>
        <v>751</v>
      </c>
      <c r="E2277" s="1">
        <f t="shared" si="183"/>
        <v>2285</v>
      </c>
      <c r="F2277" s="1">
        <f t="shared" si="179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80"/>
        <v>45112</v>
      </c>
      <c r="C2278" s="1">
        <f t="shared" si="181"/>
        <v>4267</v>
      </c>
      <c r="D2278" s="1">
        <f t="shared" si="182"/>
        <v>751</v>
      </c>
      <c r="E2278" s="1">
        <f t="shared" si="183"/>
        <v>2290</v>
      </c>
      <c r="F2278" s="1">
        <f t="shared" si="179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80"/>
        <v>45113</v>
      </c>
      <c r="C2279" s="1">
        <f t="shared" si="181"/>
        <v>4273</v>
      </c>
      <c r="D2279" s="1">
        <f t="shared" si="182"/>
        <v>751</v>
      </c>
      <c r="E2279" s="1">
        <f t="shared" si="183"/>
        <v>2290</v>
      </c>
      <c r="F2279" s="1">
        <f t="shared" si="179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80"/>
        <v>45114</v>
      </c>
      <c r="C2280" s="1">
        <f t="shared" si="181"/>
        <v>4285</v>
      </c>
      <c r="D2280" s="1">
        <f t="shared" si="182"/>
        <v>751</v>
      </c>
      <c r="E2280" s="1">
        <f t="shared" si="183"/>
        <v>2290</v>
      </c>
      <c r="F2280" s="1">
        <f t="shared" si="179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80"/>
        <v>45117</v>
      </c>
      <c r="C2281" s="1">
        <f t="shared" si="181"/>
        <v>4317</v>
      </c>
      <c r="D2281" s="1">
        <f t="shared" si="182"/>
        <v>751</v>
      </c>
      <c r="E2281" s="1">
        <f t="shared" si="183"/>
        <v>2290</v>
      </c>
      <c r="F2281" s="1">
        <f t="shared" si="179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80"/>
        <v>45118</v>
      </c>
      <c r="C2282" s="1">
        <f t="shared" si="181"/>
        <v>4340</v>
      </c>
      <c r="D2282" s="1">
        <f t="shared" si="182"/>
        <v>751</v>
      </c>
      <c r="E2282" s="1">
        <f t="shared" si="183"/>
        <v>2310</v>
      </c>
      <c r="F2282" s="1">
        <f t="shared" si="179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80"/>
        <v>45119</v>
      </c>
      <c r="C2283" s="1">
        <f t="shared" si="181"/>
        <v>4360</v>
      </c>
      <c r="D2283" s="1">
        <f t="shared" si="182"/>
        <v>751</v>
      </c>
      <c r="E2283" s="1">
        <f t="shared" si="183"/>
        <v>2345</v>
      </c>
      <c r="F2283" s="1">
        <f t="shared" si="179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80"/>
        <v>45120</v>
      </c>
      <c r="C2284" s="1">
        <f t="shared" si="181"/>
        <v>4375</v>
      </c>
      <c r="D2284" s="1">
        <f t="shared" si="182"/>
        <v>751</v>
      </c>
      <c r="E2284" s="1">
        <f t="shared" si="183"/>
        <v>2390</v>
      </c>
      <c r="F2284" s="1">
        <f t="shared" si="179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80"/>
        <v>45121</v>
      </c>
      <c r="C2285" s="1">
        <f t="shared" si="181"/>
        <v>4405</v>
      </c>
      <c r="D2285" s="1">
        <f t="shared" si="182"/>
        <v>751</v>
      </c>
      <c r="E2285" s="1">
        <f t="shared" si="183"/>
        <v>2405</v>
      </c>
      <c r="F2285" s="1">
        <f t="shared" si="179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80"/>
        <v>45124</v>
      </c>
      <c r="C2286" s="1">
        <f t="shared" si="181"/>
        <v>4403</v>
      </c>
      <c r="D2286" s="1">
        <f t="shared" si="182"/>
        <v>751</v>
      </c>
      <c r="E2286" s="1">
        <f t="shared" si="183"/>
        <v>2405</v>
      </c>
      <c r="F2286" s="1">
        <f t="shared" si="179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80"/>
        <v>45125</v>
      </c>
      <c r="C2287" s="1">
        <f t="shared" si="181"/>
        <v>4397</v>
      </c>
      <c r="D2287" s="1">
        <f t="shared" si="182"/>
        <v>751</v>
      </c>
      <c r="E2287" s="1">
        <f t="shared" si="183"/>
        <v>2390</v>
      </c>
      <c r="F2287" s="1">
        <f t="shared" si="179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80"/>
        <v>45126</v>
      </c>
      <c r="C2288" s="1">
        <f t="shared" si="181"/>
        <v>4419</v>
      </c>
      <c r="D2288" s="1">
        <f t="shared" si="182"/>
        <v>771</v>
      </c>
      <c r="E2288" s="1">
        <f t="shared" si="183"/>
        <v>2385</v>
      </c>
      <c r="F2288" s="1">
        <f t="shared" si="179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80"/>
        <v>45127</v>
      </c>
      <c r="C2289" s="1">
        <f t="shared" si="181"/>
        <v>4424</v>
      </c>
      <c r="D2289" s="1">
        <f t="shared" si="182"/>
        <v>771</v>
      </c>
      <c r="E2289" s="1">
        <f t="shared" si="183"/>
        <v>2390</v>
      </c>
      <c r="F2289" s="1">
        <f t="shared" si="179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80"/>
        <v>45128</v>
      </c>
      <c r="C2290" s="1">
        <f t="shared" si="181"/>
        <v>4431</v>
      </c>
      <c r="D2290" s="1">
        <f t="shared" si="182"/>
        <v>771</v>
      </c>
      <c r="E2290" s="1">
        <f t="shared" si="183"/>
        <v>2410</v>
      </c>
      <c r="F2290" s="1">
        <f t="shared" ref="F2290:F2353" si="184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80"/>
        <v>45131</v>
      </c>
      <c r="C2291" s="1">
        <f t="shared" si="181"/>
        <v>4422</v>
      </c>
      <c r="D2291" s="1">
        <f t="shared" si="182"/>
        <v>771</v>
      </c>
      <c r="E2291" s="1">
        <f t="shared" si="183"/>
        <v>2410</v>
      </c>
      <c r="F2291" s="1">
        <f t="shared" si="184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80"/>
        <v>45132</v>
      </c>
      <c r="C2292" s="1">
        <f t="shared" si="181"/>
        <v>4439</v>
      </c>
      <c r="D2292" s="1">
        <f t="shared" si="182"/>
        <v>771</v>
      </c>
      <c r="E2292" s="1">
        <f t="shared" si="183"/>
        <v>2410</v>
      </c>
      <c r="F2292" s="1">
        <f t="shared" si="184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80"/>
        <v>45133</v>
      </c>
      <c r="C2293" s="1">
        <f t="shared" si="181"/>
        <v>4473</v>
      </c>
      <c r="D2293" s="1">
        <f t="shared" si="182"/>
        <v>771</v>
      </c>
      <c r="E2293" s="1">
        <f t="shared" si="183"/>
        <v>2410</v>
      </c>
      <c r="F2293" s="1">
        <f t="shared" si="184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80"/>
        <v>45134</v>
      </c>
      <c r="C2294" s="1">
        <f t="shared" si="181"/>
        <v>4503</v>
      </c>
      <c r="D2294" s="1">
        <f t="shared" si="182"/>
        <v>771</v>
      </c>
      <c r="E2294" s="1">
        <f t="shared" si="183"/>
        <v>2520</v>
      </c>
      <c r="F2294" s="1">
        <f t="shared" si="184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80"/>
        <v>45135</v>
      </c>
      <c r="C2295" s="1">
        <f t="shared" si="181"/>
        <v>4547</v>
      </c>
      <c r="D2295" s="1">
        <f t="shared" si="182"/>
        <v>776</v>
      </c>
      <c r="E2295" s="1">
        <f t="shared" si="183"/>
        <v>2610</v>
      </c>
      <c r="F2295" s="1">
        <f t="shared" si="184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80"/>
        <v>45138</v>
      </c>
      <c r="C2296" s="1">
        <f t="shared" si="181"/>
        <v>4607</v>
      </c>
      <c r="D2296" s="1">
        <f t="shared" si="182"/>
        <v>776</v>
      </c>
      <c r="E2296" s="1">
        <f t="shared" si="183"/>
        <v>2605</v>
      </c>
      <c r="F2296" s="1">
        <f t="shared" si="184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80"/>
        <v>45139</v>
      </c>
      <c r="C2297" s="1">
        <f t="shared" si="181"/>
        <v>4622</v>
      </c>
      <c r="D2297" s="1">
        <f t="shared" si="182"/>
        <v>776</v>
      </c>
      <c r="E2297" s="1">
        <f t="shared" si="183"/>
        <v>2575</v>
      </c>
      <c r="F2297" s="1">
        <f t="shared" si="184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80"/>
        <v>45140</v>
      </c>
      <c r="C2298" s="1">
        <f t="shared" si="181"/>
        <v>4636</v>
      </c>
      <c r="D2298" s="1">
        <f t="shared" si="182"/>
        <v>791</v>
      </c>
      <c r="E2298" s="1">
        <f t="shared" si="183"/>
        <v>2545</v>
      </c>
      <c r="F2298" s="1">
        <f t="shared" si="184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80"/>
        <v>45141</v>
      </c>
      <c r="C2299" s="1">
        <f t="shared" si="181"/>
        <v>4627</v>
      </c>
      <c r="D2299" s="1">
        <f t="shared" si="182"/>
        <v>811</v>
      </c>
      <c r="E2299" s="1">
        <f t="shared" si="183"/>
        <v>2535</v>
      </c>
      <c r="F2299" s="1">
        <f t="shared" si="184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80"/>
        <v>45142</v>
      </c>
      <c r="C2300" s="1">
        <f t="shared" si="181"/>
        <v>4627</v>
      </c>
      <c r="D2300" s="1">
        <f t="shared" si="182"/>
        <v>811</v>
      </c>
      <c r="E2300" s="1">
        <f t="shared" si="183"/>
        <v>2525</v>
      </c>
      <c r="F2300" s="1">
        <f t="shared" si="184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80"/>
        <v>45145</v>
      </c>
      <c r="C2301" s="1">
        <f t="shared" si="181"/>
        <v>4598</v>
      </c>
      <c r="D2301" s="1">
        <f t="shared" si="182"/>
        <v>811</v>
      </c>
      <c r="E2301" s="1">
        <f t="shared" si="183"/>
        <v>2485</v>
      </c>
      <c r="F2301" s="1">
        <f t="shared" si="184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80"/>
        <v>45146</v>
      </c>
      <c r="C2302" s="1">
        <f t="shared" si="181"/>
        <v>4592</v>
      </c>
      <c r="D2302" s="1">
        <f t="shared" si="182"/>
        <v>811</v>
      </c>
      <c r="E2302" s="1">
        <f t="shared" si="183"/>
        <v>2475</v>
      </c>
      <c r="F2302" s="1">
        <f t="shared" si="184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80"/>
        <v>45147</v>
      </c>
      <c r="C2303" s="1">
        <f t="shared" si="181"/>
        <v>4609</v>
      </c>
      <c r="D2303" s="1">
        <f t="shared" si="182"/>
        <v>811</v>
      </c>
      <c r="E2303" s="1">
        <f t="shared" si="183"/>
        <v>2480</v>
      </c>
      <c r="F2303" s="1">
        <f t="shared" si="184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80"/>
        <v>45148</v>
      </c>
      <c r="C2304" s="1">
        <f t="shared" si="181"/>
        <v>4625</v>
      </c>
      <c r="D2304" s="1">
        <f t="shared" si="182"/>
        <v>811</v>
      </c>
      <c r="E2304" s="1">
        <f t="shared" si="183"/>
        <v>2520</v>
      </c>
      <c r="F2304" s="1">
        <f t="shared" si="184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80"/>
        <v>45149</v>
      </c>
      <c r="C2305" s="1">
        <f t="shared" si="181"/>
        <v>4644</v>
      </c>
      <c r="D2305" s="1">
        <f t="shared" si="182"/>
        <v>811</v>
      </c>
      <c r="E2305" s="1">
        <f t="shared" si="183"/>
        <v>2540</v>
      </c>
      <c r="F2305" s="1">
        <f t="shared" si="184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80"/>
        <v>45152</v>
      </c>
      <c r="C2306" s="1">
        <f t="shared" si="181"/>
        <v>4638</v>
      </c>
      <c r="D2306" s="1">
        <f t="shared" si="182"/>
        <v>831</v>
      </c>
      <c r="E2306" s="1">
        <f t="shared" si="183"/>
        <v>2540</v>
      </c>
      <c r="F2306" s="1">
        <f t="shared" si="184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80"/>
        <v>45153</v>
      </c>
      <c r="C2307" s="1">
        <f t="shared" si="181"/>
        <v>4642</v>
      </c>
      <c r="D2307" s="1">
        <f t="shared" si="182"/>
        <v>831</v>
      </c>
      <c r="E2307" s="1">
        <f t="shared" si="183"/>
        <v>2555</v>
      </c>
      <c r="F2307" s="1">
        <f t="shared" si="184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80"/>
        <v>45154</v>
      </c>
      <c r="C2308" s="1">
        <f t="shared" si="181"/>
        <v>4657</v>
      </c>
      <c r="D2308" s="1">
        <f t="shared" si="182"/>
        <v>831</v>
      </c>
      <c r="E2308" s="1">
        <f t="shared" si="183"/>
        <v>2570</v>
      </c>
      <c r="F2308" s="1">
        <f t="shared" si="184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80"/>
        <v>45155</v>
      </c>
      <c r="C2309" s="1">
        <f t="shared" si="181"/>
        <v>4657</v>
      </c>
      <c r="D2309" s="1">
        <f t="shared" si="182"/>
        <v>831</v>
      </c>
      <c r="E2309" s="1">
        <f t="shared" si="183"/>
        <v>2590</v>
      </c>
      <c r="F2309" s="1">
        <f t="shared" si="184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5">L2310</f>
        <v>45156</v>
      </c>
      <c r="C2310" s="1">
        <f t="shared" si="181"/>
        <v>4669</v>
      </c>
      <c r="D2310" s="1">
        <f t="shared" si="182"/>
        <v>831</v>
      </c>
      <c r="E2310" s="1">
        <f t="shared" si="183"/>
        <v>2595</v>
      </c>
      <c r="F2310" s="1">
        <f t="shared" si="184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5"/>
        <v>45159</v>
      </c>
      <c r="C2311" s="1">
        <f t="shared" ref="C2311:C2374" si="186">IF(M2311&lt;&gt;0,M2311,C2310)</f>
        <v>4710</v>
      </c>
      <c r="D2311" s="1">
        <f t="shared" ref="D2311:D2374" si="187">IF(N2311&lt;&gt;0,N2311,D2310)</f>
        <v>831</v>
      </c>
      <c r="E2311" s="1">
        <f t="shared" ref="E2311:E2374" si="188">IF(O2311&lt;&gt;0,O2311,E2310)</f>
        <v>2595</v>
      </c>
      <c r="F2311" s="1">
        <f t="shared" si="184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5"/>
        <v>45160</v>
      </c>
      <c r="C2312" s="1">
        <f t="shared" si="186"/>
        <v>4740</v>
      </c>
      <c r="D2312" s="1">
        <f t="shared" si="187"/>
        <v>831</v>
      </c>
      <c r="E2312" s="1">
        <f t="shared" si="188"/>
        <v>2580</v>
      </c>
      <c r="F2312" s="1">
        <f t="shared" si="184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5"/>
        <v>45161</v>
      </c>
      <c r="C2313" s="1">
        <f t="shared" si="186"/>
        <v>4765</v>
      </c>
      <c r="D2313" s="1">
        <f t="shared" si="187"/>
        <v>831</v>
      </c>
      <c r="E2313" s="1">
        <f t="shared" si="188"/>
        <v>2580</v>
      </c>
      <c r="F2313" s="1">
        <f t="shared" si="184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5"/>
        <v>45162</v>
      </c>
      <c r="C2314" s="1">
        <f t="shared" si="186"/>
        <v>4779</v>
      </c>
      <c r="D2314" s="1">
        <f t="shared" si="187"/>
        <v>831</v>
      </c>
      <c r="E2314" s="1">
        <f t="shared" si="188"/>
        <v>2600</v>
      </c>
      <c r="F2314" s="1">
        <f t="shared" si="184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5"/>
        <v>45163</v>
      </c>
      <c r="C2315" s="1">
        <f t="shared" si="186"/>
        <v>4795</v>
      </c>
      <c r="D2315" s="1">
        <f t="shared" si="187"/>
        <v>831</v>
      </c>
      <c r="E2315" s="1">
        <f t="shared" si="188"/>
        <v>2605</v>
      </c>
      <c r="F2315" s="1">
        <f t="shared" si="184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5"/>
        <v>45166</v>
      </c>
      <c r="C2316" s="1">
        <f t="shared" si="186"/>
        <v>4812</v>
      </c>
      <c r="D2316" s="1">
        <f t="shared" si="187"/>
        <v>831</v>
      </c>
      <c r="E2316" s="1">
        <f t="shared" si="188"/>
        <v>2605</v>
      </c>
      <c r="F2316" s="1">
        <f t="shared" si="184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5"/>
        <v>45167</v>
      </c>
      <c r="C2317" s="1">
        <f t="shared" si="186"/>
        <v>4818</v>
      </c>
      <c r="D2317" s="1">
        <f t="shared" si="187"/>
        <v>831</v>
      </c>
      <c r="E2317" s="1">
        <f t="shared" si="188"/>
        <v>2600</v>
      </c>
      <c r="F2317" s="1">
        <f t="shared" si="184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5"/>
        <v>45168</v>
      </c>
      <c r="C2318" s="1">
        <f t="shared" si="186"/>
        <v>4835</v>
      </c>
      <c r="D2318" s="1">
        <f t="shared" si="187"/>
        <v>831</v>
      </c>
      <c r="E2318" s="1">
        <f t="shared" si="188"/>
        <v>2595</v>
      </c>
      <c r="F2318" s="1">
        <f t="shared" si="184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5"/>
        <v>45169</v>
      </c>
      <c r="C2319" s="1">
        <f t="shared" si="186"/>
        <v>4846</v>
      </c>
      <c r="D2319" s="1">
        <f t="shared" si="187"/>
        <v>831</v>
      </c>
      <c r="E2319" s="1">
        <f t="shared" si="188"/>
        <v>2605</v>
      </c>
      <c r="F2319" s="1">
        <f t="shared" si="184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5"/>
        <v>45170</v>
      </c>
      <c r="C2320" s="1">
        <f t="shared" si="186"/>
        <v>4873</v>
      </c>
      <c r="D2320" s="1">
        <f t="shared" si="187"/>
        <v>831</v>
      </c>
      <c r="E2320" s="1">
        <f t="shared" si="188"/>
        <v>2605</v>
      </c>
      <c r="F2320" s="1">
        <f t="shared" si="184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5"/>
        <v>45173</v>
      </c>
      <c r="C2321" s="1">
        <f t="shared" si="186"/>
        <v>4904</v>
      </c>
      <c r="D2321" s="1">
        <f t="shared" si="187"/>
        <v>821</v>
      </c>
      <c r="E2321" s="1">
        <f t="shared" si="188"/>
        <v>2650</v>
      </c>
      <c r="F2321" s="1">
        <f t="shared" si="184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5"/>
        <v>45174</v>
      </c>
      <c r="C2322" s="1">
        <f t="shared" si="186"/>
        <v>4915</v>
      </c>
      <c r="D2322" s="1">
        <f t="shared" si="187"/>
        <v>821</v>
      </c>
      <c r="E2322" s="1">
        <f t="shared" si="188"/>
        <v>2650</v>
      </c>
      <c r="F2322" s="1">
        <f t="shared" si="184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5"/>
        <v>45175</v>
      </c>
      <c r="C2323" s="1">
        <f t="shared" si="186"/>
        <v>4935</v>
      </c>
      <c r="D2323" s="1">
        <f t="shared" si="187"/>
        <v>821</v>
      </c>
      <c r="E2323" s="1">
        <f t="shared" si="188"/>
        <v>2645</v>
      </c>
      <c r="F2323" s="1">
        <f t="shared" si="184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5"/>
        <v>45176</v>
      </c>
      <c r="C2324" s="1">
        <f t="shared" si="186"/>
        <v>4951</v>
      </c>
      <c r="D2324" s="1">
        <f t="shared" si="187"/>
        <v>821</v>
      </c>
      <c r="E2324" s="1">
        <f t="shared" si="188"/>
        <v>2630</v>
      </c>
      <c r="F2324" s="1">
        <f t="shared" si="184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5"/>
        <v>45177</v>
      </c>
      <c r="C2325" s="1">
        <f t="shared" si="186"/>
        <v>4949</v>
      </c>
      <c r="D2325" s="1">
        <f t="shared" si="187"/>
        <v>826</v>
      </c>
      <c r="E2325" s="1">
        <f t="shared" si="188"/>
        <v>2635</v>
      </c>
      <c r="F2325" s="1">
        <f t="shared" si="184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5"/>
        <v>45180</v>
      </c>
      <c r="C2326" s="1">
        <f t="shared" si="186"/>
        <v>4962</v>
      </c>
      <c r="D2326" s="1">
        <f t="shared" si="187"/>
        <v>826</v>
      </c>
      <c r="E2326" s="1">
        <f t="shared" si="188"/>
        <v>2605</v>
      </c>
      <c r="F2326" s="1">
        <f t="shared" si="184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5"/>
        <v>45181</v>
      </c>
      <c r="C2327" s="1">
        <f t="shared" si="186"/>
        <v>5001</v>
      </c>
      <c r="D2327" s="1">
        <f t="shared" si="187"/>
        <v>826</v>
      </c>
      <c r="E2327" s="1">
        <f t="shared" si="188"/>
        <v>2590</v>
      </c>
      <c r="F2327" s="1">
        <f t="shared" si="184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5"/>
        <v>45182</v>
      </c>
      <c r="C2328" s="1">
        <f t="shared" si="186"/>
        <v>5036</v>
      </c>
      <c r="D2328" s="1">
        <f t="shared" si="187"/>
        <v>826</v>
      </c>
      <c r="E2328" s="1">
        <f t="shared" si="188"/>
        <v>2595</v>
      </c>
      <c r="F2328" s="1">
        <f t="shared" si="184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5"/>
        <v>45183</v>
      </c>
      <c r="C2329" s="1">
        <f t="shared" si="186"/>
        <v>5050</v>
      </c>
      <c r="D2329" s="1">
        <f t="shared" si="187"/>
        <v>826</v>
      </c>
      <c r="E2329" s="1">
        <f t="shared" si="188"/>
        <v>2600</v>
      </c>
      <c r="F2329" s="1">
        <f t="shared" si="184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5"/>
        <v>45184</v>
      </c>
      <c r="C2330" s="1">
        <f t="shared" si="186"/>
        <v>5071</v>
      </c>
      <c r="D2330" s="1">
        <f t="shared" si="187"/>
        <v>841</v>
      </c>
      <c r="E2330" s="1">
        <f t="shared" si="188"/>
        <v>2600</v>
      </c>
      <c r="F2330" s="1">
        <f t="shared" si="184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5"/>
        <v>45187</v>
      </c>
      <c r="C2331" s="1">
        <f t="shared" si="186"/>
        <v>5045</v>
      </c>
      <c r="D2331" s="1">
        <f t="shared" si="187"/>
        <v>841</v>
      </c>
      <c r="E2331" s="1">
        <f t="shared" si="188"/>
        <v>2600</v>
      </c>
      <c r="F2331" s="1">
        <f t="shared" si="184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5"/>
        <v>45188</v>
      </c>
      <c r="C2332" s="1">
        <f t="shared" si="186"/>
        <v>5041</v>
      </c>
      <c r="D2332" s="1">
        <f t="shared" si="187"/>
        <v>841</v>
      </c>
      <c r="E2332" s="1">
        <f t="shared" si="188"/>
        <v>2605</v>
      </c>
      <c r="F2332" s="1">
        <f t="shared" si="184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5"/>
        <v>45189</v>
      </c>
      <c r="C2333" s="1">
        <f t="shared" si="186"/>
        <v>5022</v>
      </c>
      <c r="D2333" s="1">
        <f t="shared" si="187"/>
        <v>841</v>
      </c>
      <c r="E2333" s="1">
        <f t="shared" si="188"/>
        <v>2605</v>
      </c>
      <c r="F2333" s="1">
        <f t="shared" si="184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5"/>
        <v>45190</v>
      </c>
      <c r="C2334" s="1">
        <f t="shared" si="186"/>
        <v>5005</v>
      </c>
      <c r="D2334" s="1">
        <f t="shared" si="187"/>
        <v>871</v>
      </c>
      <c r="E2334" s="1">
        <f t="shared" si="188"/>
        <v>2605</v>
      </c>
      <c r="F2334" s="1">
        <f t="shared" si="184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5"/>
        <v>45191</v>
      </c>
      <c r="C2335" s="1">
        <f t="shared" si="186"/>
        <v>4988</v>
      </c>
      <c r="D2335" s="1">
        <f t="shared" si="187"/>
        <v>891</v>
      </c>
      <c r="E2335" s="1">
        <f t="shared" si="188"/>
        <v>2605</v>
      </c>
      <c r="F2335" s="1">
        <f t="shared" si="184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5"/>
        <v>45194</v>
      </c>
      <c r="C2336" s="1">
        <f t="shared" si="186"/>
        <v>4978</v>
      </c>
      <c r="D2336" s="1">
        <f t="shared" si="187"/>
        <v>891</v>
      </c>
      <c r="E2336" s="1">
        <f t="shared" si="188"/>
        <v>2570</v>
      </c>
      <c r="F2336" s="1">
        <f t="shared" si="184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5"/>
        <v>45195</v>
      </c>
      <c r="C2337" s="1">
        <f t="shared" si="186"/>
        <v>4966</v>
      </c>
      <c r="D2337" s="1">
        <f t="shared" si="187"/>
        <v>891</v>
      </c>
      <c r="E2337" s="1">
        <f t="shared" si="188"/>
        <v>2530</v>
      </c>
      <c r="F2337" s="1">
        <f t="shared" si="184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5"/>
        <v>45196</v>
      </c>
      <c r="C2338" s="1">
        <f t="shared" si="186"/>
        <v>4955</v>
      </c>
      <c r="D2338" s="1">
        <f t="shared" si="187"/>
        <v>891</v>
      </c>
      <c r="E2338" s="1">
        <f t="shared" si="188"/>
        <v>2510</v>
      </c>
      <c r="F2338" s="1">
        <f t="shared" si="184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5"/>
        <v>45197</v>
      </c>
      <c r="C2339" s="1">
        <f t="shared" si="186"/>
        <v>4957</v>
      </c>
      <c r="D2339" s="1">
        <f t="shared" si="187"/>
        <v>891</v>
      </c>
      <c r="E2339" s="1">
        <f t="shared" si="188"/>
        <v>2510</v>
      </c>
      <c r="F2339" s="1">
        <f t="shared" si="184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5"/>
        <v>45198</v>
      </c>
      <c r="C2340" s="1">
        <f t="shared" si="186"/>
        <v>4957</v>
      </c>
      <c r="D2340" s="1">
        <f t="shared" si="187"/>
        <v>891</v>
      </c>
      <c r="E2340" s="1">
        <f t="shared" si="188"/>
        <v>2510</v>
      </c>
      <c r="F2340" s="1">
        <f t="shared" si="184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5"/>
        <v>45201</v>
      </c>
      <c r="C2341" s="1">
        <f t="shared" si="186"/>
        <v>4957</v>
      </c>
      <c r="D2341" s="1">
        <f t="shared" si="187"/>
        <v>891</v>
      </c>
      <c r="E2341" s="1">
        <f t="shared" si="188"/>
        <v>2510</v>
      </c>
      <c r="F2341" s="1">
        <f t="shared" si="184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5"/>
        <v>45202</v>
      </c>
      <c r="C2342" s="1">
        <f t="shared" si="186"/>
        <v>4957</v>
      </c>
      <c r="D2342" s="1">
        <f t="shared" si="187"/>
        <v>891</v>
      </c>
      <c r="E2342" s="1">
        <f t="shared" si="188"/>
        <v>2510</v>
      </c>
      <c r="F2342" s="1">
        <f t="shared" si="184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5"/>
        <v>45203</v>
      </c>
      <c r="C2343" s="1">
        <f t="shared" si="186"/>
        <v>4957</v>
      </c>
      <c r="D2343" s="1">
        <f t="shared" si="187"/>
        <v>891</v>
      </c>
      <c r="E2343" s="1">
        <f t="shared" si="188"/>
        <v>2510</v>
      </c>
      <c r="F2343" s="1">
        <f t="shared" si="184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5"/>
        <v>45204</v>
      </c>
      <c r="C2344" s="1">
        <f t="shared" si="186"/>
        <v>4957</v>
      </c>
      <c r="D2344" s="1">
        <f t="shared" si="187"/>
        <v>891</v>
      </c>
      <c r="E2344" s="1">
        <f t="shared" si="188"/>
        <v>2510</v>
      </c>
      <c r="F2344" s="1">
        <f t="shared" si="184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5"/>
        <v>45205</v>
      </c>
      <c r="C2345" s="1">
        <f t="shared" si="186"/>
        <v>4957</v>
      </c>
      <c r="D2345" s="1">
        <f t="shared" si="187"/>
        <v>891</v>
      </c>
      <c r="E2345" s="1">
        <f t="shared" si="188"/>
        <v>2510</v>
      </c>
      <c r="F2345" s="1">
        <f t="shared" si="184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5"/>
        <v>45206</v>
      </c>
      <c r="C2346" s="1">
        <f t="shared" si="186"/>
        <v>4894</v>
      </c>
      <c r="D2346" s="1">
        <f t="shared" si="187"/>
        <v>891</v>
      </c>
      <c r="E2346" s="1">
        <f t="shared" si="188"/>
        <v>2470</v>
      </c>
      <c r="F2346" s="1">
        <f t="shared" si="184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5"/>
        <v>45207</v>
      </c>
      <c r="C2347" s="1">
        <f t="shared" si="186"/>
        <v>4874</v>
      </c>
      <c r="D2347" s="1">
        <f t="shared" si="187"/>
        <v>891</v>
      </c>
      <c r="E2347" s="1">
        <f t="shared" si="188"/>
        <v>2450</v>
      </c>
      <c r="F2347" s="1">
        <f t="shared" si="184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5"/>
        <v>45208</v>
      </c>
      <c r="C2348" s="1">
        <f t="shared" si="186"/>
        <v>4867</v>
      </c>
      <c r="D2348" s="1">
        <f t="shared" si="187"/>
        <v>891</v>
      </c>
      <c r="E2348" s="1">
        <f t="shared" si="188"/>
        <v>2440</v>
      </c>
      <c r="F2348" s="1">
        <f t="shared" si="184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5"/>
        <v>45209</v>
      </c>
      <c r="C2349" s="1">
        <f t="shared" si="186"/>
        <v>4815</v>
      </c>
      <c r="D2349" s="1">
        <f t="shared" si="187"/>
        <v>891</v>
      </c>
      <c r="E2349" s="1">
        <f t="shared" si="188"/>
        <v>2400</v>
      </c>
      <c r="F2349" s="1">
        <f t="shared" si="184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5"/>
        <v>45210</v>
      </c>
      <c r="C2350" s="1">
        <f t="shared" si="186"/>
        <v>4796</v>
      </c>
      <c r="D2350" s="1">
        <f t="shared" si="187"/>
        <v>881</v>
      </c>
      <c r="E2350" s="1">
        <f t="shared" si="188"/>
        <v>2390</v>
      </c>
      <c r="F2350" s="1">
        <f t="shared" si="184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5"/>
        <v>45211</v>
      </c>
      <c r="C2351" s="1">
        <f t="shared" si="186"/>
        <v>4751</v>
      </c>
      <c r="D2351" s="1">
        <f t="shared" si="187"/>
        <v>881</v>
      </c>
      <c r="E2351" s="1">
        <f t="shared" si="188"/>
        <v>2370</v>
      </c>
      <c r="F2351" s="1">
        <f t="shared" si="184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5"/>
        <v>45212</v>
      </c>
      <c r="C2352" s="1">
        <f t="shared" si="186"/>
        <v>4755</v>
      </c>
      <c r="D2352" s="1">
        <f t="shared" si="187"/>
        <v>881</v>
      </c>
      <c r="E2352" s="1">
        <f t="shared" si="188"/>
        <v>2370</v>
      </c>
      <c r="F2352" s="1">
        <f t="shared" si="184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5"/>
        <v>45215</v>
      </c>
      <c r="C2353" s="1">
        <f t="shared" si="186"/>
        <v>4738</v>
      </c>
      <c r="D2353" s="1">
        <f t="shared" si="187"/>
        <v>881</v>
      </c>
      <c r="E2353" s="1">
        <f t="shared" si="188"/>
        <v>2400</v>
      </c>
      <c r="F2353" s="1">
        <f t="shared" si="184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5"/>
        <v>45216</v>
      </c>
      <c r="C2354" s="1">
        <f t="shared" si="186"/>
        <v>4728</v>
      </c>
      <c r="D2354" s="1">
        <f t="shared" si="187"/>
        <v>881</v>
      </c>
      <c r="E2354" s="1">
        <f t="shared" si="188"/>
        <v>2410</v>
      </c>
      <c r="F2354" s="1">
        <f t="shared" ref="F2354:F2417" si="189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5"/>
        <v>45217</v>
      </c>
      <c r="C2355" s="1">
        <f t="shared" si="186"/>
        <v>4725</v>
      </c>
      <c r="D2355" s="1">
        <f t="shared" si="187"/>
        <v>881</v>
      </c>
      <c r="E2355" s="1">
        <f t="shared" si="188"/>
        <v>2410</v>
      </c>
      <c r="F2355" s="1">
        <f t="shared" si="189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5"/>
        <v>45218</v>
      </c>
      <c r="C2356" s="1">
        <f t="shared" si="186"/>
        <v>4730</v>
      </c>
      <c r="D2356" s="1">
        <f t="shared" si="187"/>
        <v>881</v>
      </c>
      <c r="E2356" s="1">
        <f t="shared" si="188"/>
        <v>2410</v>
      </c>
      <c r="F2356" s="1">
        <f t="shared" si="189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5"/>
        <v>45219</v>
      </c>
      <c r="C2357" s="1">
        <f t="shared" si="186"/>
        <v>4756</v>
      </c>
      <c r="D2357" s="1">
        <f t="shared" si="187"/>
        <v>881</v>
      </c>
      <c r="E2357" s="1">
        <f t="shared" si="188"/>
        <v>2440</v>
      </c>
      <c r="F2357" s="1">
        <f t="shared" si="189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5"/>
        <v>45222</v>
      </c>
      <c r="C2358" s="1">
        <f t="shared" si="186"/>
        <v>4742</v>
      </c>
      <c r="D2358" s="1">
        <f t="shared" si="187"/>
        <v>881</v>
      </c>
      <c r="E2358" s="1">
        <f t="shared" si="188"/>
        <v>2490</v>
      </c>
      <c r="F2358" s="1">
        <f t="shared" si="189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5"/>
        <v>45223</v>
      </c>
      <c r="C2359" s="1">
        <f t="shared" si="186"/>
        <v>4742</v>
      </c>
      <c r="D2359" s="1">
        <f t="shared" si="187"/>
        <v>881</v>
      </c>
      <c r="E2359" s="1">
        <f t="shared" si="188"/>
        <v>2500</v>
      </c>
      <c r="F2359" s="1">
        <f t="shared" si="189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5"/>
        <v>45224</v>
      </c>
      <c r="C2360" s="1">
        <f t="shared" si="186"/>
        <v>4733</v>
      </c>
      <c r="D2360" s="1">
        <f t="shared" si="187"/>
        <v>881</v>
      </c>
      <c r="E2360" s="1">
        <f t="shared" si="188"/>
        <v>2490</v>
      </c>
      <c r="F2360" s="1">
        <f t="shared" si="189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5"/>
        <v>45225</v>
      </c>
      <c r="C2361" s="1">
        <f t="shared" si="186"/>
        <v>4719</v>
      </c>
      <c r="D2361" s="1">
        <f t="shared" si="187"/>
        <v>881</v>
      </c>
      <c r="E2361" s="1">
        <f t="shared" si="188"/>
        <v>2480</v>
      </c>
      <c r="F2361" s="1">
        <f t="shared" si="189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5"/>
        <v>45226</v>
      </c>
      <c r="C2362" s="1">
        <f t="shared" si="186"/>
        <v>4713</v>
      </c>
      <c r="D2362" s="1">
        <f t="shared" si="187"/>
        <v>881</v>
      </c>
      <c r="E2362" s="1">
        <f t="shared" si="188"/>
        <v>2460</v>
      </c>
      <c r="F2362" s="1">
        <f t="shared" si="189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5"/>
        <v>45229</v>
      </c>
      <c r="C2363" s="1">
        <f t="shared" si="186"/>
        <v>4728</v>
      </c>
      <c r="D2363" s="1">
        <f t="shared" si="187"/>
        <v>881</v>
      </c>
      <c r="E2363" s="1">
        <f t="shared" si="188"/>
        <v>2470</v>
      </c>
      <c r="F2363" s="1">
        <f t="shared" si="189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5"/>
        <v>45230</v>
      </c>
      <c r="C2364" s="1">
        <f t="shared" si="186"/>
        <v>4734</v>
      </c>
      <c r="D2364" s="1">
        <f t="shared" si="187"/>
        <v>881</v>
      </c>
      <c r="E2364" s="1">
        <f t="shared" si="188"/>
        <v>2530</v>
      </c>
      <c r="F2364" s="1">
        <f t="shared" si="189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5"/>
        <v>45231</v>
      </c>
      <c r="C2365" s="1">
        <f t="shared" si="186"/>
        <v>4728</v>
      </c>
      <c r="D2365" s="1">
        <f t="shared" si="187"/>
        <v>881</v>
      </c>
      <c r="E2365" s="1">
        <f t="shared" si="188"/>
        <v>2530</v>
      </c>
      <c r="F2365" s="1">
        <f t="shared" si="189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5"/>
        <v>45232</v>
      </c>
      <c r="C2366" s="1">
        <f t="shared" si="186"/>
        <v>4716</v>
      </c>
      <c r="D2366" s="1">
        <f t="shared" si="187"/>
        <v>871</v>
      </c>
      <c r="E2366" s="1">
        <f t="shared" si="188"/>
        <v>2530</v>
      </c>
      <c r="F2366" s="1">
        <f t="shared" si="189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5"/>
        <v>45233</v>
      </c>
      <c r="C2367" s="1">
        <f t="shared" si="186"/>
        <v>4724</v>
      </c>
      <c r="D2367" s="1">
        <f t="shared" si="187"/>
        <v>866</v>
      </c>
      <c r="E2367" s="1">
        <f t="shared" si="188"/>
        <v>2530</v>
      </c>
      <c r="F2367" s="1">
        <f t="shared" si="189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5"/>
        <v>45236</v>
      </c>
      <c r="C2368" s="1">
        <f t="shared" si="186"/>
        <v>4722</v>
      </c>
      <c r="D2368" s="1">
        <f t="shared" si="187"/>
        <v>866</v>
      </c>
      <c r="E2368" s="1">
        <f t="shared" si="188"/>
        <v>2550</v>
      </c>
      <c r="F2368" s="1">
        <f t="shared" si="189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5"/>
        <v>45237</v>
      </c>
      <c r="C2369" s="1">
        <f t="shared" si="186"/>
        <v>4729</v>
      </c>
      <c r="D2369" s="1">
        <f t="shared" si="187"/>
        <v>866</v>
      </c>
      <c r="E2369" s="1">
        <f t="shared" si="188"/>
        <v>2570</v>
      </c>
      <c r="F2369" s="1">
        <f t="shared" si="189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5"/>
        <v>45238</v>
      </c>
      <c r="C2370" s="1">
        <f t="shared" si="186"/>
        <v>4723</v>
      </c>
      <c r="D2370" s="1">
        <f t="shared" si="187"/>
        <v>866</v>
      </c>
      <c r="E2370" s="1">
        <f t="shared" si="188"/>
        <v>2580</v>
      </c>
      <c r="F2370" s="1">
        <f t="shared" si="189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5"/>
        <v>45239</v>
      </c>
      <c r="C2371" s="1">
        <f t="shared" si="186"/>
        <v>4729</v>
      </c>
      <c r="D2371" s="1">
        <f t="shared" si="187"/>
        <v>861</v>
      </c>
      <c r="E2371" s="1">
        <f t="shared" si="188"/>
        <v>2580</v>
      </c>
      <c r="F2371" s="1">
        <f t="shared" si="189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5"/>
        <v>45240</v>
      </c>
      <c r="C2372" s="1">
        <f t="shared" si="186"/>
        <v>4736</v>
      </c>
      <c r="D2372" s="1">
        <f t="shared" si="187"/>
        <v>861</v>
      </c>
      <c r="E2372" s="1">
        <f t="shared" si="188"/>
        <v>2580</v>
      </c>
      <c r="F2372" s="1">
        <f t="shared" si="189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5"/>
        <v>45243</v>
      </c>
      <c r="C2373" s="1">
        <f t="shared" si="186"/>
        <v>4719</v>
      </c>
      <c r="D2373" s="1">
        <f t="shared" si="187"/>
        <v>861</v>
      </c>
      <c r="E2373" s="1">
        <f t="shared" si="188"/>
        <v>2520</v>
      </c>
      <c r="F2373" s="1">
        <f t="shared" si="189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90">L2374</f>
        <v>45244</v>
      </c>
      <c r="C2374" s="1">
        <f t="shared" si="186"/>
        <v>4727</v>
      </c>
      <c r="D2374" s="1">
        <f t="shared" si="187"/>
        <v>861</v>
      </c>
      <c r="E2374" s="1">
        <f t="shared" si="188"/>
        <v>2520</v>
      </c>
      <c r="F2374" s="1">
        <f t="shared" si="189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90"/>
        <v>45245</v>
      </c>
      <c r="C2375" s="1">
        <f t="shared" ref="C2375:C2438" si="191">IF(M2375&lt;&gt;0,M2375,C2374)</f>
        <v>4738</v>
      </c>
      <c r="D2375" s="1">
        <f t="shared" ref="D2375:D2438" si="192">IF(N2375&lt;&gt;0,N2375,D2374)</f>
        <v>861</v>
      </c>
      <c r="E2375" s="1">
        <f t="shared" ref="E2375:E2438" si="193">IF(O2375&lt;&gt;0,O2375,E2374)</f>
        <v>2520</v>
      </c>
      <c r="F2375" s="1">
        <f t="shared" si="189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90"/>
        <v>45246</v>
      </c>
      <c r="C2376" s="1">
        <f t="shared" si="191"/>
        <v>4745</v>
      </c>
      <c r="D2376" s="1">
        <f t="shared" si="192"/>
        <v>861</v>
      </c>
      <c r="E2376" s="1">
        <f t="shared" si="193"/>
        <v>2520</v>
      </c>
      <c r="F2376" s="1">
        <f t="shared" si="189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90"/>
        <v>45247</v>
      </c>
      <c r="C2377" s="1">
        <f t="shared" si="191"/>
        <v>4751</v>
      </c>
      <c r="D2377" s="1">
        <f t="shared" si="192"/>
        <v>861</v>
      </c>
      <c r="E2377" s="1">
        <f t="shared" si="193"/>
        <v>2510</v>
      </c>
      <c r="F2377" s="1">
        <f t="shared" si="189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90"/>
        <v>45250</v>
      </c>
      <c r="C2378" s="1">
        <f t="shared" si="191"/>
        <v>4768</v>
      </c>
      <c r="D2378" s="1">
        <f t="shared" si="192"/>
        <v>861</v>
      </c>
      <c r="E2378" s="1">
        <f t="shared" si="193"/>
        <v>2470</v>
      </c>
      <c r="F2378" s="1">
        <f t="shared" si="189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90"/>
        <v>45251</v>
      </c>
      <c r="C2379" s="1">
        <f t="shared" si="191"/>
        <v>4746</v>
      </c>
      <c r="D2379" s="1">
        <f t="shared" si="192"/>
        <v>861</v>
      </c>
      <c r="E2379" s="1">
        <f t="shared" si="193"/>
        <v>2460</v>
      </c>
      <c r="F2379" s="1">
        <f t="shared" si="189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90"/>
        <v>45252</v>
      </c>
      <c r="C2380" s="1">
        <f t="shared" si="191"/>
        <v>4740</v>
      </c>
      <c r="D2380" s="1">
        <f t="shared" si="192"/>
        <v>861</v>
      </c>
      <c r="E2380" s="1">
        <f t="shared" si="193"/>
        <v>2470</v>
      </c>
      <c r="F2380" s="1">
        <f t="shared" si="189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90"/>
        <v>45253</v>
      </c>
      <c r="C2381" s="1">
        <f t="shared" si="191"/>
        <v>4721</v>
      </c>
      <c r="D2381" s="1">
        <f t="shared" si="192"/>
        <v>861</v>
      </c>
      <c r="E2381" s="1">
        <f t="shared" si="193"/>
        <v>2470</v>
      </c>
      <c r="F2381" s="1">
        <f t="shared" si="189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90"/>
        <v>45254</v>
      </c>
      <c r="C2382" s="1">
        <f t="shared" si="191"/>
        <v>4701</v>
      </c>
      <c r="D2382" s="1">
        <f t="shared" si="192"/>
        <v>861</v>
      </c>
      <c r="E2382" s="1">
        <f t="shared" si="193"/>
        <v>2470</v>
      </c>
      <c r="F2382" s="1">
        <f t="shared" si="189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90"/>
        <v>45257</v>
      </c>
      <c r="C2383" s="1">
        <f t="shared" si="191"/>
        <v>4684</v>
      </c>
      <c r="D2383" s="1">
        <f t="shared" si="192"/>
        <v>861</v>
      </c>
      <c r="E2383" s="1">
        <f t="shared" si="193"/>
        <v>2450</v>
      </c>
      <c r="F2383" s="1">
        <f t="shared" si="189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90"/>
        <v>45258</v>
      </c>
      <c r="C2384" s="1">
        <f t="shared" si="191"/>
        <v>4667</v>
      </c>
      <c r="D2384" s="1">
        <f t="shared" si="192"/>
        <v>861</v>
      </c>
      <c r="E2384" s="1">
        <f t="shared" si="193"/>
        <v>2440</v>
      </c>
      <c r="F2384" s="1">
        <f t="shared" si="189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90"/>
        <v>45259</v>
      </c>
      <c r="C2385" s="1">
        <f t="shared" si="191"/>
        <v>4642</v>
      </c>
      <c r="D2385" s="1">
        <f t="shared" si="192"/>
        <v>861</v>
      </c>
      <c r="E2385" s="1">
        <f t="shared" si="193"/>
        <v>2440</v>
      </c>
      <c r="F2385" s="1">
        <f t="shared" si="189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90"/>
        <v>45260</v>
      </c>
      <c r="C2386" s="1">
        <f t="shared" si="191"/>
        <v>4634</v>
      </c>
      <c r="D2386" s="1">
        <f t="shared" si="192"/>
        <v>861</v>
      </c>
      <c r="E2386" s="1">
        <f t="shared" si="193"/>
        <v>2450</v>
      </c>
      <c r="F2386" s="1">
        <f t="shared" si="189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90"/>
        <v>45261</v>
      </c>
      <c r="C2387" s="1">
        <f t="shared" si="191"/>
        <v>4629</v>
      </c>
      <c r="D2387" s="1">
        <f t="shared" si="192"/>
        <v>861</v>
      </c>
      <c r="E2387" s="1">
        <f t="shared" si="193"/>
        <v>2450</v>
      </c>
      <c r="F2387" s="1">
        <f t="shared" si="189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90"/>
        <v>45264</v>
      </c>
      <c r="C2388" s="1">
        <f t="shared" si="191"/>
        <v>4613</v>
      </c>
      <c r="D2388" s="1">
        <f t="shared" si="192"/>
        <v>861</v>
      </c>
      <c r="E2388" s="1">
        <f t="shared" si="193"/>
        <v>2440</v>
      </c>
      <c r="F2388" s="1">
        <f t="shared" si="189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90"/>
        <v>45265</v>
      </c>
      <c r="C2389" s="1">
        <f t="shared" si="191"/>
        <v>4597</v>
      </c>
      <c r="D2389" s="1">
        <f t="shared" si="192"/>
        <v>861</v>
      </c>
      <c r="E2389" s="1">
        <f t="shared" si="193"/>
        <v>2440</v>
      </c>
      <c r="F2389" s="1">
        <f t="shared" si="189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90"/>
        <v>45266</v>
      </c>
      <c r="C2390" s="1">
        <f t="shared" si="191"/>
        <v>4598</v>
      </c>
      <c r="D2390" s="1">
        <f t="shared" si="192"/>
        <v>851</v>
      </c>
      <c r="E2390" s="1">
        <f t="shared" si="193"/>
        <v>2450</v>
      </c>
      <c r="F2390" s="1">
        <f t="shared" si="189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90"/>
        <v>45267</v>
      </c>
      <c r="C2391" s="1">
        <f t="shared" si="191"/>
        <v>4600</v>
      </c>
      <c r="D2391" s="1">
        <f t="shared" si="192"/>
        <v>851</v>
      </c>
      <c r="E2391" s="1">
        <f t="shared" si="193"/>
        <v>2450</v>
      </c>
      <c r="F2391" s="1">
        <f t="shared" si="189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90"/>
        <v>45268</v>
      </c>
      <c r="C2392" s="1">
        <f t="shared" si="191"/>
        <v>4603</v>
      </c>
      <c r="D2392" s="1">
        <f t="shared" si="192"/>
        <v>851</v>
      </c>
      <c r="E2392" s="1">
        <f t="shared" si="193"/>
        <v>2450</v>
      </c>
      <c r="F2392" s="1">
        <f t="shared" si="189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90"/>
        <v>45271</v>
      </c>
      <c r="C2393" s="1">
        <f t="shared" si="191"/>
        <v>4610</v>
      </c>
      <c r="D2393" s="1">
        <f t="shared" si="192"/>
        <v>851</v>
      </c>
      <c r="E2393" s="1">
        <f t="shared" si="193"/>
        <v>2440</v>
      </c>
      <c r="F2393" s="1">
        <f t="shared" si="189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90"/>
        <v>45272</v>
      </c>
      <c r="C2394" s="1">
        <f t="shared" si="191"/>
        <v>4595</v>
      </c>
      <c r="D2394" s="1">
        <f t="shared" si="192"/>
        <v>851</v>
      </c>
      <c r="E2394" s="1">
        <f t="shared" si="193"/>
        <v>2440</v>
      </c>
      <c r="F2394" s="1">
        <f t="shared" si="189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90"/>
        <v>45273</v>
      </c>
      <c r="C2395" s="1">
        <f t="shared" si="191"/>
        <v>4595</v>
      </c>
      <c r="D2395" s="1">
        <f t="shared" si="192"/>
        <v>851</v>
      </c>
      <c r="E2395" s="1">
        <f t="shared" si="193"/>
        <v>2450</v>
      </c>
      <c r="F2395" s="1">
        <f t="shared" si="189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90"/>
        <v>45274</v>
      </c>
      <c r="C2396" s="1">
        <f t="shared" si="191"/>
        <v>4579</v>
      </c>
      <c r="D2396" s="1">
        <f t="shared" si="192"/>
        <v>866</v>
      </c>
      <c r="E2396" s="1">
        <f t="shared" si="193"/>
        <v>2450</v>
      </c>
      <c r="F2396" s="1">
        <f t="shared" si="189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90"/>
        <v>45275</v>
      </c>
      <c r="C2397" s="1">
        <f t="shared" si="191"/>
        <v>4586</v>
      </c>
      <c r="D2397" s="1">
        <f t="shared" si="192"/>
        <v>866</v>
      </c>
      <c r="E2397" s="1">
        <f t="shared" si="193"/>
        <v>2450</v>
      </c>
      <c r="F2397" s="1">
        <f t="shared" si="189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90"/>
        <v>45278</v>
      </c>
      <c r="C2398" s="1">
        <f t="shared" si="191"/>
        <v>4586</v>
      </c>
      <c r="D2398" s="1">
        <f t="shared" si="192"/>
        <v>866</v>
      </c>
      <c r="E2398" s="1">
        <f t="shared" si="193"/>
        <v>2440</v>
      </c>
      <c r="F2398" s="1">
        <f t="shared" si="189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90"/>
        <v>45279</v>
      </c>
      <c r="C2399" s="1">
        <f t="shared" si="191"/>
        <v>4605</v>
      </c>
      <c r="D2399" s="1">
        <f t="shared" si="192"/>
        <v>866</v>
      </c>
      <c r="E2399" s="1">
        <f t="shared" si="193"/>
        <v>2440</v>
      </c>
      <c r="F2399" s="1">
        <f t="shared" si="189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90"/>
        <v>45280</v>
      </c>
      <c r="C2400" s="1">
        <f t="shared" si="191"/>
        <v>4621</v>
      </c>
      <c r="D2400" s="1">
        <f t="shared" si="192"/>
        <v>866</v>
      </c>
      <c r="E2400" s="1">
        <f t="shared" si="193"/>
        <v>2430</v>
      </c>
      <c r="F2400" s="1">
        <f t="shared" si="189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90"/>
        <v>45281</v>
      </c>
      <c r="C2401" s="1">
        <f t="shared" si="191"/>
        <v>4649</v>
      </c>
      <c r="D2401" s="1">
        <f t="shared" si="192"/>
        <v>866</v>
      </c>
      <c r="E2401" s="1">
        <f t="shared" si="193"/>
        <v>2430</v>
      </c>
      <c r="F2401" s="1">
        <f t="shared" si="189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90"/>
        <v>45282</v>
      </c>
      <c r="C2402" s="1">
        <f t="shared" si="191"/>
        <v>4664</v>
      </c>
      <c r="D2402" s="1">
        <f t="shared" si="192"/>
        <v>866</v>
      </c>
      <c r="E2402" s="1">
        <f t="shared" si="193"/>
        <v>2430</v>
      </c>
      <c r="F2402" s="1">
        <f t="shared" si="189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90"/>
        <v>45285</v>
      </c>
      <c r="C2403" s="1">
        <f t="shared" si="191"/>
        <v>4680</v>
      </c>
      <c r="D2403" s="1">
        <f t="shared" si="192"/>
        <v>866</v>
      </c>
      <c r="E2403" s="1">
        <f t="shared" si="193"/>
        <v>2390</v>
      </c>
      <c r="F2403" s="1">
        <f t="shared" si="189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90"/>
        <v>45286</v>
      </c>
      <c r="C2404" s="1">
        <f t="shared" si="191"/>
        <v>4674</v>
      </c>
      <c r="D2404" s="1">
        <f t="shared" si="192"/>
        <v>861</v>
      </c>
      <c r="E2404" s="1">
        <f t="shared" si="193"/>
        <v>2370</v>
      </c>
      <c r="F2404" s="1">
        <f t="shared" si="189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90"/>
        <v>45287</v>
      </c>
      <c r="C2405" s="1">
        <f t="shared" si="191"/>
        <v>4661</v>
      </c>
      <c r="D2405" s="1">
        <f t="shared" si="192"/>
        <v>861</v>
      </c>
      <c r="E2405" s="1">
        <f t="shared" si="193"/>
        <v>2350</v>
      </c>
      <c r="F2405" s="1">
        <f t="shared" si="189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90"/>
        <v>45288</v>
      </c>
      <c r="C2406" s="1">
        <f t="shared" si="191"/>
        <v>4647</v>
      </c>
      <c r="D2406" s="1">
        <f t="shared" si="192"/>
        <v>861</v>
      </c>
      <c r="E2406" s="1">
        <f t="shared" si="193"/>
        <v>2330</v>
      </c>
      <c r="F2406" s="1">
        <f t="shared" si="189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90"/>
        <v>45289</v>
      </c>
      <c r="C2407" s="1">
        <f t="shared" si="191"/>
        <v>4635</v>
      </c>
      <c r="D2407" s="1">
        <f t="shared" si="192"/>
        <v>861</v>
      </c>
      <c r="E2407" s="1">
        <f t="shared" si="193"/>
        <v>2320</v>
      </c>
      <c r="F2407" s="1">
        <f t="shared" si="189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90"/>
        <v>45293</v>
      </c>
      <c r="C2408" s="1">
        <f t="shared" si="191"/>
        <v>4621</v>
      </c>
      <c r="D2408" s="1">
        <f t="shared" si="192"/>
        <v>861</v>
      </c>
      <c r="E2408" s="1">
        <f t="shared" si="193"/>
        <v>2330</v>
      </c>
      <c r="F2408" s="1">
        <f t="shared" si="189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90"/>
        <v>45294</v>
      </c>
      <c r="C2409" s="1">
        <f t="shared" si="191"/>
        <v>4623</v>
      </c>
      <c r="D2409" s="1">
        <f t="shared" si="192"/>
        <v>861</v>
      </c>
      <c r="E2409" s="1">
        <f t="shared" si="193"/>
        <v>2330</v>
      </c>
      <c r="F2409" s="1">
        <f t="shared" si="189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90"/>
        <v>45295</v>
      </c>
      <c r="C2410" s="1">
        <f t="shared" si="191"/>
        <v>4612</v>
      </c>
      <c r="D2410" s="1">
        <f t="shared" si="192"/>
        <v>861</v>
      </c>
      <c r="E2410" s="1">
        <f t="shared" si="193"/>
        <v>2350</v>
      </c>
      <c r="F2410" s="1">
        <f t="shared" si="189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90"/>
        <v>45296</v>
      </c>
      <c r="C2411" s="1">
        <f t="shared" si="191"/>
        <v>4614</v>
      </c>
      <c r="D2411" s="1">
        <f t="shared" si="192"/>
        <v>861</v>
      </c>
      <c r="E2411" s="1">
        <f t="shared" si="193"/>
        <v>2360</v>
      </c>
      <c r="F2411" s="1">
        <f t="shared" si="189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90"/>
        <v>45299</v>
      </c>
      <c r="C2412" s="1">
        <f t="shared" si="191"/>
        <v>4604</v>
      </c>
      <c r="D2412" s="1">
        <f t="shared" si="192"/>
        <v>861</v>
      </c>
      <c r="E2412" s="1">
        <f t="shared" si="193"/>
        <v>2360</v>
      </c>
      <c r="F2412" s="1">
        <f t="shared" si="189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90"/>
        <v>45300</v>
      </c>
      <c r="C2413" s="1">
        <f t="shared" si="191"/>
        <v>4586</v>
      </c>
      <c r="D2413" s="1">
        <f t="shared" si="192"/>
        <v>856</v>
      </c>
      <c r="E2413" s="1">
        <f t="shared" si="193"/>
        <v>2360</v>
      </c>
      <c r="F2413" s="1">
        <f t="shared" si="189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90"/>
        <v>45301</v>
      </c>
      <c r="C2414" s="1">
        <f t="shared" si="191"/>
        <v>4552</v>
      </c>
      <c r="D2414" s="1">
        <f t="shared" si="192"/>
        <v>861</v>
      </c>
      <c r="E2414" s="1">
        <f t="shared" si="193"/>
        <v>2340</v>
      </c>
      <c r="F2414" s="1">
        <f t="shared" si="189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90"/>
        <v>45302</v>
      </c>
      <c r="C2415" s="1">
        <f t="shared" si="191"/>
        <v>4543</v>
      </c>
      <c r="D2415" s="1">
        <f t="shared" si="192"/>
        <v>866</v>
      </c>
      <c r="E2415" s="1">
        <f t="shared" si="193"/>
        <v>2320</v>
      </c>
      <c r="F2415" s="1">
        <f t="shared" si="189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90"/>
        <v>45303</v>
      </c>
      <c r="C2416" s="1">
        <f t="shared" si="191"/>
        <v>4546</v>
      </c>
      <c r="D2416" s="1">
        <f t="shared" si="192"/>
        <v>871</v>
      </c>
      <c r="E2416" s="1">
        <f t="shared" si="193"/>
        <v>2320</v>
      </c>
      <c r="F2416" s="1">
        <f t="shared" si="189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90"/>
        <v>45306</v>
      </c>
      <c r="C2417" s="1">
        <f t="shared" si="191"/>
        <v>4549</v>
      </c>
      <c r="D2417" s="1">
        <f t="shared" si="192"/>
        <v>876</v>
      </c>
      <c r="E2417" s="1">
        <f t="shared" si="193"/>
        <v>2300</v>
      </c>
      <c r="F2417" s="1">
        <f t="shared" si="189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90"/>
        <v>45307</v>
      </c>
      <c r="C2418" s="1">
        <f t="shared" si="191"/>
        <v>4556</v>
      </c>
      <c r="D2418" s="1">
        <f t="shared" si="192"/>
        <v>876</v>
      </c>
      <c r="E2418" s="1">
        <f t="shared" si="193"/>
        <v>2300</v>
      </c>
      <c r="F2418" s="1">
        <f t="shared" ref="F2418:F2481" si="194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90"/>
        <v>45308</v>
      </c>
      <c r="C2419" s="1">
        <f t="shared" si="191"/>
        <v>4559</v>
      </c>
      <c r="D2419" s="1">
        <f t="shared" si="192"/>
        <v>876</v>
      </c>
      <c r="E2419" s="1">
        <f t="shared" si="193"/>
        <v>2290</v>
      </c>
      <c r="F2419" s="1">
        <f t="shared" si="194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90"/>
        <v>45309</v>
      </c>
      <c r="C2420" s="1">
        <f t="shared" si="191"/>
        <v>4568</v>
      </c>
      <c r="D2420" s="1">
        <f t="shared" si="192"/>
        <v>876</v>
      </c>
      <c r="E2420" s="1">
        <f t="shared" si="193"/>
        <v>2290</v>
      </c>
      <c r="F2420" s="1">
        <f t="shared" si="194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90"/>
        <v>45310</v>
      </c>
      <c r="C2421" s="1">
        <f t="shared" si="191"/>
        <v>4564</v>
      </c>
      <c r="D2421" s="1">
        <f t="shared" si="192"/>
        <v>881</v>
      </c>
      <c r="E2421" s="1">
        <f t="shared" si="193"/>
        <v>2290</v>
      </c>
      <c r="F2421" s="1">
        <f t="shared" si="194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90"/>
        <v>45313</v>
      </c>
      <c r="C2422" s="1">
        <f t="shared" si="191"/>
        <v>4585</v>
      </c>
      <c r="D2422" s="1">
        <f t="shared" si="192"/>
        <v>881</v>
      </c>
      <c r="E2422" s="1">
        <f t="shared" si="193"/>
        <v>2240</v>
      </c>
      <c r="F2422" s="1">
        <f t="shared" si="194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90"/>
        <v>45314</v>
      </c>
      <c r="C2423" s="1">
        <f t="shared" si="191"/>
        <v>4590</v>
      </c>
      <c r="D2423" s="1">
        <f t="shared" si="192"/>
        <v>896</v>
      </c>
      <c r="E2423" s="1">
        <f t="shared" si="193"/>
        <v>2210</v>
      </c>
      <c r="F2423" s="1">
        <f t="shared" si="194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90"/>
        <v>45315</v>
      </c>
      <c r="C2424" s="1">
        <f t="shared" si="191"/>
        <v>4590</v>
      </c>
      <c r="D2424" s="1">
        <f t="shared" si="192"/>
        <v>896</v>
      </c>
      <c r="E2424" s="1">
        <f t="shared" si="193"/>
        <v>2200</v>
      </c>
      <c r="F2424" s="1">
        <f t="shared" si="194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90"/>
        <v>45316</v>
      </c>
      <c r="C2425" s="1">
        <f t="shared" si="191"/>
        <v>4595</v>
      </c>
      <c r="D2425" s="1">
        <f t="shared" si="192"/>
        <v>901</v>
      </c>
      <c r="E2425" s="1">
        <f t="shared" si="193"/>
        <v>2190</v>
      </c>
      <c r="F2425" s="1">
        <f t="shared" si="194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90"/>
        <v>45317</v>
      </c>
      <c r="C2426" s="1">
        <f t="shared" si="191"/>
        <v>4606</v>
      </c>
      <c r="D2426" s="1">
        <f t="shared" si="192"/>
        <v>911</v>
      </c>
      <c r="E2426" s="1">
        <f t="shared" si="193"/>
        <v>2190</v>
      </c>
      <c r="F2426" s="1">
        <f t="shared" si="194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90"/>
        <v>45320</v>
      </c>
      <c r="C2427" s="1">
        <f t="shared" si="191"/>
        <v>4600</v>
      </c>
      <c r="D2427" s="1">
        <f t="shared" si="192"/>
        <v>911</v>
      </c>
      <c r="E2427" s="1">
        <f t="shared" si="193"/>
        <v>2210</v>
      </c>
      <c r="F2427" s="1">
        <f t="shared" si="194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90"/>
        <v>45321</v>
      </c>
      <c r="C2428" s="1">
        <f t="shared" si="191"/>
        <v>4604</v>
      </c>
      <c r="D2428" s="1">
        <f t="shared" si="192"/>
        <v>911</v>
      </c>
      <c r="E2428" s="1">
        <f t="shared" si="193"/>
        <v>2220</v>
      </c>
      <c r="F2428" s="1">
        <f t="shared" si="194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90"/>
        <v>45322</v>
      </c>
      <c r="C2429" s="1">
        <f t="shared" si="191"/>
        <v>4591</v>
      </c>
      <c r="D2429" s="1">
        <f t="shared" si="192"/>
        <v>921</v>
      </c>
      <c r="E2429" s="1">
        <f t="shared" si="193"/>
        <v>2230</v>
      </c>
      <c r="F2429" s="1">
        <f t="shared" si="194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90"/>
        <v>45323</v>
      </c>
      <c r="C2430" s="1">
        <f t="shared" si="191"/>
        <v>4580</v>
      </c>
      <c r="D2430" s="1">
        <f t="shared" si="192"/>
        <v>941</v>
      </c>
      <c r="E2430" s="1">
        <f t="shared" si="193"/>
        <v>2230</v>
      </c>
      <c r="F2430" s="1">
        <f t="shared" si="194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90"/>
        <v>45324</v>
      </c>
      <c r="C2431" s="1">
        <f t="shared" si="191"/>
        <v>4567</v>
      </c>
      <c r="D2431" s="1">
        <f t="shared" si="192"/>
        <v>941</v>
      </c>
      <c r="E2431" s="1">
        <f t="shared" si="193"/>
        <v>2230</v>
      </c>
      <c r="F2431" s="1">
        <f t="shared" si="194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90"/>
        <v>45326</v>
      </c>
      <c r="C2432" s="1">
        <f t="shared" si="191"/>
        <v>4555</v>
      </c>
      <c r="D2432" s="1">
        <f t="shared" si="192"/>
        <v>941</v>
      </c>
      <c r="E2432" s="1">
        <f t="shared" si="193"/>
        <v>2230</v>
      </c>
      <c r="F2432" s="1">
        <f t="shared" si="194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90"/>
        <v>45327</v>
      </c>
      <c r="C2433" s="1">
        <f t="shared" si="191"/>
        <v>4552</v>
      </c>
      <c r="D2433" s="1">
        <f t="shared" si="192"/>
        <v>941</v>
      </c>
      <c r="E2433" s="1">
        <f t="shared" si="193"/>
        <v>2220</v>
      </c>
      <c r="F2433" s="1">
        <f t="shared" si="194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90"/>
        <v>45328</v>
      </c>
      <c r="C2434" s="1">
        <f t="shared" si="191"/>
        <v>4551</v>
      </c>
      <c r="D2434" s="1">
        <f t="shared" si="192"/>
        <v>941</v>
      </c>
      <c r="E2434" s="1">
        <f t="shared" si="193"/>
        <v>2220</v>
      </c>
      <c r="F2434" s="1">
        <f t="shared" si="194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90"/>
        <v>45329</v>
      </c>
      <c r="C2435" s="1">
        <f t="shared" si="191"/>
        <v>4558</v>
      </c>
      <c r="D2435" s="1">
        <f t="shared" si="192"/>
        <v>941</v>
      </c>
      <c r="E2435" s="1">
        <f t="shared" si="193"/>
        <v>2220</v>
      </c>
      <c r="F2435" s="1">
        <f t="shared" si="194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90"/>
        <v>45330</v>
      </c>
      <c r="C2436" s="1">
        <f t="shared" si="191"/>
        <v>4568</v>
      </c>
      <c r="D2436" s="1">
        <f t="shared" si="192"/>
        <v>941</v>
      </c>
      <c r="E2436" s="1">
        <f t="shared" si="193"/>
        <v>2220</v>
      </c>
      <c r="F2436" s="1">
        <f t="shared" si="194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90"/>
        <v>45331</v>
      </c>
      <c r="C2437" s="1">
        <f t="shared" si="191"/>
        <v>4568</v>
      </c>
      <c r="D2437" s="1">
        <f t="shared" si="192"/>
        <v>941</v>
      </c>
      <c r="E2437" s="1">
        <f t="shared" si="193"/>
        <v>2220</v>
      </c>
      <c r="F2437" s="1">
        <f t="shared" si="194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5">L2438</f>
        <v>45335</v>
      </c>
      <c r="C2438" s="1">
        <f t="shared" si="191"/>
        <v>4568</v>
      </c>
      <c r="D2438" s="1">
        <f t="shared" si="192"/>
        <v>941</v>
      </c>
      <c r="E2438" s="1">
        <f t="shared" si="193"/>
        <v>2220</v>
      </c>
      <c r="F2438" s="1">
        <f t="shared" si="194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5"/>
        <v>45336</v>
      </c>
      <c r="C2439" s="1">
        <f t="shared" ref="C2439:C2502" si="196">IF(M2439&lt;&gt;0,M2439,C2438)</f>
        <v>4568</v>
      </c>
      <c r="D2439" s="1">
        <f t="shared" ref="D2439:D2502" si="197">IF(N2439&lt;&gt;0,N2439,D2438)</f>
        <v>941</v>
      </c>
      <c r="E2439" s="1">
        <f t="shared" ref="E2439:E2502" si="198">IF(O2439&lt;&gt;0,O2439,E2438)</f>
        <v>2220</v>
      </c>
      <c r="F2439" s="1">
        <f t="shared" si="194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5"/>
        <v>45337</v>
      </c>
      <c r="C2440" s="1">
        <f t="shared" si="196"/>
        <v>4568</v>
      </c>
      <c r="D2440" s="1">
        <f t="shared" si="197"/>
        <v>941</v>
      </c>
      <c r="E2440" s="1">
        <f t="shared" si="198"/>
        <v>2220</v>
      </c>
      <c r="F2440" s="1">
        <f t="shared" si="194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5"/>
        <v>45338</v>
      </c>
      <c r="C2441" s="1">
        <f t="shared" si="196"/>
        <v>4568</v>
      </c>
      <c r="D2441" s="1">
        <f t="shared" si="197"/>
        <v>941</v>
      </c>
      <c r="E2441" s="1">
        <f t="shared" si="198"/>
        <v>2220</v>
      </c>
      <c r="F2441" s="1">
        <f t="shared" si="194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5"/>
        <v>45340</v>
      </c>
      <c r="C2442" s="1">
        <f t="shared" si="196"/>
        <v>4592</v>
      </c>
      <c r="D2442" s="1">
        <f t="shared" si="197"/>
        <v>941</v>
      </c>
      <c r="E2442" s="1">
        <f t="shared" si="198"/>
        <v>2220</v>
      </c>
      <c r="F2442" s="1">
        <f t="shared" si="194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5"/>
        <v>45341</v>
      </c>
      <c r="C2443" s="1">
        <f t="shared" si="196"/>
        <v>4605</v>
      </c>
      <c r="D2443" s="1">
        <f t="shared" si="197"/>
        <v>951</v>
      </c>
      <c r="E2443" s="1">
        <f t="shared" si="198"/>
        <v>2280</v>
      </c>
      <c r="F2443" s="1">
        <f t="shared" si="194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5"/>
        <v>45342</v>
      </c>
      <c r="C2444" s="1">
        <f t="shared" si="196"/>
        <v>4603</v>
      </c>
      <c r="D2444" s="1">
        <f t="shared" si="197"/>
        <v>956</v>
      </c>
      <c r="E2444" s="1">
        <f t="shared" si="198"/>
        <v>2300</v>
      </c>
      <c r="F2444" s="1">
        <f t="shared" si="194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5"/>
        <v>45343</v>
      </c>
      <c r="C2445" s="1">
        <f t="shared" si="196"/>
        <v>4596</v>
      </c>
      <c r="D2445" s="1">
        <f t="shared" si="197"/>
        <v>956</v>
      </c>
      <c r="E2445" s="1">
        <f t="shared" si="198"/>
        <v>2300</v>
      </c>
      <c r="F2445" s="1">
        <f t="shared" si="194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5"/>
        <v>45344</v>
      </c>
      <c r="C2446" s="1">
        <f t="shared" si="196"/>
        <v>4605</v>
      </c>
      <c r="D2446" s="1">
        <f t="shared" si="197"/>
        <v>956</v>
      </c>
      <c r="E2446" s="1">
        <f t="shared" si="198"/>
        <v>2300</v>
      </c>
      <c r="F2446" s="1">
        <f t="shared" si="194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5"/>
        <v>45345</v>
      </c>
      <c r="C2447" s="1">
        <f t="shared" si="196"/>
        <v>4605</v>
      </c>
      <c r="D2447" s="1">
        <f t="shared" si="197"/>
        <v>956</v>
      </c>
      <c r="E2447" s="1">
        <f t="shared" si="198"/>
        <v>2300</v>
      </c>
      <c r="F2447" s="1">
        <f t="shared" si="194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5"/>
        <v>45348</v>
      </c>
      <c r="C2448" s="1">
        <f t="shared" si="196"/>
        <v>4604</v>
      </c>
      <c r="D2448" s="1">
        <f t="shared" si="197"/>
        <v>956</v>
      </c>
      <c r="E2448" s="1">
        <f t="shared" si="198"/>
        <v>2270</v>
      </c>
      <c r="F2448" s="1">
        <f t="shared" si="194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5"/>
        <v>45349</v>
      </c>
      <c r="C2449" s="1">
        <f t="shared" si="196"/>
        <v>4611</v>
      </c>
      <c r="D2449" s="1">
        <f t="shared" si="197"/>
        <v>956</v>
      </c>
      <c r="E2449" s="1">
        <f t="shared" si="198"/>
        <v>2260</v>
      </c>
      <c r="F2449" s="1">
        <f t="shared" si="194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5"/>
        <v>45350</v>
      </c>
      <c r="C2450" s="1">
        <f t="shared" si="196"/>
        <v>4626</v>
      </c>
      <c r="D2450" s="1">
        <f t="shared" si="197"/>
        <v>951</v>
      </c>
      <c r="E2450" s="1">
        <f t="shared" si="198"/>
        <v>2270</v>
      </c>
      <c r="F2450" s="1">
        <f t="shared" si="194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5"/>
        <v>45351</v>
      </c>
      <c r="C2451" s="1">
        <f t="shared" si="196"/>
        <v>4623</v>
      </c>
      <c r="D2451" s="1">
        <f t="shared" si="197"/>
        <v>951</v>
      </c>
      <c r="E2451" s="1">
        <f t="shared" si="198"/>
        <v>2270</v>
      </c>
      <c r="F2451" s="1">
        <f t="shared" si="194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5"/>
        <v>45352</v>
      </c>
      <c r="C2452" s="1">
        <f t="shared" si="196"/>
        <v>4621</v>
      </c>
      <c r="D2452" s="1">
        <f t="shared" si="197"/>
        <v>951</v>
      </c>
      <c r="E2452" s="1">
        <f t="shared" si="198"/>
        <v>2270</v>
      </c>
      <c r="F2452" s="1">
        <f t="shared" si="194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5"/>
        <v>45355</v>
      </c>
      <c r="C2453" s="1">
        <f t="shared" si="196"/>
        <v>4639</v>
      </c>
      <c r="D2453" s="1">
        <f t="shared" si="197"/>
        <v>951</v>
      </c>
      <c r="E2453" s="1">
        <f t="shared" si="198"/>
        <v>2280</v>
      </c>
      <c r="F2453" s="1">
        <f t="shared" si="194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5"/>
        <v>45356</v>
      </c>
      <c r="C2454" s="1">
        <f t="shared" si="196"/>
        <v>4648</v>
      </c>
      <c r="D2454" s="1">
        <f t="shared" si="197"/>
        <v>951</v>
      </c>
      <c r="E2454" s="1">
        <f t="shared" si="198"/>
        <v>2290</v>
      </c>
      <c r="F2454" s="1">
        <f t="shared" si="194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5"/>
        <v>45357</v>
      </c>
      <c r="C2455" s="1">
        <f t="shared" si="196"/>
        <v>4647</v>
      </c>
      <c r="D2455" s="1">
        <f t="shared" si="197"/>
        <v>951</v>
      </c>
      <c r="E2455" s="1">
        <f t="shared" si="198"/>
        <v>2300</v>
      </c>
      <c r="F2455" s="1">
        <f t="shared" si="194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5"/>
        <v>45358</v>
      </c>
      <c r="C2456" s="1">
        <f t="shared" si="196"/>
        <v>4655</v>
      </c>
      <c r="D2456" s="1">
        <f t="shared" si="197"/>
        <v>931</v>
      </c>
      <c r="E2456" s="1">
        <f t="shared" si="198"/>
        <v>2300</v>
      </c>
      <c r="F2456" s="1">
        <f t="shared" si="194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5"/>
        <v>45359</v>
      </c>
      <c r="C2457" s="1">
        <f t="shared" si="196"/>
        <v>4648</v>
      </c>
      <c r="D2457" s="1">
        <f t="shared" si="197"/>
        <v>931</v>
      </c>
      <c r="E2457" s="1">
        <f t="shared" si="198"/>
        <v>2300</v>
      </c>
      <c r="F2457" s="1">
        <f t="shared" si="194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5"/>
        <v>45362</v>
      </c>
      <c r="C2458" s="1">
        <f t="shared" si="196"/>
        <v>4661</v>
      </c>
      <c r="D2458" s="1">
        <f t="shared" si="197"/>
        <v>931</v>
      </c>
      <c r="E2458" s="1">
        <f t="shared" si="198"/>
        <v>2290</v>
      </c>
      <c r="F2458" s="1">
        <f t="shared" si="194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5"/>
        <v>45363</v>
      </c>
      <c r="C2459" s="1">
        <f t="shared" si="196"/>
        <v>4669</v>
      </c>
      <c r="D2459" s="1">
        <f t="shared" si="197"/>
        <v>931</v>
      </c>
      <c r="E2459" s="1">
        <f t="shared" si="198"/>
        <v>2290</v>
      </c>
      <c r="F2459" s="1">
        <f t="shared" si="194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5"/>
        <v>45364</v>
      </c>
      <c r="C2460" s="1">
        <f t="shared" si="196"/>
        <v>4670</v>
      </c>
      <c r="D2460" s="1">
        <f t="shared" si="197"/>
        <v>931</v>
      </c>
      <c r="E2460" s="1">
        <f t="shared" si="198"/>
        <v>2290</v>
      </c>
      <c r="F2460" s="1">
        <f t="shared" si="194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5"/>
        <v>45365</v>
      </c>
      <c r="C2461" s="1">
        <f t="shared" si="196"/>
        <v>4680</v>
      </c>
      <c r="D2461" s="1">
        <f t="shared" si="197"/>
        <v>931</v>
      </c>
      <c r="E2461" s="1">
        <f t="shared" si="198"/>
        <v>2290</v>
      </c>
      <c r="F2461" s="1">
        <f t="shared" si="194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5"/>
        <v>45366</v>
      </c>
      <c r="C2462" s="1">
        <f t="shared" si="196"/>
        <v>4700</v>
      </c>
      <c r="D2462" s="1">
        <f t="shared" si="197"/>
        <v>931</v>
      </c>
      <c r="E2462" s="1">
        <f t="shared" si="198"/>
        <v>2280</v>
      </c>
      <c r="F2462" s="1">
        <f t="shared" si="194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5"/>
        <v>45369</v>
      </c>
      <c r="C2463" s="1">
        <f t="shared" si="196"/>
        <v>4665</v>
      </c>
      <c r="D2463" s="1">
        <f t="shared" si="197"/>
        <v>931</v>
      </c>
      <c r="E2463" s="1">
        <f t="shared" si="198"/>
        <v>2260</v>
      </c>
      <c r="F2463" s="1">
        <f t="shared" si="194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5"/>
        <v>45370</v>
      </c>
      <c r="C2464" s="1">
        <f t="shared" si="196"/>
        <v>4673</v>
      </c>
      <c r="D2464" s="1">
        <f t="shared" si="197"/>
        <v>931</v>
      </c>
      <c r="E2464" s="1">
        <f t="shared" si="198"/>
        <v>2230</v>
      </c>
      <c r="F2464" s="1">
        <f t="shared" si="194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5"/>
        <v>45371</v>
      </c>
      <c r="C2465" s="1">
        <f t="shared" si="196"/>
        <v>4674</v>
      </c>
      <c r="D2465" s="1">
        <f t="shared" si="197"/>
        <v>931</v>
      </c>
      <c r="E2465" s="1">
        <f t="shared" si="198"/>
        <v>2220</v>
      </c>
      <c r="F2465" s="1">
        <f t="shared" si="194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5"/>
        <v>45372</v>
      </c>
      <c r="C2466" s="1">
        <f t="shared" si="196"/>
        <v>4661</v>
      </c>
      <c r="D2466" s="1">
        <f t="shared" si="197"/>
        <v>936</v>
      </c>
      <c r="E2466" s="1">
        <f t="shared" si="198"/>
        <v>2220</v>
      </c>
      <c r="F2466" s="1">
        <f t="shared" si="194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5"/>
        <v>45373</v>
      </c>
      <c r="C2467" s="1">
        <f t="shared" si="196"/>
        <v>4659</v>
      </c>
      <c r="D2467" s="1">
        <f t="shared" si="197"/>
        <v>931</v>
      </c>
      <c r="E2467" s="1">
        <f t="shared" si="198"/>
        <v>2220</v>
      </c>
      <c r="F2467" s="1">
        <f t="shared" si="194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5"/>
        <v>45376</v>
      </c>
      <c r="C2468" s="1">
        <f t="shared" si="196"/>
        <v>4654</v>
      </c>
      <c r="D2468" s="1">
        <f t="shared" si="197"/>
        <v>931</v>
      </c>
      <c r="E2468" s="1">
        <f t="shared" si="198"/>
        <v>2150</v>
      </c>
      <c r="F2468" s="1">
        <f t="shared" si="194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5"/>
        <v>45377</v>
      </c>
      <c r="C2469" s="1">
        <f t="shared" si="196"/>
        <v>4654</v>
      </c>
      <c r="D2469" s="1">
        <f t="shared" si="197"/>
        <v>931</v>
      </c>
      <c r="E2469" s="1">
        <f t="shared" si="198"/>
        <v>2140</v>
      </c>
      <c r="F2469" s="1">
        <f t="shared" si="194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5"/>
        <v>45378</v>
      </c>
      <c r="C2470" s="1">
        <f t="shared" si="196"/>
        <v>4654</v>
      </c>
      <c r="D2470" s="1">
        <f t="shared" si="197"/>
        <v>931</v>
      </c>
      <c r="E2470" s="1">
        <f t="shared" si="198"/>
        <v>2140</v>
      </c>
      <c r="F2470" s="1">
        <f t="shared" si="194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5"/>
        <v>45379</v>
      </c>
      <c r="C2471" s="1">
        <f t="shared" si="196"/>
        <v>4654</v>
      </c>
      <c r="D2471" s="1">
        <f t="shared" si="197"/>
        <v>931</v>
      </c>
      <c r="E2471" s="1">
        <f t="shared" si="198"/>
        <v>2140</v>
      </c>
      <c r="F2471" s="1">
        <f t="shared" si="194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5"/>
        <v>45380</v>
      </c>
      <c r="C2472" s="1">
        <f t="shared" si="196"/>
        <v>4648</v>
      </c>
      <c r="D2472" s="1">
        <f t="shared" si="197"/>
        <v>931</v>
      </c>
      <c r="E2472" s="1">
        <f t="shared" si="198"/>
        <v>2140</v>
      </c>
      <c r="F2472" s="1">
        <f t="shared" si="194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5"/>
        <v>45383</v>
      </c>
      <c r="C2473" s="1">
        <f t="shared" si="196"/>
        <v>4648</v>
      </c>
      <c r="D2473" s="1">
        <f t="shared" si="197"/>
        <v>931</v>
      </c>
      <c r="E2473" s="1">
        <f t="shared" si="198"/>
        <v>2140</v>
      </c>
      <c r="F2473" s="1">
        <f t="shared" si="194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5"/>
        <v>45384</v>
      </c>
      <c r="C2474" s="1">
        <f t="shared" si="196"/>
        <v>4652</v>
      </c>
      <c r="D2474" s="1">
        <f t="shared" si="197"/>
        <v>931</v>
      </c>
      <c r="E2474" s="1">
        <f t="shared" si="198"/>
        <v>2090</v>
      </c>
      <c r="F2474" s="1">
        <f t="shared" si="194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5"/>
        <v>45385</v>
      </c>
      <c r="C2475" s="1">
        <f t="shared" si="196"/>
        <v>4654</v>
      </c>
      <c r="D2475" s="1">
        <f t="shared" si="197"/>
        <v>931</v>
      </c>
      <c r="E2475" s="1">
        <f t="shared" si="198"/>
        <v>2080</v>
      </c>
      <c r="F2475" s="1">
        <f t="shared" si="194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5"/>
        <v>45386</v>
      </c>
      <c r="C2476" s="1">
        <f t="shared" si="196"/>
        <v>4654</v>
      </c>
      <c r="D2476" s="1">
        <f t="shared" si="197"/>
        <v>931</v>
      </c>
      <c r="E2476" s="1">
        <f t="shared" si="198"/>
        <v>2080</v>
      </c>
      <c r="F2476" s="1">
        <f t="shared" si="194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5"/>
        <v>45387</v>
      </c>
      <c r="C2477" s="1">
        <f t="shared" si="196"/>
        <v>4654</v>
      </c>
      <c r="D2477" s="1">
        <f t="shared" si="197"/>
        <v>931</v>
      </c>
      <c r="E2477" s="1">
        <f t="shared" si="198"/>
        <v>2080</v>
      </c>
      <c r="F2477" s="1">
        <f t="shared" si="194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5"/>
        <v>45389</v>
      </c>
      <c r="C2478" s="1">
        <f t="shared" si="196"/>
        <v>4662</v>
      </c>
      <c r="D2478" s="1">
        <f t="shared" si="197"/>
        <v>931</v>
      </c>
      <c r="E2478" s="1">
        <f t="shared" si="198"/>
        <v>2080</v>
      </c>
      <c r="F2478" s="1">
        <f t="shared" si="194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5"/>
        <v>45390</v>
      </c>
      <c r="C2479" s="1">
        <f t="shared" si="196"/>
        <v>4665</v>
      </c>
      <c r="D2479" s="1">
        <f t="shared" si="197"/>
        <v>931</v>
      </c>
      <c r="E2479" s="1">
        <f t="shared" si="198"/>
        <v>2070</v>
      </c>
      <c r="F2479" s="1">
        <f t="shared" si="194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5"/>
        <v>45391</v>
      </c>
      <c r="C2480" s="1">
        <f t="shared" si="196"/>
        <v>4674</v>
      </c>
      <c r="D2480" s="1">
        <f t="shared" si="197"/>
        <v>931</v>
      </c>
      <c r="E2480" s="1">
        <f t="shared" si="198"/>
        <v>2080</v>
      </c>
      <c r="F2480" s="1">
        <f t="shared" si="194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5"/>
        <v>45392</v>
      </c>
      <c r="C2481" s="1">
        <f t="shared" si="196"/>
        <v>4684</v>
      </c>
      <c r="D2481" s="1">
        <f t="shared" si="197"/>
        <v>931</v>
      </c>
      <c r="E2481" s="1">
        <f t="shared" si="198"/>
        <v>2080</v>
      </c>
      <c r="F2481" s="1">
        <f t="shared" si="194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5"/>
        <v>45393</v>
      </c>
      <c r="C2482" s="1">
        <f t="shared" si="196"/>
        <v>4680</v>
      </c>
      <c r="D2482" s="1">
        <f t="shared" si="197"/>
        <v>931</v>
      </c>
      <c r="E2482" s="1">
        <f t="shared" si="198"/>
        <v>2080</v>
      </c>
      <c r="F2482" s="1">
        <f t="shared" ref="F2482:F2545" si="199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5"/>
        <v>45394</v>
      </c>
      <c r="C2483" s="1">
        <f t="shared" si="196"/>
        <v>4677</v>
      </c>
      <c r="D2483" s="1">
        <f t="shared" si="197"/>
        <v>931</v>
      </c>
      <c r="E2483" s="1">
        <f t="shared" si="198"/>
        <v>2080</v>
      </c>
      <c r="F2483" s="1">
        <f t="shared" si="199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5"/>
        <v>45397</v>
      </c>
      <c r="C2484" s="1">
        <f t="shared" si="196"/>
        <v>4683</v>
      </c>
      <c r="D2484" s="1">
        <f t="shared" si="197"/>
        <v>916</v>
      </c>
      <c r="E2484" s="1">
        <f t="shared" si="198"/>
        <v>2160</v>
      </c>
      <c r="F2484" s="1">
        <f t="shared" si="199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5"/>
        <v>45398</v>
      </c>
      <c r="C2485" s="1">
        <f t="shared" si="196"/>
        <v>4697</v>
      </c>
      <c r="D2485" s="1">
        <f t="shared" si="197"/>
        <v>916</v>
      </c>
      <c r="E2485" s="1">
        <f t="shared" si="198"/>
        <v>2160</v>
      </c>
      <c r="F2485" s="1">
        <f t="shared" si="199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5"/>
        <v>45399</v>
      </c>
      <c r="C2486" s="1">
        <f t="shared" si="196"/>
        <v>4703</v>
      </c>
      <c r="D2486" s="1">
        <f t="shared" si="197"/>
        <v>916</v>
      </c>
      <c r="E2486" s="1">
        <f t="shared" si="198"/>
        <v>2160</v>
      </c>
      <c r="F2486" s="1">
        <f t="shared" si="199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5"/>
        <v>45400</v>
      </c>
      <c r="C2487" s="1">
        <f t="shared" si="196"/>
        <v>4703</v>
      </c>
      <c r="D2487" s="1">
        <f t="shared" si="197"/>
        <v>916</v>
      </c>
      <c r="E2487" s="1">
        <f t="shared" si="198"/>
        <v>2160</v>
      </c>
      <c r="F2487" s="1">
        <f t="shared" si="199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5"/>
        <v>45401</v>
      </c>
      <c r="C2488" s="1">
        <f t="shared" si="196"/>
        <v>4696</v>
      </c>
      <c r="D2488" s="1">
        <f t="shared" si="197"/>
        <v>916</v>
      </c>
      <c r="E2488" s="1">
        <f t="shared" si="198"/>
        <v>2180</v>
      </c>
      <c r="F2488" s="1">
        <f t="shared" si="199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5"/>
        <v>45404</v>
      </c>
      <c r="C2489" s="1">
        <f t="shared" si="196"/>
        <v>4703</v>
      </c>
      <c r="D2489" s="1">
        <f t="shared" si="197"/>
        <v>916</v>
      </c>
      <c r="E2489" s="1">
        <f t="shared" si="198"/>
        <v>2200</v>
      </c>
      <c r="F2489" s="1">
        <f t="shared" si="199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5"/>
        <v>45405</v>
      </c>
      <c r="C2490" s="1">
        <f t="shared" si="196"/>
        <v>4694</v>
      </c>
      <c r="D2490" s="1">
        <f t="shared" si="197"/>
        <v>911</v>
      </c>
      <c r="E2490" s="1">
        <f t="shared" si="198"/>
        <v>2200</v>
      </c>
      <c r="F2490" s="1">
        <f t="shared" si="199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5"/>
        <v>45406</v>
      </c>
      <c r="C2491" s="1">
        <f t="shared" si="196"/>
        <v>4688</v>
      </c>
      <c r="D2491" s="1">
        <f t="shared" si="197"/>
        <v>911</v>
      </c>
      <c r="E2491" s="1">
        <f t="shared" si="198"/>
        <v>2200</v>
      </c>
      <c r="F2491" s="1">
        <f t="shared" si="199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5"/>
        <v>45407</v>
      </c>
      <c r="C2492" s="1">
        <f t="shared" si="196"/>
        <v>4680</v>
      </c>
      <c r="D2492" s="1">
        <f t="shared" si="197"/>
        <v>911</v>
      </c>
      <c r="E2492" s="1">
        <f t="shared" si="198"/>
        <v>2200</v>
      </c>
      <c r="F2492" s="1">
        <f t="shared" si="199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5"/>
        <v>45408</v>
      </c>
      <c r="C2493" s="1">
        <f t="shared" si="196"/>
        <v>4685</v>
      </c>
      <c r="D2493" s="1">
        <f t="shared" si="197"/>
        <v>906</v>
      </c>
      <c r="E2493" s="1">
        <f t="shared" si="198"/>
        <v>2220</v>
      </c>
      <c r="F2493" s="1">
        <f t="shared" si="199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5"/>
        <v>45410</v>
      </c>
      <c r="C2494" s="1">
        <f t="shared" si="196"/>
        <v>4693</v>
      </c>
      <c r="D2494" s="1">
        <f t="shared" si="197"/>
        <v>906</v>
      </c>
      <c r="E2494" s="1">
        <f t="shared" si="198"/>
        <v>2220</v>
      </c>
      <c r="F2494" s="1">
        <f t="shared" si="199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5"/>
        <v>45411</v>
      </c>
      <c r="C2495" s="1">
        <f t="shared" si="196"/>
        <v>4698</v>
      </c>
      <c r="D2495" s="1">
        <f t="shared" si="197"/>
        <v>906</v>
      </c>
      <c r="E2495" s="1">
        <f t="shared" si="198"/>
        <v>2230</v>
      </c>
      <c r="F2495" s="1">
        <f t="shared" si="199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5"/>
        <v>45412</v>
      </c>
      <c r="C2496" s="1">
        <f t="shared" si="196"/>
        <v>4702</v>
      </c>
      <c r="D2496" s="1">
        <f t="shared" si="197"/>
        <v>906</v>
      </c>
      <c r="E2496" s="1">
        <f t="shared" si="198"/>
        <v>2230</v>
      </c>
      <c r="F2496" s="1">
        <f t="shared" si="199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5"/>
        <v>45414</v>
      </c>
      <c r="C2497" s="1">
        <f t="shared" si="196"/>
        <v>4702</v>
      </c>
      <c r="D2497" s="1">
        <f t="shared" si="197"/>
        <v>906</v>
      </c>
      <c r="E2497" s="1">
        <f t="shared" si="198"/>
        <v>2230</v>
      </c>
      <c r="F2497" s="1">
        <f t="shared" si="199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5"/>
        <v>45415</v>
      </c>
      <c r="C2498" s="1">
        <f t="shared" si="196"/>
        <v>4702</v>
      </c>
      <c r="D2498" s="1">
        <f t="shared" si="197"/>
        <v>871</v>
      </c>
      <c r="E2498" s="1">
        <f t="shared" si="198"/>
        <v>2230</v>
      </c>
      <c r="F2498" s="1">
        <f t="shared" si="199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5"/>
        <v>45418</v>
      </c>
      <c r="C2499" s="1">
        <f t="shared" si="196"/>
        <v>4704</v>
      </c>
      <c r="D2499" s="1">
        <f t="shared" si="197"/>
        <v>861</v>
      </c>
      <c r="E2499" s="1">
        <f t="shared" si="198"/>
        <v>2240</v>
      </c>
      <c r="F2499" s="1">
        <f t="shared" si="199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5"/>
        <v>45419</v>
      </c>
      <c r="C2500" s="1">
        <f t="shared" si="196"/>
        <v>4707</v>
      </c>
      <c r="D2500" s="1">
        <f t="shared" si="197"/>
        <v>861</v>
      </c>
      <c r="E2500" s="1">
        <f t="shared" si="198"/>
        <v>2260</v>
      </c>
      <c r="F2500" s="1">
        <f t="shared" si="199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5"/>
        <v>45420</v>
      </c>
      <c r="C2501" s="1">
        <f t="shared" si="196"/>
        <v>4714</v>
      </c>
      <c r="D2501" s="1">
        <f t="shared" si="197"/>
        <v>861</v>
      </c>
      <c r="E2501" s="1">
        <f t="shared" si="198"/>
        <v>2290</v>
      </c>
      <c r="F2501" s="1">
        <f t="shared" si="199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200">L2502</f>
        <v>45421</v>
      </c>
      <c r="C2502" s="1">
        <f t="shared" si="196"/>
        <v>4710</v>
      </c>
      <c r="D2502" s="1">
        <f t="shared" si="197"/>
        <v>861</v>
      </c>
      <c r="E2502" s="1">
        <f t="shared" si="198"/>
        <v>2290</v>
      </c>
      <c r="F2502" s="1">
        <f t="shared" si="199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200"/>
        <v>45422</v>
      </c>
      <c r="C2503" s="1">
        <f t="shared" ref="C2503:C2566" si="201">IF(M2503&lt;&gt;0,M2503,C2502)</f>
        <v>4711</v>
      </c>
      <c r="D2503" s="1">
        <f t="shared" ref="D2503:D2566" si="202">IF(N2503&lt;&gt;0,N2503,D2502)</f>
        <v>861</v>
      </c>
      <c r="E2503" s="1">
        <f t="shared" ref="E2503:E2566" si="203">IF(O2503&lt;&gt;0,O2503,E2502)</f>
        <v>2290</v>
      </c>
      <c r="F2503" s="1">
        <f t="shared" si="199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200"/>
        <v>45423</v>
      </c>
      <c r="C2504" s="1">
        <f t="shared" si="201"/>
        <v>4712</v>
      </c>
      <c r="D2504" s="1">
        <f t="shared" si="202"/>
        <v>861</v>
      </c>
      <c r="E2504" s="1">
        <f t="shared" si="203"/>
        <v>2290</v>
      </c>
      <c r="F2504" s="1">
        <f t="shared" si="199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200"/>
        <v>45425</v>
      </c>
      <c r="C2505" s="1">
        <f t="shared" si="201"/>
        <v>4719</v>
      </c>
      <c r="D2505" s="1">
        <f t="shared" si="202"/>
        <v>856</v>
      </c>
      <c r="E2505" s="1">
        <f t="shared" si="203"/>
        <v>2300</v>
      </c>
      <c r="F2505" s="1">
        <f t="shared" si="199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200"/>
        <v>45426</v>
      </c>
      <c r="C2506" s="1">
        <f t="shared" si="201"/>
        <v>4725</v>
      </c>
      <c r="D2506" s="1">
        <f t="shared" si="202"/>
        <v>856</v>
      </c>
      <c r="E2506" s="1">
        <f t="shared" si="203"/>
        <v>2300</v>
      </c>
      <c r="F2506" s="1">
        <f t="shared" si="199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200"/>
        <v>45427</v>
      </c>
      <c r="C2507" s="1">
        <f t="shared" si="201"/>
        <v>4735</v>
      </c>
      <c r="D2507" s="1">
        <f t="shared" si="202"/>
        <v>856</v>
      </c>
      <c r="E2507" s="1">
        <f t="shared" si="203"/>
        <v>2360</v>
      </c>
      <c r="F2507" s="1">
        <f t="shared" si="199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200"/>
        <v>45428</v>
      </c>
      <c r="C2508" s="1">
        <f t="shared" si="201"/>
        <v>4740</v>
      </c>
      <c r="D2508" s="1">
        <f t="shared" si="202"/>
        <v>856</v>
      </c>
      <c r="E2508" s="1">
        <f t="shared" si="203"/>
        <v>2370</v>
      </c>
      <c r="F2508" s="1">
        <f t="shared" si="199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200"/>
        <v>45429</v>
      </c>
      <c r="C2509" s="1">
        <f t="shared" si="201"/>
        <v>4766</v>
      </c>
      <c r="D2509" s="1">
        <f t="shared" si="202"/>
        <v>856</v>
      </c>
      <c r="E2509" s="1">
        <f t="shared" si="203"/>
        <v>2370</v>
      </c>
      <c r="F2509" s="1">
        <f t="shared" si="199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200"/>
        <v>45432</v>
      </c>
      <c r="C2510" s="1">
        <f t="shared" si="201"/>
        <v>4782</v>
      </c>
      <c r="D2510" s="1">
        <f t="shared" si="202"/>
        <v>856</v>
      </c>
      <c r="E2510" s="1">
        <f t="shared" si="203"/>
        <v>2360</v>
      </c>
      <c r="F2510" s="1">
        <f t="shared" si="199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200"/>
        <v>45433</v>
      </c>
      <c r="C2511" s="1">
        <f t="shared" si="201"/>
        <v>4781</v>
      </c>
      <c r="D2511" s="1">
        <f t="shared" si="202"/>
        <v>856</v>
      </c>
      <c r="E2511" s="1">
        <f t="shared" si="203"/>
        <v>2370</v>
      </c>
      <c r="F2511" s="1">
        <f t="shared" si="199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200"/>
        <v>45434</v>
      </c>
      <c r="C2512" s="1">
        <f t="shared" si="201"/>
        <v>4782</v>
      </c>
      <c r="D2512" s="1">
        <f t="shared" si="202"/>
        <v>856</v>
      </c>
      <c r="E2512" s="1">
        <f t="shared" si="203"/>
        <v>2370</v>
      </c>
      <c r="F2512" s="1">
        <f t="shared" si="199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200"/>
        <v>45435</v>
      </c>
      <c r="C2513" s="1">
        <f t="shared" si="201"/>
        <v>4767</v>
      </c>
      <c r="D2513" s="1">
        <f t="shared" si="202"/>
        <v>856</v>
      </c>
      <c r="E2513" s="1">
        <f t="shared" si="203"/>
        <v>2370</v>
      </c>
      <c r="F2513" s="1">
        <f t="shared" si="199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200"/>
        <v>45436</v>
      </c>
      <c r="C2514" s="1">
        <f t="shared" si="201"/>
        <v>4769</v>
      </c>
      <c r="D2514" s="1">
        <f t="shared" si="202"/>
        <v>856</v>
      </c>
      <c r="E2514" s="1">
        <f t="shared" si="203"/>
        <v>2370</v>
      </c>
      <c r="F2514" s="1">
        <f t="shared" si="199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200"/>
        <v>45439</v>
      </c>
      <c r="C2515" s="1">
        <f t="shared" si="201"/>
        <v>4776</v>
      </c>
      <c r="D2515" s="1">
        <f t="shared" si="202"/>
        <v>856</v>
      </c>
      <c r="E2515" s="1">
        <f t="shared" si="203"/>
        <v>2370</v>
      </c>
      <c r="F2515" s="1">
        <f t="shared" si="199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200"/>
        <v>45440</v>
      </c>
      <c r="C2516" s="1">
        <f t="shared" si="201"/>
        <v>4788</v>
      </c>
      <c r="D2516" s="1">
        <f t="shared" si="202"/>
        <v>856</v>
      </c>
      <c r="E2516" s="1">
        <f t="shared" si="203"/>
        <v>2350</v>
      </c>
      <c r="F2516" s="1">
        <f t="shared" si="199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200"/>
        <v>45441</v>
      </c>
      <c r="C2517" s="1">
        <f t="shared" si="201"/>
        <v>4803</v>
      </c>
      <c r="D2517" s="1">
        <f t="shared" si="202"/>
        <v>856</v>
      </c>
      <c r="E2517" s="1">
        <f t="shared" si="203"/>
        <v>2350</v>
      </c>
      <c r="F2517" s="1">
        <f t="shared" si="199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200"/>
        <v>45442</v>
      </c>
      <c r="C2518" s="1">
        <f t="shared" si="201"/>
        <v>4830</v>
      </c>
      <c r="D2518" s="1">
        <f t="shared" si="202"/>
        <v>856</v>
      </c>
      <c r="E2518" s="1">
        <f t="shared" si="203"/>
        <v>2360</v>
      </c>
      <c r="F2518" s="1">
        <f t="shared" si="199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200"/>
        <v>45443</v>
      </c>
      <c r="C2519" s="1">
        <f t="shared" si="201"/>
        <v>4836</v>
      </c>
      <c r="D2519" s="1">
        <f t="shared" si="202"/>
        <v>851</v>
      </c>
      <c r="E2519" s="1">
        <f t="shared" si="203"/>
        <v>2360</v>
      </c>
      <c r="F2519" s="1">
        <f t="shared" si="199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200"/>
        <v>45446</v>
      </c>
      <c r="C2520" s="1">
        <f t="shared" si="201"/>
        <v>4812</v>
      </c>
      <c r="D2520" s="1">
        <f t="shared" si="202"/>
        <v>851</v>
      </c>
      <c r="E2520" s="1">
        <f t="shared" si="203"/>
        <v>2360</v>
      </c>
      <c r="F2520" s="1">
        <f t="shared" si="199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200"/>
        <v>45447</v>
      </c>
      <c r="C2521" s="1">
        <f t="shared" si="201"/>
        <v>4780</v>
      </c>
      <c r="D2521" s="1">
        <f t="shared" si="202"/>
        <v>851</v>
      </c>
      <c r="E2521" s="1">
        <f t="shared" si="203"/>
        <v>2360</v>
      </c>
      <c r="F2521" s="1">
        <f t="shared" si="199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200"/>
        <v>45448</v>
      </c>
      <c r="C2522" s="1">
        <f t="shared" si="201"/>
        <v>4780</v>
      </c>
      <c r="D2522" s="1">
        <f t="shared" si="202"/>
        <v>846</v>
      </c>
      <c r="E2522" s="1">
        <f t="shared" si="203"/>
        <v>2380</v>
      </c>
      <c r="F2522" s="1">
        <f t="shared" si="199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200"/>
        <v>45449</v>
      </c>
      <c r="C2523" s="1">
        <f t="shared" si="201"/>
        <v>4779</v>
      </c>
      <c r="D2523" s="1">
        <f t="shared" si="202"/>
        <v>846</v>
      </c>
      <c r="E2523" s="1">
        <f t="shared" si="203"/>
        <v>2390</v>
      </c>
      <c r="F2523" s="1">
        <f t="shared" si="199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200"/>
        <v>45450</v>
      </c>
      <c r="C2524" s="1">
        <f t="shared" si="201"/>
        <v>4784</v>
      </c>
      <c r="D2524" s="1">
        <f t="shared" si="202"/>
        <v>836</v>
      </c>
      <c r="E2524" s="1">
        <f t="shared" si="203"/>
        <v>2390</v>
      </c>
      <c r="F2524" s="1">
        <f t="shared" si="199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200"/>
        <v>45453</v>
      </c>
      <c r="C2525" s="1">
        <f t="shared" si="201"/>
        <v>4784</v>
      </c>
      <c r="D2525" s="1">
        <f t="shared" si="202"/>
        <v>836</v>
      </c>
      <c r="E2525" s="1">
        <f t="shared" si="203"/>
        <v>2390</v>
      </c>
      <c r="F2525" s="1">
        <f t="shared" si="199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200"/>
        <v>45454</v>
      </c>
      <c r="C2526" s="1">
        <f t="shared" si="201"/>
        <v>4780</v>
      </c>
      <c r="D2526" s="1">
        <f t="shared" si="202"/>
        <v>836</v>
      </c>
      <c r="E2526" s="1">
        <f t="shared" si="203"/>
        <v>2400</v>
      </c>
      <c r="F2526" s="1">
        <f t="shared" si="199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200"/>
        <v>45455</v>
      </c>
      <c r="C2527" s="1">
        <f t="shared" si="201"/>
        <v>4780</v>
      </c>
      <c r="D2527" s="1">
        <f t="shared" si="202"/>
        <v>836</v>
      </c>
      <c r="E2527" s="1">
        <f t="shared" si="203"/>
        <v>2310</v>
      </c>
      <c r="F2527" s="1">
        <f t="shared" si="199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200"/>
        <v>45456</v>
      </c>
      <c r="C2528" s="1">
        <f t="shared" si="201"/>
        <v>4773</v>
      </c>
      <c r="D2528" s="1">
        <f t="shared" si="202"/>
        <v>836</v>
      </c>
      <c r="E2528" s="1">
        <f t="shared" si="203"/>
        <v>2270</v>
      </c>
      <c r="F2528" s="1">
        <f t="shared" si="199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200"/>
        <v>45457</v>
      </c>
      <c r="C2529" s="1">
        <f t="shared" si="201"/>
        <v>4769</v>
      </c>
      <c r="D2529" s="1">
        <f t="shared" si="202"/>
        <v>836</v>
      </c>
      <c r="E2529" s="1">
        <f t="shared" si="203"/>
        <v>2270</v>
      </c>
      <c r="F2529" s="1">
        <f t="shared" si="199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200"/>
        <v>45460</v>
      </c>
      <c r="C2530" s="1">
        <f t="shared" si="201"/>
        <v>4761</v>
      </c>
      <c r="D2530" s="1">
        <f t="shared" si="202"/>
        <v>836</v>
      </c>
      <c r="E2530" s="1">
        <f t="shared" si="203"/>
        <v>2280</v>
      </c>
      <c r="F2530" s="1">
        <f t="shared" si="199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200"/>
        <v>45461</v>
      </c>
      <c r="C2531" s="1">
        <f t="shared" si="201"/>
        <v>4754</v>
      </c>
      <c r="D2531" s="1">
        <f t="shared" si="202"/>
        <v>841</v>
      </c>
      <c r="E2531" s="1">
        <f t="shared" si="203"/>
        <v>2280</v>
      </c>
      <c r="F2531" s="1">
        <f t="shared" si="199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200"/>
        <v>45462</v>
      </c>
      <c r="C2532" s="1">
        <f t="shared" si="201"/>
        <v>4749</v>
      </c>
      <c r="D2532" s="1">
        <f t="shared" si="202"/>
        <v>841</v>
      </c>
      <c r="E2532" s="1">
        <f t="shared" si="203"/>
        <v>2280</v>
      </c>
      <c r="F2532" s="1">
        <f t="shared" si="199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200"/>
        <v>45463</v>
      </c>
      <c r="C2533" s="1">
        <f t="shared" si="201"/>
        <v>4752</v>
      </c>
      <c r="D2533" s="1">
        <f t="shared" si="202"/>
        <v>841</v>
      </c>
      <c r="E2533" s="1">
        <f t="shared" si="203"/>
        <v>2280</v>
      </c>
      <c r="F2533" s="1">
        <f t="shared" si="199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200"/>
        <v>45464</v>
      </c>
      <c r="C2534" s="1">
        <f t="shared" si="201"/>
        <v>4752</v>
      </c>
      <c r="D2534" s="1">
        <f t="shared" si="202"/>
        <v>846</v>
      </c>
      <c r="E2534" s="1">
        <f t="shared" si="203"/>
        <v>2270</v>
      </c>
      <c r="F2534" s="1">
        <f t="shared" si="199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200"/>
        <v>45467</v>
      </c>
      <c r="C2535" s="1">
        <f t="shared" si="201"/>
        <v>4737</v>
      </c>
      <c r="D2535" s="1">
        <f t="shared" si="202"/>
        <v>846</v>
      </c>
      <c r="E2535" s="1">
        <f t="shared" si="203"/>
        <v>2280</v>
      </c>
      <c r="F2535" s="1">
        <f t="shared" si="199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200"/>
        <v>45468</v>
      </c>
      <c r="C2536" s="1">
        <f t="shared" si="201"/>
        <v>4745</v>
      </c>
      <c r="D2536" s="1">
        <f t="shared" si="202"/>
        <v>846</v>
      </c>
      <c r="E2536" s="1">
        <f t="shared" si="203"/>
        <v>2290</v>
      </c>
      <c r="F2536" s="1">
        <f t="shared" si="199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200"/>
        <v>45469</v>
      </c>
      <c r="C2537" s="1">
        <f t="shared" si="201"/>
        <v>4751</v>
      </c>
      <c r="D2537" s="1">
        <f t="shared" si="202"/>
        <v>846</v>
      </c>
      <c r="E2537" s="1">
        <f t="shared" si="203"/>
        <v>2310</v>
      </c>
      <c r="F2537" s="1">
        <f t="shared" si="199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200"/>
        <v>45470</v>
      </c>
      <c r="C2538" s="1">
        <f t="shared" si="201"/>
        <v>4757</v>
      </c>
      <c r="D2538" s="1">
        <f t="shared" si="202"/>
        <v>846</v>
      </c>
      <c r="E2538" s="1">
        <f t="shared" si="203"/>
        <v>2310</v>
      </c>
      <c r="F2538" s="1">
        <f t="shared" si="199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200"/>
        <v>45471</v>
      </c>
      <c r="C2539" s="1">
        <f t="shared" si="201"/>
        <v>4757</v>
      </c>
      <c r="D2539" s="1">
        <f t="shared" si="202"/>
        <v>856</v>
      </c>
      <c r="E2539" s="1">
        <f t="shared" si="203"/>
        <v>2320</v>
      </c>
      <c r="F2539" s="1">
        <f t="shared" si="199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200"/>
        <v>45474</v>
      </c>
      <c r="C2540" s="1">
        <f t="shared" si="201"/>
        <v>4752</v>
      </c>
      <c r="D2540" s="1">
        <f t="shared" si="202"/>
        <v>856</v>
      </c>
      <c r="E2540" s="1">
        <f t="shared" si="203"/>
        <v>2310</v>
      </c>
      <c r="F2540" s="1">
        <f t="shared" si="199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200"/>
        <v>45475</v>
      </c>
      <c r="C2541" s="1">
        <f t="shared" si="201"/>
        <v>4755</v>
      </c>
      <c r="D2541" s="1">
        <f t="shared" si="202"/>
        <v>856</v>
      </c>
      <c r="E2541" s="1">
        <f t="shared" si="203"/>
        <v>2300</v>
      </c>
      <c r="F2541" s="1">
        <f t="shared" si="199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200"/>
        <v>45476</v>
      </c>
      <c r="C2542" s="1">
        <f t="shared" si="201"/>
        <v>4755</v>
      </c>
      <c r="D2542" s="1">
        <f t="shared" si="202"/>
        <v>856</v>
      </c>
      <c r="E2542" s="1">
        <f t="shared" si="203"/>
        <v>2290</v>
      </c>
      <c r="F2542" s="1">
        <f t="shared" si="199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200"/>
        <v>45477</v>
      </c>
      <c r="C2543" s="1">
        <f t="shared" si="201"/>
        <v>4758</v>
      </c>
      <c r="D2543" s="1">
        <f t="shared" si="202"/>
        <v>858</v>
      </c>
      <c r="E2543" s="1">
        <f t="shared" si="203"/>
        <v>2300</v>
      </c>
      <c r="F2543" s="1">
        <f t="shared" si="199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200"/>
        <v>45478</v>
      </c>
      <c r="C2544" s="1">
        <f t="shared" si="201"/>
        <v>4743</v>
      </c>
      <c r="D2544" s="1">
        <f t="shared" si="202"/>
        <v>858</v>
      </c>
      <c r="E2544" s="1">
        <f t="shared" si="203"/>
        <v>2300</v>
      </c>
      <c r="F2544" s="1">
        <f t="shared" si="199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200"/>
        <v>45481</v>
      </c>
      <c r="C2545" s="1">
        <f t="shared" si="201"/>
        <v>4733</v>
      </c>
      <c r="D2545" s="1">
        <f t="shared" si="202"/>
        <v>858</v>
      </c>
      <c r="E2545" s="1">
        <f t="shared" si="203"/>
        <v>2300</v>
      </c>
      <c r="F2545" s="1">
        <f t="shared" si="199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200"/>
        <v>45482</v>
      </c>
      <c r="C2546" s="1">
        <f t="shared" si="201"/>
        <v>4732</v>
      </c>
      <c r="D2546" s="1">
        <f t="shared" si="202"/>
        <v>858</v>
      </c>
      <c r="E2546" s="1">
        <f t="shared" si="203"/>
        <v>2290</v>
      </c>
      <c r="F2546" s="1">
        <f t="shared" ref="F2546:F2609" si="204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200"/>
        <v>45483</v>
      </c>
      <c r="C2547" s="1">
        <f t="shared" si="201"/>
        <v>4713</v>
      </c>
      <c r="D2547" s="1">
        <f t="shared" si="202"/>
        <v>858</v>
      </c>
      <c r="E2547" s="1">
        <f t="shared" si="203"/>
        <v>2290</v>
      </c>
      <c r="F2547" s="1">
        <f t="shared" si="204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200"/>
        <v>45484</v>
      </c>
      <c r="C2548" s="1">
        <f t="shared" si="201"/>
        <v>4704</v>
      </c>
      <c r="D2548" s="1">
        <f t="shared" si="202"/>
        <v>858</v>
      </c>
      <c r="E2548" s="1">
        <f t="shared" si="203"/>
        <v>2280</v>
      </c>
      <c r="F2548" s="1">
        <f t="shared" si="204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200"/>
        <v>45485</v>
      </c>
      <c r="C2549" s="1">
        <f t="shared" si="201"/>
        <v>4706</v>
      </c>
      <c r="D2549" s="1">
        <f t="shared" si="202"/>
        <v>858</v>
      </c>
      <c r="E2549" s="1">
        <f t="shared" si="203"/>
        <v>2280</v>
      </c>
      <c r="F2549" s="1">
        <f t="shared" si="204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200"/>
        <v>45488</v>
      </c>
      <c r="C2550" s="1">
        <f t="shared" si="201"/>
        <v>4709</v>
      </c>
      <c r="D2550" s="1">
        <f t="shared" si="202"/>
        <v>858</v>
      </c>
      <c r="E2550" s="1">
        <f t="shared" si="203"/>
        <v>2280</v>
      </c>
      <c r="F2550" s="1">
        <f t="shared" si="204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200"/>
        <v>45489</v>
      </c>
      <c r="C2551" s="1">
        <f t="shared" si="201"/>
        <v>4698</v>
      </c>
      <c r="D2551" s="1">
        <f t="shared" si="202"/>
        <v>858</v>
      </c>
      <c r="E2551" s="1">
        <f t="shared" si="203"/>
        <v>2270</v>
      </c>
      <c r="F2551" s="1">
        <f t="shared" si="204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200"/>
        <v>45490</v>
      </c>
      <c r="C2552" s="1">
        <f t="shared" si="201"/>
        <v>4691</v>
      </c>
      <c r="D2552" s="1">
        <f t="shared" si="202"/>
        <v>858</v>
      </c>
      <c r="E2552" s="1">
        <f t="shared" si="203"/>
        <v>2270</v>
      </c>
      <c r="F2552" s="1">
        <f t="shared" si="204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200"/>
        <v>45491</v>
      </c>
      <c r="C2553" s="1">
        <f t="shared" si="201"/>
        <v>4689</v>
      </c>
      <c r="D2553" s="1">
        <f t="shared" si="202"/>
        <v>858</v>
      </c>
      <c r="E2553" s="1">
        <f t="shared" si="203"/>
        <v>2260</v>
      </c>
      <c r="F2553" s="1">
        <f t="shared" si="204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200"/>
        <v>45492</v>
      </c>
      <c r="C2554" s="1">
        <f t="shared" si="201"/>
        <v>4685</v>
      </c>
      <c r="D2554" s="1">
        <f t="shared" si="202"/>
        <v>858</v>
      </c>
      <c r="E2554" s="1">
        <f t="shared" si="203"/>
        <v>2260</v>
      </c>
      <c r="F2554" s="1">
        <f t="shared" si="204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200"/>
        <v>45495</v>
      </c>
      <c r="C2555" s="1">
        <f t="shared" si="201"/>
        <v>4685</v>
      </c>
      <c r="D2555" s="1">
        <f t="shared" si="202"/>
        <v>858</v>
      </c>
      <c r="E2555" s="1">
        <f t="shared" si="203"/>
        <v>2250</v>
      </c>
      <c r="F2555" s="1">
        <f t="shared" si="204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200"/>
        <v>45496</v>
      </c>
      <c r="C2556" s="1">
        <f t="shared" si="201"/>
        <v>4673</v>
      </c>
      <c r="D2556" s="1">
        <f t="shared" si="202"/>
        <v>858</v>
      </c>
      <c r="E2556" s="1">
        <f t="shared" si="203"/>
        <v>2190</v>
      </c>
      <c r="F2556" s="1">
        <f t="shared" si="204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200"/>
        <v>45497</v>
      </c>
      <c r="C2557" s="1">
        <f t="shared" si="201"/>
        <v>4658</v>
      </c>
      <c r="D2557" s="1">
        <f t="shared" si="202"/>
        <v>858</v>
      </c>
      <c r="E2557" s="1">
        <f t="shared" si="203"/>
        <v>2140</v>
      </c>
      <c r="F2557" s="1">
        <f t="shared" si="204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200"/>
        <v>45498</v>
      </c>
      <c r="C2558" s="1">
        <f t="shared" si="201"/>
        <v>4640</v>
      </c>
      <c r="D2558" s="1">
        <f t="shared" si="202"/>
        <v>858</v>
      </c>
      <c r="E2558" s="1">
        <f t="shared" si="203"/>
        <v>2140</v>
      </c>
      <c r="F2558" s="1">
        <f t="shared" si="204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200"/>
        <v>45499</v>
      </c>
      <c r="C2559" s="1">
        <f t="shared" si="201"/>
        <v>4631</v>
      </c>
      <c r="D2559" s="1">
        <f t="shared" si="202"/>
        <v>861</v>
      </c>
      <c r="E2559" s="1">
        <f t="shared" si="203"/>
        <v>2130</v>
      </c>
      <c r="F2559" s="1">
        <f t="shared" si="204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200"/>
        <v>45502</v>
      </c>
      <c r="C2560" s="1">
        <f t="shared" si="201"/>
        <v>4611</v>
      </c>
      <c r="D2560" s="1">
        <f t="shared" si="202"/>
        <v>861</v>
      </c>
      <c r="E2560" s="1">
        <f t="shared" si="203"/>
        <v>2130</v>
      </c>
      <c r="F2560" s="1">
        <f t="shared" si="204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200"/>
        <v>45503</v>
      </c>
      <c r="C2561" s="1">
        <f t="shared" si="201"/>
        <v>4586</v>
      </c>
      <c r="D2561" s="1">
        <f t="shared" si="202"/>
        <v>861</v>
      </c>
      <c r="E2561" s="1">
        <f t="shared" si="203"/>
        <v>2130</v>
      </c>
      <c r="F2561" s="1">
        <f t="shared" si="204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200"/>
        <v>45504</v>
      </c>
      <c r="C2562" s="1">
        <f t="shared" si="201"/>
        <v>4580</v>
      </c>
      <c r="D2562" s="1">
        <f t="shared" si="202"/>
        <v>861</v>
      </c>
      <c r="E2562" s="1">
        <f t="shared" si="203"/>
        <v>2150</v>
      </c>
      <c r="F2562" s="1">
        <f t="shared" si="204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200"/>
        <v>45505</v>
      </c>
      <c r="C2563" s="1">
        <f t="shared" si="201"/>
        <v>4590</v>
      </c>
      <c r="D2563" s="1">
        <f t="shared" si="202"/>
        <v>861</v>
      </c>
      <c r="E2563" s="1">
        <f t="shared" si="203"/>
        <v>2150</v>
      </c>
      <c r="F2563" s="1">
        <f t="shared" si="204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200"/>
        <v>45506</v>
      </c>
      <c r="C2564" s="1">
        <f t="shared" si="201"/>
        <v>4591</v>
      </c>
      <c r="D2564" s="1">
        <f t="shared" si="202"/>
        <v>866</v>
      </c>
      <c r="E2564" s="1">
        <f t="shared" si="203"/>
        <v>2150</v>
      </c>
      <c r="F2564" s="1">
        <f t="shared" si="204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200"/>
        <v>45509</v>
      </c>
      <c r="C2565" s="1">
        <f t="shared" si="201"/>
        <v>4567</v>
      </c>
      <c r="D2565" s="1">
        <f t="shared" si="202"/>
        <v>866</v>
      </c>
      <c r="E2565" s="1">
        <f t="shared" si="203"/>
        <v>2150</v>
      </c>
      <c r="F2565" s="1">
        <f t="shared" si="204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5">L2566</f>
        <v>45510</v>
      </c>
      <c r="C2566" s="1">
        <f t="shared" si="201"/>
        <v>4555</v>
      </c>
      <c r="D2566" s="1">
        <f t="shared" si="202"/>
        <v>866</v>
      </c>
      <c r="E2566" s="1">
        <f t="shared" si="203"/>
        <v>2140</v>
      </c>
      <c r="F2566" s="1">
        <f t="shared" si="204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5"/>
        <v>45511</v>
      </c>
      <c r="C2567" s="1">
        <f t="shared" ref="C2567:C2630" si="206">IF(M2567&lt;&gt;0,M2567,C2566)</f>
        <v>4548</v>
      </c>
      <c r="D2567" s="1">
        <f t="shared" ref="D2567:D2630" si="207">IF(N2567&lt;&gt;0,N2567,D2566)</f>
        <v>871</v>
      </c>
      <c r="E2567" s="1">
        <f t="shared" ref="E2567:E2630" si="208">IF(O2567&lt;&gt;0,O2567,E2566)</f>
        <v>2120</v>
      </c>
      <c r="F2567" s="1">
        <f t="shared" si="204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5"/>
        <v>45512</v>
      </c>
      <c r="C2568" s="1">
        <f t="shared" si="206"/>
        <v>4541</v>
      </c>
      <c r="D2568" s="1">
        <f t="shared" si="207"/>
        <v>871</v>
      </c>
      <c r="E2568" s="1">
        <f t="shared" si="208"/>
        <v>2110</v>
      </c>
      <c r="F2568" s="1">
        <f t="shared" si="204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5"/>
        <v>45513</v>
      </c>
      <c r="C2569" s="1">
        <f t="shared" si="206"/>
        <v>4537</v>
      </c>
      <c r="D2569" s="1">
        <f t="shared" si="207"/>
        <v>871</v>
      </c>
      <c r="E2569" s="1">
        <f t="shared" si="208"/>
        <v>2110</v>
      </c>
      <c r="F2569" s="1">
        <f t="shared" si="204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5"/>
        <v>45516</v>
      </c>
      <c r="C2570" s="1">
        <f t="shared" si="206"/>
        <v>4545</v>
      </c>
      <c r="D2570" s="1">
        <f t="shared" si="207"/>
        <v>871</v>
      </c>
      <c r="E2570" s="1">
        <f t="shared" si="208"/>
        <v>2110</v>
      </c>
      <c r="F2570" s="1">
        <f t="shared" si="204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5"/>
        <v>45517</v>
      </c>
      <c r="C2571" s="1">
        <f t="shared" si="206"/>
        <v>4549</v>
      </c>
      <c r="D2571" s="1">
        <f t="shared" si="207"/>
        <v>876</v>
      </c>
      <c r="E2571" s="1">
        <f t="shared" si="208"/>
        <v>2120</v>
      </c>
      <c r="F2571" s="1">
        <f t="shared" si="204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5"/>
        <v>45518</v>
      </c>
      <c r="C2572" s="1">
        <f t="shared" si="206"/>
        <v>4545</v>
      </c>
      <c r="D2572" s="1">
        <f t="shared" si="207"/>
        <v>876</v>
      </c>
      <c r="E2572" s="1">
        <f t="shared" si="208"/>
        <v>2120</v>
      </c>
      <c r="F2572" s="1">
        <f t="shared" si="204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5"/>
        <v>45519</v>
      </c>
      <c r="C2573" s="1">
        <f t="shared" si="206"/>
        <v>4511</v>
      </c>
      <c r="D2573" s="1">
        <f t="shared" si="207"/>
        <v>876</v>
      </c>
      <c r="E2573" s="1">
        <f t="shared" si="208"/>
        <v>2120</v>
      </c>
      <c r="F2573" s="1">
        <f t="shared" si="204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5"/>
        <v>45520</v>
      </c>
      <c r="C2574" s="1">
        <f t="shared" si="206"/>
        <v>4506</v>
      </c>
      <c r="D2574" s="1">
        <f t="shared" si="207"/>
        <v>876</v>
      </c>
      <c r="E2574" s="1">
        <f t="shared" si="208"/>
        <v>2120</v>
      </c>
      <c r="F2574" s="1">
        <f t="shared" si="204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5"/>
        <v>45523</v>
      </c>
      <c r="C2575" s="1">
        <f t="shared" si="206"/>
        <v>4501</v>
      </c>
      <c r="D2575" s="1">
        <f t="shared" si="207"/>
        <v>881</v>
      </c>
      <c r="E2575" s="1">
        <f t="shared" si="208"/>
        <v>2100</v>
      </c>
      <c r="F2575" s="1">
        <f t="shared" si="204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5"/>
        <v>45524</v>
      </c>
      <c r="C2576" s="1">
        <f t="shared" si="206"/>
        <v>4490</v>
      </c>
      <c r="D2576" s="1">
        <f t="shared" si="207"/>
        <v>881</v>
      </c>
      <c r="E2576" s="1">
        <f t="shared" si="208"/>
        <v>2100</v>
      </c>
      <c r="F2576" s="1">
        <f t="shared" si="204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5"/>
        <v>45525</v>
      </c>
      <c r="C2577" s="1">
        <f t="shared" si="206"/>
        <v>4486</v>
      </c>
      <c r="D2577" s="1">
        <f t="shared" si="207"/>
        <v>881</v>
      </c>
      <c r="E2577" s="1">
        <f t="shared" si="208"/>
        <v>2050</v>
      </c>
      <c r="F2577" s="1">
        <f t="shared" si="204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5"/>
        <v>45526</v>
      </c>
      <c r="C2578" s="1">
        <f t="shared" si="206"/>
        <v>4488</v>
      </c>
      <c r="D2578" s="1">
        <f t="shared" si="207"/>
        <v>881</v>
      </c>
      <c r="E2578" s="1">
        <f t="shared" si="208"/>
        <v>2070</v>
      </c>
      <c r="F2578" s="1">
        <f t="shared" si="204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5"/>
        <v>45527</v>
      </c>
      <c r="C2579" s="1">
        <f t="shared" si="206"/>
        <v>4474</v>
      </c>
      <c r="D2579" s="1">
        <f t="shared" si="207"/>
        <v>881</v>
      </c>
      <c r="E2579" s="1">
        <f t="shared" si="208"/>
        <v>2070</v>
      </c>
      <c r="F2579" s="1">
        <f t="shared" si="204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5"/>
        <v>45530</v>
      </c>
      <c r="C2580" s="1">
        <f t="shared" si="206"/>
        <v>4496</v>
      </c>
      <c r="D2580" s="1">
        <f t="shared" si="207"/>
        <v>881</v>
      </c>
      <c r="E2580" s="1">
        <f t="shared" si="208"/>
        <v>2070</v>
      </c>
      <c r="F2580" s="1">
        <f t="shared" si="204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5"/>
        <v>45531</v>
      </c>
      <c r="C2581" s="1">
        <f t="shared" si="206"/>
        <v>4511</v>
      </c>
      <c r="D2581" s="1">
        <f t="shared" si="207"/>
        <v>881</v>
      </c>
      <c r="E2581" s="1">
        <f t="shared" si="208"/>
        <v>2060</v>
      </c>
      <c r="F2581" s="1">
        <f t="shared" si="204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5"/>
        <v>45532</v>
      </c>
      <c r="C2582" s="1">
        <f t="shared" si="206"/>
        <v>4508</v>
      </c>
      <c r="D2582" s="1">
        <f t="shared" si="207"/>
        <v>881</v>
      </c>
      <c r="E2582" s="1">
        <f t="shared" si="208"/>
        <v>2050</v>
      </c>
      <c r="F2582" s="1">
        <f t="shared" si="204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5"/>
        <v>45533</v>
      </c>
      <c r="C2583" s="1">
        <f t="shared" si="206"/>
        <v>4506</v>
      </c>
      <c r="D2583" s="1">
        <f t="shared" si="207"/>
        <v>881</v>
      </c>
      <c r="E2583" s="1">
        <f t="shared" si="208"/>
        <v>2050</v>
      </c>
      <c r="F2583" s="1">
        <f t="shared" si="204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5"/>
        <v>45534</v>
      </c>
      <c r="C2584" s="1">
        <f t="shared" si="206"/>
        <v>4498</v>
      </c>
      <c r="D2584" s="1">
        <f t="shared" si="207"/>
        <v>881</v>
      </c>
      <c r="E2584" s="1">
        <f t="shared" si="208"/>
        <v>2010</v>
      </c>
      <c r="F2584" s="1">
        <f t="shared" si="204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5"/>
        <v>45537</v>
      </c>
      <c r="C2585" s="1">
        <f t="shared" si="206"/>
        <v>4481</v>
      </c>
      <c r="D2585" s="1">
        <f t="shared" si="207"/>
        <v>881</v>
      </c>
      <c r="E2585" s="1">
        <f t="shared" si="208"/>
        <v>2000</v>
      </c>
      <c r="F2585" s="1">
        <f t="shared" si="204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5"/>
        <v>45538</v>
      </c>
      <c r="C2586" s="1">
        <f t="shared" si="206"/>
        <v>4464</v>
      </c>
      <c r="D2586" s="1">
        <f t="shared" si="207"/>
        <v>881</v>
      </c>
      <c r="E2586" s="1">
        <f t="shared" si="208"/>
        <v>1980</v>
      </c>
      <c r="F2586" s="1">
        <f t="shared" si="204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5"/>
        <v>45539</v>
      </c>
      <c r="C2587" s="1">
        <f t="shared" si="206"/>
        <v>4442</v>
      </c>
      <c r="D2587" s="1">
        <f t="shared" si="207"/>
        <v>881</v>
      </c>
      <c r="E2587" s="1">
        <f t="shared" si="208"/>
        <v>1980</v>
      </c>
      <c r="F2587" s="1">
        <f t="shared" si="204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5"/>
        <v>45540</v>
      </c>
      <c r="C2588" s="1">
        <f t="shared" si="206"/>
        <v>4433</v>
      </c>
      <c r="D2588" s="1">
        <f t="shared" si="207"/>
        <v>876</v>
      </c>
      <c r="E2588" s="1">
        <f t="shared" si="208"/>
        <v>1960</v>
      </c>
      <c r="F2588" s="1">
        <f t="shared" si="204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5"/>
        <v>45541</v>
      </c>
      <c r="C2589" s="1">
        <f t="shared" si="206"/>
        <v>4435</v>
      </c>
      <c r="D2589" s="1">
        <f t="shared" si="207"/>
        <v>876</v>
      </c>
      <c r="E2589" s="1">
        <f t="shared" si="208"/>
        <v>1960</v>
      </c>
      <c r="F2589" s="1">
        <f t="shared" si="204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5"/>
        <v>45544</v>
      </c>
      <c r="C2590" s="1">
        <f t="shared" si="206"/>
        <v>4405</v>
      </c>
      <c r="D2590" s="1">
        <f t="shared" si="207"/>
        <v>876</v>
      </c>
      <c r="E2590" s="1">
        <f t="shared" si="208"/>
        <v>1940</v>
      </c>
      <c r="F2590" s="1">
        <f t="shared" si="204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5"/>
        <v>45545</v>
      </c>
      <c r="C2591" s="1">
        <f t="shared" si="206"/>
        <v>4382</v>
      </c>
      <c r="D2591" s="1">
        <f t="shared" si="207"/>
        <v>876</v>
      </c>
      <c r="E2591" s="1">
        <f t="shared" si="208"/>
        <v>1940</v>
      </c>
      <c r="F2591" s="1">
        <f t="shared" si="204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5"/>
        <v>45546</v>
      </c>
      <c r="C2592" s="1">
        <f t="shared" si="206"/>
        <v>4344</v>
      </c>
      <c r="D2592" s="1">
        <f t="shared" si="207"/>
        <v>876</v>
      </c>
      <c r="E2592" s="1">
        <f t="shared" si="208"/>
        <v>1880</v>
      </c>
      <c r="F2592" s="1">
        <f t="shared" si="204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5"/>
        <v>45547</v>
      </c>
      <c r="C2593" s="1">
        <f t="shared" si="206"/>
        <v>4353</v>
      </c>
      <c r="D2593" s="1">
        <f t="shared" si="207"/>
        <v>861</v>
      </c>
      <c r="E2593" s="1">
        <f t="shared" si="208"/>
        <v>1880</v>
      </c>
      <c r="F2593" s="1">
        <f t="shared" si="204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5"/>
        <v>45548</v>
      </c>
      <c r="C2594" s="1">
        <f t="shared" si="206"/>
        <v>4362</v>
      </c>
      <c r="D2594" s="1">
        <f t="shared" si="207"/>
        <v>861</v>
      </c>
      <c r="E2594" s="1">
        <f t="shared" si="208"/>
        <v>1890</v>
      </c>
      <c r="F2594" s="1">
        <f t="shared" si="204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5"/>
        <v>45549</v>
      </c>
      <c r="C2595" s="1">
        <f t="shared" si="206"/>
        <v>4373</v>
      </c>
      <c r="D2595" s="1">
        <f t="shared" si="207"/>
        <v>861</v>
      </c>
      <c r="E2595" s="1">
        <f t="shared" si="208"/>
        <v>1890</v>
      </c>
      <c r="F2595" s="1">
        <f t="shared" si="204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5"/>
        <v>45551</v>
      </c>
      <c r="C2596" s="1">
        <f t="shared" si="206"/>
        <v>4373</v>
      </c>
      <c r="D2596" s="1">
        <f t="shared" si="207"/>
        <v>861</v>
      </c>
      <c r="E2596" s="1">
        <f t="shared" si="208"/>
        <v>1890</v>
      </c>
      <c r="F2596" s="1">
        <f t="shared" si="204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5"/>
        <v>45552</v>
      </c>
      <c r="C2597" s="1">
        <f t="shared" si="206"/>
        <v>4373</v>
      </c>
      <c r="D2597" s="1">
        <f t="shared" si="207"/>
        <v>861</v>
      </c>
      <c r="E2597" s="1">
        <f t="shared" si="208"/>
        <v>1890</v>
      </c>
      <c r="F2597" s="1">
        <f t="shared" si="204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5"/>
        <v>45553</v>
      </c>
      <c r="C2598" s="1">
        <f t="shared" si="206"/>
        <v>4358</v>
      </c>
      <c r="D2598" s="1">
        <f t="shared" si="207"/>
        <v>861</v>
      </c>
      <c r="E2598" s="1">
        <f t="shared" si="208"/>
        <v>1900</v>
      </c>
      <c r="F2598" s="1">
        <f t="shared" si="204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5"/>
        <v>45554</v>
      </c>
      <c r="C2599" s="1">
        <f t="shared" si="206"/>
        <v>4353</v>
      </c>
      <c r="D2599" s="1">
        <f t="shared" si="207"/>
        <v>861</v>
      </c>
      <c r="E2599" s="1">
        <f t="shared" si="208"/>
        <v>1870</v>
      </c>
      <c r="F2599" s="1">
        <f t="shared" si="204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5"/>
        <v>45555</v>
      </c>
      <c r="C2600" s="1">
        <f t="shared" si="206"/>
        <v>4358</v>
      </c>
      <c r="D2600" s="1">
        <f t="shared" si="207"/>
        <v>841</v>
      </c>
      <c r="E2600" s="1">
        <f t="shared" si="208"/>
        <v>1860</v>
      </c>
      <c r="F2600" s="1">
        <f t="shared" si="204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5"/>
        <v>45558</v>
      </c>
      <c r="C2601" s="1">
        <f t="shared" si="206"/>
        <v>4336</v>
      </c>
      <c r="D2601" s="1">
        <f t="shared" si="207"/>
        <v>841</v>
      </c>
      <c r="E2601" s="1">
        <f t="shared" si="208"/>
        <v>1840</v>
      </c>
      <c r="F2601" s="1">
        <f t="shared" si="204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5"/>
        <v>45559</v>
      </c>
      <c r="C2602" s="1">
        <f t="shared" si="206"/>
        <v>4335</v>
      </c>
      <c r="D2602" s="1">
        <f t="shared" si="207"/>
        <v>841</v>
      </c>
      <c r="E2602" s="1">
        <f t="shared" si="208"/>
        <v>1820</v>
      </c>
      <c r="F2602" s="1">
        <f t="shared" si="204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5"/>
        <v>45560</v>
      </c>
      <c r="C2603" s="1">
        <f t="shared" si="206"/>
        <v>4351</v>
      </c>
      <c r="D2603" s="1">
        <f t="shared" si="207"/>
        <v>841</v>
      </c>
      <c r="E2603" s="1">
        <f t="shared" si="208"/>
        <v>1810</v>
      </c>
      <c r="F2603" s="1">
        <f t="shared" si="204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5"/>
        <v>45561</v>
      </c>
      <c r="C2604" s="1">
        <f t="shared" si="206"/>
        <v>4354</v>
      </c>
      <c r="D2604" s="1">
        <f t="shared" si="207"/>
        <v>831</v>
      </c>
      <c r="E2604" s="1">
        <f t="shared" si="208"/>
        <v>1820</v>
      </c>
      <c r="F2604" s="1">
        <f t="shared" si="204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5"/>
        <v>45562</v>
      </c>
      <c r="C2605" s="1">
        <f t="shared" si="206"/>
        <v>4352</v>
      </c>
      <c r="D2605" s="1">
        <f t="shared" si="207"/>
        <v>821</v>
      </c>
      <c r="E2605" s="1">
        <f t="shared" si="208"/>
        <v>1820</v>
      </c>
      <c r="F2605" s="1">
        <f t="shared" si="204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5"/>
        <v>45564</v>
      </c>
      <c r="C2606" s="1">
        <f t="shared" si="206"/>
        <v>4373</v>
      </c>
      <c r="D2606" s="1">
        <f t="shared" si="207"/>
        <v>821</v>
      </c>
      <c r="E2606" s="1">
        <f t="shared" si="208"/>
        <v>1850</v>
      </c>
      <c r="F2606" s="1">
        <f t="shared" si="204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5"/>
        <v>45565</v>
      </c>
      <c r="C2607" s="1">
        <f t="shared" si="206"/>
        <v>4397</v>
      </c>
      <c r="D2607" s="1">
        <f t="shared" si="207"/>
        <v>821</v>
      </c>
      <c r="E2607" s="1">
        <f t="shared" si="208"/>
        <v>1850</v>
      </c>
      <c r="F2607" s="1">
        <f t="shared" si="204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5"/>
        <v>45566</v>
      </c>
      <c r="C2608" s="1">
        <f t="shared" si="206"/>
        <v>4397</v>
      </c>
      <c r="D2608" s="1">
        <f t="shared" si="207"/>
        <v>821</v>
      </c>
      <c r="E2608" s="1">
        <f t="shared" si="208"/>
        <v>1850</v>
      </c>
      <c r="F2608" s="1">
        <f t="shared" si="204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5"/>
        <v>45567</v>
      </c>
      <c r="C2609" s="1">
        <f t="shared" si="206"/>
        <v>4397</v>
      </c>
      <c r="D2609" s="1">
        <f t="shared" si="207"/>
        <v>821</v>
      </c>
      <c r="E2609" s="1">
        <f t="shared" si="208"/>
        <v>1850</v>
      </c>
      <c r="F2609" s="1">
        <f t="shared" si="204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5"/>
        <v>45568</v>
      </c>
      <c r="C2610" s="1">
        <f t="shared" si="206"/>
        <v>4397</v>
      </c>
      <c r="D2610" s="1">
        <f t="shared" si="207"/>
        <v>821</v>
      </c>
      <c r="E2610" s="1">
        <f t="shared" si="208"/>
        <v>1850</v>
      </c>
      <c r="F2610" s="1">
        <f t="shared" ref="F2610:F2673" si="209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5"/>
        <v>45569</v>
      </c>
      <c r="C2611" s="1">
        <f t="shared" si="206"/>
        <v>4397</v>
      </c>
      <c r="D2611" s="1">
        <f t="shared" si="207"/>
        <v>821</v>
      </c>
      <c r="E2611" s="1">
        <f t="shared" si="208"/>
        <v>1850</v>
      </c>
      <c r="F2611" s="1">
        <f t="shared" si="209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5"/>
        <v>45572</v>
      </c>
      <c r="C2612" s="1">
        <f t="shared" si="206"/>
        <v>4397</v>
      </c>
      <c r="D2612" s="1">
        <f t="shared" si="207"/>
        <v>821</v>
      </c>
      <c r="E2612" s="1">
        <f t="shared" si="208"/>
        <v>1850</v>
      </c>
      <c r="F2612" s="1">
        <f t="shared" si="209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5"/>
        <v>45573</v>
      </c>
      <c r="C2613" s="1">
        <f t="shared" si="206"/>
        <v>4482</v>
      </c>
      <c r="D2613" s="1">
        <f t="shared" si="207"/>
        <v>841</v>
      </c>
      <c r="E2613" s="1">
        <f t="shared" si="208"/>
        <v>1890</v>
      </c>
      <c r="F2613" s="1">
        <f t="shared" si="209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5"/>
        <v>45574</v>
      </c>
      <c r="C2614" s="1">
        <f t="shared" si="206"/>
        <v>4490</v>
      </c>
      <c r="D2614" s="1">
        <f t="shared" si="207"/>
        <v>841</v>
      </c>
      <c r="E2614" s="1">
        <f t="shared" si="208"/>
        <v>1900</v>
      </c>
      <c r="F2614" s="1">
        <f t="shared" si="209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5"/>
        <v>45575</v>
      </c>
      <c r="C2615" s="1">
        <f t="shared" si="206"/>
        <v>4459</v>
      </c>
      <c r="D2615" s="1">
        <f t="shared" si="207"/>
        <v>841</v>
      </c>
      <c r="E2615" s="1">
        <f t="shared" si="208"/>
        <v>1900</v>
      </c>
      <c r="F2615" s="1">
        <f t="shared" si="209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5"/>
        <v>45576</v>
      </c>
      <c r="C2616" s="1">
        <f t="shared" si="206"/>
        <v>4463</v>
      </c>
      <c r="D2616" s="1">
        <f t="shared" si="207"/>
        <v>836</v>
      </c>
      <c r="E2616" s="1">
        <f t="shared" si="208"/>
        <v>1890</v>
      </c>
      <c r="F2616" s="1">
        <f t="shared" si="209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5"/>
        <v>45577</v>
      </c>
      <c r="C2617" s="1">
        <f t="shared" si="206"/>
        <v>4471</v>
      </c>
      <c r="D2617" s="1">
        <f t="shared" si="207"/>
        <v>836</v>
      </c>
      <c r="E2617" s="1">
        <f t="shared" si="208"/>
        <v>1890</v>
      </c>
      <c r="F2617" s="1">
        <f t="shared" si="209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5"/>
        <v>45579</v>
      </c>
      <c r="C2618" s="1">
        <f t="shared" si="206"/>
        <v>4478</v>
      </c>
      <c r="D2618" s="1">
        <f t="shared" si="207"/>
        <v>836</v>
      </c>
      <c r="E2618" s="1">
        <f t="shared" si="208"/>
        <v>1860</v>
      </c>
      <c r="F2618" s="1">
        <f t="shared" si="209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5"/>
        <v>45580</v>
      </c>
      <c r="C2619" s="1">
        <f t="shared" si="206"/>
        <v>4460</v>
      </c>
      <c r="D2619" s="1">
        <f t="shared" si="207"/>
        <v>836</v>
      </c>
      <c r="E2619" s="1">
        <f t="shared" si="208"/>
        <v>1810</v>
      </c>
      <c r="F2619" s="1">
        <f t="shared" si="209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5"/>
        <v>45581</v>
      </c>
      <c r="C2620" s="1">
        <f t="shared" si="206"/>
        <v>4438</v>
      </c>
      <c r="D2620" s="1">
        <f t="shared" si="207"/>
        <v>836</v>
      </c>
      <c r="E2620" s="1">
        <f t="shared" si="208"/>
        <v>1820</v>
      </c>
      <c r="F2620" s="1">
        <f t="shared" si="209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5"/>
        <v>45582</v>
      </c>
      <c r="C2621" s="1">
        <f t="shared" si="206"/>
        <v>4407</v>
      </c>
      <c r="D2621" s="1">
        <f t="shared" si="207"/>
        <v>836</v>
      </c>
      <c r="E2621" s="1">
        <f t="shared" si="208"/>
        <v>1820</v>
      </c>
      <c r="F2621" s="1">
        <f t="shared" si="209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5"/>
        <v>45583</v>
      </c>
      <c r="C2622" s="1">
        <f t="shared" si="206"/>
        <v>4390</v>
      </c>
      <c r="D2622" s="1">
        <f t="shared" si="207"/>
        <v>836</v>
      </c>
      <c r="E2622" s="1">
        <f t="shared" si="208"/>
        <v>1820</v>
      </c>
      <c r="F2622" s="1">
        <f t="shared" si="209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5"/>
        <v>45586</v>
      </c>
      <c r="C2623" s="1">
        <f t="shared" si="206"/>
        <v>4388</v>
      </c>
      <c r="D2623" s="1">
        <f t="shared" si="207"/>
        <v>836</v>
      </c>
      <c r="E2623" s="1">
        <f t="shared" si="208"/>
        <v>1820</v>
      </c>
      <c r="F2623" s="1">
        <f t="shared" si="209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5"/>
        <v>45587</v>
      </c>
      <c r="C2624" s="1">
        <f t="shared" si="206"/>
        <v>4394</v>
      </c>
      <c r="D2624" s="1">
        <f t="shared" si="207"/>
        <v>836</v>
      </c>
      <c r="E2624" s="1">
        <f t="shared" si="208"/>
        <v>1810</v>
      </c>
      <c r="F2624" s="1">
        <f t="shared" si="209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5"/>
        <v>45588</v>
      </c>
      <c r="C2625" s="1">
        <f t="shared" si="206"/>
        <v>4391</v>
      </c>
      <c r="D2625" s="1">
        <f t="shared" si="207"/>
        <v>836</v>
      </c>
      <c r="E2625" s="1">
        <f t="shared" si="208"/>
        <v>1810</v>
      </c>
      <c r="F2625" s="1">
        <f t="shared" si="209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5"/>
        <v>45589</v>
      </c>
      <c r="C2626" s="1">
        <f t="shared" si="206"/>
        <v>4387</v>
      </c>
      <c r="D2626" s="1">
        <f t="shared" si="207"/>
        <v>836</v>
      </c>
      <c r="E2626" s="1">
        <f t="shared" si="208"/>
        <v>1820</v>
      </c>
      <c r="F2626" s="1">
        <f t="shared" si="209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5"/>
        <v>45590</v>
      </c>
      <c r="C2627" s="1">
        <f t="shared" si="206"/>
        <v>4386</v>
      </c>
      <c r="D2627" s="1">
        <f t="shared" si="207"/>
        <v>841</v>
      </c>
      <c r="E2627" s="1">
        <f t="shared" si="208"/>
        <v>1820</v>
      </c>
      <c r="F2627" s="1">
        <f t="shared" si="209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5"/>
        <v>45593</v>
      </c>
      <c r="C2628" s="1">
        <f t="shared" si="206"/>
        <v>4392</v>
      </c>
      <c r="D2628" s="1">
        <f t="shared" si="207"/>
        <v>841</v>
      </c>
      <c r="E2628" s="1">
        <f t="shared" si="208"/>
        <v>1820</v>
      </c>
      <c r="F2628" s="1">
        <f t="shared" si="209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5"/>
        <v>45594</v>
      </c>
      <c r="C2629" s="1">
        <f t="shared" si="206"/>
        <v>4374</v>
      </c>
      <c r="D2629" s="1">
        <f t="shared" si="207"/>
        <v>841</v>
      </c>
      <c r="E2629" s="1">
        <f t="shared" si="208"/>
        <v>1820</v>
      </c>
      <c r="F2629" s="1">
        <f t="shared" si="209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10">L2630</f>
        <v>45595</v>
      </c>
      <c r="C2630" s="1">
        <f t="shared" si="206"/>
        <v>4362</v>
      </c>
      <c r="D2630" s="1">
        <f t="shared" si="207"/>
        <v>841</v>
      </c>
      <c r="E2630" s="1">
        <f t="shared" si="208"/>
        <v>1820</v>
      </c>
      <c r="F2630" s="1">
        <f t="shared" si="209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10"/>
        <v>45596</v>
      </c>
      <c r="C2631" s="1">
        <f t="shared" ref="C2631:C2694" si="211">IF(M2631&lt;&gt;0,M2631,C2630)</f>
        <v>4360</v>
      </c>
      <c r="D2631" s="1">
        <f t="shared" ref="D2631:D2694" si="212">IF(N2631&lt;&gt;0,N2631,D2630)</f>
        <v>841</v>
      </c>
      <c r="E2631" s="1">
        <f t="shared" ref="E2631:E2694" si="213">IF(O2631&lt;&gt;0,O2631,E2630)</f>
        <v>1820</v>
      </c>
      <c r="F2631" s="1">
        <f t="shared" si="209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10"/>
        <v>45597</v>
      </c>
      <c r="C2632" s="1">
        <f t="shared" si="211"/>
        <v>4350</v>
      </c>
      <c r="D2632" s="1">
        <f t="shared" si="212"/>
        <v>851</v>
      </c>
      <c r="E2632" s="1">
        <f t="shared" si="213"/>
        <v>1820</v>
      </c>
      <c r="F2632" s="1">
        <f t="shared" si="209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10"/>
        <v>45600</v>
      </c>
      <c r="C2633" s="1">
        <f t="shared" si="211"/>
        <v>4364</v>
      </c>
      <c r="D2633" s="1">
        <f t="shared" si="212"/>
        <v>851</v>
      </c>
      <c r="E2633" s="1">
        <f t="shared" si="213"/>
        <v>1820</v>
      </c>
      <c r="F2633" s="1">
        <f t="shared" si="209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10"/>
        <v>45601</v>
      </c>
      <c r="C2634" s="1">
        <f t="shared" si="211"/>
        <v>4373</v>
      </c>
      <c r="D2634" s="1">
        <f t="shared" si="212"/>
        <v>851</v>
      </c>
      <c r="E2634" s="1">
        <f t="shared" si="213"/>
        <v>1820</v>
      </c>
      <c r="F2634" s="1">
        <f t="shared" si="209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10"/>
        <v>45602</v>
      </c>
      <c r="C2635" s="1">
        <f t="shared" si="211"/>
        <v>4370</v>
      </c>
      <c r="D2635" s="1">
        <f t="shared" si="212"/>
        <v>851</v>
      </c>
      <c r="E2635" s="1">
        <f t="shared" si="213"/>
        <v>1820</v>
      </c>
      <c r="F2635" s="1">
        <f t="shared" si="209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10"/>
        <v>45603</v>
      </c>
      <c r="C2636" s="1">
        <f t="shared" si="211"/>
        <v>4374</v>
      </c>
      <c r="D2636" s="1">
        <f t="shared" si="212"/>
        <v>851</v>
      </c>
      <c r="E2636" s="1">
        <f t="shared" si="213"/>
        <v>1830</v>
      </c>
      <c r="F2636" s="1">
        <f t="shared" si="209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10"/>
        <v>45604</v>
      </c>
      <c r="C2637" s="1">
        <f t="shared" si="211"/>
        <v>4380</v>
      </c>
      <c r="D2637" s="1">
        <f t="shared" si="212"/>
        <v>866</v>
      </c>
      <c r="E2637" s="1">
        <f t="shared" si="213"/>
        <v>1830</v>
      </c>
      <c r="F2637" s="1">
        <f t="shared" si="209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10"/>
        <v>45607</v>
      </c>
      <c r="C2638" s="1">
        <f t="shared" si="211"/>
        <v>4357</v>
      </c>
      <c r="D2638" s="1">
        <f t="shared" si="212"/>
        <v>866</v>
      </c>
      <c r="E2638" s="1">
        <f t="shared" si="213"/>
        <v>1830</v>
      </c>
      <c r="F2638" s="1">
        <f t="shared" si="209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10"/>
        <v>45608</v>
      </c>
      <c r="C2639" s="1">
        <f t="shared" si="211"/>
        <v>4353</v>
      </c>
      <c r="D2639" s="1">
        <f t="shared" si="212"/>
        <v>866</v>
      </c>
      <c r="E2639" s="1">
        <f t="shared" si="213"/>
        <v>1820</v>
      </c>
      <c r="F2639" s="1">
        <f t="shared" si="209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10"/>
        <v>45609</v>
      </c>
      <c r="C2640" s="1">
        <f t="shared" si="211"/>
        <v>4356</v>
      </c>
      <c r="D2640" s="1">
        <f t="shared" si="212"/>
        <v>866</v>
      </c>
      <c r="E2640" s="1">
        <f t="shared" si="213"/>
        <v>1810</v>
      </c>
      <c r="F2640" s="1">
        <f t="shared" si="209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10"/>
        <v>45610</v>
      </c>
      <c r="C2641" s="1">
        <f t="shared" si="211"/>
        <v>4350</v>
      </c>
      <c r="D2641" s="1">
        <f t="shared" si="212"/>
        <v>866</v>
      </c>
      <c r="E2641" s="1">
        <f t="shared" si="213"/>
        <v>1810</v>
      </c>
      <c r="F2641" s="1">
        <f t="shared" si="209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10"/>
        <v>45611</v>
      </c>
      <c r="C2642" s="1">
        <f t="shared" si="211"/>
        <v>4344</v>
      </c>
      <c r="D2642" s="1">
        <f t="shared" si="212"/>
        <v>866</v>
      </c>
      <c r="E2642" s="1">
        <f t="shared" si="213"/>
        <v>1810</v>
      </c>
      <c r="F2642" s="1">
        <f t="shared" si="209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10"/>
        <v>45614</v>
      </c>
      <c r="C2643" s="1">
        <f t="shared" si="211"/>
        <v>4323</v>
      </c>
      <c r="D2643" s="1">
        <f t="shared" si="212"/>
        <v>866</v>
      </c>
      <c r="E2643" s="1">
        <f t="shared" si="213"/>
        <v>1800</v>
      </c>
      <c r="F2643" s="1">
        <f t="shared" si="209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10"/>
        <v>45615</v>
      </c>
      <c r="C2644" s="1">
        <f t="shared" si="211"/>
        <v>4331</v>
      </c>
      <c r="D2644" s="1">
        <f t="shared" si="212"/>
        <v>866</v>
      </c>
      <c r="E2644" s="1">
        <f t="shared" si="213"/>
        <v>1800</v>
      </c>
      <c r="F2644" s="1">
        <f t="shared" si="209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10"/>
        <v>45616</v>
      </c>
      <c r="C2645" s="1">
        <f t="shared" si="211"/>
        <v>4344</v>
      </c>
      <c r="D2645" s="1">
        <f t="shared" si="212"/>
        <v>866</v>
      </c>
      <c r="E2645" s="1">
        <f t="shared" si="213"/>
        <v>1820</v>
      </c>
      <c r="F2645" s="1">
        <f t="shared" si="209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10"/>
        <v>45617</v>
      </c>
      <c r="C2646" s="1">
        <f t="shared" si="211"/>
        <v>4352</v>
      </c>
      <c r="D2646" s="1">
        <f t="shared" si="212"/>
        <v>866</v>
      </c>
      <c r="E2646" s="1">
        <f t="shared" si="213"/>
        <v>1800</v>
      </c>
      <c r="F2646" s="1">
        <f t="shared" si="209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10"/>
        <v>45618</v>
      </c>
      <c r="C2647" s="1">
        <f t="shared" si="211"/>
        <v>4357</v>
      </c>
      <c r="D2647" s="1">
        <f t="shared" si="212"/>
        <v>891</v>
      </c>
      <c r="E2647" s="1">
        <f t="shared" si="213"/>
        <v>1800</v>
      </c>
      <c r="F2647" s="1">
        <f t="shared" si="209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10"/>
        <v>45621</v>
      </c>
      <c r="C2648" s="1">
        <f t="shared" si="211"/>
        <v>4354</v>
      </c>
      <c r="D2648" s="1">
        <f t="shared" si="212"/>
        <v>891</v>
      </c>
      <c r="E2648" s="1">
        <f t="shared" si="213"/>
        <v>1810</v>
      </c>
      <c r="F2648" s="1">
        <f t="shared" si="209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10"/>
        <v>45622</v>
      </c>
      <c r="C2649" s="1">
        <f t="shared" si="211"/>
        <v>4354</v>
      </c>
      <c r="D2649" s="1">
        <f t="shared" si="212"/>
        <v>896</v>
      </c>
      <c r="E2649" s="1">
        <f t="shared" si="213"/>
        <v>1800</v>
      </c>
      <c r="F2649" s="1">
        <f t="shared" si="209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10"/>
        <v>45623</v>
      </c>
      <c r="C2650" s="1">
        <f t="shared" si="211"/>
        <v>4347</v>
      </c>
      <c r="D2650" s="1">
        <f t="shared" si="212"/>
        <v>896</v>
      </c>
      <c r="E2650" s="1">
        <f t="shared" si="213"/>
        <v>1800</v>
      </c>
      <c r="F2650" s="1">
        <f t="shared" si="209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10"/>
        <v>45624</v>
      </c>
      <c r="C2651" s="1">
        <f t="shared" si="211"/>
        <v>4343</v>
      </c>
      <c r="D2651" s="1">
        <f t="shared" si="212"/>
        <v>896</v>
      </c>
      <c r="E2651" s="1">
        <f t="shared" si="213"/>
        <v>1800</v>
      </c>
      <c r="F2651" s="1">
        <f t="shared" si="209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10"/>
        <v>45625</v>
      </c>
      <c r="C2652" s="1">
        <f t="shared" si="211"/>
        <v>4336</v>
      </c>
      <c r="D2652" s="1">
        <f t="shared" si="212"/>
        <v>896</v>
      </c>
      <c r="E2652" s="1">
        <f t="shared" si="213"/>
        <v>1800</v>
      </c>
      <c r="F2652" s="1">
        <f t="shared" si="209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10"/>
        <v>45628</v>
      </c>
      <c r="C2653" s="1">
        <f t="shared" si="211"/>
        <v>4342</v>
      </c>
      <c r="D2653" s="1">
        <f t="shared" si="212"/>
        <v>896</v>
      </c>
      <c r="E2653" s="1">
        <f t="shared" si="213"/>
        <v>1800</v>
      </c>
      <c r="F2653" s="1">
        <f t="shared" si="209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10"/>
        <v>45629</v>
      </c>
      <c r="C2654" s="1">
        <f t="shared" si="211"/>
        <v>4344</v>
      </c>
      <c r="D2654" s="1">
        <f t="shared" si="212"/>
        <v>896</v>
      </c>
      <c r="E2654" s="1">
        <f t="shared" si="213"/>
        <v>1800</v>
      </c>
      <c r="F2654" s="1">
        <f t="shared" si="209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10"/>
        <v>45630</v>
      </c>
      <c r="C2655" s="1">
        <f t="shared" si="211"/>
        <v>4340</v>
      </c>
      <c r="D2655" s="1">
        <f t="shared" si="212"/>
        <v>896</v>
      </c>
      <c r="E2655" s="1">
        <f t="shared" si="213"/>
        <v>1800</v>
      </c>
      <c r="F2655" s="1">
        <f t="shared" si="209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10"/>
        <v>45631</v>
      </c>
      <c r="C2656" s="1">
        <f t="shared" si="211"/>
        <v>4333</v>
      </c>
      <c r="D2656" s="1">
        <f t="shared" si="212"/>
        <v>896</v>
      </c>
      <c r="E2656" s="1">
        <f t="shared" si="213"/>
        <v>1800</v>
      </c>
      <c r="F2656" s="1">
        <f t="shared" si="209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10"/>
        <v>45632</v>
      </c>
      <c r="C2657" s="1">
        <f t="shared" si="211"/>
        <v>4314</v>
      </c>
      <c r="D2657" s="1">
        <f t="shared" si="212"/>
        <v>896</v>
      </c>
      <c r="E2657" s="1">
        <f t="shared" si="213"/>
        <v>1800</v>
      </c>
      <c r="F2657" s="1">
        <f t="shared" si="209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10"/>
        <v>45635</v>
      </c>
      <c r="C2658" s="1">
        <f t="shared" si="211"/>
        <v>4309</v>
      </c>
      <c r="D2658" s="1">
        <f t="shared" si="212"/>
        <v>896</v>
      </c>
      <c r="E2658" s="1">
        <f t="shared" si="213"/>
        <v>1780</v>
      </c>
      <c r="F2658" s="1">
        <f t="shared" si="209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10"/>
        <v>45636</v>
      </c>
      <c r="C2659" s="1">
        <f t="shared" si="211"/>
        <v>4316</v>
      </c>
      <c r="D2659" s="1">
        <f t="shared" si="212"/>
        <v>896</v>
      </c>
      <c r="E2659" s="1">
        <f t="shared" si="213"/>
        <v>1780</v>
      </c>
      <c r="F2659" s="1">
        <f t="shared" si="209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10"/>
        <v>45637</v>
      </c>
      <c r="C2660" s="1">
        <f t="shared" si="211"/>
        <v>4320</v>
      </c>
      <c r="D2660" s="1">
        <f t="shared" si="212"/>
        <v>896</v>
      </c>
      <c r="E2660" s="1">
        <f t="shared" si="213"/>
        <v>1790</v>
      </c>
      <c r="F2660" s="1">
        <f t="shared" si="209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10"/>
        <v>45638</v>
      </c>
      <c r="C2661" s="1">
        <f t="shared" si="211"/>
        <v>4333</v>
      </c>
      <c r="D2661" s="1">
        <f t="shared" si="212"/>
        <v>896</v>
      </c>
      <c r="E2661" s="1">
        <f t="shared" si="213"/>
        <v>1790</v>
      </c>
      <c r="F2661" s="1">
        <f t="shared" si="209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10"/>
        <v>45639</v>
      </c>
      <c r="C2662" s="1">
        <f t="shared" si="211"/>
        <v>4338</v>
      </c>
      <c r="D2662" s="1">
        <f t="shared" si="212"/>
        <v>896</v>
      </c>
      <c r="E2662" s="1">
        <f t="shared" si="213"/>
        <v>1790</v>
      </c>
      <c r="F2662" s="1">
        <f t="shared" si="209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10"/>
        <v>45642</v>
      </c>
      <c r="C2663" s="1">
        <f t="shared" si="211"/>
        <v>4349</v>
      </c>
      <c r="D2663" s="1">
        <f t="shared" si="212"/>
        <v>896</v>
      </c>
      <c r="E2663" s="1">
        <f t="shared" si="213"/>
        <v>1760</v>
      </c>
      <c r="F2663" s="1">
        <f t="shared" si="209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10"/>
        <v>45643</v>
      </c>
      <c r="C2664" s="1">
        <f t="shared" si="211"/>
        <v>4361</v>
      </c>
      <c r="D2664" s="1">
        <f t="shared" si="212"/>
        <v>876</v>
      </c>
      <c r="E2664" s="1">
        <f t="shared" si="213"/>
        <v>1740</v>
      </c>
      <c r="F2664" s="1">
        <f t="shared" si="209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10"/>
        <v>45644</v>
      </c>
      <c r="C2665" s="1">
        <f t="shared" si="211"/>
        <v>4348</v>
      </c>
      <c r="D2665" s="1">
        <f t="shared" si="212"/>
        <v>876</v>
      </c>
      <c r="E2665" s="1">
        <f t="shared" si="213"/>
        <v>1720</v>
      </c>
      <c r="F2665" s="1">
        <f t="shared" si="209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10"/>
        <v>45645</v>
      </c>
      <c r="C2666" s="1">
        <f t="shared" si="211"/>
        <v>4342</v>
      </c>
      <c r="D2666" s="1">
        <f t="shared" si="212"/>
        <v>876</v>
      </c>
      <c r="E2666" s="1">
        <f t="shared" si="213"/>
        <v>1720</v>
      </c>
      <c r="F2666" s="1">
        <f t="shared" si="209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10"/>
        <v>45646</v>
      </c>
      <c r="C2667" s="1">
        <f t="shared" si="211"/>
        <v>4346</v>
      </c>
      <c r="D2667" s="1">
        <f t="shared" si="212"/>
        <v>871</v>
      </c>
      <c r="E2667" s="1">
        <f t="shared" si="213"/>
        <v>1720</v>
      </c>
      <c r="F2667" s="1">
        <f t="shared" si="209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10"/>
        <v>45649</v>
      </c>
      <c r="C2668" s="1">
        <f t="shared" si="211"/>
        <v>4354</v>
      </c>
      <c r="D2668" s="1">
        <f t="shared" si="212"/>
        <v>871</v>
      </c>
      <c r="E2668" s="1">
        <f t="shared" si="213"/>
        <v>1720</v>
      </c>
      <c r="F2668" s="1">
        <f t="shared" si="209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10"/>
        <v>45650</v>
      </c>
      <c r="C2669" s="1">
        <f t="shared" si="211"/>
        <v>4353</v>
      </c>
      <c r="D2669" s="1">
        <f t="shared" si="212"/>
        <v>871</v>
      </c>
      <c r="E2669" s="1">
        <f t="shared" si="213"/>
        <v>1720</v>
      </c>
      <c r="F2669" s="1">
        <f t="shared" si="209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10"/>
        <v>45651</v>
      </c>
      <c r="C2670" s="1">
        <f t="shared" si="211"/>
        <v>4352</v>
      </c>
      <c r="D2670" s="1">
        <f t="shared" si="212"/>
        <v>871</v>
      </c>
      <c r="E2670" s="1">
        <f t="shared" si="213"/>
        <v>1720</v>
      </c>
      <c r="F2670" s="1">
        <f t="shared" si="209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10"/>
        <v>45652</v>
      </c>
      <c r="C2671" s="1">
        <f t="shared" si="211"/>
        <v>4344</v>
      </c>
      <c r="D2671" s="1">
        <f t="shared" si="212"/>
        <v>871</v>
      </c>
      <c r="E2671" s="1">
        <f t="shared" si="213"/>
        <v>1720</v>
      </c>
      <c r="F2671" s="1">
        <f t="shared" si="209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10"/>
        <v>45653</v>
      </c>
      <c r="C2672" s="1">
        <f t="shared" si="211"/>
        <v>4320</v>
      </c>
      <c r="D2672" s="1">
        <f t="shared" si="212"/>
        <v>871</v>
      </c>
      <c r="E2672" s="1">
        <f t="shared" si="213"/>
        <v>1720</v>
      </c>
      <c r="F2672" s="1">
        <f t="shared" si="209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10"/>
        <v>45656</v>
      </c>
      <c r="C2673" s="1">
        <f t="shared" si="211"/>
        <v>4310</v>
      </c>
      <c r="D2673" s="1">
        <f t="shared" si="212"/>
        <v>871</v>
      </c>
      <c r="E2673" s="1">
        <f t="shared" si="213"/>
        <v>1720</v>
      </c>
      <c r="F2673" s="1">
        <f t="shared" si="209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10"/>
        <v>45657</v>
      </c>
      <c r="C2674" s="1">
        <f t="shared" si="211"/>
        <v>4307</v>
      </c>
      <c r="D2674" s="1">
        <f t="shared" si="212"/>
        <v>871</v>
      </c>
      <c r="E2674" s="1">
        <f t="shared" si="213"/>
        <v>1690</v>
      </c>
      <c r="F2674" s="1">
        <f t="shared" ref="F2674:F2737" si="214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10"/>
        <v>45659</v>
      </c>
      <c r="C2675" s="1">
        <f t="shared" si="211"/>
        <v>4333</v>
      </c>
      <c r="D2675" s="1">
        <f t="shared" si="212"/>
        <v>871</v>
      </c>
      <c r="E2675" s="1">
        <f t="shared" si="213"/>
        <v>1680</v>
      </c>
      <c r="F2675" s="1">
        <f t="shared" si="214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10"/>
        <v>45660</v>
      </c>
      <c r="C2676" s="1">
        <f t="shared" si="211"/>
        <v>4334</v>
      </c>
      <c r="D2676" s="1">
        <f t="shared" si="212"/>
        <v>871</v>
      </c>
      <c r="E2676" s="1">
        <f t="shared" si="213"/>
        <v>1675</v>
      </c>
      <c r="F2676" s="1">
        <f t="shared" si="214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10"/>
        <v>45663</v>
      </c>
      <c r="C2677" s="1">
        <f t="shared" si="211"/>
        <v>4317</v>
      </c>
      <c r="D2677" s="1">
        <f t="shared" si="212"/>
        <v>871</v>
      </c>
      <c r="E2677" s="1">
        <f t="shared" si="213"/>
        <v>1640</v>
      </c>
      <c r="F2677" s="1">
        <f t="shared" si="214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10"/>
        <v>45664</v>
      </c>
      <c r="C2678" s="1">
        <f t="shared" si="211"/>
        <v>4312</v>
      </c>
      <c r="D2678" s="1">
        <f t="shared" si="212"/>
        <v>871</v>
      </c>
      <c r="E2678" s="1">
        <f t="shared" si="213"/>
        <v>1620</v>
      </c>
      <c r="F2678" s="1">
        <f t="shared" si="214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10"/>
        <v>45665</v>
      </c>
      <c r="C2679" s="1">
        <f t="shared" si="211"/>
        <v>4297</v>
      </c>
      <c r="D2679" s="1">
        <f t="shared" si="212"/>
        <v>871</v>
      </c>
      <c r="E2679" s="1">
        <f t="shared" si="213"/>
        <v>1605</v>
      </c>
      <c r="F2679" s="1">
        <f t="shared" si="214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10"/>
        <v>45666</v>
      </c>
      <c r="C2680" s="1">
        <f t="shared" si="211"/>
        <v>4314</v>
      </c>
      <c r="D2680" s="1">
        <f t="shared" si="212"/>
        <v>871</v>
      </c>
      <c r="E2680" s="1">
        <f t="shared" si="213"/>
        <v>1605</v>
      </c>
      <c r="F2680" s="1">
        <f t="shared" si="214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10"/>
        <v>45667</v>
      </c>
      <c r="C2681" s="1">
        <f t="shared" si="211"/>
        <v>4325</v>
      </c>
      <c r="D2681" s="1">
        <f t="shared" si="212"/>
        <v>871</v>
      </c>
      <c r="E2681" s="1">
        <f t="shared" si="213"/>
        <v>1600</v>
      </c>
      <c r="F2681" s="1">
        <f t="shared" si="214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10"/>
        <v>45670</v>
      </c>
      <c r="C2682" s="1">
        <f t="shared" si="211"/>
        <v>4333</v>
      </c>
      <c r="D2682" s="1">
        <f t="shared" si="212"/>
        <v>871</v>
      </c>
      <c r="E2682" s="1">
        <f t="shared" si="213"/>
        <v>1600</v>
      </c>
      <c r="F2682" s="1">
        <f t="shared" si="214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10"/>
        <v>45671</v>
      </c>
      <c r="C2683" s="1">
        <f t="shared" si="211"/>
        <v>4362</v>
      </c>
      <c r="D2683" s="1">
        <f t="shared" si="212"/>
        <v>871</v>
      </c>
      <c r="E2683" s="1">
        <f t="shared" si="213"/>
        <v>1615</v>
      </c>
      <c r="F2683" s="1">
        <f t="shared" si="214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10"/>
        <v>45672</v>
      </c>
      <c r="C2684" s="1">
        <f t="shared" si="211"/>
        <v>4368</v>
      </c>
      <c r="D2684" s="1">
        <f t="shared" si="212"/>
        <v>871</v>
      </c>
      <c r="E2684" s="1">
        <f t="shared" si="213"/>
        <v>1630</v>
      </c>
      <c r="F2684" s="1">
        <f t="shared" si="214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10"/>
        <v>45673</v>
      </c>
      <c r="C2685" s="1">
        <f t="shared" si="211"/>
        <v>4375</v>
      </c>
      <c r="D2685" s="1">
        <f t="shared" si="212"/>
        <v>871</v>
      </c>
      <c r="E2685" s="1">
        <f t="shared" si="213"/>
        <v>1630</v>
      </c>
      <c r="F2685" s="1">
        <f t="shared" si="214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10"/>
        <v>45674</v>
      </c>
      <c r="C2686" s="1">
        <f t="shared" si="211"/>
        <v>4381</v>
      </c>
      <c r="D2686" s="1">
        <f t="shared" si="212"/>
        <v>871</v>
      </c>
      <c r="E2686" s="1">
        <f t="shared" si="213"/>
        <v>1630</v>
      </c>
      <c r="F2686" s="1">
        <f t="shared" si="214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10"/>
        <v>45677</v>
      </c>
      <c r="C2687" s="1">
        <f t="shared" si="211"/>
        <v>4373</v>
      </c>
      <c r="D2687" s="1">
        <f t="shared" si="212"/>
        <v>871</v>
      </c>
      <c r="E2687" s="1">
        <f t="shared" si="213"/>
        <v>1630</v>
      </c>
      <c r="F2687" s="1">
        <f t="shared" si="214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10"/>
        <v>45678</v>
      </c>
      <c r="C2688" s="1">
        <f t="shared" si="211"/>
        <v>4366</v>
      </c>
      <c r="D2688" s="1">
        <f t="shared" si="212"/>
        <v>871</v>
      </c>
      <c r="E2688" s="1">
        <f t="shared" si="213"/>
        <v>1630</v>
      </c>
      <c r="F2688" s="1">
        <f t="shared" si="214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10"/>
        <v>45679</v>
      </c>
      <c r="C2689" s="1">
        <f t="shared" si="211"/>
        <v>4364</v>
      </c>
      <c r="D2689" s="1">
        <f t="shared" si="212"/>
        <v>871</v>
      </c>
      <c r="E2689" s="1">
        <f t="shared" si="213"/>
        <v>1630</v>
      </c>
      <c r="F2689" s="1">
        <f t="shared" si="214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10"/>
        <v>45680</v>
      </c>
      <c r="C2690" s="1">
        <f t="shared" si="211"/>
        <v>4342</v>
      </c>
      <c r="D2690" s="1">
        <f t="shared" si="212"/>
        <v>871</v>
      </c>
      <c r="E2690" s="1">
        <f t="shared" si="213"/>
        <v>1655</v>
      </c>
      <c r="F2690" s="1">
        <f t="shared" si="214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10"/>
        <v>45681</v>
      </c>
      <c r="C2691" s="1">
        <f t="shared" si="211"/>
        <v>4338</v>
      </c>
      <c r="D2691" s="1">
        <f t="shared" si="212"/>
        <v>871</v>
      </c>
      <c r="E2691" s="1">
        <f t="shared" si="213"/>
        <v>1655</v>
      </c>
      <c r="F2691" s="1">
        <f t="shared" si="214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10"/>
        <v>45682</v>
      </c>
      <c r="C2692" s="1">
        <f t="shared" si="211"/>
        <v>4338</v>
      </c>
      <c r="D2692" s="1">
        <f t="shared" si="212"/>
        <v>871</v>
      </c>
      <c r="E2692" s="1">
        <f t="shared" si="213"/>
        <v>1655</v>
      </c>
      <c r="F2692" s="1">
        <f t="shared" si="214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10"/>
        <v>45683</v>
      </c>
      <c r="C2693" s="1">
        <f t="shared" si="211"/>
        <v>4338</v>
      </c>
      <c r="D2693" s="1">
        <f t="shared" si="212"/>
        <v>871</v>
      </c>
      <c r="E2693" s="1">
        <f t="shared" si="213"/>
        <v>1665</v>
      </c>
      <c r="F2693" s="1">
        <f t="shared" si="214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5">L2694</f>
        <v>45684</v>
      </c>
      <c r="C2694" s="1">
        <f t="shared" si="211"/>
        <v>4337</v>
      </c>
      <c r="D2694" s="1">
        <f t="shared" si="212"/>
        <v>871</v>
      </c>
      <c r="E2694" s="1">
        <f t="shared" si="213"/>
        <v>1665</v>
      </c>
      <c r="F2694" s="1">
        <f t="shared" si="214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5"/>
        <v>45685</v>
      </c>
      <c r="C2695" s="1">
        <f t="shared" ref="C2695:C2758" si="216">IF(M2695&lt;&gt;0,M2695,C2694)</f>
        <v>4337</v>
      </c>
      <c r="D2695" s="1">
        <f t="shared" ref="D2695:D2758" si="217">IF(N2695&lt;&gt;0,N2695,D2694)</f>
        <v>871</v>
      </c>
      <c r="E2695" s="1">
        <f t="shared" ref="E2695:E2758" si="218">IF(O2695&lt;&gt;0,O2695,E2694)</f>
        <v>1665</v>
      </c>
      <c r="F2695" s="1">
        <f t="shared" si="214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5"/>
        <v>45688</v>
      </c>
      <c r="C2696" s="1">
        <f t="shared" si="216"/>
        <v>4337</v>
      </c>
      <c r="D2696" s="1">
        <f t="shared" si="217"/>
        <v>871</v>
      </c>
      <c r="E2696" s="1">
        <f t="shared" si="218"/>
        <v>1665</v>
      </c>
      <c r="F2696" s="1">
        <f t="shared" si="214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5"/>
        <v>45691</v>
      </c>
      <c r="C2697" s="1">
        <f t="shared" si="216"/>
        <v>4337</v>
      </c>
      <c r="D2697" s="1">
        <f t="shared" si="217"/>
        <v>871</v>
      </c>
      <c r="E2697" s="1">
        <f t="shared" si="218"/>
        <v>1665</v>
      </c>
      <c r="F2697" s="1">
        <f t="shared" si="214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5"/>
        <v>45692</v>
      </c>
      <c r="C2698" s="1">
        <f t="shared" si="216"/>
        <v>4337</v>
      </c>
      <c r="D2698" s="1">
        <f t="shared" si="217"/>
        <v>871</v>
      </c>
      <c r="E2698" s="1">
        <f t="shared" si="218"/>
        <v>1665</v>
      </c>
      <c r="F2698" s="1">
        <f t="shared" si="214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5"/>
        <v>45693</v>
      </c>
      <c r="C2699" s="1">
        <f t="shared" si="216"/>
        <v>4333</v>
      </c>
      <c r="D2699" s="1">
        <f t="shared" si="217"/>
        <v>871</v>
      </c>
      <c r="E2699" s="1">
        <f t="shared" si="218"/>
        <v>1665</v>
      </c>
      <c r="F2699" s="1">
        <f t="shared" si="214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5"/>
        <v>45694</v>
      </c>
      <c r="C2700" s="1">
        <f t="shared" si="216"/>
        <v>4338</v>
      </c>
      <c r="D2700" s="1">
        <f t="shared" si="217"/>
        <v>876</v>
      </c>
      <c r="E2700" s="1">
        <f t="shared" si="218"/>
        <v>1675</v>
      </c>
      <c r="F2700" s="1">
        <f t="shared" si="214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5"/>
        <v>45695</v>
      </c>
      <c r="C2701" s="1">
        <f t="shared" si="216"/>
        <v>4349</v>
      </c>
      <c r="D2701" s="1">
        <f t="shared" si="217"/>
        <v>881</v>
      </c>
      <c r="E2701" s="1">
        <f t="shared" si="218"/>
        <v>1660</v>
      </c>
      <c r="F2701" s="1">
        <f t="shared" si="214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5"/>
        <v>45696</v>
      </c>
      <c r="C2702" s="1">
        <f t="shared" si="216"/>
        <v>4355</v>
      </c>
      <c r="D2702" s="1">
        <f t="shared" si="217"/>
        <v>881</v>
      </c>
      <c r="E2702" s="1">
        <f t="shared" si="218"/>
        <v>1640</v>
      </c>
      <c r="F2702" s="1">
        <f t="shared" si="214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5"/>
        <v>45698</v>
      </c>
      <c r="C2703" s="1">
        <f t="shared" si="216"/>
        <v>4364</v>
      </c>
      <c r="D2703" s="1">
        <f t="shared" si="217"/>
        <v>881</v>
      </c>
      <c r="E2703" s="1">
        <f t="shared" si="218"/>
        <v>1640</v>
      </c>
      <c r="F2703" s="1">
        <f t="shared" si="214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5"/>
        <v>45699</v>
      </c>
      <c r="C2704" s="1">
        <f t="shared" si="216"/>
        <v>4361</v>
      </c>
      <c r="D2704" s="1">
        <f t="shared" si="217"/>
        <v>881</v>
      </c>
      <c r="E2704" s="1">
        <f t="shared" si="218"/>
        <v>1640</v>
      </c>
      <c r="F2704" s="1">
        <f t="shared" si="214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5"/>
        <v>45700</v>
      </c>
      <c r="C2705" s="1">
        <f t="shared" si="216"/>
        <v>4374</v>
      </c>
      <c r="D2705" s="1">
        <f t="shared" si="217"/>
        <v>881</v>
      </c>
      <c r="E2705" s="1">
        <f t="shared" si="218"/>
        <v>1655</v>
      </c>
      <c r="F2705" s="1">
        <f t="shared" si="214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5"/>
        <v>45701</v>
      </c>
      <c r="C2706" s="1">
        <f t="shared" si="216"/>
        <v>4365</v>
      </c>
      <c r="D2706" s="1">
        <f t="shared" si="217"/>
        <v>881</v>
      </c>
      <c r="E2706" s="1">
        <f t="shared" si="218"/>
        <v>1660</v>
      </c>
      <c r="F2706" s="1">
        <f t="shared" si="214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5"/>
        <v>45702</v>
      </c>
      <c r="C2707" s="1">
        <f t="shared" si="216"/>
        <v>4364</v>
      </c>
      <c r="D2707" s="1">
        <f t="shared" si="217"/>
        <v>891</v>
      </c>
      <c r="E2707" s="1">
        <f t="shared" si="218"/>
        <v>1665</v>
      </c>
      <c r="F2707" s="1">
        <f t="shared" si="214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5"/>
        <v>45705</v>
      </c>
      <c r="C2708" s="1">
        <f t="shared" si="216"/>
        <v>4370</v>
      </c>
      <c r="D2708" s="1">
        <f t="shared" si="217"/>
        <v>891</v>
      </c>
      <c r="E2708" s="1">
        <f t="shared" si="218"/>
        <v>1675</v>
      </c>
      <c r="F2708" s="1">
        <f t="shared" si="214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5"/>
        <v>45706</v>
      </c>
      <c r="C2709" s="1">
        <f t="shared" si="216"/>
        <v>4380</v>
      </c>
      <c r="D2709" s="1">
        <f t="shared" si="217"/>
        <v>891</v>
      </c>
      <c r="E2709" s="1">
        <f t="shared" si="218"/>
        <v>1765</v>
      </c>
      <c r="F2709" s="1">
        <f t="shared" si="214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5"/>
        <v>45707</v>
      </c>
      <c r="C2710" s="1">
        <f t="shared" si="216"/>
        <v>4380</v>
      </c>
      <c r="D2710" s="1">
        <f t="shared" si="217"/>
        <v>891</v>
      </c>
      <c r="E2710" s="1">
        <f t="shared" si="218"/>
        <v>1790</v>
      </c>
      <c r="F2710" s="1">
        <f t="shared" si="214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5"/>
        <v>45708</v>
      </c>
      <c r="C2711" s="1">
        <f t="shared" si="216"/>
        <v>4385</v>
      </c>
      <c r="D2711" s="1">
        <f t="shared" si="217"/>
        <v>891</v>
      </c>
      <c r="E2711" s="1">
        <f t="shared" si="218"/>
        <v>1790</v>
      </c>
      <c r="F2711" s="1">
        <f t="shared" si="214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5"/>
        <v>45709</v>
      </c>
      <c r="C2712" s="1">
        <f t="shared" si="216"/>
        <v>4393</v>
      </c>
      <c r="D2712" s="1">
        <f t="shared" si="217"/>
        <v>891</v>
      </c>
      <c r="E2712" s="1">
        <f t="shared" si="218"/>
        <v>1790</v>
      </c>
      <c r="F2712" s="1">
        <f t="shared" si="214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5"/>
        <v>45712</v>
      </c>
      <c r="C2713" s="1">
        <f t="shared" si="216"/>
        <v>4395</v>
      </c>
      <c r="D2713" s="1">
        <f t="shared" si="217"/>
        <v>901</v>
      </c>
      <c r="E2713" s="1">
        <f t="shared" si="218"/>
        <v>1790</v>
      </c>
      <c r="F2713" s="1">
        <f t="shared" si="214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5"/>
        <v>45713</v>
      </c>
      <c r="C2714" s="1">
        <f t="shared" si="216"/>
        <v>4398</v>
      </c>
      <c r="D2714" s="1">
        <f t="shared" si="217"/>
        <v>901</v>
      </c>
      <c r="E2714" s="1">
        <f t="shared" si="218"/>
        <v>1795</v>
      </c>
      <c r="F2714" s="1">
        <f t="shared" si="214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5"/>
        <v>45714</v>
      </c>
      <c r="C2715" s="1">
        <f t="shared" si="216"/>
        <v>4383</v>
      </c>
      <c r="D2715" s="1">
        <f t="shared" si="217"/>
        <v>901</v>
      </c>
      <c r="E2715" s="1">
        <f t="shared" si="218"/>
        <v>1820</v>
      </c>
      <c r="F2715" s="1">
        <f t="shared" si="214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5"/>
        <v>45715</v>
      </c>
      <c r="C2716" s="1">
        <f t="shared" si="216"/>
        <v>4379</v>
      </c>
      <c r="D2716" s="1">
        <f t="shared" si="217"/>
        <v>901</v>
      </c>
      <c r="E2716" s="1">
        <f t="shared" si="218"/>
        <v>1835</v>
      </c>
      <c r="F2716" s="1">
        <f t="shared" si="214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5"/>
        <v>45716</v>
      </c>
      <c r="C2717" s="1">
        <f t="shared" si="216"/>
        <v>4374</v>
      </c>
      <c r="D2717" s="1">
        <f t="shared" si="217"/>
        <v>901</v>
      </c>
      <c r="E2717" s="1">
        <f t="shared" si="218"/>
        <v>1835</v>
      </c>
      <c r="F2717" s="1">
        <f t="shared" si="214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5"/>
        <v>45719</v>
      </c>
      <c r="C2718" s="1">
        <f t="shared" si="216"/>
        <v>4379</v>
      </c>
      <c r="D2718" s="1">
        <f t="shared" si="217"/>
        <v>901</v>
      </c>
      <c r="E2718" s="1">
        <f t="shared" si="218"/>
        <v>1835</v>
      </c>
      <c r="F2718" s="1">
        <f t="shared" si="214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5"/>
        <v>45720</v>
      </c>
      <c r="C2719" s="1">
        <f t="shared" si="216"/>
        <v>4371</v>
      </c>
      <c r="D2719" s="1">
        <f t="shared" si="217"/>
        <v>901</v>
      </c>
      <c r="E2719" s="1">
        <f t="shared" si="218"/>
        <v>1810</v>
      </c>
      <c r="F2719" s="1">
        <f t="shared" si="214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5"/>
        <v>45721</v>
      </c>
      <c r="C2720" s="1">
        <f t="shared" si="216"/>
        <v>4363</v>
      </c>
      <c r="D2720" s="1">
        <f t="shared" si="217"/>
        <v>901</v>
      </c>
      <c r="E2720" s="1">
        <f t="shared" si="218"/>
        <v>1795</v>
      </c>
      <c r="F2720" s="1">
        <f t="shared" si="214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5"/>
        <v>45722</v>
      </c>
      <c r="C2721" s="1">
        <f t="shared" si="216"/>
        <v>4338</v>
      </c>
      <c r="D2721" s="1">
        <f t="shared" si="217"/>
        <v>886</v>
      </c>
      <c r="E2721" s="1">
        <f t="shared" si="218"/>
        <v>1800</v>
      </c>
      <c r="F2721" s="1">
        <f t="shared" si="214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5"/>
        <v>45723</v>
      </c>
      <c r="C2722" s="1">
        <f t="shared" si="216"/>
        <v>4327</v>
      </c>
      <c r="D2722" s="1">
        <f t="shared" si="217"/>
        <v>871</v>
      </c>
      <c r="E2722" s="1">
        <f t="shared" si="218"/>
        <v>1800</v>
      </c>
      <c r="F2722" s="1">
        <f t="shared" si="214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5"/>
        <v>45726</v>
      </c>
      <c r="C2723" s="1">
        <f t="shared" si="216"/>
        <v>4321</v>
      </c>
      <c r="D2723" s="1">
        <f t="shared" si="217"/>
        <v>871</v>
      </c>
      <c r="E2723" s="1">
        <f t="shared" si="218"/>
        <v>1800</v>
      </c>
      <c r="F2723" s="1">
        <f t="shared" si="214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5"/>
        <v>45727</v>
      </c>
      <c r="C2724" s="1">
        <f t="shared" si="216"/>
        <v>4304</v>
      </c>
      <c r="D2724" s="1">
        <f t="shared" si="217"/>
        <v>871</v>
      </c>
      <c r="E2724" s="1">
        <f t="shared" si="218"/>
        <v>1815</v>
      </c>
      <c r="F2724" s="1">
        <f t="shared" si="214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5"/>
        <v>45728</v>
      </c>
      <c r="C2725" s="1">
        <f t="shared" si="216"/>
        <v>4296</v>
      </c>
      <c r="D2725" s="1">
        <f t="shared" si="217"/>
        <v>861</v>
      </c>
      <c r="E2725" s="1">
        <f t="shared" si="218"/>
        <v>1815</v>
      </c>
      <c r="F2725" s="1">
        <f t="shared" si="214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5"/>
        <v>45729</v>
      </c>
      <c r="C2726" s="1">
        <f t="shared" si="216"/>
        <v>4294</v>
      </c>
      <c r="D2726" s="1">
        <f t="shared" si="217"/>
        <v>861</v>
      </c>
      <c r="E2726" s="1">
        <f t="shared" si="218"/>
        <v>1815</v>
      </c>
      <c r="F2726" s="1">
        <f t="shared" si="214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5"/>
        <v>45730</v>
      </c>
      <c r="C2727" s="1">
        <f t="shared" si="216"/>
        <v>4305</v>
      </c>
      <c r="D2727" s="1">
        <f t="shared" si="217"/>
        <v>856</v>
      </c>
      <c r="E2727" s="1">
        <f t="shared" si="218"/>
        <v>1805</v>
      </c>
      <c r="F2727" s="1">
        <f t="shared" si="214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5"/>
        <v>45733</v>
      </c>
      <c r="C2728" s="1">
        <f t="shared" si="216"/>
        <v>4318</v>
      </c>
      <c r="D2728" s="1">
        <f t="shared" si="217"/>
        <v>856</v>
      </c>
      <c r="E2728" s="1">
        <f t="shared" si="218"/>
        <v>1805</v>
      </c>
      <c r="F2728" s="1">
        <f t="shared" si="214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5"/>
        <v>45734</v>
      </c>
      <c r="C2729" s="1">
        <f t="shared" si="216"/>
        <v>4315</v>
      </c>
      <c r="D2729" s="1">
        <f t="shared" si="217"/>
        <v>856</v>
      </c>
      <c r="E2729" s="1">
        <f t="shared" si="218"/>
        <v>1805</v>
      </c>
      <c r="F2729" s="1">
        <f t="shared" si="214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5"/>
        <v>45735</v>
      </c>
      <c r="C2730" s="1">
        <f t="shared" si="216"/>
        <v>4320</v>
      </c>
      <c r="D2730" s="1">
        <f t="shared" si="217"/>
        <v>856</v>
      </c>
      <c r="E2730" s="1">
        <f t="shared" si="218"/>
        <v>1810</v>
      </c>
      <c r="F2730" s="1">
        <f t="shared" si="214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5"/>
        <v>45736</v>
      </c>
      <c r="C2731" s="1">
        <f t="shared" si="216"/>
        <v>4321</v>
      </c>
      <c r="D2731" s="1">
        <f t="shared" si="217"/>
        <v>856</v>
      </c>
      <c r="E2731" s="1">
        <f t="shared" si="218"/>
        <v>1820</v>
      </c>
      <c r="F2731" s="1">
        <f t="shared" si="214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5"/>
        <v>45737</v>
      </c>
      <c r="C2732" s="1">
        <f t="shared" si="216"/>
        <v>4320</v>
      </c>
      <c r="D2732" s="1">
        <f t="shared" si="217"/>
        <v>856</v>
      </c>
      <c r="E2732" s="1">
        <f t="shared" si="218"/>
        <v>1835</v>
      </c>
      <c r="F2732" s="1">
        <f t="shared" si="214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5"/>
        <v>45740</v>
      </c>
      <c r="C2733" s="1">
        <f t="shared" si="216"/>
        <v>4322</v>
      </c>
      <c r="D2733" s="1">
        <f t="shared" si="217"/>
        <v>856</v>
      </c>
      <c r="E2733" s="1">
        <f t="shared" si="218"/>
        <v>1865</v>
      </c>
      <c r="F2733" s="1">
        <f t="shared" si="214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5"/>
        <v>45741</v>
      </c>
      <c r="C2734" s="1">
        <f t="shared" si="216"/>
        <v>4317</v>
      </c>
      <c r="D2734" s="1">
        <f t="shared" si="217"/>
        <v>856</v>
      </c>
      <c r="E2734" s="1">
        <f t="shared" si="218"/>
        <v>1885</v>
      </c>
      <c r="F2734" s="1">
        <f t="shared" si="214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5"/>
        <v>45742</v>
      </c>
      <c r="C2735" s="1">
        <f t="shared" si="216"/>
        <v>4307</v>
      </c>
      <c r="D2735" s="1">
        <f t="shared" si="217"/>
        <v>856</v>
      </c>
      <c r="E2735" s="1">
        <f t="shared" si="218"/>
        <v>1890</v>
      </c>
      <c r="F2735" s="1">
        <f t="shared" si="214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5"/>
        <v>45743</v>
      </c>
      <c r="C2736" s="1">
        <f t="shared" si="216"/>
        <v>4311</v>
      </c>
      <c r="D2736" s="1">
        <f t="shared" si="217"/>
        <v>856</v>
      </c>
      <c r="E2736" s="1">
        <f t="shared" si="218"/>
        <v>1890</v>
      </c>
      <c r="F2736" s="1">
        <f t="shared" si="214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5"/>
        <v>45744</v>
      </c>
      <c r="C2737" s="1">
        <f t="shared" si="216"/>
        <v>4304</v>
      </c>
      <c r="D2737" s="1">
        <f t="shared" si="217"/>
        <v>856</v>
      </c>
      <c r="E2737" s="1">
        <f t="shared" si="218"/>
        <v>1950</v>
      </c>
      <c r="F2737" s="1">
        <f t="shared" si="214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5"/>
        <v>45747</v>
      </c>
      <c r="C2738" s="1">
        <f t="shared" si="216"/>
        <v>4292</v>
      </c>
      <c r="D2738" s="1">
        <f t="shared" si="217"/>
        <v>856</v>
      </c>
      <c r="E2738" s="1">
        <f t="shared" si="218"/>
        <v>1950</v>
      </c>
      <c r="F2738" s="1">
        <f t="shared" ref="F2738:F2801" si="219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5"/>
        <v>45748</v>
      </c>
      <c r="C2739" s="1">
        <f t="shared" si="216"/>
        <v>4305</v>
      </c>
      <c r="D2739" s="1">
        <f t="shared" si="217"/>
        <v>856</v>
      </c>
      <c r="E2739" s="1">
        <f t="shared" si="218"/>
        <v>1965</v>
      </c>
      <c r="F2739" s="1">
        <f t="shared" si="219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5"/>
        <v>45749</v>
      </c>
      <c r="C2740" s="1">
        <f t="shared" si="216"/>
        <v>4309</v>
      </c>
      <c r="D2740" s="1">
        <f t="shared" si="217"/>
        <v>856</v>
      </c>
      <c r="E2740" s="1">
        <f t="shared" si="218"/>
        <v>1960</v>
      </c>
      <c r="F2740" s="1">
        <f t="shared" si="219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5"/>
        <v>45750</v>
      </c>
      <c r="C2741" s="1">
        <f t="shared" si="216"/>
        <v>4293</v>
      </c>
      <c r="D2741" s="1">
        <f t="shared" si="217"/>
        <v>856</v>
      </c>
      <c r="E2741" s="1">
        <f t="shared" si="218"/>
        <v>1955</v>
      </c>
      <c r="F2741" s="1">
        <f t="shared" si="219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5"/>
        <v>45751</v>
      </c>
      <c r="C2742" s="1">
        <f t="shared" si="216"/>
        <v>4293</v>
      </c>
      <c r="D2742" s="1">
        <f t="shared" si="217"/>
        <v>841</v>
      </c>
      <c r="E2742" s="1">
        <f t="shared" si="218"/>
        <v>1955</v>
      </c>
      <c r="F2742" s="1">
        <f t="shared" si="219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5"/>
        <v>45754</v>
      </c>
      <c r="C2743" s="1">
        <f t="shared" si="216"/>
        <v>4213</v>
      </c>
      <c r="D2743" s="1">
        <f t="shared" si="217"/>
        <v>826</v>
      </c>
      <c r="E2743" s="1">
        <f t="shared" si="218"/>
        <v>1960</v>
      </c>
      <c r="F2743" s="1">
        <f t="shared" si="219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5"/>
        <v>45755</v>
      </c>
      <c r="C2744" s="1">
        <f t="shared" si="216"/>
        <v>4149</v>
      </c>
      <c r="D2744" s="1">
        <f t="shared" si="217"/>
        <v>826</v>
      </c>
      <c r="E2744" s="1">
        <f t="shared" si="218"/>
        <v>1930</v>
      </c>
      <c r="F2744" s="1">
        <f t="shared" si="219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5"/>
        <v>45756</v>
      </c>
      <c r="C2745" s="1">
        <f t="shared" si="216"/>
        <v>4076</v>
      </c>
      <c r="D2745" s="1">
        <f t="shared" si="217"/>
        <v>816</v>
      </c>
      <c r="E2745" s="1">
        <f t="shared" si="218"/>
        <v>1900</v>
      </c>
      <c r="F2745" s="1">
        <f t="shared" si="219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5"/>
        <v>45757</v>
      </c>
      <c r="C2746" s="1">
        <f t="shared" si="216"/>
        <v>4095</v>
      </c>
      <c r="D2746" s="1">
        <f t="shared" si="217"/>
        <v>816</v>
      </c>
      <c r="E2746" s="1">
        <f t="shared" si="218"/>
        <v>1895</v>
      </c>
      <c r="F2746" s="1">
        <f t="shared" si="219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5"/>
        <v>45758</v>
      </c>
      <c r="C2747" s="1">
        <f t="shared" si="216"/>
        <v>4094</v>
      </c>
      <c r="D2747" s="1">
        <f t="shared" si="217"/>
        <v>791</v>
      </c>
      <c r="E2747" s="1">
        <f t="shared" si="218"/>
        <v>1885</v>
      </c>
      <c r="F2747" s="1">
        <f t="shared" si="219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5"/>
        <v>45761</v>
      </c>
      <c r="C2748" s="1">
        <f t="shared" si="216"/>
        <v>4092</v>
      </c>
      <c r="D2748" s="1">
        <f t="shared" si="217"/>
        <v>791</v>
      </c>
      <c r="E2748" s="1">
        <f t="shared" si="218"/>
        <v>1895</v>
      </c>
      <c r="F2748" s="1">
        <f t="shared" si="219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5"/>
        <v>45762</v>
      </c>
      <c r="C2749" s="1">
        <f t="shared" si="216"/>
        <v>4074</v>
      </c>
      <c r="D2749" s="1">
        <f t="shared" si="217"/>
        <v>791</v>
      </c>
      <c r="E2749" s="1">
        <f t="shared" si="218"/>
        <v>1895</v>
      </c>
      <c r="F2749" s="1">
        <f t="shared" si="219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5"/>
        <v>45763</v>
      </c>
      <c r="C2750" s="1">
        <f t="shared" si="216"/>
        <v>4050</v>
      </c>
      <c r="D2750" s="1">
        <f t="shared" si="217"/>
        <v>791</v>
      </c>
      <c r="E2750" s="1">
        <f t="shared" si="218"/>
        <v>1880</v>
      </c>
      <c r="F2750" s="1">
        <f t="shared" si="219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5"/>
        <v>45764</v>
      </c>
      <c r="C2751" s="1">
        <f t="shared" si="216"/>
        <v>4037</v>
      </c>
      <c r="D2751" s="1">
        <f t="shared" si="217"/>
        <v>791</v>
      </c>
      <c r="E2751" s="1">
        <f t="shared" si="218"/>
        <v>1875</v>
      </c>
      <c r="F2751" s="1">
        <f t="shared" si="219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5"/>
        <v>45765</v>
      </c>
      <c r="C2752" s="1">
        <f t="shared" si="216"/>
        <v>4041</v>
      </c>
      <c r="D2752" s="1">
        <f t="shared" si="217"/>
        <v>791</v>
      </c>
      <c r="E2752" s="1">
        <f t="shared" si="218"/>
        <v>1850</v>
      </c>
      <c r="F2752" s="1">
        <f t="shared" si="219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5"/>
        <v>45768</v>
      </c>
      <c r="C2753" s="1">
        <f t="shared" si="216"/>
        <v>4042</v>
      </c>
      <c r="D2753" s="1">
        <f t="shared" si="217"/>
        <v>791</v>
      </c>
      <c r="E2753" s="1">
        <f t="shared" si="218"/>
        <v>1850</v>
      </c>
      <c r="F2753" s="1">
        <f t="shared" si="219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5"/>
        <v>45769</v>
      </c>
      <c r="C2754" s="1">
        <f t="shared" si="216"/>
        <v>4032</v>
      </c>
      <c r="D2754" s="1">
        <f t="shared" si="217"/>
        <v>791</v>
      </c>
      <c r="E2754" s="1">
        <f t="shared" si="218"/>
        <v>1845</v>
      </c>
      <c r="F2754" s="1">
        <f t="shared" si="219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5"/>
        <v>45770</v>
      </c>
      <c r="C2755" s="1">
        <f t="shared" si="216"/>
        <v>4025</v>
      </c>
      <c r="D2755" s="1">
        <f t="shared" si="217"/>
        <v>791</v>
      </c>
      <c r="E2755" s="1">
        <f t="shared" si="218"/>
        <v>1845</v>
      </c>
      <c r="F2755" s="1">
        <f t="shared" si="219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5"/>
        <v>45771</v>
      </c>
      <c r="C2756" s="1">
        <f t="shared" si="216"/>
        <v>4022</v>
      </c>
      <c r="D2756" s="1">
        <f t="shared" si="217"/>
        <v>791</v>
      </c>
      <c r="E2756" s="1">
        <f t="shared" si="218"/>
        <v>1845</v>
      </c>
      <c r="F2756" s="1">
        <f t="shared" si="219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5"/>
        <v>45772</v>
      </c>
      <c r="C2757" s="1">
        <f t="shared" si="216"/>
        <v>4024</v>
      </c>
      <c r="D2757" s="1">
        <f t="shared" si="217"/>
        <v>791</v>
      </c>
      <c r="E2757" s="1">
        <f t="shared" si="218"/>
        <v>1845</v>
      </c>
      <c r="F2757" s="1">
        <f t="shared" si="219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20">L2758</f>
        <v>45774</v>
      </c>
      <c r="C2758" s="1">
        <f t="shared" si="216"/>
        <v>4019</v>
      </c>
      <c r="D2758" s="1">
        <f t="shared" si="217"/>
        <v>791</v>
      </c>
      <c r="E2758" s="1">
        <f t="shared" si="218"/>
        <v>1845</v>
      </c>
      <c r="F2758" s="1">
        <f t="shared" si="219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20"/>
        <v>45775</v>
      </c>
      <c r="C2759" s="1">
        <f t="shared" ref="C2759:C2822" si="221">IF(M2759&lt;&gt;0,M2759,C2758)</f>
        <v>4033</v>
      </c>
      <c r="D2759" s="1">
        <f t="shared" ref="D2759:D2822" si="222">IF(N2759&lt;&gt;0,N2759,D2758)</f>
        <v>791</v>
      </c>
      <c r="E2759" s="1">
        <f t="shared" ref="E2759:E2822" si="223">IF(O2759&lt;&gt;0,O2759,E2758)</f>
        <v>1845</v>
      </c>
      <c r="F2759" s="1">
        <f t="shared" si="219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20"/>
        <v>45776</v>
      </c>
      <c r="C2760" s="1">
        <f t="shared" si="221"/>
        <v>4025</v>
      </c>
      <c r="D2760" s="1">
        <f t="shared" si="222"/>
        <v>791</v>
      </c>
      <c r="E2760" s="1">
        <f t="shared" si="223"/>
        <v>1835</v>
      </c>
      <c r="F2760" s="1">
        <f t="shared" si="219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20"/>
        <v>45777</v>
      </c>
      <c r="C2761" s="1">
        <f t="shared" si="221"/>
        <v>4019</v>
      </c>
      <c r="D2761" s="1">
        <f t="shared" si="222"/>
        <v>791</v>
      </c>
      <c r="E2761" s="1">
        <f t="shared" si="223"/>
        <v>1835</v>
      </c>
      <c r="F2761" s="1">
        <f t="shared" si="219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20"/>
        <v>45779</v>
      </c>
      <c r="C2762" s="1">
        <f t="shared" si="221"/>
        <v>4019</v>
      </c>
      <c r="D2762" s="1">
        <f t="shared" si="222"/>
        <v>791</v>
      </c>
      <c r="E2762" s="1">
        <f t="shared" si="223"/>
        <v>1835</v>
      </c>
      <c r="F2762" s="1">
        <f t="shared" si="219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20"/>
        <v>45782</v>
      </c>
      <c r="C2763" s="1">
        <f t="shared" si="221"/>
        <v>4019</v>
      </c>
      <c r="D2763" s="1">
        <f t="shared" si="222"/>
        <v>791</v>
      </c>
      <c r="E2763" s="1">
        <f t="shared" si="223"/>
        <v>1835</v>
      </c>
      <c r="F2763" s="1">
        <f t="shared" si="219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20"/>
        <v>45783</v>
      </c>
      <c r="C2764" s="1">
        <f t="shared" si="221"/>
        <v>3994</v>
      </c>
      <c r="D2764" s="1">
        <f t="shared" si="222"/>
        <v>791</v>
      </c>
      <c r="E2764" s="1">
        <f t="shared" si="223"/>
        <v>1865</v>
      </c>
      <c r="F2764" s="1">
        <f t="shared" si="219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20"/>
        <v>45784</v>
      </c>
      <c r="C2765" s="1">
        <f t="shared" si="221"/>
        <v>3996</v>
      </c>
      <c r="D2765" s="1">
        <f t="shared" si="222"/>
        <v>791</v>
      </c>
      <c r="E2765" s="1">
        <f t="shared" si="223"/>
        <v>1905</v>
      </c>
      <c r="F2765" s="1">
        <f t="shared" si="219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20"/>
        <v>45785</v>
      </c>
      <c r="C2766" s="1">
        <f t="shared" si="221"/>
        <v>4008</v>
      </c>
      <c r="D2766" s="1">
        <f t="shared" si="222"/>
        <v>781</v>
      </c>
      <c r="E2766" s="1">
        <f t="shared" si="223"/>
        <v>1915</v>
      </c>
      <c r="F2766" s="1">
        <f t="shared" si="219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20"/>
        <v>45786</v>
      </c>
      <c r="C2767" s="1">
        <f t="shared" si="221"/>
        <v>4023</v>
      </c>
      <c r="D2767" s="1">
        <f t="shared" si="222"/>
        <v>781</v>
      </c>
      <c r="E2767" s="1">
        <f t="shared" si="223"/>
        <v>1920</v>
      </c>
      <c r="F2767" s="1">
        <f t="shared" si="219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20"/>
        <v>45789</v>
      </c>
      <c r="C2768" s="1">
        <f t="shared" si="221"/>
        <v>4048</v>
      </c>
      <c r="D2768" s="1">
        <f t="shared" si="222"/>
        <v>781</v>
      </c>
      <c r="E2768" s="1">
        <f t="shared" si="223"/>
        <v>1930</v>
      </c>
      <c r="F2768" s="1">
        <f t="shared" si="219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20"/>
        <v>45790</v>
      </c>
      <c r="C2769" s="1">
        <f t="shared" si="221"/>
        <v>4082</v>
      </c>
      <c r="D2769" s="1">
        <f t="shared" si="222"/>
        <v>781</v>
      </c>
      <c r="E2769" s="1">
        <f t="shared" si="223"/>
        <v>1950</v>
      </c>
      <c r="F2769" s="1">
        <f t="shared" si="219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20"/>
        <v>45791</v>
      </c>
      <c r="C2770" s="1">
        <f t="shared" si="221"/>
        <v>4163</v>
      </c>
      <c r="D2770" s="1">
        <f t="shared" si="222"/>
        <v>781</v>
      </c>
      <c r="E2770" s="1">
        <f t="shared" si="223"/>
        <v>1950</v>
      </c>
      <c r="F2770" s="1">
        <f t="shared" si="219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20"/>
        <v>45792</v>
      </c>
      <c r="C2771" s="1">
        <f t="shared" si="221"/>
        <v>4175</v>
      </c>
      <c r="D2771" s="1">
        <f t="shared" si="222"/>
        <v>781</v>
      </c>
      <c r="E2771" s="1">
        <f t="shared" si="223"/>
        <v>1945</v>
      </c>
      <c r="F2771" s="1">
        <f t="shared" si="219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20"/>
        <v>45793</v>
      </c>
      <c r="C2772" s="1">
        <f t="shared" si="221"/>
        <v>4170</v>
      </c>
      <c r="D2772" s="1">
        <f t="shared" si="222"/>
        <v>781</v>
      </c>
      <c r="E2772" s="1">
        <f t="shared" si="223"/>
        <v>1945</v>
      </c>
      <c r="F2772" s="1">
        <f t="shared" si="219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20"/>
        <v>45796</v>
      </c>
      <c r="C2773" s="1">
        <f t="shared" si="221"/>
        <v>4156</v>
      </c>
      <c r="D2773" s="1">
        <f t="shared" si="222"/>
        <v>781</v>
      </c>
      <c r="E2773" s="1">
        <f t="shared" si="223"/>
        <v>1940</v>
      </c>
      <c r="F2773" s="1">
        <f t="shared" si="219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20"/>
        <v>45797</v>
      </c>
      <c r="C2774" s="1">
        <f t="shared" si="221"/>
        <v>4135</v>
      </c>
      <c r="D2774" s="1">
        <f t="shared" si="222"/>
        <v>781</v>
      </c>
      <c r="E2774" s="1">
        <f t="shared" si="223"/>
        <v>1920</v>
      </c>
      <c r="F2774" s="1">
        <f t="shared" si="219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20"/>
        <v>45798</v>
      </c>
      <c r="C2775" s="1">
        <f t="shared" si="221"/>
        <v>4123</v>
      </c>
      <c r="D2775" s="1">
        <f t="shared" si="222"/>
        <v>781</v>
      </c>
      <c r="E2775" s="1">
        <f t="shared" si="223"/>
        <v>1910</v>
      </c>
      <c r="F2775" s="1">
        <f t="shared" si="219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20"/>
        <v>45799</v>
      </c>
      <c r="C2776" s="1">
        <f t="shared" si="221"/>
        <v>4118</v>
      </c>
      <c r="D2776" s="1">
        <f t="shared" si="222"/>
        <v>781</v>
      </c>
      <c r="E2776" s="1">
        <f t="shared" si="223"/>
        <v>1905</v>
      </c>
      <c r="F2776" s="1">
        <f t="shared" si="219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20"/>
        <v>45800</v>
      </c>
      <c r="C2777" s="1">
        <f t="shared" si="221"/>
        <v>4106</v>
      </c>
      <c r="D2777" s="1">
        <f t="shared" si="222"/>
        <v>781</v>
      </c>
      <c r="E2777" s="1">
        <f t="shared" si="223"/>
        <v>1900</v>
      </c>
      <c r="F2777" s="1">
        <f t="shared" si="219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20"/>
        <v>45803</v>
      </c>
      <c r="C2778" s="1">
        <f t="shared" si="221"/>
        <v>4099</v>
      </c>
      <c r="D2778" s="1">
        <f t="shared" si="222"/>
        <v>781</v>
      </c>
      <c r="E2778" s="1">
        <f t="shared" si="223"/>
        <v>1895</v>
      </c>
      <c r="F2778" s="1">
        <f t="shared" si="219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20"/>
        <v>45804</v>
      </c>
      <c r="C2779" s="1">
        <f t="shared" si="221"/>
        <v>4091</v>
      </c>
      <c r="D2779" s="1">
        <f t="shared" si="222"/>
        <v>781</v>
      </c>
      <c r="E2779" s="1">
        <f t="shared" si="223"/>
        <v>1895</v>
      </c>
      <c r="F2779" s="1">
        <f t="shared" si="219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20"/>
        <v>45805</v>
      </c>
      <c r="C2780" s="1">
        <f t="shared" si="221"/>
        <v>4078</v>
      </c>
      <c r="D2780" s="1">
        <f t="shared" si="222"/>
        <v>781</v>
      </c>
      <c r="E2780" s="1">
        <f t="shared" si="223"/>
        <v>1880</v>
      </c>
      <c r="F2780" s="1">
        <f t="shared" si="219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20"/>
        <v>45806</v>
      </c>
      <c r="C2781" s="1">
        <f t="shared" si="221"/>
        <v>4078</v>
      </c>
      <c r="D2781" s="1">
        <f t="shared" si="222"/>
        <v>781</v>
      </c>
      <c r="E2781" s="1">
        <f t="shared" si="223"/>
        <v>1880</v>
      </c>
      <c r="F2781" s="1">
        <f t="shared" si="219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20"/>
        <v>45807</v>
      </c>
      <c r="C2782" s="1">
        <f t="shared" si="221"/>
        <v>4077</v>
      </c>
      <c r="D2782" s="1">
        <f t="shared" si="222"/>
        <v>781</v>
      </c>
      <c r="E2782" s="1">
        <f t="shared" si="223"/>
        <v>1880</v>
      </c>
      <c r="F2782" s="1">
        <f t="shared" si="219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20"/>
        <v>45810</v>
      </c>
      <c r="C2783" s="1">
        <f t="shared" si="221"/>
        <v>4077</v>
      </c>
      <c r="D2783" s="1">
        <f t="shared" si="222"/>
        <v>781</v>
      </c>
      <c r="E2783" s="1">
        <f t="shared" si="223"/>
        <v>1880</v>
      </c>
      <c r="F2783" s="1">
        <f t="shared" si="219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20"/>
        <v>45811</v>
      </c>
      <c r="C2784" s="1">
        <f t="shared" si="221"/>
        <v>4064</v>
      </c>
      <c r="D2784" s="1">
        <f t="shared" si="222"/>
        <v>781</v>
      </c>
      <c r="E2784" s="1">
        <f t="shared" si="223"/>
        <v>1880</v>
      </c>
      <c r="F2784" s="1">
        <f t="shared" si="219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20"/>
        <v>45812</v>
      </c>
      <c r="C2785" s="1">
        <f t="shared" si="221"/>
        <v>4045</v>
      </c>
      <c r="D2785" s="1">
        <f t="shared" si="222"/>
        <v>781</v>
      </c>
      <c r="E2785" s="1">
        <f t="shared" si="223"/>
        <v>1880</v>
      </c>
      <c r="F2785" s="1">
        <f t="shared" si="219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20"/>
        <v>45813</v>
      </c>
      <c r="C2786" s="1">
        <f t="shared" si="221"/>
        <v>4034</v>
      </c>
      <c r="D2786" s="1">
        <f t="shared" si="222"/>
        <v>781</v>
      </c>
      <c r="E2786" s="1">
        <f t="shared" si="223"/>
        <v>1880</v>
      </c>
      <c r="F2786" s="1">
        <f t="shared" si="219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20"/>
        <v>45814</v>
      </c>
      <c r="C2787" s="1">
        <f t="shared" si="221"/>
        <v>4039</v>
      </c>
      <c r="D2787" s="1">
        <f t="shared" si="222"/>
        <v>781</v>
      </c>
      <c r="E2787" s="1">
        <f t="shared" si="223"/>
        <v>1880</v>
      </c>
      <c r="F2787" s="1">
        <f t="shared" si="219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20"/>
        <v>45817</v>
      </c>
      <c r="C2788" s="1">
        <f t="shared" si="221"/>
        <v>4042</v>
      </c>
      <c r="D2788" s="1">
        <f t="shared" si="222"/>
        <v>781</v>
      </c>
      <c r="E2788" s="1">
        <f t="shared" si="223"/>
        <v>1870</v>
      </c>
      <c r="F2788" s="1">
        <f t="shared" si="219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20"/>
        <v>45818</v>
      </c>
      <c r="C2789" s="1">
        <f t="shared" si="221"/>
        <v>4045</v>
      </c>
      <c r="D2789" s="1">
        <f t="shared" si="222"/>
        <v>781</v>
      </c>
      <c r="E2789" s="1">
        <f t="shared" si="223"/>
        <v>1845</v>
      </c>
      <c r="F2789" s="1">
        <f t="shared" si="219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20"/>
        <v>45819</v>
      </c>
      <c r="C2790" s="1">
        <f t="shared" si="221"/>
        <v>4044</v>
      </c>
      <c r="D2790" s="1">
        <f t="shared" si="222"/>
        <v>781</v>
      </c>
      <c r="E2790" s="1">
        <f t="shared" si="223"/>
        <v>1825</v>
      </c>
      <c r="F2790" s="1">
        <f t="shared" si="219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20"/>
        <v>45820</v>
      </c>
      <c r="C2791" s="1">
        <f t="shared" si="221"/>
        <v>4047</v>
      </c>
      <c r="D2791" s="1">
        <f t="shared" si="222"/>
        <v>781</v>
      </c>
      <c r="E2791" s="1">
        <f t="shared" si="223"/>
        <v>1820</v>
      </c>
      <c r="F2791" s="1">
        <f t="shared" si="219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20"/>
        <v>45821</v>
      </c>
      <c r="C2792" s="1">
        <f t="shared" si="221"/>
        <v>4092</v>
      </c>
      <c r="D2792" s="1">
        <f t="shared" si="222"/>
        <v>791</v>
      </c>
      <c r="E2792" s="1">
        <f t="shared" si="223"/>
        <v>1810</v>
      </c>
      <c r="F2792" s="1">
        <f t="shared" si="219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20"/>
        <v>45824</v>
      </c>
      <c r="C2793" s="1">
        <f t="shared" si="221"/>
        <v>4131</v>
      </c>
      <c r="D2793" s="1">
        <f t="shared" si="222"/>
        <v>801</v>
      </c>
      <c r="E2793" s="1">
        <f t="shared" si="223"/>
        <v>1800</v>
      </c>
      <c r="F2793" s="1">
        <f t="shared" si="219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20"/>
        <v>45825</v>
      </c>
      <c r="C2794" s="1">
        <f t="shared" si="221"/>
        <v>4139</v>
      </c>
      <c r="D2794" s="1">
        <f t="shared" si="222"/>
        <v>821</v>
      </c>
      <c r="E2794" s="1">
        <f t="shared" si="223"/>
        <v>1810</v>
      </c>
      <c r="F2794" s="1">
        <f t="shared" si="219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20"/>
        <v>45826</v>
      </c>
      <c r="C2795" s="1">
        <f t="shared" si="221"/>
        <v>4179</v>
      </c>
      <c r="D2795" s="1">
        <f t="shared" si="222"/>
        <v>831</v>
      </c>
      <c r="E2795" s="1">
        <f t="shared" si="223"/>
        <v>1830</v>
      </c>
      <c r="F2795" s="1">
        <f t="shared" si="219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20"/>
        <v>45827</v>
      </c>
      <c r="C2796" s="1">
        <f t="shared" si="221"/>
        <v>4195</v>
      </c>
      <c r="D2796" s="1">
        <f t="shared" si="222"/>
        <v>831</v>
      </c>
      <c r="E2796" s="1">
        <f t="shared" si="223"/>
        <v>1830</v>
      </c>
      <c r="F2796" s="1">
        <f t="shared" si="219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20"/>
        <v>45828</v>
      </c>
      <c r="C2797" s="1">
        <f t="shared" si="221"/>
        <v>4223</v>
      </c>
      <c r="D2797" s="1">
        <f t="shared" si="222"/>
        <v>841</v>
      </c>
      <c r="E2797" s="1">
        <f t="shared" si="223"/>
        <v>1855</v>
      </c>
      <c r="F2797" s="1">
        <f t="shared" si="219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20"/>
        <v>45831</v>
      </c>
      <c r="C2798" s="1">
        <f t="shared" si="221"/>
        <v>4219</v>
      </c>
      <c r="D2798" s="1">
        <f t="shared" si="222"/>
        <v>851</v>
      </c>
      <c r="E2798" s="1">
        <f t="shared" si="223"/>
        <v>1855</v>
      </c>
      <c r="F2798" s="1">
        <f t="shared" si="219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20"/>
        <v>45832</v>
      </c>
      <c r="C2799" s="1">
        <f t="shared" si="221"/>
        <v>4183</v>
      </c>
      <c r="D2799" s="1">
        <f t="shared" si="222"/>
        <v>851</v>
      </c>
      <c r="E2799" s="1">
        <f t="shared" si="223"/>
        <v>1835</v>
      </c>
      <c r="F2799" s="1">
        <f t="shared" si="219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20"/>
        <v>45833</v>
      </c>
      <c r="C2800" s="1">
        <f t="shared" si="221"/>
        <v>4152</v>
      </c>
      <c r="D2800" s="1">
        <f t="shared" si="222"/>
        <v>851</v>
      </c>
      <c r="E2800" s="1">
        <f t="shared" si="223"/>
        <v>1820</v>
      </c>
      <c r="F2800" s="1">
        <f t="shared" si="219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20"/>
        <v>45834</v>
      </c>
      <c r="C2801" s="1">
        <f t="shared" si="221"/>
        <v>4136</v>
      </c>
      <c r="D2801" s="1">
        <f t="shared" si="222"/>
        <v>851</v>
      </c>
      <c r="E2801" s="1">
        <f t="shared" si="223"/>
        <v>1820</v>
      </c>
      <c r="F2801" s="1">
        <f t="shared" si="219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20"/>
        <v>45835</v>
      </c>
      <c r="C2802" s="1">
        <f t="shared" si="221"/>
        <v>4137</v>
      </c>
      <c r="D2802" s="1">
        <f t="shared" si="222"/>
        <v>851</v>
      </c>
      <c r="E2802" s="1">
        <f t="shared" si="223"/>
        <v>1825</v>
      </c>
      <c r="F2802" s="1">
        <f t="shared" ref="F2802:F2865" si="224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20"/>
        <v>45838</v>
      </c>
      <c r="C2803" s="1">
        <f t="shared" si="221"/>
        <v>4141</v>
      </c>
      <c r="D2803" s="1">
        <f t="shared" si="222"/>
        <v>851</v>
      </c>
      <c r="E2803" s="1">
        <f t="shared" si="223"/>
        <v>1830</v>
      </c>
      <c r="F2803" s="1">
        <f t="shared" si="224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20"/>
        <v>45839</v>
      </c>
      <c r="C2804" s="1">
        <f t="shared" si="221"/>
        <v>4104</v>
      </c>
      <c r="D2804" s="1">
        <f t="shared" si="222"/>
        <v>851</v>
      </c>
      <c r="E2804" s="1">
        <f t="shared" si="223"/>
        <v>1820</v>
      </c>
      <c r="F2804" s="1">
        <f t="shared" si="224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20"/>
        <v>45840</v>
      </c>
      <c r="C2805" s="1">
        <f t="shared" si="221"/>
        <v>4078</v>
      </c>
      <c r="D2805" s="1">
        <f t="shared" si="222"/>
        <v>851</v>
      </c>
      <c r="E2805" s="1">
        <f t="shared" si="223"/>
        <v>1815</v>
      </c>
      <c r="F2805" s="1">
        <f t="shared" si="224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20"/>
        <v>45841</v>
      </c>
      <c r="C2806" s="1">
        <f t="shared" si="221"/>
        <v>4066</v>
      </c>
      <c r="D2806" s="1">
        <f t="shared" si="222"/>
        <v>851</v>
      </c>
      <c r="E2806" s="1">
        <f t="shared" si="223"/>
        <v>1815</v>
      </c>
      <c r="F2806" s="1">
        <f t="shared" si="224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20"/>
        <v>45842</v>
      </c>
      <c r="C2807" s="1">
        <f t="shared" si="221"/>
        <v>4060</v>
      </c>
      <c r="D2807" s="1">
        <f t="shared" si="222"/>
        <v>851</v>
      </c>
      <c r="E2807" s="1">
        <f t="shared" si="223"/>
        <v>1815</v>
      </c>
      <c r="F2807" s="1">
        <f t="shared" si="224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20"/>
        <v>45845</v>
      </c>
      <c r="C2808" s="1">
        <f t="shared" si="221"/>
        <v>4038</v>
      </c>
      <c r="D2808" s="1">
        <f t="shared" si="222"/>
        <v>821</v>
      </c>
      <c r="E2808" s="1">
        <f t="shared" si="223"/>
        <v>1820</v>
      </c>
      <c r="F2808" s="1">
        <f t="shared" si="224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20"/>
        <v>45846</v>
      </c>
      <c r="C2809" s="1">
        <f t="shared" si="221"/>
        <v>4029</v>
      </c>
      <c r="D2809" s="1">
        <f t="shared" si="222"/>
        <v>821</v>
      </c>
      <c r="E2809" s="1">
        <f t="shared" si="223"/>
        <v>1825</v>
      </c>
      <c r="F2809" s="1">
        <f t="shared" si="224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20"/>
        <v>45847</v>
      </c>
      <c r="C2810" s="1">
        <f t="shared" si="221"/>
        <v>4026</v>
      </c>
      <c r="D2810" s="1">
        <f t="shared" si="222"/>
        <v>821</v>
      </c>
      <c r="E2810" s="1">
        <f t="shared" si="223"/>
        <v>1820</v>
      </c>
      <c r="F2810" s="1">
        <f t="shared" si="224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20"/>
        <v>45848</v>
      </c>
      <c r="C2811" s="1">
        <f t="shared" si="221"/>
        <v>4030</v>
      </c>
      <c r="D2811" s="1">
        <f t="shared" si="222"/>
        <v>821</v>
      </c>
      <c r="E2811" s="1">
        <f t="shared" si="223"/>
        <v>1825</v>
      </c>
      <c r="F2811" s="1">
        <f t="shared" si="224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20"/>
        <v>45849</v>
      </c>
      <c r="C2812" s="1">
        <f t="shared" si="221"/>
        <v>4032</v>
      </c>
      <c r="D2812" s="1">
        <f t="shared" si="222"/>
        <v>821</v>
      </c>
      <c r="E2812" s="1">
        <f t="shared" si="223"/>
        <v>1835</v>
      </c>
      <c r="F2812" s="1">
        <f t="shared" si="224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20"/>
        <v>45852</v>
      </c>
      <c r="C2813" s="1">
        <f t="shared" si="221"/>
        <v>4036</v>
      </c>
      <c r="D2813" s="1">
        <f t="shared" si="222"/>
        <v>821</v>
      </c>
      <c r="E2813" s="1">
        <f t="shared" si="223"/>
        <v>1840</v>
      </c>
      <c r="F2813" s="1">
        <f t="shared" si="224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20"/>
        <v>45853</v>
      </c>
      <c r="C2814" s="1">
        <f t="shared" si="221"/>
        <v>4035</v>
      </c>
      <c r="D2814" s="1">
        <f t="shared" si="222"/>
        <v>821</v>
      </c>
      <c r="E2814" s="1">
        <f t="shared" si="223"/>
        <v>1835</v>
      </c>
      <c r="F2814" s="1">
        <f t="shared" si="224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20"/>
        <v>45854</v>
      </c>
      <c r="C2815" s="1">
        <f t="shared" si="221"/>
        <v>4030</v>
      </c>
      <c r="D2815" s="1">
        <f t="shared" si="222"/>
        <v>821</v>
      </c>
      <c r="E2815" s="1">
        <f t="shared" si="223"/>
        <v>1825</v>
      </c>
      <c r="F2815" s="1">
        <f t="shared" si="224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20"/>
        <v>45855</v>
      </c>
      <c r="C2816" s="1">
        <f t="shared" si="221"/>
        <v>4024</v>
      </c>
      <c r="D2816" s="1">
        <f t="shared" si="222"/>
        <v>821</v>
      </c>
      <c r="E2816" s="1">
        <f t="shared" si="223"/>
        <v>1815</v>
      </c>
      <c r="F2816" s="1">
        <f t="shared" si="224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20"/>
        <v>45856</v>
      </c>
      <c r="C2817" s="1">
        <f t="shared" si="221"/>
        <v>4027</v>
      </c>
      <c r="D2817" s="1">
        <f t="shared" si="222"/>
        <v>821</v>
      </c>
      <c r="E2817" s="1">
        <f t="shared" si="223"/>
        <v>1805</v>
      </c>
      <c r="F2817" s="1">
        <f t="shared" si="224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20"/>
        <v>45859</v>
      </c>
      <c r="C2818" s="1">
        <f t="shared" si="221"/>
        <v>4040</v>
      </c>
      <c r="D2818" s="1">
        <f t="shared" si="222"/>
        <v>821</v>
      </c>
      <c r="E2818" s="1">
        <f t="shared" si="223"/>
        <v>1810</v>
      </c>
      <c r="F2818" s="1">
        <f t="shared" si="224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20"/>
        <v>45860</v>
      </c>
      <c r="C2819" s="1">
        <f t="shared" si="221"/>
        <v>4048</v>
      </c>
      <c r="D2819" s="1">
        <f t="shared" si="222"/>
        <v>821</v>
      </c>
      <c r="E2819" s="1">
        <f t="shared" si="223"/>
        <v>1820</v>
      </c>
      <c r="F2819" s="1">
        <f t="shared" si="224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20"/>
        <v>45861</v>
      </c>
      <c r="C2820" s="1">
        <f t="shared" si="221"/>
        <v>4053</v>
      </c>
      <c r="D2820" s="1">
        <f t="shared" si="222"/>
        <v>821</v>
      </c>
      <c r="E2820" s="1">
        <f t="shared" si="223"/>
        <v>1825</v>
      </c>
      <c r="F2820" s="1">
        <f t="shared" si="224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20"/>
        <v>45862</v>
      </c>
      <c r="C2821" s="1">
        <f t="shared" si="221"/>
        <v>4067</v>
      </c>
      <c r="D2821" s="1">
        <f t="shared" si="222"/>
        <v>821</v>
      </c>
      <c r="E2821" s="1">
        <f t="shared" si="223"/>
        <v>1825</v>
      </c>
      <c r="F2821" s="1">
        <f t="shared" si="224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5">L2822</f>
        <v>45863</v>
      </c>
      <c r="C2822" s="1">
        <f t="shared" si="221"/>
        <v>4086</v>
      </c>
      <c r="D2822" s="1">
        <f t="shared" si="222"/>
        <v>821</v>
      </c>
      <c r="E2822" s="1">
        <f t="shared" si="223"/>
        <v>1820</v>
      </c>
      <c r="F2822" s="1">
        <f t="shared" si="224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5"/>
        <v>45866</v>
      </c>
      <c r="C2823" s="1">
        <f t="shared" ref="C2823:C2886" si="226">IF(M2823&lt;&gt;0,M2823,C2822)</f>
        <v>4093</v>
      </c>
      <c r="D2823" s="1">
        <f t="shared" ref="D2823:D2886" si="227">IF(N2823&lt;&gt;0,N2823,D2822)</f>
        <v>821</v>
      </c>
      <c r="E2823" s="1">
        <f t="shared" ref="E2823:E2886" si="228">IF(O2823&lt;&gt;0,O2823,E2822)</f>
        <v>1815</v>
      </c>
      <c r="F2823" s="1">
        <f t="shared" si="224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5"/>
        <v>45867</v>
      </c>
      <c r="C2824" s="1">
        <f t="shared" si="226"/>
        <v>4087</v>
      </c>
      <c r="D2824" s="1">
        <f t="shared" si="227"/>
        <v>821</v>
      </c>
      <c r="E2824" s="1">
        <f t="shared" si="228"/>
        <v>1805</v>
      </c>
      <c r="F2824" s="1">
        <f t="shared" si="224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5"/>
        <v>45868</v>
      </c>
      <c r="C2825" s="1">
        <f t="shared" si="226"/>
        <v>4096</v>
      </c>
      <c r="D2825" s="1">
        <f t="shared" si="227"/>
        <v>821</v>
      </c>
      <c r="E2825" s="1">
        <f t="shared" si="228"/>
        <v>1795</v>
      </c>
      <c r="F2825" s="1">
        <f t="shared" si="224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5"/>
        <v>45869</v>
      </c>
      <c r="C2826" s="1">
        <f t="shared" si="226"/>
        <v>4098</v>
      </c>
      <c r="D2826" s="1">
        <f t="shared" si="227"/>
        <v>821</v>
      </c>
      <c r="E2826" s="1">
        <f t="shared" si="228"/>
        <v>1790</v>
      </c>
      <c r="F2826" s="1">
        <f t="shared" si="224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5"/>
        <v>45870</v>
      </c>
      <c r="C2827" s="1">
        <f t="shared" si="226"/>
        <v>4087</v>
      </c>
      <c r="D2827" s="1">
        <f t="shared" si="227"/>
        <v>821</v>
      </c>
      <c r="E2827" s="1">
        <f t="shared" si="228"/>
        <v>1790</v>
      </c>
      <c r="F2827" s="1">
        <f t="shared" si="224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5"/>
        <v>45873</v>
      </c>
      <c r="C2828" s="1">
        <f t="shared" si="226"/>
        <v>4069</v>
      </c>
      <c r="D2828" s="1">
        <f t="shared" si="227"/>
        <v>821</v>
      </c>
      <c r="E2828" s="1">
        <f t="shared" si="228"/>
        <v>1785</v>
      </c>
      <c r="F2828" s="1">
        <f t="shared" si="224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5"/>
        <v>45874</v>
      </c>
      <c r="C2829" s="1">
        <f t="shared" si="226"/>
        <v>4055</v>
      </c>
      <c r="D2829" s="1">
        <f t="shared" si="227"/>
        <v>821</v>
      </c>
      <c r="E2829" s="1">
        <f t="shared" si="228"/>
        <v>1780</v>
      </c>
      <c r="F2829" s="1">
        <f t="shared" si="224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5"/>
        <v>45875</v>
      </c>
      <c r="C2830" s="1">
        <f t="shared" si="226"/>
        <v>4055</v>
      </c>
      <c r="D2830" s="1">
        <f t="shared" si="227"/>
        <v>821</v>
      </c>
      <c r="E2830" s="1">
        <f t="shared" si="228"/>
        <v>1785</v>
      </c>
      <c r="F2830" s="1">
        <f t="shared" si="224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5"/>
        <v>45876</v>
      </c>
      <c r="C2831" s="1">
        <f t="shared" si="226"/>
        <v>4059</v>
      </c>
      <c r="D2831" s="1">
        <f t="shared" si="227"/>
        <v>821</v>
      </c>
      <c r="E2831" s="1">
        <f t="shared" si="228"/>
        <v>1795</v>
      </c>
      <c r="F2831" s="1">
        <f t="shared" si="224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5"/>
        <v>45877</v>
      </c>
      <c r="C2832" s="1">
        <f t="shared" si="226"/>
        <v>4054</v>
      </c>
      <c r="D2832" s="1">
        <f t="shared" si="227"/>
        <v>821</v>
      </c>
      <c r="E2832" s="1">
        <f t="shared" si="228"/>
        <v>1795</v>
      </c>
      <c r="F2832" s="1">
        <f t="shared" si="224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5"/>
        <v>45880</v>
      </c>
      <c r="C2833" s="1">
        <f t="shared" si="226"/>
        <v>4056</v>
      </c>
      <c r="D2833" s="1">
        <f t="shared" si="227"/>
        <v>826</v>
      </c>
      <c r="E2833" s="1">
        <f t="shared" si="228"/>
        <v>1795</v>
      </c>
      <c r="F2833" s="1">
        <f t="shared" si="224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5"/>
        <v>45881</v>
      </c>
      <c r="C2834" s="1">
        <f t="shared" si="226"/>
        <v>4059</v>
      </c>
      <c r="D2834" s="1">
        <f t="shared" si="227"/>
        <v>826</v>
      </c>
      <c r="E2834" s="1">
        <f t="shared" si="228"/>
        <v>1795</v>
      </c>
      <c r="F2834" s="1">
        <f t="shared" si="224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5"/>
        <v>45882</v>
      </c>
      <c r="C2835" s="1">
        <f t="shared" si="226"/>
        <v>4038</v>
      </c>
      <c r="D2835" s="1">
        <f t="shared" si="227"/>
        <v>826</v>
      </c>
      <c r="E2835" s="1">
        <f t="shared" si="228"/>
        <v>1765</v>
      </c>
      <c r="F2835" s="1">
        <f t="shared" si="224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5"/>
        <v>45883</v>
      </c>
      <c r="C2836" s="1">
        <f t="shared" si="226"/>
        <v>4031</v>
      </c>
      <c r="D2836" s="1">
        <f t="shared" si="227"/>
        <v>826</v>
      </c>
      <c r="E2836" s="1">
        <f t="shared" si="228"/>
        <v>1765</v>
      </c>
      <c r="F2836" s="1">
        <f t="shared" si="224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5"/>
        <v>45884</v>
      </c>
      <c r="C2837" s="1">
        <f t="shared" si="226"/>
        <v>4024</v>
      </c>
      <c r="D2837" s="1">
        <f t="shared" si="227"/>
        <v>826</v>
      </c>
      <c r="E2837" s="1">
        <f t="shared" si="228"/>
        <v>1760</v>
      </c>
      <c r="F2837" s="1">
        <f t="shared" si="224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5"/>
        <v>45887</v>
      </c>
      <c r="C2838" s="1">
        <f t="shared" si="226"/>
        <v>4019</v>
      </c>
      <c r="D2838" s="1">
        <f t="shared" si="227"/>
        <v>826</v>
      </c>
      <c r="E2838" s="1">
        <f t="shared" si="228"/>
        <v>1760</v>
      </c>
      <c r="F2838" s="1">
        <f t="shared" si="224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5"/>
        <v>45888</v>
      </c>
      <c r="C2839" s="1">
        <f t="shared" si="226"/>
        <v>4012</v>
      </c>
      <c r="D2839" s="1">
        <f t="shared" si="227"/>
        <v>826</v>
      </c>
      <c r="E2839" s="1">
        <f t="shared" si="228"/>
        <v>1760</v>
      </c>
      <c r="F2839" s="1">
        <f t="shared" si="224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5"/>
        <v>45889</v>
      </c>
      <c r="C2840" s="1">
        <f t="shared" si="226"/>
        <v>4012</v>
      </c>
      <c r="D2840" s="1">
        <f t="shared" si="227"/>
        <v>831</v>
      </c>
      <c r="E2840" s="1">
        <f t="shared" si="228"/>
        <v>1765</v>
      </c>
      <c r="F2840" s="1">
        <f t="shared" si="224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5"/>
        <v>45890</v>
      </c>
      <c r="C2841" s="1">
        <f t="shared" si="226"/>
        <v>4021</v>
      </c>
      <c r="D2841" s="1">
        <f t="shared" si="227"/>
        <v>831</v>
      </c>
      <c r="E2841" s="1">
        <f t="shared" si="228"/>
        <v>1775</v>
      </c>
      <c r="F2841" s="1">
        <f t="shared" si="224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5"/>
        <v>45891</v>
      </c>
      <c r="C2842" s="1">
        <f t="shared" si="226"/>
        <v>4031</v>
      </c>
      <c r="D2842" s="1">
        <f t="shared" si="227"/>
        <v>831</v>
      </c>
      <c r="E2842" s="1">
        <f t="shared" si="228"/>
        <v>1775</v>
      </c>
      <c r="F2842" s="1">
        <f t="shared" si="224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5"/>
        <v>45894</v>
      </c>
      <c r="C2843" s="1">
        <f t="shared" si="226"/>
        <v>4035</v>
      </c>
      <c r="D2843" s="1">
        <f t="shared" si="227"/>
        <v>841</v>
      </c>
      <c r="E2843" s="1">
        <f t="shared" si="228"/>
        <v>1770</v>
      </c>
      <c r="F2843" s="1">
        <f t="shared" si="224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5"/>
        <v>45895</v>
      </c>
      <c r="C2844" s="1">
        <f t="shared" si="226"/>
        <v>4035</v>
      </c>
      <c r="D2844" s="1">
        <f t="shared" si="227"/>
        <v>841</v>
      </c>
      <c r="E2844" s="1">
        <f t="shared" si="228"/>
        <v>1760</v>
      </c>
      <c r="F2844" s="1">
        <f t="shared" si="224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5"/>
        <v>45896</v>
      </c>
      <c r="C2845" s="1">
        <f t="shared" si="226"/>
        <v>4028</v>
      </c>
      <c r="D2845" s="1">
        <f t="shared" si="227"/>
        <v>843</v>
      </c>
      <c r="E2845" s="1">
        <f t="shared" si="228"/>
        <v>1755</v>
      </c>
      <c r="F2845" s="1">
        <f t="shared" si="224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5"/>
        <v>45897</v>
      </c>
      <c r="C2846" s="1">
        <f t="shared" si="226"/>
        <v>4014</v>
      </c>
      <c r="D2846" s="1">
        <f t="shared" si="227"/>
        <v>843</v>
      </c>
      <c r="E2846" s="1">
        <f t="shared" si="228"/>
        <v>1755</v>
      </c>
      <c r="F2846" s="1">
        <f t="shared" si="224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5"/>
        <v>45898</v>
      </c>
      <c r="C2847" s="1">
        <f t="shared" si="226"/>
        <v>4003</v>
      </c>
      <c r="D2847" s="1">
        <f t="shared" si="227"/>
        <v>841</v>
      </c>
      <c r="E2847" s="1">
        <f t="shared" si="228"/>
        <v>1750</v>
      </c>
      <c r="F2847" s="1">
        <f t="shared" si="224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5"/>
        <v>45901</v>
      </c>
      <c r="C2848" s="1">
        <f t="shared" si="226"/>
        <v>3995</v>
      </c>
      <c r="D2848" s="1">
        <f t="shared" si="227"/>
        <v>841</v>
      </c>
      <c r="E2848" s="1">
        <f t="shared" si="228"/>
        <v>1755</v>
      </c>
      <c r="F2848" s="1">
        <f t="shared" si="224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5"/>
        <v>45902</v>
      </c>
      <c r="C2849" s="1">
        <f t="shared" si="226"/>
        <v>3989</v>
      </c>
      <c r="D2849" s="1">
        <f t="shared" si="227"/>
        <v>841</v>
      </c>
      <c r="E2849" s="1">
        <f t="shared" si="228"/>
        <v>1750</v>
      </c>
      <c r="F2849" s="1">
        <f t="shared" si="224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5"/>
        <v>45903</v>
      </c>
      <c r="C2850" s="1">
        <f t="shared" si="226"/>
        <v>3987</v>
      </c>
      <c r="D2850" s="1">
        <f t="shared" si="227"/>
        <v>841</v>
      </c>
      <c r="E2850" s="1">
        <f t="shared" si="228"/>
        <v>1745</v>
      </c>
      <c r="F2850" s="1">
        <f t="shared" si="224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5"/>
        <v>45904</v>
      </c>
      <c r="C2851" s="1">
        <f t="shared" si="226"/>
        <v>3981</v>
      </c>
      <c r="D2851" s="1">
        <f t="shared" si="227"/>
        <v>841</v>
      </c>
      <c r="E2851" s="1">
        <f t="shared" si="228"/>
        <v>1745</v>
      </c>
      <c r="F2851" s="1">
        <f t="shared" si="224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5"/>
        <v>45905</v>
      </c>
      <c r="C2852" s="1">
        <f t="shared" si="226"/>
        <v>3976</v>
      </c>
      <c r="D2852" s="1">
        <f t="shared" si="227"/>
        <v>841</v>
      </c>
      <c r="E2852" s="1">
        <f t="shared" si="228"/>
        <v>1740</v>
      </c>
      <c r="F2852" s="1">
        <f t="shared" si="224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5"/>
        <v>45908</v>
      </c>
      <c r="C2853" s="1">
        <f t="shared" si="226"/>
        <v>3973</v>
      </c>
      <c r="D2853" s="1">
        <f t="shared" si="227"/>
        <v>841</v>
      </c>
      <c r="E2853" s="1">
        <f t="shared" si="228"/>
        <v>1740</v>
      </c>
      <c r="F2853" s="1">
        <f t="shared" si="224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5"/>
        <v>45909</v>
      </c>
      <c r="C2854" s="1">
        <f t="shared" si="226"/>
        <v>3979</v>
      </c>
      <c r="D2854" s="1">
        <f t="shared" si="227"/>
        <v>841</v>
      </c>
      <c r="E2854" s="1">
        <f t="shared" si="228"/>
        <v>1730</v>
      </c>
      <c r="F2854" s="1">
        <f t="shared" si="224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5"/>
        <v>45910</v>
      </c>
      <c r="C2855" s="1">
        <f t="shared" si="226"/>
        <v>3979</v>
      </c>
      <c r="D2855" s="1">
        <f t="shared" si="227"/>
        <v>841</v>
      </c>
      <c r="E2855" s="1">
        <f t="shared" si="228"/>
        <v>1720</v>
      </c>
      <c r="F2855" s="1">
        <f t="shared" si="224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5"/>
        <v>45911</v>
      </c>
      <c r="C2856" s="1">
        <f t="shared" si="226"/>
        <v>3975</v>
      </c>
      <c r="D2856" s="1">
        <f t="shared" si="227"/>
        <v>841</v>
      </c>
      <c r="E2856" s="1">
        <f t="shared" si="228"/>
        <v>1715</v>
      </c>
      <c r="F2856" s="1">
        <f t="shared" si="224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5"/>
        <v>45912</v>
      </c>
      <c r="C2857" s="1">
        <f t="shared" si="226"/>
        <v>3969</v>
      </c>
      <c r="D2857" s="1">
        <f t="shared" si="227"/>
        <v>851</v>
      </c>
      <c r="E2857" s="1">
        <f t="shared" si="228"/>
        <v>1705</v>
      </c>
      <c r="F2857" s="1">
        <f t="shared" si="224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5"/>
        <v>45915</v>
      </c>
      <c r="C2858" s="1">
        <f t="shared" si="226"/>
        <v>3970</v>
      </c>
      <c r="D2858" s="1">
        <f t="shared" si="227"/>
        <v>851</v>
      </c>
      <c r="E2858" s="1">
        <f t="shared" si="228"/>
        <v>1705</v>
      </c>
      <c r="F2858" s="1">
        <f t="shared" si="224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5"/>
        <v>45916</v>
      </c>
      <c r="C2859" s="1">
        <f t="shared" si="226"/>
        <v>3978</v>
      </c>
      <c r="D2859" s="1">
        <f t="shared" si="227"/>
        <v>851</v>
      </c>
      <c r="E2859" s="1">
        <f t="shared" si="228"/>
        <v>1700</v>
      </c>
      <c r="F2859" s="1">
        <f t="shared" si="224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5"/>
        <v>45917</v>
      </c>
      <c r="C2860" s="1">
        <f t="shared" si="226"/>
        <v>3984</v>
      </c>
      <c r="D2860" s="1">
        <f t="shared" si="227"/>
        <v>851</v>
      </c>
      <c r="E2860" s="1">
        <f t="shared" si="228"/>
        <v>1700</v>
      </c>
      <c r="F2860" s="1">
        <f t="shared" si="224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5"/>
        <v>45918</v>
      </c>
      <c r="C2861" s="1">
        <f t="shared" si="226"/>
        <v>3984</v>
      </c>
      <c r="D2861" s="1">
        <f t="shared" si="227"/>
        <v>851</v>
      </c>
      <c r="E2861" s="1">
        <f t="shared" si="228"/>
        <v>1700</v>
      </c>
      <c r="F2861" s="1">
        <f t="shared" si="224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5"/>
        <v>45919</v>
      </c>
      <c r="C2862" s="1">
        <f t="shared" si="226"/>
        <v>3970</v>
      </c>
      <c r="D2862" s="1">
        <f t="shared" si="227"/>
        <v>846</v>
      </c>
      <c r="E2862" s="1">
        <f t="shared" si="228"/>
        <v>1695</v>
      </c>
      <c r="F2862" s="1">
        <f t="shared" si="224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5"/>
        <v>45922</v>
      </c>
      <c r="C2863" s="1">
        <f t="shared" si="226"/>
        <v>3964</v>
      </c>
      <c r="D2863" s="1">
        <f t="shared" si="227"/>
        <v>846</v>
      </c>
      <c r="E2863" s="1">
        <f t="shared" si="228"/>
        <v>1690</v>
      </c>
      <c r="F2863" s="1">
        <f t="shared" si="224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5"/>
        <v>45923</v>
      </c>
      <c r="C2864" s="1">
        <f t="shared" si="226"/>
        <v>3953</v>
      </c>
      <c r="D2864" s="1">
        <f t="shared" si="227"/>
        <v>846</v>
      </c>
      <c r="E2864" s="1">
        <f t="shared" si="228"/>
        <v>1680</v>
      </c>
      <c r="F2864" s="1">
        <f t="shared" si="224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5"/>
        <v>45924</v>
      </c>
      <c r="C2865" s="1">
        <f t="shared" si="226"/>
        <v>3956</v>
      </c>
      <c r="D2865" s="1">
        <f t="shared" si="227"/>
        <v>841</v>
      </c>
      <c r="E2865" s="1">
        <f t="shared" si="228"/>
        <v>1670</v>
      </c>
      <c r="F2865" s="1">
        <f t="shared" si="224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5"/>
        <v>45925</v>
      </c>
      <c r="C2866" s="1">
        <f t="shared" si="226"/>
        <v>3962</v>
      </c>
      <c r="D2866" s="1">
        <f t="shared" si="227"/>
        <v>821</v>
      </c>
      <c r="E2866" s="1">
        <f t="shared" si="228"/>
        <v>1665</v>
      </c>
      <c r="F2866" s="1">
        <f t="shared" ref="F2866:F2929" si="229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5"/>
        <v>45926</v>
      </c>
      <c r="C2867" s="1">
        <f t="shared" si="226"/>
        <v>3967</v>
      </c>
      <c r="D2867" s="1">
        <f t="shared" si="227"/>
        <v>811</v>
      </c>
      <c r="E2867" s="1">
        <f t="shared" si="228"/>
        <v>1660</v>
      </c>
      <c r="F2867" s="1">
        <f t="shared" si="229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5"/>
        <v>45928</v>
      </c>
      <c r="C2868" s="1">
        <f t="shared" si="226"/>
        <v>3967</v>
      </c>
      <c r="D2868" s="1">
        <f t="shared" si="227"/>
        <v>811</v>
      </c>
      <c r="E2868" s="1">
        <f t="shared" si="228"/>
        <v>1660</v>
      </c>
      <c r="F2868" s="1">
        <f t="shared" si="229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5"/>
        <v>45929</v>
      </c>
      <c r="C2869" s="1">
        <f t="shared" si="226"/>
        <v>3966</v>
      </c>
      <c r="D2869" s="1">
        <f t="shared" si="227"/>
        <v>811</v>
      </c>
      <c r="E2869" s="1">
        <f t="shared" si="228"/>
        <v>1655</v>
      </c>
      <c r="F2869" s="1">
        <f t="shared" si="229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5"/>
        <v>45930</v>
      </c>
      <c r="C2870" s="1">
        <f t="shared" si="226"/>
        <v>3949</v>
      </c>
      <c r="D2870" s="1">
        <f t="shared" si="227"/>
        <v>811</v>
      </c>
      <c r="E2870" s="1">
        <f t="shared" si="228"/>
        <v>1655</v>
      </c>
      <c r="F2870" s="1">
        <f t="shared" si="229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5"/>
        <v>45931</v>
      </c>
      <c r="C2871" s="1">
        <f t="shared" si="226"/>
        <v>3949</v>
      </c>
      <c r="D2871" s="1">
        <f t="shared" si="227"/>
        <v>811</v>
      </c>
      <c r="E2871" s="1">
        <f t="shared" si="228"/>
        <v>1655</v>
      </c>
      <c r="F2871" s="1">
        <f t="shared" si="229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5"/>
        <v>45932</v>
      </c>
      <c r="C2872" s="1">
        <f t="shared" si="226"/>
        <v>3949</v>
      </c>
      <c r="D2872" s="1">
        <f t="shared" si="227"/>
        <v>806</v>
      </c>
      <c r="E2872" s="1">
        <f t="shared" si="228"/>
        <v>1655</v>
      </c>
      <c r="F2872" s="1">
        <f t="shared" si="229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5"/>
        <v>45933</v>
      </c>
      <c r="C2873" s="1">
        <f t="shared" si="226"/>
        <v>3949</v>
      </c>
      <c r="D2873" s="1">
        <f t="shared" si="227"/>
        <v>806</v>
      </c>
      <c r="E2873" s="1">
        <f t="shared" si="228"/>
        <v>1655</v>
      </c>
      <c r="F2873" s="1">
        <f t="shared" si="229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5"/>
        <v>45936</v>
      </c>
      <c r="C2874" s="1">
        <f t="shared" si="226"/>
        <v>3949</v>
      </c>
      <c r="D2874" s="1">
        <f t="shared" si="227"/>
        <v>806</v>
      </c>
      <c r="E2874" s="1">
        <f t="shared" si="228"/>
        <v>1655</v>
      </c>
      <c r="F2874" s="1">
        <f t="shared" si="229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5"/>
        <v>45937</v>
      </c>
      <c r="C2875" s="1">
        <f t="shared" si="226"/>
        <v>3949</v>
      </c>
      <c r="D2875" s="1">
        <f t="shared" si="227"/>
        <v>806</v>
      </c>
      <c r="E2875" s="1">
        <f t="shared" si="228"/>
        <v>1655</v>
      </c>
      <c r="F2875" s="1">
        <f t="shared" si="229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5"/>
        <v>45938</v>
      </c>
      <c r="C2876" s="1">
        <f t="shared" si="226"/>
        <v>3949</v>
      </c>
      <c r="D2876" s="1">
        <f t="shared" si="227"/>
        <v>806</v>
      </c>
      <c r="E2876" s="1">
        <f t="shared" si="228"/>
        <v>1655</v>
      </c>
      <c r="F2876" s="1">
        <f t="shared" si="229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5"/>
        <v>45939</v>
      </c>
      <c r="C2877" s="1">
        <f t="shared" si="226"/>
        <v>3930</v>
      </c>
      <c r="D2877" s="1">
        <f t="shared" si="227"/>
        <v>806</v>
      </c>
      <c r="E2877" s="1">
        <f t="shared" si="228"/>
        <v>1650</v>
      </c>
      <c r="F2877" s="1">
        <f t="shared" si="229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5"/>
        <v>45940</v>
      </c>
      <c r="C2878" s="1">
        <f t="shared" si="226"/>
        <v>3930</v>
      </c>
      <c r="D2878" s="1">
        <f t="shared" si="227"/>
        <v>786</v>
      </c>
      <c r="E2878" s="1">
        <f t="shared" si="228"/>
        <v>1630</v>
      </c>
      <c r="F2878" s="1">
        <f t="shared" si="229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5"/>
        <v>45941</v>
      </c>
      <c r="C2879" s="1">
        <f t="shared" si="226"/>
        <v>3917</v>
      </c>
      <c r="D2879" s="1">
        <f t="shared" si="227"/>
        <v>786</v>
      </c>
      <c r="E2879" s="1">
        <f t="shared" si="228"/>
        <v>1625</v>
      </c>
      <c r="F2879" s="1">
        <f t="shared" si="229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5"/>
        <v>45943</v>
      </c>
      <c r="C2880" s="1">
        <f t="shared" si="226"/>
        <v>3909</v>
      </c>
      <c r="D2880" s="1">
        <f t="shared" si="227"/>
        <v>786</v>
      </c>
      <c r="E2880" s="1">
        <f t="shared" si="228"/>
        <v>1615</v>
      </c>
      <c r="F2880" s="1">
        <f t="shared" si="229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5"/>
        <v>45944</v>
      </c>
      <c r="C2881" s="1">
        <f t="shared" si="226"/>
        <v>3895</v>
      </c>
      <c r="D2881" s="1">
        <f t="shared" si="227"/>
        <v>786</v>
      </c>
      <c r="E2881" s="1">
        <f t="shared" si="228"/>
        <v>1610</v>
      </c>
      <c r="F2881" s="1">
        <f t="shared" si="229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5"/>
        <v>45945</v>
      </c>
      <c r="C2882" s="1">
        <f t="shared" si="226"/>
        <v>3883</v>
      </c>
      <c r="D2882" s="1">
        <f t="shared" si="227"/>
        <v>786</v>
      </c>
      <c r="E2882" s="1">
        <f t="shared" si="228"/>
        <v>1610</v>
      </c>
      <c r="F2882" s="1">
        <f t="shared" si="229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5"/>
        <v>45946</v>
      </c>
      <c r="C2883" s="1">
        <f t="shared" si="226"/>
        <v>3886</v>
      </c>
      <c r="D2883" s="1">
        <f t="shared" si="227"/>
        <v>786</v>
      </c>
      <c r="E2883" s="1">
        <f t="shared" si="228"/>
        <v>1610</v>
      </c>
      <c r="F2883" s="1">
        <f t="shared" si="229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5"/>
        <v>45947</v>
      </c>
      <c r="C2884" s="1">
        <f t="shared" si="226"/>
        <v>3876</v>
      </c>
      <c r="D2884" s="1">
        <f t="shared" si="227"/>
        <v>781</v>
      </c>
      <c r="E2884" s="1">
        <f t="shared" si="228"/>
        <v>1610</v>
      </c>
      <c r="F2884" s="1">
        <f t="shared" si="229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5"/>
        <v>45950</v>
      </c>
      <c r="C2885" s="1">
        <f t="shared" si="226"/>
        <v>3872</v>
      </c>
      <c r="D2885" s="1">
        <f t="shared" si="227"/>
        <v>781</v>
      </c>
      <c r="E2885" s="1">
        <f t="shared" si="228"/>
        <v>1610</v>
      </c>
      <c r="F2885" s="1">
        <f t="shared" si="229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30">L2886</f>
        <v>45951</v>
      </c>
      <c r="C2886" s="1">
        <f t="shared" si="226"/>
        <v>3868</v>
      </c>
      <c r="D2886" s="1">
        <f t="shared" si="227"/>
        <v>781</v>
      </c>
      <c r="E2886" s="1">
        <f t="shared" si="228"/>
        <v>1605</v>
      </c>
      <c r="F2886" s="1">
        <f t="shared" si="229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30"/>
        <v>45952</v>
      </c>
      <c r="C2887" s="1">
        <f t="shared" ref="C2887:C2950" si="231">IF(M2887&lt;&gt;0,M2887,C2886)</f>
        <v>3865</v>
      </c>
      <c r="D2887" s="1">
        <f t="shared" ref="D2887:D2950" si="232">IF(N2887&lt;&gt;0,N2887,D2886)</f>
        <v>781</v>
      </c>
      <c r="E2887" s="1">
        <f t="shared" ref="E2887:E2950" si="233">IF(O2887&lt;&gt;0,O2887,E2886)</f>
        <v>1605</v>
      </c>
      <c r="F2887" s="1">
        <f t="shared" si="229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30"/>
        <v>45953</v>
      </c>
      <c r="C2888" s="1">
        <f t="shared" si="231"/>
        <v>3874</v>
      </c>
      <c r="D2888" s="1">
        <f t="shared" si="232"/>
        <v>781</v>
      </c>
      <c r="E2888" s="1">
        <f t="shared" si="233"/>
        <v>1605</v>
      </c>
      <c r="F2888" s="1">
        <f t="shared" si="229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30"/>
        <v>45954</v>
      </c>
      <c r="C2889" s="1">
        <f t="shared" si="231"/>
        <v>3882</v>
      </c>
      <c r="D2889" s="1">
        <f t="shared" si="232"/>
        <v>766</v>
      </c>
      <c r="E2889" s="1">
        <f t="shared" si="233"/>
        <v>1605</v>
      </c>
      <c r="F2889" s="1">
        <f t="shared" si="229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30"/>
        <v>45957</v>
      </c>
      <c r="C2890" s="1">
        <f t="shared" si="231"/>
        <v>3882</v>
      </c>
      <c r="D2890" s="1">
        <f t="shared" si="232"/>
        <v>766</v>
      </c>
      <c r="E2890" s="1">
        <f t="shared" si="233"/>
        <v>1615</v>
      </c>
      <c r="F2890" s="1">
        <f t="shared" si="229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30"/>
        <v>45958</v>
      </c>
      <c r="C2891" s="1">
        <f t="shared" si="231"/>
        <v>3884</v>
      </c>
      <c r="D2891" s="1">
        <f t="shared" si="232"/>
        <v>766</v>
      </c>
      <c r="E2891" s="1">
        <f t="shared" si="233"/>
        <v>1625</v>
      </c>
      <c r="F2891" s="1">
        <f t="shared" si="229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30"/>
        <v>45959</v>
      </c>
      <c r="C2892" s="1">
        <f t="shared" si="231"/>
        <v>3875</v>
      </c>
      <c r="D2892" s="1">
        <f t="shared" si="232"/>
        <v>766</v>
      </c>
      <c r="E2892" s="1">
        <f t="shared" si="233"/>
        <v>1625</v>
      </c>
      <c r="F2892" s="1">
        <f t="shared" si="229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30"/>
        <v>45960</v>
      </c>
      <c r="C2893" s="1">
        <f t="shared" si="231"/>
        <v>3870</v>
      </c>
      <c r="D2893" s="1">
        <f t="shared" si="232"/>
        <v>766</v>
      </c>
      <c r="E2893" s="1">
        <f t="shared" si="233"/>
        <v>1625</v>
      </c>
      <c r="F2893" s="1">
        <f t="shared" si="229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30"/>
        <v>45961</v>
      </c>
      <c r="C2894" s="1">
        <f t="shared" si="231"/>
        <v>3869</v>
      </c>
      <c r="D2894" s="1">
        <f t="shared" si="232"/>
        <v>741</v>
      </c>
      <c r="E2894" s="1">
        <f t="shared" si="233"/>
        <v>1625</v>
      </c>
      <c r="F2894" s="1">
        <f t="shared" si="229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30"/>
        <v>45964</v>
      </c>
      <c r="C2895" s="1">
        <f t="shared" si="231"/>
        <v>3856</v>
      </c>
      <c r="D2895" s="1">
        <f t="shared" si="232"/>
        <v>741</v>
      </c>
      <c r="E2895" s="1">
        <f t="shared" si="233"/>
        <v>1620</v>
      </c>
      <c r="F2895" s="1">
        <f t="shared" si="229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30"/>
        <v>45965</v>
      </c>
      <c r="C2896" s="1">
        <f t="shared" si="231"/>
        <v>3835</v>
      </c>
      <c r="D2896" s="1">
        <f t="shared" si="232"/>
        <v>741</v>
      </c>
      <c r="E2896" s="1">
        <f t="shared" si="233"/>
        <v>1610</v>
      </c>
      <c r="F2896" s="1">
        <f t="shared" si="229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30"/>
        <v>45966</v>
      </c>
      <c r="C2897" s="1">
        <f t="shared" si="231"/>
        <v>3823</v>
      </c>
      <c r="D2897" s="1">
        <f t="shared" si="232"/>
        <v>741</v>
      </c>
      <c r="E2897" s="1">
        <f t="shared" si="233"/>
        <v>1610</v>
      </c>
      <c r="F2897" s="1">
        <f t="shared" si="229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30"/>
        <v>45967</v>
      </c>
      <c r="C2898" s="1">
        <f t="shared" si="231"/>
        <v>3827</v>
      </c>
      <c r="D2898" s="1">
        <f t="shared" si="232"/>
        <v>741</v>
      </c>
      <c r="E2898" s="1">
        <f t="shared" si="233"/>
        <v>1610</v>
      </c>
      <c r="F2898" s="1">
        <f t="shared" si="229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30"/>
        <v>45968</v>
      </c>
      <c r="C2899" s="1">
        <f t="shared" si="231"/>
        <v>3837</v>
      </c>
      <c r="D2899" s="1">
        <f t="shared" si="232"/>
        <v>741</v>
      </c>
      <c r="E2899" s="1">
        <f t="shared" si="233"/>
        <v>1615</v>
      </c>
      <c r="F2899" s="1">
        <f t="shared" si="229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30"/>
        <v>45971</v>
      </c>
      <c r="C2900" s="1">
        <f t="shared" si="231"/>
        <v>3843</v>
      </c>
      <c r="D2900" s="1">
        <f t="shared" si="232"/>
        <v>741</v>
      </c>
      <c r="E2900" s="1">
        <f t="shared" si="233"/>
        <v>1625</v>
      </c>
      <c r="F2900" s="1">
        <f t="shared" si="229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30"/>
        <v>45972</v>
      </c>
      <c r="C2901" s="1">
        <f t="shared" si="231"/>
        <v>3852</v>
      </c>
      <c r="D2901" s="1">
        <f t="shared" si="232"/>
        <v>741</v>
      </c>
      <c r="E2901" s="1">
        <f t="shared" si="233"/>
        <v>1640</v>
      </c>
      <c r="F2901" s="1">
        <f t="shared" si="229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30"/>
        <v>45973</v>
      </c>
      <c r="C2902" s="1">
        <f t="shared" si="231"/>
        <v>3856</v>
      </c>
      <c r="D2902" s="1">
        <f t="shared" si="232"/>
        <v>741</v>
      </c>
      <c r="E2902" s="1">
        <f t="shared" si="233"/>
        <v>1645</v>
      </c>
      <c r="F2902" s="1">
        <f t="shared" si="229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30"/>
        <v>45974</v>
      </c>
      <c r="C2903" s="1">
        <f t="shared" si="231"/>
        <v>3859</v>
      </c>
      <c r="D2903" s="1">
        <f t="shared" si="232"/>
        <v>736</v>
      </c>
      <c r="E2903" s="1">
        <f t="shared" si="233"/>
        <v>1645</v>
      </c>
      <c r="F2903" s="1">
        <f t="shared" si="229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30"/>
        <v>45975</v>
      </c>
      <c r="C2904" s="1">
        <f t="shared" si="231"/>
        <v>3867</v>
      </c>
      <c r="D2904" s="1">
        <f t="shared" si="232"/>
        <v>736</v>
      </c>
      <c r="E2904" s="1">
        <f t="shared" si="233"/>
        <v>1645</v>
      </c>
      <c r="F2904" s="1">
        <f t="shared" si="229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30"/>
        <v>45978</v>
      </c>
      <c r="C2905" s="1">
        <f t="shared" si="231"/>
        <v>3869</v>
      </c>
      <c r="D2905" s="1">
        <f t="shared" si="232"/>
        <v>736</v>
      </c>
      <c r="E2905" s="1">
        <f t="shared" si="233"/>
        <v>1645</v>
      </c>
      <c r="F2905" s="1">
        <f t="shared" si="229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30"/>
        <v>45979</v>
      </c>
      <c r="C2906" s="1">
        <f t="shared" si="231"/>
        <v>3867</v>
      </c>
      <c r="D2906" s="1">
        <f t="shared" si="232"/>
        <v>731</v>
      </c>
      <c r="E2906" s="1">
        <f t="shared" si="233"/>
        <v>1640</v>
      </c>
      <c r="F2906" s="1">
        <f t="shared" si="229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30"/>
        <v>45980</v>
      </c>
      <c r="C2907" s="1">
        <f t="shared" si="231"/>
        <v>3867</v>
      </c>
      <c r="D2907" s="1">
        <f t="shared" si="232"/>
        <v>731</v>
      </c>
      <c r="E2907" s="1">
        <f t="shared" si="233"/>
        <v>1645</v>
      </c>
      <c r="F2907" s="1">
        <f t="shared" si="229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30"/>
        <v>45981</v>
      </c>
      <c r="C2908" s="1">
        <f t="shared" si="231"/>
        <v>3861</v>
      </c>
      <c r="D2908" s="1">
        <f t="shared" si="232"/>
        <v>731</v>
      </c>
      <c r="E2908" s="1">
        <f t="shared" si="233"/>
        <v>1655</v>
      </c>
      <c r="F2908" s="1">
        <f t="shared" si="229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30"/>
        <v>45982</v>
      </c>
      <c r="C2909" s="1">
        <f t="shared" si="231"/>
        <v>3851</v>
      </c>
      <c r="D2909" s="1">
        <f t="shared" si="232"/>
        <v>731</v>
      </c>
      <c r="E2909" s="1">
        <f t="shared" si="233"/>
        <v>1665</v>
      </c>
      <c r="F2909" s="1">
        <f t="shared" si="229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30"/>
        <v>45985</v>
      </c>
      <c r="C2910" s="1">
        <f t="shared" si="231"/>
        <v>3855</v>
      </c>
      <c r="D2910" s="1">
        <f t="shared" si="232"/>
        <v>731</v>
      </c>
      <c r="E2910" s="1">
        <f t="shared" si="233"/>
        <v>1670</v>
      </c>
      <c r="F2910" s="1">
        <f t="shared" si="229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30"/>
        <v>45986</v>
      </c>
      <c r="C2911" s="1">
        <f t="shared" si="231"/>
        <v>3862</v>
      </c>
      <c r="D2911" s="1">
        <f t="shared" si="232"/>
        <v>731</v>
      </c>
      <c r="E2911" s="1">
        <f t="shared" si="233"/>
        <v>1675</v>
      </c>
      <c r="F2911" s="1">
        <f t="shared" si="229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30"/>
        <v>45987</v>
      </c>
      <c r="C2912" s="1">
        <f t="shared" si="231"/>
        <v>3863</v>
      </c>
      <c r="D2912" s="1">
        <f t="shared" si="232"/>
        <v>731</v>
      </c>
      <c r="E2912" s="1">
        <f t="shared" si="233"/>
        <v>1675</v>
      </c>
      <c r="F2912" s="1">
        <f t="shared" si="229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30"/>
        <v>45988</v>
      </c>
      <c r="C2913" s="1">
        <f t="shared" si="231"/>
        <v>3863</v>
      </c>
      <c r="D2913" s="1">
        <f t="shared" si="232"/>
        <v>731</v>
      </c>
      <c r="E2913" s="1">
        <f t="shared" si="233"/>
        <v>1675</v>
      </c>
      <c r="F2913" s="1">
        <f t="shared" si="229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30"/>
        <v>45989</v>
      </c>
      <c r="C2914" s="1">
        <f t="shared" si="231"/>
        <v>3865</v>
      </c>
      <c r="D2914" s="1">
        <f t="shared" si="232"/>
        <v>741</v>
      </c>
      <c r="E2914" s="1">
        <f t="shared" si="233"/>
        <v>1680</v>
      </c>
      <c r="F2914" s="1">
        <f t="shared" si="229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30"/>
        <v>45992</v>
      </c>
      <c r="C2915" s="1">
        <f t="shared" si="231"/>
        <v>3879</v>
      </c>
      <c r="D2915" s="1">
        <f t="shared" si="232"/>
        <v>741</v>
      </c>
      <c r="E2915" s="1">
        <f t="shared" si="233"/>
        <v>1695</v>
      </c>
      <c r="F2915" s="1">
        <f t="shared" si="229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30"/>
        <v>45993</v>
      </c>
      <c r="C2916" s="1">
        <f t="shared" si="231"/>
        <v>3889</v>
      </c>
      <c r="D2916" s="1">
        <f t="shared" si="232"/>
        <v>741</v>
      </c>
      <c r="E2916" s="1">
        <f t="shared" si="233"/>
        <v>1695</v>
      </c>
      <c r="F2916" s="1">
        <f t="shared" si="229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30"/>
        <v>45994</v>
      </c>
      <c r="C2917" s="1">
        <f t="shared" si="231"/>
        <v>3889</v>
      </c>
      <c r="D2917" s="1">
        <f t="shared" si="232"/>
        <v>741</v>
      </c>
      <c r="E2917" s="1">
        <f t="shared" si="233"/>
        <v>1705</v>
      </c>
      <c r="F2917" s="1">
        <f t="shared" si="229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30"/>
        <v>45995</v>
      </c>
      <c r="C2918" s="1">
        <f t="shared" si="231"/>
        <v>3883</v>
      </c>
      <c r="D2918" s="1">
        <f t="shared" si="232"/>
        <v>741</v>
      </c>
      <c r="E2918" s="1">
        <f t="shared" si="233"/>
        <v>1710</v>
      </c>
      <c r="F2918" s="1">
        <f t="shared" si="229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30"/>
        <v>45996</v>
      </c>
      <c r="C2919" s="1">
        <f t="shared" si="231"/>
        <v>3875</v>
      </c>
      <c r="D2919" s="1">
        <f t="shared" si="232"/>
        <v>746</v>
      </c>
      <c r="E2919" s="1">
        <f t="shared" si="233"/>
        <v>1720</v>
      </c>
      <c r="F2919" s="1">
        <f t="shared" si="229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30"/>
        <v>45999</v>
      </c>
      <c r="C2920" s="1">
        <f t="shared" si="231"/>
        <v>3869</v>
      </c>
      <c r="D2920" s="1">
        <f t="shared" si="232"/>
        <v>746</v>
      </c>
      <c r="E2920" s="1">
        <f t="shared" si="233"/>
        <v>1720</v>
      </c>
      <c r="F2920" s="1">
        <f t="shared" si="229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30"/>
        <v>46000</v>
      </c>
      <c r="C2921" s="1">
        <f t="shared" si="231"/>
        <v>3870</v>
      </c>
      <c r="D2921" s="1">
        <f t="shared" si="232"/>
        <v>746</v>
      </c>
      <c r="E2921" s="1">
        <f t="shared" si="233"/>
        <v>1720</v>
      </c>
      <c r="F2921" s="1">
        <f t="shared" si="229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30"/>
        <v>46001</v>
      </c>
      <c r="C2922" s="1">
        <f t="shared" si="231"/>
        <v>3860</v>
      </c>
      <c r="D2922" s="1">
        <f t="shared" si="232"/>
        <v>746</v>
      </c>
      <c r="E2922" s="1">
        <f t="shared" si="233"/>
        <v>1715</v>
      </c>
      <c r="F2922" s="1">
        <f t="shared" si="229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30"/>
        <v>46002</v>
      </c>
      <c r="C2923" s="1">
        <f t="shared" si="231"/>
        <v>3863</v>
      </c>
      <c r="D2923" s="1">
        <f t="shared" si="232"/>
        <v>746</v>
      </c>
      <c r="E2923" s="1">
        <f t="shared" si="233"/>
        <v>1715</v>
      </c>
      <c r="F2923" s="1">
        <f t="shared" si="229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30"/>
        <v>46003</v>
      </c>
      <c r="C2924" s="1">
        <f t="shared" si="231"/>
        <v>3854</v>
      </c>
      <c r="D2924" s="1">
        <f t="shared" si="232"/>
        <v>746</v>
      </c>
      <c r="E2924" s="1">
        <f t="shared" si="233"/>
        <v>1715</v>
      </c>
      <c r="F2924" s="1">
        <f t="shared" si="229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30"/>
        <v>46006</v>
      </c>
      <c r="C2925" s="1">
        <f t="shared" si="231"/>
        <v>3853</v>
      </c>
      <c r="D2925" s="1">
        <f t="shared" si="232"/>
        <v>746</v>
      </c>
      <c r="E2925" s="1">
        <f t="shared" si="233"/>
        <v>1715</v>
      </c>
      <c r="F2925" s="1">
        <f t="shared" si="229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30"/>
        <v>46007</v>
      </c>
      <c r="C2926" s="1">
        <f t="shared" si="231"/>
        <v>3850</v>
      </c>
      <c r="D2926" s="1">
        <f t="shared" si="232"/>
        <v>746</v>
      </c>
      <c r="E2926" s="1">
        <f t="shared" si="233"/>
        <v>1710</v>
      </c>
      <c r="F2926" s="1">
        <f t="shared" si="229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30"/>
        <v>46008</v>
      </c>
      <c r="C2927" s="1">
        <f t="shared" si="231"/>
        <v>3844</v>
      </c>
      <c r="D2927" s="1">
        <f t="shared" si="232"/>
        <v>746</v>
      </c>
      <c r="E2927" s="1">
        <f t="shared" si="233"/>
        <v>1705</v>
      </c>
      <c r="F2927" s="1">
        <f t="shared" si="229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30"/>
        <v>46009</v>
      </c>
      <c r="C2928" s="1">
        <f t="shared" si="231"/>
        <v>3850</v>
      </c>
      <c r="D2928" s="1">
        <f t="shared" si="232"/>
        <v>746</v>
      </c>
      <c r="E2928" s="1">
        <f t="shared" si="233"/>
        <v>1705</v>
      </c>
      <c r="F2928" s="1">
        <f t="shared" si="229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30"/>
        <v>46010</v>
      </c>
      <c r="C2929" s="1">
        <f t="shared" si="231"/>
        <v>3851</v>
      </c>
      <c r="D2929" s="1">
        <f t="shared" si="232"/>
        <v>746</v>
      </c>
      <c r="E2929" s="1">
        <f t="shared" si="233"/>
        <v>1715</v>
      </c>
      <c r="F2929" s="1">
        <f t="shared" si="229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30"/>
        <v>46013</v>
      </c>
      <c r="C2930" s="1">
        <f t="shared" si="231"/>
        <v>3869</v>
      </c>
      <c r="D2930" s="1">
        <f t="shared" si="232"/>
        <v>746</v>
      </c>
      <c r="E2930" s="1">
        <f t="shared" si="233"/>
        <v>1720</v>
      </c>
      <c r="F2930" s="1">
        <f t="shared" ref="F2930:F2993" si="234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30"/>
        <v>46014</v>
      </c>
      <c r="C2931" s="1">
        <f t="shared" si="231"/>
        <v>3869</v>
      </c>
      <c r="D2931" s="1">
        <f t="shared" si="232"/>
        <v>746</v>
      </c>
      <c r="E2931" s="1">
        <f t="shared" si="233"/>
        <v>1725</v>
      </c>
      <c r="F2931" s="1">
        <f t="shared" si="234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30"/>
        <v>46015</v>
      </c>
      <c r="C2932" s="1">
        <f t="shared" si="231"/>
        <v>3881</v>
      </c>
      <c r="D2932" s="1">
        <f t="shared" si="232"/>
        <v>746</v>
      </c>
      <c r="E2932" s="1">
        <f t="shared" si="233"/>
        <v>1725</v>
      </c>
      <c r="F2932" s="1">
        <f t="shared" si="234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30"/>
        <v>46016</v>
      </c>
      <c r="C2933" s="1">
        <f t="shared" si="231"/>
        <v>3903</v>
      </c>
      <c r="D2933" s="1">
        <f t="shared" si="232"/>
        <v>746</v>
      </c>
      <c r="E2933" s="1">
        <f t="shared" si="233"/>
        <v>1730</v>
      </c>
      <c r="F2933" s="1">
        <f t="shared" si="234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30"/>
        <v>46017</v>
      </c>
      <c r="C2934" s="1">
        <f t="shared" si="231"/>
        <v>3919</v>
      </c>
      <c r="D2934" s="1">
        <f t="shared" si="232"/>
        <v>746</v>
      </c>
      <c r="E2934" s="1">
        <f t="shared" si="233"/>
        <v>1730</v>
      </c>
      <c r="F2934" s="1">
        <f t="shared" si="234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30"/>
        <v>46020</v>
      </c>
      <c r="C2935" s="1">
        <f t="shared" si="231"/>
        <v>3929</v>
      </c>
      <c r="D2935" s="1">
        <f t="shared" si="232"/>
        <v>746</v>
      </c>
      <c r="E2935" s="1">
        <f t="shared" si="233"/>
        <v>1730</v>
      </c>
      <c r="F2935" s="1">
        <f t="shared" si="234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30"/>
        <v>46021</v>
      </c>
      <c r="C2936" s="1">
        <f t="shared" si="231"/>
        <v>3932</v>
      </c>
      <c r="D2936" s="1">
        <f t="shared" si="232"/>
        <v>746</v>
      </c>
      <c r="E2936" s="1">
        <f t="shared" si="233"/>
        <v>1730</v>
      </c>
      <c r="F2936" s="1">
        <f t="shared" si="234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30"/>
        <v>46022</v>
      </c>
      <c r="C2937" s="1">
        <f t="shared" si="231"/>
        <v>3930</v>
      </c>
      <c r="D2937" s="1">
        <f t="shared" si="232"/>
        <v>746</v>
      </c>
      <c r="E2937" s="1">
        <f t="shared" si="233"/>
        <v>1730</v>
      </c>
      <c r="F2937" s="1">
        <f t="shared" si="234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30"/>
        <v>46024</v>
      </c>
      <c r="C2938" s="1">
        <f t="shared" si="231"/>
        <v>3930</v>
      </c>
      <c r="D2938" s="1">
        <f t="shared" si="232"/>
        <v>746</v>
      </c>
      <c r="E2938" s="1">
        <f t="shared" si="233"/>
        <v>1730</v>
      </c>
      <c r="F2938" s="1">
        <f t="shared" si="234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30"/>
        <v>46026</v>
      </c>
      <c r="C2939" s="1">
        <f t="shared" si="231"/>
        <v>3930</v>
      </c>
      <c r="D2939" s="1">
        <f t="shared" si="232"/>
        <v>746</v>
      </c>
      <c r="E2939" s="1">
        <f t="shared" si="233"/>
        <v>1730</v>
      </c>
      <c r="F2939" s="1">
        <f t="shared" si="234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30"/>
        <v>46027</v>
      </c>
      <c r="C2940" s="1">
        <f t="shared" si="231"/>
        <v>3941</v>
      </c>
      <c r="D2940" s="1">
        <f t="shared" si="232"/>
        <v>746</v>
      </c>
      <c r="E2940" s="1">
        <f t="shared" si="233"/>
        <v>1730</v>
      </c>
      <c r="F2940" s="1">
        <f t="shared" si="234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30"/>
        <v>46028</v>
      </c>
      <c r="C2941" s="1">
        <f t="shared" si="231"/>
        <v>3957</v>
      </c>
      <c r="D2941" s="1">
        <f t="shared" si="232"/>
        <v>746</v>
      </c>
      <c r="E2941" s="1">
        <f t="shared" si="233"/>
        <v>1735</v>
      </c>
      <c r="F2941" s="1">
        <f t="shared" si="234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30"/>
        <v>46029</v>
      </c>
      <c r="C2942" s="1">
        <f t="shared" si="231"/>
        <v>3976</v>
      </c>
      <c r="D2942" s="1">
        <f t="shared" si="232"/>
        <v>746</v>
      </c>
      <c r="E2942" s="1">
        <f t="shared" si="233"/>
        <v>1745</v>
      </c>
      <c r="F2942" s="1">
        <f t="shared" si="234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30"/>
        <v>46030</v>
      </c>
      <c r="C2943" s="1">
        <f t="shared" si="231"/>
        <v>3980</v>
      </c>
      <c r="D2943" s="1">
        <f t="shared" si="232"/>
        <v>746</v>
      </c>
      <c r="E2943" s="1">
        <f t="shared" si="233"/>
        <v>1750</v>
      </c>
      <c r="F2943" s="1">
        <f t="shared" si="234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30"/>
        <v>46031</v>
      </c>
      <c r="C2944" s="1">
        <f t="shared" si="231"/>
        <v>3977</v>
      </c>
      <c r="D2944" s="1">
        <f t="shared" si="232"/>
        <v>731</v>
      </c>
      <c r="E2944" s="1">
        <f t="shared" si="233"/>
        <v>1755</v>
      </c>
      <c r="F2944" s="1">
        <f t="shared" si="234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30"/>
        <v>46034</v>
      </c>
      <c r="C2945" s="1">
        <f t="shared" si="231"/>
        <v>4000</v>
      </c>
      <c r="D2945" s="1">
        <f t="shared" si="232"/>
        <v>731</v>
      </c>
      <c r="E2945" s="1">
        <f t="shared" si="233"/>
        <v>1755</v>
      </c>
      <c r="F2945" s="1">
        <f t="shared" si="234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30"/>
        <v>46035</v>
      </c>
      <c r="C2946" s="1">
        <f t="shared" si="231"/>
        <v>4007</v>
      </c>
      <c r="D2946" s="1">
        <f t="shared" si="232"/>
        <v>731</v>
      </c>
      <c r="E2946" s="1">
        <f t="shared" si="233"/>
        <v>1755</v>
      </c>
      <c r="F2946" s="1">
        <f t="shared" si="234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30"/>
        <v>46036</v>
      </c>
      <c r="C2947" s="1">
        <f t="shared" si="231"/>
        <v>4034</v>
      </c>
      <c r="D2947" s="1">
        <f t="shared" si="232"/>
        <v>731</v>
      </c>
      <c r="E2947" s="1">
        <f t="shared" si="233"/>
        <v>1755</v>
      </c>
      <c r="F2947" s="1">
        <f t="shared" si="234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30"/>
        <v>46037</v>
      </c>
      <c r="C2948" s="1">
        <f t="shared" si="231"/>
        <v>4030</v>
      </c>
      <c r="D2948" s="1">
        <f t="shared" si="232"/>
        <v>731</v>
      </c>
      <c r="E2948" s="1">
        <f t="shared" si="233"/>
        <v>1755</v>
      </c>
      <c r="F2948" s="1">
        <f t="shared" si="234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30"/>
        <v>46038</v>
      </c>
      <c r="C2949" s="1">
        <f t="shared" si="231"/>
        <v>4013</v>
      </c>
      <c r="D2949" s="1">
        <f t="shared" si="232"/>
        <v>711</v>
      </c>
      <c r="E2949" s="1">
        <f t="shared" si="233"/>
        <v>1765</v>
      </c>
      <c r="F2949" s="1">
        <f t="shared" si="234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5">L2950</f>
        <v>46041</v>
      </c>
      <c r="C2950" s="1">
        <f t="shared" si="231"/>
        <v>4010</v>
      </c>
      <c r="D2950" s="1">
        <f t="shared" si="232"/>
        <v>711</v>
      </c>
      <c r="E2950" s="1">
        <f t="shared" si="233"/>
        <v>1765</v>
      </c>
      <c r="F2950" s="1">
        <f t="shared" si="234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5"/>
        <v>46042</v>
      </c>
      <c r="C2951" s="1">
        <f t="shared" ref="C2951:C3014" si="236">IF(M2951&lt;&gt;0,M2951,C2950)</f>
        <v>4001</v>
      </c>
      <c r="D2951" s="1">
        <f t="shared" ref="D2951:D3014" si="237">IF(N2951&lt;&gt;0,N2951,D2950)</f>
        <v>711</v>
      </c>
      <c r="E2951" s="1">
        <f t="shared" ref="E2951:E3014" si="238">IF(O2951&lt;&gt;0,O2951,E2950)</f>
        <v>1765</v>
      </c>
      <c r="F2951" s="1">
        <f t="shared" si="234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5"/>
        <v>46043</v>
      </c>
      <c r="C2952" s="1">
        <f t="shared" si="236"/>
        <v>4009</v>
      </c>
      <c r="D2952" s="1">
        <f t="shared" si="237"/>
        <v>711</v>
      </c>
      <c r="E2952" s="1">
        <f t="shared" si="238"/>
        <v>1760</v>
      </c>
      <c r="F2952" s="1">
        <f t="shared" si="234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5"/>
        <v>46044</v>
      </c>
      <c r="C2953" s="1">
        <f t="shared" si="236"/>
        <v>4032</v>
      </c>
      <c r="D2953" s="1">
        <f t="shared" si="237"/>
        <v>711</v>
      </c>
      <c r="E2953" s="1">
        <f t="shared" si="238"/>
        <v>1755</v>
      </c>
      <c r="F2953" s="1">
        <f t="shared" si="234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5"/>
        <v>46045</v>
      </c>
      <c r="C2954" s="1">
        <f t="shared" si="236"/>
        <v>4074</v>
      </c>
      <c r="D2954" s="1">
        <f t="shared" si="237"/>
        <v>706</v>
      </c>
      <c r="E2954" s="1">
        <f t="shared" si="238"/>
        <v>1755</v>
      </c>
      <c r="F2954" s="1">
        <f t="shared" si="234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5"/>
        <v>46048</v>
      </c>
      <c r="C2955" s="1">
        <f t="shared" si="236"/>
        <v>4098</v>
      </c>
      <c r="D2955" s="1">
        <f t="shared" si="237"/>
        <v>706</v>
      </c>
      <c r="E2955" s="1">
        <f t="shared" si="238"/>
        <v>1755</v>
      </c>
      <c r="F2955" s="1">
        <f t="shared" si="234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5"/>
        <v>46049</v>
      </c>
      <c r="C2956" s="1">
        <f t="shared" si="236"/>
        <v>4085</v>
      </c>
      <c r="D2956" s="1">
        <f t="shared" si="237"/>
        <v>701</v>
      </c>
      <c r="E2956" s="1">
        <f t="shared" si="238"/>
        <v>1760</v>
      </c>
      <c r="F2956" s="1">
        <f t="shared" si="234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5"/>
        <v>46050</v>
      </c>
      <c r="C2957" s="1">
        <f t="shared" si="236"/>
        <v>4092</v>
      </c>
      <c r="D2957" s="1">
        <f t="shared" si="237"/>
        <v>701</v>
      </c>
      <c r="E2957" s="1">
        <f t="shared" si="238"/>
        <v>1760</v>
      </c>
      <c r="F2957" s="1">
        <f t="shared" si="234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5"/>
        <v>46051</v>
      </c>
      <c r="C2958" s="1">
        <f t="shared" si="236"/>
        <v>4106</v>
      </c>
      <c r="D2958" s="1">
        <f t="shared" si="237"/>
        <v>701</v>
      </c>
      <c r="E2958" s="1">
        <f t="shared" si="238"/>
        <v>1760</v>
      </c>
      <c r="F2958" s="1">
        <f t="shared" si="234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5"/>
        <v>46052</v>
      </c>
      <c r="C2959" s="1">
        <f t="shared" si="236"/>
        <v>4115</v>
      </c>
      <c r="D2959" s="1">
        <f t="shared" si="237"/>
        <v>701</v>
      </c>
      <c r="E2959" s="1">
        <f t="shared" si="238"/>
        <v>1775</v>
      </c>
      <c r="F2959" s="1">
        <f t="shared" si="234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5"/>
        <v>46055</v>
      </c>
      <c r="C2960" s="1">
        <f t="shared" si="236"/>
        <v>4092</v>
      </c>
      <c r="D2960" s="1">
        <f t="shared" si="237"/>
        <v>701</v>
      </c>
      <c r="E2960" s="1">
        <f t="shared" si="238"/>
        <v>1780</v>
      </c>
      <c r="F2960" s="1">
        <f t="shared" si="234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5"/>
        <v>46056</v>
      </c>
      <c r="C2961" s="1">
        <f t="shared" si="236"/>
        <v>4064</v>
      </c>
      <c r="D2961" s="1">
        <f t="shared" si="237"/>
        <v>701</v>
      </c>
      <c r="E2961" s="1">
        <f t="shared" si="238"/>
        <v>1780</v>
      </c>
      <c r="F2961" s="1">
        <f t="shared" si="234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5"/>
        <v>46057</v>
      </c>
      <c r="C2962" s="1">
        <f t="shared" si="236"/>
        <v>4075</v>
      </c>
      <c r="D2962" s="1">
        <f t="shared" si="237"/>
        <v>699</v>
      </c>
      <c r="E2962" s="1">
        <f t="shared" si="238"/>
        <v>1780</v>
      </c>
      <c r="F2962" s="1">
        <f t="shared" si="234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5"/>
        <v>46058</v>
      </c>
      <c r="C2963" s="1">
        <f t="shared" si="236"/>
        <v>4065</v>
      </c>
      <c r="D2963" s="1">
        <f t="shared" si="237"/>
        <v>699</v>
      </c>
      <c r="E2963" s="1">
        <f t="shared" si="238"/>
        <v>1780</v>
      </c>
      <c r="F2963" s="1">
        <f t="shared" si="234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5"/>
        <v>46059</v>
      </c>
      <c r="C2964" s="1">
        <f t="shared" si="236"/>
        <v>4053</v>
      </c>
      <c r="D2964" s="1">
        <f t="shared" si="237"/>
        <v>696</v>
      </c>
      <c r="E2964" s="1">
        <f t="shared" si="238"/>
        <v>1780</v>
      </c>
      <c r="F2964" s="1">
        <f t="shared" si="234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5"/>
        <v>46062</v>
      </c>
      <c r="C2965" s="1">
        <f t="shared" si="236"/>
        <v>4052</v>
      </c>
      <c r="D2965" s="1">
        <f t="shared" si="237"/>
        <v>696</v>
      </c>
      <c r="E2965" s="1">
        <f t="shared" si="238"/>
        <v>1780</v>
      </c>
      <c r="F2965" s="1">
        <f t="shared" si="234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5"/>
        <v>46063</v>
      </c>
      <c r="C2966" s="1">
        <f t="shared" si="236"/>
        <v>4050</v>
      </c>
      <c r="D2966" s="1">
        <f t="shared" si="237"/>
        <v>696</v>
      </c>
      <c r="E2966" s="1">
        <f t="shared" si="238"/>
        <v>1790</v>
      </c>
      <c r="F2966" s="1">
        <f t="shared" si="234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5"/>
        <v>46064</v>
      </c>
      <c r="C2967" s="1">
        <f t="shared" si="236"/>
        <v>4052</v>
      </c>
      <c r="D2967" s="1">
        <f t="shared" si="237"/>
        <v>696</v>
      </c>
      <c r="E2967" s="1">
        <f t="shared" si="238"/>
        <v>1790</v>
      </c>
      <c r="F2967" s="1">
        <f t="shared" si="234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5"/>
        <v>46065</v>
      </c>
      <c r="C2968" s="1">
        <f t="shared" si="236"/>
        <v>4053</v>
      </c>
      <c r="D2968" s="1">
        <f t="shared" si="237"/>
        <v>706</v>
      </c>
      <c r="E2968" s="1">
        <f t="shared" si="238"/>
        <v>1790</v>
      </c>
      <c r="F2968" s="1">
        <f t="shared" si="234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5"/>
        <v>46066</v>
      </c>
      <c r="C2969" s="1">
        <f t="shared" si="236"/>
        <v>4040</v>
      </c>
      <c r="D2969" s="1">
        <f t="shared" si="237"/>
        <v>706</v>
      </c>
      <c r="E2969" s="1">
        <f t="shared" si="238"/>
        <v>1800</v>
      </c>
      <c r="F2969" s="1">
        <f t="shared" si="234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5"/>
        <v>46067</v>
      </c>
      <c r="C2970" s="1">
        <f t="shared" si="236"/>
        <v>4035</v>
      </c>
      <c r="D2970" s="1">
        <f t="shared" si="237"/>
        <v>706</v>
      </c>
      <c r="E2970" s="1">
        <f t="shared" si="238"/>
        <v>1800</v>
      </c>
      <c r="F2970" s="1">
        <f t="shared" si="234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5"/>
        <v>46072</v>
      </c>
      <c r="C2971" s="1">
        <f t="shared" si="236"/>
        <v>4035</v>
      </c>
      <c r="D2971" s="1">
        <f t="shared" si="237"/>
        <v>706</v>
      </c>
      <c r="E2971" s="1">
        <f t="shared" si="238"/>
        <v>1800</v>
      </c>
      <c r="F2971" s="1">
        <f t="shared" si="234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5"/>
        <v>46073</v>
      </c>
      <c r="C2972" s="1">
        <f t="shared" si="236"/>
        <v>4035</v>
      </c>
      <c r="D2972" s="1">
        <f t="shared" si="237"/>
        <v>706</v>
      </c>
      <c r="E2972" s="1">
        <f t="shared" si="238"/>
        <v>1800</v>
      </c>
      <c r="F2972" s="1">
        <f t="shared" si="234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5"/>
        <v>46076</v>
      </c>
      <c r="C2973" s="1">
        <f t="shared" si="236"/>
        <v>4035</v>
      </c>
      <c r="D2973" s="1">
        <f t="shared" si="237"/>
        <v>706</v>
      </c>
      <c r="E2973" s="1">
        <f t="shared" si="238"/>
        <v>1800</v>
      </c>
      <c r="F2973" s="1">
        <f t="shared" si="234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5"/>
        <v>46077</v>
      </c>
      <c r="C2974" s="1">
        <f t="shared" si="236"/>
        <v>4060</v>
      </c>
      <c r="D2974" s="1">
        <f t="shared" si="237"/>
        <v>706</v>
      </c>
      <c r="E2974" s="1">
        <f t="shared" si="238"/>
        <v>1800</v>
      </c>
      <c r="F2974" s="1">
        <f t="shared" si="234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5"/>
        <v>46078</v>
      </c>
      <c r="C2975" s="1">
        <f t="shared" si="236"/>
        <v>4063</v>
      </c>
      <c r="D2975" s="1">
        <f t="shared" si="237"/>
        <v>706</v>
      </c>
      <c r="E2975" s="1">
        <f t="shared" si="238"/>
        <v>1815</v>
      </c>
      <c r="F2975" s="1">
        <f t="shared" si="234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5"/>
        <v>46079</v>
      </c>
      <c r="C2976" s="1">
        <f t="shared" si="236"/>
        <v>4053</v>
      </c>
      <c r="D2976" s="1">
        <f t="shared" si="237"/>
        <v>706</v>
      </c>
      <c r="E2976" s="1">
        <f t="shared" si="238"/>
        <v>1820</v>
      </c>
      <c r="F2976" s="1">
        <f t="shared" si="234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5"/>
        <v>46080</v>
      </c>
      <c r="C2977" s="1">
        <f t="shared" si="236"/>
        <v>4027</v>
      </c>
      <c r="D2977" s="1">
        <f t="shared" si="237"/>
        <v>711</v>
      </c>
      <c r="E2977" s="1">
        <f t="shared" si="238"/>
        <v>1825</v>
      </c>
      <c r="F2977" s="1">
        <f t="shared" si="234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5"/>
        <v>46081</v>
      </c>
      <c r="C2978" s="1">
        <f t="shared" si="236"/>
        <v>4027</v>
      </c>
      <c r="D2978" s="1">
        <f t="shared" si="237"/>
        <v>711</v>
      </c>
      <c r="E2978" s="1">
        <f t="shared" si="238"/>
        <v>1830</v>
      </c>
      <c r="F2978" s="1">
        <f t="shared" si="234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5"/>
        <v>46083</v>
      </c>
      <c r="C2979" s="1">
        <f t="shared" si="236"/>
        <v>4121</v>
      </c>
      <c r="D2979" s="1">
        <f t="shared" si="237"/>
        <v>751</v>
      </c>
      <c r="E2979" s="1">
        <f t="shared" si="238"/>
        <v>1830</v>
      </c>
      <c r="F2979" s="1">
        <f t="shared" si="234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5"/>
        <v>46084</v>
      </c>
      <c r="C2980" s="1">
        <f t="shared" si="236"/>
        <v>4268</v>
      </c>
      <c r="D2980" s="1">
        <f t="shared" si="237"/>
        <v>781</v>
      </c>
      <c r="E2980" s="1">
        <f t="shared" si="238"/>
        <v>1850</v>
      </c>
      <c r="F2980" s="1">
        <f t="shared" si="234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5"/>
        <v>46085</v>
      </c>
      <c r="C2981" s="1">
        <f t="shared" si="236"/>
        <v>4343</v>
      </c>
      <c r="D2981" s="1">
        <f t="shared" si="237"/>
        <v>801</v>
      </c>
      <c r="E2981" s="1">
        <f t="shared" si="238"/>
        <v>1855</v>
      </c>
      <c r="F2981" s="1">
        <f t="shared" si="234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5"/>
        <v>46086</v>
      </c>
      <c r="C2982" s="1">
        <f t="shared" si="236"/>
        <v>4431</v>
      </c>
      <c r="D2982" s="1">
        <f t="shared" si="237"/>
        <v>851</v>
      </c>
      <c r="E2982" s="1">
        <f t="shared" si="238"/>
        <v>1855</v>
      </c>
      <c r="F2982" s="1">
        <f t="shared" si="234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5"/>
        <v>46087</v>
      </c>
      <c r="C2983" s="1">
        <f t="shared" si="236"/>
        <v>4512</v>
      </c>
      <c r="D2983" s="1">
        <f t="shared" si="237"/>
        <v>871</v>
      </c>
      <c r="E2983" s="1">
        <f t="shared" si="238"/>
        <v>1855</v>
      </c>
      <c r="F2983" s="1">
        <f t="shared" si="234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5"/>
        <v>46090</v>
      </c>
      <c r="C2984" s="1">
        <f t="shared" si="236"/>
        <v>5094</v>
      </c>
      <c r="D2984" s="1">
        <f t="shared" si="237"/>
        <v>951</v>
      </c>
      <c r="E2984" s="1">
        <f t="shared" si="238"/>
        <v>1855</v>
      </c>
      <c r="F2984" s="1">
        <f t="shared" si="234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5"/>
        <v>46091</v>
      </c>
      <c r="C2985" s="1">
        <f t="shared" si="236"/>
        <v>4927</v>
      </c>
      <c r="D2985" s="1">
        <f t="shared" si="237"/>
        <v>971</v>
      </c>
      <c r="E2985" s="1">
        <f t="shared" si="238"/>
        <v>1875</v>
      </c>
      <c r="F2985" s="1">
        <f t="shared" si="234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5"/>
        <v>46092</v>
      </c>
      <c r="C2986" s="1">
        <f t="shared" si="236"/>
        <v>4861</v>
      </c>
      <c r="D2986" s="1">
        <f t="shared" si="237"/>
        <v>971</v>
      </c>
      <c r="E2986" s="1">
        <f t="shared" si="238"/>
        <v>1880</v>
      </c>
      <c r="F2986" s="1">
        <f t="shared" si="234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5"/>
        <v>46093</v>
      </c>
      <c r="C2987" s="1">
        <f t="shared" si="236"/>
        <v>5051</v>
      </c>
      <c r="D2987" s="1">
        <f t="shared" si="237"/>
        <v>1001</v>
      </c>
      <c r="E2987" s="1">
        <f t="shared" si="238"/>
        <v>1885</v>
      </c>
      <c r="F2987" s="1">
        <f t="shared" si="234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5"/>
        <v>46094</v>
      </c>
      <c r="C2988" s="1">
        <f t="shared" si="236"/>
        <v>5074</v>
      </c>
      <c r="D2988" s="1">
        <f t="shared" si="237"/>
        <v>1151</v>
      </c>
      <c r="E2988" s="1">
        <f t="shared" si="238"/>
        <v>1890</v>
      </c>
      <c r="F2988" s="1">
        <f t="shared" si="234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5"/>
        <v>46097</v>
      </c>
      <c r="C2989" s="1">
        <f t="shared" si="236"/>
        <v>5110</v>
      </c>
      <c r="D2989" s="1">
        <f t="shared" si="237"/>
        <v>1201</v>
      </c>
      <c r="E2989" s="1">
        <f t="shared" si="238"/>
        <v>1890</v>
      </c>
      <c r="F2989" s="1">
        <f t="shared" si="234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5"/>
        <v>46098</v>
      </c>
      <c r="C2990" s="1">
        <f t="shared" si="236"/>
        <v>5092</v>
      </c>
      <c r="D2990" s="1">
        <f t="shared" si="237"/>
        <v>1251</v>
      </c>
      <c r="E2990" s="1">
        <f t="shared" si="238"/>
        <v>1890</v>
      </c>
      <c r="F2990" s="1">
        <f t="shared" si="234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5"/>
        <v>46099</v>
      </c>
      <c r="C2991" s="1">
        <f t="shared" si="236"/>
        <v>5087</v>
      </c>
      <c r="D2991" s="1">
        <f t="shared" si="237"/>
        <v>1281</v>
      </c>
      <c r="E2991" s="1">
        <f t="shared" si="238"/>
        <v>1890</v>
      </c>
      <c r="F2991" s="1">
        <f t="shared" si="234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5"/>
        <v>46100</v>
      </c>
      <c r="C2992" s="1">
        <f t="shared" si="236"/>
        <v>5136</v>
      </c>
      <c r="D2992" s="1">
        <f t="shared" si="237"/>
        <v>1351</v>
      </c>
      <c r="E2992" s="1">
        <f t="shared" si="238"/>
        <v>1885</v>
      </c>
      <c r="F2992" s="1">
        <f t="shared" si="234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5"/>
        <v>46101</v>
      </c>
      <c r="C2993" s="1">
        <f t="shared" si="236"/>
        <v>5100</v>
      </c>
      <c r="D2993" s="1">
        <f t="shared" si="237"/>
        <v>1426</v>
      </c>
      <c r="E2993" s="1">
        <f t="shared" si="238"/>
        <v>1885</v>
      </c>
      <c r="F2993" s="1">
        <f t="shared" si="234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5"/>
        <v>46104</v>
      </c>
      <c r="C2994" s="1">
        <f t="shared" si="236"/>
        <v>5273</v>
      </c>
      <c r="D2994" s="1">
        <f t="shared" si="237"/>
        <v>1451</v>
      </c>
      <c r="E2994" s="1">
        <f t="shared" si="238"/>
        <v>1880</v>
      </c>
      <c r="F2994" s="1">
        <f t="shared" ref="F2994:F3053" si="239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5"/>
        <v>46105</v>
      </c>
      <c r="C2995" s="1">
        <f t="shared" si="236"/>
        <v>5301</v>
      </c>
      <c r="D2995" s="1">
        <f t="shared" si="237"/>
        <v>1451</v>
      </c>
      <c r="E2995" s="1">
        <f t="shared" si="238"/>
        <v>1880</v>
      </c>
      <c r="F2995" s="1">
        <f t="shared" si="239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5"/>
        <v>46106</v>
      </c>
      <c r="C2996" s="1">
        <f t="shared" si="236"/>
        <v>5204</v>
      </c>
      <c r="D2996" s="1">
        <f t="shared" si="237"/>
        <v>1401</v>
      </c>
      <c r="E2996" s="1">
        <f t="shared" si="238"/>
        <v>1880</v>
      </c>
      <c r="F2996" s="1">
        <f t="shared" si="239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5"/>
        <v>46107</v>
      </c>
      <c r="C2997" s="1">
        <f t="shared" si="236"/>
        <v>5223</v>
      </c>
      <c r="D2997" s="1">
        <f t="shared" si="237"/>
        <v>1401</v>
      </c>
      <c r="E2997" s="1">
        <f t="shared" si="238"/>
        <v>1880</v>
      </c>
      <c r="F2997" s="1">
        <f t="shared" si="239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5"/>
        <v>46108</v>
      </c>
      <c r="C2998" s="1">
        <f t="shared" si="236"/>
        <v>5278</v>
      </c>
      <c r="D2998" s="1">
        <f t="shared" si="237"/>
        <v>1441</v>
      </c>
      <c r="E2998" s="1">
        <f t="shared" si="238"/>
        <v>1875</v>
      </c>
      <c r="F2998" s="1">
        <f t="shared" si="239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5"/>
        <v>46111</v>
      </c>
      <c r="C2999" s="1">
        <f t="shared" si="236"/>
        <v>5390</v>
      </c>
      <c r="D2999" s="1">
        <f t="shared" si="237"/>
        <v>1501</v>
      </c>
      <c r="E2999" s="1">
        <f t="shared" si="238"/>
        <v>1880</v>
      </c>
      <c r="F2999" s="1">
        <f t="shared" si="239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5"/>
        <v>46112</v>
      </c>
      <c r="C3000" s="1">
        <f t="shared" si="236"/>
        <v>5386</v>
      </c>
      <c r="D3000" s="1">
        <f t="shared" si="237"/>
        <v>1501</v>
      </c>
      <c r="E3000" s="1">
        <f t="shared" si="238"/>
        <v>1880</v>
      </c>
      <c r="F3000" s="1">
        <f t="shared" si="239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5"/>
        <v>46113</v>
      </c>
      <c r="C3001" s="1">
        <f t="shared" si="236"/>
        <v>5338</v>
      </c>
      <c r="D3001" s="1">
        <f t="shared" si="237"/>
        <v>1441</v>
      </c>
      <c r="E3001" s="1">
        <f t="shared" si="238"/>
        <v>1880</v>
      </c>
      <c r="F3001" s="1">
        <f t="shared" si="239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5"/>
        <v>46114</v>
      </c>
      <c r="C3002" s="1">
        <f t="shared" si="236"/>
        <v>5365</v>
      </c>
      <c r="D3002" s="1">
        <f t="shared" si="237"/>
        <v>1451</v>
      </c>
      <c r="E3002" s="1">
        <f t="shared" si="238"/>
        <v>1880</v>
      </c>
      <c r="F3002" s="1">
        <f t="shared" si="239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5"/>
        <v>46115</v>
      </c>
      <c r="C3003" s="1">
        <f t="shared" si="236"/>
        <v>5411</v>
      </c>
      <c r="D3003" s="1">
        <f t="shared" si="237"/>
        <v>1451</v>
      </c>
      <c r="E3003" s="1">
        <f t="shared" si="238"/>
        <v>1880</v>
      </c>
      <c r="F3003" s="1">
        <f t="shared" si="239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5"/>
        <v>46118</v>
      </c>
      <c r="C3004" s="1">
        <f t="shared" si="236"/>
        <v>5411</v>
      </c>
      <c r="D3004" s="1">
        <f t="shared" si="237"/>
        <v>1451</v>
      </c>
      <c r="E3004" s="1">
        <f t="shared" si="238"/>
        <v>1880</v>
      </c>
      <c r="F3004" s="1">
        <f t="shared" si="239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5"/>
        <v>46119</v>
      </c>
      <c r="C3005" s="1">
        <f t="shared" si="236"/>
        <v>5515</v>
      </c>
      <c r="D3005" s="1">
        <f t="shared" si="237"/>
        <v>1451</v>
      </c>
      <c r="E3005" s="1">
        <f t="shared" si="238"/>
        <v>1880</v>
      </c>
      <c r="F3005" s="1">
        <f t="shared" si="239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5"/>
        <v>46120</v>
      </c>
      <c r="C3006" s="1">
        <f t="shared" si="236"/>
        <v>5403</v>
      </c>
      <c r="D3006" s="1">
        <f t="shared" si="237"/>
        <v>1431</v>
      </c>
      <c r="E3006" s="1">
        <f t="shared" si="238"/>
        <v>1880</v>
      </c>
      <c r="F3006" s="1">
        <f t="shared" si="239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5"/>
        <v>46121</v>
      </c>
      <c r="C3007" s="1">
        <f t="shared" si="236"/>
        <v>5354</v>
      </c>
      <c r="D3007" s="1">
        <f t="shared" si="237"/>
        <v>1431</v>
      </c>
      <c r="E3007" s="1">
        <f t="shared" si="238"/>
        <v>1885</v>
      </c>
      <c r="F3007" s="1">
        <f t="shared" si="239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5"/>
        <v>46122</v>
      </c>
      <c r="C3008" s="1">
        <f t="shared" si="236"/>
        <v>5303</v>
      </c>
      <c r="D3008" s="1">
        <f t="shared" si="237"/>
        <v>1431</v>
      </c>
      <c r="E3008" s="1">
        <f t="shared" si="238"/>
        <v>1885</v>
      </c>
      <c r="F3008" s="1">
        <f t="shared" si="239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5"/>
        <v>46125</v>
      </c>
      <c r="C3009" s="1">
        <f t="shared" si="236"/>
        <v>5305</v>
      </c>
      <c r="D3009" s="1">
        <f t="shared" si="237"/>
        <v>1431</v>
      </c>
      <c r="E3009" s="1">
        <f t="shared" si="238"/>
        <v>1885</v>
      </c>
      <c r="F3009" s="1">
        <f t="shared" si="239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5"/>
        <v>46126</v>
      </c>
      <c r="C3010" s="1">
        <f t="shared" si="236"/>
        <v>5306</v>
      </c>
      <c r="D3010" s="1">
        <f t="shared" si="237"/>
        <v>1431</v>
      </c>
      <c r="E3010" s="1">
        <f t="shared" si="238"/>
        <v>1885</v>
      </c>
      <c r="F3010" s="1">
        <f t="shared" si="239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5"/>
        <v>46127</v>
      </c>
      <c r="C3011" s="1">
        <f t="shared" si="236"/>
        <v>5304</v>
      </c>
      <c r="D3011" s="1">
        <f t="shared" si="237"/>
        <v>1451</v>
      </c>
      <c r="E3011" s="1">
        <f t="shared" si="238"/>
        <v>1885</v>
      </c>
      <c r="F3011" s="1">
        <f t="shared" si="239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5"/>
        <v>46128</v>
      </c>
      <c r="C3012" s="1">
        <f t="shared" si="236"/>
        <v>5311</v>
      </c>
      <c r="D3012" s="1">
        <f t="shared" si="237"/>
        <v>1401</v>
      </c>
      <c r="E3012" s="1">
        <f t="shared" si="238"/>
        <v>1885</v>
      </c>
      <c r="F3012" s="1">
        <f t="shared" si="239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5"/>
        <v>46129</v>
      </c>
      <c r="C3013" s="1">
        <f t="shared" si="236"/>
        <v>5296</v>
      </c>
      <c r="D3013" s="1">
        <f t="shared" si="237"/>
        <v>1401</v>
      </c>
      <c r="E3013" s="1">
        <f t="shared" si="238"/>
        <v>1890</v>
      </c>
      <c r="F3013" s="1">
        <f t="shared" si="239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40">L3014</f>
        <v>46132</v>
      </c>
      <c r="C3014" s="1">
        <f t="shared" si="236"/>
        <v>5261</v>
      </c>
      <c r="D3014" s="1">
        <f t="shared" si="237"/>
        <v>1371</v>
      </c>
      <c r="E3014" s="1">
        <f t="shared" si="238"/>
        <v>1890</v>
      </c>
      <c r="F3014" s="1">
        <f t="shared" si="239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40"/>
        <v>46133</v>
      </c>
      <c r="C3015" s="1">
        <f t="shared" ref="C3015:C3053" si="241">IF(M3015&lt;&gt;0,M3015,C3014)</f>
        <v>5227</v>
      </c>
      <c r="D3015" s="1">
        <f t="shared" ref="D3015:D3053" si="242">IF(N3015&lt;&gt;0,N3015,D3014)</f>
        <v>1371</v>
      </c>
      <c r="E3015" s="1">
        <f t="shared" ref="E3015:E3053" si="243">IF(O3015&lt;&gt;0,O3015,E3014)</f>
        <v>1890</v>
      </c>
      <c r="F3015" s="1">
        <f t="shared" si="239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40"/>
        <v>46134</v>
      </c>
      <c r="C3016" s="1">
        <f t="shared" si="241"/>
        <v>5203</v>
      </c>
      <c r="D3016" s="1">
        <f t="shared" si="242"/>
        <v>1381</v>
      </c>
      <c r="E3016" s="1">
        <f t="shared" si="243"/>
        <v>1890</v>
      </c>
      <c r="F3016" s="1">
        <f t="shared" si="239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40"/>
        <v>46135</v>
      </c>
      <c r="C3017" s="1">
        <f t="shared" si="241"/>
        <v>5213</v>
      </c>
      <c r="D3017" s="1">
        <f t="shared" si="242"/>
        <v>1381</v>
      </c>
      <c r="E3017" s="1">
        <f t="shared" si="243"/>
        <v>1895</v>
      </c>
      <c r="F3017" s="1">
        <f t="shared" si="239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40"/>
        <v>46136</v>
      </c>
      <c r="C3018" s="1">
        <f t="shared" si="241"/>
        <v>5212</v>
      </c>
      <c r="D3018" s="1">
        <f t="shared" si="242"/>
        <v>1381</v>
      </c>
      <c r="E3018" s="1">
        <f t="shared" si="243"/>
        <v>1895</v>
      </c>
      <c r="F3018" s="1">
        <f t="shared" si="239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40"/>
        <v>46139</v>
      </c>
      <c r="C3019" s="1">
        <f t="shared" si="241"/>
        <v>5218</v>
      </c>
      <c r="D3019" s="1">
        <f t="shared" si="242"/>
        <v>1361</v>
      </c>
      <c r="E3019" s="1">
        <f t="shared" si="243"/>
        <v>1895</v>
      </c>
      <c r="F3019" s="1">
        <f t="shared" si="239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40"/>
        <v>46140</v>
      </c>
      <c r="C3020" s="1">
        <f t="shared" si="241"/>
        <v>5268</v>
      </c>
      <c r="D3020" s="1">
        <f t="shared" si="242"/>
        <v>1351</v>
      </c>
      <c r="E3020" s="1">
        <f t="shared" si="243"/>
        <v>1895</v>
      </c>
      <c r="F3020" s="1">
        <f t="shared" si="239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40"/>
        <v>46141</v>
      </c>
      <c r="C3021" s="1">
        <f t="shared" si="241"/>
        <v>5299</v>
      </c>
      <c r="D3021" s="1">
        <f t="shared" si="242"/>
        <v>1321</v>
      </c>
      <c r="E3021" s="1">
        <f t="shared" si="243"/>
        <v>1895</v>
      </c>
      <c r="F3021" s="1">
        <f t="shared" si="239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40"/>
        <v>46142</v>
      </c>
      <c r="C3022" s="1">
        <f t="shared" si="241"/>
        <v>5317</v>
      </c>
      <c r="D3022" s="1">
        <f t="shared" si="242"/>
        <v>1321</v>
      </c>
      <c r="E3022" s="1">
        <f t="shared" si="243"/>
        <v>1895</v>
      </c>
      <c r="F3022" s="1">
        <f t="shared" si="239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40"/>
        <v>46146</v>
      </c>
      <c r="C3023" s="1">
        <f t="shared" si="241"/>
        <v>5317</v>
      </c>
      <c r="D3023" s="1">
        <f t="shared" si="242"/>
        <v>1281</v>
      </c>
      <c r="E3023" s="1">
        <f t="shared" si="243"/>
        <v>1895</v>
      </c>
      <c r="F3023" s="1">
        <f t="shared" si="239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40"/>
        <v>46147</v>
      </c>
      <c r="C3024" s="1">
        <f t="shared" si="241"/>
        <v>5317</v>
      </c>
      <c r="D3024" s="1">
        <f t="shared" si="242"/>
        <v>1281</v>
      </c>
      <c r="E3024" s="1">
        <f t="shared" si="243"/>
        <v>1895</v>
      </c>
      <c r="F3024" s="1">
        <f t="shared" si="239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40"/>
        <v>46148</v>
      </c>
      <c r="C3025" s="1">
        <f t="shared" si="241"/>
        <v>5344</v>
      </c>
      <c r="D3025" s="1">
        <f t="shared" si="242"/>
        <v>1281</v>
      </c>
      <c r="E3025" s="1">
        <f t="shared" si="243"/>
        <v>1895</v>
      </c>
      <c r="F3025" s="1">
        <f t="shared" si="239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40"/>
        <v>46149</v>
      </c>
      <c r="C3026" s="1">
        <f t="shared" si="241"/>
        <v>5296</v>
      </c>
      <c r="D3026" s="1">
        <f t="shared" si="242"/>
        <v>1251</v>
      </c>
      <c r="E3026" s="1">
        <f t="shared" si="243"/>
        <v>1890</v>
      </c>
      <c r="F3026" s="1">
        <f t="shared" si="239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40"/>
        <v>46150</v>
      </c>
      <c r="C3027" s="1">
        <f t="shared" si="241"/>
        <v>5219</v>
      </c>
      <c r="D3027" s="1">
        <f t="shared" si="242"/>
        <v>1211</v>
      </c>
      <c r="E3027" s="1">
        <f t="shared" si="243"/>
        <v>1890</v>
      </c>
      <c r="F3027" s="1">
        <f t="shared" si="239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40"/>
        <v>46151</v>
      </c>
      <c r="C3028" s="1">
        <f t="shared" si="241"/>
        <v>5190</v>
      </c>
      <c r="D3028" s="1">
        <f t="shared" si="242"/>
        <v>1211</v>
      </c>
      <c r="E3028" s="1">
        <f t="shared" si="243"/>
        <v>1890</v>
      </c>
      <c r="F3028" s="1">
        <f t="shared" si="239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40"/>
        <v>46153</v>
      </c>
      <c r="C3029" s="1">
        <f t="shared" si="241"/>
        <v>5186</v>
      </c>
      <c r="D3029" s="1">
        <f t="shared" si="242"/>
        <v>1211</v>
      </c>
      <c r="E3029" s="1">
        <f t="shared" si="243"/>
        <v>1885</v>
      </c>
      <c r="F3029" s="1">
        <f t="shared" si="239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40"/>
        <v>46154</v>
      </c>
      <c r="C3030" s="1">
        <f t="shared" si="241"/>
        <v>5188</v>
      </c>
      <c r="D3030" s="1">
        <f t="shared" si="242"/>
        <v>1201</v>
      </c>
      <c r="E3030" s="1">
        <f t="shared" si="243"/>
        <v>1880</v>
      </c>
      <c r="F3030" s="1">
        <f t="shared" si="239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40"/>
        <v>46155</v>
      </c>
      <c r="C3031" s="1">
        <f t="shared" si="241"/>
        <v>5156</v>
      </c>
      <c r="D3031" s="1">
        <f t="shared" si="242"/>
        <v>1201</v>
      </c>
      <c r="E3031" s="1">
        <f t="shared" si="243"/>
        <v>1875</v>
      </c>
      <c r="F3031" s="1">
        <f t="shared" si="239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40"/>
        <v>46156</v>
      </c>
      <c r="C3032" s="1">
        <f t="shared" si="241"/>
        <v>5125</v>
      </c>
      <c r="D3032" s="1">
        <f t="shared" si="242"/>
        <v>1181</v>
      </c>
      <c r="E3032" s="1">
        <f t="shared" si="243"/>
        <v>1870</v>
      </c>
      <c r="F3032" s="1">
        <f t="shared" si="239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40"/>
        <v>46157</v>
      </c>
      <c r="C3033" s="1">
        <f t="shared" si="241"/>
        <v>5117</v>
      </c>
      <c r="D3033" s="1">
        <f t="shared" si="242"/>
        <v>1181</v>
      </c>
      <c r="E3033" s="1">
        <f t="shared" si="243"/>
        <v>1870</v>
      </c>
      <c r="F3033" s="1">
        <f t="shared" si="239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4">L3034</f>
        <v>46160</v>
      </c>
      <c r="C3034" s="1">
        <f t="shared" si="241"/>
        <v>5141</v>
      </c>
      <c r="D3034" s="1">
        <f t="shared" si="242"/>
        <v>1141</v>
      </c>
      <c r="E3034" s="1">
        <f t="shared" si="243"/>
        <v>1865</v>
      </c>
      <c r="F3034" s="1">
        <f t="shared" si="239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4"/>
        <v>46161</v>
      </c>
      <c r="C3035" s="1">
        <f t="shared" si="241"/>
        <v>5131</v>
      </c>
      <c r="D3035" s="1">
        <f t="shared" si="242"/>
        <v>1121</v>
      </c>
      <c r="E3035" s="1">
        <f t="shared" si="243"/>
        <v>1850</v>
      </c>
      <c r="F3035" s="1">
        <f t="shared" si="239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4"/>
        <v>46162</v>
      </c>
      <c r="C3036" s="1">
        <f t="shared" si="241"/>
        <v>5116</v>
      </c>
      <c r="D3036" s="1">
        <f t="shared" si="242"/>
        <v>1121</v>
      </c>
      <c r="E3036" s="1">
        <f t="shared" si="243"/>
        <v>1840</v>
      </c>
      <c r="F3036" s="1">
        <f t="shared" si="239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4"/>
        <v>46163</v>
      </c>
      <c r="C3037" s="1">
        <f t="shared" si="241"/>
        <v>5100</v>
      </c>
      <c r="D3037" s="1">
        <f t="shared" si="242"/>
        <v>1101</v>
      </c>
      <c r="E3037" s="1">
        <f t="shared" si="243"/>
        <v>1835</v>
      </c>
      <c r="F3037" s="1">
        <f t="shared" si="239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4"/>
        <v>46164</v>
      </c>
      <c r="C3038" s="1">
        <f t="shared" si="241"/>
        <v>5044</v>
      </c>
      <c r="D3038" s="1">
        <f t="shared" si="242"/>
        <v>1101</v>
      </c>
      <c r="E3038" s="1">
        <f t="shared" si="243"/>
        <v>1840</v>
      </c>
      <c r="F3038" s="1">
        <f t="shared" si="239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4"/>
        <v>46167</v>
      </c>
      <c r="C3039" s="1">
        <f t="shared" si="241"/>
        <v>4983</v>
      </c>
      <c r="D3039" s="1">
        <f t="shared" si="242"/>
        <v>1021</v>
      </c>
      <c r="E3039" s="1">
        <f t="shared" si="243"/>
        <v>1840</v>
      </c>
      <c r="F3039" s="1">
        <f t="shared" si="239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4"/>
        <v>46168</v>
      </c>
      <c r="C3040" s="1">
        <f t="shared" si="241"/>
        <v>4952</v>
      </c>
      <c r="D3040" s="1">
        <f t="shared" si="242"/>
        <v>1021</v>
      </c>
      <c r="E3040" s="1">
        <f t="shared" si="243"/>
        <v>1840</v>
      </c>
      <c r="F3040" s="1">
        <f t="shared" si="239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4"/>
        <v>46169</v>
      </c>
      <c r="C3041" s="1">
        <f t="shared" si="241"/>
        <v>4920</v>
      </c>
      <c r="D3041" s="1">
        <f t="shared" si="242"/>
        <v>1021</v>
      </c>
      <c r="E3041" s="1">
        <f t="shared" si="243"/>
        <v>1840</v>
      </c>
      <c r="F3041" s="1">
        <f t="shared" si="239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4"/>
        <v>46170</v>
      </c>
      <c r="C3042" s="1">
        <f t="shared" si="241"/>
        <v>4922</v>
      </c>
      <c r="D3042" s="1">
        <f t="shared" si="242"/>
        <v>1001</v>
      </c>
      <c r="E3042" s="1">
        <f t="shared" si="243"/>
        <v>1850</v>
      </c>
      <c r="F3042" s="1">
        <f t="shared" si="239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4"/>
        <v>46171</v>
      </c>
      <c r="C3043" s="1">
        <f t="shared" si="241"/>
        <v>4916</v>
      </c>
      <c r="D3043" s="1">
        <f t="shared" si="242"/>
        <v>991</v>
      </c>
      <c r="E3043" s="1">
        <f t="shared" si="243"/>
        <v>1860</v>
      </c>
      <c r="F3043" s="1">
        <f t="shared" si="239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5">L3044</f>
        <v>46174</v>
      </c>
      <c r="C3044" s="1">
        <f t="shared" si="241"/>
        <v>4915</v>
      </c>
      <c r="D3044" s="1">
        <f t="shared" si="242"/>
        <v>991</v>
      </c>
      <c r="E3044" s="1">
        <f t="shared" si="243"/>
        <v>1865</v>
      </c>
      <c r="F3044" s="1">
        <f t="shared" si="239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5"/>
        <v>46175</v>
      </c>
      <c r="C3045" s="1">
        <f t="shared" si="241"/>
        <v>4913</v>
      </c>
      <c r="D3045" s="1">
        <f t="shared" si="242"/>
        <v>991</v>
      </c>
      <c r="E3045" s="1">
        <f t="shared" si="243"/>
        <v>1865</v>
      </c>
      <c r="F3045" s="1">
        <f t="shared" si="239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5"/>
        <v>46176</v>
      </c>
      <c r="C3046" s="1">
        <f t="shared" si="241"/>
        <v>4936</v>
      </c>
      <c r="D3046" s="1">
        <f t="shared" si="242"/>
        <v>991</v>
      </c>
      <c r="E3046" s="1">
        <f t="shared" si="243"/>
        <v>1860</v>
      </c>
      <c r="F3046" s="1">
        <f t="shared" si="239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5"/>
        <v>46177</v>
      </c>
      <c r="C3047" s="1">
        <f t="shared" si="241"/>
        <v>4932</v>
      </c>
      <c r="D3047" s="1">
        <f t="shared" si="242"/>
        <v>991</v>
      </c>
      <c r="E3047" s="1">
        <f t="shared" si="243"/>
        <v>1860</v>
      </c>
      <c r="F3047" s="1">
        <f t="shared" si="239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5"/>
        <v>46178</v>
      </c>
      <c r="C3048" s="1">
        <f t="shared" si="241"/>
        <v>4904</v>
      </c>
      <c r="D3048" s="1">
        <f t="shared" si="242"/>
        <v>901</v>
      </c>
      <c r="E3048" s="1">
        <f t="shared" si="243"/>
        <v>1850</v>
      </c>
      <c r="F3048" s="1">
        <f t="shared" si="239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5"/>
        <v>46181</v>
      </c>
      <c r="C3049" s="1">
        <f t="shared" si="241"/>
        <v>4925</v>
      </c>
      <c r="D3049" s="1">
        <f t="shared" si="242"/>
        <v>971</v>
      </c>
      <c r="E3049" s="1">
        <f t="shared" si="243"/>
        <v>1850</v>
      </c>
      <c r="F3049" s="1">
        <f t="shared" si="239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5"/>
        <v>46182</v>
      </c>
      <c r="C3050" s="1">
        <f t="shared" si="241"/>
        <v>4945</v>
      </c>
      <c r="D3050" s="1">
        <f t="shared" si="242"/>
        <v>931</v>
      </c>
      <c r="E3050" s="1">
        <f t="shared" si="243"/>
        <v>1865</v>
      </c>
      <c r="F3050" s="1">
        <f t="shared" si="239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5"/>
        <v>46183</v>
      </c>
      <c r="C3051" s="1">
        <f t="shared" si="241"/>
        <v>4939</v>
      </c>
      <c r="D3051" s="1">
        <f t="shared" si="242"/>
        <v>931</v>
      </c>
      <c r="E3051" s="1">
        <f t="shared" si="243"/>
        <v>1865</v>
      </c>
      <c r="F3051" s="1">
        <f t="shared" si="239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5"/>
        <v>46184</v>
      </c>
      <c r="C3052" s="1">
        <f t="shared" si="241"/>
        <v>4962</v>
      </c>
      <c r="D3052" s="1">
        <f t="shared" si="242"/>
        <v>931</v>
      </c>
      <c r="E3052" s="1">
        <f t="shared" si="243"/>
        <v>1865</v>
      </c>
      <c r="F3052" s="1">
        <f t="shared" si="239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5"/>
        <v>46185</v>
      </c>
      <c r="C3053" s="1">
        <f t="shared" si="241"/>
        <v>5006</v>
      </c>
      <c r="D3053" s="1">
        <f t="shared" si="242"/>
        <v>901</v>
      </c>
      <c r="E3053" s="1">
        <f t="shared" si="243"/>
        <v>1860</v>
      </c>
      <c r="F3053" s="1">
        <f t="shared" si="239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6">L3054</f>
        <v>46188</v>
      </c>
      <c r="C3054" s="1">
        <f t="shared" ref="C3054:C3056" si="247">IF(M3054&lt;&gt;0,M3054,C3053)</f>
        <v>4919</v>
      </c>
      <c r="D3054" s="1">
        <f t="shared" ref="D3054:D3056" si="248">IF(N3054&lt;&gt;0,N3054,D3053)</f>
        <v>901</v>
      </c>
      <c r="E3054" s="1">
        <f t="shared" ref="E3054:E3056" si="249">IF(O3054&lt;&gt;0,O3054,E3053)</f>
        <v>1855</v>
      </c>
      <c r="F3054" s="1">
        <f t="shared" ref="F3054:F3056" si="250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6"/>
        <v>46189</v>
      </c>
      <c r="C3055" s="1">
        <f t="shared" si="247"/>
        <v>4798</v>
      </c>
      <c r="D3055" s="1">
        <f t="shared" si="248"/>
        <v>871</v>
      </c>
      <c r="E3055" s="1">
        <f t="shared" si="249"/>
        <v>1840</v>
      </c>
      <c r="F3055" s="1">
        <f t="shared" si="250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6"/>
        <v>46190</v>
      </c>
      <c r="C3056" s="1">
        <f t="shared" si="247"/>
        <v>4752</v>
      </c>
      <c r="D3056" s="1">
        <f t="shared" si="248"/>
        <v>871</v>
      </c>
      <c r="E3056" s="1">
        <f t="shared" si="249"/>
        <v>1840</v>
      </c>
      <c r="F3056" s="1">
        <f t="shared" si="250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51">L3057</f>
        <v>46191</v>
      </c>
      <c r="C3057" s="1">
        <f t="shared" ref="C3057:C3061" si="252">IF(M3057&lt;&gt;0,M3057,C3056)</f>
        <v>4716</v>
      </c>
      <c r="D3057" s="1">
        <f t="shared" ref="D3057:D3061" si="253">IF(N3057&lt;&gt;0,N3057,D3056)</f>
        <v>871</v>
      </c>
      <c r="E3057" s="1">
        <f t="shared" ref="E3057:E3061" si="254">IF(O3057&lt;&gt;0,O3057,E3056)</f>
        <v>1845</v>
      </c>
      <c r="F3057" s="1">
        <f t="shared" ref="F3057:F3061" si="255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51"/>
        <v>46192</v>
      </c>
      <c r="C3058" s="1">
        <f t="shared" si="252"/>
        <v>4716</v>
      </c>
      <c r="D3058" s="1">
        <f t="shared" si="253"/>
        <v>871</v>
      </c>
      <c r="E3058" s="1">
        <f t="shared" si="254"/>
        <v>1845</v>
      </c>
      <c r="F3058" s="1">
        <f t="shared" si="255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51"/>
        <v>46195</v>
      </c>
      <c r="C3059" s="1">
        <f t="shared" si="252"/>
        <v>4693</v>
      </c>
      <c r="D3059" s="1">
        <f t="shared" si="253"/>
        <v>871</v>
      </c>
      <c r="E3059" s="1">
        <f t="shared" si="254"/>
        <v>1855</v>
      </c>
      <c r="F3059" s="1">
        <f t="shared" si="255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51"/>
        <v>46196</v>
      </c>
      <c r="C3060" s="1">
        <f t="shared" si="252"/>
        <v>4654</v>
      </c>
      <c r="D3060" s="1">
        <f t="shared" si="253"/>
        <v>871</v>
      </c>
      <c r="E3060" s="1">
        <f t="shared" si="254"/>
        <v>1855</v>
      </c>
      <c r="F3060" s="1">
        <f t="shared" si="255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51"/>
        <v>46197</v>
      </c>
      <c r="C3061" s="1">
        <f t="shared" si="252"/>
        <v>4611</v>
      </c>
      <c r="D3061" s="1">
        <f t="shared" si="253"/>
        <v>871</v>
      </c>
      <c r="E3061" s="1">
        <f t="shared" si="254"/>
        <v>1855</v>
      </c>
      <c r="F3061" s="1">
        <f t="shared" si="255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6">L3062</f>
        <v>46198</v>
      </c>
      <c r="C3062" s="1">
        <f t="shared" ref="C3062:C3068" si="257">IF(M3062&lt;&gt;0,M3062,C3061)</f>
        <v>4520</v>
      </c>
      <c r="D3062" s="1">
        <f t="shared" ref="D3062:D3068" si="258">IF(N3062&lt;&gt;0,N3062,D3061)</f>
        <v>851</v>
      </c>
      <c r="E3062" s="1">
        <f t="shared" ref="E3062:E3068" si="259">IF(O3062&lt;&gt;0,O3062,E3061)</f>
        <v>1850</v>
      </c>
      <c r="F3062" s="1">
        <f t="shared" ref="F3062:F3068" si="260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6"/>
        <v>46199</v>
      </c>
      <c r="C3063" s="1">
        <f t="shared" si="257"/>
        <v>4481</v>
      </c>
      <c r="D3063" s="1">
        <f t="shared" si="258"/>
        <v>836</v>
      </c>
      <c r="E3063" s="1">
        <f t="shared" si="259"/>
        <v>1845</v>
      </c>
      <c r="F3063" s="1">
        <f t="shared" si="260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6"/>
        <v>46202</v>
      </c>
      <c r="C3064" s="1">
        <f t="shared" si="257"/>
        <v>4487</v>
      </c>
      <c r="D3064" s="1">
        <f t="shared" si="258"/>
        <v>811</v>
      </c>
      <c r="E3064" s="1">
        <f t="shared" si="259"/>
        <v>1840</v>
      </c>
      <c r="F3064" s="1">
        <f t="shared" si="260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6"/>
        <v>46203</v>
      </c>
      <c r="C3065" s="1">
        <f t="shared" si="257"/>
        <v>4511</v>
      </c>
      <c r="D3065" s="1">
        <f t="shared" si="258"/>
        <v>811</v>
      </c>
      <c r="E3065" s="1">
        <f t="shared" si="259"/>
        <v>1840</v>
      </c>
      <c r="F3065" s="1">
        <f t="shared" si="260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6"/>
        <v>46204</v>
      </c>
      <c r="C3066" s="1">
        <f t="shared" si="257"/>
        <v>4494</v>
      </c>
      <c r="D3066" s="1">
        <f t="shared" si="258"/>
        <v>811</v>
      </c>
      <c r="E3066" s="1">
        <f t="shared" si="259"/>
        <v>1835</v>
      </c>
      <c r="F3066" s="1">
        <f t="shared" si="260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6"/>
        <v>46205</v>
      </c>
      <c r="C3067" s="1">
        <f t="shared" si="257"/>
        <v>4452</v>
      </c>
      <c r="D3067" s="1">
        <f t="shared" si="258"/>
        <v>811</v>
      </c>
      <c r="E3067" s="1">
        <f t="shared" si="259"/>
        <v>1835</v>
      </c>
      <c r="F3067" s="1">
        <f t="shared" si="260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6"/>
        <v>46206</v>
      </c>
      <c r="C3068" s="1">
        <f t="shared" si="257"/>
        <v>4430</v>
      </c>
      <c r="D3068" s="1">
        <f t="shared" si="258"/>
        <v>811</v>
      </c>
      <c r="E3068" s="1">
        <f t="shared" si="259"/>
        <v>1830</v>
      </c>
      <c r="F3068" s="1">
        <f t="shared" si="260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61">L3069</f>
        <v>46209</v>
      </c>
      <c r="C3069" s="1">
        <f t="shared" ref="C3069:C3073" si="262">IF(M3069&lt;&gt;0,M3069,C3068)</f>
        <v>4447</v>
      </c>
      <c r="D3069" s="1">
        <f t="shared" ref="D3069:D3073" si="263">IF(N3069&lt;&gt;0,N3069,D3068)</f>
        <v>801</v>
      </c>
      <c r="E3069" s="1">
        <f t="shared" ref="E3069:E3073" si="264">IF(O3069&lt;&gt;0,O3069,E3068)</f>
        <v>1830</v>
      </c>
      <c r="F3069" s="1">
        <f t="shared" ref="F3069:F3073" si="265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61"/>
        <v>46210</v>
      </c>
      <c r="C3070" s="1">
        <f t="shared" si="262"/>
        <v>4477</v>
      </c>
      <c r="D3070" s="1">
        <f t="shared" si="263"/>
        <v>801</v>
      </c>
      <c r="E3070" s="1">
        <f t="shared" si="264"/>
        <v>1830</v>
      </c>
      <c r="F3070" s="1">
        <f t="shared" si="265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61"/>
        <v>46211</v>
      </c>
      <c r="C3071" s="1">
        <f t="shared" si="262"/>
        <v>4536</v>
      </c>
      <c r="D3071" s="1">
        <f t="shared" si="263"/>
        <v>811</v>
      </c>
      <c r="E3071" s="1">
        <f t="shared" si="264"/>
        <v>1825</v>
      </c>
      <c r="F3071" s="1">
        <f t="shared" si="265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61"/>
        <v>46212</v>
      </c>
      <c r="C3072" s="1">
        <f t="shared" si="262"/>
        <v>4586</v>
      </c>
      <c r="D3072" s="1">
        <f t="shared" si="263"/>
        <v>821</v>
      </c>
      <c r="E3072" s="1">
        <f t="shared" si="264"/>
        <v>1825</v>
      </c>
      <c r="F3072" s="1">
        <f t="shared" si="265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61"/>
        <v>46213</v>
      </c>
      <c r="C3073" s="1">
        <f t="shared" si="262"/>
        <v>4580</v>
      </c>
      <c r="D3073" s="1">
        <f t="shared" si="263"/>
        <v>836</v>
      </c>
      <c r="E3073" s="1">
        <f t="shared" si="264"/>
        <v>1820</v>
      </c>
      <c r="F3073" s="1">
        <f t="shared" si="265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6">L3074</f>
        <v>46216</v>
      </c>
      <c r="C3074" s="1">
        <f t="shared" ref="C3074:C3079" si="267">IF(M3074&lt;&gt;0,M3074,C3073)</f>
        <v>4612</v>
      </c>
      <c r="D3074" s="1">
        <f t="shared" ref="D3074:D3079" si="268">IF(N3074&lt;&gt;0,N3074,D3073)</f>
        <v>876</v>
      </c>
      <c r="E3074" s="1">
        <f t="shared" ref="E3074:E3079" si="269">IF(O3074&lt;&gt;0,O3074,E3073)</f>
        <v>1815</v>
      </c>
      <c r="F3074" s="1">
        <f t="shared" ref="F3074:F3079" si="270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6"/>
        <v>46217</v>
      </c>
      <c r="C3075" s="1">
        <f t="shared" si="267"/>
        <v>4693</v>
      </c>
      <c r="D3075" s="1">
        <f t="shared" si="268"/>
        <v>901</v>
      </c>
      <c r="E3075" s="1">
        <f t="shared" si="269"/>
        <v>1815</v>
      </c>
      <c r="F3075" s="1">
        <f t="shared" si="270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6"/>
        <v>46218</v>
      </c>
      <c r="C3076" s="1">
        <f t="shared" si="267"/>
        <v>4749</v>
      </c>
      <c r="D3076" s="1">
        <f t="shared" si="268"/>
        <v>951</v>
      </c>
      <c r="E3076" s="1">
        <f t="shared" si="269"/>
        <v>1805</v>
      </c>
      <c r="F3076" s="1">
        <f t="shared" si="270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6"/>
        <v>46219</v>
      </c>
      <c r="C3077" s="1">
        <f t="shared" si="267"/>
        <v>4746</v>
      </c>
      <c r="D3077" s="1">
        <f t="shared" si="268"/>
        <v>951</v>
      </c>
      <c r="E3077" s="1">
        <f t="shared" si="269"/>
        <v>1805</v>
      </c>
      <c r="F3077" s="1">
        <f t="shared" si="270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6"/>
        <v>46220</v>
      </c>
      <c r="C3078" s="1">
        <f t="shared" si="267"/>
        <v>4721</v>
      </c>
      <c r="D3078" s="1">
        <f t="shared" si="268"/>
        <v>941</v>
      </c>
      <c r="E3078" s="1">
        <f t="shared" si="269"/>
        <v>1800</v>
      </c>
      <c r="F3078" s="1">
        <f t="shared" si="270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6"/>
        <v>46223</v>
      </c>
      <c r="C3079" s="1">
        <f t="shared" si="267"/>
        <v>4768</v>
      </c>
      <c r="D3079" s="1">
        <f t="shared" si="268"/>
        <v>941</v>
      </c>
      <c r="E3079" s="1">
        <f t="shared" si="269"/>
        <v>1790</v>
      </c>
      <c r="F3079" s="1">
        <f t="shared" si="270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4" si="271">L3080</f>
        <v>46224</v>
      </c>
      <c r="C3080" s="1">
        <f t="shared" ref="C3080:C3084" si="272">IF(M3080&lt;&gt;0,M3080,C3079)</f>
        <v>4776</v>
      </c>
      <c r="D3080" s="1">
        <f t="shared" ref="D3080:D3084" si="273">IF(N3080&lt;&gt;0,N3080,D3079)</f>
        <v>941</v>
      </c>
      <c r="E3080" s="1">
        <f t="shared" ref="E3080:E3084" si="274">IF(O3080&lt;&gt;0,O3080,E3079)</f>
        <v>1790</v>
      </c>
      <c r="F3080" s="1">
        <f t="shared" ref="F3080:F3084" si="275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71"/>
        <v>46225</v>
      </c>
      <c r="C3081" s="1">
        <f t="shared" si="272"/>
        <v>4777</v>
      </c>
      <c r="D3081" s="1">
        <f t="shared" si="273"/>
        <v>951</v>
      </c>
      <c r="E3081" s="1">
        <f t="shared" si="274"/>
        <v>1790</v>
      </c>
      <c r="F3081" s="1">
        <f t="shared" si="275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71"/>
        <v>46226</v>
      </c>
      <c r="C3082" s="1">
        <f t="shared" si="272"/>
        <v>4810</v>
      </c>
      <c r="D3082" s="1">
        <f t="shared" si="273"/>
        <v>981</v>
      </c>
      <c r="E3082" s="1">
        <f t="shared" si="274"/>
        <v>1790</v>
      </c>
      <c r="F3082" s="1">
        <f t="shared" si="275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71"/>
        <v>46227</v>
      </c>
      <c r="C3083" s="1">
        <f t="shared" si="272"/>
        <v>4834</v>
      </c>
      <c r="D3083" s="1">
        <f t="shared" si="273"/>
        <v>981</v>
      </c>
      <c r="E3083" s="1">
        <f t="shared" si="274"/>
        <v>1790</v>
      </c>
      <c r="F3083" s="1">
        <f t="shared" si="275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4">
      <c r="B3084" s="16">
        <f t="shared" si="271"/>
        <v>46230</v>
      </c>
      <c r="C3084" s="1">
        <f t="shared" si="272"/>
        <v>4761</v>
      </c>
      <c r="D3084" s="1">
        <f t="shared" si="273"/>
        <v>981</v>
      </c>
      <c r="E3084" s="1">
        <f t="shared" si="274"/>
        <v>1790</v>
      </c>
      <c r="F3084" s="1">
        <f t="shared" si="275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4">
      <c r="B3085" s="16">
        <f t="shared" ref="B3085:B3089" si="276">L3085</f>
        <v>46231</v>
      </c>
      <c r="C3085" s="1">
        <f t="shared" ref="C3085:C3089" si="277">IF(M3085&lt;&gt;0,M3085,C3084)</f>
        <v>4730</v>
      </c>
      <c r="D3085" s="1">
        <f t="shared" ref="D3085:D3089" si="278">IF(N3085&lt;&gt;0,N3085,D3084)</f>
        <v>981</v>
      </c>
      <c r="E3085" s="1">
        <f t="shared" ref="E3085:E3089" si="279">IF(O3085&lt;&gt;0,O3085,E3084)</f>
        <v>1790</v>
      </c>
      <c r="F3085" s="1">
        <f t="shared" ref="F3085:F3089" si="280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4">
      <c r="B3086" s="16">
        <f t="shared" si="276"/>
        <v>46232</v>
      </c>
      <c r="C3086" s="1">
        <f t="shared" si="277"/>
        <v>4750</v>
      </c>
      <c r="D3086" s="1">
        <f t="shared" si="278"/>
        <v>981</v>
      </c>
      <c r="E3086" s="1">
        <f t="shared" si="279"/>
        <v>1785</v>
      </c>
      <c r="F3086" s="1">
        <f t="shared" si="280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4">
      <c r="B3087" s="16">
        <f t="shared" si="276"/>
        <v>46233</v>
      </c>
      <c r="C3087" s="1">
        <f t="shared" si="277"/>
        <v>4771</v>
      </c>
      <c r="D3087" s="1">
        <f t="shared" si="278"/>
        <v>981</v>
      </c>
      <c r="E3087" s="1">
        <f t="shared" si="279"/>
        <v>1785</v>
      </c>
      <c r="F3087" s="1">
        <f t="shared" si="280"/>
        <v>1200</v>
      </c>
      <c r="L3087" s="11">
        <v>46233</v>
      </c>
      <c r="M3087" s="9">
        <v>4771</v>
      </c>
      <c r="N3087" s="9">
        <v>981</v>
      </c>
      <c r="O3087" s="9">
        <v>1785</v>
      </c>
      <c r="P3087" s="9">
        <v>1200</v>
      </c>
    </row>
    <row r="3088" spans="2:16" x14ac:dyDescent="0.4">
      <c r="B3088" s="16">
        <f t="shared" si="276"/>
        <v>46234</v>
      </c>
      <c r="C3088" s="1">
        <f t="shared" si="277"/>
        <v>4768</v>
      </c>
      <c r="D3088" s="1">
        <f t="shared" si="278"/>
        <v>1001</v>
      </c>
      <c r="E3088" s="1">
        <f t="shared" si="279"/>
        <v>1785</v>
      </c>
      <c r="F3088" s="1">
        <f t="shared" si="280"/>
        <v>1150</v>
      </c>
      <c r="L3088" s="11">
        <v>46234</v>
      </c>
      <c r="M3088" s="9">
        <v>4768</v>
      </c>
      <c r="N3088" s="9">
        <v>1001</v>
      </c>
      <c r="O3088" s="9">
        <v>1785</v>
      </c>
      <c r="P3088" s="9">
        <v>1150</v>
      </c>
    </row>
    <row r="3089" spans="2:16" x14ac:dyDescent="0.4">
      <c r="B3089" s="16">
        <f t="shared" si="276"/>
        <v>46237</v>
      </c>
      <c r="C3089" s="1">
        <f t="shared" si="277"/>
        <v>4765</v>
      </c>
      <c r="D3089" s="1">
        <f t="shared" si="278"/>
        <v>1001</v>
      </c>
      <c r="E3089" s="1">
        <f t="shared" si="279"/>
        <v>1780</v>
      </c>
      <c r="F3089" s="1">
        <f t="shared" si="280"/>
        <v>1150</v>
      </c>
      <c r="L3089" s="11">
        <v>46237</v>
      </c>
      <c r="M3089" s="9">
        <v>4765</v>
      </c>
      <c r="N3089" s="9">
        <v>1001</v>
      </c>
      <c r="O3089" s="9">
        <v>1780</v>
      </c>
      <c r="P3089" s="9">
        <v>1150</v>
      </c>
    </row>
    <row r="3090" spans="2:16" x14ac:dyDescent="0.4">
      <c r="B3090" s="16">
        <f t="shared" ref="B3090:B3093" si="281">L3090</f>
        <v>46238</v>
      </c>
      <c r="C3090" s="1">
        <f t="shared" ref="C3090:C3093" si="282">IF(M3090&lt;&gt;0,M3090,C3089)</f>
        <v>4770</v>
      </c>
      <c r="D3090" s="1">
        <f t="shared" ref="D3090:D3093" si="283">IF(N3090&lt;&gt;0,N3090,D3089)</f>
        <v>1001</v>
      </c>
      <c r="E3090" s="1">
        <f t="shared" ref="E3090:E3093" si="284">IF(O3090&lt;&gt;0,O3090,E3089)</f>
        <v>1775</v>
      </c>
      <c r="F3090" s="1">
        <f t="shared" ref="F3090:F3093" si="285">IF(P3090&lt;&gt;0,P3090,F3089)</f>
        <v>1150</v>
      </c>
      <c r="L3090" s="11">
        <v>46238</v>
      </c>
      <c r="M3090" s="9">
        <v>4770</v>
      </c>
      <c r="N3090" s="9">
        <v>1001</v>
      </c>
      <c r="O3090" s="9">
        <v>1775</v>
      </c>
      <c r="P3090" s="9">
        <v>1150</v>
      </c>
    </row>
    <row r="3091" spans="2:16" x14ac:dyDescent="0.4">
      <c r="B3091" s="16">
        <f t="shared" si="281"/>
        <v>46239</v>
      </c>
      <c r="C3091" s="1">
        <f t="shared" si="282"/>
        <v>4743</v>
      </c>
      <c r="D3091" s="1">
        <f t="shared" si="283"/>
        <v>1001</v>
      </c>
      <c r="E3091" s="1">
        <f t="shared" si="284"/>
        <v>1770</v>
      </c>
      <c r="F3091" s="1">
        <f t="shared" si="285"/>
        <v>1150</v>
      </c>
      <c r="L3091" s="11">
        <v>46239</v>
      </c>
      <c r="M3091" s="9">
        <v>4743</v>
      </c>
      <c r="N3091" s="9">
        <v>1001</v>
      </c>
      <c r="O3091" s="9">
        <v>1770</v>
      </c>
      <c r="P3091" s="9">
        <v>1150</v>
      </c>
    </row>
    <row r="3092" spans="2:16" x14ac:dyDescent="0.4">
      <c r="B3092" s="16">
        <f t="shared" si="281"/>
        <v>46240</v>
      </c>
      <c r="C3092" s="1">
        <f t="shared" si="282"/>
        <v>4703</v>
      </c>
      <c r="D3092" s="1">
        <f t="shared" si="283"/>
        <v>991</v>
      </c>
      <c r="E3092" s="1">
        <f t="shared" si="284"/>
        <v>1770</v>
      </c>
      <c r="F3092" s="1">
        <f t="shared" si="285"/>
        <v>1150</v>
      </c>
      <c r="L3092" s="11">
        <v>46240</v>
      </c>
      <c r="M3092" s="9">
        <v>4703</v>
      </c>
      <c r="N3092" s="9">
        <v>991</v>
      </c>
      <c r="O3092" s="9">
        <v>1770</v>
      </c>
      <c r="P3092" s="9">
        <v>1150</v>
      </c>
    </row>
    <row r="3093" spans="2:16" x14ac:dyDescent="0.4">
      <c r="B3093" s="16">
        <f t="shared" si="281"/>
        <v>46241</v>
      </c>
      <c r="C3093" s="1">
        <f t="shared" si="282"/>
        <v>4731</v>
      </c>
      <c r="D3093" s="1">
        <f t="shared" si="283"/>
        <v>991</v>
      </c>
      <c r="E3093" s="1">
        <f t="shared" si="284"/>
        <v>1770</v>
      </c>
      <c r="F3093" s="1">
        <f t="shared" si="285"/>
        <v>1150</v>
      </c>
      <c r="L3093" s="11">
        <v>46241</v>
      </c>
      <c r="M3093" s="9">
        <v>4731</v>
      </c>
      <c r="N3093" s="9">
        <v>991</v>
      </c>
      <c r="O3093" s="9">
        <v>1770</v>
      </c>
      <c r="P3093" s="9">
        <v>1150</v>
      </c>
    </row>
    <row r="3094" spans="2:16" x14ac:dyDescent="0.4">
      <c r="B3094" s="16">
        <f t="shared" ref="B3094:B3097" si="286">L3094</f>
        <v>46244</v>
      </c>
      <c r="C3094" s="1">
        <f t="shared" ref="C3094:C3097" si="287">IF(M3094&lt;&gt;0,M3094,C3093)</f>
        <v>4751</v>
      </c>
      <c r="D3094" s="1">
        <f t="shared" ref="D3094:D3097" si="288">IF(N3094&lt;&gt;0,N3094,D3093)</f>
        <v>991</v>
      </c>
      <c r="E3094" s="1">
        <f t="shared" ref="E3094:E3097" si="289">IF(O3094&lt;&gt;0,O3094,E3093)</f>
        <v>1770</v>
      </c>
      <c r="F3094" s="1">
        <f t="shared" ref="F3094:F3097" si="290">IF(P3094&lt;&gt;0,P3094,F3093)</f>
        <v>1150</v>
      </c>
      <c r="L3094" s="11">
        <v>46244</v>
      </c>
      <c r="M3094" s="9">
        <v>4751</v>
      </c>
      <c r="N3094" s="9">
        <v>0</v>
      </c>
      <c r="O3094" s="9">
        <v>1770</v>
      </c>
      <c r="P3094" s="9">
        <v>1150</v>
      </c>
    </row>
    <row r="3095" spans="2:16" x14ac:dyDescent="0.4">
      <c r="B3095" s="16">
        <f t="shared" si="286"/>
        <v>46245</v>
      </c>
      <c r="C3095" s="1">
        <f t="shared" si="287"/>
        <v>4757</v>
      </c>
      <c r="D3095" s="1">
        <f t="shared" si="288"/>
        <v>991</v>
      </c>
      <c r="E3095" s="1">
        <f t="shared" si="289"/>
        <v>1770</v>
      </c>
      <c r="F3095" s="1">
        <f t="shared" si="290"/>
        <v>1150</v>
      </c>
      <c r="L3095" s="11">
        <v>46245</v>
      </c>
      <c r="M3095" s="9">
        <v>4757</v>
      </c>
      <c r="N3095" s="9">
        <v>991</v>
      </c>
      <c r="O3095" s="9">
        <v>1770</v>
      </c>
      <c r="P3095" s="9">
        <v>1150</v>
      </c>
    </row>
    <row r="3096" spans="2:16" x14ac:dyDescent="0.4">
      <c r="B3096" s="16">
        <f t="shared" si="286"/>
        <v>46246</v>
      </c>
      <c r="C3096" s="1">
        <f t="shared" si="287"/>
        <v>4770</v>
      </c>
      <c r="D3096" s="1">
        <f t="shared" si="288"/>
        <v>1001</v>
      </c>
      <c r="E3096" s="1">
        <f t="shared" si="289"/>
        <v>1765</v>
      </c>
      <c r="F3096" s="1">
        <f t="shared" si="290"/>
        <v>1150</v>
      </c>
      <c r="L3096" s="11">
        <v>46246</v>
      </c>
      <c r="M3096" s="9">
        <v>4770</v>
      </c>
      <c r="N3096" s="9">
        <v>1001</v>
      </c>
      <c r="O3096" s="9">
        <v>1765</v>
      </c>
      <c r="P3096" s="9">
        <v>1150</v>
      </c>
    </row>
    <row r="3097" spans="2:16" x14ac:dyDescent="0.4">
      <c r="B3097" s="16">
        <f t="shared" si="286"/>
        <v>46247</v>
      </c>
      <c r="C3097" s="1">
        <f t="shared" si="287"/>
        <v>4771</v>
      </c>
      <c r="D3097" s="1">
        <f t="shared" si="288"/>
        <v>966</v>
      </c>
      <c r="E3097" s="1">
        <f t="shared" si="289"/>
        <v>1760</v>
      </c>
      <c r="F3097" s="1">
        <f t="shared" si="290"/>
        <v>1150</v>
      </c>
      <c r="L3097" s="11">
        <v>46247</v>
      </c>
      <c r="M3097" s="9">
        <v>4771</v>
      </c>
      <c r="N3097" s="9">
        <v>966</v>
      </c>
      <c r="O3097" s="9">
        <v>1760</v>
      </c>
      <c r="P3097" s="9">
        <v>1150</v>
      </c>
    </row>
    <row r="3098" spans="2:16" x14ac:dyDescent="0.4">
      <c r="B3098" s="16">
        <f t="shared" ref="B3098:B3103" si="291">L3098</f>
        <v>46248</v>
      </c>
      <c r="C3098" s="1">
        <f t="shared" ref="C3098:C3103" si="292">IF(M3098&lt;&gt;0,M3098,C3097)</f>
        <v>4771</v>
      </c>
      <c r="D3098" s="1">
        <f t="shared" ref="D3098:D3103" si="293">IF(N3098&lt;&gt;0,N3098,D3097)</f>
        <v>966</v>
      </c>
      <c r="E3098" s="1">
        <f t="shared" ref="E3098:E3103" si="294">IF(O3098&lt;&gt;0,O3098,E3097)</f>
        <v>1755</v>
      </c>
      <c r="F3098" s="1">
        <f t="shared" ref="F3098:F3103" si="295">IF(P3098&lt;&gt;0,P3098,F3097)</f>
        <v>1150</v>
      </c>
      <c r="L3098" s="11">
        <v>46248</v>
      </c>
      <c r="M3098" s="9">
        <v>4771</v>
      </c>
      <c r="N3098" s="9">
        <v>966</v>
      </c>
      <c r="O3098" s="9">
        <v>1755</v>
      </c>
      <c r="P3098" s="9">
        <v>1150</v>
      </c>
    </row>
    <row r="3099" spans="2:16" x14ac:dyDescent="0.4">
      <c r="B3099" s="16">
        <f t="shared" si="291"/>
        <v>46251</v>
      </c>
      <c r="C3099" s="1">
        <f t="shared" si="292"/>
        <v>4834</v>
      </c>
      <c r="D3099" s="1">
        <f t="shared" si="293"/>
        <v>981</v>
      </c>
      <c r="E3099" s="1">
        <f t="shared" si="294"/>
        <v>1750</v>
      </c>
      <c r="F3099" s="1">
        <f t="shared" si="295"/>
        <v>1150</v>
      </c>
      <c r="L3099" s="11">
        <v>46251</v>
      </c>
      <c r="M3099" s="9">
        <v>4834</v>
      </c>
      <c r="N3099" s="9">
        <v>981</v>
      </c>
      <c r="O3099" s="9">
        <v>1750</v>
      </c>
      <c r="P3099" s="9">
        <v>1150</v>
      </c>
    </row>
    <row r="3100" spans="2:16" x14ac:dyDescent="0.4">
      <c r="B3100" s="16">
        <f t="shared" si="291"/>
        <v>46252</v>
      </c>
      <c r="C3100" s="1">
        <f t="shared" si="292"/>
        <v>4879</v>
      </c>
      <c r="D3100" s="1">
        <f t="shared" si="293"/>
        <v>981</v>
      </c>
      <c r="E3100" s="1">
        <f t="shared" si="294"/>
        <v>1740</v>
      </c>
      <c r="F3100" s="1">
        <f t="shared" si="295"/>
        <v>1150</v>
      </c>
      <c r="L3100" s="11">
        <v>46252</v>
      </c>
      <c r="M3100" s="9">
        <v>4879</v>
      </c>
      <c r="N3100" s="9">
        <v>981</v>
      </c>
      <c r="O3100" s="9">
        <v>1740</v>
      </c>
      <c r="P3100" s="9">
        <v>1150</v>
      </c>
    </row>
    <row r="3101" spans="2:16" x14ac:dyDescent="0.4">
      <c r="B3101" s="16">
        <f t="shared" si="291"/>
        <v>46253</v>
      </c>
      <c r="C3101" s="1">
        <f t="shared" si="292"/>
        <v>4907</v>
      </c>
      <c r="D3101" s="1">
        <f t="shared" si="293"/>
        <v>1021</v>
      </c>
      <c r="E3101" s="1">
        <f t="shared" si="294"/>
        <v>1740</v>
      </c>
      <c r="F3101" s="1">
        <f t="shared" si="295"/>
        <v>1150</v>
      </c>
      <c r="L3101" s="11">
        <v>46253</v>
      </c>
      <c r="M3101" s="9">
        <v>4907</v>
      </c>
      <c r="N3101" s="9">
        <v>1021</v>
      </c>
      <c r="O3101" s="9">
        <v>1740</v>
      </c>
      <c r="P3101" s="9">
        <v>1150</v>
      </c>
    </row>
    <row r="3102" spans="2:16" x14ac:dyDescent="0.4">
      <c r="B3102" s="16">
        <f t="shared" si="291"/>
        <v>46254</v>
      </c>
      <c r="C3102" s="1">
        <f t="shared" si="292"/>
        <v>4906</v>
      </c>
      <c r="D3102" s="1">
        <f t="shared" si="293"/>
        <v>1061</v>
      </c>
      <c r="E3102" s="1">
        <f t="shared" si="294"/>
        <v>1745</v>
      </c>
      <c r="F3102" s="1">
        <f t="shared" si="295"/>
        <v>1150</v>
      </c>
      <c r="L3102" s="11">
        <v>46254</v>
      </c>
      <c r="M3102" s="9">
        <v>4906</v>
      </c>
      <c r="N3102" s="9">
        <v>1061</v>
      </c>
      <c r="O3102" s="9">
        <v>1745</v>
      </c>
      <c r="P3102" s="9">
        <v>1150</v>
      </c>
    </row>
    <row r="3103" spans="2:16" x14ac:dyDescent="0.4">
      <c r="B3103" s="16">
        <f t="shared" si="291"/>
        <v>46255</v>
      </c>
      <c r="C3103" s="1">
        <f t="shared" si="292"/>
        <v>4935</v>
      </c>
      <c r="D3103" s="1">
        <f t="shared" si="293"/>
        <v>1071</v>
      </c>
      <c r="E3103" s="1">
        <f t="shared" si="294"/>
        <v>1750</v>
      </c>
      <c r="F3103" s="1">
        <f t="shared" si="295"/>
        <v>1150</v>
      </c>
      <c r="L3103" s="11">
        <v>46255</v>
      </c>
      <c r="M3103" s="9">
        <v>4935</v>
      </c>
      <c r="N3103" s="9">
        <v>1071</v>
      </c>
      <c r="O3103" s="9">
        <v>1750</v>
      </c>
      <c r="P3103" s="9">
        <v>1150</v>
      </c>
    </row>
    <row r="3104" spans="2:16" x14ac:dyDescent="0.4">
      <c r="B3104" s="16">
        <f t="shared" ref="B3104:B3113" si="296">L3104</f>
        <v>46258</v>
      </c>
      <c r="C3104" s="1">
        <f t="shared" ref="C3104:C3113" si="297">IF(M3104&lt;&gt;0,M3104,C3103)</f>
        <v>4938</v>
      </c>
      <c r="D3104" s="1">
        <f t="shared" ref="D3104:D3113" si="298">IF(N3104&lt;&gt;0,N3104,D3103)</f>
        <v>1071</v>
      </c>
      <c r="E3104" s="1">
        <f t="shared" ref="E3104:E3113" si="299">IF(O3104&lt;&gt;0,O3104,E3103)</f>
        <v>1750</v>
      </c>
      <c r="F3104" s="1">
        <f t="shared" ref="F3104:F3113" si="300">IF(P3104&lt;&gt;0,P3104,F3103)</f>
        <v>1150</v>
      </c>
      <c r="L3104" s="11">
        <v>46258</v>
      </c>
      <c r="M3104" s="9">
        <v>4938</v>
      </c>
      <c r="N3104" s="9">
        <v>1071</v>
      </c>
      <c r="O3104" s="9">
        <v>1750</v>
      </c>
      <c r="P3104" s="9">
        <v>1150</v>
      </c>
    </row>
    <row r="3105" spans="2:16" x14ac:dyDescent="0.4">
      <c r="B3105" s="16">
        <f t="shared" si="296"/>
        <v>46259</v>
      </c>
      <c r="C3105" s="1">
        <f t="shared" si="297"/>
        <v>4943</v>
      </c>
      <c r="D3105" s="1">
        <f t="shared" si="298"/>
        <v>1071</v>
      </c>
      <c r="E3105" s="1">
        <f t="shared" si="299"/>
        <v>1750</v>
      </c>
      <c r="F3105" s="1">
        <f t="shared" si="300"/>
        <v>1150</v>
      </c>
      <c r="L3105" s="11">
        <v>46259</v>
      </c>
      <c r="M3105" s="9">
        <v>4943</v>
      </c>
      <c r="N3105" s="9">
        <v>1071</v>
      </c>
      <c r="O3105" s="9">
        <v>1750</v>
      </c>
      <c r="P3105" s="9">
        <v>1150</v>
      </c>
    </row>
    <row r="3106" spans="2:16" x14ac:dyDescent="0.4">
      <c r="B3106" s="16">
        <f t="shared" si="296"/>
        <v>46260</v>
      </c>
      <c r="C3106" s="1">
        <f t="shared" si="297"/>
        <v>4872</v>
      </c>
      <c r="D3106" s="1">
        <f t="shared" si="298"/>
        <v>1051</v>
      </c>
      <c r="E3106" s="1">
        <f t="shared" si="299"/>
        <v>1750</v>
      </c>
      <c r="F3106" s="1">
        <f t="shared" si="300"/>
        <v>1150</v>
      </c>
      <c r="L3106" s="11">
        <v>46260</v>
      </c>
      <c r="M3106" s="9">
        <v>4872</v>
      </c>
      <c r="N3106" s="9">
        <v>1051</v>
      </c>
      <c r="O3106" s="9">
        <v>1750</v>
      </c>
      <c r="P3106" s="9">
        <v>1150</v>
      </c>
    </row>
    <row r="3107" spans="2:16" x14ac:dyDescent="0.4">
      <c r="B3107" s="16">
        <f t="shared" si="296"/>
        <v>46261</v>
      </c>
      <c r="C3107" s="1">
        <f t="shared" si="297"/>
        <v>4855</v>
      </c>
      <c r="D3107" s="1">
        <f t="shared" si="298"/>
        <v>1051</v>
      </c>
      <c r="E3107" s="1">
        <f t="shared" si="299"/>
        <v>1745</v>
      </c>
      <c r="F3107" s="1">
        <f t="shared" si="300"/>
        <v>1150</v>
      </c>
      <c r="L3107" s="11">
        <v>46261</v>
      </c>
      <c r="M3107" s="9">
        <v>4855</v>
      </c>
      <c r="N3107" s="9">
        <v>1051</v>
      </c>
      <c r="O3107" s="9">
        <v>1745</v>
      </c>
      <c r="P3107" s="9">
        <v>1150</v>
      </c>
    </row>
    <row r="3108" spans="2:16" x14ac:dyDescent="0.4">
      <c r="B3108" s="16">
        <f t="shared" si="296"/>
        <v>46262</v>
      </c>
      <c r="C3108" s="1">
        <f t="shared" si="297"/>
        <v>4862</v>
      </c>
      <c r="D3108" s="1">
        <f t="shared" si="298"/>
        <v>1051</v>
      </c>
      <c r="E3108" s="1">
        <f t="shared" si="299"/>
        <v>1745</v>
      </c>
      <c r="F3108" s="1">
        <f t="shared" si="300"/>
        <v>1150</v>
      </c>
      <c r="L3108" s="11">
        <v>46262</v>
      </c>
      <c r="M3108" s="9">
        <v>4862</v>
      </c>
      <c r="N3108" s="9">
        <v>1051</v>
      </c>
      <c r="O3108" s="9">
        <v>1745</v>
      </c>
      <c r="P3108" s="9">
        <v>1150</v>
      </c>
    </row>
    <row r="3109" spans="2:16" x14ac:dyDescent="0.4">
      <c r="B3109" s="16">
        <f t="shared" si="296"/>
        <v>46265</v>
      </c>
      <c r="C3109" s="1">
        <f t="shared" si="297"/>
        <v>4961</v>
      </c>
      <c r="D3109" s="1">
        <f t="shared" si="298"/>
        <v>1101</v>
      </c>
      <c r="E3109" s="1">
        <f t="shared" si="299"/>
        <v>1740</v>
      </c>
      <c r="F3109" s="1">
        <f t="shared" si="300"/>
        <v>1150</v>
      </c>
      <c r="L3109" s="11">
        <v>46265</v>
      </c>
      <c r="M3109" s="9">
        <v>4961</v>
      </c>
      <c r="N3109" s="9">
        <v>1101</v>
      </c>
      <c r="O3109" s="9">
        <v>1740</v>
      </c>
      <c r="P3109" s="9">
        <v>1150</v>
      </c>
    </row>
    <row r="3110" spans="2:16" x14ac:dyDescent="0.4">
      <c r="B3110" s="16">
        <f t="shared" si="296"/>
        <v>46266</v>
      </c>
      <c r="C3110" s="1">
        <f t="shared" si="297"/>
        <v>5062</v>
      </c>
      <c r="D3110" s="1">
        <f t="shared" si="298"/>
        <v>1136</v>
      </c>
      <c r="E3110" s="1">
        <f t="shared" si="299"/>
        <v>1740</v>
      </c>
      <c r="F3110" s="1">
        <f t="shared" si="300"/>
        <v>1150</v>
      </c>
      <c r="L3110" s="11">
        <v>46266</v>
      </c>
      <c r="M3110" s="9">
        <v>5062</v>
      </c>
      <c r="N3110" s="9">
        <v>1136</v>
      </c>
      <c r="O3110" s="9">
        <v>1740</v>
      </c>
      <c r="P3110" s="9">
        <v>1150</v>
      </c>
    </row>
    <row r="3111" spans="2:16" x14ac:dyDescent="0.4">
      <c r="B3111" s="16">
        <f t="shared" si="296"/>
        <v>46267</v>
      </c>
      <c r="C3111" s="1">
        <f t="shared" si="297"/>
        <v>5153</v>
      </c>
      <c r="D3111" s="1">
        <f t="shared" si="298"/>
        <v>1136</v>
      </c>
      <c r="E3111" s="1">
        <f t="shared" si="299"/>
        <v>1735</v>
      </c>
      <c r="F3111" s="1">
        <f t="shared" si="300"/>
        <v>1150</v>
      </c>
      <c r="L3111" s="11">
        <v>46267</v>
      </c>
      <c r="M3111" s="9">
        <v>5153</v>
      </c>
      <c r="N3111" s="9">
        <v>1136</v>
      </c>
      <c r="O3111" s="9">
        <v>1735</v>
      </c>
      <c r="P3111" s="9">
        <v>1150</v>
      </c>
    </row>
    <row r="3112" spans="2:16" x14ac:dyDescent="0.4">
      <c r="B3112" s="16">
        <f t="shared" si="296"/>
        <v>46268</v>
      </c>
      <c r="C3112" s="1">
        <f t="shared" si="297"/>
        <v>5169</v>
      </c>
      <c r="D3112" s="1">
        <f t="shared" si="298"/>
        <v>1136</v>
      </c>
      <c r="E3112" s="1">
        <f t="shared" si="299"/>
        <v>1740</v>
      </c>
      <c r="F3112" s="1">
        <f t="shared" si="300"/>
        <v>1150</v>
      </c>
      <c r="L3112" s="11">
        <v>46268</v>
      </c>
      <c r="M3112" s="9">
        <v>5169</v>
      </c>
      <c r="N3112" s="9">
        <v>1136</v>
      </c>
      <c r="O3112" s="9">
        <v>1740</v>
      </c>
      <c r="P3112" s="9">
        <v>1150</v>
      </c>
    </row>
    <row r="3113" spans="2:16" x14ac:dyDescent="0.4">
      <c r="B3113" s="16">
        <f t="shared" si="296"/>
        <v>46269</v>
      </c>
      <c r="C3113" s="1">
        <f t="shared" si="297"/>
        <v>5178</v>
      </c>
      <c r="D3113" s="1">
        <f t="shared" si="298"/>
        <v>1151</v>
      </c>
      <c r="E3113" s="1">
        <f t="shared" si="299"/>
        <v>1740</v>
      </c>
      <c r="F3113" s="1">
        <f t="shared" si="300"/>
        <v>1150</v>
      </c>
      <c r="L3113" s="11">
        <v>46269</v>
      </c>
      <c r="M3113" s="9">
        <v>5178</v>
      </c>
      <c r="N3113" s="9">
        <v>1151</v>
      </c>
      <c r="O3113" s="9">
        <v>1740</v>
      </c>
      <c r="P3113" s="9">
        <v>1150</v>
      </c>
    </row>
    <row r="3114" spans="2:16" x14ac:dyDescent="0.4">
      <c r="B3114" s="16">
        <f t="shared" ref="B3114:B3118" si="301">L3114</f>
        <v>46272</v>
      </c>
      <c r="C3114" s="1">
        <f t="shared" ref="C3114:C3118" si="302">IF(M3114&lt;&gt;0,M3114,C3113)</f>
        <v>5184</v>
      </c>
      <c r="D3114" s="1">
        <f t="shared" ref="D3114:D3118" si="303">IF(N3114&lt;&gt;0,N3114,D3113)</f>
        <v>1181</v>
      </c>
      <c r="E3114" s="1">
        <f t="shared" ref="E3114:E3118" si="304">IF(O3114&lt;&gt;0,O3114,E3113)</f>
        <v>1745</v>
      </c>
      <c r="F3114" s="1">
        <f t="shared" ref="F3114:F3118" si="305">IF(P3114&lt;&gt;0,P3114,F3113)</f>
        <v>1150</v>
      </c>
      <c r="L3114" s="11">
        <v>46272</v>
      </c>
      <c r="M3114" s="9">
        <v>5184</v>
      </c>
      <c r="N3114" s="9">
        <v>1181</v>
      </c>
      <c r="O3114" s="9">
        <v>1745</v>
      </c>
      <c r="P3114" s="9">
        <v>1150</v>
      </c>
    </row>
    <row r="3115" spans="2:16" x14ac:dyDescent="0.4">
      <c r="B3115" s="16">
        <f t="shared" si="301"/>
        <v>46273</v>
      </c>
      <c r="C3115" s="1">
        <f t="shared" si="302"/>
        <v>5229</v>
      </c>
      <c r="D3115" s="1">
        <f t="shared" si="303"/>
        <v>1181</v>
      </c>
      <c r="E3115" s="1">
        <f t="shared" si="304"/>
        <v>1800</v>
      </c>
      <c r="F3115" s="1">
        <f t="shared" si="305"/>
        <v>1150</v>
      </c>
      <c r="L3115" s="11">
        <v>46273</v>
      </c>
      <c r="M3115" s="9">
        <v>5229</v>
      </c>
      <c r="N3115" s="9">
        <v>1181</v>
      </c>
      <c r="O3115" s="9">
        <v>1800</v>
      </c>
      <c r="P3115" s="9">
        <v>1150</v>
      </c>
    </row>
    <row r="3116" spans="2:16" x14ac:dyDescent="0.4">
      <c r="B3116" s="16">
        <f t="shared" si="301"/>
        <v>46274</v>
      </c>
      <c r="C3116" s="1">
        <f t="shared" si="302"/>
        <v>5315</v>
      </c>
      <c r="D3116" s="1">
        <f t="shared" si="303"/>
        <v>1181</v>
      </c>
      <c r="E3116" s="1">
        <f t="shared" si="304"/>
        <v>1805</v>
      </c>
      <c r="F3116" s="1">
        <f t="shared" si="305"/>
        <v>1150</v>
      </c>
      <c r="L3116" s="11">
        <v>46274</v>
      </c>
      <c r="M3116" s="9">
        <v>5315</v>
      </c>
      <c r="N3116" s="9">
        <v>1181</v>
      </c>
      <c r="O3116" s="9">
        <v>1805</v>
      </c>
      <c r="P3116" s="9">
        <v>1150</v>
      </c>
    </row>
    <row r="3117" spans="2:16" x14ac:dyDescent="0.4">
      <c r="B3117" s="16">
        <f t="shared" si="301"/>
        <v>46275</v>
      </c>
      <c r="C3117" s="1">
        <f t="shared" si="302"/>
        <v>5397</v>
      </c>
      <c r="D3117" s="1">
        <f t="shared" si="303"/>
        <v>1181</v>
      </c>
      <c r="E3117" s="1">
        <f t="shared" si="304"/>
        <v>1805</v>
      </c>
      <c r="F3117" s="1">
        <f t="shared" si="305"/>
        <v>1150</v>
      </c>
      <c r="L3117" s="11">
        <v>46275</v>
      </c>
      <c r="M3117" s="9">
        <v>5397</v>
      </c>
      <c r="N3117" s="9">
        <v>1181</v>
      </c>
      <c r="O3117" s="9">
        <v>1805</v>
      </c>
      <c r="P3117" s="9">
        <v>1150</v>
      </c>
    </row>
    <row r="3118" spans="2:16" x14ac:dyDescent="0.4">
      <c r="B3118" s="16">
        <f t="shared" si="301"/>
        <v>46276</v>
      </c>
      <c r="C3118" s="1">
        <f t="shared" si="302"/>
        <v>5424</v>
      </c>
      <c r="D3118" s="1">
        <f t="shared" si="303"/>
        <v>1191</v>
      </c>
      <c r="E3118" s="1">
        <f t="shared" si="304"/>
        <v>1805</v>
      </c>
      <c r="F3118" s="1">
        <f t="shared" si="305"/>
        <v>1150</v>
      </c>
      <c r="L3118" s="11">
        <v>46276</v>
      </c>
      <c r="M3118" s="9">
        <v>5424</v>
      </c>
      <c r="N3118" s="9">
        <v>1191</v>
      </c>
      <c r="O3118" s="9">
        <v>1805</v>
      </c>
      <c r="P3118" s="9">
        <v>1150</v>
      </c>
    </row>
    <row r="3119" spans="2:16" x14ac:dyDescent="0.4">
      <c r="B3119" s="16"/>
      <c r="C3119" s="1"/>
      <c r="D3119" s="1"/>
      <c r="E3119" s="1"/>
      <c r="F3119" s="1"/>
      <c r="L3119" s="11"/>
      <c r="M3119" s="9"/>
      <c r="N3119" s="9"/>
      <c r="O3119" s="9"/>
      <c r="P3119" s="9"/>
    </row>
    <row r="3120" spans="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99" activePane="bottomRight" state="frozen"/>
      <selection pane="topRight" activeCell="B1" sqref="B1"/>
      <selection pane="bottomLeft" activeCell="A5" sqref="A5"/>
      <selection pane="bottomRight" activeCell="A924" sqref="A924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38" t="s">
        <v>6</v>
      </c>
      <c r="I2" s="38" t="s">
        <v>15</v>
      </c>
      <c r="J2" s="38" t="s">
        <v>16</v>
      </c>
      <c r="K2" s="38" t="s">
        <v>17</v>
      </c>
      <c r="L2" s="38" t="s">
        <v>19</v>
      </c>
      <c r="M2" s="38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6" t="s">
        <v>11</v>
      </c>
      <c r="I3" s="36" t="s">
        <v>7</v>
      </c>
      <c r="J3" s="36" t="s">
        <v>7</v>
      </c>
      <c r="K3" s="36" t="s">
        <v>7</v>
      </c>
      <c r="L3" s="36" t="s">
        <v>7</v>
      </c>
      <c r="M3" s="36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6" t="s">
        <v>4</v>
      </c>
      <c r="I4" s="36" t="s">
        <v>20</v>
      </c>
      <c r="J4" s="36" t="s">
        <v>21</v>
      </c>
      <c r="K4" s="36" t="s">
        <v>21</v>
      </c>
      <c r="L4" s="36" t="s">
        <v>21</v>
      </c>
      <c r="M4" s="36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4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3.23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3.23</v>
      </c>
      <c r="K919" s="9">
        <v>26.5</v>
      </c>
      <c r="L919" s="9">
        <v>30.4</v>
      </c>
      <c r="M919" s="9">
        <v>30.6</v>
      </c>
    </row>
    <row r="920" spans="1:13" x14ac:dyDescent="0.4">
      <c r="A920" s="16">
        <f t="shared" ref="A920:A921" si="121">H920</f>
        <v>46240</v>
      </c>
      <c r="B920" s="1">
        <f t="shared" ref="B920:B921" si="122">IF(I920&lt;&gt;0,I920,B919)</f>
        <v>39.83</v>
      </c>
      <c r="C920" s="1">
        <f t="shared" ref="C920:C921" si="123">IF(J920&lt;&gt;0,J920,C919)</f>
        <v>3.09</v>
      </c>
      <c r="D920" s="1">
        <f t="shared" ref="D920:D921" si="124">IF(K920&lt;&gt;0,K920,D919)</f>
        <v>26.7</v>
      </c>
      <c r="E920" s="1">
        <f t="shared" ref="E920:E921" si="125">IF(L920&lt;&gt;0,L920,E919)</f>
        <v>32</v>
      </c>
      <c r="F920" s="1">
        <f t="shared" ref="F920:F921" si="126">IF(M920&lt;&gt;0,M920,F919)</f>
        <v>33.799999999999997</v>
      </c>
      <c r="H920" s="11">
        <v>46240</v>
      </c>
      <c r="I920" s="25">
        <v>39.83</v>
      </c>
      <c r="J920" s="9">
        <v>3.09</v>
      </c>
      <c r="K920" s="9">
        <v>26.7</v>
      </c>
      <c r="L920" s="9">
        <v>32</v>
      </c>
      <c r="M920" s="9">
        <v>33.799999999999997</v>
      </c>
    </row>
    <row r="921" spans="1:13" x14ac:dyDescent="0.4">
      <c r="A921" s="16">
        <f t="shared" si="121"/>
        <v>46247</v>
      </c>
      <c r="B921" s="1">
        <f t="shared" si="122"/>
        <v>35.53</v>
      </c>
      <c r="C921" s="1">
        <f t="shared" si="123"/>
        <v>2.95</v>
      </c>
      <c r="D921" s="1">
        <f t="shared" si="124"/>
        <v>24.9</v>
      </c>
      <c r="E921" s="1">
        <f t="shared" si="125"/>
        <v>29.9</v>
      </c>
      <c r="F921" s="1">
        <f t="shared" si="126"/>
        <v>32.700000000000003</v>
      </c>
      <c r="H921" s="11">
        <v>46247</v>
      </c>
      <c r="I921" s="25">
        <v>35.53</v>
      </c>
      <c r="J921" s="9">
        <v>2.95</v>
      </c>
      <c r="K921" s="9">
        <v>24.9</v>
      </c>
      <c r="L921" s="9">
        <v>29.9</v>
      </c>
      <c r="M921" s="9">
        <v>32.700000000000003</v>
      </c>
    </row>
    <row r="922" spans="1:13" x14ac:dyDescent="0.4">
      <c r="A922" s="16">
        <f t="shared" ref="A922:A924" si="127">H922</f>
        <v>46254</v>
      </c>
      <c r="B922" s="1">
        <f t="shared" ref="B922:B924" si="128">IF(I922&lt;&gt;0,I922,B921)</f>
        <v>38.270000000000003</v>
      </c>
      <c r="C922" s="1">
        <f t="shared" ref="C922:C924" si="129">IF(J922&lt;&gt;0,J922,C921)</f>
        <v>2.79</v>
      </c>
      <c r="D922" s="1">
        <f t="shared" ref="D922:D924" si="130">IF(K922&lt;&gt;0,K922,D921)</f>
        <v>13</v>
      </c>
      <c r="E922" s="1">
        <f t="shared" ref="E922:E924" si="131">IF(L922&lt;&gt;0,L922,E921)</f>
        <v>18.8</v>
      </c>
      <c r="F922" s="1">
        <f t="shared" ref="F922:F924" si="132">IF(M922&lt;&gt;0,M922,F921)</f>
        <v>20.6</v>
      </c>
      <c r="H922" s="11">
        <v>46254</v>
      </c>
      <c r="I922" s="25">
        <v>38.270000000000003</v>
      </c>
      <c r="J922" s="9">
        <v>2.79</v>
      </c>
      <c r="K922" s="9">
        <v>13</v>
      </c>
      <c r="L922" s="9">
        <v>18.8</v>
      </c>
      <c r="M922" s="9">
        <v>20.6</v>
      </c>
    </row>
    <row r="923" spans="1:13" x14ac:dyDescent="0.4">
      <c r="A923" s="16">
        <f t="shared" si="127"/>
        <v>46261</v>
      </c>
      <c r="B923" s="1">
        <f t="shared" si="128"/>
        <v>38.14</v>
      </c>
      <c r="C923" s="1">
        <f t="shared" si="129"/>
        <v>2.42</v>
      </c>
      <c r="D923" s="1">
        <f t="shared" si="130"/>
        <v>15.1</v>
      </c>
      <c r="E923" s="1">
        <f t="shared" si="131"/>
        <v>20.3</v>
      </c>
      <c r="F923" s="1">
        <f t="shared" si="132"/>
        <v>22.4</v>
      </c>
      <c r="H923" s="11">
        <v>46261</v>
      </c>
      <c r="I923" s="25">
        <v>38.14</v>
      </c>
      <c r="J923" s="9">
        <v>2.42</v>
      </c>
      <c r="K923" s="9">
        <v>15.1</v>
      </c>
      <c r="L923" s="9">
        <v>20.3</v>
      </c>
      <c r="M923" s="9">
        <v>22.4</v>
      </c>
    </row>
    <row r="924" spans="1:13" x14ac:dyDescent="0.4">
      <c r="A924" s="16">
        <f t="shared" si="127"/>
        <v>46268</v>
      </c>
      <c r="B924" s="1">
        <f t="shared" si="128"/>
        <v>34.47</v>
      </c>
      <c r="C924" s="1">
        <f t="shared" si="129"/>
        <v>2.34</v>
      </c>
      <c r="D924" s="1">
        <f t="shared" si="130"/>
        <v>16.899999999999999</v>
      </c>
      <c r="E924" s="1">
        <f t="shared" si="131"/>
        <v>21</v>
      </c>
      <c r="F924" s="1">
        <f t="shared" si="132"/>
        <v>23.2</v>
      </c>
      <c r="H924" s="11">
        <v>46268</v>
      </c>
      <c r="I924" s="25">
        <v>34.47</v>
      </c>
      <c r="J924" s="9">
        <v>2.34</v>
      </c>
      <c r="K924" s="9">
        <v>16.899999999999999</v>
      </c>
      <c r="L924" s="9">
        <v>21</v>
      </c>
      <c r="M924" s="9">
        <v>23.2</v>
      </c>
    </row>
    <row r="925" spans="1:13" x14ac:dyDescent="0.4">
      <c r="A925" s="16">
        <f t="shared" ref="A925" si="133">H925</f>
        <v>46275</v>
      </c>
      <c r="B925" s="1">
        <f t="shared" ref="B925" si="134">IF(I925&lt;&gt;0,I925,B924)</f>
        <v>32.880000000000003</v>
      </c>
      <c r="C925" s="1">
        <f t="shared" ref="C925" si="135">IF(J925&lt;&gt;0,J925,C924)</f>
        <v>2.2000000000000002</v>
      </c>
      <c r="D925" s="1">
        <f t="shared" ref="D925" si="136">IF(K925&lt;&gt;0,K925,D924)</f>
        <v>15.7</v>
      </c>
      <c r="E925" s="1">
        <f t="shared" ref="E925" si="137">IF(L925&lt;&gt;0,L925,E924)</f>
        <v>19.5</v>
      </c>
      <c r="F925" s="1">
        <f t="shared" ref="F925" si="138">IF(M925&lt;&gt;0,M925,F924)</f>
        <v>20.6</v>
      </c>
      <c r="H925" s="11">
        <v>46275</v>
      </c>
      <c r="I925" s="25">
        <v>32.880000000000003</v>
      </c>
      <c r="J925" s="9">
        <v>2.2000000000000002</v>
      </c>
      <c r="K925" s="9">
        <v>15.7</v>
      </c>
      <c r="L925" s="9">
        <v>19.5</v>
      </c>
      <c r="M925" s="9">
        <v>20.6</v>
      </c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K660"/>
  <sheetViews>
    <sheetView zoomScale="91" zoomScaleNormal="91" workbookViewId="0">
      <pane xSplit="1" ySplit="4" topLeftCell="B640" activePane="bottomRight" state="frozen"/>
      <selection pane="topRight" activeCell="B1" sqref="B1"/>
      <selection pane="bottomLeft" activeCell="A5" sqref="A5"/>
      <selection pane="bottomRight" activeCell="B662" sqref="B662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customWidth="1" outlineLevel="1"/>
    <col min="9" max="9" width="16" customWidth="1" outlineLevel="1"/>
    <col min="10" max="10" width="28.86328125" customWidth="1" outlineLevel="1"/>
    <col min="11" max="11" width="37.59765625" customWidth="1" outlineLevel="1"/>
    <col min="12" max="12" width="9.1328125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6" t="s">
        <v>6</v>
      </c>
      <c r="I2" s="36" t="s">
        <v>22</v>
      </c>
      <c r="J2" s="36" t="s">
        <v>23</v>
      </c>
      <c r="K2" s="36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6" t="s">
        <v>11</v>
      </c>
      <c r="I3" s="36" t="s">
        <v>7</v>
      </c>
      <c r="J3" s="36" t="s">
        <v>7</v>
      </c>
      <c r="K3" s="36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6" t="s">
        <v>4</v>
      </c>
      <c r="I4" s="36" t="s">
        <v>25</v>
      </c>
      <c r="J4" s="36" t="s">
        <v>25</v>
      </c>
      <c r="K4" s="36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4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  <row r="655" spans="1:11" x14ac:dyDescent="0.4">
      <c r="A655" s="16">
        <f>H655</f>
        <v>46240</v>
      </c>
      <c r="B655" s="26">
        <f t="shared" ref="B655:B656" si="52">IF(I655&lt;&gt;0,I655/100,B654)</f>
        <v>0.88989999999999991</v>
      </c>
      <c r="C655" s="26">
        <f t="shared" ref="C655:C656" si="53">IF(J655&lt;&gt;0,J655/100,C654)</f>
        <v>0.74280000000000002</v>
      </c>
      <c r="D655" s="26">
        <f t="shared" ref="D655:D656" si="54">IF(K655&lt;&gt;0,K655/100,D654)</f>
        <v>0.49920000000000003</v>
      </c>
      <c r="H655" s="11">
        <v>46240</v>
      </c>
      <c r="I655" s="9">
        <v>88.99</v>
      </c>
      <c r="J655" s="9">
        <v>74.28</v>
      </c>
      <c r="K655" s="9">
        <v>49.92</v>
      </c>
    </row>
    <row r="656" spans="1:11" x14ac:dyDescent="0.4">
      <c r="A656" s="16">
        <f t="shared" ref="A656" si="55">H656</f>
        <v>46247</v>
      </c>
      <c r="B656" s="26">
        <f t="shared" si="52"/>
        <v>0.86170000000000002</v>
      </c>
      <c r="C656" s="26">
        <f t="shared" si="53"/>
        <v>0.74280000000000002</v>
      </c>
      <c r="D656" s="26">
        <f t="shared" si="54"/>
        <v>0.50869999999999993</v>
      </c>
      <c r="H656" s="11">
        <v>46247</v>
      </c>
      <c r="I656" s="9">
        <v>86.17</v>
      </c>
      <c r="J656" s="9">
        <v>74.28</v>
      </c>
      <c r="K656" s="9">
        <v>50.87</v>
      </c>
    </row>
    <row r="657" spans="1:11" x14ac:dyDescent="0.4">
      <c r="A657" s="16">
        <f>H657</f>
        <v>46254</v>
      </c>
      <c r="B657" s="26">
        <f t="shared" ref="B657:B659" si="56">IF(I657&lt;&gt;0,I657/100,B656)</f>
        <v>0.86629999999999996</v>
      </c>
      <c r="C657" s="26">
        <f t="shared" ref="C657:C659" si="57">IF(J657&lt;&gt;0,J657/100,C656)</f>
        <v>0.74280000000000002</v>
      </c>
      <c r="D657" s="26">
        <f t="shared" ref="D657:D659" si="58">IF(K657&lt;&gt;0,K657/100,D656)</f>
        <v>0.51780000000000004</v>
      </c>
      <c r="H657" s="11">
        <v>46254</v>
      </c>
      <c r="I657" s="9">
        <v>86.63</v>
      </c>
      <c r="J657" s="9">
        <v>74.28</v>
      </c>
      <c r="K657" s="9">
        <v>51.78</v>
      </c>
    </row>
    <row r="658" spans="1:11" x14ac:dyDescent="0.4">
      <c r="A658" s="16">
        <f>H658</f>
        <v>46261</v>
      </c>
      <c r="B658" s="26">
        <f t="shared" si="56"/>
        <v>0.83329999999999993</v>
      </c>
      <c r="C658" s="26">
        <f t="shared" si="57"/>
        <v>0.74280000000000002</v>
      </c>
      <c r="D658" s="26">
        <f t="shared" si="58"/>
        <v>0.51929999999999998</v>
      </c>
      <c r="H658" s="11">
        <v>46261</v>
      </c>
      <c r="I658" s="9">
        <v>83.33</v>
      </c>
      <c r="J658" s="9">
        <v>74.28</v>
      </c>
      <c r="K658" s="9">
        <v>51.93</v>
      </c>
    </row>
    <row r="659" spans="1:11" x14ac:dyDescent="0.4">
      <c r="A659" s="16">
        <f>H659</f>
        <v>46268</v>
      </c>
      <c r="B659" s="26">
        <f t="shared" si="56"/>
        <v>0.82140000000000002</v>
      </c>
      <c r="C659" s="26">
        <f t="shared" si="57"/>
        <v>0.73780000000000001</v>
      </c>
      <c r="D659" s="26">
        <f t="shared" si="58"/>
        <v>0.52110000000000001</v>
      </c>
      <c r="H659" s="11">
        <v>46268</v>
      </c>
      <c r="I659" s="9">
        <v>82.14</v>
      </c>
      <c r="J659" s="9">
        <v>73.78</v>
      </c>
      <c r="K659" s="9">
        <v>52.11</v>
      </c>
    </row>
    <row r="660" spans="1:11" x14ac:dyDescent="0.4">
      <c r="A660" s="16">
        <f>H660</f>
        <v>46275</v>
      </c>
      <c r="B660" s="26">
        <f t="shared" ref="B660" si="59">IF(I660&lt;&gt;0,I660/100,B659)</f>
        <v>0.79559999999999997</v>
      </c>
      <c r="C660" s="26">
        <f t="shared" ref="C660" si="60">IF(J660&lt;&gt;0,J660/100,C659)</f>
        <v>0.73760000000000003</v>
      </c>
      <c r="D660" s="26">
        <f t="shared" ref="D660" si="61">IF(K660&lt;&gt;0,K660/100,D659)</f>
        <v>0.52239999999999998</v>
      </c>
      <c r="H660" s="11">
        <v>46275</v>
      </c>
      <c r="I660" s="9">
        <v>79.56</v>
      </c>
      <c r="J660" s="9">
        <v>73.760000000000005</v>
      </c>
      <c r="K660" s="9">
        <v>52.24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tabSelected="1" zoomScale="70" zoomScaleNormal="70" workbookViewId="0">
      <pane xSplit="2" ySplit="4" topLeftCell="C535" activePane="bottomRight" state="frozen"/>
      <selection pane="topRight" activeCell="C1" sqref="C1"/>
      <selection pane="bottomLeft" activeCell="A5" sqref="A5"/>
      <selection pane="bottomRight" activeCell="F564" sqref="F564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9" t="s">
        <v>6</v>
      </c>
      <c r="J2" s="39" t="s">
        <v>26</v>
      </c>
      <c r="K2" s="36" t="s">
        <v>27</v>
      </c>
      <c r="O2" s="36" t="s">
        <v>6</v>
      </c>
      <c r="P2" s="36" t="s">
        <v>29</v>
      </c>
      <c r="Q2" s="36" t="s">
        <v>30</v>
      </c>
      <c r="R2" s="36" t="s">
        <v>28</v>
      </c>
      <c r="S2" s="36" t="s">
        <v>32</v>
      </c>
      <c r="T2" s="37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40" t="s">
        <v>11</v>
      </c>
      <c r="J3" s="40" t="s">
        <v>7</v>
      </c>
      <c r="K3" s="36" t="s">
        <v>7</v>
      </c>
      <c r="O3" s="36" t="s">
        <v>11</v>
      </c>
      <c r="P3" s="36" t="s">
        <v>7</v>
      </c>
      <c r="Q3" s="36" t="s">
        <v>7</v>
      </c>
      <c r="R3" s="36" t="s">
        <v>7</v>
      </c>
      <c r="S3" s="36" t="s">
        <v>7</v>
      </c>
      <c r="T3" s="37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6" t="s">
        <v>4</v>
      </c>
      <c r="J4" s="36" t="s">
        <v>8</v>
      </c>
      <c r="K4" s="36" t="s">
        <v>8</v>
      </c>
      <c r="O4" s="36" t="s">
        <v>4</v>
      </c>
      <c r="P4" s="36" t="s">
        <v>5</v>
      </c>
      <c r="Q4" s="36" t="s">
        <v>5</v>
      </c>
      <c r="R4" s="36" t="s">
        <v>5</v>
      </c>
      <c r="S4" s="36" t="s">
        <v>5</v>
      </c>
      <c r="T4" s="37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5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>
        <v>46242</v>
      </c>
      <c r="P552" s="9">
        <v>6000</v>
      </c>
      <c r="Q552" s="9">
        <v>5141.8</v>
      </c>
      <c r="R552" s="9">
        <v>8435</v>
      </c>
      <c r="S552" s="9">
        <v>8585</v>
      </c>
      <c r="T552" s="31">
        <v>9430</v>
      </c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>
        <f t="shared" ref="AA552:AA553" si="148">O552</f>
        <v>46242</v>
      </c>
      <c r="AB552" s="21">
        <f t="shared" ref="AB552:AB553" si="149">IFERROR(IF(P552&lt;&gt;0,P552,AB551),AB551)</f>
        <v>6000</v>
      </c>
      <c r="AC552" s="21">
        <f t="shared" ref="AC552:AC553" si="150">IFERROR(IF(Q552&lt;&gt;0,Q552,AC551),AC551)</f>
        <v>5141.8</v>
      </c>
      <c r="AD552" s="21">
        <f t="shared" ref="AD552:AD553" si="151">IFERROR(IF(R552&lt;&gt;0,R552,AD551),AD551)</f>
        <v>8435</v>
      </c>
      <c r="AE552" s="21">
        <f t="shared" ref="AE552:AE553" si="152">IFERROR(IF(S552&lt;&gt;0,S552,AE551),AE551)</f>
        <v>8585</v>
      </c>
      <c r="AF552" s="21">
        <f t="shared" ref="AF552:AF553" si="153">IFERROR(IF(T552&lt;&gt;0,T552,AF551),AF551)</f>
        <v>9430</v>
      </c>
      <c r="AK552" s="16"/>
      <c r="AL552" s="17"/>
      <c r="AN552" s="16"/>
    </row>
    <row r="553" spans="2:40" x14ac:dyDescent="0.4">
      <c r="B553" s="6">
        <f t="shared" ref="B553:B554" si="154">I605</f>
        <v>46207</v>
      </c>
      <c r="C553" s="8">
        <f t="shared" ref="C553:C556" si="155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>
        <v>46249</v>
      </c>
      <c r="P553" s="9">
        <v>5966</v>
      </c>
      <c r="Q553" s="9">
        <v>5281.2</v>
      </c>
      <c r="R553" s="9">
        <v>8430</v>
      </c>
      <c r="S553" s="9">
        <v>8570</v>
      </c>
      <c r="T553" s="31">
        <v>9400</v>
      </c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>
        <f t="shared" si="148"/>
        <v>46249</v>
      </c>
      <c r="AB553" s="21">
        <f t="shared" si="149"/>
        <v>5966</v>
      </c>
      <c r="AC553" s="21">
        <f t="shared" si="150"/>
        <v>5281.2</v>
      </c>
      <c r="AD553" s="21">
        <f t="shared" si="151"/>
        <v>8430</v>
      </c>
      <c r="AE553" s="21">
        <f t="shared" si="152"/>
        <v>8570</v>
      </c>
      <c r="AF553" s="21">
        <f t="shared" si="153"/>
        <v>9400</v>
      </c>
      <c r="AK553" s="16"/>
      <c r="AL553" s="17"/>
      <c r="AN553" s="16"/>
    </row>
    <row r="554" spans="2:40" x14ac:dyDescent="0.4">
      <c r="B554" s="6">
        <f t="shared" si="154"/>
        <v>46214</v>
      </c>
      <c r="C554" s="8">
        <f t="shared" si="155"/>
        <v>299.88</v>
      </c>
      <c r="D554" s="5">
        <f t="shared" ref="D554:D556" si="156">IFERROR(VLOOKUP(B554,$AA:$AF,4,1)-0.855*VLOOKUP(B554,$AA:$AF,2,1)-0.335*VLOOKUP(B554,$AA:$AF,3,1),D553)</f>
        <v>1494.7089999999996</v>
      </c>
      <c r="E554" s="5">
        <f t="shared" ref="E554:E556" si="157">IFERROR(VLOOKUP(B554,$AA:$AF,5,1)-0.855*VLOOKUP(B554,$AA:$AF,2,1)-0.335*VLOOKUP(B554,$AA:$AF,3,1),E553)</f>
        <v>1744.7089999999996</v>
      </c>
      <c r="F554" s="5">
        <f t="shared" ref="F554:F556" si="158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>
        <v>46256</v>
      </c>
      <c r="P554" s="9">
        <v>6351</v>
      </c>
      <c r="Q554" s="9">
        <v>5688</v>
      </c>
      <c r="R554" s="9">
        <v>8715</v>
      </c>
      <c r="S554" s="9">
        <v>8860</v>
      </c>
      <c r="T554" s="31">
        <v>9635</v>
      </c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>
        <f t="shared" ref="AA554:AA556" si="159">O554</f>
        <v>46256</v>
      </c>
      <c r="AB554" s="21">
        <f t="shared" ref="AB554:AB556" si="160">IFERROR(IF(P554&lt;&gt;0,P554,AB553),AB553)</f>
        <v>6351</v>
      </c>
      <c r="AC554" s="21">
        <f t="shared" ref="AC554:AC556" si="161">IFERROR(IF(Q554&lt;&gt;0,Q554,AC553),AC553)</f>
        <v>5688</v>
      </c>
      <c r="AD554" s="21">
        <f t="shared" ref="AD554:AD556" si="162">IFERROR(IF(R554&lt;&gt;0,R554,AD553),AD553)</f>
        <v>8715</v>
      </c>
      <c r="AE554" s="21">
        <f t="shared" ref="AE554:AE556" si="163">IFERROR(IF(S554&lt;&gt;0,S554,AE553),AE553)</f>
        <v>8860</v>
      </c>
      <c r="AF554" s="21">
        <f t="shared" ref="AF554:AF556" si="164">IFERROR(IF(T554&lt;&gt;0,T554,AF553),AF553)</f>
        <v>9635</v>
      </c>
      <c r="AK554" s="16"/>
      <c r="AL554" s="17"/>
      <c r="AN554" s="16"/>
    </row>
    <row r="555" spans="2:40" x14ac:dyDescent="0.4">
      <c r="B555" s="6">
        <f>I607</f>
        <v>46221</v>
      </c>
      <c r="C555" s="8">
        <f t="shared" si="155"/>
        <v>241.72400000000005</v>
      </c>
      <c r="D555" s="5">
        <f t="shared" si="156"/>
        <v>1442.6410000000005</v>
      </c>
      <c r="E555" s="5">
        <f t="shared" si="157"/>
        <v>1677.6410000000005</v>
      </c>
      <c r="F555" s="5">
        <f t="shared" si="158"/>
        <v>2472.6410000000005</v>
      </c>
      <c r="I555" s="11">
        <v>45857</v>
      </c>
      <c r="J555" s="9">
        <v>585.072</v>
      </c>
      <c r="K555" s="9">
        <v>838.63199999999995</v>
      </c>
      <c r="O555" s="11">
        <v>46263</v>
      </c>
      <c r="P555" s="9">
        <v>6144</v>
      </c>
      <c r="Q555" s="9">
        <v>5920.8</v>
      </c>
      <c r="R555" s="9">
        <v>8960</v>
      </c>
      <c r="S555" s="9">
        <v>9140</v>
      </c>
      <c r="T555" s="31">
        <v>9860</v>
      </c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>
        <f t="shared" si="159"/>
        <v>46263</v>
      </c>
      <c r="AB555" s="21">
        <f t="shared" si="160"/>
        <v>6144</v>
      </c>
      <c r="AC555" s="21">
        <f t="shared" si="161"/>
        <v>5920.8</v>
      </c>
      <c r="AD555" s="21">
        <f t="shared" si="162"/>
        <v>8960</v>
      </c>
      <c r="AE555" s="21">
        <f t="shared" si="163"/>
        <v>9140</v>
      </c>
      <c r="AF555" s="21">
        <f t="shared" si="164"/>
        <v>9860</v>
      </c>
      <c r="AK555" s="16"/>
      <c r="AL555" s="17"/>
      <c r="AN555" s="16"/>
    </row>
    <row r="556" spans="2:40" x14ac:dyDescent="0.4">
      <c r="B556" s="6">
        <f t="shared" ref="B556" si="165">I608</f>
        <v>46228</v>
      </c>
      <c r="C556" s="8">
        <f t="shared" si="155"/>
        <v>131.29399999999987</v>
      </c>
      <c r="D556" s="5">
        <f t="shared" si="156"/>
        <v>1603.0810000000008</v>
      </c>
      <c r="E556" s="5">
        <f t="shared" si="157"/>
        <v>1788.0810000000008</v>
      </c>
      <c r="F556" s="5">
        <f t="shared" si="158"/>
        <v>2563.081000000001</v>
      </c>
      <c r="I556" s="11">
        <v>45864</v>
      </c>
      <c r="J556" s="9">
        <v>572.17399999999998</v>
      </c>
      <c r="K556" s="9">
        <v>851.2</v>
      </c>
      <c r="O556" s="11">
        <v>46270</v>
      </c>
      <c r="P556" s="9">
        <v>6360</v>
      </c>
      <c r="Q556" s="9">
        <v>6601.8</v>
      </c>
      <c r="R556" s="9">
        <v>9160</v>
      </c>
      <c r="S556" s="9">
        <v>9310</v>
      </c>
      <c r="T556" s="31">
        <v>10060</v>
      </c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>
        <f t="shared" si="159"/>
        <v>46270</v>
      </c>
      <c r="AB556" s="21">
        <f t="shared" si="160"/>
        <v>6360</v>
      </c>
      <c r="AC556" s="21">
        <f t="shared" si="161"/>
        <v>6601.8</v>
      </c>
      <c r="AD556" s="21">
        <f t="shared" si="162"/>
        <v>9160</v>
      </c>
      <c r="AE556" s="21">
        <f t="shared" si="163"/>
        <v>9310</v>
      </c>
      <c r="AF556" s="21">
        <f t="shared" si="164"/>
        <v>10060</v>
      </c>
      <c r="AK556" s="16"/>
      <c r="AL556" s="17"/>
      <c r="AN556" s="16"/>
    </row>
    <row r="557" spans="2:40" x14ac:dyDescent="0.4">
      <c r="B557" s="6">
        <f t="shared" ref="B557" si="166">I609</f>
        <v>46235</v>
      </c>
      <c r="C557" s="8">
        <f t="shared" ref="C557" si="167">Y609-X609</f>
        <v>165.3900000000001</v>
      </c>
      <c r="D557" s="5">
        <f t="shared" ref="D557" si="168">IFERROR(VLOOKUP(B557,$AA:$AF,4,1)-0.855*VLOOKUP(B557,$AA:$AF,2,1)-0.335*VLOOKUP(B557,$AA:$AF,3,1),D556)</f>
        <v>1762.9259999999997</v>
      </c>
      <c r="E557" s="5">
        <f t="shared" ref="E557" si="169">IFERROR(VLOOKUP(B557,$AA:$AF,5,1)-0.855*VLOOKUP(B557,$AA:$AF,2,1)-0.335*VLOOKUP(B557,$AA:$AF,3,1),E556)</f>
        <v>1942.9259999999997</v>
      </c>
      <c r="F557" s="5">
        <f t="shared" ref="F557" si="170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>
        <v>46277</v>
      </c>
      <c r="P557" s="9">
        <v>6594</v>
      </c>
      <c r="Q557" s="9">
        <v>6816.2</v>
      </c>
      <c r="R557" s="9">
        <v>9315</v>
      </c>
      <c r="S557" s="9">
        <v>9515</v>
      </c>
      <c r="T557" s="31">
        <v>10270</v>
      </c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>
        <f t="shared" ref="AA557" si="171">O557</f>
        <v>46277</v>
      </c>
      <c r="AB557" s="21">
        <f t="shared" ref="AB557" si="172">IFERROR(IF(P557&lt;&gt;0,P557,AB556),AB556)</f>
        <v>6594</v>
      </c>
      <c r="AC557" s="21">
        <f t="shared" ref="AC557" si="173">IFERROR(IF(Q557&lt;&gt;0,Q557,AC556),AC556)</f>
        <v>6816.2</v>
      </c>
      <c r="AD557" s="21">
        <f t="shared" ref="AD557" si="174">IFERROR(IF(R557&lt;&gt;0,R557,AD556),AD556)</f>
        <v>9315</v>
      </c>
      <c r="AE557" s="21">
        <f t="shared" ref="AE557" si="175">IFERROR(IF(S557&lt;&gt;0,S557,AE556),AE556)</f>
        <v>9515</v>
      </c>
      <c r="AF557" s="21">
        <f t="shared" ref="AF557" si="176">IFERROR(IF(T557&lt;&gt;0,T557,AF556),AF556)</f>
        <v>10270</v>
      </c>
      <c r="AK557" s="16"/>
      <c r="AL557" s="17"/>
      <c r="AN557" s="16"/>
    </row>
    <row r="558" spans="2:40" x14ac:dyDescent="0.4">
      <c r="B558" s="6">
        <f t="shared" ref="B558:B561" si="177">I610</f>
        <v>46242</v>
      </c>
      <c r="C558" s="8">
        <f t="shared" ref="C558:C561" si="178">Y610-X610</f>
        <v>275.24600000000009</v>
      </c>
      <c r="D558" s="5">
        <f t="shared" ref="D558:D561" si="179">IFERROR(VLOOKUP(B558,$AA:$AF,4,1)-0.855*VLOOKUP(B558,$AA:$AF,2,1)-0.335*VLOOKUP(B558,$AA:$AF,3,1),D557)</f>
        <v>1582.4969999999998</v>
      </c>
      <c r="E558" s="5">
        <f t="shared" ref="E558:E561" si="180">IFERROR(VLOOKUP(B558,$AA:$AF,5,1)-0.855*VLOOKUP(B558,$AA:$AF,2,1)-0.335*VLOOKUP(B558,$AA:$AF,3,1),E557)</f>
        <v>1732.4969999999998</v>
      </c>
      <c r="F558" s="5">
        <f t="shared" ref="F558:F561" si="181">IFERROR(VLOOKUP(B558,$AA:$AF,6,1)-0.855*VLOOKUP(B558,$AA:$AF,2,1)-0.335*VLOOKUP(B558,$AA:$AF,3,1),F557)</f>
        <v>2577.4969999999998</v>
      </c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B559" s="6">
        <f t="shared" si="177"/>
        <v>46249</v>
      </c>
      <c r="C559" s="8">
        <f t="shared" si="178"/>
        <v>280.23249999999996</v>
      </c>
      <c r="D559" s="5">
        <f t="shared" si="179"/>
        <v>1559.8679999999997</v>
      </c>
      <c r="E559" s="5">
        <f t="shared" si="180"/>
        <v>1699.8679999999997</v>
      </c>
      <c r="F559" s="5">
        <f t="shared" si="181"/>
        <v>2529.8679999999995</v>
      </c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B560" s="6">
        <f t="shared" si="177"/>
        <v>46256</v>
      </c>
      <c r="C560" s="8">
        <f t="shared" si="178"/>
        <v>286.80999999999995</v>
      </c>
      <c r="D560" s="5">
        <f t="shared" si="179"/>
        <v>1379.4150000000004</v>
      </c>
      <c r="E560" s="5">
        <f t="shared" si="180"/>
        <v>1524.4150000000004</v>
      </c>
      <c r="F560" s="5">
        <f t="shared" si="181"/>
        <v>2299.4150000000004</v>
      </c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2:40" x14ac:dyDescent="0.4">
      <c r="B561" s="6">
        <f t="shared" si="177"/>
        <v>46263</v>
      </c>
      <c r="C561" s="8">
        <f t="shared" si="178"/>
        <v>254.66800000000001</v>
      </c>
      <c r="D561" s="5">
        <f t="shared" si="179"/>
        <v>1723.412</v>
      </c>
      <c r="E561" s="5">
        <f t="shared" si="180"/>
        <v>1903.412</v>
      </c>
      <c r="F561" s="5">
        <f t="shared" si="181"/>
        <v>2623.4120000000003</v>
      </c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2:40" x14ac:dyDescent="0.4">
      <c r="B562" s="6">
        <f t="shared" ref="B562:B563" si="182">I614</f>
        <v>46270</v>
      </c>
      <c r="C562" s="8">
        <f t="shared" ref="C562:C563" si="183">Y614-X614</f>
        <v>274.21999999999991</v>
      </c>
      <c r="D562" s="5">
        <f t="shared" ref="D562:D563" si="184">IFERROR(VLOOKUP(B562,$AA:$AF,4,1)-0.855*VLOOKUP(B562,$AA:$AF,2,1)-0.335*VLOOKUP(B562,$AA:$AF,3,1),D561)</f>
        <v>1510.5969999999998</v>
      </c>
      <c r="E562" s="5">
        <f t="shared" ref="E562:E563" si="185">IFERROR(VLOOKUP(B562,$AA:$AF,5,1)-0.855*VLOOKUP(B562,$AA:$AF,2,1)-0.335*VLOOKUP(B562,$AA:$AF,3,1),E561)</f>
        <v>1660.5969999999998</v>
      </c>
      <c r="F562" s="5">
        <f t="shared" ref="F562:F563" si="186">IFERROR(VLOOKUP(B562,$AA:$AF,6,1)-0.855*VLOOKUP(B562,$AA:$AF,2,1)-0.335*VLOOKUP(B562,$AA:$AF,3,1),F561)</f>
        <v>2410.5969999999998</v>
      </c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2:40" x14ac:dyDescent="0.4">
      <c r="B563" s="6">
        <f t="shared" si="182"/>
        <v>46277</v>
      </c>
      <c r="C563" s="8">
        <f t="shared" si="183"/>
        <v>309.51250000000005</v>
      </c>
      <c r="D563" s="5">
        <f t="shared" si="184"/>
        <v>1393.703</v>
      </c>
      <c r="E563" s="5">
        <f t="shared" si="185"/>
        <v>1593.703</v>
      </c>
      <c r="F563" s="5">
        <f t="shared" si="186"/>
        <v>2348.703</v>
      </c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2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2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2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2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2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2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2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2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2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2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2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2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2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87">I582</f>
        <v>46046</v>
      </c>
      <c r="X582" s="9">
        <f t="shared" ref="X582:X598" si="188">IFERROR(IF(J582&lt;&gt;0,J582,X581),X581)</f>
        <v>559.26400000000001</v>
      </c>
      <c r="Y582" s="9">
        <f t="shared" ref="Y582:Y598" si="189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87"/>
        <v>46053</v>
      </c>
      <c r="X583" s="9">
        <f t="shared" si="188"/>
        <v>586.82600000000002</v>
      </c>
      <c r="Y583" s="9">
        <f t="shared" si="189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87"/>
        <v>46060</v>
      </c>
      <c r="X584" s="9">
        <f t="shared" si="188"/>
        <v>600.50800000000004</v>
      </c>
      <c r="Y584" s="9">
        <f t="shared" si="189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87"/>
        <v>46067</v>
      </c>
      <c r="X585" s="9">
        <f t="shared" si="188"/>
        <v>618.42399999999998</v>
      </c>
      <c r="Y585" s="9">
        <f t="shared" si="189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87"/>
        <v>46074</v>
      </c>
      <c r="X586" s="9">
        <f t="shared" si="188"/>
        <v>615.3366666666667</v>
      </c>
      <c r="Y586" s="9">
        <f t="shared" si="189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87"/>
        <v>46081</v>
      </c>
      <c r="X587" s="9">
        <f t="shared" si="188"/>
        <v>633.92200000000003</v>
      </c>
      <c r="Y587" s="9">
        <f t="shared" si="189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87"/>
        <v>46088</v>
      </c>
      <c r="X588" s="9">
        <f t="shared" si="188"/>
        <v>795.89599999999996</v>
      </c>
      <c r="Y588" s="9">
        <f t="shared" si="189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87"/>
        <v>46095</v>
      </c>
      <c r="X589" s="9">
        <f t="shared" si="188"/>
        <v>1045.364</v>
      </c>
      <c r="Y589" s="9">
        <f t="shared" si="189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87"/>
        <v>46102</v>
      </c>
      <c r="X590" s="9">
        <f t="shared" si="188"/>
        <v>1204.4580000000001</v>
      </c>
      <c r="Y590" s="9">
        <f t="shared" si="189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87"/>
        <v>46109</v>
      </c>
      <c r="X591" s="9">
        <f t="shared" si="188"/>
        <v>1238.548</v>
      </c>
      <c r="Y591" s="9">
        <f t="shared" si="189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87"/>
        <v>46116</v>
      </c>
      <c r="X592" s="9">
        <f t="shared" si="188"/>
        <v>1337.1724999999999</v>
      </c>
      <c r="Y592" s="9">
        <f t="shared" si="189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87"/>
        <v>46123</v>
      </c>
      <c r="X593" s="9">
        <f t="shared" si="188"/>
        <v>1259.7280000000001</v>
      </c>
      <c r="Y593" s="9">
        <f t="shared" si="189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87"/>
        <v>46130</v>
      </c>
      <c r="X594" s="9">
        <f t="shared" si="188"/>
        <v>1165.778</v>
      </c>
      <c r="Y594" s="9">
        <f t="shared" si="189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87"/>
        <v>46137</v>
      </c>
      <c r="X595" s="9">
        <f t="shared" si="188"/>
        <v>1082.222</v>
      </c>
      <c r="Y595" s="9">
        <f t="shared" si="189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87"/>
        <v>46144</v>
      </c>
      <c r="X596" s="9">
        <f t="shared" si="188"/>
        <v>1160.06</v>
      </c>
      <c r="Y596" s="9">
        <f t="shared" si="189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87"/>
        <v>46151</v>
      </c>
      <c r="X597" s="9">
        <f t="shared" si="188"/>
        <v>1045.076</v>
      </c>
      <c r="Y597" s="9">
        <f t="shared" si="189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87"/>
        <v>46158</v>
      </c>
      <c r="X598" s="9">
        <f t="shared" si="188"/>
        <v>1065.134</v>
      </c>
      <c r="Y598" s="9">
        <f t="shared" si="189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90">I600</f>
        <v>46172</v>
      </c>
      <c r="X600" s="9">
        <f t="shared" ref="X600:X601" si="191">IFERROR(IF(J600&lt;&gt;0,J600,X599),X599)</f>
        <v>824.48249999999996</v>
      </c>
      <c r="Y600" s="9">
        <f t="shared" ref="Y600:Y601" si="192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90"/>
        <v>46179</v>
      </c>
      <c r="X601" s="9">
        <f t="shared" si="191"/>
        <v>781.9325</v>
      </c>
      <c r="Y601" s="9">
        <f t="shared" si="192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93">I602</f>
        <v>46186</v>
      </c>
      <c r="X602" s="9">
        <f t="shared" ref="X602:X605" si="194">IFERROR(IF(J602&lt;&gt;0,J602,X601),X601)</f>
        <v>751.16200000000003</v>
      </c>
      <c r="Y602" s="9">
        <f t="shared" ref="Y602:Y605" si="195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93"/>
        <v>46193</v>
      </c>
      <c r="X603" s="9">
        <f t="shared" si="194"/>
        <v>662.25400000000002</v>
      </c>
      <c r="Y603" s="9">
        <f t="shared" si="195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93"/>
        <v>46200</v>
      </c>
      <c r="X604" s="9">
        <f t="shared" si="194"/>
        <v>644.28800000000001</v>
      </c>
      <c r="Y604" s="9">
        <f t="shared" si="195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93"/>
        <v>46207</v>
      </c>
      <c r="X605" s="9">
        <f t="shared" si="194"/>
        <v>660.15800000000002</v>
      </c>
      <c r="Y605" s="9">
        <f t="shared" si="195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96">I606</f>
        <v>46214</v>
      </c>
      <c r="X606" s="9">
        <f t="shared" ref="X606:X608" si="197">IFERROR(IF(J606&lt;&gt;0,J606,X605),X605)</f>
        <v>713.59</v>
      </c>
      <c r="Y606" s="9">
        <f t="shared" ref="Y606:Y608" si="198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96"/>
        <v>46221</v>
      </c>
      <c r="X607" s="9">
        <f t="shared" si="197"/>
        <v>823.34199999999998</v>
      </c>
      <c r="Y607" s="9">
        <f t="shared" si="198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96"/>
        <v>46228</v>
      </c>
      <c r="X608" s="9">
        <f t="shared" si="197"/>
        <v>968.44</v>
      </c>
      <c r="Y608" s="9">
        <f t="shared" si="198"/>
        <v>1099.7339999999999</v>
      </c>
      <c r="AA608" s="16"/>
      <c r="AK608" s="16"/>
      <c r="AL608" s="17"/>
      <c r="AN608" s="16"/>
    </row>
    <row r="609" spans="9:40" x14ac:dyDescent="0.4">
      <c r="I609" s="11">
        <v>46235</v>
      </c>
      <c r="J609" s="9">
        <v>905.01</v>
      </c>
      <c r="K609" s="9">
        <v>1070.4000000000001</v>
      </c>
      <c r="O609" s="11"/>
      <c r="P609" s="9"/>
      <c r="Q609" s="9"/>
      <c r="R609" s="9"/>
      <c r="S609" s="9"/>
      <c r="T609" s="31"/>
      <c r="W609" s="16">
        <f t="shared" ref="W609" si="199">I609</f>
        <v>46235</v>
      </c>
      <c r="X609" s="9">
        <f t="shared" ref="X609" si="200">IFERROR(IF(J609&lt;&gt;0,J609,X608),X608)</f>
        <v>905.01</v>
      </c>
      <c r="Y609" s="9">
        <f t="shared" ref="Y609" si="201">IFERROR(IF(K609&lt;&gt;0,K609,Y608),Y608)</f>
        <v>1070.4000000000001</v>
      </c>
      <c r="AA609" s="16"/>
      <c r="AK609" s="16"/>
      <c r="AL609" s="17"/>
      <c r="AN609" s="16"/>
    </row>
    <row r="610" spans="9:40" x14ac:dyDescent="0.4">
      <c r="I610" s="11">
        <v>46242</v>
      </c>
      <c r="J610" s="9">
        <v>799.58600000000001</v>
      </c>
      <c r="K610" s="9">
        <v>1074.8320000000001</v>
      </c>
      <c r="O610" s="11"/>
      <c r="P610" s="9"/>
      <c r="Q610" s="9"/>
      <c r="R610" s="9"/>
      <c r="S610" s="9"/>
      <c r="T610" s="31"/>
      <c r="W610" s="16">
        <f t="shared" ref="W610:W614" si="202">I610</f>
        <v>46242</v>
      </c>
      <c r="X610" s="9">
        <f t="shared" ref="X610:X614" si="203">IFERROR(IF(J610&lt;&gt;0,J610,X609),X609)</f>
        <v>799.58600000000001</v>
      </c>
      <c r="Y610" s="9">
        <f t="shared" ref="Y610:Y614" si="204">IFERROR(IF(K610&lt;&gt;0,K610,Y609),Y609)</f>
        <v>1074.8320000000001</v>
      </c>
      <c r="AA610" s="16"/>
      <c r="AK610" s="16"/>
      <c r="AL610" s="17"/>
      <c r="AN610" s="16"/>
    </row>
    <row r="611" spans="9:40" x14ac:dyDescent="0.4">
      <c r="I611" s="11">
        <v>46249</v>
      </c>
      <c r="J611" s="9">
        <v>811.26750000000004</v>
      </c>
      <c r="K611" s="9">
        <v>1091.5</v>
      </c>
      <c r="O611" s="11"/>
      <c r="P611" s="9"/>
      <c r="Q611" s="9"/>
      <c r="R611" s="9"/>
      <c r="S611" s="9"/>
      <c r="T611" s="31"/>
      <c r="W611" s="16">
        <f t="shared" si="202"/>
        <v>46249</v>
      </c>
      <c r="X611" s="9">
        <f t="shared" si="203"/>
        <v>811.26750000000004</v>
      </c>
      <c r="Y611" s="9">
        <f t="shared" si="204"/>
        <v>1091.5</v>
      </c>
      <c r="AA611" s="16"/>
      <c r="AK611" s="16"/>
      <c r="AL611" s="17"/>
      <c r="AN611" s="16"/>
    </row>
    <row r="612" spans="9:40" x14ac:dyDescent="0.4">
      <c r="I612" s="11">
        <v>46256</v>
      </c>
      <c r="J612" s="9">
        <v>821.72</v>
      </c>
      <c r="K612" s="9">
        <v>1108.53</v>
      </c>
      <c r="O612" s="11"/>
      <c r="P612" s="9"/>
      <c r="Q612" s="9"/>
      <c r="R612" s="9"/>
      <c r="S612" s="9"/>
      <c r="T612" s="31"/>
      <c r="W612" s="16">
        <f t="shared" si="202"/>
        <v>46256</v>
      </c>
      <c r="X612" s="9">
        <f t="shared" si="203"/>
        <v>821.72</v>
      </c>
      <c r="Y612" s="9">
        <f t="shared" si="204"/>
        <v>1108.53</v>
      </c>
      <c r="AA612" s="16"/>
      <c r="AK612" s="16"/>
      <c r="AL612" s="17"/>
      <c r="AN612" s="16"/>
    </row>
    <row r="613" spans="9:40" x14ac:dyDescent="0.4">
      <c r="I613" s="11">
        <v>46263</v>
      </c>
      <c r="J613" s="9">
        <v>826.83199999999999</v>
      </c>
      <c r="K613" s="9">
        <v>1081.5</v>
      </c>
      <c r="O613" s="11"/>
      <c r="P613" s="9"/>
      <c r="Q613" s="9"/>
      <c r="R613" s="9"/>
      <c r="S613" s="9"/>
      <c r="T613" s="31"/>
      <c r="W613" s="16">
        <f t="shared" si="202"/>
        <v>46263</v>
      </c>
      <c r="X613" s="9">
        <f t="shared" si="203"/>
        <v>826.83199999999999</v>
      </c>
      <c r="Y613" s="9">
        <f t="shared" si="204"/>
        <v>1081.5</v>
      </c>
      <c r="AA613" s="16"/>
      <c r="AK613" s="16"/>
      <c r="AL613" s="17"/>
      <c r="AN613" s="16"/>
    </row>
    <row r="614" spans="9:40" x14ac:dyDescent="0.4">
      <c r="I614" s="11">
        <v>46270</v>
      </c>
      <c r="J614" s="9">
        <v>871.38</v>
      </c>
      <c r="K614" s="9">
        <v>1145.5999999999999</v>
      </c>
      <c r="O614" s="11"/>
      <c r="P614" s="9"/>
      <c r="Q614" s="9"/>
      <c r="R614" s="9"/>
      <c r="S614" s="9"/>
      <c r="T614" s="31"/>
      <c r="W614" s="16">
        <f t="shared" si="202"/>
        <v>46270</v>
      </c>
      <c r="X614" s="9">
        <f t="shared" si="203"/>
        <v>871.38</v>
      </c>
      <c r="Y614" s="9">
        <f t="shared" si="204"/>
        <v>1145.5999999999999</v>
      </c>
      <c r="AA614" s="16"/>
      <c r="AK614" s="16"/>
      <c r="AL614" s="17"/>
      <c r="AN614" s="16"/>
    </row>
    <row r="615" spans="9:40" x14ac:dyDescent="0.4">
      <c r="I615" s="11">
        <v>46277</v>
      </c>
      <c r="J615" s="9">
        <v>909.57249999999999</v>
      </c>
      <c r="K615" s="9">
        <v>1219.085</v>
      </c>
      <c r="O615" s="11"/>
      <c r="P615" s="9"/>
      <c r="Q615" s="9"/>
      <c r="R615" s="9"/>
      <c r="S615" s="9"/>
      <c r="T615" s="31"/>
      <c r="W615" s="16">
        <f t="shared" ref="W615" si="205">I615</f>
        <v>46277</v>
      </c>
      <c r="X615" s="9">
        <f t="shared" ref="X615" si="206">IFERROR(IF(J615&lt;&gt;0,J615,X614),X614)</f>
        <v>909.57249999999999</v>
      </c>
      <c r="Y615" s="9">
        <f t="shared" ref="Y615" si="207">IFERROR(IF(K615&lt;&gt;0,K615,Y614),Y614)</f>
        <v>1219.085</v>
      </c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2026-09-13T05:27:00Z</dcterms:modified>
</cp:coreProperties>
</file>