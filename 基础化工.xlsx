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Documents\3c_new_new\化工数据周度\"/>
    </mc:Choice>
  </mc:AlternateContent>
  <xr:revisionPtr revIDLastSave="0" documentId="13_ncr:1_{25A596D4-F165-4147-A30D-E6AC503BDD6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价格" sheetId="5" r:id="rId1"/>
    <sheet name="库存" sheetId="9" r:id="rId2"/>
    <sheet name="开工" sheetId="12" r:id="rId3"/>
    <sheet name="价差" sheetId="4" r:id="rId4"/>
  </sheets>
  <externalReferences>
    <externalReference r:id="rId5"/>
  </externalReference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17" i="4" l="1"/>
  <c r="X617" i="4"/>
  <c r="W617" i="4"/>
  <c r="Y616" i="4"/>
  <c r="X616" i="4"/>
  <c r="W616" i="4"/>
  <c r="Y615" i="4"/>
  <c r="X615" i="4"/>
  <c r="W615" i="4"/>
  <c r="Y614" i="4"/>
  <c r="X614" i="4"/>
  <c r="W614" i="4"/>
  <c r="C565" i="4"/>
  <c r="AA559" i="4"/>
  <c r="AB559" i="4"/>
  <c r="AC559" i="4"/>
  <c r="AD559" i="4"/>
  <c r="AE559" i="4"/>
  <c r="AF559" i="4"/>
  <c r="B565" i="4"/>
  <c r="D565" i="4"/>
  <c r="E565" i="4"/>
  <c r="F565" i="4"/>
  <c r="A662" i="12"/>
  <c r="B662" i="12"/>
  <c r="C662" i="12"/>
  <c r="D662" i="12"/>
  <c r="A927" i="9"/>
  <c r="B927" i="9"/>
  <c r="C927" i="9"/>
  <c r="D927" i="9"/>
  <c r="E927" i="9"/>
  <c r="F927" i="9"/>
  <c r="H596" i="5"/>
  <c r="I596" i="5"/>
  <c r="J596" i="5"/>
  <c r="B3124" i="5"/>
  <c r="C3124" i="5"/>
  <c r="D3124" i="5"/>
  <c r="E3124" i="5"/>
  <c r="F3124" i="5"/>
  <c r="B3125" i="5"/>
  <c r="C3125" i="5"/>
  <c r="D3125" i="5"/>
  <c r="E3125" i="5"/>
  <c r="F3125" i="5"/>
  <c r="B3126" i="5"/>
  <c r="C3126" i="5"/>
  <c r="D3126" i="5"/>
  <c r="E3126" i="5"/>
  <c r="F3126" i="5"/>
  <c r="B3127" i="5"/>
  <c r="C3127" i="5"/>
  <c r="D3127" i="5"/>
  <c r="E3127" i="5"/>
  <c r="F3127" i="5"/>
  <c r="B3128" i="5"/>
  <c r="C3128" i="5"/>
  <c r="D3128" i="5"/>
  <c r="E3128" i="5"/>
  <c r="F3128" i="5"/>
  <c r="F3129" i="5" s="1"/>
  <c r="B3129" i="5"/>
  <c r="C3129" i="5"/>
  <c r="D3129" i="5"/>
  <c r="E3129" i="5"/>
  <c r="AA558" i="4"/>
  <c r="AB558" i="4"/>
  <c r="AC558" i="4"/>
  <c r="AD558" i="4"/>
  <c r="AE558" i="4"/>
  <c r="AF558" i="4"/>
  <c r="B564" i="4"/>
  <c r="C564" i="4"/>
  <c r="A661" i="12"/>
  <c r="B661" i="12"/>
  <c r="C661" i="12"/>
  <c r="D661" i="12"/>
  <c r="A926" i="9"/>
  <c r="B926" i="9"/>
  <c r="C926" i="9"/>
  <c r="D926" i="9"/>
  <c r="E926" i="9"/>
  <c r="F926" i="9"/>
  <c r="B3120" i="5"/>
  <c r="C3120" i="5"/>
  <c r="D3120" i="5"/>
  <c r="E3120" i="5"/>
  <c r="F3120" i="5"/>
  <c r="B3121" i="5"/>
  <c r="C3121" i="5"/>
  <c r="D3121" i="5"/>
  <c r="E3121" i="5"/>
  <c r="F3121" i="5"/>
  <c r="B3122" i="5"/>
  <c r="C3122" i="5"/>
  <c r="D3122" i="5"/>
  <c r="E3122" i="5"/>
  <c r="F3122" i="5"/>
  <c r="B3123" i="5"/>
  <c r="C3123" i="5"/>
  <c r="D3123" i="5"/>
  <c r="E3123" i="5"/>
  <c r="F3123" i="5"/>
  <c r="B3119" i="5"/>
  <c r="C3119" i="5"/>
  <c r="D3119" i="5"/>
  <c r="E3119" i="5"/>
  <c r="F3119" i="5"/>
  <c r="H595" i="5"/>
  <c r="I595" i="5"/>
  <c r="J595" i="5"/>
  <c r="B563" i="4"/>
  <c r="AA557" i="4"/>
  <c r="AB557" i="4"/>
  <c r="AC557" i="4"/>
  <c r="AD557" i="4"/>
  <c r="AE557" i="4"/>
  <c r="AF557" i="4"/>
  <c r="A660" i="12"/>
  <c r="B660" i="12"/>
  <c r="C660" i="12"/>
  <c r="D660" i="12"/>
  <c r="A925" i="9"/>
  <c r="B925" i="9"/>
  <c r="C925" i="9"/>
  <c r="D925" i="9"/>
  <c r="E925" i="9"/>
  <c r="F925" i="9"/>
  <c r="B3118" i="5"/>
  <c r="C3118" i="5"/>
  <c r="D3118" i="5"/>
  <c r="E3118" i="5"/>
  <c r="F3118" i="5"/>
  <c r="B3114" i="5"/>
  <c r="C3114" i="5"/>
  <c r="D3114" i="5"/>
  <c r="E3114" i="5"/>
  <c r="F3114" i="5"/>
  <c r="B3115" i="5"/>
  <c r="C3115" i="5"/>
  <c r="D3115" i="5"/>
  <c r="E3115" i="5"/>
  <c r="F3115" i="5"/>
  <c r="B3116" i="5"/>
  <c r="C3116" i="5"/>
  <c r="D3116" i="5"/>
  <c r="E3116" i="5"/>
  <c r="F3116" i="5"/>
  <c r="B3117" i="5"/>
  <c r="C3117" i="5"/>
  <c r="D3117" i="5"/>
  <c r="E3117" i="5"/>
  <c r="F3117" i="5"/>
  <c r="H594" i="5"/>
  <c r="I594" i="5"/>
  <c r="B561" i="4"/>
  <c r="B562" i="4"/>
  <c r="AA555" i="4"/>
  <c r="AB555" i="4"/>
  <c r="AC555" i="4"/>
  <c r="AD555" i="4"/>
  <c r="AE555" i="4"/>
  <c r="AF555" i="4"/>
  <c r="AA556" i="4"/>
  <c r="AB556" i="4"/>
  <c r="AC556" i="4"/>
  <c r="AD556" i="4"/>
  <c r="AE556" i="4"/>
  <c r="AF556" i="4"/>
  <c r="W613" i="4"/>
  <c r="X613" i="4"/>
  <c r="Y613" i="4"/>
  <c r="A658" i="12"/>
  <c r="B658" i="12"/>
  <c r="C658" i="12"/>
  <c r="D658" i="12"/>
  <c r="A659" i="12"/>
  <c r="B659" i="12"/>
  <c r="C659" i="12"/>
  <c r="D659" i="12"/>
  <c r="A923" i="9"/>
  <c r="B923" i="9"/>
  <c r="C923" i="9"/>
  <c r="D923" i="9"/>
  <c r="E923" i="9"/>
  <c r="F923" i="9"/>
  <c r="A924" i="9"/>
  <c r="B924" i="9"/>
  <c r="C924" i="9"/>
  <c r="D924" i="9"/>
  <c r="E924" i="9"/>
  <c r="F924" i="9"/>
  <c r="B3104" i="5"/>
  <c r="C3104" i="5"/>
  <c r="D3104" i="5"/>
  <c r="E3104" i="5"/>
  <c r="F3104" i="5"/>
  <c r="B3105" i="5"/>
  <c r="C3105" i="5"/>
  <c r="D3105" i="5"/>
  <c r="E3105" i="5"/>
  <c r="F3105" i="5"/>
  <c r="B3106" i="5"/>
  <c r="C3106" i="5"/>
  <c r="D3106" i="5"/>
  <c r="E3106" i="5"/>
  <c r="F3106" i="5"/>
  <c r="B3107" i="5"/>
  <c r="C3107" i="5"/>
  <c r="D3107" i="5"/>
  <c r="E3107" i="5"/>
  <c r="F3107" i="5"/>
  <c r="B3108" i="5"/>
  <c r="C3108" i="5"/>
  <c r="D3108" i="5"/>
  <c r="E3108" i="5"/>
  <c r="F3108" i="5"/>
  <c r="B3109" i="5"/>
  <c r="C3109" i="5"/>
  <c r="D3109" i="5"/>
  <c r="E3109" i="5"/>
  <c r="F3109" i="5"/>
  <c r="B3110" i="5"/>
  <c r="C3110" i="5"/>
  <c r="D3110" i="5"/>
  <c r="E3110" i="5"/>
  <c r="F3110" i="5"/>
  <c r="B3111" i="5"/>
  <c r="C3111" i="5"/>
  <c r="D3111" i="5"/>
  <c r="E3111" i="5"/>
  <c r="F3111" i="5"/>
  <c r="B3112" i="5"/>
  <c r="C3112" i="5"/>
  <c r="D3112" i="5"/>
  <c r="E3112" i="5"/>
  <c r="F3112" i="5"/>
  <c r="B3113" i="5"/>
  <c r="C3113" i="5"/>
  <c r="D3113" i="5"/>
  <c r="E3113" i="5"/>
  <c r="F3113" i="5"/>
  <c r="H593" i="5"/>
  <c r="I593" i="5"/>
  <c r="J593" i="5"/>
  <c r="J594" i="5" s="1"/>
  <c r="J592" i="5"/>
  <c r="J585" i="5"/>
  <c r="J586" i="5"/>
  <c r="J587" i="5"/>
  <c r="J588" i="5"/>
  <c r="J589" i="5"/>
  <c r="J590" i="5"/>
  <c r="J591" i="5"/>
  <c r="H592" i="5"/>
  <c r="I592" i="5"/>
  <c r="B560" i="4"/>
  <c r="AA554" i="4"/>
  <c r="AB554" i="4"/>
  <c r="AC554" i="4"/>
  <c r="AD554" i="4"/>
  <c r="AE554" i="4"/>
  <c r="AF554" i="4"/>
  <c r="W612" i="4"/>
  <c r="X612" i="4"/>
  <c r="Y612" i="4"/>
  <c r="A657" i="12"/>
  <c r="B657" i="12"/>
  <c r="C657" i="12"/>
  <c r="D657" i="12"/>
  <c r="A922" i="9"/>
  <c r="B922" i="9"/>
  <c r="C922" i="9"/>
  <c r="D922" i="9"/>
  <c r="E922" i="9"/>
  <c r="F922" i="9"/>
  <c r="H591" i="5"/>
  <c r="I591" i="5"/>
  <c r="B3103" i="5"/>
  <c r="C3103" i="5"/>
  <c r="D3103" i="5"/>
  <c r="E3103" i="5"/>
  <c r="F3103" i="5"/>
  <c r="B3098" i="5"/>
  <c r="C3098" i="5"/>
  <c r="D3098" i="5"/>
  <c r="E3098" i="5"/>
  <c r="F3098" i="5"/>
  <c r="B3099" i="5"/>
  <c r="C3099" i="5"/>
  <c r="D3099" i="5"/>
  <c r="E3099" i="5"/>
  <c r="F3099" i="5"/>
  <c r="B3100" i="5"/>
  <c r="C3100" i="5"/>
  <c r="D3100" i="5"/>
  <c r="E3100" i="5"/>
  <c r="F3100" i="5"/>
  <c r="B3101" i="5"/>
  <c r="C3101" i="5"/>
  <c r="D3101" i="5"/>
  <c r="E3101" i="5"/>
  <c r="F3101" i="5"/>
  <c r="B3102" i="5"/>
  <c r="C3102" i="5"/>
  <c r="D3102" i="5"/>
  <c r="E3102" i="5"/>
  <c r="F3102" i="5"/>
  <c r="B559" i="4"/>
  <c r="W611" i="4"/>
  <c r="X611" i="4"/>
  <c r="Y611" i="4"/>
  <c r="AA553" i="4"/>
  <c r="AB553" i="4"/>
  <c r="AC553" i="4"/>
  <c r="AD553" i="4"/>
  <c r="AE553" i="4"/>
  <c r="AF553" i="4"/>
  <c r="A656" i="12"/>
  <c r="B656" i="12"/>
  <c r="C656" i="12"/>
  <c r="D656" i="12"/>
  <c r="A921" i="9"/>
  <c r="B921" i="9"/>
  <c r="C921" i="9"/>
  <c r="D921" i="9"/>
  <c r="E921" i="9"/>
  <c r="F921" i="9"/>
  <c r="B3094" i="5"/>
  <c r="C3094" i="5"/>
  <c r="E3094" i="5"/>
  <c r="F3094" i="5"/>
  <c r="B3095" i="5"/>
  <c r="C3095" i="5"/>
  <c r="D3095" i="5"/>
  <c r="E3095" i="5"/>
  <c r="F3095" i="5"/>
  <c r="B3096" i="5"/>
  <c r="C3096" i="5"/>
  <c r="D3096" i="5"/>
  <c r="E3096" i="5"/>
  <c r="F3096" i="5"/>
  <c r="B3097" i="5"/>
  <c r="C3097" i="5"/>
  <c r="D3097" i="5"/>
  <c r="E3097" i="5"/>
  <c r="F3097" i="5"/>
  <c r="H588" i="5"/>
  <c r="I588" i="5"/>
  <c r="H589" i="5"/>
  <c r="I589" i="5"/>
  <c r="H590" i="5"/>
  <c r="I590" i="5"/>
  <c r="B558" i="4"/>
  <c r="AF552" i="4"/>
  <c r="AE552" i="4"/>
  <c r="AD552" i="4"/>
  <c r="AC552" i="4"/>
  <c r="AB552" i="4"/>
  <c r="AA552" i="4"/>
  <c r="W610" i="4"/>
  <c r="Y610" i="4"/>
  <c r="X610" i="4"/>
  <c r="D655" i="12"/>
  <c r="C655" i="12"/>
  <c r="B655" i="12"/>
  <c r="A655" i="12"/>
  <c r="F920" i="9"/>
  <c r="E920" i="9"/>
  <c r="D920" i="9"/>
  <c r="C920" i="9"/>
  <c r="B920" i="9"/>
  <c r="A920" i="9"/>
  <c r="F3093" i="5"/>
  <c r="E3093" i="5"/>
  <c r="D3093" i="5"/>
  <c r="D3094" i="5" s="1"/>
  <c r="B3093" i="5"/>
  <c r="F3092" i="5"/>
  <c r="E3092" i="5"/>
  <c r="D3092" i="5"/>
  <c r="C3092" i="5"/>
  <c r="C3093" i="5" s="1"/>
  <c r="B3092" i="5"/>
  <c r="F3091" i="5"/>
  <c r="E3091" i="5"/>
  <c r="D3091" i="5"/>
  <c r="C3091" i="5"/>
  <c r="B3091" i="5"/>
  <c r="F3090" i="5"/>
  <c r="E3090" i="5"/>
  <c r="D3090" i="5"/>
  <c r="C3090" i="5"/>
  <c r="B3090" i="5"/>
  <c r="F3089" i="5"/>
  <c r="E3089" i="5"/>
  <c r="D3089" i="5"/>
  <c r="C3089" i="5"/>
  <c r="B3089" i="5"/>
  <c r="AF551" i="4"/>
  <c r="AE551" i="4"/>
  <c r="AD551" i="4"/>
  <c r="AC551" i="4"/>
  <c r="AB551" i="4"/>
  <c r="AA551" i="4"/>
  <c r="Y609" i="4"/>
  <c r="X609" i="4"/>
  <c r="W609" i="4"/>
  <c r="B557" i="4"/>
  <c r="D654" i="12"/>
  <c r="C654" i="12"/>
  <c r="B654" i="12"/>
  <c r="A654" i="12"/>
  <c r="F3088" i="5"/>
  <c r="E3088" i="5"/>
  <c r="D3088" i="5"/>
  <c r="C3088" i="5"/>
  <c r="B3088" i="5"/>
  <c r="F3087" i="5"/>
  <c r="E3087" i="5"/>
  <c r="D3087" i="5"/>
  <c r="C3087" i="5"/>
  <c r="B3087" i="5"/>
  <c r="F3086" i="5"/>
  <c r="E3086" i="5"/>
  <c r="D3086" i="5"/>
  <c r="C3086" i="5"/>
  <c r="B3086" i="5"/>
  <c r="F3085" i="5"/>
  <c r="E3085" i="5"/>
  <c r="D3085" i="5"/>
  <c r="C3085" i="5"/>
  <c r="B3085" i="5"/>
  <c r="F3084" i="5"/>
  <c r="E3084" i="5"/>
  <c r="D3084" i="5"/>
  <c r="C3084" i="5"/>
  <c r="B3084" i="5"/>
  <c r="F919" i="9"/>
  <c r="E919" i="9"/>
  <c r="D919" i="9"/>
  <c r="B919" i="9"/>
  <c r="A919" i="9"/>
  <c r="H586" i="5"/>
  <c r="I586" i="5"/>
  <c r="H587" i="5"/>
  <c r="I587" i="5"/>
  <c r="B3083" i="5"/>
  <c r="C3083" i="5"/>
  <c r="D3083" i="5"/>
  <c r="E3083" i="5"/>
  <c r="F3083" i="5"/>
  <c r="B3079" i="5"/>
  <c r="C3079" i="5"/>
  <c r="D3079" i="5"/>
  <c r="E3079" i="5"/>
  <c r="F3079" i="5"/>
  <c r="B3080" i="5"/>
  <c r="C3080" i="5"/>
  <c r="D3080" i="5"/>
  <c r="E3080" i="5"/>
  <c r="F3080" i="5"/>
  <c r="B3081" i="5"/>
  <c r="C3081" i="5"/>
  <c r="D3081" i="5"/>
  <c r="E3081" i="5"/>
  <c r="F3081" i="5"/>
  <c r="B3082" i="5"/>
  <c r="C3082" i="5"/>
  <c r="D3082" i="5"/>
  <c r="E3082" i="5"/>
  <c r="F3082" i="5"/>
  <c r="B556" i="4"/>
  <c r="AA550" i="4"/>
  <c r="AB550" i="4"/>
  <c r="AC550" i="4"/>
  <c r="AD550" i="4"/>
  <c r="AE550" i="4"/>
  <c r="AF550" i="4"/>
  <c r="W608" i="4"/>
  <c r="X608" i="4"/>
  <c r="Y608" i="4"/>
  <c r="A652" i="12"/>
  <c r="B652" i="12"/>
  <c r="C652" i="12"/>
  <c r="D652" i="12"/>
  <c r="A653" i="12"/>
  <c r="B653" i="12"/>
  <c r="C653" i="12"/>
  <c r="D653" i="12"/>
  <c r="A918" i="9"/>
  <c r="B918" i="9"/>
  <c r="C918" i="9"/>
  <c r="C919" i="9" s="1"/>
  <c r="E918" i="9"/>
  <c r="F918" i="9"/>
  <c r="B3078" i="5"/>
  <c r="C3078" i="5"/>
  <c r="D3078" i="5"/>
  <c r="E3078" i="5"/>
  <c r="F3078" i="5"/>
  <c r="B3076" i="5"/>
  <c r="C3076" i="5"/>
  <c r="D3076" i="5"/>
  <c r="E3076" i="5"/>
  <c r="F3076" i="5"/>
  <c r="B3077" i="5"/>
  <c r="C3077" i="5"/>
  <c r="D3077" i="5"/>
  <c r="E3077" i="5"/>
  <c r="F3077" i="5"/>
  <c r="B3075" i="5"/>
  <c r="C3075" i="5"/>
  <c r="D3075" i="5"/>
  <c r="E3075" i="5"/>
  <c r="F3075" i="5"/>
  <c r="W607" i="4"/>
  <c r="X607" i="4"/>
  <c r="Y607" i="4"/>
  <c r="AA549" i="4"/>
  <c r="AB549" i="4"/>
  <c r="AC549" i="4"/>
  <c r="AD549" i="4"/>
  <c r="AE549" i="4"/>
  <c r="AF549" i="4"/>
  <c r="B555" i="4"/>
  <c r="J580" i="5"/>
  <c r="J581" i="5"/>
  <c r="J582" i="5"/>
  <c r="J583" i="5"/>
  <c r="J584" i="5"/>
  <c r="B3074" i="5"/>
  <c r="C3074" i="5"/>
  <c r="D3074" i="5"/>
  <c r="E3074" i="5"/>
  <c r="F3074" i="5"/>
  <c r="A917" i="9"/>
  <c r="B917" i="9"/>
  <c r="C917" i="9"/>
  <c r="D917" i="9"/>
  <c r="D918" i="9" s="1"/>
  <c r="E917" i="9"/>
  <c r="B554" i="4"/>
  <c r="W606" i="4"/>
  <c r="X606" i="4"/>
  <c r="Y606" i="4"/>
  <c r="AA548" i="4"/>
  <c r="AB548" i="4"/>
  <c r="AC548" i="4"/>
  <c r="AD548" i="4"/>
  <c r="AE548" i="4"/>
  <c r="AF548" i="4"/>
  <c r="A651" i="12"/>
  <c r="B651" i="12"/>
  <c r="C651" i="12"/>
  <c r="D651" i="12"/>
  <c r="A916" i="9"/>
  <c r="B916" i="9"/>
  <c r="C916" i="9"/>
  <c r="D916" i="9"/>
  <c r="E916" i="9"/>
  <c r="F916" i="9"/>
  <c r="F917" i="9" s="1"/>
  <c r="H585" i="5"/>
  <c r="I585" i="5"/>
  <c r="B3069" i="5"/>
  <c r="C3069" i="5"/>
  <c r="D3069" i="5"/>
  <c r="E3069" i="5"/>
  <c r="F3069" i="5"/>
  <c r="B3070" i="5"/>
  <c r="C3070" i="5"/>
  <c r="D3070" i="5"/>
  <c r="E3070" i="5"/>
  <c r="F3070" i="5"/>
  <c r="B3071" i="5"/>
  <c r="C3071" i="5"/>
  <c r="D3071" i="5"/>
  <c r="E3071" i="5"/>
  <c r="F3071" i="5"/>
  <c r="B3072" i="5"/>
  <c r="C3072" i="5"/>
  <c r="C3073" i="5" s="1"/>
  <c r="D3072" i="5"/>
  <c r="E3072" i="5"/>
  <c r="F3072" i="5"/>
  <c r="B3073" i="5"/>
  <c r="D3073" i="5"/>
  <c r="E3073" i="5"/>
  <c r="F3073" i="5"/>
  <c r="A650" i="12"/>
  <c r="B650" i="12"/>
  <c r="C650" i="12"/>
  <c r="D650" i="12"/>
  <c r="B553" i="4"/>
  <c r="W605" i="4"/>
  <c r="X605" i="4"/>
  <c r="Y605" i="4"/>
  <c r="AA547" i="4"/>
  <c r="AB547" i="4"/>
  <c r="AC547" i="4"/>
  <c r="AD547" i="4"/>
  <c r="AE547" i="4"/>
  <c r="AF547" i="4"/>
  <c r="A915" i="9"/>
  <c r="B915" i="9"/>
  <c r="C915" i="9"/>
  <c r="D915" i="9"/>
  <c r="E915" i="9"/>
  <c r="F915" i="9"/>
  <c r="H584" i="5"/>
  <c r="I584" i="5"/>
  <c r="B3064" i="5"/>
  <c r="C3064" i="5"/>
  <c r="D3064" i="5"/>
  <c r="E3064" i="5"/>
  <c r="F3064" i="5"/>
  <c r="B3065" i="5"/>
  <c r="C3065" i="5"/>
  <c r="D3065" i="5"/>
  <c r="E3065" i="5"/>
  <c r="F3065" i="5"/>
  <c r="B3066" i="5"/>
  <c r="C3066" i="5"/>
  <c r="D3066" i="5"/>
  <c r="E3066" i="5"/>
  <c r="F3066" i="5"/>
  <c r="B3067" i="5"/>
  <c r="C3067" i="5"/>
  <c r="D3067" i="5"/>
  <c r="D3068" i="5" s="1"/>
  <c r="E3067" i="5"/>
  <c r="F3067" i="5"/>
  <c r="B3068" i="5"/>
  <c r="C3068" i="5"/>
  <c r="E3068" i="5"/>
  <c r="F3068" i="5"/>
  <c r="B552" i="4"/>
  <c r="W604" i="4"/>
  <c r="X604" i="4"/>
  <c r="Y604" i="4"/>
  <c r="AA546" i="4"/>
  <c r="AB546" i="4"/>
  <c r="AC546" i="4"/>
  <c r="AD546" i="4"/>
  <c r="AE546" i="4"/>
  <c r="AF546" i="4"/>
  <c r="A649" i="12"/>
  <c r="B649" i="12"/>
  <c r="C649" i="12"/>
  <c r="D649" i="12"/>
  <c r="A914" i="9"/>
  <c r="B914" i="9"/>
  <c r="C914" i="9"/>
  <c r="E914" i="9"/>
  <c r="F914" i="9"/>
  <c r="B3059" i="5"/>
  <c r="C3059" i="5"/>
  <c r="D3059" i="5"/>
  <c r="E3059" i="5"/>
  <c r="F3059" i="5"/>
  <c r="B3060" i="5"/>
  <c r="C3060" i="5"/>
  <c r="D3060" i="5"/>
  <c r="E3060" i="5"/>
  <c r="F3060" i="5"/>
  <c r="B3061" i="5"/>
  <c r="C3061" i="5"/>
  <c r="D3061" i="5"/>
  <c r="E3061" i="5"/>
  <c r="F3061" i="5"/>
  <c r="B3062" i="5"/>
  <c r="C3062" i="5"/>
  <c r="D3062" i="5"/>
  <c r="E3062" i="5"/>
  <c r="F3062" i="5"/>
  <c r="B3063" i="5"/>
  <c r="C3063" i="5"/>
  <c r="D3063" i="5"/>
  <c r="E3063" i="5"/>
  <c r="F3063" i="5"/>
  <c r="H583" i="5"/>
  <c r="I583" i="5"/>
  <c r="B3058" i="5"/>
  <c r="D3058" i="5"/>
  <c r="A648" i="12"/>
  <c r="C648" i="12"/>
  <c r="D648" i="12"/>
  <c r="A913" i="9"/>
  <c r="D913" i="9"/>
  <c r="D914" i="9" s="1"/>
  <c r="E913" i="9"/>
  <c r="F913" i="9"/>
  <c r="W603" i="4"/>
  <c r="X603" i="4"/>
  <c r="Y603" i="4"/>
  <c r="B551" i="4"/>
  <c r="AA545" i="4"/>
  <c r="AB545" i="4"/>
  <c r="AC545" i="4"/>
  <c r="AD545" i="4"/>
  <c r="AE545" i="4"/>
  <c r="AF545" i="4"/>
  <c r="H582" i="5"/>
  <c r="I582" i="5"/>
  <c r="B3057" i="5"/>
  <c r="E3057" i="5"/>
  <c r="E3058" i="5" s="1"/>
  <c r="F3057" i="5"/>
  <c r="F3058" i="5" s="1"/>
  <c r="B3054" i="5"/>
  <c r="C3054" i="5"/>
  <c r="D3054" i="5"/>
  <c r="E3054" i="5"/>
  <c r="F3054" i="5"/>
  <c r="B3055" i="5"/>
  <c r="C3055" i="5"/>
  <c r="D3055" i="5"/>
  <c r="E3055" i="5"/>
  <c r="F3055" i="5"/>
  <c r="B3056" i="5"/>
  <c r="C3056" i="5"/>
  <c r="C3057" i="5" s="1"/>
  <c r="C3058" i="5" s="1"/>
  <c r="D3056" i="5"/>
  <c r="D3057" i="5" s="1"/>
  <c r="E3056" i="5"/>
  <c r="F3056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 s="1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 s="1"/>
  <c r="F2028" i="5" s="1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 s="1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 s="1"/>
  <c r="F2078" i="5" s="1"/>
  <c r="F2079" i="5" s="1"/>
  <c r="F2080" i="5" s="1"/>
  <c r="F2081" i="5" s="1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 s="1"/>
  <c r="F2159" i="5" s="1"/>
  <c r="F2160" i="5" s="1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 s="1"/>
  <c r="F2202" i="5"/>
  <c r="F2203" i="5"/>
  <c r="F2204" i="5"/>
  <c r="F2205" i="5"/>
  <c r="F2206" i="5"/>
  <c r="F2207" i="5"/>
  <c r="F2208" i="5"/>
  <c r="F2209" i="5"/>
  <c r="F2210" i="5" s="1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 s="1"/>
  <c r="F2230" i="5" s="1"/>
  <c r="F2231" i="5" s="1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 s="1"/>
  <c r="F2269" i="5" s="1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 s="1"/>
  <c r="F2341" i="5" s="1"/>
  <c r="F2342" i="5" s="1"/>
  <c r="F2343" i="5" s="1"/>
  <c r="F2344" i="5" s="1"/>
  <c r="F2345" i="5" s="1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 s="1"/>
  <c r="F2438" i="5" s="1"/>
  <c r="F2439" i="5" s="1"/>
  <c r="F2440" i="5" s="1"/>
  <c r="F2441" i="5" s="1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 s="1"/>
  <c r="F2477" i="5" s="1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 s="1"/>
  <c r="F2498" i="5" s="1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 s="1"/>
  <c r="F2524" i="5"/>
  <c r="F2525" i="5" s="1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 s="1"/>
  <c r="F2597" i="5" s="1"/>
  <c r="F2598" i="5"/>
  <c r="F2599" i="5"/>
  <c r="F2600" i="5"/>
  <c r="F2601" i="5"/>
  <c r="F2602" i="5"/>
  <c r="F2603" i="5"/>
  <c r="F2604" i="5"/>
  <c r="F2605" i="5"/>
  <c r="F2606" i="5"/>
  <c r="F2607" i="5"/>
  <c r="F2608" i="5" s="1"/>
  <c r="F2609" i="5" s="1"/>
  <c r="F2610" i="5" s="1"/>
  <c r="F2611" i="5" s="1"/>
  <c r="F2612" i="5" s="1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 s="1"/>
  <c r="F2693" i="5"/>
  <c r="F2694" i="5"/>
  <c r="F2695" i="5" s="1"/>
  <c r="F2696" i="5" s="1"/>
  <c r="F2697" i="5" s="1"/>
  <c r="F2698" i="5" s="1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 s="1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 s="1"/>
  <c r="F2763" i="5" s="1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 s="1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 s="1"/>
  <c r="F2872" i="5" s="1"/>
  <c r="F2873" i="5" s="1"/>
  <c r="F2874" i="5" s="1"/>
  <c r="F2875" i="5" s="1"/>
  <c r="F2876" i="5" s="1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 s="1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 s="1"/>
  <c r="F2972" i="5" s="1"/>
  <c r="F2973" i="5" s="1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 s="1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 s="1"/>
  <c r="F3024" i="5" s="1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1969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 s="1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" i="5"/>
  <c r="J6" i="5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J81" i="5" s="1"/>
  <c r="J82" i="5" s="1"/>
  <c r="J83" i="5" s="1"/>
  <c r="J84" i="5" s="1"/>
  <c r="J85" i="5" s="1"/>
  <c r="J86" i="5" s="1"/>
  <c r="J87" i="5" s="1"/>
  <c r="J88" i="5" s="1"/>
  <c r="J89" i="5" s="1"/>
  <c r="J90" i="5" s="1"/>
  <c r="J91" i="5" s="1"/>
  <c r="J92" i="5" s="1"/>
  <c r="J93" i="5" s="1"/>
  <c r="J94" i="5" s="1"/>
  <c r="J95" i="5" s="1"/>
  <c r="J96" i="5" s="1"/>
  <c r="J97" i="5" s="1"/>
  <c r="J98" i="5" s="1"/>
  <c r="J99" i="5" s="1"/>
  <c r="J100" i="5" s="1"/>
  <c r="J101" i="5" s="1"/>
  <c r="J102" i="5" s="1"/>
  <c r="J103" i="5" s="1"/>
  <c r="J104" i="5" s="1"/>
  <c r="J105" i="5" s="1"/>
  <c r="J106" i="5" s="1"/>
  <c r="J107" i="5" s="1"/>
  <c r="J108" i="5" s="1"/>
  <c r="J109" i="5" s="1"/>
  <c r="J110" i="5" s="1"/>
  <c r="J111" i="5" s="1"/>
  <c r="J112" i="5" s="1"/>
  <c r="J113" i="5" s="1"/>
  <c r="J114" i="5" s="1"/>
  <c r="J115" i="5" s="1"/>
  <c r="J116" i="5" s="1"/>
  <c r="J117" i="5" s="1"/>
  <c r="J118" i="5" s="1"/>
  <c r="J119" i="5" s="1"/>
  <c r="J120" i="5" s="1"/>
  <c r="J121" i="5" s="1"/>
  <c r="J122" i="5" s="1"/>
  <c r="J123" i="5" s="1"/>
  <c r="J124" i="5" s="1"/>
  <c r="J125" i="5" s="1"/>
  <c r="J126" i="5" s="1"/>
  <c r="J127" i="5" s="1"/>
  <c r="J128" i="5" s="1"/>
  <c r="J129" i="5" s="1"/>
  <c r="J130" i="5" s="1"/>
  <c r="J131" i="5" s="1"/>
  <c r="J132" i="5" s="1"/>
  <c r="J133" i="5" s="1"/>
  <c r="J134" i="5" s="1"/>
  <c r="J135" i="5" s="1"/>
  <c r="J136" i="5" s="1"/>
  <c r="J137" i="5" s="1"/>
  <c r="J138" i="5" s="1"/>
  <c r="J139" i="5" s="1"/>
  <c r="J140" i="5" s="1"/>
  <c r="J141" i="5" s="1"/>
  <c r="J142" i="5" s="1"/>
  <c r="J143" i="5" s="1"/>
  <c r="J144" i="5" s="1"/>
  <c r="J145" i="5" s="1"/>
  <c r="J146" i="5" s="1"/>
  <c r="J147" i="5" s="1"/>
  <c r="J148" i="5" s="1"/>
  <c r="J149" i="5" s="1"/>
  <c r="J150" i="5" s="1"/>
  <c r="J151" i="5" s="1"/>
  <c r="J152" i="5" s="1"/>
  <c r="J153" i="5" s="1"/>
  <c r="J154" i="5" s="1"/>
  <c r="J155" i="5" s="1"/>
  <c r="J156" i="5" s="1"/>
  <c r="J157" i="5" s="1"/>
  <c r="J158" i="5" s="1"/>
  <c r="J159" i="5" s="1"/>
  <c r="J160" i="5" s="1"/>
  <c r="J161" i="5" s="1"/>
  <c r="J162" i="5" s="1"/>
  <c r="J163" i="5" s="1"/>
  <c r="J164" i="5" s="1"/>
  <c r="J165" i="5" s="1"/>
  <c r="J166" i="5" s="1"/>
  <c r="J167" i="5" s="1"/>
  <c r="J168" i="5" s="1"/>
  <c r="J169" i="5" s="1"/>
  <c r="J170" i="5" s="1"/>
  <c r="J171" i="5" s="1"/>
  <c r="J172" i="5" s="1"/>
  <c r="J173" i="5" s="1"/>
  <c r="J174" i="5" s="1"/>
  <c r="J175" i="5" s="1"/>
  <c r="J176" i="5" s="1"/>
  <c r="J177" i="5" s="1"/>
  <c r="J178" i="5" s="1"/>
  <c r="J179" i="5" s="1"/>
  <c r="J180" i="5" s="1"/>
  <c r="J181" i="5" s="1"/>
  <c r="J182" i="5" s="1"/>
  <c r="J183" i="5" s="1"/>
  <c r="J184" i="5" s="1"/>
  <c r="J185" i="5" s="1"/>
  <c r="J186" i="5" s="1"/>
  <c r="J187" i="5" s="1"/>
  <c r="J188" i="5" s="1"/>
  <c r="J189" i="5" s="1"/>
  <c r="J190" i="5" s="1"/>
  <c r="J191" i="5" s="1"/>
  <c r="J192" i="5" s="1"/>
  <c r="J193" i="5" s="1"/>
  <c r="J194" i="5" s="1"/>
  <c r="J195" i="5" s="1"/>
  <c r="J196" i="5" s="1"/>
  <c r="J197" i="5" s="1"/>
  <c r="J198" i="5" s="1"/>
  <c r="J199" i="5" s="1"/>
  <c r="J200" i="5" s="1"/>
  <c r="J201" i="5" s="1"/>
  <c r="J202" i="5" s="1"/>
  <c r="J203" i="5" s="1"/>
  <c r="J204" i="5" s="1"/>
  <c r="J205" i="5" s="1"/>
  <c r="J206" i="5" s="1"/>
  <c r="J207" i="5" s="1"/>
  <c r="J208" i="5" s="1"/>
  <c r="J209" i="5" s="1"/>
  <c r="J210" i="5" s="1"/>
  <c r="J211" i="5" s="1"/>
  <c r="J212" i="5" s="1"/>
  <c r="J213" i="5" s="1"/>
  <c r="J214" i="5" s="1"/>
  <c r="J215" i="5" s="1"/>
  <c r="J216" i="5" s="1"/>
  <c r="J217" i="5" s="1"/>
  <c r="J218" i="5" s="1"/>
  <c r="J219" i="5" s="1"/>
  <c r="J220" i="5" s="1"/>
  <c r="J221" i="5" s="1"/>
  <c r="J222" i="5" s="1"/>
  <c r="J223" i="5" s="1"/>
  <c r="J224" i="5" s="1"/>
  <c r="J225" i="5" s="1"/>
  <c r="J226" i="5" s="1"/>
  <c r="J227" i="5" s="1"/>
  <c r="J228" i="5" s="1"/>
  <c r="J229" i="5" s="1"/>
  <c r="J230" i="5" s="1"/>
  <c r="J231" i="5" s="1"/>
  <c r="J232" i="5" s="1"/>
  <c r="J233" i="5" s="1"/>
  <c r="J234" i="5" s="1"/>
  <c r="J235" i="5" s="1"/>
  <c r="J236" i="5" s="1"/>
  <c r="J237" i="5" s="1"/>
  <c r="J238" i="5" s="1"/>
  <c r="J239" i="5" s="1"/>
  <c r="J240" i="5" s="1"/>
  <c r="J241" i="5" s="1"/>
  <c r="J242" i="5" s="1"/>
  <c r="J243" i="5" s="1"/>
  <c r="J244" i="5" s="1"/>
  <c r="J245" i="5" s="1"/>
  <c r="J246" i="5" s="1"/>
  <c r="J247" i="5" s="1"/>
  <c r="J248" i="5" s="1"/>
  <c r="J249" i="5" s="1"/>
  <c r="J250" i="5" s="1"/>
  <c r="J251" i="5" s="1"/>
  <c r="J252" i="5" s="1"/>
  <c r="J253" i="5" s="1"/>
  <c r="J254" i="5" s="1"/>
  <c r="J255" i="5" s="1"/>
  <c r="J256" i="5" s="1"/>
  <c r="J257" i="5" s="1"/>
  <c r="J258" i="5" s="1"/>
  <c r="J259" i="5" s="1"/>
  <c r="J260" i="5" s="1"/>
  <c r="J261" i="5" s="1"/>
  <c r="J262" i="5" s="1"/>
  <c r="J263" i="5" s="1"/>
  <c r="J264" i="5" s="1"/>
  <c r="J265" i="5" s="1"/>
  <c r="J266" i="5" s="1"/>
  <c r="J267" i="5" s="1"/>
  <c r="J268" i="5" s="1"/>
  <c r="J269" i="5" s="1"/>
  <c r="J270" i="5" s="1"/>
  <c r="J271" i="5" s="1"/>
  <c r="J272" i="5" s="1"/>
  <c r="J273" i="5"/>
  <c r="J274" i="5" s="1"/>
  <c r="J275" i="5" s="1"/>
  <c r="J276" i="5" s="1"/>
  <c r="J277" i="5"/>
  <c r="J278" i="5"/>
  <c r="J279" i="5"/>
  <c r="J280" i="5"/>
  <c r="J281" i="5" s="1"/>
  <c r="J282" i="5" s="1"/>
  <c r="J283" i="5" s="1"/>
  <c r="J284" i="5" s="1"/>
  <c r="J285" i="5" s="1"/>
  <c r="J286" i="5" s="1"/>
  <c r="J287" i="5" s="1"/>
  <c r="J288" i="5" s="1"/>
  <c r="J289" i="5" s="1"/>
  <c r="J290" i="5" s="1"/>
  <c r="J291" i="5"/>
  <c r="J292" i="5"/>
  <c r="J293" i="5"/>
  <c r="J294" i="5"/>
  <c r="J295" i="5"/>
  <c r="J296" i="5"/>
  <c r="J297" i="5"/>
  <c r="J298" i="5"/>
  <c r="J299" i="5"/>
  <c r="J300" i="5"/>
  <c r="J301" i="5"/>
  <c r="J302" i="5" s="1"/>
  <c r="J303" i="5"/>
  <c r="J304" i="5" s="1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 s="1"/>
  <c r="J336" i="5" s="1"/>
  <c r="J337" i="5"/>
  <c r="J338" i="5" s="1"/>
  <c r="J339" i="5" s="1"/>
  <c r="J340" i="5" s="1"/>
  <c r="J341" i="5"/>
  <c r="J342" i="5"/>
  <c r="J343" i="5"/>
  <c r="J344" i="5"/>
  <c r="J345" i="5"/>
  <c r="J346" i="5"/>
  <c r="J347" i="5"/>
  <c r="J348" i="5" s="1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 s="1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 s="1"/>
  <c r="J433" i="5" s="1"/>
  <c r="J434" i="5" s="1"/>
  <c r="J435" i="5" s="1"/>
  <c r="J436" i="5" s="1"/>
  <c r="J437" i="5" s="1"/>
  <c r="J438" i="5"/>
  <c r="J439" i="5" s="1"/>
  <c r="J440" i="5"/>
  <c r="J441" i="5"/>
  <c r="J442" i="5"/>
  <c r="J443" i="5" s="1"/>
  <c r="J444" i="5"/>
  <c r="J445" i="5"/>
  <c r="J446" i="5"/>
  <c r="J447" i="5"/>
  <c r="J448" i="5"/>
  <c r="J449" i="5"/>
  <c r="J450" i="5"/>
  <c r="J451" i="5"/>
  <c r="J452" i="5"/>
  <c r="J453" i="5"/>
  <c r="J454" i="5" s="1"/>
  <c r="J455" i="5"/>
  <c r="J456" i="5"/>
  <c r="J457" i="5"/>
  <c r="J458" i="5"/>
  <c r="J459" i="5" s="1"/>
  <c r="J460" i="5" s="1"/>
  <c r="J461" i="5"/>
  <c r="J462" i="5" s="1"/>
  <c r="J463" i="5" s="1"/>
  <c r="J464" i="5"/>
  <c r="J465" i="5"/>
  <c r="J466" i="5"/>
  <c r="J467" i="5"/>
  <c r="J468" i="5"/>
  <c r="J469" i="5"/>
  <c r="J470" i="5"/>
  <c r="J471" i="5"/>
  <c r="J472" i="5"/>
  <c r="J473" i="5"/>
  <c r="J474" i="5"/>
  <c r="J475" i="5" s="1"/>
  <c r="J476" i="5" s="1"/>
  <c r="J477" i="5"/>
  <c r="J478" i="5"/>
  <c r="J479" i="5"/>
  <c r="J480" i="5" s="1"/>
  <c r="J481" i="5" s="1"/>
  <c r="J482" i="5"/>
  <c r="J483" i="5"/>
  <c r="J484" i="5"/>
  <c r="J485" i="5"/>
  <c r="J486" i="5" s="1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 s="1"/>
  <c r="J507" i="5"/>
  <c r="J508" i="5"/>
  <c r="J509" i="5"/>
  <c r="J510" i="5"/>
  <c r="J511" i="5" s="1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 s="1"/>
  <c r="J562" i="5"/>
  <c r="J563" i="5"/>
  <c r="J564" i="5"/>
  <c r="J565" i="5" s="1"/>
  <c r="J566" i="5"/>
  <c r="J567" i="5"/>
  <c r="J568" i="5"/>
  <c r="J569" i="5"/>
  <c r="J570" i="5"/>
  <c r="J571" i="5"/>
  <c r="J572" i="5"/>
  <c r="J573" i="5"/>
  <c r="J574" i="5"/>
  <c r="J575" i="5" s="1"/>
  <c r="J576" i="5"/>
  <c r="J577" i="5"/>
  <c r="J578" i="5"/>
  <c r="J579" i="5"/>
  <c r="L1" i="5"/>
  <c r="C563" i="4" l="1"/>
  <c r="C561" i="4"/>
  <c r="C562" i="4"/>
  <c r="C560" i="4"/>
  <c r="C559" i="4"/>
  <c r="C557" i="4"/>
  <c r="C558" i="4"/>
  <c r="C556" i="4"/>
  <c r="C555" i="4"/>
  <c r="C554" i="4"/>
  <c r="C553" i="4"/>
  <c r="C552" i="4"/>
  <c r="C551" i="4"/>
  <c r="AD6" i="4"/>
  <c r="AE6" i="4"/>
  <c r="AF6" i="4"/>
  <c r="AD7" i="4"/>
  <c r="AE7" i="4"/>
  <c r="AF7" i="4"/>
  <c r="AD8" i="4"/>
  <c r="AE8" i="4"/>
  <c r="AF8" i="4"/>
  <c r="AD9" i="4"/>
  <c r="AE9" i="4"/>
  <c r="AF9" i="4"/>
  <c r="AD10" i="4"/>
  <c r="AE10" i="4"/>
  <c r="AF10" i="4"/>
  <c r="AD11" i="4"/>
  <c r="AE11" i="4"/>
  <c r="AF11" i="4"/>
  <c r="AD12" i="4"/>
  <c r="AE12" i="4"/>
  <c r="AF12" i="4"/>
  <c r="AD13" i="4"/>
  <c r="AE13" i="4"/>
  <c r="AF13" i="4"/>
  <c r="AD14" i="4"/>
  <c r="AE14" i="4"/>
  <c r="AF14" i="4"/>
  <c r="AD15" i="4"/>
  <c r="AE15" i="4"/>
  <c r="AF15" i="4"/>
  <c r="AD16" i="4"/>
  <c r="AE16" i="4"/>
  <c r="AF16" i="4"/>
  <c r="AD17" i="4"/>
  <c r="AE17" i="4"/>
  <c r="AF17" i="4"/>
  <c r="AD18" i="4"/>
  <c r="AE18" i="4"/>
  <c r="AF18" i="4"/>
  <c r="AD19" i="4"/>
  <c r="AE19" i="4"/>
  <c r="AF19" i="4"/>
  <c r="AD20" i="4"/>
  <c r="AE20" i="4"/>
  <c r="AF20" i="4"/>
  <c r="AD21" i="4"/>
  <c r="AE21" i="4"/>
  <c r="AF21" i="4"/>
  <c r="AD22" i="4"/>
  <c r="AE22" i="4"/>
  <c r="AF22" i="4"/>
  <c r="AD23" i="4"/>
  <c r="AE23" i="4"/>
  <c r="AF23" i="4"/>
  <c r="AD24" i="4"/>
  <c r="AE24" i="4"/>
  <c r="AF24" i="4"/>
  <c r="AD25" i="4"/>
  <c r="AE25" i="4"/>
  <c r="AF25" i="4"/>
  <c r="AD26" i="4"/>
  <c r="AE26" i="4"/>
  <c r="AF26" i="4"/>
  <c r="AD27" i="4"/>
  <c r="AE27" i="4"/>
  <c r="AF27" i="4"/>
  <c r="AD28" i="4"/>
  <c r="AE28" i="4"/>
  <c r="AF28" i="4"/>
  <c r="AD29" i="4"/>
  <c r="AE29" i="4"/>
  <c r="AF29" i="4"/>
  <c r="AD30" i="4"/>
  <c r="AE30" i="4"/>
  <c r="AF30" i="4"/>
  <c r="AD31" i="4"/>
  <c r="AE31" i="4"/>
  <c r="AF31" i="4"/>
  <c r="AD32" i="4"/>
  <c r="AE32" i="4"/>
  <c r="AF32" i="4"/>
  <c r="AD33" i="4"/>
  <c r="AE33" i="4"/>
  <c r="AF33" i="4"/>
  <c r="AD34" i="4"/>
  <c r="AE34" i="4"/>
  <c r="AF34" i="4"/>
  <c r="AD35" i="4"/>
  <c r="AE35" i="4"/>
  <c r="AF35" i="4"/>
  <c r="AD36" i="4"/>
  <c r="AE36" i="4"/>
  <c r="AF36" i="4"/>
  <c r="AD37" i="4"/>
  <c r="AE37" i="4"/>
  <c r="AF37" i="4"/>
  <c r="AD38" i="4"/>
  <c r="AE38" i="4"/>
  <c r="AF38" i="4"/>
  <c r="AD39" i="4"/>
  <c r="AE39" i="4"/>
  <c r="AF39" i="4"/>
  <c r="AD40" i="4"/>
  <c r="AE40" i="4"/>
  <c r="AF40" i="4"/>
  <c r="AD41" i="4"/>
  <c r="AE41" i="4"/>
  <c r="AF41" i="4"/>
  <c r="AD42" i="4"/>
  <c r="AE42" i="4"/>
  <c r="AF42" i="4"/>
  <c r="AD43" i="4"/>
  <c r="AE43" i="4"/>
  <c r="AF43" i="4"/>
  <c r="AD44" i="4"/>
  <c r="AE44" i="4"/>
  <c r="AF44" i="4"/>
  <c r="AD45" i="4"/>
  <c r="AE45" i="4"/>
  <c r="AF45" i="4"/>
  <c r="AD46" i="4"/>
  <c r="AE46" i="4"/>
  <c r="AF46" i="4"/>
  <c r="AD47" i="4"/>
  <c r="AE47" i="4"/>
  <c r="AF47" i="4"/>
  <c r="AD48" i="4"/>
  <c r="AE48" i="4"/>
  <c r="AF48" i="4"/>
  <c r="AD49" i="4"/>
  <c r="AE49" i="4"/>
  <c r="AF49" i="4"/>
  <c r="AD50" i="4"/>
  <c r="AE50" i="4"/>
  <c r="AF50" i="4"/>
  <c r="AD51" i="4"/>
  <c r="AE51" i="4"/>
  <c r="AF51" i="4"/>
  <c r="AD52" i="4"/>
  <c r="AE52" i="4"/>
  <c r="AF52" i="4"/>
  <c r="AD53" i="4"/>
  <c r="AE53" i="4"/>
  <c r="AF53" i="4"/>
  <c r="AD54" i="4"/>
  <c r="AE54" i="4"/>
  <c r="AF54" i="4"/>
  <c r="AD55" i="4"/>
  <c r="AE55" i="4"/>
  <c r="AF55" i="4"/>
  <c r="AD56" i="4"/>
  <c r="AE56" i="4"/>
  <c r="AF56" i="4"/>
  <c r="AD57" i="4"/>
  <c r="AE57" i="4"/>
  <c r="AF57" i="4"/>
  <c r="AD58" i="4"/>
  <c r="AE58" i="4"/>
  <c r="AF58" i="4"/>
  <c r="AD59" i="4"/>
  <c r="AE59" i="4"/>
  <c r="AF59" i="4"/>
  <c r="AD60" i="4"/>
  <c r="AE60" i="4"/>
  <c r="AF60" i="4"/>
  <c r="AD61" i="4"/>
  <c r="AE61" i="4"/>
  <c r="AF61" i="4"/>
  <c r="AD62" i="4"/>
  <c r="AE62" i="4"/>
  <c r="AF62" i="4"/>
  <c r="AD63" i="4"/>
  <c r="AE63" i="4"/>
  <c r="AF63" i="4"/>
  <c r="AD64" i="4"/>
  <c r="AE64" i="4"/>
  <c r="AF64" i="4"/>
  <c r="AD65" i="4"/>
  <c r="AE65" i="4"/>
  <c r="AF65" i="4"/>
  <c r="AD66" i="4"/>
  <c r="AE66" i="4"/>
  <c r="AF66" i="4"/>
  <c r="AD67" i="4"/>
  <c r="AE67" i="4"/>
  <c r="AF67" i="4"/>
  <c r="AD68" i="4"/>
  <c r="AE68" i="4"/>
  <c r="AF68" i="4"/>
  <c r="AD69" i="4"/>
  <c r="AE69" i="4"/>
  <c r="AF69" i="4"/>
  <c r="AD70" i="4"/>
  <c r="AE70" i="4"/>
  <c r="AF70" i="4"/>
  <c r="AD71" i="4"/>
  <c r="AE71" i="4"/>
  <c r="AF71" i="4"/>
  <c r="AD72" i="4"/>
  <c r="AE72" i="4"/>
  <c r="AF72" i="4"/>
  <c r="AD73" i="4"/>
  <c r="AE73" i="4"/>
  <c r="AF73" i="4"/>
  <c r="AD74" i="4"/>
  <c r="AE74" i="4"/>
  <c r="AF74" i="4"/>
  <c r="AD75" i="4"/>
  <c r="AE75" i="4"/>
  <c r="AF75" i="4"/>
  <c r="AD76" i="4"/>
  <c r="AE76" i="4"/>
  <c r="AF76" i="4"/>
  <c r="AD77" i="4"/>
  <c r="AE77" i="4"/>
  <c r="AF77" i="4"/>
  <c r="AD78" i="4"/>
  <c r="AE78" i="4"/>
  <c r="AF78" i="4"/>
  <c r="AD79" i="4"/>
  <c r="AE79" i="4"/>
  <c r="AF79" i="4"/>
  <c r="AD80" i="4"/>
  <c r="AE80" i="4"/>
  <c r="AF80" i="4"/>
  <c r="AD81" i="4"/>
  <c r="AE81" i="4"/>
  <c r="AF81" i="4"/>
  <c r="AD82" i="4"/>
  <c r="AE82" i="4"/>
  <c r="AF82" i="4"/>
  <c r="AD83" i="4"/>
  <c r="AE83" i="4"/>
  <c r="AF83" i="4"/>
  <c r="AD84" i="4"/>
  <c r="AE84" i="4"/>
  <c r="AF84" i="4"/>
  <c r="AD85" i="4"/>
  <c r="AE85" i="4"/>
  <c r="AF85" i="4"/>
  <c r="AD86" i="4"/>
  <c r="AE86" i="4"/>
  <c r="AF86" i="4"/>
  <c r="AD87" i="4"/>
  <c r="AE87" i="4"/>
  <c r="AF87" i="4"/>
  <c r="AD88" i="4"/>
  <c r="AE88" i="4"/>
  <c r="AF88" i="4"/>
  <c r="AD89" i="4"/>
  <c r="AE89" i="4"/>
  <c r="AF89" i="4"/>
  <c r="AD90" i="4"/>
  <c r="AE90" i="4"/>
  <c r="AF90" i="4"/>
  <c r="AD91" i="4"/>
  <c r="AE91" i="4"/>
  <c r="AF91" i="4"/>
  <c r="AD92" i="4"/>
  <c r="AE92" i="4"/>
  <c r="AF92" i="4"/>
  <c r="AD93" i="4"/>
  <c r="AE93" i="4"/>
  <c r="AF93" i="4"/>
  <c r="AD94" i="4"/>
  <c r="AE94" i="4"/>
  <c r="AF94" i="4"/>
  <c r="AD95" i="4"/>
  <c r="AE95" i="4"/>
  <c r="AF95" i="4"/>
  <c r="AD96" i="4"/>
  <c r="AE96" i="4"/>
  <c r="AF96" i="4"/>
  <c r="AD97" i="4"/>
  <c r="AE97" i="4"/>
  <c r="AF97" i="4"/>
  <c r="AD98" i="4"/>
  <c r="AE98" i="4"/>
  <c r="AF98" i="4"/>
  <c r="AD99" i="4"/>
  <c r="AE99" i="4"/>
  <c r="AF99" i="4"/>
  <c r="AD100" i="4"/>
  <c r="AE100" i="4"/>
  <c r="AF100" i="4"/>
  <c r="AD101" i="4"/>
  <c r="AE101" i="4"/>
  <c r="AF101" i="4"/>
  <c r="AD102" i="4"/>
  <c r="AE102" i="4"/>
  <c r="AF102" i="4"/>
  <c r="AD103" i="4"/>
  <c r="AE103" i="4"/>
  <c r="AF103" i="4"/>
  <c r="AD104" i="4"/>
  <c r="AE104" i="4"/>
  <c r="AF104" i="4"/>
  <c r="AD105" i="4"/>
  <c r="AE105" i="4"/>
  <c r="AF105" i="4"/>
  <c r="AD106" i="4"/>
  <c r="AE106" i="4"/>
  <c r="AF106" i="4"/>
  <c r="AD107" i="4"/>
  <c r="AE107" i="4"/>
  <c r="AF107" i="4"/>
  <c r="AD108" i="4"/>
  <c r="AE108" i="4"/>
  <c r="AF108" i="4"/>
  <c r="AD109" i="4"/>
  <c r="AE109" i="4"/>
  <c r="AF109" i="4"/>
  <c r="AD110" i="4"/>
  <c r="AE110" i="4"/>
  <c r="AF110" i="4"/>
  <c r="AD111" i="4"/>
  <c r="AE111" i="4"/>
  <c r="AF111" i="4"/>
  <c r="AD112" i="4"/>
  <c r="AE112" i="4"/>
  <c r="AF112" i="4"/>
  <c r="AD113" i="4"/>
  <c r="AE113" i="4"/>
  <c r="AF113" i="4"/>
  <c r="AD114" i="4"/>
  <c r="AE114" i="4"/>
  <c r="AF114" i="4"/>
  <c r="AD115" i="4"/>
  <c r="AE115" i="4"/>
  <c r="AF115" i="4"/>
  <c r="AD116" i="4"/>
  <c r="AE116" i="4"/>
  <c r="AF116" i="4"/>
  <c r="AD117" i="4"/>
  <c r="AE117" i="4"/>
  <c r="AF117" i="4"/>
  <c r="AD118" i="4"/>
  <c r="AE118" i="4"/>
  <c r="AF118" i="4"/>
  <c r="AD119" i="4"/>
  <c r="AE119" i="4"/>
  <c r="AF119" i="4"/>
  <c r="AD120" i="4"/>
  <c r="AE120" i="4"/>
  <c r="AF120" i="4"/>
  <c r="AD121" i="4"/>
  <c r="AE121" i="4"/>
  <c r="AF121" i="4"/>
  <c r="AD122" i="4"/>
  <c r="AE122" i="4"/>
  <c r="AF122" i="4"/>
  <c r="AD123" i="4"/>
  <c r="AE123" i="4"/>
  <c r="AF123" i="4"/>
  <c r="AD124" i="4"/>
  <c r="AE124" i="4"/>
  <c r="AF124" i="4"/>
  <c r="AD125" i="4"/>
  <c r="AE125" i="4"/>
  <c r="AF125" i="4"/>
  <c r="AD126" i="4"/>
  <c r="AE126" i="4"/>
  <c r="AF126" i="4"/>
  <c r="AD127" i="4"/>
  <c r="AE127" i="4"/>
  <c r="AF127" i="4"/>
  <c r="AD128" i="4"/>
  <c r="AE128" i="4"/>
  <c r="AF128" i="4"/>
  <c r="AD129" i="4"/>
  <c r="AE129" i="4"/>
  <c r="AF129" i="4"/>
  <c r="AD130" i="4"/>
  <c r="AE130" i="4"/>
  <c r="AF130" i="4"/>
  <c r="AD131" i="4"/>
  <c r="AE131" i="4"/>
  <c r="AF131" i="4"/>
  <c r="AD132" i="4"/>
  <c r="AE132" i="4"/>
  <c r="AF132" i="4"/>
  <c r="AD133" i="4"/>
  <c r="AE133" i="4"/>
  <c r="AF133" i="4"/>
  <c r="AD134" i="4"/>
  <c r="AE134" i="4"/>
  <c r="AF134" i="4"/>
  <c r="AD135" i="4"/>
  <c r="AE135" i="4"/>
  <c r="AF135" i="4"/>
  <c r="AD136" i="4"/>
  <c r="AE136" i="4"/>
  <c r="AF136" i="4"/>
  <c r="AD137" i="4"/>
  <c r="AE137" i="4"/>
  <c r="AF137" i="4"/>
  <c r="AD138" i="4"/>
  <c r="AE138" i="4"/>
  <c r="AF138" i="4"/>
  <c r="AD139" i="4"/>
  <c r="AE139" i="4"/>
  <c r="AF139" i="4"/>
  <c r="AD140" i="4"/>
  <c r="AE140" i="4"/>
  <c r="AF140" i="4"/>
  <c r="AD141" i="4"/>
  <c r="AE141" i="4"/>
  <c r="AF141" i="4"/>
  <c r="AD142" i="4"/>
  <c r="AE142" i="4"/>
  <c r="AF142" i="4"/>
  <c r="AD143" i="4"/>
  <c r="AE143" i="4"/>
  <c r="AF143" i="4"/>
  <c r="AD144" i="4"/>
  <c r="AE144" i="4"/>
  <c r="AF144" i="4"/>
  <c r="AD145" i="4"/>
  <c r="AE145" i="4"/>
  <c r="AF145" i="4"/>
  <c r="AD146" i="4"/>
  <c r="AE146" i="4"/>
  <c r="AF146" i="4"/>
  <c r="AD147" i="4"/>
  <c r="AE147" i="4"/>
  <c r="AF147" i="4"/>
  <c r="AD148" i="4"/>
  <c r="AE148" i="4"/>
  <c r="AF148" i="4"/>
  <c r="AD149" i="4"/>
  <c r="AE149" i="4"/>
  <c r="AF149" i="4"/>
  <c r="AD150" i="4"/>
  <c r="AE150" i="4"/>
  <c r="AF150" i="4"/>
  <c r="AD151" i="4"/>
  <c r="AE151" i="4"/>
  <c r="AF151" i="4"/>
  <c r="AD152" i="4"/>
  <c r="AE152" i="4"/>
  <c r="AF152" i="4"/>
  <c r="AD153" i="4"/>
  <c r="AE153" i="4"/>
  <c r="AF153" i="4"/>
  <c r="AD154" i="4"/>
  <c r="AE154" i="4"/>
  <c r="AF154" i="4"/>
  <c r="AD155" i="4"/>
  <c r="AE155" i="4"/>
  <c r="AF155" i="4"/>
  <c r="AD156" i="4"/>
  <c r="AE156" i="4"/>
  <c r="AF156" i="4"/>
  <c r="AD157" i="4"/>
  <c r="AE157" i="4"/>
  <c r="AF157" i="4"/>
  <c r="AD158" i="4"/>
  <c r="AE158" i="4"/>
  <c r="AF158" i="4"/>
  <c r="AD159" i="4"/>
  <c r="AE159" i="4"/>
  <c r="AF159" i="4"/>
  <c r="AD160" i="4"/>
  <c r="AE160" i="4"/>
  <c r="AF160" i="4"/>
  <c r="AD161" i="4"/>
  <c r="AE161" i="4"/>
  <c r="AF161" i="4"/>
  <c r="AD162" i="4"/>
  <c r="AE162" i="4"/>
  <c r="AF162" i="4"/>
  <c r="AD163" i="4"/>
  <c r="AD164" i="4" s="1"/>
  <c r="AE163" i="4"/>
  <c r="AE164" i="4" s="1"/>
  <c r="AF163" i="4"/>
  <c r="AF164" i="4" s="1"/>
  <c r="AD165" i="4"/>
  <c r="AE165" i="4"/>
  <c r="AF165" i="4"/>
  <c r="AD166" i="4"/>
  <c r="AE166" i="4"/>
  <c r="AF166" i="4"/>
  <c r="AD167" i="4"/>
  <c r="AE167" i="4"/>
  <c r="AF167" i="4"/>
  <c r="AD168" i="4"/>
  <c r="AE168" i="4"/>
  <c r="AF168" i="4"/>
  <c r="AD169" i="4"/>
  <c r="AE169" i="4"/>
  <c r="AF169" i="4"/>
  <c r="AD170" i="4"/>
  <c r="AE170" i="4"/>
  <c r="AF170" i="4"/>
  <c r="AD171" i="4"/>
  <c r="AE171" i="4"/>
  <c r="AF171" i="4"/>
  <c r="AD172" i="4"/>
  <c r="AE172" i="4"/>
  <c r="AF172" i="4"/>
  <c r="AD173" i="4"/>
  <c r="AE173" i="4"/>
  <c r="AF173" i="4"/>
  <c r="AD174" i="4"/>
  <c r="AE174" i="4"/>
  <c r="AF174" i="4"/>
  <c r="AD175" i="4"/>
  <c r="AE175" i="4"/>
  <c r="AF175" i="4"/>
  <c r="AD176" i="4"/>
  <c r="AE176" i="4"/>
  <c r="AF176" i="4"/>
  <c r="AD177" i="4"/>
  <c r="AE177" i="4"/>
  <c r="AF177" i="4"/>
  <c r="AD178" i="4"/>
  <c r="AE178" i="4"/>
  <c r="AF178" i="4"/>
  <c r="AD179" i="4"/>
  <c r="AE179" i="4"/>
  <c r="AF179" i="4"/>
  <c r="AD180" i="4"/>
  <c r="AE180" i="4"/>
  <c r="AF180" i="4"/>
  <c r="AD181" i="4"/>
  <c r="AE181" i="4"/>
  <c r="AF181" i="4"/>
  <c r="AD182" i="4"/>
  <c r="AE182" i="4"/>
  <c r="AF182" i="4"/>
  <c r="AD183" i="4"/>
  <c r="AE183" i="4"/>
  <c r="AF183" i="4"/>
  <c r="AD184" i="4"/>
  <c r="AE184" i="4"/>
  <c r="AF184" i="4"/>
  <c r="AD185" i="4"/>
  <c r="AE185" i="4"/>
  <c r="AF185" i="4"/>
  <c r="AD186" i="4"/>
  <c r="AE186" i="4"/>
  <c r="AF186" i="4"/>
  <c r="AD187" i="4"/>
  <c r="AE187" i="4"/>
  <c r="AF187" i="4"/>
  <c r="AD188" i="4"/>
  <c r="AE188" i="4"/>
  <c r="AF188" i="4"/>
  <c r="AD189" i="4"/>
  <c r="AE189" i="4"/>
  <c r="AF189" i="4"/>
  <c r="AD190" i="4"/>
  <c r="AE190" i="4"/>
  <c r="AF190" i="4"/>
  <c r="AD191" i="4"/>
  <c r="AE191" i="4"/>
  <c r="AF191" i="4"/>
  <c r="AD192" i="4"/>
  <c r="AE192" i="4"/>
  <c r="AF192" i="4"/>
  <c r="AD193" i="4"/>
  <c r="AE193" i="4"/>
  <c r="AF193" i="4"/>
  <c r="AD194" i="4"/>
  <c r="AE194" i="4"/>
  <c r="AF194" i="4"/>
  <c r="AD195" i="4"/>
  <c r="AE195" i="4"/>
  <c r="AF195" i="4"/>
  <c r="AD196" i="4"/>
  <c r="AE196" i="4"/>
  <c r="AF196" i="4"/>
  <c r="AD197" i="4"/>
  <c r="AE197" i="4"/>
  <c r="AF197" i="4"/>
  <c r="AD198" i="4"/>
  <c r="AE198" i="4"/>
  <c r="AF198" i="4"/>
  <c r="AD199" i="4"/>
  <c r="AE199" i="4"/>
  <c r="AF199" i="4"/>
  <c r="AD200" i="4"/>
  <c r="AE200" i="4"/>
  <c r="AF200" i="4"/>
  <c r="AD201" i="4"/>
  <c r="AE201" i="4"/>
  <c r="AF201" i="4"/>
  <c r="AD202" i="4"/>
  <c r="AE202" i="4"/>
  <c r="AF202" i="4"/>
  <c r="AD203" i="4"/>
  <c r="AE203" i="4"/>
  <c r="AF203" i="4"/>
  <c r="AD204" i="4"/>
  <c r="AE204" i="4"/>
  <c r="AF204" i="4"/>
  <c r="AD205" i="4"/>
  <c r="AE205" i="4"/>
  <c r="AF205" i="4"/>
  <c r="AD206" i="4"/>
  <c r="AE206" i="4"/>
  <c r="AF206" i="4"/>
  <c r="AD207" i="4"/>
  <c r="AE207" i="4"/>
  <c r="AF207" i="4"/>
  <c r="AD208" i="4"/>
  <c r="AE208" i="4"/>
  <c r="AF208" i="4"/>
  <c r="AD209" i="4"/>
  <c r="AE209" i="4"/>
  <c r="AF209" i="4"/>
  <c r="AD210" i="4"/>
  <c r="AE210" i="4"/>
  <c r="AF210" i="4"/>
  <c r="AD211" i="4"/>
  <c r="AE211" i="4"/>
  <c r="AF211" i="4"/>
  <c r="AD212" i="4"/>
  <c r="AE212" i="4"/>
  <c r="AF212" i="4"/>
  <c r="AD213" i="4"/>
  <c r="AE213" i="4"/>
  <c r="AF213" i="4"/>
  <c r="AD214" i="4"/>
  <c r="AD215" i="4" s="1"/>
  <c r="AE214" i="4"/>
  <c r="AE215" i="4" s="1"/>
  <c r="AF214" i="4"/>
  <c r="AF215" i="4" s="1"/>
  <c r="AD216" i="4"/>
  <c r="AE216" i="4"/>
  <c r="AF216" i="4"/>
  <c r="AD217" i="4"/>
  <c r="AE217" i="4"/>
  <c r="AF217" i="4"/>
  <c r="AD218" i="4"/>
  <c r="AE218" i="4"/>
  <c r="AF218" i="4"/>
  <c r="AD219" i="4"/>
  <c r="AE219" i="4"/>
  <c r="AF219" i="4"/>
  <c r="AD220" i="4"/>
  <c r="AE220" i="4"/>
  <c r="AF220" i="4"/>
  <c r="AD221" i="4"/>
  <c r="AE221" i="4"/>
  <c r="AF221" i="4"/>
  <c r="AD222" i="4"/>
  <c r="AE222" i="4"/>
  <c r="AF222" i="4"/>
  <c r="AD223" i="4"/>
  <c r="AE223" i="4"/>
  <c r="AF223" i="4"/>
  <c r="AD224" i="4"/>
  <c r="AE224" i="4"/>
  <c r="AF224" i="4"/>
  <c r="AD225" i="4"/>
  <c r="AE225" i="4"/>
  <c r="AF225" i="4"/>
  <c r="AD226" i="4"/>
  <c r="AE226" i="4"/>
  <c r="AF226" i="4"/>
  <c r="AD227" i="4"/>
  <c r="AE227" i="4"/>
  <c r="AF227" i="4"/>
  <c r="AD228" i="4"/>
  <c r="AE228" i="4"/>
  <c r="AF228" i="4"/>
  <c r="AD229" i="4"/>
  <c r="AE229" i="4"/>
  <c r="AF229" i="4"/>
  <c r="AD230" i="4"/>
  <c r="AE230" i="4"/>
  <c r="AF230" i="4"/>
  <c r="AD231" i="4"/>
  <c r="AE231" i="4"/>
  <c r="AF231" i="4"/>
  <c r="AD232" i="4"/>
  <c r="AE232" i="4"/>
  <c r="AF232" i="4"/>
  <c r="AD233" i="4"/>
  <c r="AE233" i="4"/>
  <c r="AF233" i="4"/>
  <c r="AD234" i="4"/>
  <c r="AE234" i="4"/>
  <c r="AF234" i="4"/>
  <c r="AD235" i="4"/>
  <c r="AE235" i="4"/>
  <c r="AF235" i="4"/>
  <c r="AD236" i="4"/>
  <c r="AE236" i="4"/>
  <c r="AF236" i="4"/>
  <c r="AD237" i="4"/>
  <c r="AE237" i="4"/>
  <c r="AF237" i="4"/>
  <c r="AD238" i="4"/>
  <c r="AE238" i="4"/>
  <c r="AF238" i="4"/>
  <c r="AD239" i="4"/>
  <c r="AE239" i="4"/>
  <c r="AF239" i="4"/>
  <c r="AD240" i="4"/>
  <c r="AE240" i="4"/>
  <c r="AF240" i="4"/>
  <c r="AD241" i="4"/>
  <c r="AE241" i="4"/>
  <c r="AF241" i="4"/>
  <c r="AD242" i="4"/>
  <c r="AE242" i="4"/>
  <c r="AF242" i="4"/>
  <c r="AD243" i="4"/>
  <c r="AE243" i="4"/>
  <c r="AF243" i="4"/>
  <c r="AD244" i="4"/>
  <c r="AE244" i="4"/>
  <c r="AF244" i="4"/>
  <c r="AD245" i="4"/>
  <c r="AE245" i="4"/>
  <c r="AF245" i="4"/>
  <c r="AD246" i="4"/>
  <c r="AE246" i="4"/>
  <c r="AF246" i="4"/>
  <c r="AD247" i="4"/>
  <c r="AE247" i="4"/>
  <c r="AF247" i="4"/>
  <c r="AD248" i="4"/>
  <c r="AE248" i="4"/>
  <c r="AF248" i="4"/>
  <c r="AD249" i="4"/>
  <c r="AE249" i="4"/>
  <c r="AF249" i="4"/>
  <c r="AD250" i="4"/>
  <c r="AE250" i="4"/>
  <c r="AF250" i="4"/>
  <c r="AD251" i="4"/>
  <c r="AE251" i="4"/>
  <c r="AF251" i="4"/>
  <c r="AD252" i="4"/>
  <c r="AE252" i="4"/>
  <c r="AF252" i="4"/>
  <c r="AD253" i="4"/>
  <c r="AE253" i="4"/>
  <c r="AF253" i="4"/>
  <c r="AD254" i="4"/>
  <c r="AE254" i="4"/>
  <c r="AF254" i="4"/>
  <c r="AD255" i="4"/>
  <c r="AE255" i="4"/>
  <c r="AF255" i="4"/>
  <c r="AD256" i="4"/>
  <c r="AE256" i="4"/>
  <c r="AF256" i="4"/>
  <c r="AD257" i="4"/>
  <c r="AE257" i="4"/>
  <c r="AF257" i="4"/>
  <c r="AD258" i="4"/>
  <c r="AE258" i="4"/>
  <c r="AF258" i="4"/>
  <c r="AD259" i="4"/>
  <c r="AE259" i="4"/>
  <c r="AF259" i="4"/>
  <c r="AD260" i="4"/>
  <c r="AE260" i="4"/>
  <c r="AF260" i="4"/>
  <c r="AD261" i="4"/>
  <c r="AE261" i="4"/>
  <c r="AF261" i="4"/>
  <c r="AD262" i="4"/>
  <c r="AE262" i="4"/>
  <c r="AF262" i="4"/>
  <c r="AD263" i="4"/>
  <c r="AE263" i="4"/>
  <c r="AF263" i="4"/>
  <c r="AD264" i="4"/>
  <c r="AE264" i="4"/>
  <c r="AF264" i="4"/>
  <c r="AD265" i="4"/>
  <c r="AE265" i="4"/>
  <c r="AF265" i="4"/>
  <c r="AD266" i="4"/>
  <c r="AE266" i="4"/>
  <c r="AF266" i="4"/>
  <c r="AD267" i="4"/>
  <c r="AE267" i="4"/>
  <c r="AF267" i="4"/>
  <c r="AD268" i="4"/>
  <c r="AE268" i="4"/>
  <c r="AF268" i="4"/>
  <c r="AD269" i="4"/>
  <c r="AE269" i="4"/>
  <c r="AF269" i="4"/>
  <c r="AD270" i="4"/>
  <c r="AE270" i="4"/>
  <c r="AF270" i="4"/>
  <c r="AD271" i="4"/>
  <c r="AE271" i="4"/>
  <c r="AF271" i="4"/>
  <c r="AD272" i="4"/>
  <c r="AE272" i="4"/>
  <c r="AF272" i="4"/>
  <c r="AD273" i="4"/>
  <c r="AE273" i="4"/>
  <c r="AF273" i="4"/>
  <c r="AD274" i="4"/>
  <c r="AE274" i="4"/>
  <c r="AF274" i="4"/>
  <c r="AD275" i="4"/>
  <c r="AE275" i="4"/>
  <c r="AF275" i="4"/>
  <c r="AD276" i="4"/>
  <c r="AE276" i="4"/>
  <c r="AF276" i="4"/>
  <c r="AD277" i="4"/>
  <c r="AE277" i="4"/>
  <c r="AF277" i="4"/>
  <c r="AD278" i="4"/>
  <c r="AE278" i="4"/>
  <c r="AF278" i="4"/>
  <c r="AD279" i="4"/>
  <c r="AE279" i="4"/>
  <c r="AF279" i="4"/>
  <c r="AD280" i="4"/>
  <c r="AE280" i="4"/>
  <c r="AF280" i="4"/>
  <c r="AD281" i="4"/>
  <c r="AE281" i="4"/>
  <c r="AF281" i="4"/>
  <c r="AD282" i="4"/>
  <c r="AE282" i="4"/>
  <c r="AF282" i="4"/>
  <c r="AD283" i="4"/>
  <c r="AE283" i="4"/>
  <c r="AF283" i="4"/>
  <c r="AD284" i="4"/>
  <c r="AE284" i="4"/>
  <c r="AF284" i="4"/>
  <c r="AD285" i="4"/>
  <c r="AE285" i="4"/>
  <c r="AF285" i="4"/>
  <c r="AD286" i="4"/>
  <c r="AE286" i="4"/>
  <c r="AF286" i="4"/>
  <c r="AD287" i="4"/>
  <c r="AE287" i="4"/>
  <c r="AF287" i="4"/>
  <c r="AD288" i="4"/>
  <c r="AE288" i="4"/>
  <c r="AF288" i="4"/>
  <c r="AD289" i="4"/>
  <c r="AE289" i="4"/>
  <c r="AF289" i="4"/>
  <c r="AD290" i="4"/>
  <c r="AE290" i="4"/>
  <c r="AF290" i="4"/>
  <c r="AD291" i="4"/>
  <c r="AE291" i="4"/>
  <c r="AF291" i="4"/>
  <c r="AD292" i="4"/>
  <c r="AE292" i="4"/>
  <c r="AF292" i="4"/>
  <c r="AD293" i="4"/>
  <c r="AE293" i="4"/>
  <c r="AF293" i="4"/>
  <c r="AD294" i="4"/>
  <c r="AE294" i="4"/>
  <c r="AF294" i="4"/>
  <c r="AD295" i="4"/>
  <c r="AE295" i="4"/>
  <c r="AF295" i="4"/>
  <c r="AD296" i="4"/>
  <c r="AE296" i="4"/>
  <c r="AF296" i="4"/>
  <c r="AD297" i="4"/>
  <c r="AE297" i="4"/>
  <c r="AF297" i="4"/>
  <c r="AD298" i="4"/>
  <c r="AE298" i="4"/>
  <c r="AF298" i="4"/>
  <c r="AD299" i="4"/>
  <c r="AE299" i="4"/>
  <c r="AF299" i="4"/>
  <c r="AD300" i="4"/>
  <c r="AE300" i="4"/>
  <c r="AF300" i="4"/>
  <c r="AD301" i="4"/>
  <c r="AE301" i="4"/>
  <c r="AF301" i="4"/>
  <c r="AD302" i="4"/>
  <c r="AE302" i="4"/>
  <c r="AF302" i="4"/>
  <c r="AD303" i="4"/>
  <c r="AE303" i="4"/>
  <c r="AF303" i="4"/>
  <c r="AD304" i="4"/>
  <c r="AE304" i="4"/>
  <c r="AF304" i="4"/>
  <c r="AD305" i="4"/>
  <c r="AE305" i="4"/>
  <c r="AF305" i="4"/>
  <c r="AD306" i="4"/>
  <c r="AE306" i="4"/>
  <c r="AF306" i="4"/>
  <c r="AD307" i="4"/>
  <c r="AE307" i="4"/>
  <c r="AF307" i="4"/>
  <c r="AD308" i="4"/>
  <c r="AE308" i="4"/>
  <c r="AF308" i="4"/>
  <c r="AD309" i="4"/>
  <c r="AE309" i="4"/>
  <c r="AF309" i="4"/>
  <c r="AD310" i="4"/>
  <c r="AE310" i="4"/>
  <c r="AF310" i="4"/>
  <c r="AD311" i="4"/>
  <c r="AE311" i="4"/>
  <c r="AF311" i="4"/>
  <c r="AD312" i="4"/>
  <c r="AE312" i="4"/>
  <c r="AF312" i="4"/>
  <c r="AD313" i="4"/>
  <c r="AE313" i="4"/>
  <c r="AF313" i="4"/>
  <c r="AD314" i="4"/>
  <c r="AE314" i="4"/>
  <c r="AF314" i="4"/>
  <c r="AD315" i="4"/>
  <c r="AE315" i="4"/>
  <c r="AF315" i="4"/>
  <c r="AD316" i="4"/>
  <c r="AE316" i="4"/>
  <c r="AF316" i="4"/>
  <c r="AD317" i="4"/>
  <c r="AE317" i="4"/>
  <c r="AF317" i="4"/>
  <c r="AD318" i="4"/>
  <c r="AE318" i="4"/>
  <c r="AF318" i="4"/>
  <c r="AD319" i="4"/>
  <c r="AE319" i="4"/>
  <c r="AF319" i="4"/>
  <c r="AD320" i="4"/>
  <c r="AE320" i="4"/>
  <c r="AF320" i="4"/>
  <c r="AD321" i="4"/>
  <c r="AE321" i="4"/>
  <c r="AF321" i="4"/>
  <c r="AD322" i="4"/>
  <c r="AE322" i="4"/>
  <c r="AF322" i="4"/>
  <c r="AD323" i="4"/>
  <c r="AE323" i="4"/>
  <c r="AF323" i="4"/>
  <c r="AD324" i="4"/>
  <c r="AE324" i="4"/>
  <c r="AF324" i="4"/>
  <c r="AD325" i="4"/>
  <c r="AE325" i="4"/>
  <c r="AF325" i="4"/>
  <c r="AD326" i="4"/>
  <c r="AE326" i="4"/>
  <c r="AF326" i="4"/>
  <c r="AD327" i="4"/>
  <c r="AE327" i="4"/>
  <c r="AF327" i="4"/>
  <c r="AD328" i="4"/>
  <c r="AE328" i="4"/>
  <c r="AF328" i="4"/>
  <c r="AD329" i="4"/>
  <c r="AE329" i="4"/>
  <c r="AF329" i="4"/>
  <c r="AD330" i="4"/>
  <c r="AE330" i="4"/>
  <c r="AF330" i="4"/>
  <c r="AD331" i="4"/>
  <c r="AE331" i="4"/>
  <c r="AF331" i="4"/>
  <c r="AD332" i="4"/>
  <c r="AE332" i="4"/>
  <c r="AF332" i="4"/>
  <c r="AD333" i="4"/>
  <c r="AE333" i="4"/>
  <c r="AF333" i="4"/>
  <c r="AD334" i="4"/>
  <c r="AE334" i="4"/>
  <c r="AF334" i="4"/>
  <c r="AD335" i="4"/>
  <c r="AE335" i="4"/>
  <c r="AF335" i="4"/>
  <c r="AD336" i="4"/>
  <c r="AE336" i="4"/>
  <c r="AF336" i="4"/>
  <c r="AD337" i="4"/>
  <c r="AE337" i="4"/>
  <c r="AF337" i="4"/>
  <c r="AD338" i="4"/>
  <c r="AE338" i="4"/>
  <c r="AF338" i="4"/>
  <c r="AD339" i="4"/>
  <c r="AE339" i="4"/>
  <c r="AF339" i="4"/>
  <c r="AD340" i="4"/>
  <c r="AE340" i="4"/>
  <c r="AF340" i="4"/>
  <c r="AD341" i="4"/>
  <c r="AE341" i="4"/>
  <c r="AF341" i="4"/>
  <c r="AD342" i="4"/>
  <c r="AE342" i="4"/>
  <c r="AF342" i="4"/>
  <c r="AD343" i="4"/>
  <c r="AE343" i="4"/>
  <c r="AF343" i="4"/>
  <c r="AD344" i="4"/>
  <c r="AE344" i="4"/>
  <c r="AF344" i="4"/>
  <c r="AD345" i="4"/>
  <c r="AE345" i="4"/>
  <c r="AF345" i="4"/>
  <c r="AD346" i="4"/>
  <c r="AE346" i="4"/>
  <c r="AF346" i="4"/>
  <c r="AD347" i="4"/>
  <c r="AE347" i="4"/>
  <c r="AF347" i="4"/>
  <c r="AD348" i="4"/>
  <c r="AE348" i="4"/>
  <c r="AF348" i="4"/>
  <c r="AD349" i="4"/>
  <c r="AE349" i="4"/>
  <c r="AF349" i="4"/>
  <c r="AD350" i="4"/>
  <c r="AE350" i="4"/>
  <c r="AF350" i="4"/>
  <c r="AD351" i="4"/>
  <c r="AE351" i="4"/>
  <c r="AF351" i="4"/>
  <c r="AD352" i="4"/>
  <c r="AE352" i="4"/>
  <c r="AF352" i="4"/>
  <c r="AD353" i="4"/>
  <c r="AE353" i="4"/>
  <c r="AF353" i="4"/>
  <c r="AD354" i="4"/>
  <c r="AE354" i="4"/>
  <c r="AF354" i="4"/>
  <c r="AD355" i="4"/>
  <c r="AE355" i="4"/>
  <c r="AF355" i="4"/>
  <c r="AD356" i="4"/>
  <c r="AE356" i="4"/>
  <c r="AF356" i="4"/>
  <c r="AD357" i="4"/>
  <c r="AE357" i="4"/>
  <c r="AF357" i="4"/>
  <c r="AD358" i="4"/>
  <c r="AE358" i="4"/>
  <c r="AF358" i="4"/>
  <c r="AD359" i="4"/>
  <c r="AE359" i="4"/>
  <c r="AF359" i="4"/>
  <c r="AD360" i="4"/>
  <c r="AE360" i="4"/>
  <c r="AF360" i="4"/>
  <c r="AD361" i="4"/>
  <c r="AE361" i="4"/>
  <c r="AF361" i="4"/>
  <c r="AD362" i="4"/>
  <c r="AE362" i="4"/>
  <c r="AF362" i="4"/>
  <c r="AD363" i="4"/>
  <c r="AE363" i="4"/>
  <c r="AF363" i="4"/>
  <c r="AD364" i="4"/>
  <c r="AE364" i="4"/>
  <c r="AF364" i="4"/>
  <c r="AD365" i="4"/>
  <c r="AE365" i="4"/>
  <c r="AF365" i="4"/>
  <c r="AD366" i="4"/>
  <c r="AE366" i="4"/>
  <c r="AF366" i="4"/>
  <c r="AD367" i="4"/>
  <c r="AE367" i="4"/>
  <c r="AF367" i="4"/>
  <c r="AD368" i="4"/>
  <c r="AE368" i="4"/>
  <c r="AF368" i="4"/>
  <c r="AD369" i="4"/>
  <c r="AE369" i="4"/>
  <c r="AF369" i="4"/>
  <c r="AD370" i="4"/>
  <c r="AE370" i="4"/>
  <c r="AF370" i="4"/>
  <c r="AD371" i="4"/>
  <c r="AE371" i="4"/>
  <c r="AF371" i="4"/>
  <c r="AD372" i="4"/>
  <c r="AE372" i="4"/>
  <c r="AF372" i="4"/>
  <c r="AD373" i="4"/>
  <c r="AE373" i="4"/>
  <c r="AF373" i="4"/>
  <c r="AD374" i="4"/>
  <c r="AE374" i="4"/>
  <c r="AF374" i="4"/>
  <c r="AD375" i="4"/>
  <c r="AE375" i="4"/>
  <c r="AF375" i="4"/>
  <c r="AD376" i="4"/>
  <c r="AE376" i="4"/>
  <c r="AF376" i="4"/>
  <c r="AD377" i="4"/>
  <c r="AE377" i="4"/>
  <c r="AF377" i="4"/>
  <c r="AD378" i="4"/>
  <c r="AE378" i="4"/>
  <c r="AF378" i="4"/>
  <c r="AD379" i="4"/>
  <c r="AE379" i="4"/>
  <c r="AF379" i="4"/>
  <c r="AD380" i="4"/>
  <c r="AE380" i="4"/>
  <c r="AF380" i="4"/>
  <c r="AD381" i="4"/>
  <c r="AE381" i="4"/>
  <c r="AF381" i="4"/>
  <c r="AD382" i="4"/>
  <c r="AE382" i="4"/>
  <c r="AF382" i="4"/>
  <c r="AD383" i="4"/>
  <c r="AE383" i="4"/>
  <c r="AF383" i="4"/>
  <c r="AD384" i="4"/>
  <c r="AE384" i="4"/>
  <c r="AF384" i="4"/>
  <c r="AD385" i="4"/>
  <c r="AE385" i="4"/>
  <c r="AF385" i="4"/>
  <c r="AD386" i="4"/>
  <c r="AE386" i="4"/>
  <c r="AF386" i="4"/>
  <c r="AD387" i="4"/>
  <c r="AE387" i="4"/>
  <c r="AF387" i="4"/>
  <c r="AD388" i="4"/>
  <c r="AE388" i="4"/>
  <c r="AF388" i="4"/>
  <c r="AD389" i="4"/>
  <c r="AE389" i="4"/>
  <c r="AF389" i="4"/>
  <c r="AD390" i="4"/>
  <c r="AE390" i="4"/>
  <c r="AF390" i="4"/>
  <c r="AD391" i="4"/>
  <c r="AE391" i="4"/>
  <c r="AF391" i="4"/>
  <c r="AD392" i="4"/>
  <c r="AE392" i="4"/>
  <c r="AF392" i="4"/>
  <c r="AD393" i="4"/>
  <c r="AE393" i="4"/>
  <c r="AF393" i="4"/>
  <c r="AD394" i="4"/>
  <c r="AE394" i="4"/>
  <c r="AF394" i="4"/>
  <c r="AD395" i="4"/>
  <c r="AE395" i="4"/>
  <c r="AF395" i="4"/>
  <c r="AD396" i="4"/>
  <c r="AE396" i="4"/>
  <c r="AF396" i="4"/>
  <c r="AD397" i="4"/>
  <c r="AE397" i="4"/>
  <c r="AF397" i="4"/>
  <c r="AD398" i="4"/>
  <c r="AE398" i="4"/>
  <c r="AF398" i="4"/>
  <c r="AD399" i="4"/>
  <c r="AE399" i="4"/>
  <c r="AF399" i="4"/>
  <c r="AD400" i="4"/>
  <c r="AE400" i="4"/>
  <c r="AF400" i="4"/>
  <c r="AD401" i="4"/>
  <c r="AE401" i="4"/>
  <c r="AF401" i="4"/>
  <c r="AD402" i="4"/>
  <c r="AE402" i="4"/>
  <c r="AF402" i="4"/>
  <c r="AD403" i="4"/>
  <c r="AE403" i="4"/>
  <c r="AF403" i="4"/>
  <c r="AD404" i="4"/>
  <c r="AE404" i="4"/>
  <c r="AF404" i="4"/>
  <c r="AD405" i="4"/>
  <c r="AE405" i="4"/>
  <c r="AF405" i="4"/>
  <c r="AD406" i="4"/>
  <c r="AE406" i="4"/>
  <c r="AF406" i="4"/>
  <c r="AD407" i="4"/>
  <c r="AE407" i="4"/>
  <c r="AF407" i="4"/>
  <c r="AD408" i="4"/>
  <c r="AE408" i="4"/>
  <c r="AF408" i="4"/>
  <c r="AD409" i="4"/>
  <c r="AE409" i="4"/>
  <c r="AF409" i="4"/>
  <c r="AD410" i="4"/>
  <c r="AE410" i="4"/>
  <c r="AF410" i="4"/>
  <c r="AD411" i="4"/>
  <c r="AE411" i="4"/>
  <c r="AF411" i="4"/>
  <c r="AD412" i="4"/>
  <c r="AE412" i="4"/>
  <c r="AF412" i="4"/>
  <c r="AD413" i="4"/>
  <c r="AE413" i="4"/>
  <c r="AF413" i="4"/>
  <c r="AD414" i="4"/>
  <c r="AE414" i="4"/>
  <c r="AF414" i="4"/>
  <c r="AD415" i="4"/>
  <c r="AE415" i="4"/>
  <c r="AF415" i="4"/>
  <c r="AD416" i="4"/>
  <c r="AE416" i="4"/>
  <c r="AF416" i="4"/>
  <c r="AD417" i="4"/>
  <c r="AE417" i="4"/>
  <c r="AF417" i="4"/>
  <c r="AD418" i="4"/>
  <c r="AE418" i="4"/>
  <c r="AF418" i="4"/>
  <c r="AD419" i="4"/>
  <c r="AE419" i="4"/>
  <c r="AF419" i="4"/>
  <c r="AD420" i="4"/>
  <c r="AE420" i="4"/>
  <c r="AF420" i="4"/>
  <c r="AD421" i="4"/>
  <c r="AE421" i="4"/>
  <c r="AF421" i="4"/>
  <c r="AD422" i="4"/>
  <c r="AE422" i="4"/>
  <c r="AF422" i="4"/>
  <c r="AD423" i="4"/>
  <c r="AE423" i="4"/>
  <c r="AF423" i="4"/>
  <c r="AD424" i="4"/>
  <c r="AE424" i="4"/>
  <c r="AF424" i="4"/>
  <c r="AD425" i="4"/>
  <c r="AE425" i="4"/>
  <c r="AF425" i="4"/>
  <c r="AD426" i="4"/>
  <c r="AE426" i="4"/>
  <c r="AF426" i="4"/>
  <c r="AD427" i="4"/>
  <c r="AE427" i="4"/>
  <c r="AF427" i="4"/>
  <c r="AD428" i="4"/>
  <c r="AE428" i="4"/>
  <c r="AF428" i="4"/>
  <c r="AD429" i="4"/>
  <c r="AE429" i="4"/>
  <c r="AF429" i="4"/>
  <c r="AD430" i="4"/>
  <c r="AE430" i="4"/>
  <c r="AF430" i="4"/>
  <c r="AD431" i="4"/>
  <c r="AE431" i="4"/>
  <c r="AF431" i="4"/>
  <c r="AD432" i="4"/>
  <c r="AE432" i="4"/>
  <c r="AF432" i="4"/>
  <c r="AD433" i="4"/>
  <c r="AE433" i="4"/>
  <c r="AF433" i="4"/>
  <c r="AD434" i="4"/>
  <c r="AE434" i="4"/>
  <c r="AF434" i="4"/>
  <c r="AD435" i="4"/>
  <c r="AE435" i="4"/>
  <c r="AF435" i="4"/>
  <c r="AD436" i="4"/>
  <c r="AE436" i="4"/>
  <c r="AF436" i="4"/>
  <c r="AD437" i="4"/>
  <c r="AE437" i="4"/>
  <c r="AF437" i="4"/>
  <c r="AD438" i="4"/>
  <c r="AE438" i="4"/>
  <c r="AF438" i="4"/>
  <c r="AD439" i="4"/>
  <c r="AE439" i="4"/>
  <c r="AF439" i="4"/>
  <c r="AD440" i="4"/>
  <c r="AE440" i="4"/>
  <c r="AF440" i="4"/>
  <c r="AD441" i="4"/>
  <c r="AE441" i="4"/>
  <c r="AF441" i="4"/>
  <c r="AD442" i="4"/>
  <c r="AE442" i="4"/>
  <c r="AF442" i="4"/>
  <c r="AD443" i="4"/>
  <c r="AE443" i="4"/>
  <c r="AF443" i="4"/>
  <c r="AD444" i="4"/>
  <c r="AE444" i="4"/>
  <c r="AF444" i="4"/>
  <c r="AD445" i="4"/>
  <c r="AE445" i="4"/>
  <c r="AF445" i="4"/>
  <c r="AD446" i="4"/>
  <c r="AE446" i="4"/>
  <c r="AF446" i="4"/>
  <c r="AD447" i="4"/>
  <c r="AE447" i="4"/>
  <c r="AF447" i="4"/>
  <c r="AD448" i="4"/>
  <c r="AE448" i="4"/>
  <c r="AF448" i="4"/>
  <c r="AD449" i="4"/>
  <c r="AE449" i="4"/>
  <c r="AF449" i="4"/>
  <c r="AD450" i="4"/>
  <c r="AE450" i="4"/>
  <c r="AF450" i="4"/>
  <c r="AD451" i="4"/>
  <c r="AE451" i="4"/>
  <c r="AF451" i="4"/>
  <c r="AD452" i="4"/>
  <c r="AE452" i="4"/>
  <c r="AF452" i="4"/>
  <c r="AD453" i="4"/>
  <c r="AE453" i="4"/>
  <c r="AF453" i="4"/>
  <c r="AD454" i="4"/>
  <c r="AE454" i="4"/>
  <c r="AF454" i="4"/>
  <c r="AD455" i="4"/>
  <c r="AE455" i="4"/>
  <c r="AF455" i="4"/>
  <c r="AD456" i="4"/>
  <c r="AE456" i="4"/>
  <c r="AF456" i="4"/>
  <c r="AD457" i="4"/>
  <c r="AE457" i="4"/>
  <c r="AF457" i="4"/>
  <c r="AD458" i="4"/>
  <c r="AE458" i="4"/>
  <c r="AF458" i="4"/>
  <c r="AD459" i="4"/>
  <c r="AE459" i="4"/>
  <c r="AF459" i="4"/>
  <c r="AD460" i="4"/>
  <c r="AE460" i="4"/>
  <c r="AF460" i="4"/>
  <c r="AD461" i="4"/>
  <c r="AE461" i="4"/>
  <c r="AF461" i="4"/>
  <c r="AD462" i="4"/>
  <c r="AE462" i="4"/>
  <c r="AF462" i="4"/>
  <c r="AD463" i="4"/>
  <c r="AE463" i="4"/>
  <c r="AF463" i="4"/>
  <c r="AD464" i="4"/>
  <c r="AE464" i="4"/>
  <c r="AF464" i="4"/>
  <c r="AD465" i="4"/>
  <c r="AE465" i="4"/>
  <c r="AF465" i="4"/>
  <c r="AD466" i="4"/>
  <c r="AE466" i="4"/>
  <c r="AF466" i="4"/>
  <c r="AD467" i="4"/>
  <c r="AE467" i="4"/>
  <c r="AF467" i="4"/>
  <c r="AD468" i="4"/>
  <c r="AE468" i="4"/>
  <c r="AF468" i="4"/>
  <c r="AD469" i="4"/>
  <c r="AE469" i="4"/>
  <c r="AF469" i="4"/>
  <c r="AD470" i="4"/>
  <c r="AE470" i="4"/>
  <c r="AF470" i="4"/>
  <c r="AD471" i="4"/>
  <c r="AE471" i="4"/>
  <c r="AF471" i="4"/>
  <c r="AD472" i="4"/>
  <c r="AE472" i="4"/>
  <c r="AF472" i="4"/>
  <c r="AD473" i="4"/>
  <c r="AE473" i="4"/>
  <c r="AF473" i="4"/>
  <c r="AD474" i="4"/>
  <c r="AE474" i="4"/>
  <c r="AF474" i="4"/>
  <c r="AD475" i="4"/>
  <c r="AE475" i="4"/>
  <c r="AF475" i="4"/>
  <c r="AD476" i="4"/>
  <c r="AE476" i="4"/>
  <c r="AF476" i="4"/>
  <c r="AD477" i="4"/>
  <c r="AE477" i="4"/>
  <c r="AF477" i="4"/>
  <c r="AD478" i="4"/>
  <c r="AE478" i="4"/>
  <c r="AF478" i="4"/>
  <c r="AD479" i="4"/>
  <c r="AE479" i="4"/>
  <c r="AF479" i="4"/>
  <c r="AD480" i="4"/>
  <c r="AE480" i="4"/>
  <c r="AF480" i="4"/>
  <c r="AD481" i="4"/>
  <c r="AE481" i="4"/>
  <c r="AF481" i="4"/>
  <c r="AD482" i="4"/>
  <c r="AE482" i="4"/>
  <c r="AF482" i="4"/>
  <c r="AD483" i="4"/>
  <c r="AE483" i="4"/>
  <c r="AF483" i="4"/>
  <c r="AD484" i="4"/>
  <c r="AE484" i="4"/>
  <c r="AF484" i="4"/>
  <c r="AD485" i="4"/>
  <c r="AE485" i="4"/>
  <c r="AF485" i="4"/>
  <c r="AD486" i="4"/>
  <c r="AE486" i="4"/>
  <c r="AF486" i="4"/>
  <c r="AD487" i="4"/>
  <c r="AE487" i="4"/>
  <c r="AF487" i="4"/>
  <c r="AD488" i="4"/>
  <c r="AE488" i="4"/>
  <c r="AF488" i="4"/>
  <c r="AD489" i="4"/>
  <c r="AE489" i="4"/>
  <c r="AF489" i="4"/>
  <c r="AD490" i="4"/>
  <c r="AE490" i="4"/>
  <c r="AF490" i="4"/>
  <c r="AD491" i="4"/>
  <c r="AE491" i="4"/>
  <c r="AF491" i="4"/>
  <c r="AD492" i="4"/>
  <c r="AE492" i="4"/>
  <c r="AF492" i="4"/>
  <c r="AD493" i="4"/>
  <c r="AE493" i="4"/>
  <c r="AF493" i="4"/>
  <c r="AD494" i="4"/>
  <c r="AE494" i="4"/>
  <c r="AF494" i="4"/>
  <c r="AD495" i="4"/>
  <c r="AE495" i="4"/>
  <c r="AF495" i="4"/>
  <c r="AD496" i="4"/>
  <c r="AE496" i="4"/>
  <c r="AF496" i="4"/>
  <c r="AD497" i="4"/>
  <c r="AE497" i="4"/>
  <c r="AF497" i="4"/>
  <c r="AD498" i="4"/>
  <c r="AE498" i="4"/>
  <c r="AF498" i="4"/>
  <c r="AD499" i="4"/>
  <c r="AE499" i="4"/>
  <c r="AF499" i="4"/>
  <c r="AD500" i="4"/>
  <c r="AE500" i="4"/>
  <c r="AF500" i="4"/>
  <c r="AD501" i="4"/>
  <c r="AE501" i="4"/>
  <c r="AF501" i="4"/>
  <c r="AD502" i="4"/>
  <c r="AE502" i="4"/>
  <c r="AF502" i="4"/>
  <c r="AD503" i="4"/>
  <c r="AE503" i="4"/>
  <c r="AF503" i="4"/>
  <c r="AD504" i="4"/>
  <c r="AE504" i="4"/>
  <c r="AF504" i="4"/>
  <c r="AD505" i="4"/>
  <c r="AE505" i="4"/>
  <c r="AF505" i="4"/>
  <c r="AD506" i="4"/>
  <c r="AE506" i="4"/>
  <c r="AF506" i="4"/>
  <c r="AD507" i="4"/>
  <c r="AE507" i="4"/>
  <c r="AF507" i="4"/>
  <c r="AD508" i="4"/>
  <c r="AE508" i="4"/>
  <c r="AF508" i="4"/>
  <c r="AD509" i="4"/>
  <c r="AE509" i="4"/>
  <c r="AF509" i="4"/>
  <c r="AD510" i="4"/>
  <c r="AE510" i="4"/>
  <c r="AF510" i="4"/>
  <c r="AD511" i="4"/>
  <c r="AE511" i="4"/>
  <c r="AF511" i="4"/>
  <c r="AD512" i="4"/>
  <c r="AE512" i="4"/>
  <c r="AF512" i="4"/>
  <c r="AD513" i="4"/>
  <c r="AE513" i="4"/>
  <c r="AF513" i="4"/>
  <c r="AD514" i="4"/>
  <c r="AE514" i="4"/>
  <c r="AF514" i="4"/>
  <c r="AD515" i="4"/>
  <c r="AE515" i="4"/>
  <c r="AF515" i="4"/>
  <c r="AD516" i="4"/>
  <c r="AE516" i="4"/>
  <c r="AF516" i="4"/>
  <c r="AD517" i="4"/>
  <c r="AE517" i="4"/>
  <c r="AF517" i="4"/>
  <c r="AD518" i="4"/>
  <c r="AE518" i="4"/>
  <c r="AF518" i="4"/>
  <c r="AD519" i="4"/>
  <c r="AE519" i="4"/>
  <c r="AF519" i="4"/>
  <c r="AD520" i="4"/>
  <c r="AE520" i="4"/>
  <c r="AF520" i="4"/>
  <c r="AD521" i="4"/>
  <c r="AE521" i="4"/>
  <c r="AF521" i="4"/>
  <c r="AD522" i="4"/>
  <c r="AE522" i="4"/>
  <c r="AF522" i="4"/>
  <c r="AD523" i="4"/>
  <c r="AE523" i="4"/>
  <c r="AF523" i="4"/>
  <c r="AD524" i="4"/>
  <c r="AE524" i="4"/>
  <c r="AF524" i="4"/>
  <c r="AD525" i="4"/>
  <c r="AE525" i="4"/>
  <c r="AF525" i="4"/>
  <c r="AD526" i="4"/>
  <c r="AE526" i="4"/>
  <c r="AF526" i="4"/>
  <c r="AD527" i="4"/>
  <c r="AE527" i="4"/>
  <c r="AF527" i="4"/>
  <c r="AD528" i="4"/>
  <c r="AE528" i="4"/>
  <c r="AF528" i="4"/>
  <c r="AD529" i="4"/>
  <c r="AE529" i="4"/>
  <c r="AF529" i="4"/>
  <c r="AD530" i="4"/>
  <c r="AE530" i="4"/>
  <c r="AF530" i="4"/>
  <c r="AD531" i="4"/>
  <c r="AE531" i="4"/>
  <c r="AF531" i="4"/>
  <c r="AD532" i="4"/>
  <c r="AE532" i="4"/>
  <c r="AF532" i="4"/>
  <c r="AD533" i="4"/>
  <c r="AE533" i="4"/>
  <c r="AF533" i="4"/>
  <c r="AD534" i="4"/>
  <c r="AE534" i="4"/>
  <c r="AF534" i="4"/>
  <c r="AD535" i="4"/>
  <c r="AE535" i="4"/>
  <c r="AF535" i="4"/>
  <c r="AD536" i="4"/>
  <c r="AE536" i="4"/>
  <c r="AF536" i="4"/>
  <c r="AD537" i="4"/>
  <c r="AE537" i="4"/>
  <c r="AF537" i="4"/>
  <c r="AD538" i="4"/>
  <c r="AE538" i="4"/>
  <c r="AF538" i="4"/>
  <c r="AD539" i="4"/>
  <c r="AE539" i="4"/>
  <c r="AF539" i="4"/>
  <c r="AD540" i="4"/>
  <c r="AE540" i="4"/>
  <c r="AF540" i="4"/>
  <c r="AD541" i="4"/>
  <c r="AE541" i="4"/>
  <c r="AF541" i="4"/>
  <c r="AD542" i="4"/>
  <c r="AE542" i="4"/>
  <c r="AF542" i="4"/>
  <c r="AD543" i="4"/>
  <c r="AE543" i="4"/>
  <c r="AF543" i="4"/>
  <c r="AD544" i="4"/>
  <c r="AE544" i="4"/>
  <c r="AF544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C204" i="4"/>
  <c r="AC205" i="4"/>
  <c r="AC206" i="4"/>
  <c r="AC207" i="4"/>
  <c r="AC208" i="4"/>
  <c r="AC209" i="4"/>
  <c r="AC210" i="4"/>
  <c r="AC211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C230" i="4"/>
  <c r="AC231" i="4"/>
  <c r="AC232" i="4"/>
  <c r="AC233" i="4"/>
  <c r="AC234" i="4"/>
  <c r="AC235" i="4"/>
  <c r="AC236" i="4"/>
  <c r="AC237" i="4"/>
  <c r="AC238" i="4"/>
  <c r="AC239" i="4"/>
  <c r="AC240" i="4"/>
  <c r="AC241" i="4"/>
  <c r="AC242" i="4"/>
  <c r="AC243" i="4"/>
  <c r="AC244" i="4"/>
  <c r="AC245" i="4"/>
  <c r="AC246" i="4"/>
  <c r="AC247" i="4"/>
  <c r="AC248" i="4"/>
  <c r="AC249" i="4"/>
  <c r="AC250" i="4"/>
  <c r="AC251" i="4"/>
  <c r="AC252" i="4"/>
  <c r="AC253" i="4"/>
  <c r="AC254" i="4"/>
  <c r="AC255" i="4"/>
  <c r="AC256" i="4"/>
  <c r="AC257" i="4"/>
  <c r="AC258" i="4"/>
  <c r="AC259" i="4"/>
  <c r="AC260" i="4"/>
  <c r="AC261" i="4"/>
  <c r="AC262" i="4"/>
  <c r="AC263" i="4"/>
  <c r="AC264" i="4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AC279" i="4"/>
  <c r="AC280" i="4"/>
  <c r="AC281" i="4"/>
  <c r="AC282" i="4"/>
  <c r="AC283" i="4"/>
  <c r="AC284" i="4"/>
  <c r="AC285" i="4"/>
  <c r="AC286" i="4"/>
  <c r="AC287" i="4"/>
  <c r="AC288" i="4"/>
  <c r="AC289" i="4"/>
  <c r="AC290" i="4"/>
  <c r="AC291" i="4"/>
  <c r="AC292" i="4"/>
  <c r="AC293" i="4"/>
  <c r="AC294" i="4"/>
  <c r="AC295" i="4"/>
  <c r="AC296" i="4"/>
  <c r="AC297" i="4"/>
  <c r="AC298" i="4"/>
  <c r="AC299" i="4"/>
  <c r="AC300" i="4"/>
  <c r="AC301" i="4"/>
  <c r="AC302" i="4"/>
  <c r="AC303" i="4"/>
  <c r="AC304" i="4"/>
  <c r="AC305" i="4"/>
  <c r="AC306" i="4"/>
  <c r="AC307" i="4"/>
  <c r="AC308" i="4"/>
  <c r="AC309" i="4"/>
  <c r="AC310" i="4"/>
  <c r="AC311" i="4"/>
  <c r="AC312" i="4"/>
  <c r="AC313" i="4"/>
  <c r="AC314" i="4"/>
  <c r="AC315" i="4"/>
  <c r="AC316" i="4"/>
  <c r="AC317" i="4"/>
  <c r="AC318" i="4"/>
  <c r="AC319" i="4"/>
  <c r="AC320" i="4"/>
  <c r="AC321" i="4"/>
  <c r="AC322" i="4"/>
  <c r="AC323" i="4"/>
  <c r="AC324" i="4"/>
  <c r="AC325" i="4"/>
  <c r="AC326" i="4"/>
  <c r="AC327" i="4"/>
  <c r="AC328" i="4"/>
  <c r="AC329" i="4"/>
  <c r="AC330" i="4"/>
  <c r="AC331" i="4"/>
  <c r="AC332" i="4"/>
  <c r="AC333" i="4"/>
  <c r="AC334" i="4"/>
  <c r="AC335" i="4"/>
  <c r="AC336" i="4"/>
  <c r="AC337" i="4"/>
  <c r="AC338" i="4"/>
  <c r="AC339" i="4"/>
  <c r="AC340" i="4"/>
  <c r="AC341" i="4"/>
  <c r="AC342" i="4"/>
  <c r="AC343" i="4"/>
  <c r="AC344" i="4"/>
  <c r="AC345" i="4"/>
  <c r="AC346" i="4"/>
  <c r="AC347" i="4"/>
  <c r="AC348" i="4"/>
  <c r="AC349" i="4"/>
  <c r="AC350" i="4"/>
  <c r="AC351" i="4"/>
  <c r="AC352" i="4"/>
  <c r="AC353" i="4"/>
  <c r="AC354" i="4"/>
  <c r="AC355" i="4"/>
  <c r="AC356" i="4"/>
  <c r="AC357" i="4"/>
  <c r="AC358" i="4"/>
  <c r="AC359" i="4"/>
  <c r="AC360" i="4"/>
  <c r="AC361" i="4"/>
  <c r="AC362" i="4"/>
  <c r="AC363" i="4"/>
  <c r="AC364" i="4"/>
  <c r="AC365" i="4"/>
  <c r="AC366" i="4"/>
  <c r="AC367" i="4"/>
  <c r="AC368" i="4"/>
  <c r="AC369" i="4"/>
  <c r="AC370" i="4"/>
  <c r="AC371" i="4"/>
  <c r="AC372" i="4"/>
  <c r="AC373" i="4"/>
  <c r="AC374" i="4"/>
  <c r="AC375" i="4"/>
  <c r="AC376" i="4"/>
  <c r="AC377" i="4"/>
  <c r="AC378" i="4"/>
  <c r="AC379" i="4"/>
  <c r="AC380" i="4"/>
  <c r="AC381" i="4"/>
  <c r="AC382" i="4"/>
  <c r="AC383" i="4"/>
  <c r="AC384" i="4"/>
  <c r="AC385" i="4"/>
  <c r="AC386" i="4"/>
  <c r="AC387" i="4"/>
  <c r="AC388" i="4"/>
  <c r="AC389" i="4"/>
  <c r="AC390" i="4"/>
  <c r="AC391" i="4"/>
  <c r="AC392" i="4"/>
  <c r="AC393" i="4"/>
  <c r="AC394" i="4"/>
  <c r="AC395" i="4"/>
  <c r="AC396" i="4"/>
  <c r="AC397" i="4"/>
  <c r="AC398" i="4"/>
  <c r="AC399" i="4"/>
  <c r="AC400" i="4"/>
  <c r="AC401" i="4"/>
  <c r="AC402" i="4"/>
  <c r="AC403" i="4"/>
  <c r="AC404" i="4"/>
  <c r="AC405" i="4"/>
  <c r="AC406" i="4"/>
  <c r="AC407" i="4"/>
  <c r="AC408" i="4"/>
  <c r="AC409" i="4"/>
  <c r="AC410" i="4"/>
  <c r="AC411" i="4"/>
  <c r="AC412" i="4"/>
  <c r="AC413" i="4"/>
  <c r="AC414" i="4"/>
  <c r="AC415" i="4"/>
  <c r="AC416" i="4"/>
  <c r="AC417" i="4"/>
  <c r="AC418" i="4"/>
  <c r="AC419" i="4"/>
  <c r="AC420" i="4"/>
  <c r="AC421" i="4"/>
  <c r="AC422" i="4"/>
  <c r="AC423" i="4"/>
  <c r="AC424" i="4"/>
  <c r="AC425" i="4"/>
  <c r="AC426" i="4"/>
  <c r="AC427" i="4"/>
  <c r="AC428" i="4"/>
  <c r="AC429" i="4"/>
  <c r="AC430" i="4"/>
  <c r="AC431" i="4"/>
  <c r="AC432" i="4"/>
  <c r="AC433" i="4"/>
  <c r="AC434" i="4"/>
  <c r="AC435" i="4"/>
  <c r="AC436" i="4"/>
  <c r="AC437" i="4"/>
  <c r="AC438" i="4"/>
  <c r="AC439" i="4"/>
  <c r="AC440" i="4"/>
  <c r="AC441" i="4"/>
  <c r="AC442" i="4"/>
  <c r="AC443" i="4"/>
  <c r="AC444" i="4"/>
  <c r="AC445" i="4"/>
  <c r="AC446" i="4"/>
  <c r="AC447" i="4"/>
  <c r="AC448" i="4"/>
  <c r="AC449" i="4"/>
  <c r="AC450" i="4"/>
  <c r="AC451" i="4"/>
  <c r="AC452" i="4"/>
  <c r="AC453" i="4"/>
  <c r="AC454" i="4"/>
  <c r="AC455" i="4"/>
  <c r="AC456" i="4"/>
  <c r="AC457" i="4"/>
  <c r="AC458" i="4"/>
  <c r="AC459" i="4"/>
  <c r="AC460" i="4"/>
  <c r="AC461" i="4"/>
  <c r="AC462" i="4"/>
  <c r="AC463" i="4"/>
  <c r="AC464" i="4"/>
  <c r="AC465" i="4"/>
  <c r="AC466" i="4"/>
  <c r="AC467" i="4"/>
  <c r="AC468" i="4"/>
  <c r="AC469" i="4"/>
  <c r="AC470" i="4"/>
  <c r="AC471" i="4"/>
  <c r="AC472" i="4"/>
  <c r="AC473" i="4"/>
  <c r="AC474" i="4"/>
  <c r="AC475" i="4"/>
  <c r="AC476" i="4"/>
  <c r="AC477" i="4"/>
  <c r="AC478" i="4"/>
  <c r="AC479" i="4"/>
  <c r="AC480" i="4"/>
  <c r="AC481" i="4"/>
  <c r="AC482" i="4"/>
  <c r="AC483" i="4"/>
  <c r="AC484" i="4"/>
  <c r="AC485" i="4"/>
  <c r="AC486" i="4"/>
  <c r="AC487" i="4"/>
  <c r="AC488" i="4"/>
  <c r="AC489" i="4"/>
  <c r="AC490" i="4"/>
  <c r="AC491" i="4"/>
  <c r="AC492" i="4"/>
  <c r="AC493" i="4"/>
  <c r="AC494" i="4"/>
  <c r="AC495" i="4"/>
  <c r="AC496" i="4"/>
  <c r="AC497" i="4"/>
  <c r="AC498" i="4"/>
  <c r="AC499" i="4"/>
  <c r="AC500" i="4"/>
  <c r="AC501" i="4"/>
  <c r="AC502" i="4"/>
  <c r="AC503" i="4"/>
  <c r="AC504" i="4"/>
  <c r="AC505" i="4"/>
  <c r="AC506" i="4"/>
  <c r="AC507" i="4"/>
  <c r="AC508" i="4"/>
  <c r="AC509" i="4"/>
  <c r="AC510" i="4"/>
  <c r="AC511" i="4"/>
  <c r="AC512" i="4"/>
  <c r="AC513" i="4"/>
  <c r="AC514" i="4"/>
  <c r="AC515" i="4"/>
  <c r="AC516" i="4"/>
  <c r="AC517" i="4"/>
  <c r="AC518" i="4"/>
  <c r="AC519" i="4"/>
  <c r="AC520" i="4"/>
  <c r="AC521" i="4"/>
  <c r="AC522" i="4"/>
  <c r="AC523" i="4"/>
  <c r="AC524" i="4"/>
  <c r="AC525" i="4"/>
  <c r="AC526" i="4"/>
  <c r="AC527" i="4"/>
  <c r="AC528" i="4"/>
  <c r="AC529" i="4"/>
  <c r="AC530" i="4"/>
  <c r="AC531" i="4"/>
  <c r="AC532" i="4"/>
  <c r="AC533" i="4"/>
  <c r="AC534" i="4"/>
  <c r="AC535" i="4"/>
  <c r="AC536" i="4"/>
  <c r="AC537" i="4"/>
  <c r="AC538" i="4"/>
  <c r="AC539" i="4"/>
  <c r="AC540" i="4"/>
  <c r="AC541" i="4"/>
  <c r="AC542" i="4"/>
  <c r="AC543" i="4"/>
  <c r="AC544" i="4"/>
  <c r="AC5" i="4"/>
  <c r="H1" i="9"/>
  <c r="O1" i="4"/>
  <c r="B87" i="12" l="1"/>
  <c r="B88" i="12" s="1"/>
  <c r="B89" i="12"/>
  <c r="B90" i="12" s="1"/>
  <c r="B91" i="12"/>
  <c r="B92" i="12" s="1"/>
  <c r="B93" i="12"/>
  <c r="B94" i="12" s="1"/>
  <c r="B95" i="12"/>
  <c r="B96" i="12" s="1"/>
  <c r="B97" i="12"/>
  <c r="B98" i="12" s="1"/>
  <c r="B99" i="12"/>
  <c r="B100" i="12" s="1"/>
  <c r="B101" i="12" s="1"/>
  <c r="B102" i="12"/>
  <c r="B103" i="12" s="1"/>
  <c r="B104" i="12" s="1"/>
  <c r="B105" i="12"/>
  <c r="B106" i="12" s="1"/>
  <c r="B107" i="12"/>
  <c r="B108" i="12" s="1"/>
  <c r="B109" i="12" s="1"/>
  <c r="B110" i="12"/>
  <c r="B111" i="12" s="1"/>
  <c r="B112" i="12" s="1"/>
  <c r="B113" i="12"/>
  <c r="B114" i="12" s="1"/>
  <c r="B115" i="12" s="1"/>
  <c r="B116" i="12"/>
  <c r="B117" i="12" s="1"/>
  <c r="B118" i="12" s="1"/>
  <c r="B119" i="12"/>
  <c r="B120" i="12" s="1"/>
  <c r="B121" i="12"/>
  <c r="B122" i="12" s="1"/>
  <c r="B123" i="12"/>
  <c r="B124" i="12"/>
  <c r="B125" i="12" s="1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 s="1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 s="1"/>
  <c r="B198" i="12"/>
  <c r="B199" i="12"/>
  <c r="B200" i="12"/>
  <c r="B201" i="12"/>
  <c r="B202" i="12"/>
  <c r="B203" i="12" s="1"/>
  <c r="B204" i="12"/>
  <c r="B205" i="12"/>
  <c r="B206" i="12"/>
  <c r="B207" i="12"/>
  <c r="B208" i="12"/>
  <c r="B209" i="12" s="1"/>
  <c r="B210" i="12"/>
  <c r="B211" i="12"/>
  <c r="B212" i="12" s="1"/>
  <c r="B213" i="12"/>
  <c r="B214" i="12" s="1"/>
  <c r="B215" i="12"/>
  <c r="B216" i="12" s="1"/>
  <c r="B217" i="12"/>
  <c r="B218" i="12" s="1"/>
  <c r="B219" i="12"/>
  <c r="B220" i="12" s="1"/>
  <c r="B221" i="12"/>
  <c r="B222" i="12"/>
  <c r="B223" i="12" s="1"/>
  <c r="B224" i="12"/>
  <c r="B225" i="12" s="1"/>
  <c r="B226" i="12"/>
  <c r="B227" i="12"/>
  <c r="B228" i="12"/>
  <c r="B229" i="12"/>
  <c r="B230" i="12" s="1"/>
  <c r="B231" i="12"/>
  <c r="B232" i="12" s="1"/>
  <c r="B233" i="12"/>
  <c r="B234" i="12"/>
  <c r="B235" i="12"/>
  <c r="B236" i="12" s="1"/>
  <c r="B237" i="12"/>
  <c r="B238" i="12"/>
  <c r="B239" i="12"/>
  <c r="B240" i="12"/>
  <c r="B241" i="12"/>
  <c r="B242" i="12"/>
  <c r="B243" i="12"/>
  <c r="B244" i="12"/>
  <c r="B245" i="12"/>
  <c r="B246" i="12" s="1"/>
  <c r="B247" i="12"/>
  <c r="B248" i="12"/>
  <c r="B249" i="12"/>
  <c r="B250" i="12"/>
  <c r="B251" i="12" s="1"/>
  <c r="B252" i="12"/>
  <c r="B253" i="12"/>
  <c r="B254" i="12"/>
  <c r="B255" i="12"/>
  <c r="B256" i="12" s="1"/>
  <c r="B257" i="12" s="1"/>
  <c r="B258" i="12"/>
  <c r="B259" i="12"/>
  <c r="B260" i="12"/>
  <c r="B261" i="12"/>
  <c r="B262" i="12"/>
  <c r="B263" i="12" s="1"/>
  <c r="B264" i="12" s="1"/>
  <c r="B265" i="12"/>
  <c r="B266" i="12"/>
  <c r="B267" i="12"/>
  <c r="B268" i="12"/>
  <c r="B269" i="12"/>
  <c r="B270" i="12"/>
  <c r="B271" i="12"/>
  <c r="B272" i="12"/>
  <c r="B273" i="12" s="1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 s="1"/>
  <c r="B328" i="12"/>
  <c r="B329" i="12"/>
  <c r="B330" i="12"/>
  <c r="B331" i="12"/>
  <c r="B332" i="12"/>
  <c r="B333" i="12"/>
  <c r="B334" i="12" s="1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 s="1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368" i="12"/>
  <c r="B369" i="12" s="1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 s="1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 s="1"/>
  <c r="B429" i="12" s="1"/>
  <c r="B430" i="12" s="1"/>
  <c r="B431" i="12" s="1"/>
  <c r="B432" i="12" s="1"/>
  <c r="B433" i="12" s="1"/>
  <c r="B434" i="12" s="1"/>
  <c r="B435" i="12" s="1"/>
  <c r="B436" i="12" s="1"/>
  <c r="B437" i="12" s="1"/>
  <c r="B438" i="12" s="1"/>
  <c r="B439" i="12" s="1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B458" i="12"/>
  <c r="B459" i="12"/>
  <c r="B460" i="12"/>
  <c r="B461" i="12"/>
  <c r="B462" i="12"/>
  <c r="B463" i="12"/>
  <c r="B464" i="12"/>
  <c r="B465" i="12"/>
  <c r="B466" i="12"/>
  <c r="B467" i="12"/>
  <c r="B468" i="12"/>
  <c r="B469" i="12"/>
  <c r="B470" i="12"/>
  <c r="B471" i="12"/>
  <c r="B472" i="12"/>
  <c r="B473" i="12"/>
  <c r="B474" i="12"/>
  <c r="B475" i="12"/>
  <c r="B476" i="12"/>
  <c r="B477" i="12"/>
  <c r="B478" i="12"/>
  <c r="B479" i="12"/>
  <c r="B480" i="12"/>
  <c r="B481" i="12"/>
  <c r="B482" i="12"/>
  <c r="B483" i="12"/>
  <c r="B484" i="12"/>
  <c r="B485" i="12"/>
  <c r="B486" i="12"/>
  <c r="B487" i="12"/>
  <c r="B488" i="12"/>
  <c r="B489" i="12"/>
  <c r="B490" i="12"/>
  <c r="B491" i="12" s="1"/>
  <c r="B492" i="12"/>
  <c r="B493" i="12"/>
  <c r="B494" i="12"/>
  <c r="B495" i="12"/>
  <c r="B496" i="12"/>
  <c r="B497" i="12"/>
  <c r="B498" i="12"/>
  <c r="B499" i="12"/>
  <c r="B500" i="12"/>
  <c r="B501" i="12"/>
  <c r="B502" i="12"/>
  <c r="B503" i="12"/>
  <c r="B504" i="12"/>
  <c r="B505" i="12"/>
  <c r="B506" i="12"/>
  <c r="B507" i="12" s="1"/>
  <c r="B508" i="12"/>
  <c r="B509" i="12"/>
  <c r="B510" i="12"/>
  <c r="B511" i="12"/>
  <c r="B512" i="12"/>
  <c r="B513" i="12"/>
  <c r="B514" i="12"/>
  <c r="B515" i="12"/>
  <c r="B516" i="12"/>
  <c r="B517" i="12"/>
  <c r="B518" i="12"/>
  <c r="B519" i="12"/>
  <c r="B520" i="12"/>
  <c r="B521" i="12"/>
  <c r="B522" i="12"/>
  <c r="B523" i="12" s="1"/>
  <c r="B524" i="12"/>
  <c r="B525" i="12"/>
  <c r="B526" i="12"/>
  <c r="B527" i="12"/>
  <c r="B528" i="12"/>
  <c r="B529" i="12"/>
  <c r="B530" i="12"/>
  <c r="B531" i="12"/>
  <c r="B532" i="12"/>
  <c r="B533" i="12"/>
  <c r="B534" i="12" s="1"/>
  <c r="B535" i="12"/>
  <c r="B536" i="12"/>
  <c r="B537" i="12"/>
  <c r="B538" i="12"/>
  <c r="B539" i="12"/>
  <c r="B540" i="12"/>
  <c r="B541" i="12"/>
  <c r="B542" i="12"/>
  <c r="B543" i="12"/>
  <c r="B544" i="12"/>
  <c r="B545" i="12"/>
  <c r="B546" i="12"/>
  <c r="B547" i="12"/>
  <c r="B548" i="12"/>
  <c r="B549" i="12"/>
  <c r="B550" i="12"/>
  <c r="B551" i="12" s="1"/>
  <c r="B552" i="12"/>
  <c r="B553" i="12"/>
  <c r="B554" i="12"/>
  <c r="B555" i="12"/>
  <c r="B556" i="12"/>
  <c r="B557" i="12"/>
  <c r="B558" i="12"/>
  <c r="B559" i="12"/>
  <c r="B560" i="12"/>
  <c r="B561" i="12"/>
  <c r="B562" i="12"/>
  <c r="B563" i="12"/>
  <c r="B564" i="12"/>
  <c r="B565" i="12"/>
  <c r="B566" i="12"/>
  <c r="B567" i="12"/>
  <c r="B568" i="12"/>
  <c r="B569" i="12"/>
  <c r="B570" i="12"/>
  <c r="B571" i="12"/>
  <c r="B572" i="12"/>
  <c r="B573" i="12"/>
  <c r="B574" i="12"/>
  <c r="B575" i="12"/>
  <c r="B576" i="12"/>
  <c r="B577" i="12"/>
  <c r="B578" i="12"/>
  <c r="B579" i="12"/>
  <c r="B580" i="12"/>
  <c r="B581" i="12"/>
  <c r="B582" i="12"/>
  <c r="B583" i="12"/>
  <c r="B584" i="12"/>
  <c r="B585" i="12"/>
  <c r="B586" i="12"/>
  <c r="B587" i="12"/>
  <c r="B588" i="12"/>
  <c r="B589" i="12" s="1"/>
  <c r="B590" i="12"/>
  <c r="B591" i="12"/>
  <c r="B592" i="12"/>
  <c r="B593" i="12"/>
  <c r="B594" i="12"/>
  <c r="B595" i="12"/>
  <c r="B596" i="12"/>
  <c r="B597" i="12"/>
  <c r="B598" i="12"/>
  <c r="B599" i="12"/>
  <c r="B600" i="12"/>
  <c r="B601" i="12"/>
  <c r="B602" i="12"/>
  <c r="B603" i="12"/>
  <c r="B604" i="12"/>
  <c r="B605" i="12"/>
  <c r="B606" i="12"/>
  <c r="B607" i="12"/>
  <c r="B608" i="12"/>
  <c r="B609" i="12"/>
  <c r="B610" i="12"/>
  <c r="B611" i="12"/>
  <c r="B612" i="12"/>
  <c r="B613" i="12"/>
  <c r="B614" i="12"/>
  <c r="B615" i="12"/>
  <c r="B616" i="12"/>
  <c r="B617" i="12"/>
  <c r="B618" i="12"/>
  <c r="B619" i="12"/>
  <c r="B620" i="12"/>
  <c r="B621" i="12"/>
  <c r="B622" i="12"/>
  <c r="B623" i="12"/>
  <c r="B624" i="12"/>
  <c r="B625" i="12" s="1"/>
  <c r="B626" i="12"/>
  <c r="B627" i="12"/>
  <c r="B628" i="12"/>
  <c r="B629" i="12"/>
  <c r="B630" i="12"/>
  <c r="B631" i="12"/>
  <c r="B632" i="12"/>
  <c r="B633" i="12"/>
  <c r="B634" i="12"/>
  <c r="B635" i="12"/>
  <c r="B636" i="12"/>
  <c r="B637" i="12"/>
  <c r="B638" i="12"/>
  <c r="B639" i="12"/>
  <c r="B640" i="12"/>
  <c r="B641" i="12"/>
  <c r="B642" i="12"/>
  <c r="B643" i="12"/>
  <c r="B644" i="12"/>
  <c r="B645" i="12"/>
  <c r="B646" i="12"/>
  <c r="B647" i="12"/>
  <c r="B648" i="12" s="1"/>
  <c r="B85" i="12"/>
  <c r="B86" i="12" s="1"/>
  <c r="C6" i="12"/>
  <c r="D6" i="12"/>
  <c r="C7" i="12"/>
  <c r="D7" i="12"/>
  <c r="C8" i="12"/>
  <c r="D8" i="12"/>
  <c r="C9" i="12"/>
  <c r="D9" i="12"/>
  <c r="C10" i="12"/>
  <c r="D10" i="12"/>
  <c r="C11" i="12"/>
  <c r="D11" i="12"/>
  <c r="C12" i="12"/>
  <c r="D12" i="12"/>
  <c r="C13" i="12"/>
  <c r="D13" i="12"/>
  <c r="C14" i="12"/>
  <c r="D14" i="12"/>
  <c r="C15" i="12"/>
  <c r="D15" i="12"/>
  <c r="C16" i="12"/>
  <c r="D16" i="12"/>
  <c r="C17" i="12"/>
  <c r="D17" i="12"/>
  <c r="C18" i="12"/>
  <c r="D18" i="12"/>
  <c r="C19" i="12"/>
  <c r="D19" i="12"/>
  <c r="C20" i="12"/>
  <c r="D20" i="12"/>
  <c r="C21" i="12"/>
  <c r="D21" i="12"/>
  <c r="C22" i="12"/>
  <c r="D22" i="12"/>
  <c r="C23" i="12"/>
  <c r="D23" i="12"/>
  <c r="C24" i="12"/>
  <c r="D24" i="12"/>
  <c r="C25" i="12"/>
  <c r="D25" i="12"/>
  <c r="C26" i="12"/>
  <c r="D26" i="12"/>
  <c r="C27" i="12"/>
  <c r="D27" i="12"/>
  <c r="C28" i="12"/>
  <c r="D28" i="12"/>
  <c r="C29" i="12"/>
  <c r="D29" i="12"/>
  <c r="C30" i="12"/>
  <c r="D30" i="12"/>
  <c r="C31" i="12"/>
  <c r="D31" i="12"/>
  <c r="C32" i="12"/>
  <c r="D32" i="12"/>
  <c r="C33" i="12"/>
  <c r="D33" i="12"/>
  <c r="C34" i="12"/>
  <c r="D34" i="12"/>
  <c r="C35" i="12"/>
  <c r="D35" i="12"/>
  <c r="C36" i="12"/>
  <c r="D36" i="12"/>
  <c r="C37" i="12"/>
  <c r="D37" i="12"/>
  <c r="C38" i="12"/>
  <c r="D38" i="12"/>
  <c r="C39" i="12"/>
  <c r="D39" i="12"/>
  <c r="C40" i="12"/>
  <c r="D40" i="12"/>
  <c r="C41" i="12"/>
  <c r="D41" i="12"/>
  <c r="C42" i="12"/>
  <c r="D42" i="12"/>
  <c r="C43" i="12"/>
  <c r="D43" i="12"/>
  <c r="C44" i="12"/>
  <c r="D44" i="12"/>
  <c r="C45" i="12"/>
  <c r="D45" i="12"/>
  <c r="C46" i="12"/>
  <c r="D46" i="12"/>
  <c r="D47" i="12" s="1"/>
  <c r="C47" i="12"/>
  <c r="C48" i="12" s="1"/>
  <c r="D48" i="12"/>
  <c r="C49" i="12"/>
  <c r="D49" i="12"/>
  <c r="C50" i="12"/>
  <c r="D50" i="12"/>
  <c r="C51" i="12"/>
  <c r="D51" i="12"/>
  <c r="C52" i="12"/>
  <c r="D52" i="12"/>
  <c r="C53" i="12"/>
  <c r="D53" i="12"/>
  <c r="C54" i="12"/>
  <c r="D54" i="12"/>
  <c r="C55" i="12"/>
  <c r="D55" i="12"/>
  <c r="C56" i="12"/>
  <c r="D56" i="12"/>
  <c r="C57" i="12"/>
  <c r="D57" i="12"/>
  <c r="C58" i="12"/>
  <c r="D58" i="12"/>
  <c r="C59" i="12"/>
  <c r="D59" i="12"/>
  <c r="C60" i="12"/>
  <c r="D60" i="12"/>
  <c r="C61" i="12"/>
  <c r="D61" i="12"/>
  <c r="C62" i="12"/>
  <c r="D62" i="12"/>
  <c r="C63" i="12"/>
  <c r="D63" i="12"/>
  <c r="C64" i="12"/>
  <c r="C65" i="12" s="1"/>
  <c r="D64" i="12"/>
  <c r="D65" i="12"/>
  <c r="C66" i="12"/>
  <c r="D66" i="12"/>
  <c r="C67" i="12"/>
  <c r="D67" i="12"/>
  <c r="C68" i="12"/>
  <c r="D68" i="12"/>
  <c r="C69" i="12"/>
  <c r="D69" i="12"/>
  <c r="C70" i="12"/>
  <c r="D70" i="12"/>
  <c r="C71" i="12"/>
  <c r="D71" i="12"/>
  <c r="C72" i="12"/>
  <c r="D72" i="12"/>
  <c r="C73" i="12"/>
  <c r="D73" i="12"/>
  <c r="C74" i="12"/>
  <c r="D74" i="12"/>
  <c r="C75" i="12"/>
  <c r="D75" i="12"/>
  <c r="C76" i="12"/>
  <c r="D76" i="12"/>
  <c r="C77" i="12"/>
  <c r="D77" i="12"/>
  <c r="C78" i="12"/>
  <c r="D78" i="12"/>
  <c r="C79" i="12"/>
  <c r="D79" i="12"/>
  <c r="C80" i="12"/>
  <c r="D80" i="12"/>
  <c r="C81" i="12"/>
  <c r="D81" i="12"/>
  <c r="C82" i="12"/>
  <c r="D82" i="12"/>
  <c r="C83" i="12"/>
  <c r="D83" i="12"/>
  <c r="C84" i="12"/>
  <c r="C85" i="12" s="1"/>
  <c r="D84" i="12"/>
  <c r="D85" i="12" s="1"/>
  <c r="C86" i="12"/>
  <c r="C87" i="12" s="1"/>
  <c r="D86" i="12"/>
  <c r="D87" i="12" s="1"/>
  <c r="C88" i="12"/>
  <c r="C89" i="12" s="1"/>
  <c r="D88" i="12"/>
  <c r="D89" i="12" s="1"/>
  <c r="C90" i="12"/>
  <c r="C91" i="12" s="1"/>
  <c r="D90" i="12"/>
  <c r="D91" i="12" s="1"/>
  <c r="C92" i="12"/>
  <c r="C93" i="12" s="1"/>
  <c r="D92" i="12"/>
  <c r="D93" i="12" s="1"/>
  <c r="C94" i="12"/>
  <c r="C95" i="12" s="1"/>
  <c r="D94" i="12"/>
  <c r="D95" i="12" s="1"/>
  <c r="C96" i="12"/>
  <c r="C97" i="12" s="1"/>
  <c r="D96" i="12"/>
  <c r="D97" i="12" s="1"/>
  <c r="C98" i="12"/>
  <c r="C99" i="12" s="1"/>
  <c r="D98" i="12"/>
  <c r="D99" i="12" s="1"/>
  <c r="C100" i="12"/>
  <c r="D100" i="12"/>
  <c r="C101" i="12"/>
  <c r="C102" i="12" s="1"/>
  <c r="D101" i="12"/>
  <c r="D102" i="12" s="1"/>
  <c r="C103" i="12"/>
  <c r="D103" i="12"/>
  <c r="C104" i="12"/>
  <c r="C105" i="12" s="1"/>
  <c r="D104" i="12"/>
  <c r="D105" i="12" s="1"/>
  <c r="C106" i="12"/>
  <c r="C107" i="12" s="1"/>
  <c r="D106" i="12"/>
  <c r="D107" i="12" s="1"/>
  <c r="C108" i="12"/>
  <c r="D108" i="12"/>
  <c r="C109" i="12"/>
  <c r="C110" i="12" s="1"/>
  <c r="D109" i="12"/>
  <c r="D110" i="12" s="1"/>
  <c r="C111" i="12"/>
  <c r="D111" i="12"/>
  <c r="C112" i="12"/>
  <c r="C113" i="12" s="1"/>
  <c r="D112" i="12"/>
  <c r="D113" i="12" s="1"/>
  <c r="C114" i="12"/>
  <c r="D114" i="12"/>
  <c r="C115" i="12"/>
  <c r="C116" i="12" s="1"/>
  <c r="D115" i="12"/>
  <c r="D116" i="12" s="1"/>
  <c r="C117" i="12"/>
  <c r="D117" i="12"/>
  <c r="C118" i="12"/>
  <c r="C119" i="12" s="1"/>
  <c r="D118" i="12"/>
  <c r="D119" i="12" s="1"/>
  <c r="C120" i="12"/>
  <c r="C121" i="12" s="1"/>
  <c r="D120" i="12"/>
  <c r="D121" i="12" s="1"/>
  <c r="C122" i="12"/>
  <c r="C123" i="12" s="1"/>
  <c r="C124" i="12" s="1"/>
  <c r="D122" i="12"/>
  <c r="D123" i="12" s="1"/>
  <c r="D124" i="12" s="1"/>
  <c r="C125" i="12"/>
  <c r="D125" i="12"/>
  <c r="C126" i="12"/>
  <c r="C127" i="12" s="1"/>
  <c r="D126" i="12"/>
  <c r="D127" i="12" s="1"/>
  <c r="C128" i="12"/>
  <c r="D128" i="12"/>
  <c r="C129" i="12"/>
  <c r="D129" i="12"/>
  <c r="C130" i="12"/>
  <c r="D130" i="12"/>
  <c r="C131" i="12"/>
  <c r="D131" i="12"/>
  <c r="C132" i="12"/>
  <c r="D132" i="12"/>
  <c r="C133" i="12"/>
  <c r="D133" i="12"/>
  <c r="C134" i="12"/>
  <c r="D134" i="12"/>
  <c r="C135" i="12"/>
  <c r="D135" i="12"/>
  <c r="C136" i="12"/>
  <c r="D136" i="12"/>
  <c r="C137" i="12"/>
  <c r="D137" i="12"/>
  <c r="C138" i="12"/>
  <c r="D138" i="12"/>
  <c r="C139" i="12"/>
  <c r="D139" i="12"/>
  <c r="C140" i="12"/>
  <c r="D140" i="12"/>
  <c r="C141" i="12"/>
  <c r="D141" i="12"/>
  <c r="C142" i="12"/>
  <c r="D142" i="12"/>
  <c r="C143" i="12"/>
  <c r="D143" i="12"/>
  <c r="C144" i="12"/>
  <c r="D144" i="12"/>
  <c r="C145" i="12"/>
  <c r="D145" i="12"/>
  <c r="C146" i="12"/>
  <c r="D146" i="12"/>
  <c r="C147" i="12"/>
  <c r="D147" i="12"/>
  <c r="C148" i="12"/>
  <c r="D148" i="12"/>
  <c r="C149" i="12"/>
  <c r="D149" i="12"/>
  <c r="C150" i="12"/>
  <c r="D150" i="12"/>
  <c r="C151" i="12"/>
  <c r="D151" i="12"/>
  <c r="C152" i="12"/>
  <c r="D152" i="12"/>
  <c r="C153" i="12"/>
  <c r="D153" i="12"/>
  <c r="C154" i="12"/>
  <c r="D154" i="12"/>
  <c r="C155" i="12"/>
  <c r="D155" i="12"/>
  <c r="C156" i="12"/>
  <c r="D156" i="12"/>
  <c r="C157" i="12"/>
  <c r="D157" i="12"/>
  <c r="C158" i="12"/>
  <c r="C159" i="12" s="1"/>
  <c r="D158" i="12"/>
  <c r="D159" i="12" s="1"/>
  <c r="C160" i="12"/>
  <c r="D160" i="12"/>
  <c r="C161" i="12"/>
  <c r="D161" i="12"/>
  <c r="C162" i="12"/>
  <c r="D162" i="12"/>
  <c r="C163" i="12"/>
  <c r="D163" i="12"/>
  <c r="C164" i="12"/>
  <c r="D164" i="12"/>
  <c r="C165" i="12"/>
  <c r="D165" i="12"/>
  <c r="C166" i="12"/>
  <c r="D166" i="12"/>
  <c r="C167" i="12"/>
  <c r="D167" i="12"/>
  <c r="C168" i="12"/>
  <c r="D168" i="12"/>
  <c r="C169" i="12"/>
  <c r="D169" i="12"/>
  <c r="C170" i="12"/>
  <c r="D170" i="12"/>
  <c r="C171" i="12"/>
  <c r="D171" i="12"/>
  <c r="C172" i="12"/>
  <c r="D172" i="12"/>
  <c r="C173" i="12"/>
  <c r="D173" i="12"/>
  <c r="C174" i="12"/>
  <c r="D174" i="12"/>
  <c r="C175" i="12"/>
  <c r="D175" i="12"/>
  <c r="C176" i="12"/>
  <c r="D176" i="12"/>
  <c r="C177" i="12"/>
  <c r="D177" i="12"/>
  <c r="C178" i="12"/>
  <c r="D178" i="12"/>
  <c r="C179" i="12"/>
  <c r="D179" i="12"/>
  <c r="C180" i="12"/>
  <c r="D180" i="12"/>
  <c r="C181" i="12"/>
  <c r="D181" i="12"/>
  <c r="C182" i="12"/>
  <c r="D182" i="12"/>
  <c r="C183" i="12"/>
  <c r="D183" i="12"/>
  <c r="C184" i="12"/>
  <c r="D184" i="12"/>
  <c r="C185" i="12"/>
  <c r="D185" i="12"/>
  <c r="C186" i="12"/>
  <c r="D186" i="12"/>
  <c r="C187" i="12"/>
  <c r="D187" i="12"/>
  <c r="C188" i="12"/>
  <c r="D188" i="12"/>
  <c r="C189" i="12"/>
  <c r="D189" i="12"/>
  <c r="C190" i="12"/>
  <c r="D190" i="12"/>
  <c r="C191" i="12"/>
  <c r="D191" i="12"/>
  <c r="C192" i="12"/>
  <c r="D192" i="12"/>
  <c r="C193" i="12"/>
  <c r="D193" i="12"/>
  <c r="C194" i="12"/>
  <c r="D194" i="12"/>
  <c r="C195" i="12"/>
  <c r="C196" i="12" s="1"/>
  <c r="D195" i="12"/>
  <c r="D196" i="12" s="1"/>
  <c r="C197" i="12"/>
  <c r="D197" i="12"/>
  <c r="C198" i="12"/>
  <c r="D198" i="12"/>
  <c r="C199" i="12"/>
  <c r="D199" i="12"/>
  <c r="C200" i="12"/>
  <c r="D200" i="12"/>
  <c r="C201" i="12"/>
  <c r="D201" i="12"/>
  <c r="C202" i="12"/>
  <c r="D202" i="12"/>
  <c r="C203" i="12"/>
  <c r="C204" i="12" s="1"/>
  <c r="D203" i="12"/>
  <c r="D204" i="12" s="1"/>
  <c r="C205" i="12"/>
  <c r="D205" i="12"/>
  <c r="C206" i="12"/>
  <c r="D206" i="12"/>
  <c r="C207" i="12"/>
  <c r="C208" i="12" s="1"/>
  <c r="D207" i="12"/>
  <c r="D208" i="12" s="1"/>
  <c r="C209" i="12"/>
  <c r="D209" i="12"/>
  <c r="C210" i="12"/>
  <c r="C211" i="12" s="1"/>
  <c r="D210" i="12"/>
  <c r="D211" i="12" s="1"/>
  <c r="C212" i="12"/>
  <c r="C213" i="12" s="1"/>
  <c r="D212" i="12"/>
  <c r="D213" i="12" s="1"/>
  <c r="C214" i="12"/>
  <c r="C215" i="12" s="1"/>
  <c r="D214" i="12"/>
  <c r="D215" i="12" s="1"/>
  <c r="C216" i="12"/>
  <c r="C217" i="12" s="1"/>
  <c r="D216" i="12"/>
  <c r="D217" i="12" s="1"/>
  <c r="C218" i="12"/>
  <c r="C219" i="12" s="1"/>
  <c r="D218" i="12"/>
  <c r="D219" i="12" s="1"/>
  <c r="C220" i="12"/>
  <c r="D220" i="12"/>
  <c r="C221" i="12"/>
  <c r="C222" i="12" s="1"/>
  <c r="D221" i="12"/>
  <c r="D222" i="12" s="1"/>
  <c r="C223" i="12"/>
  <c r="C224" i="12" s="1"/>
  <c r="D223" i="12"/>
  <c r="D224" i="12" s="1"/>
  <c r="C225" i="12"/>
  <c r="D225" i="12"/>
  <c r="C226" i="12"/>
  <c r="D226" i="12"/>
  <c r="C227" i="12"/>
  <c r="D227" i="12"/>
  <c r="C228" i="12"/>
  <c r="C229" i="12" s="1"/>
  <c r="D228" i="12"/>
  <c r="D229" i="12" s="1"/>
  <c r="C230" i="12"/>
  <c r="C231" i="12" s="1"/>
  <c r="D230" i="12"/>
  <c r="D231" i="12" s="1"/>
  <c r="C232" i="12"/>
  <c r="D232" i="12"/>
  <c r="C233" i="12"/>
  <c r="D233" i="12"/>
  <c r="C234" i="12"/>
  <c r="C235" i="12" s="1"/>
  <c r="D234" i="12"/>
  <c r="D235" i="12" s="1"/>
  <c r="C236" i="12"/>
  <c r="D236" i="12"/>
  <c r="C237" i="12"/>
  <c r="D237" i="12"/>
  <c r="C238" i="12"/>
  <c r="D238" i="12"/>
  <c r="C239" i="12"/>
  <c r="D239" i="12"/>
  <c r="C240" i="12"/>
  <c r="D240" i="12"/>
  <c r="C241" i="12"/>
  <c r="D241" i="12"/>
  <c r="C242" i="12"/>
  <c r="D242" i="12"/>
  <c r="C243" i="12"/>
  <c r="D243" i="12"/>
  <c r="C244" i="12"/>
  <c r="C245" i="12" s="1"/>
  <c r="D244" i="12"/>
  <c r="D245" i="12" s="1"/>
  <c r="C246" i="12"/>
  <c r="D246" i="12"/>
  <c r="C247" i="12"/>
  <c r="D247" i="12"/>
  <c r="C248" i="12"/>
  <c r="D248" i="12"/>
  <c r="C249" i="12"/>
  <c r="C250" i="12" s="1"/>
  <c r="D249" i="12"/>
  <c r="D250" i="12" s="1"/>
  <c r="C251" i="12"/>
  <c r="D251" i="12"/>
  <c r="C252" i="12"/>
  <c r="D252" i="12"/>
  <c r="C253" i="12"/>
  <c r="D253" i="12"/>
  <c r="C254" i="12"/>
  <c r="C255" i="12" s="1"/>
  <c r="D254" i="12"/>
  <c r="D255" i="12" s="1"/>
  <c r="C256" i="12"/>
  <c r="D256" i="12"/>
  <c r="C257" i="12"/>
  <c r="D257" i="12"/>
  <c r="C258" i="12"/>
  <c r="D258" i="12"/>
  <c r="C259" i="12"/>
  <c r="D259" i="12"/>
  <c r="C260" i="12"/>
  <c r="D260" i="12"/>
  <c r="C261" i="12"/>
  <c r="D261" i="12"/>
  <c r="C262" i="12"/>
  <c r="D262" i="12"/>
  <c r="C263" i="12"/>
  <c r="D263" i="12"/>
  <c r="C264" i="12"/>
  <c r="D264" i="12"/>
  <c r="C265" i="12"/>
  <c r="D265" i="12"/>
  <c r="C266" i="12"/>
  <c r="D266" i="12"/>
  <c r="C267" i="12"/>
  <c r="D267" i="12"/>
  <c r="C268" i="12"/>
  <c r="D268" i="12"/>
  <c r="C269" i="12"/>
  <c r="D269" i="12"/>
  <c r="C270" i="12"/>
  <c r="D270" i="12"/>
  <c r="C271" i="12"/>
  <c r="D271" i="12"/>
  <c r="C272" i="12"/>
  <c r="D272" i="12"/>
  <c r="C273" i="12"/>
  <c r="C274" i="12" s="1"/>
  <c r="D273" i="12"/>
  <c r="D274" i="12" s="1"/>
  <c r="C275" i="12"/>
  <c r="D275" i="12"/>
  <c r="C276" i="12"/>
  <c r="D276" i="12"/>
  <c r="C277" i="12"/>
  <c r="D277" i="12"/>
  <c r="C278" i="12"/>
  <c r="D278" i="12"/>
  <c r="C279" i="12"/>
  <c r="D279" i="12"/>
  <c r="C280" i="12"/>
  <c r="D280" i="12"/>
  <c r="C281" i="12"/>
  <c r="D281" i="12"/>
  <c r="C282" i="12"/>
  <c r="D282" i="12"/>
  <c r="C283" i="12"/>
  <c r="D283" i="12"/>
  <c r="C284" i="12"/>
  <c r="D284" i="12"/>
  <c r="C285" i="12"/>
  <c r="D285" i="12"/>
  <c r="C286" i="12"/>
  <c r="D286" i="12"/>
  <c r="C287" i="12"/>
  <c r="D287" i="12"/>
  <c r="C288" i="12"/>
  <c r="D288" i="12"/>
  <c r="C289" i="12"/>
  <c r="D289" i="12"/>
  <c r="C290" i="12"/>
  <c r="D290" i="12"/>
  <c r="C291" i="12"/>
  <c r="D291" i="12"/>
  <c r="C292" i="12"/>
  <c r="D292" i="12"/>
  <c r="C293" i="12"/>
  <c r="D293" i="12"/>
  <c r="C294" i="12"/>
  <c r="D294" i="12"/>
  <c r="C295" i="12"/>
  <c r="D295" i="12"/>
  <c r="C296" i="12"/>
  <c r="D296" i="12"/>
  <c r="C297" i="12"/>
  <c r="D297" i="12"/>
  <c r="C298" i="12"/>
  <c r="D298" i="12"/>
  <c r="C299" i="12"/>
  <c r="D299" i="12"/>
  <c r="C300" i="12"/>
  <c r="D300" i="12"/>
  <c r="C301" i="12"/>
  <c r="D301" i="12"/>
  <c r="C302" i="12"/>
  <c r="D302" i="12"/>
  <c r="C303" i="12"/>
  <c r="D303" i="12"/>
  <c r="C304" i="12"/>
  <c r="D304" i="12"/>
  <c r="C305" i="12"/>
  <c r="D305" i="12"/>
  <c r="C306" i="12"/>
  <c r="D306" i="12"/>
  <c r="C307" i="12"/>
  <c r="D307" i="12"/>
  <c r="C308" i="12"/>
  <c r="D308" i="12"/>
  <c r="C309" i="12"/>
  <c r="D309" i="12"/>
  <c r="C310" i="12"/>
  <c r="D310" i="12"/>
  <c r="C311" i="12"/>
  <c r="C312" i="12" s="1"/>
  <c r="D311" i="12"/>
  <c r="D312" i="12" s="1"/>
  <c r="C313" i="12"/>
  <c r="D313" i="12"/>
  <c r="C314" i="12"/>
  <c r="D314" i="12"/>
  <c r="C315" i="12"/>
  <c r="D315" i="12"/>
  <c r="C316" i="12"/>
  <c r="D316" i="12"/>
  <c r="C317" i="12"/>
  <c r="D317" i="12"/>
  <c r="C318" i="12"/>
  <c r="D318" i="12"/>
  <c r="D319" i="12" s="1"/>
  <c r="C319" i="12"/>
  <c r="C320" i="12"/>
  <c r="D320" i="12"/>
  <c r="C321" i="12"/>
  <c r="D321" i="12"/>
  <c r="C322" i="12"/>
  <c r="D322" i="12"/>
  <c r="C323" i="12"/>
  <c r="D323" i="12"/>
  <c r="C324" i="12"/>
  <c r="D324" i="12"/>
  <c r="C325" i="12"/>
  <c r="D325" i="12"/>
  <c r="D326" i="12" s="1"/>
  <c r="C326" i="12"/>
  <c r="C327" i="12" s="1"/>
  <c r="D327" i="12"/>
  <c r="C328" i="12"/>
  <c r="D328" i="12"/>
  <c r="C329" i="12"/>
  <c r="D329" i="12"/>
  <c r="C330" i="12"/>
  <c r="D330" i="12"/>
  <c r="C331" i="12"/>
  <c r="D331" i="12"/>
  <c r="C332" i="12"/>
  <c r="D332" i="12"/>
  <c r="C333" i="12"/>
  <c r="D333" i="12"/>
  <c r="C334" i="12"/>
  <c r="C335" i="12" s="1"/>
  <c r="D334" i="12"/>
  <c r="D335" i="12" s="1"/>
  <c r="C336" i="12"/>
  <c r="D336" i="12"/>
  <c r="C337" i="12"/>
  <c r="D337" i="12"/>
  <c r="C338" i="12"/>
  <c r="D338" i="12"/>
  <c r="C339" i="12"/>
  <c r="D339" i="12"/>
  <c r="C340" i="12"/>
  <c r="D340" i="12"/>
  <c r="C341" i="12"/>
  <c r="D341" i="12"/>
  <c r="C342" i="12"/>
  <c r="D342" i="12"/>
  <c r="C343" i="12"/>
  <c r="D343" i="12"/>
  <c r="C344" i="12"/>
  <c r="D344" i="12"/>
  <c r="C345" i="12"/>
  <c r="D345" i="12"/>
  <c r="C346" i="12"/>
  <c r="D346" i="12"/>
  <c r="C347" i="12"/>
  <c r="D347" i="12"/>
  <c r="C348" i="12"/>
  <c r="D348" i="12"/>
  <c r="C349" i="12"/>
  <c r="C350" i="12" s="1"/>
  <c r="C351" i="12" s="1"/>
  <c r="D349" i="12"/>
  <c r="D350" i="12" s="1"/>
  <c r="D351" i="12" s="1"/>
  <c r="C352" i="12"/>
  <c r="D352" i="12"/>
  <c r="C353" i="12"/>
  <c r="D353" i="12"/>
  <c r="C354" i="12"/>
  <c r="D354" i="12"/>
  <c r="C355" i="12"/>
  <c r="D355" i="12"/>
  <c r="C356" i="12"/>
  <c r="D356" i="12"/>
  <c r="C357" i="12"/>
  <c r="D357" i="12"/>
  <c r="C358" i="12"/>
  <c r="D358" i="12"/>
  <c r="C359" i="12"/>
  <c r="D359" i="12"/>
  <c r="C360" i="12"/>
  <c r="D360" i="12"/>
  <c r="C361" i="12"/>
  <c r="D361" i="12"/>
  <c r="C362" i="12"/>
  <c r="D362" i="12"/>
  <c r="C363" i="12"/>
  <c r="D363" i="12"/>
  <c r="C364" i="12"/>
  <c r="D364" i="12"/>
  <c r="C365" i="12"/>
  <c r="D365" i="12"/>
  <c r="C366" i="12"/>
  <c r="D366" i="12"/>
  <c r="C367" i="12"/>
  <c r="D367" i="12"/>
  <c r="C368" i="12"/>
  <c r="D368" i="12"/>
  <c r="C369" i="12"/>
  <c r="C370" i="12" s="1"/>
  <c r="C371" i="12" s="1"/>
  <c r="D369" i="12"/>
  <c r="D370" i="12" s="1"/>
  <c r="D371" i="12" s="1"/>
  <c r="C372" i="12"/>
  <c r="D372" i="12"/>
  <c r="C373" i="12"/>
  <c r="D373" i="12"/>
  <c r="C374" i="12"/>
  <c r="D374" i="12"/>
  <c r="C375" i="12"/>
  <c r="D375" i="12"/>
  <c r="C376" i="12"/>
  <c r="D376" i="12"/>
  <c r="C377" i="12"/>
  <c r="D377" i="12"/>
  <c r="C378" i="12"/>
  <c r="D378" i="12"/>
  <c r="C379" i="12"/>
  <c r="D379" i="12"/>
  <c r="C380" i="12"/>
  <c r="D380" i="12"/>
  <c r="C381" i="12"/>
  <c r="C382" i="12" s="1"/>
  <c r="D381" i="12"/>
  <c r="D382" i="12" s="1"/>
  <c r="C383" i="12"/>
  <c r="D383" i="12"/>
  <c r="C384" i="12"/>
  <c r="D384" i="12"/>
  <c r="C385" i="12"/>
  <c r="D385" i="12"/>
  <c r="C386" i="12"/>
  <c r="D386" i="12"/>
  <c r="C387" i="12"/>
  <c r="D387" i="12"/>
  <c r="C388" i="12"/>
  <c r="D388" i="12"/>
  <c r="C389" i="12"/>
  <c r="D389" i="12"/>
  <c r="C390" i="12"/>
  <c r="D390" i="12"/>
  <c r="C391" i="12"/>
  <c r="D391" i="12"/>
  <c r="C392" i="12"/>
  <c r="D392" i="12"/>
  <c r="C393" i="12"/>
  <c r="D393" i="12"/>
  <c r="C394" i="12"/>
  <c r="D394" i="12"/>
  <c r="C395" i="12"/>
  <c r="D395" i="12"/>
  <c r="C396" i="12"/>
  <c r="D396" i="12"/>
  <c r="C397" i="12"/>
  <c r="D397" i="12"/>
  <c r="C398" i="12"/>
  <c r="D398" i="12"/>
  <c r="C399" i="12"/>
  <c r="D399" i="12"/>
  <c r="C400" i="12"/>
  <c r="D400" i="12"/>
  <c r="C401" i="12"/>
  <c r="D401" i="12"/>
  <c r="C402" i="12"/>
  <c r="D402" i="12"/>
  <c r="C403" i="12"/>
  <c r="D403" i="12"/>
  <c r="C404" i="12"/>
  <c r="C405" i="12" s="1"/>
  <c r="D404" i="12"/>
  <c r="D405" i="12" s="1"/>
  <c r="C406" i="12"/>
  <c r="D406" i="12"/>
  <c r="C407" i="12"/>
  <c r="D407" i="12"/>
  <c r="C408" i="12"/>
  <c r="D408" i="12"/>
  <c r="C409" i="12"/>
  <c r="D409" i="12"/>
  <c r="C410" i="12"/>
  <c r="D410" i="12"/>
  <c r="C411" i="12"/>
  <c r="D411" i="12"/>
  <c r="C412" i="12"/>
  <c r="D412" i="12"/>
  <c r="C413" i="12"/>
  <c r="D413" i="12"/>
  <c r="C414" i="12"/>
  <c r="D414" i="12"/>
  <c r="C415" i="12"/>
  <c r="D415" i="12"/>
  <c r="C416" i="12"/>
  <c r="D416" i="12"/>
  <c r="C417" i="12"/>
  <c r="D417" i="12"/>
  <c r="C418" i="12"/>
  <c r="D418" i="12"/>
  <c r="C419" i="12"/>
  <c r="D419" i="12"/>
  <c r="C420" i="12"/>
  <c r="D420" i="12"/>
  <c r="C421" i="12"/>
  <c r="D421" i="12"/>
  <c r="C422" i="12"/>
  <c r="C423" i="12" s="1"/>
  <c r="D422" i="12"/>
  <c r="D423" i="12"/>
  <c r="C424" i="12"/>
  <c r="D424" i="12"/>
  <c r="C425" i="12"/>
  <c r="D425" i="12"/>
  <c r="C426" i="12"/>
  <c r="D426" i="12"/>
  <c r="C427" i="12"/>
  <c r="D427" i="12"/>
  <c r="C428" i="12"/>
  <c r="D428" i="12"/>
  <c r="C429" i="12"/>
  <c r="D429" i="12"/>
  <c r="C430" i="12"/>
  <c r="D430" i="12"/>
  <c r="C431" i="12"/>
  <c r="D431" i="12"/>
  <c r="C432" i="12"/>
  <c r="D432" i="12"/>
  <c r="C433" i="12"/>
  <c r="D433" i="12"/>
  <c r="C434" i="12"/>
  <c r="D434" i="12"/>
  <c r="C435" i="12"/>
  <c r="D435" i="12"/>
  <c r="C436" i="12"/>
  <c r="D436" i="12"/>
  <c r="C437" i="12"/>
  <c r="D437" i="12"/>
  <c r="C438" i="12"/>
  <c r="D438" i="12"/>
  <c r="C439" i="12"/>
  <c r="D439" i="12"/>
  <c r="C440" i="12"/>
  <c r="D440" i="12"/>
  <c r="C441" i="12"/>
  <c r="D441" i="12"/>
  <c r="C442" i="12"/>
  <c r="D442" i="12"/>
  <c r="C443" i="12"/>
  <c r="D443" i="12"/>
  <c r="C444" i="12"/>
  <c r="D444" i="12"/>
  <c r="C445" i="12"/>
  <c r="D445" i="12"/>
  <c r="C446" i="12"/>
  <c r="D446" i="12"/>
  <c r="C447" i="12"/>
  <c r="D447" i="12"/>
  <c r="C448" i="12"/>
  <c r="D448" i="12"/>
  <c r="C449" i="12"/>
  <c r="D449" i="12"/>
  <c r="C450" i="12"/>
  <c r="D450" i="12"/>
  <c r="C451" i="12"/>
  <c r="D451" i="12"/>
  <c r="C452" i="12"/>
  <c r="D452" i="12"/>
  <c r="C453" i="12"/>
  <c r="D453" i="12"/>
  <c r="C454" i="12"/>
  <c r="D454" i="12"/>
  <c r="C455" i="12"/>
  <c r="D455" i="12"/>
  <c r="C456" i="12"/>
  <c r="D456" i="12"/>
  <c r="C457" i="12"/>
  <c r="D457" i="12"/>
  <c r="C458" i="12"/>
  <c r="D458" i="12"/>
  <c r="C459" i="12"/>
  <c r="D459" i="12"/>
  <c r="C460" i="12"/>
  <c r="D460" i="12"/>
  <c r="C461" i="12"/>
  <c r="D461" i="12"/>
  <c r="C462" i="12"/>
  <c r="D462" i="12"/>
  <c r="C463" i="12"/>
  <c r="D463" i="12"/>
  <c r="C464" i="12"/>
  <c r="D464" i="12"/>
  <c r="C465" i="12"/>
  <c r="D465" i="12"/>
  <c r="C466" i="12"/>
  <c r="D466" i="12"/>
  <c r="C467" i="12"/>
  <c r="D467" i="12"/>
  <c r="C468" i="12"/>
  <c r="D468" i="12"/>
  <c r="C469" i="12"/>
  <c r="D469" i="12"/>
  <c r="C470" i="12"/>
  <c r="D470" i="12"/>
  <c r="C471" i="12"/>
  <c r="D471" i="12"/>
  <c r="C472" i="12"/>
  <c r="D472" i="12"/>
  <c r="C473" i="12"/>
  <c r="D473" i="12"/>
  <c r="C474" i="12"/>
  <c r="D474" i="12"/>
  <c r="C475" i="12"/>
  <c r="D475" i="12"/>
  <c r="C476" i="12"/>
  <c r="D476" i="12"/>
  <c r="C477" i="12"/>
  <c r="D477" i="12"/>
  <c r="C478" i="12"/>
  <c r="D478" i="12"/>
  <c r="C479" i="12"/>
  <c r="D479" i="12"/>
  <c r="C480" i="12"/>
  <c r="D480" i="12"/>
  <c r="C481" i="12"/>
  <c r="D481" i="12"/>
  <c r="C482" i="12"/>
  <c r="D482" i="12"/>
  <c r="C483" i="12"/>
  <c r="D483" i="12"/>
  <c r="C484" i="12"/>
  <c r="D484" i="12"/>
  <c r="C485" i="12"/>
  <c r="D485" i="12"/>
  <c r="C486" i="12"/>
  <c r="D486" i="12"/>
  <c r="C487" i="12"/>
  <c r="D487" i="12"/>
  <c r="C488" i="12"/>
  <c r="D488" i="12"/>
  <c r="C489" i="12"/>
  <c r="D489" i="12"/>
  <c r="C490" i="12"/>
  <c r="D490" i="12"/>
  <c r="C491" i="12"/>
  <c r="C492" i="12" s="1"/>
  <c r="D491" i="12"/>
  <c r="D492" i="12" s="1"/>
  <c r="C493" i="12"/>
  <c r="D493" i="12"/>
  <c r="C494" i="12"/>
  <c r="D494" i="12"/>
  <c r="C495" i="12"/>
  <c r="D495" i="12"/>
  <c r="C496" i="12"/>
  <c r="D496" i="12"/>
  <c r="C497" i="12"/>
  <c r="D497" i="12"/>
  <c r="C498" i="12"/>
  <c r="D498" i="12"/>
  <c r="C499" i="12"/>
  <c r="D499" i="12"/>
  <c r="C500" i="12"/>
  <c r="D500" i="12"/>
  <c r="C501" i="12"/>
  <c r="D501" i="12"/>
  <c r="C502" i="12"/>
  <c r="D502" i="12"/>
  <c r="C503" i="12"/>
  <c r="D503" i="12"/>
  <c r="C504" i="12"/>
  <c r="D504" i="12"/>
  <c r="C505" i="12"/>
  <c r="D505" i="12"/>
  <c r="C506" i="12"/>
  <c r="C507" i="12" s="1"/>
  <c r="D506" i="12"/>
  <c r="D507" i="12"/>
  <c r="C508" i="12"/>
  <c r="D508" i="12"/>
  <c r="C509" i="12"/>
  <c r="D509" i="12"/>
  <c r="C510" i="12"/>
  <c r="D510" i="12"/>
  <c r="C511" i="12"/>
  <c r="D511" i="12"/>
  <c r="C512" i="12"/>
  <c r="D512" i="12"/>
  <c r="C513" i="12"/>
  <c r="D513" i="12"/>
  <c r="C514" i="12"/>
  <c r="D514" i="12"/>
  <c r="C515" i="12"/>
  <c r="D515" i="12"/>
  <c r="C516" i="12"/>
  <c r="D516" i="12"/>
  <c r="C517" i="12"/>
  <c r="D517" i="12"/>
  <c r="C518" i="12"/>
  <c r="D518" i="12"/>
  <c r="C519" i="12"/>
  <c r="D519" i="12"/>
  <c r="C520" i="12"/>
  <c r="D520" i="12"/>
  <c r="C521" i="12"/>
  <c r="D521" i="12"/>
  <c r="C522" i="12"/>
  <c r="C523" i="12" s="1"/>
  <c r="D522" i="12"/>
  <c r="D523" i="12"/>
  <c r="C524" i="12"/>
  <c r="D524" i="12"/>
  <c r="C525" i="12"/>
  <c r="D525" i="12"/>
  <c r="C526" i="12"/>
  <c r="D526" i="12"/>
  <c r="C527" i="12"/>
  <c r="D527" i="12"/>
  <c r="C528" i="12"/>
  <c r="D528" i="12"/>
  <c r="C529" i="12"/>
  <c r="D529" i="12"/>
  <c r="C530" i="12"/>
  <c r="D530" i="12"/>
  <c r="C531" i="12"/>
  <c r="D531" i="12"/>
  <c r="C532" i="12"/>
  <c r="D532" i="12"/>
  <c r="D533" i="12" s="1"/>
  <c r="C533" i="12"/>
  <c r="C534" i="12" s="1"/>
  <c r="D534" i="12"/>
  <c r="C535" i="12"/>
  <c r="D535" i="12"/>
  <c r="C536" i="12"/>
  <c r="D536" i="12"/>
  <c r="C537" i="12"/>
  <c r="C538" i="12" s="1"/>
  <c r="D537" i="12"/>
  <c r="D538" i="12" s="1"/>
  <c r="C539" i="12"/>
  <c r="D539" i="12"/>
  <c r="C540" i="12"/>
  <c r="D540" i="12"/>
  <c r="C541" i="12"/>
  <c r="D541" i="12"/>
  <c r="C542" i="12"/>
  <c r="D542" i="12"/>
  <c r="C543" i="12"/>
  <c r="D543" i="12"/>
  <c r="C544" i="12"/>
  <c r="D544" i="12"/>
  <c r="C545" i="12"/>
  <c r="D545" i="12"/>
  <c r="C546" i="12"/>
  <c r="D546" i="12"/>
  <c r="C547" i="12"/>
  <c r="D547" i="12"/>
  <c r="C548" i="12"/>
  <c r="D548" i="12"/>
  <c r="C549" i="12"/>
  <c r="D549" i="12"/>
  <c r="C550" i="12"/>
  <c r="C551" i="12" s="1"/>
  <c r="D550" i="12"/>
  <c r="D551" i="12"/>
  <c r="D552" i="12" s="1"/>
  <c r="C552" i="12"/>
  <c r="C553" i="12"/>
  <c r="D553" i="12"/>
  <c r="C554" i="12"/>
  <c r="D554" i="12"/>
  <c r="C555" i="12"/>
  <c r="D555" i="12"/>
  <c r="C556" i="12"/>
  <c r="D556" i="12"/>
  <c r="C557" i="12"/>
  <c r="D557" i="12"/>
  <c r="C558" i="12"/>
  <c r="D558" i="12"/>
  <c r="C559" i="12"/>
  <c r="D559" i="12"/>
  <c r="C560" i="12"/>
  <c r="D560" i="12"/>
  <c r="C561" i="12"/>
  <c r="D561" i="12"/>
  <c r="C562" i="12"/>
  <c r="D562" i="12"/>
  <c r="C563" i="12"/>
  <c r="D563" i="12"/>
  <c r="C564" i="12"/>
  <c r="D564" i="12"/>
  <c r="C565" i="12"/>
  <c r="D565" i="12"/>
  <c r="C566" i="12"/>
  <c r="D566" i="12"/>
  <c r="C567" i="12"/>
  <c r="D567" i="12"/>
  <c r="C568" i="12"/>
  <c r="D568" i="12"/>
  <c r="C569" i="12"/>
  <c r="D569" i="12"/>
  <c r="C570" i="12"/>
  <c r="D570" i="12"/>
  <c r="C571" i="12"/>
  <c r="D571" i="12"/>
  <c r="C572" i="12"/>
  <c r="D572" i="12"/>
  <c r="C573" i="12"/>
  <c r="D573" i="12"/>
  <c r="C574" i="12"/>
  <c r="D574" i="12"/>
  <c r="C575" i="12"/>
  <c r="D575" i="12"/>
  <c r="C576" i="12"/>
  <c r="D576" i="12"/>
  <c r="C577" i="12"/>
  <c r="D577" i="12"/>
  <c r="C578" i="12"/>
  <c r="D578" i="12"/>
  <c r="D579" i="12" s="1"/>
  <c r="C579" i="12"/>
  <c r="C580" i="12"/>
  <c r="D580" i="12"/>
  <c r="C581" i="12"/>
  <c r="D581" i="12"/>
  <c r="C582" i="12"/>
  <c r="D582" i="12"/>
  <c r="C583" i="12"/>
  <c r="D583" i="12"/>
  <c r="C584" i="12"/>
  <c r="D584" i="12"/>
  <c r="C585" i="12"/>
  <c r="D585" i="12"/>
  <c r="C586" i="12"/>
  <c r="D586" i="12"/>
  <c r="C587" i="12"/>
  <c r="D587" i="12"/>
  <c r="C588" i="12"/>
  <c r="C589" i="12" s="1"/>
  <c r="D588" i="12"/>
  <c r="D589" i="12"/>
  <c r="D590" i="12" s="1"/>
  <c r="C590" i="12"/>
  <c r="C591" i="12"/>
  <c r="D591" i="12"/>
  <c r="C592" i="12"/>
  <c r="D592" i="12"/>
  <c r="C593" i="12"/>
  <c r="D593" i="12"/>
  <c r="C594" i="12"/>
  <c r="D594" i="12"/>
  <c r="C595" i="12"/>
  <c r="D595" i="12"/>
  <c r="C596" i="12"/>
  <c r="D596" i="12"/>
  <c r="C597" i="12"/>
  <c r="D597" i="12"/>
  <c r="C598" i="12"/>
  <c r="D598" i="12"/>
  <c r="C599" i="12"/>
  <c r="D599" i="12"/>
  <c r="C600" i="12"/>
  <c r="D600" i="12"/>
  <c r="C601" i="12"/>
  <c r="D601" i="12"/>
  <c r="C602" i="12"/>
  <c r="D602" i="12"/>
  <c r="C603" i="12"/>
  <c r="D603" i="12"/>
  <c r="C604" i="12"/>
  <c r="D604" i="12"/>
  <c r="C605" i="12"/>
  <c r="D605" i="12"/>
  <c r="C606" i="12"/>
  <c r="D606" i="12"/>
  <c r="C607" i="12"/>
  <c r="D607" i="12"/>
  <c r="C608" i="12"/>
  <c r="D608" i="12"/>
  <c r="C609" i="12"/>
  <c r="D609" i="12"/>
  <c r="C610" i="12"/>
  <c r="D610" i="12"/>
  <c r="C611" i="12"/>
  <c r="D611" i="12"/>
  <c r="C612" i="12"/>
  <c r="D612" i="12"/>
  <c r="C613" i="12"/>
  <c r="D613" i="12"/>
  <c r="C614" i="12"/>
  <c r="D614" i="12"/>
  <c r="C615" i="12"/>
  <c r="D615" i="12"/>
  <c r="C616" i="12"/>
  <c r="D616" i="12"/>
  <c r="C617" i="12"/>
  <c r="D617" i="12"/>
  <c r="C618" i="12"/>
  <c r="D618" i="12"/>
  <c r="C619" i="12"/>
  <c r="D619" i="12"/>
  <c r="C620" i="12"/>
  <c r="D620" i="12"/>
  <c r="C621" i="12"/>
  <c r="D621" i="12"/>
  <c r="C622" i="12"/>
  <c r="D622" i="12"/>
  <c r="C623" i="12"/>
  <c r="D623" i="12"/>
  <c r="D624" i="12" s="1"/>
  <c r="C624" i="12"/>
  <c r="C625" i="12" s="1"/>
  <c r="D625" i="12"/>
  <c r="C626" i="12"/>
  <c r="D626" i="12"/>
  <c r="C627" i="12"/>
  <c r="D627" i="12"/>
  <c r="C628" i="12"/>
  <c r="D628" i="12"/>
  <c r="C629" i="12"/>
  <c r="D629" i="12"/>
  <c r="C630" i="12"/>
  <c r="D630" i="12"/>
  <c r="C631" i="12"/>
  <c r="D631" i="12"/>
  <c r="C632" i="12"/>
  <c r="D632" i="12"/>
  <c r="C633" i="12"/>
  <c r="D633" i="12"/>
  <c r="C634" i="12"/>
  <c r="D634" i="12"/>
  <c r="C635" i="12"/>
  <c r="D635" i="12"/>
  <c r="C636" i="12"/>
  <c r="D636" i="12"/>
  <c r="C637" i="12"/>
  <c r="D637" i="12"/>
  <c r="C638" i="12"/>
  <c r="D638" i="12"/>
  <c r="C639" i="12"/>
  <c r="D639" i="12"/>
  <c r="C640" i="12"/>
  <c r="D640" i="12"/>
  <c r="C641" i="12"/>
  <c r="D641" i="12"/>
  <c r="C642" i="12"/>
  <c r="D642" i="12"/>
  <c r="C643" i="12"/>
  <c r="D643" i="12"/>
  <c r="C644" i="12"/>
  <c r="D644" i="12"/>
  <c r="C645" i="12"/>
  <c r="C646" i="12" s="1"/>
  <c r="D645" i="12"/>
  <c r="D646" i="12"/>
  <c r="C647" i="12"/>
  <c r="D647" i="12"/>
  <c r="D5" i="12"/>
  <c r="C5" i="12"/>
  <c r="F10" i="9"/>
  <c r="F11" i="9" s="1"/>
  <c r="F12" i="9"/>
  <c r="F13" i="9" s="1"/>
  <c r="F14" i="9" s="1"/>
  <c r="F15" i="9" s="1"/>
  <c r="F16" i="9" s="1"/>
  <c r="F17" i="9" s="1"/>
  <c r="F18" i="9"/>
  <c r="F19" i="9" s="1"/>
  <c r="F20" i="9" s="1"/>
  <c r="F21" i="9"/>
  <c r="F22" i="9" s="1"/>
  <c r="F23" i="9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/>
  <c r="F35" i="9" s="1"/>
  <c r="F36" i="9"/>
  <c r="F37" i="9" s="1"/>
  <c r="F38" i="9"/>
  <c r="F39" i="9" s="1"/>
  <c r="F40" i="9"/>
  <c r="F41" i="9" s="1"/>
  <c r="F42" i="9"/>
  <c r="F43" i="9" s="1"/>
  <c r="F44" i="9"/>
  <c r="F45" i="9"/>
  <c r="F46" i="9" s="1"/>
  <c r="F47" i="9"/>
  <c r="F48" i="9" s="1"/>
  <c r="F49" i="9"/>
  <c r="F50" i="9" s="1"/>
  <c r="F51" i="9"/>
  <c r="F52" i="9" s="1"/>
  <c r="F53" i="9"/>
  <c r="F54" i="9" s="1"/>
  <c r="F55" i="9"/>
  <c r="F56" i="9" s="1"/>
  <c r="F57" i="9"/>
  <c r="F58" i="9" s="1"/>
  <c r="F59" i="9"/>
  <c r="F60" i="9" s="1"/>
  <c r="F61" i="9"/>
  <c r="F62" i="9" s="1"/>
  <c r="F63" i="9"/>
  <c r="F64" i="9" s="1"/>
  <c r="F65" i="9"/>
  <c r="F66" i="9" s="1"/>
  <c r="F67" i="9"/>
  <c r="F68" i="9" s="1"/>
  <c r="F69" i="9" s="1"/>
  <c r="F70" i="9"/>
  <c r="F71" i="9" s="1"/>
  <c r="F72" i="9"/>
  <c r="F73" i="9" s="1"/>
  <c r="F74" i="9"/>
  <c r="F75" i="9"/>
  <c r="F76" i="9" s="1"/>
  <c r="F77" i="9" s="1"/>
  <c r="F78" i="9"/>
  <c r="F79" i="9" s="1"/>
  <c r="F80" i="9"/>
  <c r="F81" i="9" s="1"/>
  <c r="F82" i="9"/>
  <c r="F83" i="9" s="1"/>
  <c r="F84" i="9"/>
  <c r="F85" i="9" s="1"/>
  <c r="F86" i="9" s="1"/>
  <c r="F87" i="9" s="1"/>
  <c r="F88" i="9" s="1"/>
  <c r="F89" i="9" s="1"/>
  <c r="F90" i="9" s="1"/>
  <c r="F91" i="9" s="1"/>
  <c r="F92" i="9" s="1"/>
  <c r="F93" i="9" s="1"/>
  <c r="F94" i="9" s="1"/>
  <c r="F95" i="9" s="1"/>
  <c r="F96" i="9" s="1"/>
  <c r="F97" i="9" s="1"/>
  <c r="F98" i="9" s="1"/>
  <c r="F99" i="9" s="1"/>
  <c r="F100" i="9" s="1"/>
  <c r="F101" i="9"/>
  <c r="F102" i="9" s="1"/>
  <c r="F103" i="9"/>
  <c r="F104" i="9" s="1"/>
  <c r="F105" i="9"/>
  <c r="F106" i="9" s="1"/>
  <c r="F107" i="9"/>
  <c r="F108" i="9" s="1"/>
  <c r="F109" i="9"/>
  <c r="F110" i="9" s="1"/>
  <c r="F111" i="9"/>
  <c r="F112" i="9" s="1"/>
  <c r="F113" i="9" s="1"/>
  <c r="F114" i="9" s="1"/>
  <c r="F115" i="9" s="1"/>
  <c r="F116" i="9" s="1"/>
  <c r="F117" i="9" s="1"/>
  <c r="F118" i="9" s="1"/>
  <c r="F119" i="9"/>
  <c r="F120" i="9" s="1"/>
  <c r="F121" i="9"/>
  <c r="F122" i="9" s="1"/>
  <c r="F123" i="9"/>
  <c r="F124" i="9" s="1"/>
  <c r="F125" i="9" s="1"/>
  <c r="F126" i="9" s="1"/>
  <c r="F127" i="9" s="1"/>
  <c r="F128" i="9"/>
  <c r="F129" i="9"/>
  <c r="F130" i="9" s="1"/>
  <c r="F131" i="9"/>
  <c r="F132" i="9"/>
  <c r="F133" i="9"/>
  <c r="F134" i="9" s="1"/>
  <c r="F135" i="9" s="1"/>
  <c r="F136" i="9" s="1"/>
  <c r="F137" i="9"/>
  <c r="F138" i="9" s="1"/>
  <c r="F139" i="9" s="1"/>
  <c r="F140" i="9"/>
  <c r="F141" i="9"/>
  <c r="F142" i="9" s="1"/>
  <c r="F143" i="9"/>
  <c r="F144" i="9" s="1"/>
  <c r="F145" i="9"/>
  <c r="F146" i="9" s="1"/>
  <c r="F147" i="9"/>
  <c r="F148" i="9" s="1"/>
  <c r="F149" i="9"/>
  <c r="F150" i="9" s="1"/>
  <c r="F151" i="9"/>
  <c r="F152" i="9" s="1"/>
  <c r="F153" i="9"/>
  <c r="F154" i="9" s="1"/>
  <c r="F155" i="9" s="1"/>
  <c r="F156" i="9" s="1"/>
  <c r="F157" i="9" s="1"/>
  <c r="F158" i="9" s="1"/>
  <c r="F159" i="9"/>
  <c r="F160" i="9"/>
  <c r="F161" i="9" s="1"/>
  <c r="F162" i="9" s="1"/>
  <c r="F163" i="9" s="1"/>
  <c r="F164" i="9"/>
  <c r="F165" i="9" s="1"/>
  <c r="F166" i="9" s="1"/>
  <c r="F167" i="9"/>
  <c r="F168" i="9" s="1"/>
  <c r="F169" i="9"/>
  <c r="F170" i="9" s="1"/>
  <c r="F171" i="9"/>
  <c r="F172" i="9" s="1"/>
  <c r="F173" i="9"/>
  <c r="F174" i="9" s="1"/>
  <c r="F175" i="9"/>
  <c r="F176" i="9" s="1"/>
  <c r="F177" i="9"/>
  <c r="F178" i="9" s="1"/>
  <c r="F179" i="9"/>
  <c r="F180" i="9" s="1"/>
  <c r="F181" i="9"/>
  <c r="F182" i="9" s="1"/>
  <c r="F183" i="9"/>
  <c r="F184" i="9" s="1"/>
  <c r="F185" i="9"/>
  <c r="F186" i="9" s="1"/>
  <c r="F187" i="9"/>
  <c r="F188" i="9" s="1"/>
  <c r="F189" i="9"/>
  <c r="F190" i="9" s="1"/>
  <c r="F191" i="9" s="1"/>
  <c r="F192" i="9" s="1"/>
  <c r="F193" i="9" s="1"/>
  <c r="F194" i="9" s="1"/>
  <c r="F195" i="9"/>
  <c r="F196" i="9" s="1"/>
  <c r="F197" i="9" s="1"/>
  <c r="F198" i="9"/>
  <c r="F199" i="9" s="1"/>
  <c r="F200" i="9"/>
  <c r="F201" i="9" s="1"/>
  <c r="F202" i="9" s="1"/>
  <c r="F203" i="9" s="1"/>
  <c r="F204" i="9" s="1"/>
  <c r="F205" i="9" s="1"/>
  <c r="F206" i="9" s="1"/>
  <c r="F207" i="9" s="1"/>
  <c r="F208" i="9" s="1"/>
  <c r="F209" i="9" s="1"/>
  <c r="F210" i="9" s="1"/>
  <c r="F211" i="9" s="1"/>
  <c r="F212" i="9"/>
  <c r="F213" i="9" s="1"/>
  <c r="F214" i="9"/>
  <c r="F215" i="9" s="1"/>
  <c r="F216" i="9"/>
  <c r="F217" i="9" s="1"/>
  <c r="F218" i="9"/>
  <c r="F219" i="9" s="1"/>
  <c r="F220" i="9" s="1"/>
  <c r="F221" i="9" s="1"/>
  <c r="F222" i="9"/>
  <c r="F223" i="9" s="1"/>
  <c r="F224" i="9"/>
  <c r="F225" i="9" s="1"/>
  <c r="F226" i="9" s="1"/>
  <c r="F227" i="9" s="1"/>
  <c r="F228" i="9" s="1"/>
  <c r="F229" i="9" s="1"/>
  <c r="F230" i="9"/>
  <c r="F231" i="9" s="1"/>
  <c r="F232" i="9" s="1"/>
  <c r="F233" i="9" s="1"/>
  <c r="F234" i="9" s="1"/>
  <c r="F235" i="9" s="1"/>
  <c r="F236" i="9" s="1"/>
  <c r="F237" i="9" s="1"/>
  <c r="F238" i="9" s="1"/>
  <c r="F239" i="9"/>
  <c r="F240" i="9" s="1"/>
  <c r="F241" i="9"/>
  <c r="F242" i="9" s="1"/>
  <c r="F243" i="9"/>
  <c r="F244" i="9" s="1"/>
  <c r="F245" i="9"/>
  <c r="F246" i="9" s="1"/>
  <c r="F247" i="9" s="1"/>
  <c r="F248" i="9" s="1"/>
  <c r="F249" i="9" s="1"/>
  <c r="F250" i="9" s="1"/>
  <c r="F251" i="9" s="1"/>
  <c r="F252" i="9" s="1"/>
  <c r="F253" i="9" s="1"/>
  <c r="F254" i="9" s="1"/>
  <c r="F255" i="9" s="1"/>
  <c r="F256" i="9" s="1"/>
  <c r="F257" i="9" s="1"/>
  <c r="F258" i="9" s="1"/>
  <c r="F259" i="9" s="1"/>
  <c r="F260" i="9" s="1"/>
  <c r="F261" i="9" s="1"/>
  <c r="F262" i="9" s="1"/>
  <c r="F263" i="9"/>
  <c r="F264" i="9" s="1"/>
  <c r="F265" i="9" s="1"/>
  <c r="F266" i="9" s="1"/>
  <c r="F267" i="9" s="1"/>
  <c r="F268" i="9" s="1"/>
  <c r="F269" i="9" s="1"/>
  <c r="F270" i="9" s="1"/>
  <c r="F271" i="9" s="1"/>
  <c r="F272" i="9" s="1"/>
  <c r="F273" i="9" s="1"/>
  <c r="F274" i="9" s="1"/>
  <c r="F275" i="9" s="1"/>
  <c r="F276" i="9" s="1"/>
  <c r="F277" i="9" s="1"/>
  <c r="F278" i="9" s="1"/>
  <c r="F279" i="9" s="1"/>
  <c r="F280" i="9" s="1"/>
  <c r="F281" i="9" s="1"/>
  <c r="F282" i="9" s="1"/>
  <c r="F283" i="9" s="1"/>
  <c r="F284" i="9" s="1"/>
  <c r="F285" i="9" s="1"/>
  <c r="F286" i="9" s="1"/>
  <c r="F287" i="9" s="1"/>
  <c r="F288" i="9" s="1"/>
  <c r="F289" i="9"/>
  <c r="F290" i="9" s="1"/>
  <c r="F291" i="9" s="1"/>
  <c r="F292" i="9" s="1"/>
  <c r="F293" i="9" s="1"/>
  <c r="F294" i="9" s="1"/>
  <c r="F295" i="9" s="1"/>
  <c r="F296" i="9" s="1"/>
  <c r="F297" i="9" s="1"/>
  <c r="F298" i="9" s="1"/>
  <c r="F299" i="9" s="1"/>
  <c r="F300" i="9" s="1"/>
  <c r="F301" i="9" s="1"/>
  <c r="F302" i="9" s="1"/>
  <c r="F303" i="9"/>
  <c r="F304" i="9"/>
  <c r="F305" i="9" s="1"/>
  <c r="F306" i="9"/>
  <c r="F307" i="9" s="1"/>
  <c r="F308" i="9"/>
  <c r="F309" i="9" s="1"/>
  <c r="F310" i="9"/>
  <c r="F311" i="9" s="1"/>
  <c r="F312" i="9"/>
  <c r="F313" i="9" s="1"/>
  <c r="F314" i="9"/>
  <c r="F315" i="9" s="1"/>
  <c r="F316" i="9" s="1"/>
  <c r="F317" i="9" s="1"/>
  <c r="F318" i="9" s="1"/>
  <c r="F319" i="9" s="1"/>
  <c r="F320" i="9" s="1"/>
  <c r="F321" i="9"/>
  <c r="F322" i="9" s="1"/>
  <c r="F323" i="9" s="1"/>
  <c r="F324" i="9"/>
  <c r="F325" i="9" s="1"/>
  <c r="F326" i="9"/>
  <c r="F327" i="9" s="1"/>
  <c r="F328" i="9"/>
  <c r="F329" i="9" s="1"/>
  <c r="F330" i="9"/>
  <c r="F331" i="9" s="1"/>
  <c r="F332" i="9"/>
  <c r="F333" i="9" s="1"/>
  <c r="F334" i="9"/>
  <c r="F335" i="9" s="1"/>
  <c r="F336" i="9" s="1"/>
  <c r="F337" i="9" s="1"/>
  <c r="F338" i="9" s="1"/>
  <c r="F339" i="9" s="1"/>
  <c r="F340" i="9"/>
  <c r="F341" i="9" s="1"/>
  <c r="F342" i="9"/>
  <c r="F343" i="9"/>
  <c r="F344" i="9" s="1"/>
  <c r="F345" i="9"/>
  <c r="F346" i="9" s="1"/>
  <c r="F347" i="9"/>
  <c r="F348" i="9" s="1"/>
  <c r="F349" i="9"/>
  <c r="F350" i="9" s="1"/>
  <c r="F351" i="9"/>
  <c r="F352" i="9" s="1"/>
  <c r="F353" i="9" s="1"/>
  <c r="F354" i="9" s="1"/>
  <c r="F355" i="9" s="1"/>
  <c r="F356" i="9" s="1"/>
  <c r="F357" i="9" s="1"/>
  <c r="F358" i="9" s="1"/>
  <c r="F359" i="9" s="1"/>
  <c r="F360" i="9" s="1"/>
  <c r="F361" i="9" s="1"/>
  <c r="F362" i="9" s="1"/>
  <c r="F363" i="9" s="1"/>
  <c r="F364" i="9"/>
  <c r="F365" i="9" s="1"/>
  <c r="F366" i="9"/>
  <c r="F367" i="9" s="1"/>
  <c r="F368" i="9"/>
  <c r="F369" i="9" s="1"/>
  <c r="F370" i="9"/>
  <c r="F371" i="9" s="1"/>
  <c r="F372" i="9" s="1"/>
  <c r="F373" i="9"/>
  <c r="F374" i="9"/>
  <c r="F375" i="9" s="1"/>
  <c r="F376" i="9" s="1"/>
  <c r="F377" i="9" s="1"/>
  <c r="F378" i="9" s="1"/>
  <c r="F379" i="9" s="1"/>
  <c r="F380" i="9"/>
  <c r="F381" i="9" s="1"/>
  <c r="F382" i="9"/>
  <c r="F383" i="9" s="1"/>
  <c r="F384" i="9"/>
  <c r="F385" i="9" s="1"/>
  <c r="F386" i="9"/>
  <c r="F387" i="9" s="1"/>
  <c r="F388" i="9"/>
  <c r="F389" i="9" s="1"/>
  <c r="F390" i="9" s="1"/>
  <c r="F391" i="9" s="1"/>
  <c r="F392" i="9"/>
  <c r="F393" i="9" s="1"/>
  <c r="F394" i="9"/>
  <c r="F395" i="9" s="1"/>
  <c r="F396" i="9"/>
  <c r="F397" i="9" s="1"/>
  <c r="F398" i="9"/>
  <c r="F399" i="9" s="1"/>
  <c r="F400" i="9"/>
  <c r="F401" i="9" s="1"/>
  <c r="F402" i="9"/>
  <c r="F403" i="9" s="1"/>
  <c r="F404" i="9"/>
  <c r="F405" i="9" s="1"/>
  <c r="F406" i="9"/>
  <c r="F407" i="9" s="1"/>
  <c r="F408" i="9"/>
  <c r="F409" i="9" s="1"/>
  <c r="F410" i="9" s="1"/>
  <c r="F411" i="9" s="1"/>
  <c r="F412" i="9"/>
  <c r="F413" i="9" s="1"/>
  <c r="F414" i="9" s="1"/>
  <c r="F415" i="9"/>
  <c r="F416" i="9" s="1"/>
  <c r="F417" i="9"/>
  <c r="F418" i="9" s="1"/>
  <c r="F419" i="9"/>
  <c r="F420" i="9" s="1"/>
  <c r="F421" i="9"/>
  <c r="F422" i="9"/>
  <c r="F423" i="9" s="1"/>
  <c r="F424" i="9"/>
  <c r="F425" i="9" s="1"/>
  <c r="F426" i="9"/>
  <c r="F427" i="9" s="1"/>
  <c r="F428" i="9"/>
  <c r="F429" i="9" s="1"/>
  <c r="F430" i="9"/>
  <c r="F431" i="9" s="1"/>
  <c r="F432" i="9" s="1"/>
  <c r="F433" i="9"/>
  <c r="F434" i="9" s="1"/>
  <c r="F435" i="9" s="1"/>
  <c r="F436" i="9" s="1"/>
  <c r="F437" i="9" s="1"/>
  <c r="F438" i="9" s="1"/>
  <c r="F439" i="9" s="1"/>
  <c r="F440" i="9" s="1"/>
  <c r="F441" i="9" s="1"/>
  <c r="F442" i="9" s="1"/>
  <c r="F443" i="9" s="1"/>
  <c r="F444" i="9" s="1"/>
  <c r="F445" i="9" s="1"/>
  <c r="F446" i="9" s="1"/>
  <c r="F447" i="9"/>
  <c r="F448" i="9" s="1"/>
  <c r="F449" i="9" s="1"/>
  <c r="F450" i="9" s="1"/>
  <c r="F451" i="9"/>
  <c r="F452" i="9" s="1"/>
  <c r="F453" i="9"/>
  <c r="F454" i="9" s="1"/>
  <c r="F455" i="9"/>
  <c r="F456" i="9" s="1"/>
  <c r="F457" i="9"/>
  <c r="F458" i="9"/>
  <c r="F459" i="9" s="1"/>
  <c r="F460" i="9" s="1"/>
  <c r="F461" i="9" s="1"/>
  <c r="F462" i="9" s="1"/>
  <c r="F463" i="9"/>
  <c r="F464" i="9" s="1"/>
  <c r="F465" i="9"/>
  <c r="F466" i="9" s="1"/>
  <c r="F467" i="9"/>
  <c r="F468" i="9" s="1"/>
  <c r="F469" i="9"/>
  <c r="F470" i="9" s="1"/>
  <c r="F471" i="9"/>
  <c r="F472" i="9" s="1"/>
  <c r="F473" i="9"/>
  <c r="F474" i="9" s="1"/>
  <c r="F475" i="9" s="1"/>
  <c r="F476" i="9" s="1"/>
  <c r="F477" i="9"/>
  <c r="F478" i="9" s="1"/>
  <c r="F479" i="9"/>
  <c r="F480" i="9" s="1"/>
  <c r="F481" i="9"/>
  <c r="F482" i="9" s="1"/>
  <c r="F483" i="9"/>
  <c r="F484" i="9" s="1"/>
  <c r="F485" i="9"/>
  <c r="F486" i="9" s="1"/>
  <c r="F487" i="9"/>
  <c r="F488" i="9" s="1"/>
  <c r="F489" i="9"/>
  <c r="F490" i="9" s="1"/>
  <c r="F491" i="9"/>
  <c r="F492" i="9" s="1"/>
  <c r="F493" i="9"/>
  <c r="F494" i="9" s="1"/>
  <c r="F495" i="9"/>
  <c r="F496" i="9" s="1"/>
  <c r="F497" i="9"/>
  <c r="F498" i="9" s="1"/>
  <c r="F499" i="9"/>
  <c r="F500" i="9" s="1"/>
  <c r="F501" i="9"/>
  <c r="F502" i="9" s="1"/>
  <c r="F503" i="9"/>
  <c r="F504" i="9" s="1"/>
  <c r="F505" i="9"/>
  <c r="F506" i="9" s="1"/>
  <c r="F507" i="9"/>
  <c r="F508" i="9"/>
  <c r="F509" i="9" s="1"/>
  <c r="F510" i="9"/>
  <c r="F511" i="9" s="1"/>
  <c r="F512" i="9" s="1"/>
  <c r="F513" i="9" s="1"/>
  <c r="F514" i="9" s="1"/>
  <c r="F515" i="9"/>
  <c r="F516" i="9" s="1"/>
  <c r="F517" i="9"/>
  <c r="F518" i="9" s="1"/>
  <c r="F519" i="9" s="1"/>
  <c r="F520" i="9" s="1"/>
  <c r="F521" i="9"/>
  <c r="F522" i="9" s="1"/>
  <c r="F523" i="9"/>
  <c r="F524" i="9"/>
  <c r="F525" i="9" s="1"/>
  <c r="F526" i="9"/>
  <c r="F527" i="9"/>
  <c r="F528" i="9"/>
  <c r="F529" i="9" s="1"/>
  <c r="F530" i="9"/>
  <c r="F531" i="9" s="1"/>
  <c r="F532" i="9" s="1"/>
  <c r="F533" i="9" s="1"/>
  <c r="F534" i="9" s="1"/>
  <c r="F535" i="9" s="1"/>
  <c r="F536" i="9" s="1"/>
  <c r="F537" i="9"/>
  <c r="F538" i="9" s="1"/>
  <c r="F539" i="9"/>
  <c r="F540" i="9" s="1"/>
  <c r="F541" i="9"/>
  <c r="F542" i="9" s="1"/>
  <c r="F543" i="9" s="1"/>
  <c r="F544" i="9"/>
  <c r="F545" i="9" s="1"/>
  <c r="F546" i="9" s="1"/>
  <c r="F547" i="9" s="1"/>
  <c r="F548" i="9" s="1"/>
  <c r="F549" i="9" s="1"/>
  <c r="F550" i="9" s="1"/>
  <c r="F551" i="9" s="1"/>
  <c r="F552" i="9" s="1"/>
  <c r="F553" i="9" s="1"/>
  <c r="F554" i="9" s="1"/>
  <c r="F555" i="9"/>
  <c r="F556" i="9" s="1"/>
  <c r="F557" i="9"/>
  <c r="F558" i="9" s="1"/>
  <c r="F559" i="9"/>
  <c r="F560" i="9" s="1"/>
  <c r="F561" i="9"/>
  <c r="F562" i="9" s="1"/>
  <c r="F563" i="9" s="1"/>
  <c r="F564" i="9" s="1"/>
  <c r="F565" i="9"/>
  <c r="F566" i="9" s="1"/>
  <c r="F567" i="9"/>
  <c r="F568" i="9" s="1"/>
  <c r="F569" i="9"/>
  <c r="F570" i="9"/>
  <c r="F571" i="9" s="1"/>
  <c r="F572" i="9"/>
  <c r="F573" i="9" s="1"/>
  <c r="F574" i="9"/>
  <c r="F575" i="9" s="1"/>
  <c r="F576" i="9"/>
  <c r="F577" i="9" s="1"/>
  <c r="F578" i="9"/>
  <c r="F579" i="9" s="1"/>
  <c r="F580" i="9"/>
  <c r="F581" i="9" s="1"/>
  <c r="F582" i="9"/>
  <c r="F583" i="9" s="1"/>
  <c r="F584" i="9"/>
  <c r="F585" i="9" s="1"/>
  <c r="F586" i="9"/>
  <c r="F587" i="9" s="1"/>
  <c r="F588" i="9" s="1"/>
  <c r="F589" i="9" s="1"/>
  <c r="F590" i="9" s="1"/>
  <c r="F591" i="9" s="1"/>
  <c r="F592" i="9" s="1"/>
  <c r="F593" i="9" s="1"/>
  <c r="F594" i="9" s="1"/>
  <c r="F595" i="9" s="1"/>
  <c r="F596" i="9" s="1"/>
  <c r="F597" i="9" s="1"/>
  <c r="F598" i="9" s="1"/>
  <c r="F599" i="9" s="1"/>
  <c r="F600" i="9" s="1"/>
  <c r="F601" i="9" s="1"/>
  <c r="F602" i="9" s="1"/>
  <c r="F603" i="9" s="1"/>
  <c r="F604" i="9" s="1"/>
  <c r="F605" i="9" s="1"/>
  <c r="F606" i="9"/>
  <c r="F607" i="9" s="1"/>
  <c r="F608" i="9"/>
  <c r="F609" i="9" s="1"/>
  <c r="F610" i="9"/>
  <c r="F611" i="9" s="1"/>
  <c r="F612" i="9"/>
  <c r="F613" i="9" s="1"/>
  <c r="F614" i="9"/>
  <c r="F615" i="9" s="1"/>
  <c r="F616" i="9"/>
  <c r="F617" i="9" s="1"/>
  <c r="F618" i="9"/>
  <c r="F619" i="9" s="1"/>
  <c r="F620" i="9"/>
  <c r="F621" i="9" s="1"/>
  <c r="F622" i="9"/>
  <c r="F623" i="9" s="1"/>
  <c r="F624" i="9" s="1"/>
  <c r="F625" i="9" s="1"/>
  <c r="F626" i="9" s="1"/>
  <c r="F627" i="9"/>
  <c r="F628" i="9"/>
  <c r="F629" i="9" s="1"/>
  <c r="F630" i="9" s="1"/>
  <c r="F631" i="9" s="1"/>
  <c r="F632" i="9" s="1"/>
  <c r="F633" i="9" s="1"/>
  <c r="F634" i="9" s="1"/>
  <c r="F635" i="9" s="1"/>
  <c r="F636" i="9" s="1"/>
  <c r="F637" i="9" s="1"/>
  <c r="F638" i="9"/>
  <c r="F639" i="9" s="1"/>
  <c r="F640" i="9"/>
  <c r="F641" i="9" s="1"/>
  <c r="F642" i="9"/>
  <c r="F643" i="9" s="1"/>
  <c r="F644" i="9" s="1"/>
  <c r="F645" i="9" s="1"/>
  <c r="F646" i="9" s="1"/>
  <c r="F647" i="9" s="1"/>
  <c r="F648" i="9" s="1"/>
  <c r="F649" i="9" s="1"/>
  <c r="F650" i="9"/>
  <c r="F651" i="9" s="1"/>
  <c r="F652" i="9"/>
  <c r="F653" i="9" s="1"/>
  <c r="F654" i="9"/>
  <c r="F655" i="9" s="1"/>
  <c r="F656" i="9"/>
  <c r="F657" i="9" s="1"/>
  <c r="F658" i="9"/>
  <c r="F659" i="9" s="1"/>
  <c r="F660" i="9"/>
  <c r="F661" i="9" s="1"/>
  <c r="F662" i="9" s="1"/>
  <c r="F663" i="9" s="1"/>
  <c r="F664" i="9" s="1"/>
  <c r="F665" i="9" s="1"/>
  <c r="F666" i="9" s="1"/>
  <c r="F667" i="9" s="1"/>
  <c r="F668" i="9" s="1"/>
  <c r="F669" i="9" s="1"/>
  <c r="F670" i="9"/>
  <c r="F671" i="9" s="1"/>
  <c r="F672" i="9"/>
  <c r="F673" i="9"/>
  <c r="F674" i="9" s="1"/>
  <c r="F675" i="9"/>
  <c r="F676" i="9"/>
  <c r="F677" i="9"/>
  <c r="F678" i="9"/>
  <c r="F679" i="9"/>
  <c r="F680" i="9" s="1"/>
  <c r="F681" i="9"/>
  <c r="F682" i="9" s="1"/>
  <c r="F683" i="9"/>
  <c r="F684" i="9"/>
  <c r="F685" i="9"/>
  <c r="F686" i="9" s="1"/>
  <c r="F687" i="9" s="1"/>
  <c r="F688" i="9" s="1"/>
  <c r="F689" i="9" s="1"/>
  <c r="F690" i="9"/>
  <c r="F691" i="9" s="1"/>
  <c r="F692" i="9"/>
  <c r="F693" i="9"/>
  <c r="F694" i="9"/>
  <c r="F695" i="9"/>
  <c r="F696" i="9"/>
  <c r="F697" i="9"/>
  <c r="F698" i="9"/>
  <c r="F699" i="9" s="1"/>
  <c r="F700" i="9"/>
  <c r="F701" i="9"/>
  <c r="F702" i="9"/>
  <c r="F703" i="9"/>
  <c r="F704" i="9"/>
  <c r="F705" i="9" s="1"/>
  <c r="F706" i="9"/>
  <c r="F707" i="9"/>
  <c r="F708" i="9"/>
  <c r="F709" i="9" s="1"/>
  <c r="F710" i="9"/>
  <c r="F711" i="9"/>
  <c r="F712" i="9"/>
  <c r="F713" i="9"/>
  <c r="F714" i="9"/>
  <c r="F715" i="9" s="1"/>
  <c r="F716" i="9"/>
  <c r="F717" i="9" s="1"/>
  <c r="F718" i="9"/>
  <c r="F719" i="9"/>
  <c r="F720" i="9"/>
  <c r="F721" i="9" s="1"/>
  <c r="F722" i="9"/>
  <c r="F723" i="9"/>
  <c r="F724" i="9"/>
  <c r="F725" i="9"/>
  <c r="F726" i="9"/>
  <c r="F727" i="9"/>
  <c r="F728" i="9"/>
  <c r="F729" i="9"/>
  <c r="F730" i="9"/>
  <c r="F731" i="9" s="1"/>
  <c r="F732" i="9" s="1"/>
  <c r="F733" i="9"/>
  <c r="F734" i="9" s="1"/>
  <c r="F735" i="9"/>
  <c r="F736" i="9"/>
  <c r="F737" i="9"/>
  <c r="F738" i="9"/>
  <c r="F739" i="9"/>
  <c r="F740" i="9" s="1"/>
  <c r="F741" i="9"/>
  <c r="F742" i="9"/>
  <c r="F743" i="9"/>
  <c r="F744" i="9"/>
  <c r="F745" i="9"/>
  <c r="F746" i="9"/>
  <c r="F747" i="9"/>
  <c r="F748" i="9"/>
  <c r="F749" i="9"/>
  <c r="F750" i="9"/>
  <c r="F751" i="9" s="1"/>
  <c r="F752" i="9"/>
  <c r="F753" i="9"/>
  <c r="F754" i="9"/>
  <c r="F755" i="9" s="1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 s="1"/>
  <c r="F789" i="9"/>
  <c r="F790" i="9"/>
  <c r="F791" i="9"/>
  <c r="F792" i="9"/>
  <c r="F793" i="9"/>
  <c r="F794" i="9"/>
  <c r="F795" i="9"/>
  <c r="F796" i="9"/>
  <c r="F797" i="9"/>
  <c r="F798" i="9"/>
  <c r="F799" i="9"/>
  <c r="F800" i="9" s="1"/>
  <c r="F801" i="9"/>
  <c r="F802" i="9"/>
  <c r="F803" i="9"/>
  <c r="F804" i="9" s="1"/>
  <c r="F805" i="9"/>
  <c r="F806" i="9" s="1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 s="1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 s="1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 s="1"/>
  <c r="F873" i="9"/>
  <c r="F874" i="9"/>
  <c r="F875" i="9"/>
  <c r="F876" i="9"/>
  <c r="F877" i="9" s="1"/>
  <c r="F878" i="9" s="1"/>
  <c r="F879" i="9"/>
  <c r="F880" i="9"/>
  <c r="F881" i="9"/>
  <c r="F882" i="9"/>
  <c r="F883" i="9"/>
  <c r="F884" i="9"/>
  <c r="F885" i="9"/>
  <c r="F886" i="9"/>
  <c r="F887" i="9"/>
  <c r="F888" i="9"/>
  <c r="F889" i="9" s="1"/>
  <c r="F890" i="9" s="1"/>
  <c r="F891" i="9"/>
  <c r="F892" i="9"/>
  <c r="F893" i="9"/>
  <c r="F894" i="9"/>
  <c r="F895" i="9"/>
  <c r="F896" i="9"/>
  <c r="F897" i="9"/>
  <c r="F898" i="9"/>
  <c r="F899" i="9"/>
  <c r="F900" i="9" s="1"/>
  <c r="F901" i="9"/>
  <c r="F902" i="9"/>
  <c r="F903" i="9"/>
  <c r="F904" i="9"/>
  <c r="F905" i="9"/>
  <c r="F906" i="9"/>
  <c r="F907" i="9"/>
  <c r="F908" i="9"/>
  <c r="F909" i="9"/>
  <c r="F910" i="9"/>
  <c r="F911" i="9"/>
  <c r="F912" i="9"/>
  <c r="F6" i="9"/>
  <c r="F7" i="9" s="1"/>
  <c r="F8" i="9" s="1"/>
  <c r="F9" i="9" s="1"/>
  <c r="E10" i="9"/>
  <c r="E11" i="9" s="1"/>
  <c r="E12" i="9"/>
  <c r="E13" i="9" s="1"/>
  <c r="E14" i="9" s="1"/>
  <c r="E15" i="9" s="1"/>
  <c r="E16" i="9" s="1"/>
  <c r="E17" i="9" s="1"/>
  <c r="E18" i="9"/>
  <c r="E19" i="9" s="1"/>
  <c r="E20" i="9" s="1"/>
  <c r="E21" i="9" s="1"/>
  <c r="E22" i="9" s="1"/>
  <c r="E23" i="9"/>
  <c r="E24" i="9" s="1"/>
  <c r="E25" i="9" s="1"/>
  <c r="E26" i="9" s="1"/>
  <c r="E27" i="9" s="1"/>
  <c r="E28" i="9" s="1"/>
  <c r="E29" i="9" s="1"/>
  <c r="E30" i="9" s="1"/>
  <c r="E31" i="9"/>
  <c r="E32" i="9" s="1"/>
  <c r="E33" i="9"/>
  <c r="E34" i="9"/>
  <c r="E35" i="9" s="1"/>
  <c r="E36" i="9"/>
  <c r="E37" i="9" s="1"/>
  <c r="E38" i="9"/>
  <c r="E39" i="9" s="1"/>
  <c r="E40" i="9"/>
  <c r="E41" i="9" s="1"/>
  <c r="E42" i="9"/>
  <c r="E43" i="9" s="1"/>
  <c r="E44" i="9" s="1"/>
  <c r="E45" i="9"/>
  <c r="E46" i="9" s="1"/>
  <c r="E47" i="9"/>
  <c r="E48" i="9" s="1"/>
  <c r="E49" i="9"/>
  <c r="E50" i="9" s="1"/>
  <c r="E51" i="9"/>
  <c r="E52" i="9" s="1"/>
  <c r="E53" i="9"/>
  <c r="E54" i="9" s="1"/>
  <c r="E55" i="9"/>
  <c r="E56" i="9" s="1"/>
  <c r="E57" i="9"/>
  <c r="E58" i="9" s="1"/>
  <c r="E59" i="9"/>
  <c r="E60" i="9" s="1"/>
  <c r="E61" i="9"/>
  <c r="E62" i="9" s="1"/>
  <c r="E63" i="9"/>
  <c r="E64" i="9" s="1"/>
  <c r="E65" i="9"/>
  <c r="E66" i="9" s="1"/>
  <c r="E67" i="9"/>
  <c r="E68" i="9" s="1"/>
  <c r="E69" i="9" s="1"/>
  <c r="E70" i="9" s="1"/>
  <c r="E71" i="9" s="1"/>
  <c r="E72" i="9" s="1"/>
  <c r="E73" i="9" s="1"/>
  <c r="E74" i="9" s="1"/>
  <c r="E75" i="9"/>
  <c r="E76" i="9" s="1"/>
  <c r="E77" i="9" s="1"/>
  <c r="E78" i="9"/>
  <c r="E79" i="9" s="1"/>
  <c r="E80" i="9"/>
  <c r="E81" i="9" s="1"/>
  <c r="E82" i="9"/>
  <c r="E83" i="9" s="1"/>
  <c r="E84" i="9"/>
  <c r="E85" i="9" s="1"/>
  <c r="E86" i="9"/>
  <c r="E87" i="9" s="1"/>
  <c r="E88" i="9"/>
  <c r="E89" i="9" s="1"/>
  <c r="E90" i="9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/>
  <c r="E102" i="9" s="1"/>
  <c r="E103" i="9"/>
  <c r="E104" i="9" s="1"/>
  <c r="E105" i="9"/>
  <c r="E106" i="9" s="1"/>
  <c r="E107" i="9"/>
  <c r="E108" i="9" s="1"/>
  <c r="E109" i="9"/>
  <c r="E110" i="9" s="1"/>
  <c r="E111" i="9"/>
  <c r="E112" i="9" s="1"/>
  <c r="E113" i="9"/>
  <c r="E114" i="9" s="1"/>
  <c r="E115" i="9" s="1"/>
  <c r="E116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/>
  <c r="E128" i="9"/>
  <c r="E129" i="9" s="1"/>
  <c r="E130" i="9" s="1"/>
  <c r="E131" i="9"/>
  <c r="E132" i="9" s="1"/>
  <c r="E133" i="9"/>
  <c r="E134" i="9" s="1"/>
  <c r="E135" i="9" s="1"/>
  <c r="E136" i="9" s="1"/>
  <c r="E137" i="9"/>
  <c r="E138" i="9" s="1"/>
  <c r="E139" i="9" s="1"/>
  <c r="E140" i="9" s="1"/>
  <c r="E141" i="9"/>
  <c r="E142" i="9" s="1"/>
  <c r="E143" i="9"/>
  <c r="E144" i="9" s="1"/>
  <c r="E145" i="9"/>
  <c r="E146" i="9" s="1"/>
  <c r="E147" i="9"/>
  <c r="E148" i="9" s="1"/>
  <c r="E149" i="9"/>
  <c r="E150" i="9" s="1"/>
  <c r="E151" i="9"/>
  <c r="E152" i="9" s="1"/>
  <c r="E153" i="9"/>
  <c r="E154" i="9" s="1"/>
  <c r="E155" i="9" s="1"/>
  <c r="E156" i="9" s="1"/>
  <c r="E157" i="9" s="1"/>
  <c r="E158" i="9" s="1"/>
  <c r="E159" i="9"/>
  <c r="E160" i="9"/>
  <c r="E161" i="9" s="1"/>
  <c r="E162" i="9" s="1"/>
  <c r="E163" i="9" s="1"/>
  <c r="E164" i="9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/>
  <c r="E178" i="9" s="1"/>
  <c r="E179" i="9"/>
  <c r="E180" i="9" s="1"/>
  <c r="E181" i="9"/>
  <c r="E182" i="9" s="1"/>
  <c r="E183" i="9"/>
  <c r="E184" i="9" s="1"/>
  <c r="E185" i="9"/>
  <c r="E186" i="9" s="1"/>
  <c r="E187" i="9" s="1"/>
  <c r="E188" i="9" s="1"/>
  <c r="E189" i="9"/>
  <c r="E190" i="9" s="1"/>
  <c r="E191" i="9" s="1"/>
  <c r="E192" i="9" s="1"/>
  <c r="E193" i="9" s="1"/>
  <c r="E194" i="9" s="1"/>
  <c r="E195" i="9"/>
  <c r="E196" i="9" s="1"/>
  <c r="E197" i="9" s="1"/>
  <c r="E198" i="9"/>
  <c r="E199" i="9" s="1"/>
  <c r="E200" i="9" s="1"/>
  <c r="E201" i="9" s="1"/>
  <c r="E202" i="9" s="1"/>
  <c r="E203" i="9" s="1"/>
  <c r="E204" i="9"/>
  <c r="E205" i="9" s="1"/>
  <c r="E206" i="9" s="1"/>
  <c r="E207" i="9" s="1"/>
  <c r="E208" i="9" s="1"/>
  <c r="E209" i="9" s="1"/>
  <c r="E210" i="9"/>
  <c r="E211" i="9" s="1"/>
  <c r="E212" i="9"/>
  <c r="E213" i="9" s="1"/>
  <c r="E214" i="9" s="1"/>
  <c r="E215" i="9" s="1"/>
  <c r="E216" i="9" s="1"/>
  <c r="E217" i="9" s="1"/>
  <c r="E218" i="9" s="1"/>
  <c r="E219" i="9" s="1"/>
  <c r="E220" i="9" s="1"/>
  <c r="E221" i="9" s="1"/>
  <c r="E222" i="9" s="1"/>
  <c r="E223" i="9" s="1"/>
  <c r="E224" i="9" s="1"/>
  <c r="E225" i="9" s="1"/>
  <c r="E226" i="9" s="1"/>
  <c r="E227" i="9" s="1"/>
  <c r="E228" i="9" s="1"/>
  <c r="E229" i="9" s="1"/>
  <c r="E230" i="9"/>
  <c r="E231" i="9" s="1"/>
  <c r="E232" i="9" s="1"/>
  <c r="E233" i="9"/>
  <c r="E234" i="9" s="1"/>
  <c r="E235" i="9"/>
  <c r="E236" i="9" s="1"/>
  <c r="E237" i="9" s="1"/>
  <c r="E238" i="9" s="1"/>
  <c r="E239" i="9" s="1"/>
  <c r="E240" i="9" s="1"/>
  <c r="E241" i="9" s="1"/>
  <c r="E242" i="9" s="1"/>
  <c r="E243" i="9" s="1"/>
  <c r="E244" i="9" s="1"/>
  <c r="E245" i="9"/>
  <c r="E246" i="9" s="1"/>
  <c r="E247" i="9" s="1"/>
  <c r="E248" i="9" s="1"/>
  <c r="E249" i="9" s="1"/>
  <c r="E250" i="9" s="1"/>
  <c r="E251" i="9" s="1"/>
  <c r="E252" i="9" s="1"/>
  <c r="E253" i="9" s="1"/>
  <c r="E254" i="9" s="1"/>
  <c r="E255" i="9" s="1"/>
  <c r="E256" i="9" s="1"/>
  <c r="E257" i="9" s="1"/>
  <c r="E258" i="9" s="1"/>
  <c r="E259" i="9" s="1"/>
  <c r="E260" i="9" s="1"/>
  <c r="E261" i="9" s="1"/>
  <c r="E262" i="9" s="1"/>
  <c r="E263" i="9"/>
  <c r="E264" i="9" s="1"/>
  <c r="E265" i="9" s="1"/>
  <c r="E266" i="9" s="1"/>
  <c r="E267" i="9" s="1"/>
  <c r="E268" i="9" s="1"/>
  <c r="E269" i="9"/>
  <c r="E270" i="9" s="1"/>
  <c r="E271" i="9"/>
  <c r="E272" i="9" s="1"/>
  <c r="E273" i="9" s="1"/>
  <c r="E274" i="9" s="1"/>
  <c r="E275" i="9" s="1"/>
  <c r="E276" i="9" s="1"/>
  <c r="E277" i="9"/>
  <c r="E278" i="9" s="1"/>
  <c r="E279" i="9"/>
  <c r="E280" i="9" s="1"/>
  <c r="E281" i="9" s="1"/>
  <c r="E282" i="9" s="1"/>
  <c r="E283" i="9" s="1"/>
  <c r="E284" i="9" s="1"/>
  <c r="E285" i="9" s="1"/>
  <c r="E286" i="9" s="1"/>
  <c r="E287" i="9" s="1"/>
  <c r="E288" i="9" s="1"/>
  <c r="E289" i="9" s="1"/>
  <c r="E290" i="9" s="1"/>
  <c r="E291" i="9" s="1"/>
  <c r="E292" i="9" s="1"/>
  <c r="E293" i="9"/>
  <c r="E294" i="9" s="1"/>
  <c r="E295" i="9"/>
  <c r="E296" i="9" s="1"/>
  <c r="E297" i="9"/>
  <c r="E298" i="9" s="1"/>
  <c r="E299" i="9"/>
  <c r="E300" i="9" s="1"/>
  <c r="E301" i="9" s="1"/>
  <c r="E302" i="9" s="1"/>
  <c r="E303" i="9"/>
  <c r="E304" i="9"/>
  <c r="E305" i="9" s="1"/>
  <c r="E306" i="9"/>
  <c r="E307" i="9" s="1"/>
  <c r="E308" i="9"/>
  <c r="E309" i="9" s="1"/>
  <c r="E310" i="9"/>
  <c r="E311" i="9" s="1"/>
  <c r="E312" i="9"/>
  <c r="E313" i="9" s="1"/>
  <c r="E314" i="9"/>
  <c r="E315" i="9" s="1"/>
  <c r="E316" i="9" s="1"/>
  <c r="E317" i="9" s="1"/>
  <c r="E318" i="9" s="1"/>
  <c r="E319" i="9" s="1"/>
  <c r="E320" i="9" s="1"/>
  <c r="E321" i="9"/>
  <c r="E322" i="9" s="1"/>
  <c r="E323" i="9" s="1"/>
  <c r="E324" i="9"/>
  <c r="E325" i="9" s="1"/>
  <c r="E326" i="9"/>
  <c r="E327" i="9" s="1"/>
  <c r="E328" i="9"/>
  <c r="E329" i="9" s="1"/>
  <c r="E330" i="9"/>
  <c r="E331" i="9" s="1"/>
  <c r="E332" i="9"/>
  <c r="E333" i="9" s="1"/>
  <c r="E334" i="9"/>
  <c r="E335" i="9" s="1"/>
  <c r="E336" i="9" s="1"/>
  <c r="E337" i="9" s="1"/>
  <c r="E338" i="9" s="1"/>
  <c r="E339" i="9" s="1"/>
  <c r="E340" i="9"/>
  <c r="E341" i="9" s="1"/>
  <c r="E342" i="9" s="1"/>
  <c r="E343" i="9"/>
  <c r="E344" i="9" s="1"/>
  <c r="E345" i="9"/>
  <c r="E346" i="9" s="1"/>
  <c r="E347" i="9"/>
  <c r="E348" i="9" s="1"/>
  <c r="E349" i="9"/>
  <c r="E350" i="9" s="1"/>
  <c r="E351" i="9"/>
  <c r="E352" i="9" s="1"/>
  <c r="E353" i="9" s="1"/>
  <c r="E354" i="9" s="1"/>
  <c r="E355" i="9" s="1"/>
  <c r="E356" i="9" s="1"/>
  <c r="E357" i="9" s="1"/>
  <c r="E358" i="9" s="1"/>
  <c r="E359" i="9"/>
  <c r="E360" i="9" s="1"/>
  <c r="E361" i="9" s="1"/>
  <c r="E362" i="9" s="1"/>
  <c r="E363" i="9" s="1"/>
  <c r="E364" i="9" s="1"/>
  <c r="E365" i="9" s="1"/>
  <c r="E366" i="9" s="1"/>
  <c r="E367" i="9" s="1"/>
  <c r="E368" i="9" s="1"/>
  <c r="E369" i="9" s="1"/>
  <c r="E370" i="9" s="1"/>
  <c r="E371" i="9" s="1"/>
  <c r="E372" i="9" s="1"/>
  <c r="E373" i="9"/>
  <c r="E374" i="9"/>
  <c r="E375" i="9" s="1"/>
  <c r="E376" i="9"/>
  <c r="E377" i="9" s="1"/>
  <c r="E378" i="9" s="1"/>
  <c r="E379" i="9" s="1"/>
  <c r="E380" i="9" s="1"/>
  <c r="E381" i="9" s="1"/>
  <c r="E382" i="9"/>
  <c r="E383" i="9" s="1"/>
  <c r="E384" i="9"/>
  <c r="E385" i="9" s="1"/>
  <c r="E386" i="9"/>
  <c r="E387" i="9" s="1"/>
  <c r="E388" i="9"/>
  <c r="E389" i="9" s="1"/>
  <c r="E390" i="9" s="1"/>
  <c r="E391" i="9" s="1"/>
  <c r="E392" i="9"/>
  <c r="E393" i="9" s="1"/>
  <c r="E394" i="9"/>
  <c r="E395" i="9" s="1"/>
  <c r="E396" i="9"/>
  <c r="E397" i="9" s="1"/>
  <c r="E398" i="9"/>
  <c r="E399" i="9" s="1"/>
  <c r="E400" i="9"/>
  <c r="E401" i="9" s="1"/>
  <c r="E402" i="9"/>
  <c r="E403" i="9" s="1"/>
  <c r="E404" i="9"/>
  <c r="E405" i="9" s="1"/>
  <c r="E406" i="9" s="1"/>
  <c r="E407" i="9" s="1"/>
  <c r="E408" i="9"/>
  <c r="E409" i="9" s="1"/>
  <c r="E410" i="9" s="1"/>
  <c r="E411" i="9" s="1"/>
  <c r="E412" i="9"/>
  <c r="E413" i="9" s="1"/>
  <c r="E414" i="9" s="1"/>
  <c r="E415" i="9"/>
  <c r="E416" i="9" s="1"/>
  <c r="E417" i="9"/>
  <c r="E418" i="9" s="1"/>
  <c r="E419" i="9" s="1"/>
  <c r="E420" i="9" s="1"/>
  <c r="E421" i="9" s="1"/>
  <c r="E422" i="9"/>
  <c r="E423" i="9" s="1"/>
  <c r="E424" i="9"/>
  <c r="E425" i="9" s="1"/>
  <c r="E426" i="9"/>
  <c r="E427" i="9" s="1"/>
  <c r="E428" i="9"/>
  <c r="E429" i="9" s="1"/>
  <c r="E430" i="9"/>
  <c r="E431" i="9" s="1"/>
  <c r="E432" i="9" s="1"/>
  <c r="E433" i="9"/>
  <c r="E434" i="9" s="1"/>
  <c r="E435" i="9" s="1"/>
  <c r="E436" i="9" s="1"/>
  <c r="E437" i="9" s="1"/>
  <c r="E438" i="9" s="1"/>
  <c r="E439" i="9" s="1"/>
  <c r="E440" i="9" s="1"/>
  <c r="E441" i="9"/>
  <c r="E442" i="9" s="1"/>
  <c r="E443" i="9" s="1"/>
  <c r="E444" i="9" s="1"/>
  <c r="E445" i="9" s="1"/>
  <c r="E446" i="9" s="1"/>
  <c r="E447" i="9" s="1"/>
  <c r="E448" i="9" s="1"/>
  <c r="E449" i="9" s="1"/>
  <c r="E450" i="9" s="1"/>
  <c r="E451" i="9" s="1"/>
  <c r="E452" i="9" s="1"/>
  <c r="E453" i="9"/>
  <c r="E454" i="9" s="1"/>
  <c r="E455" i="9"/>
  <c r="E456" i="9" s="1"/>
  <c r="E457" i="9"/>
  <c r="E458" i="9"/>
  <c r="E459" i="9" s="1"/>
  <c r="E460" i="9" s="1"/>
  <c r="E461" i="9" s="1"/>
  <c r="E462" i="9" s="1"/>
  <c r="E463" i="9"/>
  <c r="E464" i="9" s="1"/>
  <c r="E465" i="9"/>
  <c r="E466" i="9" s="1"/>
  <c r="E467" i="9"/>
  <c r="E468" i="9" s="1"/>
  <c r="E469" i="9"/>
  <c r="E470" i="9" s="1"/>
  <c r="E471" i="9" s="1"/>
  <c r="E472" i="9" s="1"/>
  <c r="E473" i="9" s="1"/>
  <c r="E474" i="9" s="1"/>
  <c r="E475" i="9"/>
  <c r="E476" i="9" s="1"/>
  <c r="E477" i="9"/>
  <c r="E478" i="9" s="1"/>
  <c r="E479" i="9"/>
  <c r="E480" i="9" s="1"/>
  <c r="E481" i="9"/>
  <c r="E482" i="9" s="1"/>
  <c r="E483" i="9"/>
  <c r="E484" i="9" s="1"/>
  <c r="E485" i="9"/>
  <c r="E486" i="9" s="1"/>
  <c r="E487" i="9"/>
  <c r="E488" i="9" s="1"/>
  <c r="E489" i="9"/>
  <c r="E490" i="9" s="1"/>
  <c r="E491" i="9"/>
  <c r="E492" i="9" s="1"/>
  <c r="E493" i="9"/>
  <c r="E494" i="9" s="1"/>
  <c r="E495" i="9"/>
  <c r="E496" i="9" s="1"/>
  <c r="E497" i="9"/>
  <c r="E498" i="9" s="1"/>
  <c r="E499" i="9"/>
  <c r="E500" i="9" s="1"/>
  <c r="E501" i="9"/>
  <c r="E502" i="9" s="1"/>
  <c r="E503" i="9"/>
  <c r="E504" i="9" s="1"/>
  <c r="E505" i="9"/>
  <c r="E506" i="9" s="1"/>
  <c r="E507" i="9"/>
  <c r="E508" i="9" s="1"/>
  <c r="E509" i="9" s="1"/>
  <c r="E510" i="9"/>
  <c r="E511" i="9" s="1"/>
  <c r="E512" i="9"/>
  <c r="E513" i="9" s="1"/>
  <c r="E514" i="9" s="1"/>
  <c r="E515" i="9"/>
  <c r="E516" i="9" s="1"/>
  <c r="E517" i="9"/>
  <c r="E518" i="9"/>
  <c r="E519" i="9" s="1"/>
  <c r="E520" i="9"/>
  <c r="E521" i="9"/>
  <c r="E522" i="9" s="1"/>
  <c r="E523" i="9"/>
  <c r="E524" i="9" s="1"/>
  <c r="E525" i="9" s="1"/>
  <c r="E526" i="9" s="1"/>
  <c r="E527" i="9"/>
  <c r="E528" i="9"/>
  <c r="E529" i="9" s="1"/>
  <c r="E530" i="9" s="1"/>
  <c r="E531" i="9" s="1"/>
  <c r="E532" i="9" s="1"/>
  <c r="E533" i="9" s="1"/>
  <c r="E534" i="9" s="1"/>
  <c r="E535" i="9" s="1"/>
  <c r="E536" i="9" s="1"/>
  <c r="E537" i="9"/>
  <c r="E538" i="9" s="1"/>
  <c r="E539" i="9"/>
  <c r="E540" i="9" s="1"/>
  <c r="E541" i="9"/>
  <c r="E542" i="9" s="1"/>
  <c r="E543" i="9" s="1"/>
  <c r="E544" i="9" s="1"/>
  <c r="E545" i="9" s="1"/>
  <c r="E546" i="9" s="1"/>
  <c r="E547" i="9" s="1"/>
  <c r="E548" i="9"/>
  <c r="E549" i="9" s="1"/>
  <c r="E550" i="9"/>
  <c r="E551" i="9" s="1"/>
  <c r="E552" i="9" s="1"/>
  <c r="E553" i="9" s="1"/>
  <c r="E554" i="9" s="1"/>
  <c r="E555" i="9"/>
  <c r="E556" i="9" s="1"/>
  <c r="E557" i="9"/>
  <c r="E558" i="9" s="1"/>
  <c r="E559" i="9" s="1"/>
  <c r="E560" i="9" s="1"/>
  <c r="E561" i="9" s="1"/>
  <c r="E562" i="9" s="1"/>
  <c r="E563" i="9" s="1"/>
  <c r="E564" i="9" s="1"/>
  <c r="E565" i="9"/>
  <c r="E566" i="9" s="1"/>
  <c r="E567" i="9"/>
  <c r="E568" i="9" s="1"/>
  <c r="E569" i="9"/>
  <c r="E570" i="9"/>
  <c r="E571" i="9" s="1"/>
  <c r="E572" i="9"/>
  <c r="E573" i="9" s="1"/>
  <c r="E574" i="9"/>
  <c r="E575" i="9" s="1"/>
  <c r="E576" i="9"/>
  <c r="E577" i="9" s="1"/>
  <c r="E578" i="9"/>
  <c r="E579" i="9" s="1"/>
  <c r="E580" i="9"/>
  <c r="E581" i="9" s="1"/>
  <c r="E582" i="9"/>
  <c r="E583" i="9" s="1"/>
  <c r="E584" i="9"/>
  <c r="E585" i="9" s="1"/>
  <c r="E586" i="9"/>
  <c r="E587" i="9" s="1"/>
  <c r="E588" i="9"/>
  <c r="E589" i="9" s="1"/>
  <c r="E590" i="9"/>
  <c r="E591" i="9" s="1"/>
  <c r="E592" i="9" s="1"/>
  <c r="E593" i="9" s="1"/>
  <c r="E594" i="9" s="1"/>
  <c r="E595" i="9" s="1"/>
  <c r="E596" i="9" s="1"/>
  <c r="E597" i="9"/>
  <c r="E598" i="9" s="1"/>
  <c r="E599" i="9" s="1"/>
  <c r="E600" i="9" s="1"/>
  <c r="E601" i="9"/>
  <c r="E602" i="9" s="1"/>
  <c r="E603" i="9"/>
  <c r="E604" i="9" s="1"/>
  <c r="E605" i="9" s="1"/>
  <c r="E606" i="9"/>
  <c r="E607" i="9" s="1"/>
  <c r="E608" i="9"/>
  <c r="E609" i="9" s="1"/>
  <c r="E610" i="9"/>
  <c r="E611" i="9" s="1"/>
  <c r="E612" i="9"/>
  <c r="E613" i="9" s="1"/>
  <c r="E614" i="9"/>
  <c r="E615" i="9" s="1"/>
  <c r="E616" i="9"/>
  <c r="E617" i="9" s="1"/>
  <c r="E618" i="9"/>
  <c r="E619" i="9" s="1"/>
  <c r="E620" i="9"/>
  <c r="E621" i="9" s="1"/>
  <c r="E622" i="9"/>
  <c r="E623" i="9" s="1"/>
  <c r="E624" i="9"/>
  <c r="E625" i="9" s="1"/>
  <c r="E626" i="9" s="1"/>
  <c r="E627" i="9"/>
  <c r="E628" i="9"/>
  <c r="E629" i="9" s="1"/>
  <c r="E630" i="9" s="1"/>
  <c r="E631" i="9" s="1"/>
  <c r="E632" i="9" s="1"/>
  <c r="E633" i="9" s="1"/>
  <c r="E634" i="9" s="1"/>
  <c r="E635" i="9" s="1"/>
  <c r="E636" i="9" s="1"/>
  <c r="E637" i="9" s="1"/>
  <c r="E638" i="9" s="1"/>
  <c r="E639" i="9" s="1"/>
  <c r="E640" i="9" s="1"/>
  <c r="E641" i="9" s="1"/>
  <c r="E642" i="9" s="1"/>
  <c r="E643" i="9" s="1"/>
  <c r="E644" i="9" s="1"/>
  <c r="E645" i="9" s="1"/>
  <c r="E646" i="9" s="1"/>
  <c r="E647" i="9" s="1"/>
  <c r="E648" i="9" s="1"/>
  <c r="E649" i="9" s="1"/>
  <c r="E650" i="9"/>
  <c r="E651" i="9" s="1"/>
  <c r="E652" i="9"/>
  <c r="E653" i="9" s="1"/>
  <c r="E654" i="9"/>
  <c r="E655" i="9" s="1"/>
  <c r="E656" i="9"/>
  <c r="E657" i="9" s="1"/>
  <c r="E658" i="9"/>
  <c r="E659" i="9" s="1"/>
  <c r="E660" i="9"/>
  <c r="E661" i="9" s="1"/>
  <c r="E662" i="9" s="1"/>
  <c r="E663" i="9" s="1"/>
  <c r="E664" i="9" s="1"/>
  <c r="E665" i="9" s="1"/>
  <c r="E666" i="9" s="1"/>
  <c r="E667" i="9" s="1"/>
  <c r="E668" i="9" s="1"/>
  <c r="E669" i="9" s="1"/>
  <c r="E670" i="9" s="1"/>
  <c r="E671" i="9" s="1"/>
  <c r="E672" i="9" s="1"/>
  <c r="E673" i="9"/>
  <c r="E674" i="9" s="1"/>
  <c r="E675" i="9"/>
  <c r="E676" i="9" s="1"/>
  <c r="E677" i="9"/>
  <c r="E678" i="9" s="1"/>
  <c r="E679" i="9"/>
  <c r="E680" i="9"/>
  <c r="E681" i="9"/>
  <c r="E682" i="9" s="1"/>
  <c r="E683" i="9"/>
  <c r="E684" i="9" s="1"/>
  <c r="E685" i="9"/>
  <c r="E686" i="9"/>
  <c r="E687" i="9" s="1"/>
  <c r="E688" i="9" s="1"/>
  <c r="E689" i="9" s="1"/>
  <c r="E690" i="9"/>
  <c r="E691" i="9" s="1"/>
  <c r="E692" i="9"/>
  <c r="E693" i="9" s="1"/>
  <c r="E694" i="9"/>
  <c r="E695" i="9"/>
  <c r="E696" i="9"/>
  <c r="E697" i="9"/>
  <c r="E698" i="9"/>
  <c r="E699" i="9"/>
  <c r="E700" i="9"/>
  <c r="E701" i="9" s="1"/>
  <c r="E702" i="9"/>
  <c r="E703" i="9"/>
  <c r="E704" i="9"/>
  <c r="E705" i="9" s="1"/>
  <c r="E706" i="9"/>
  <c r="E707" i="9"/>
  <c r="E708" i="9"/>
  <c r="E709" i="9" s="1"/>
  <c r="E710" i="9"/>
  <c r="E711" i="9" s="1"/>
  <c r="E712" i="9"/>
  <c r="E713" i="9"/>
  <c r="E714" i="9"/>
  <c r="E715" i="9"/>
  <c r="E716" i="9"/>
  <c r="E717" i="9"/>
  <c r="E718" i="9"/>
  <c r="E719" i="9"/>
  <c r="E720" i="9"/>
  <c r="E721" i="9" s="1"/>
  <c r="E722" i="9"/>
  <c r="E723" i="9" s="1"/>
  <c r="E724" i="9"/>
  <c r="E725" i="9" s="1"/>
  <c r="E726" i="9"/>
  <c r="E727" i="9"/>
  <c r="E728" i="9"/>
  <c r="E729" i="9" s="1"/>
  <c r="E730" i="9"/>
  <c r="E731" i="9"/>
  <c r="E732" i="9" s="1"/>
  <c r="E733" i="9"/>
  <c r="E734" i="9"/>
  <c r="E735" i="9"/>
  <c r="E736" i="9"/>
  <c r="E737" i="9" s="1"/>
  <c r="E738" i="9"/>
  <c r="E739" i="9"/>
  <c r="E740" i="9" s="1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 s="1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 s="1"/>
  <c r="E801" i="9"/>
  <c r="E802" i="9"/>
  <c r="E803" i="9"/>
  <c r="E804" i="9"/>
  <c r="E805" i="9"/>
  <c r="E806" i="9" s="1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 s="1"/>
  <c r="E870" i="9" s="1"/>
  <c r="E871" i="9"/>
  <c r="E872" i="9" s="1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 s="1"/>
  <c r="E890" i="9" s="1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6" i="9"/>
  <c r="E7" i="9" s="1"/>
  <c r="E8" i="9" s="1"/>
  <c r="E9" i="9" s="1"/>
  <c r="D10" i="9"/>
  <c r="D11" i="9" s="1"/>
  <c r="D12" i="9"/>
  <c r="D13" i="9" s="1"/>
  <c r="D14" i="9" s="1"/>
  <c r="D15" i="9" s="1"/>
  <c r="D16" i="9" s="1"/>
  <c r="D17" i="9" s="1"/>
  <c r="D18" i="9"/>
  <c r="D19" i="9" s="1"/>
  <c r="D20" i="9" s="1"/>
  <c r="D21" i="9"/>
  <c r="D22" i="9" s="1"/>
  <c r="D23" i="9"/>
  <c r="D24" i="9" s="1"/>
  <c r="D25" i="9" s="1"/>
  <c r="D26" i="9" s="1"/>
  <c r="D27" i="9" s="1"/>
  <c r="D28" i="9" s="1"/>
  <c r="D29" i="9" s="1"/>
  <c r="D30" i="9" s="1"/>
  <c r="D31" i="9" s="1"/>
  <c r="D32" i="9" s="1"/>
  <c r="D33" i="9" s="1"/>
  <c r="D34" i="9"/>
  <c r="D35" i="9" s="1"/>
  <c r="D36" i="9"/>
  <c r="D37" i="9" s="1"/>
  <c r="D38" i="9"/>
  <c r="D39" i="9" s="1"/>
  <c r="D40" i="9"/>
  <c r="D41" i="9" s="1"/>
  <c r="D42" i="9"/>
  <c r="D43" i="9" s="1"/>
  <c r="D44" i="9" s="1"/>
  <c r="D45" i="9"/>
  <c r="D46" i="9" s="1"/>
  <c r="D47" i="9"/>
  <c r="D48" i="9" s="1"/>
  <c r="D49" i="9"/>
  <c r="D50" i="9" s="1"/>
  <c r="D51" i="9"/>
  <c r="D52" i="9" s="1"/>
  <c r="D53" i="9"/>
  <c r="D54" i="9" s="1"/>
  <c r="D55" i="9"/>
  <c r="D56" i="9" s="1"/>
  <c r="D57" i="9"/>
  <c r="D58" i="9" s="1"/>
  <c r="D59" i="9"/>
  <c r="D60" i="9" s="1"/>
  <c r="D61" i="9"/>
  <c r="D62" i="9" s="1"/>
  <c r="D63" i="9"/>
  <c r="D64" i="9" s="1"/>
  <c r="D65" i="9"/>
  <c r="D66" i="9" s="1"/>
  <c r="D67" i="9"/>
  <c r="D68" i="9" s="1"/>
  <c r="D69" i="9" s="1"/>
  <c r="D70" i="9"/>
  <c r="D71" i="9" s="1"/>
  <c r="D72" i="9" s="1"/>
  <c r="D73" i="9" s="1"/>
  <c r="D74" i="9" s="1"/>
  <c r="D75" i="9"/>
  <c r="D76" i="9" s="1"/>
  <c r="D77" i="9" s="1"/>
  <c r="D78" i="9"/>
  <c r="D79" i="9" s="1"/>
  <c r="D80" i="9"/>
  <c r="D81" i="9" s="1"/>
  <c r="D82" i="9"/>
  <c r="D83" i="9" s="1"/>
  <c r="D84" i="9"/>
  <c r="D85" i="9" s="1"/>
  <c r="D86" i="9" s="1"/>
  <c r="D87" i="9" s="1"/>
  <c r="D88" i="9" s="1"/>
  <c r="D89" i="9" s="1"/>
  <c r="D90" i="9" s="1"/>
  <c r="D91" i="9" s="1"/>
  <c r="D92" i="9" s="1"/>
  <c r="D93" i="9" s="1"/>
  <c r="D94" i="9" s="1"/>
  <c r="D95" i="9" s="1"/>
  <c r="D96" i="9" s="1"/>
  <c r="D97" i="9" s="1"/>
  <c r="D98" i="9" s="1"/>
  <c r="D99" i="9" s="1"/>
  <c r="D100" i="9" s="1"/>
  <c r="D101" i="9"/>
  <c r="D102" i="9" s="1"/>
  <c r="D103" i="9"/>
  <c r="D104" i="9" s="1"/>
  <c r="D105" i="9"/>
  <c r="D106" i="9" s="1"/>
  <c r="D107" i="9"/>
  <c r="D108" i="9" s="1"/>
  <c r="D109" i="9"/>
  <c r="D110" i="9" s="1"/>
  <c r="D111" i="9"/>
  <c r="D112" i="9" s="1"/>
  <c r="D113" i="9" s="1"/>
  <c r="D114" i="9" s="1"/>
  <c r="D115" i="9" s="1"/>
  <c r="D116" i="9" s="1"/>
  <c r="D117" i="9" s="1"/>
  <c r="D118" i="9" s="1"/>
  <c r="D119" i="9" s="1"/>
  <c r="D120" i="9" s="1"/>
  <c r="D121" i="9"/>
  <c r="D122" i="9" s="1"/>
  <c r="D123" i="9" s="1"/>
  <c r="D124" i="9" s="1"/>
  <c r="D125" i="9" s="1"/>
  <c r="D126" i="9" s="1"/>
  <c r="D127" i="9" s="1"/>
  <c r="D128" i="9"/>
  <c r="D129" i="9" s="1"/>
  <c r="D130" i="9" s="1"/>
  <c r="D131" i="9"/>
  <c r="D132" i="9"/>
  <c r="D133" i="9"/>
  <c r="D134" i="9" s="1"/>
  <c r="D135" i="9" s="1"/>
  <c r="D136" i="9" s="1"/>
  <c r="D137" i="9"/>
  <c r="D138" i="9" s="1"/>
  <c r="D139" i="9" s="1"/>
  <c r="D140" i="9" s="1"/>
  <c r="D141" i="9"/>
  <c r="D142" i="9" s="1"/>
  <c r="D143" i="9"/>
  <c r="D144" i="9" s="1"/>
  <c r="D145" i="9"/>
  <c r="D146" i="9" s="1"/>
  <c r="D147" i="9"/>
  <c r="D148" i="9" s="1"/>
  <c r="D149" i="9"/>
  <c r="D150" i="9" s="1"/>
  <c r="D151" i="9"/>
  <c r="D152" i="9" s="1"/>
  <c r="D153" i="9"/>
  <c r="D154" i="9"/>
  <c r="D155" i="9" s="1"/>
  <c r="D156" i="9"/>
  <c r="D157" i="9" s="1"/>
  <c r="D158" i="9"/>
  <c r="D159" i="9"/>
  <c r="D160" i="9" s="1"/>
  <c r="D161" i="9" s="1"/>
  <c r="D162" i="9" s="1"/>
  <c r="D163" i="9" s="1"/>
  <c r="D164" i="9"/>
  <c r="D165" i="9" s="1"/>
  <c r="D166" i="9" s="1"/>
  <c r="D167" i="9" s="1"/>
  <c r="D168" i="9" s="1"/>
  <c r="D169" i="9" s="1"/>
  <c r="D170" i="9" s="1"/>
  <c r="D171" i="9" s="1"/>
  <c r="D172" i="9" s="1"/>
  <c r="D173" i="9" s="1"/>
  <c r="D174" i="9" s="1"/>
  <c r="D175" i="9"/>
  <c r="D176" i="9" s="1"/>
  <c r="D177" i="9"/>
  <c r="D178" i="9" s="1"/>
  <c r="D179" i="9"/>
  <c r="D180" i="9" s="1"/>
  <c r="D181" i="9"/>
  <c r="D182" i="9" s="1"/>
  <c r="D183" i="9"/>
  <c r="D184" i="9" s="1"/>
  <c r="D185" i="9"/>
  <c r="D186" i="9" s="1"/>
  <c r="D187" i="9" s="1"/>
  <c r="D188" i="9" s="1"/>
  <c r="D189" i="9"/>
  <c r="D190" i="9" s="1"/>
  <c r="D191" i="9" s="1"/>
  <c r="D192" i="9" s="1"/>
  <c r="D193" i="9" s="1"/>
  <c r="D194" i="9" s="1"/>
  <c r="D195" i="9"/>
  <c r="D196" i="9" s="1"/>
  <c r="D197" i="9" s="1"/>
  <c r="D198" i="9"/>
  <c r="D199" i="9" s="1"/>
  <c r="D200" i="9" s="1"/>
  <c r="D201" i="9" s="1"/>
  <c r="D202" i="9" s="1"/>
  <c r="D203" i="9" s="1"/>
  <c r="D204" i="9" s="1"/>
  <c r="D205" i="9" s="1"/>
  <c r="D206" i="9" s="1"/>
  <c r="D207" i="9" s="1"/>
  <c r="D208" i="9"/>
  <c r="D209" i="9" s="1"/>
  <c r="D210" i="9" s="1"/>
  <c r="D211" i="9" s="1"/>
  <c r="D212" i="9" s="1"/>
  <c r="D213" i="9" s="1"/>
  <c r="D214" i="9" s="1"/>
  <c r="D215" i="9" s="1"/>
  <c r="D216" i="9" s="1"/>
  <c r="D217" i="9" s="1"/>
  <c r="D218" i="9" s="1"/>
  <c r="D219" i="9" s="1"/>
  <c r="D220" i="9" s="1"/>
  <c r="D221" i="9" s="1"/>
  <c r="D222" i="9" s="1"/>
  <c r="D223" i="9" s="1"/>
  <c r="D224" i="9" s="1"/>
  <c r="D225" i="9" s="1"/>
  <c r="D226" i="9" s="1"/>
  <c r="D227" i="9" s="1"/>
  <c r="D228" i="9" s="1"/>
  <c r="D229" i="9" s="1"/>
  <c r="D230" i="9"/>
  <c r="D231" i="9"/>
  <c r="D232" i="9" s="1"/>
  <c r="D233" i="9" s="1"/>
  <c r="D234" i="9" s="1"/>
  <c r="D235" i="9" s="1"/>
  <c r="D236" i="9" s="1"/>
  <c r="D237" i="9" s="1"/>
  <c r="D238" i="9" s="1"/>
  <c r="D239" i="9"/>
  <c r="D240" i="9" s="1"/>
  <c r="D241" i="9"/>
  <c r="D242" i="9" s="1"/>
  <c r="D243" i="9"/>
  <c r="D244" i="9" s="1"/>
  <c r="D245" i="9"/>
  <c r="D246" i="9" s="1"/>
  <c r="D247" i="9" s="1"/>
  <c r="D248" i="9" s="1"/>
  <c r="D249" i="9" s="1"/>
  <c r="D250" i="9" s="1"/>
  <c r="D251" i="9" s="1"/>
  <c r="D252" i="9" s="1"/>
  <c r="D253" i="9" s="1"/>
  <c r="D254" i="9" s="1"/>
  <c r="D255" i="9" s="1"/>
  <c r="D256" i="9" s="1"/>
  <c r="D257" i="9" s="1"/>
  <c r="D258" i="9" s="1"/>
  <c r="D259" i="9" s="1"/>
  <c r="D260" i="9" s="1"/>
  <c r="D261" i="9" s="1"/>
  <c r="D262" i="9" s="1"/>
  <c r="D263" i="9"/>
  <c r="D264" i="9" s="1"/>
  <c r="D265" i="9"/>
  <c r="D266" i="9" s="1"/>
  <c r="D267" i="9"/>
  <c r="D268" i="9" s="1"/>
  <c r="D269" i="9" s="1"/>
  <c r="D270" i="9" s="1"/>
  <c r="D271" i="9" s="1"/>
  <c r="D272" i="9" s="1"/>
  <c r="D273" i="9" s="1"/>
  <c r="D274" i="9" s="1"/>
  <c r="D275" i="9" s="1"/>
  <c r="D276" i="9" s="1"/>
  <c r="D277" i="9" s="1"/>
  <c r="D278" i="9" s="1"/>
  <c r="D279" i="9" s="1"/>
  <c r="D280" i="9" s="1"/>
  <c r="D281" i="9" s="1"/>
  <c r="D282" i="9" s="1"/>
  <c r="D283" i="9" s="1"/>
  <c r="D284" i="9" s="1"/>
  <c r="D285" i="9" s="1"/>
  <c r="D286" i="9" s="1"/>
  <c r="D287" i="9" s="1"/>
  <c r="D288" i="9" s="1"/>
  <c r="D289" i="9" s="1"/>
  <c r="D290" i="9" s="1"/>
  <c r="D291" i="9" s="1"/>
  <c r="D292" i="9" s="1"/>
  <c r="D293" i="9" s="1"/>
  <c r="D294" i="9" s="1"/>
  <c r="D295" i="9" s="1"/>
  <c r="D296" i="9" s="1"/>
  <c r="D297" i="9" s="1"/>
  <c r="D298" i="9" s="1"/>
  <c r="D299" i="9" s="1"/>
  <c r="D300" i="9" s="1"/>
  <c r="D301" i="9" s="1"/>
  <c r="D302" i="9" s="1"/>
  <c r="D303" i="9" s="1"/>
  <c r="D304" i="9"/>
  <c r="D305" i="9" s="1"/>
  <c r="D306" i="9"/>
  <c r="D307" i="9" s="1"/>
  <c r="D308" i="9"/>
  <c r="D309" i="9" s="1"/>
  <c r="D310" i="9"/>
  <c r="D311" i="9" s="1"/>
  <c r="D312" i="9"/>
  <c r="D313" i="9" s="1"/>
  <c r="D314" i="9"/>
  <c r="D315" i="9" s="1"/>
  <c r="D316" i="9" s="1"/>
  <c r="D317" i="9" s="1"/>
  <c r="D318" i="9" s="1"/>
  <c r="D319" i="9" s="1"/>
  <c r="D320" i="9" s="1"/>
  <c r="D321" i="9" s="1"/>
  <c r="D322" i="9" s="1"/>
  <c r="D323" i="9" s="1"/>
  <c r="D324" i="9"/>
  <c r="D325" i="9" s="1"/>
  <c r="D326" i="9"/>
  <c r="D327" i="9" s="1"/>
  <c r="D328" i="9"/>
  <c r="D329" i="9" s="1"/>
  <c r="D330" i="9"/>
  <c r="D331" i="9" s="1"/>
  <c r="D332" i="9"/>
  <c r="D333" i="9" s="1"/>
  <c r="D334" i="9"/>
  <c r="D335" i="9" s="1"/>
  <c r="D336" i="9" s="1"/>
  <c r="D337" i="9" s="1"/>
  <c r="D338" i="9" s="1"/>
  <c r="D339" i="9" s="1"/>
  <c r="D340" i="9"/>
  <c r="D341" i="9" s="1"/>
  <c r="D342" i="9"/>
  <c r="D343" i="9"/>
  <c r="D344" i="9" s="1"/>
  <c r="D345" i="9"/>
  <c r="D346" i="9" s="1"/>
  <c r="D347" i="9"/>
  <c r="D348" i="9" s="1"/>
  <c r="D349" i="9"/>
  <c r="D350" i="9" s="1"/>
  <c r="D351" i="9"/>
  <c r="D352" i="9" s="1"/>
  <c r="D353" i="9" s="1"/>
  <c r="D354" i="9" s="1"/>
  <c r="D355" i="9" s="1"/>
  <c r="D356" i="9" s="1"/>
  <c r="D357" i="9" s="1"/>
  <c r="D358" i="9" s="1"/>
  <c r="D359" i="9" s="1"/>
  <c r="D360" i="9" s="1"/>
  <c r="D361" i="9"/>
  <c r="D362" i="9" s="1"/>
  <c r="D363" i="9" s="1"/>
  <c r="D364" i="9" s="1"/>
  <c r="D365" i="9" s="1"/>
  <c r="D366" i="9" s="1"/>
  <c r="D367" i="9" s="1"/>
  <c r="D368" i="9" s="1"/>
  <c r="D369" i="9" s="1"/>
  <c r="D370" i="9" s="1"/>
  <c r="D371" i="9" s="1"/>
  <c r="D372" i="9" s="1"/>
  <c r="D373" i="9"/>
  <c r="D374" i="9"/>
  <c r="D375" i="9" s="1"/>
  <c r="D376" i="9"/>
  <c r="D377" i="9" s="1"/>
  <c r="D378" i="9" s="1"/>
  <c r="D379" i="9" s="1"/>
  <c r="D380" i="9" s="1"/>
  <c r="D381" i="9" s="1"/>
  <c r="D382" i="9"/>
  <c r="D383" i="9" s="1"/>
  <c r="D384" i="9"/>
  <c r="D385" i="9" s="1"/>
  <c r="D386" i="9"/>
  <c r="D387" i="9" s="1"/>
  <c r="D388" i="9"/>
  <c r="D389" i="9" s="1"/>
  <c r="D390" i="9" s="1"/>
  <c r="D391" i="9" s="1"/>
  <c r="D392" i="9"/>
  <c r="D393" i="9" s="1"/>
  <c r="D394" i="9"/>
  <c r="D395" i="9" s="1"/>
  <c r="D396" i="9"/>
  <c r="D397" i="9" s="1"/>
  <c r="D398" i="9"/>
  <c r="D399" i="9" s="1"/>
  <c r="D400" i="9"/>
  <c r="D401" i="9" s="1"/>
  <c r="D402" i="9"/>
  <c r="D403" i="9" s="1"/>
  <c r="D404" i="9"/>
  <c r="D405" i="9" s="1"/>
  <c r="D406" i="9" s="1"/>
  <c r="D407" i="9" s="1"/>
  <c r="D408" i="9"/>
  <c r="D409" i="9" s="1"/>
  <c r="D410" i="9" s="1"/>
  <c r="D411" i="9" s="1"/>
  <c r="D412" i="9"/>
  <c r="D413" i="9" s="1"/>
  <c r="D414" i="9" s="1"/>
  <c r="D415" i="9"/>
  <c r="D416" i="9" s="1"/>
  <c r="D417" i="9" s="1"/>
  <c r="D418" i="9" s="1"/>
  <c r="D419" i="9" s="1"/>
  <c r="D420" i="9" s="1"/>
  <c r="D421" i="9" s="1"/>
  <c r="D422" i="9"/>
  <c r="D423" i="9" s="1"/>
  <c r="D424" i="9"/>
  <c r="D425" i="9" s="1"/>
  <c r="D426" i="9"/>
  <c r="D427" i="9" s="1"/>
  <c r="D428" i="9"/>
  <c r="D429" i="9" s="1"/>
  <c r="D430" i="9"/>
  <c r="D431" i="9"/>
  <c r="D432" i="9" s="1"/>
  <c r="D433" i="9"/>
  <c r="D434" i="9" s="1"/>
  <c r="D435" i="9" s="1"/>
  <c r="D436" i="9" s="1"/>
  <c r="D437" i="9" s="1"/>
  <c r="D438" i="9" s="1"/>
  <c r="D439" i="9"/>
  <c r="D440" i="9" s="1"/>
  <c r="D441" i="9" s="1"/>
  <c r="D442" i="9" s="1"/>
  <c r="D443" i="9" s="1"/>
  <c r="D444" i="9" s="1"/>
  <c r="D445" i="9" s="1"/>
  <c r="D446" i="9" s="1"/>
  <c r="D447" i="9" s="1"/>
  <c r="D448" i="9" s="1"/>
  <c r="D449" i="9" s="1"/>
  <c r="D450" i="9" s="1"/>
  <c r="D451" i="9"/>
  <c r="D452" i="9" s="1"/>
  <c r="D453" i="9"/>
  <c r="D454" i="9" s="1"/>
  <c r="D455" i="9"/>
  <c r="D456" i="9" s="1"/>
  <c r="D457" i="9" s="1"/>
  <c r="D458" i="9"/>
  <c r="D459" i="9" s="1"/>
  <c r="D460" i="9"/>
  <c r="D461" i="9" s="1"/>
  <c r="D462" i="9" s="1"/>
  <c r="D463" i="9"/>
  <c r="D464" i="9" s="1"/>
  <c r="D465" i="9"/>
  <c r="D466" i="9" s="1"/>
  <c r="D467" i="9" s="1"/>
  <c r="D468" i="9" s="1"/>
  <c r="D469" i="9" s="1"/>
  <c r="D470" i="9" s="1"/>
  <c r="D471" i="9" s="1"/>
  <c r="D472" i="9" s="1"/>
  <c r="D473" i="9" s="1"/>
  <c r="D474" i="9" s="1"/>
  <c r="D475" i="9" s="1"/>
  <c r="D476" i="9" s="1"/>
  <c r="D477" i="9"/>
  <c r="D478" i="9" s="1"/>
  <c r="D479" i="9"/>
  <c r="D480" i="9" s="1"/>
  <c r="D481" i="9"/>
  <c r="D482" i="9" s="1"/>
  <c r="D483" i="9"/>
  <c r="D484" i="9" s="1"/>
  <c r="D485" i="9"/>
  <c r="D486" i="9" s="1"/>
  <c r="D487" i="9"/>
  <c r="D488" i="9" s="1"/>
  <c r="D489" i="9"/>
  <c r="D490" i="9" s="1"/>
  <c r="D491" i="9"/>
  <c r="D492" i="9" s="1"/>
  <c r="D493" i="9"/>
  <c r="D494" i="9" s="1"/>
  <c r="D495" i="9"/>
  <c r="D496" i="9" s="1"/>
  <c r="D497" i="9"/>
  <c r="D498" i="9" s="1"/>
  <c r="D499" i="9"/>
  <c r="D500" i="9" s="1"/>
  <c r="D501" i="9"/>
  <c r="D502" i="9" s="1"/>
  <c r="D503" i="9"/>
  <c r="D504" i="9" s="1"/>
  <c r="D505" i="9" s="1"/>
  <c r="D506" i="9" s="1"/>
  <c r="D507" i="9" s="1"/>
  <c r="D508" i="9" s="1"/>
  <c r="D509" i="9" s="1"/>
  <c r="D510" i="9"/>
  <c r="D511" i="9" s="1"/>
  <c r="D512" i="9"/>
  <c r="D513" i="9" s="1"/>
  <c r="D514" i="9" s="1"/>
  <c r="D515" i="9"/>
  <c r="D516" i="9" s="1"/>
  <c r="D517" i="9"/>
  <c r="D518" i="9"/>
  <c r="D519" i="9" s="1"/>
  <c r="D520" i="9" s="1"/>
  <c r="D521" i="9"/>
  <c r="D522" i="9" s="1"/>
  <c r="D523" i="9"/>
  <c r="D524" i="9"/>
  <c r="D525" i="9" s="1"/>
  <c r="D526" i="9" s="1"/>
  <c r="D527" i="9"/>
  <c r="D528" i="9"/>
  <c r="D529" i="9" s="1"/>
  <c r="D530" i="9"/>
  <c r="D531" i="9" s="1"/>
  <c r="D532" i="9"/>
  <c r="D533" i="9" s="1"/>
  <c r="D534" i="9" s="1"/>
  <c r="D535" i="9" s="1"/>
  <c r="D536" i="9" s="1"/>
  <c r="D537" i="9"/>
  <c r="D538" i="9" s="1"/>
  <c r="D539" i="9"/>
  <c r="D540" i="9" s="1"/>
  <c r="D541" i="9"/>
  <c r="D542" i="9" s="1"/>
  <c r="D543" i="9" s="1"/>
  <c r="D544" i="9" s="1"/>
  <c r="D545" i="9" s="1"/>
  <c r="D546" i="9" s="1"/>
  <c r="D547" i="9" s="1"/>
  <c r="D548" i="9" s="1"/>
  <c r="D549" i="9" s="1"/>
  <c r="D550" i="9" s="1"/>
  <c r="D551" i="9" s="1"/>
  <c r="D552" i="9" s="1"/>
  <c r="D553" i="9" s="1"/>
  <c r="D554" i="9" s="1"/>
  <c r="D555" i="9"/>
  <c r="D556" i="9" s="1"/>
  <c r="D557" i="9"/>
  <c r="D558" i="9" s="1"/>
  <c r="D559" i="9" s="1"/>
  <c r="D560" i="9" s="1"/>
  <c r="D561" i="9" s="1"/>
  <c r="D562" i="9" s="1"/>
  <c r="D563" i="9" s="1"/>
  <c r="D564" i="9" s="1"/>
  <c r="D565" i="9"/>
  <c r="D566" i="9" s="1"/>
  <c r="D567" i="9"/>
  <c r="D568" i="9" s="1"/>
  <c r="D569" i="9" s="1"/>
  <c r="D570" i="9"/>
  <c r="D571" i="9" s="1"/>
  <c r="D572" i="9"/>
  <c r="D573" i="9" s="1"/>
  <c r="D574" i="9"/>
  <c r="D575" i="9" s="1"/>
  <c r="D576" i="9"/>
  <c r="D577" i="9" s="1"/>
  <c r="D578" i="9"/>
  <c r="D579" i="9" s="1"/>
  <c r="D580" i="9"/>
  <c r="D581" i="9" s="1"/>
  <c r="D582" i="9"/>
  <c r="D583" i="9" s="1"/>
  <c r="D584" i="9"/>
  <c r="D585" i="9" s="1"/>
  <c r="D586" i="9"/>
  <c r="D587" i="9" s="1"/>
  <c r="D588" i="9" s="1"/>
  <c r="D589" i="9" s="1"/>
  <c r="D590" i="9" s="1"/>
  <c r="D591" i="9" s="1"/>
  <c r="D592" i="9" s="1"/>
  <c r="D593" i="9" s="1"/>
  <c r="D594" i="9" s="1"/>
  <c r="D595" i="9" s="1"/>
  <c r="D596" i="9" s="1"/>
  <c r="D597" i="9" s="1"/>
  <c r="D598" i="9" s="1"/>
  <c r="D599" i="9" s="1"/>
  <c r="D600" i="9" s="1"/>
  <c r="D601" i="9" s="1"/>
  <c r="D602" i="9" s="1"/>
  <c r="D603" i="9" s="1"/>
  <c r="D604" i="9" s="1"/>
  <c r="D605" i="9" s="1"/>
  <c r="D606" i="9"/>
  <c r="D607" i="9" s="1"/>
  <c r="D608" i="9"/>
  <c r="D609" i="9" s="1"/>
  <c r="D610" i="9"/>
  <c r="D611" i="9" s="1"/>
  <c r="D612" i="9"/>
  <c r="D613" i="9" s="1"/>
  <c r="D614" i="9"/>
  <c r="D615" i="9" s="1"/>
  <c r="D616" i="9"/>
  <c r="D617" i="9" s="1"/>
  <c r="D618" i="9"/>
  <c r="D619" i="9" s="1"/>
  <c r="D620" i="9"/>
  <c r="D621" i="9" s="1"/>
  <c r="D622" i="9"/>
  <c r="D623" i="9" s="1"/>
  <c r="D624" i="9"/>
  <c r="D625" i="9" s="1"/>
  <c r="D626" i="9" s="1"/>
  <c r="D627" i="9"/>
  <c r="D628" i="9" s="1"/>
  <c r="D629" i="9" s="1"/>
  <c r="D630" i="9" s="1"/>
  <c r="D631" i="9" s="1"/>
  <c r="D632" i="9" s="1"/>
  <c r="D633" i="9" s="1"/>
  <c r="D634" i="9" s="1"/>
  <c r="D635" i="9" s="1"/>
  <c r="D636" i="9" s="1"/>
  <c r="D637" i="9" s="1"/>
  <c r="D638" i="9"/>
  <c r="D639" i="9" s="1"/>
  <c r="D640" i="9"/>
  <c r="D641" i="9" s="1"/>
  <c r="D642" i="9" s="1"/>
  <c r="D643" i="9" s="1"/>
  <c r="D644" i="9" s="1"/>
  <c r="D645" i="9" s="1"/>
  <c r="D646" i="9" s="1"/>
  <c r="D647" i="9" s="1"/>
  <c r="D648" i="9" s="1"/>
  <c r="D649" i="9" s="1"/>
  <c r="D650" i="9"/>
  <c r="D651" i="9" s="1"/>
  <c r="D652" i="9"/>
  <c r="D653" i="9" s="1"/>
  <c r="D654" i="9"/>
  <c r="D655" i="9" s="1"/>
  <c r="D656" i="9"/>
  <c r="D657" i="9" s="1"/>
  <c r="D658" i="9"/>
  <c r="D659" i="9" s="1"/>
  <c r="D660" i="9"/>
  <c r="D661" i="9" s="1"/>
  <c r="D662" i="9" s="1"/>
  <c r="D663" i="9" s="1"/>
  <c r="D664" i="9" s="1"/>
  <c r="D665" i="9" s="1"/>
  <c r="D666" i="9" s="1"/>
  <c r="D667" i="9" s="1"/>
  <c r="D668" i="9" s="1"/>
  <c r="D669" i="9" s="1"/>
  <c r="D670" i="9" s="1"/>
  <c r="D671" i="9" s="1"/>
  <c r="D672" i="9" s="1"/>
  <c r="D673" i="9"/>
  <c r="D674" i="9" s="1"/>
  <c r="D675" i="9"/>
  <c r="D676" i="9"/>
  <c r="D677" i="9"/>
  <c r="D678" i="9"/>
  <c r="D679" i="9"/>
  <c r="D680" i="9" s="1"/>
  <c r="D681" i="9"/>
  <c r="D682" i="9"/>
  <c r="D683" i="9"/>
  <c r="D684" i="9" s="1"/>
  <c r="D685" i="9"/>
  <c r="D686" i="9"/>
  <c r="D687" i="9" s="1"/>
  <c r="D688" i="9" s="1"/>
  <c r="D689" i="9" s="1"/>
  <c r="D690" i="9"/>
  <c r="D691" i="9" s="1"/>
  <c r="D692" i="9"/>
  <c r="D693" i="9" s="1"/>
  <c r="D694" i="9"/>
  <c r="D695" i="9" s="1"/>
  <c r="D696" i="9"/>
  <c r="D697" i="9"/>
  <c r="D698" i="9"/>
  <c r="D699" i="9"/>
  <c r="D700" i="9"/>
  <c r="D701" i="9" s="1"/>
  <c r="D702" i="9"/>
  <c r="D703" i="9" s="1"/>
  <c r="D704" i="9"/>
  <c r="D705" i="9" s="1"/>
  <c r="D706" i="9"/>
  <c r="D707" i="9"/>
  <c r="D708" i="9"/>
  <c r="D709" i="9" s="1"/>
  <c r="D710" i="9"/>
  <c r="D711" i="9"/>
  <c r="D712" i="9"/>
  <c r="D713" i="9"/>
  <c r="D714" i="9"/>
  <c r="D715" i="9" s="1"/>
  <c r="D716" i="9"/>
  <c r="D717" i="9" s="1"/>
  <c r="D718" i="9"/>
  <c r="D719" i="9" s="1"/>
  <c r="D720" i="9"/>
  <c r="D721" i="9" s="1"/>
  <c r="D722" i="9"/>
  <c r="D723" i="9" s="1"/>
  <c r="D724" i="9"/>
  <c r="D725" i="9" s="1"/>
  <c r="D726" i="9"/>
  <c r="D727" i="9"/>
  <c r="D728" i="9"/>
  <c r="D729" i="9"/>
  <c r="D730" i="9"/>
  <c r="D731" i="9"/>
  <c r="D732" i="9"/>
  <c r="D733" i="9"/>
  <c r="D734" i="9" s="1"/>
  <c r="D735" i="9"/>
  <c r="D736" i="9"/>
  <c r="D737" i="9" s="1"/>
  <c r="D738" i="9"/>
  <c r="D739" i="9"/>
  <c r="D740" i="9" s="1"/>
  <c r="D741" i="9"/>
  <c r="D742" i="9"/>
  <c r="D743" i="9"/>
  <c r="D744" i="9"/>
  <c r="D745" i="9"/>
  <c r="D746" i="9"/>
  <c r="D747" i="9"/>
  <c r="D748" i="9"/>
  <c r="D749" i="9"/>
  <c r="D750" i="9"/>
  <c r="D751" i="9" s="1"/>
  <c r="D752" i="9"/>
  <c r="D753" i="9"/>
  <c r="D754" i="9"/>
  <c r="D755" i="9" s="1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 s="1"/>
  <c r="D801" i="9"/>
  <c r="D802" i="9"/>
  <c r="D803" i="9"/>
  <c r="D804" i="9" s="1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 s="1"/>
  <c r="D890" i="9"/>
  <c r="D891" i="9"/>
  <c r="D892" i="9"/>
  <c r="D893" i="9"/>
  <c r="D894" i="9"/>
  <c r="D895" i="9"/>
  <c r="D896" i="9"/>
  <c r="D897" i="9"/>
  <c r="D898" i="9"/>
  <c r="D899" i="9"/>
  <c r="D900" i="9" s="1"/>
  <c r="D901" i="9"/>
  <c r="D902" i="9"/>
  <c r="D903" i="9"/>
  <c r="D904" i="9"/>
  <c r="D905" i="9"/>
  <c r="D906" i="9"/>
  <c r="D907" i="9"/>
  <c r="D908" i="9"/>
  <c r="D909" i="9"/>
  <c r="D910" i="9"/>
  <c r="D911" i="9"/>
  <c r="D912" i="9"/>
  <c r="D6" i="9"/>
  <c r="D7" i="9" s="1"/>
  <c r="D8" i="9" s="1"/>
  <c r="D9" i="9" s="1"/>
  <c r="C10" i="9"/>
  <c r="C11" i="9" s="1"/>
  <c r="C12" i="9"/>
  <c r="C13" i="9"/>
  <c r="C14" i="9" s="1"/>
  <c r="C15" i="9"/>
  <c r="C16" i="9" s="1"/>
  <c r="C17" i="9"/>
  <c r="C18" i="9" s="1"/>
  <c r="C19" i="9"/>
  <c r="C20" i="9" s="1"/>
  <c r="C21" i="9"/>
  <c r="C22" i="9" s="1"/>
  <c r="C23" i="9" s="1"/>
  <c r="C24" i="9" s="1"/>
  <c r="C25" i="9"/>
  <c r="C26" i="9" s="1"/>
  <c r="C27" i="9" s="1"/>
  <c r="C28" i="9" s="1"/>
  <c r="C29" i="9"/>
  <c r="C30" i="9" s="1"/>
  <c r="C31" i="9" s="1"/>
  <c r="C32" i="9" s="1"/>
  <c r="C33" i="9" s="1"/>
  <c r="C34" i="9"/>
  <c r="C35" i="9"/>
  <c r="C36" i="9" s="1"/>
  <c r="C37" i="9" s="1"/>
  <c r="C38" i="9"/>
  <c r="C39" i="9" s="1"/>
  <c r="C40" i="9"/>
  <c r="C41" i="9" s="1"/>
  <c r="C42" i="9"/>
  <c r="C43" i="9" s="1"/>
  <c r="C44" i="9"/>
  <c r="C45" i="9"/>
  <c r="C46" i="9" s="1"/>
  <c r="C47" i="9"/>
  <c r="C48" i="9" s="1"/>
  <c r="C49" i="9"/>
  <c r="C50" i="9" s="1"/>
  <c r="C51" i="9"/>
  <c r="C52" i="9" s="1"/>
  <c r="C53" i="9"/>
  <c r="C54" i="9" s="1"/>
  <c r="C55" i="9"/>
  <c r="C56" i="9" s="1"/>
  <c r="C57" i="9"/>
  <c r="C58" i="9" s="1"/>
  <c r="C59" i="9"/>
  <c r="C60" i="9" s="1"/>
  <c r="C61" i="9"/>
  <c r="C62" i="9" s="1"/>
  <c r="C63" i="9"/>
  <c r="C64" i="9" s="1"/>
  <c r="C65" i="9"/>
  <c r="C66" i="9" s="1"/>
  <c r="C67" i="9"/>
  <c r="C68" i="9" s="1"/>
  <c r="C69" i="9"/>
  <c r="C70" i="9" s="1"/>
  <c r="C71" i="9" s="1"/>
  <c r="C72" i="9" s="1"/>
  <c r="C73" i="9" s="1"/>
  <c r="C74" i="9" s="1"/>
  <c r="C75" i="9"/>
  <c r="C76" i="9" s="1"/>
  <c r="C77" i="9" s="1"/>
  <c r="C78" i="9" s="1"/>
  <c r="C79" i="9" s="1"/>
  <c r="C80" i="9"/>
  <c r="C81" i="9" s="1"/>
  <c r="C82" i="9"/>
  <c r="C83" i="9" s="1"/>
  <c r="C84" i="9"/>
  <c r="C85" i="9" s="1"/>
  <c r="C86" i="9"/>
  <c r="C87" i="9" s="1"/>
  <c r="C88" i="9" s="1"/>
  <c r="C89" i="9" s="1"/>
  <c r="C90" i="9" s="1"/>
  <c r="C91" i="9" s="1"/>
  <c r="C92" i="9" s="1"/>
  <c r="C93" i="9" s="1"/>
  <c r="C94" i="9"/>
  <c r="C95" i="9" s="1"/>
  <c r="C96" i="9" s="1"/>
  <c r="C97" i="9" s="1"/>
  <c r="C98" i="9" s="1"/>
  <c r="C99" i="9" s="1"/>
  <c r="C100" i="9" s="1"/>
  <c r="C101" i="9"/>
  <c r="C102" i="9" s="1"/>
  <c r="C103" i="9"/>
  <c r="C104" i="9" s="1"/>
  <c r="C105" i="9"/>
  <c r="C106" i="9" s="1"/>
  <c r="C107" i="9"/>
  <c r="C108" i="9" s="1"/>
  <c r="C109" i="9"/>
  <c r="C110" i="9" s="1"/>
  <c r="C111" i="9" s="1"/>
  <c r="C112" i="9" s="1"/>
  <c r="C113" i="9"/>
  <c r="C114" i="9" s="1"/>
  <c r="C115" i="9"/>
  <c r="C116" i="9" s="1"/>
  <c r="C117" i="9"/>
  <c r="C118" i="9" s="1"/>
  <c r="C119" i="9"/>
  <c r="C120" i="9" s="1"/>
  <c r="C121" i="9" s="1"/>
  <c r="C122" i="9" s="1"/>
  <c r="C123" i="9" s="1"/>
  <c r="C124" i="9" s="1"/>
  <c r="C125" i="9" s="1"/>
  <c r="C126" i="9" s="1"/>
  <c r="C127" i="9" s="1"/>
  <c r="C128" i="9"/>
  <c r="C129" i="9"/>
  <c r="C130" i="9"/>
  <c r="C131" i="9"/>
  <c r="C132" i="9" s="1"/>
  <c r="C133" i="9"/>
  <c r="C134" i="9"/>
  <c r="C135" i="9" s="1"/>
  <c r="C136" i="9"/>
  <c r="C137" i="9"/>
  <c r="C138" i="9" s="1"/>
  <c r="C139" i="9" s="1"/>
  <c r="C140" i="9" s="1"/>
  <c r="C141" i="9"/>
  <c r="C142" i="9" s="1"/>
  <c r="C143" i="9"/>
  <c r="C144" i="9" s="1"/>
  <c r="C145" i="9"/>
  <c r="C146" i="9" s="1"/>
  <c r="C147" i="9"/>
  <c r="C148" i="9" s="1"/>
  <c r="C149" i="9" s="1"/>
  <c r="C150" i="9" s="1"/>
  <c r="C151" i="9"/>
  <c r="C152" i="9" s="1"/>
  <c r="C153" i="9"/>
  <c r="C154" i="9" s="1"/>
  <c r="C155" i="9" s="1"/>
  <c r="C156" i="9" s="1"/>
  <c r="C157" i="9" s="1"/>
  <c r="C158" i="9" s="1"/>
  <c r="C159" i="9"/>
  <c r="C160" i="9"/>
  <c r="C161" i="9"/>
  <c r="C162" i="9" s="1"/>
  <c r="C163" i="9"/>
  <c r="C164" i="9" s="1"/>
  <c r="C165" i="9" s="1"/>
  <c r="C166" i="9" s="1"/>
  <c r="C167" i="9" s="1"/>
  <c r="C168" i="9"/>
  <c r="C169" i="9" s="1"/>
  <c r="C170" i="9"/>
  <c r="C171" i="9" s="1"/>
  <c r="C172" i="9" s="1"/>
  <c r="C173" i="9" s="1"/>
  <c r="C174" i="9"/>
  <c r="C175" i="9" s="1"/>
  <c r="C176" i="9" s="1"/>
  <c r="C177" i="9" s="1"/>
  <c r="C178" i="9" s="1"/>
  <c r="C179" i="9" s="1"/>
  <c r="C180" i="9" s="1"/>
  <c r="C181" i="9" s="1"/>
  <c r="C182" i="9" s="1"/>
  <c r="C183" i="9" s="1"/>
  <c r="C184" i="9"/>
  <c r="C185" i="9" s="1"/>
  <c r="C186" i="9"/>
  <c r="C187" i="9" s="1"/>
  <c r="C188" i="9"/>
  <c r="C189" i="9" s="1"/>
  <c r="C190" i="9"/>
  <c r="C191" i="9" s="1"/>
  <c r="C192" i="9"/>
  <c r="C193" i="9" s="1"/>
  <c r="C194" i="9" s="1"/>
  <c r="C195" i="9" s="1"/>
  <c r="C196" i="9"/>
  <c r="C197" i="9" s="1"/>
  <c r="C198" i="9" s="1"/>
  <c r="C199" i="9"/>
  <c r="C200" i="9" s="1"/>
  <c r="C201" i="9" s="1"/>
  <c r="C202" i="9" s="1"/>
  <c r="C203" i="9" s="1"/>
  <c r="C204" i="9" s="1"/>
  <c r="C205" i="9" s="1"/>
  <c r="C206" i="9" s="1"/>
  <c r="C207" i="9" s="1"/>
  <c r="C208" i="9" s="1"/>
  <c r="C209" i="9"/>
  <c r="C210" i="9" s="1"/>
  <c r="C211" i="9" s="1"/>
  <c r="C212" i="9" s="1"/>
  <c r="C213" i="9" s="1"/>
  <c r="C214" i="9" s="1"/>
  <c r="C215" i="9"/>
  <c r="C216" i="9" s="1"/>
  <c r="C217" i="9"/>
  <c r="C218" i="9" s="1"/>
  <c r="C219" i="9" s="1"/>
  <c r="C220" i="9" s="1"/>
  <c r="C221" i="9"/>
  <c r="C222" i="9" s="1"/>
  <c r="C223" i="9" s="1"/>
  <c r="C224" i="9" s="1"/>
  <c r="C225" i="9" s="1"/>
  <c r="C226" i="9" s="1"/>
  <c r="C227" i="9" s="1"/>
  <c r="C228" i="9" s="1"/>
  <c r="C229" i="9" s="1"/>
  <c r="C230" i="9" s="1"/>
  <c r="C231" i="9" s="1"/>
  <c r="C232" i="9" s="1"/>
  <c r="C233" i="9" s="1"/>
  <c r="C234" i="9" s="1"/>
  <c r="C235" i="9" s="1"/>
  <c r="C236" i="9" s="1"/>
  <c r="C237" i="9" s="1"/>
  <c r="C238" i="9" s="1"/>
  <c r="C239" i="9" s="1"/>
  <c r="C240" i="9" s="1"/>
  <c r="C241" i="9" s="1"/>
  <c r="C242" i="9"/>
  <c r="C243" i="9" s="1"/>
  <c r="C244" i="9" s="1"/>
  <c r="C245" i="9" s="1"/>
  <c r="C246" i="9" s="1"/>
  <c r="C247" i="9" s="1"/>
  <c r="C248" i="9" s="1"/>
  <c r="C249" i="9" s="1"/>
  <c r="C250" i="9" s="1"/>
  <c r="C251" i="9" s="1"/>
  <c r="C252" i="9" s="1"/>
  <c r="C253" i="9" s="1"/>
  <c r="C254" i="9" s="1"/>
  <c r="C255" i="9" s="1"/>
  <c r="C256" i="9" s="1"/>
  <c r="C257" i="9"/>
  <c r="C258" i="9" s="1"/>
  <c r="C259" i="9"/>
  <c r="C260" i="9" s="1"/>
  <c r="C261" i="9"/>
  <c r="C262" i="9" s="1"/>
  <c r="C263" i="9"/>
  <c r="C264" i="9" s="1"/>
  <c r="C265" i="9" s="1"/>
  <c r="C266" i="9"/>
  <c r="C267" i="9" s="1"/>
  <c r="C268" i="9"/>
  <c r="C269" i="9" s="1"/>
  <c r="C270" i="9"/>
  <c r="C271" i="9" s="1"/>
  <c r="C272" i="9"/>
  <c r="C273" i="9" s="1"/>
  <c r="C274" i="9" s="1"/>
  <c r="C275" i="9" s="1"/>
  <c r="C276" i="9" s="1"/>
  <c r="C277" i="9" s="1"/>
  <c r="C278" i="9" s="1"/>
  <c r="C279" i="9" s="1"/>
  <c r="C280" i="9" s="1"/>
  <c r="C281" i="9" s="1"/>
  <c r="C282" i="9" s="1"/>
  <c r="C283" i="9" s="1"/>
  <c r="C284" i="9" s="1"/>
  <c r="C285" i="9" s="1"/>
  <c r="C286" i="9" s="1"/>
  <c r="C287" i="9" s="1"/>
  <c r="C288" i="9" s="1"/>
  <c r="C289" i="9" s="1"/>
  <c r="C290" i="9"/>
  <c r="C291" i="9" s="1"/>
  <c r="C292" i="9"/>
  <c r="C293" i="9" s="1"/>
  <c r="C294" i="9"/>
  <c r="C295" i="9" s="1"/>
  <c r="C296" i="9"/>
  <c r="C297" i="9" s="1"/>
  <c r="C298" i="9"/>
  <c r="C299" i="9" s="1"/>
  <c r="C300" i="9"/>
  <c r="C301" i="9" s="1"/>
  <c r="C302" i="9"/>
  <c r="C303" i="9" s="1"/>
  <c r="C304" i="9" s="1"/>
  <c r="C305" i="9"/>
  <c r="C306" i="9" s="1"/>
  <c r="C307" i="9"/>
  <c r="C308" i="9" s="1"/>
  <c r="C309" i="9"/>
  <c r="C310" i="9" s="1"/>
  <c r="C311" i="9"/>
  <c r="C312" i="9" s="1"/>
  <c r="C313" i="9"/>
  <c r="C314" i="9" s="1"/>
  <c r="C315" i="9"/>
  <c r="C316" i="9" s="1"/>
  <c r="C317" i="9" s="1"/>
  <c r="C318" i="9"/>
  <c r="C319" i="9" s="1"/>
  <c r="C320" i="9"/>
  <c r="C321" i="9" s="1"/>
  <c r="C322" i="9"/>
  <c r="C323" i="9" s="1"/>
  <c r="C324" i="9"/>
  <c r="C325" i="9" s="1"/>
  <c r="C326" i="9"/>
  <c r="C327" i="9" s="1"/>
  <c r="C328" i="9"/>
  <c r="C329" i="9"/>
  <c r="C330" i="9" s="1"/>
  <c r="C331" i="9" s="1"/>
  <c r="C332" i="9" s="1"/>
  <c r="C333" i="9" s="1"/>
  <c r="C334" i="9" s="1"/>
  <c r="C335" i="9" s="1"/>
  <c r="C336" i="9" s="1"/>
  <c r="C337" i="9" s="1"/>
  <c r="C338" i="9" s="1"/>
  <c r="C339" i="9"/>
  <c r="C340" i="9" s="1"/>
  <c r="C341" i="9" s="1"/>
  <c r="C342" i="9"/>
  <c r="C343" i="9" s="1"/>
  <c r="C344" i="9"/>
  <c r="C345" i="9" s="1"/>
  <c r="C346" i="9"/>
  <c r="C347" i="9" s="1"/>
  <c r="C348" i="9"/>
  <c r="C349" i="9" s="1"/>
  <c r="C350" i="9"/>
  <c r="C351" i="9" s="1"/>
  <c r="C352" i="9"/>
  <c r="C353" i="9" s="1"/>
  <c r="C354" i="9"/>
  <c r="C355" i="9" s="1"/>
  <c r="C356" i="9" s="1"/>
  <c r="C357" i="9" s="1"/>
  <c r="C358" i="9"/>
  <c r="C359" i="9" s="1"/>
  <c r="C360" i="9" s="1"/>
  <c r="C361" i="9" s="1"/>
  <c r="C362" i="9" s="1"/>
  <c r="C363" i="9"/>
  <c r="C364" i="9" s="1"/>
  <c r="C365" i="9"/>
  <c r="C366" i="9" s="1"/>
  <c r="C367" i="9"/>
  <c r="C368" i="9" s="1"/>
  <c r="C369" i="9" s="1"/>
  <c r="C370" i="9" s="1"/>
  <c r="C371" i="9"/>
  <c r="C372" i="9" s="1"/>
  <c r="C373" i="9"/>
  <c r="C374" i="9" s="1"/>
  <c r="C375" i="9"/>
  <c r="C376" i="9" s="1"/>
  <c r="C377" i="9"/>
  <c r="C378" i="9" s="1"/>
  <c r="C379" i="9" s="1"/>
  <c r="C380" i="9" s="1"/>
  <c r="C381" i="9"/>
  <c r="C382" i="9" s="1"/>
  <c r="C383" i="9"/>
  <c r="C384" i="9" s="1"/>
  <c r="C385" i="9"/>
  <c r="C386" i="9" s="1"/>
  <c r="C387" i="9"/>
  <c r="C388" i="9" s="1"/>
  <c r="C389" i="9"/>
  <c r="C390" i="9" s="1"/>
  <c r="C391" i="9"/>
  <c r="C392" i="9" s="1"/>
  <c r="C393" i="9"/>
  <c r="C394" i="9" s="1"/>
  <c r="C395" i="9"/>
  <c r="C396" i="9" s="1"/>
  <c r="C397" i="9"/>
  <c r="C398" i="9" s="1"/>
  <c r="C399" i="9"/>
  <c r="C400" i="9" s="1"/>
  <c r="C401" i="9" s="1"/>
  <c r="C402" i="9" s="1"/>
  <c r="C403" i="9"/>
  <c r="C404" i="9" s="1"/>
  <c r="C405" i="9"/>
  <c r="C406" i="9" s="1"/>
  <c r="C407" i="9" s="1"/>
  <c r="C408" i="9" s="1"/>
  <c r="C409" i="9"/>
  <c r="C410" i="9" s="1"/>
  <c r="C411" i="9"/>
  <c r="C412" i="9" s="1"/>
  <c r="C413" i="9"/>
  <c r="C414" i="9"/>
  <c r="C415" i="9" s="1"/>
  <c r="C416" i="9" s="1"/>
  <c r="C417" i="9" s="1"/>
  <c r="C418" i="9"/>
  <c r="C419" i="9" s="1"/>
  <c r="C420" i="9"/>
  <c r="C421" i="9"/>
  <c r="C422" i="9" s="1"/>
  <c r="C423" i="9"/>
  <c r="C424" i="9" s="1"/>
  <c r="C425" i="9"/>
  <c r="C426" i="9" s="1"/>
  <c r="C427" i="9"/>
  <c r="C428" i="9" s="1"/>
  <c r="C429" i="9"/>
  <c r="C430" i="9" s="1"/>
  <c r="C431" i="9" s="1"/>
  <c r="C432" i="9" s="1"/>
  <c r="C433" i="9" s="1"/>
  <c r="C434" i="9" s="1"/>
  <c r="C435" i="9" s="1"/>
  <c r="C436" i="9" s="1"/>
  <c r="C437" i="9" s="1"/>
  <c r="C438" i="9" s="1"/>
  <c r="C439" i="9" s="1"/>
  <c r="C440" i="9" s="1"/>
  <c r="C441" i="9" s="1"/>
  <c r="C442" i="9" s="1"/>
  <c r="C443" i="9" s="1"/>
  <c r="C444" i="9" s="1"/>
  <c r="C445" i="9" s="1"/>
  <c r="C446" i="9" s="1"/>
  <c r="C447" i="9" s="1"/>
  <c r="C448" i="9" s="1"/>
  <c r="C449" i="9" s="1"/>
  <c r="C450" i="9"/>
  <c r="C451" i="9" s="1"/>
  <c r="C452" i="9"/>
  <c r="C453" i="9" s="1"/>
  <c r="C454" i="9" s="1"/>
  <c r="C455" i="9" s="1"/>
  <c r="C456" i="9" s="1"/>
  <c r="C457" i="9"/>
  <c r="C458" i="9" s="1"/>
  <c r="C459" i="9"/>
  <c r="C460" i="9" s="1"/>
  <c r="C461" i="9" s="1"/>
  <c r="C462" i="9" s="1"/>
  <c r="C463" i="9" s="1"/>
  <c r="C464" i="9"/>
  <c r="C465" i="9" s="1"/>
  <c r="C466" i="9"/>
  <c r="C467" i="9" s="1"/>
  <c r="C468" i="9"/>
  <c r="C469" i="9" s="1"/>
  <c r="C470" i="9"/>
  <c r="C471" i="9" s="1"/>
  <c r="C472" i="9"/>
  <c r="C473" i="9" s="1"/>
  <c r="C474" i="9"/>
  <c r="C475" i="9" s="1"/>
  <c r="C476" i="9"/>
  <c r="C477" i="9" s="1"/>
  <c r="C478" i="9"/>
  <c r="C479" i="9" s="1"/>
  <c r="C480" i="9"/>
  <c r="C481" i="9" s="1"/>
  <c r="C482" i="9"/>
  <c r="C483" i="9" s="1"/>
  <c r="C484" i="9"/>
  <c r="C485" i="9" s="1"/>
  <c r="C486" i="9"/>
  <c r="C487" i="9" s="1"/>
  <c r="C488" i="9"/>
  <c r="C489" i="9" s="1"/>
  <c r="C490" i="9"/>
  <c r="C491" i="9" s="1"/>
  <c r="C492" i="9"/>
  <c r="C493" i="9" s="1"/>
  <c r="C494" i="9" s="1"/>
  <c r="C495" i="9" s="1"/>
  <c r="C496" i="9"/>
  <c r="C497" i="9" s="1"/>
  <c r="C498" i="9"/>
  <c r="C499" i="9" s="1"/>
  <c r="C500" i="9"/>
  <c r="C501" i="9" s="1"/>
  <c r="C502" i="9"/>
  <c r="C503" i="9" s="1"/>
  <c r="C504" i="9"/>
  <c r="C505" i="9" s="1"/>
  <c r="C506" i="9"/>
  <c r="C507" i="9" s="1"/>
  <c r="C508" i="9" s="1"/>
  <c r="C509" i="9" s="1"/>
  <c r="C510" i="9" s="1"/>
  <c r="C511" i="9" s="1"/>
  <c r="C512" i="9" s="1"/>
  <c r="C513" i="9" s="1"/>
  <c r="C514" i="9" s="1"/>
  <c r="C515" i="9" s="1"/>
  <c r="C516" i="9"/>
  <c r="C517" i="9" s="1"/>
  <c r="C518" i="9" s="1"/>
  <c r="C519" i="9"/>
  <c r="C520" i="9" s="1"/>
  <c r="C521" i="9" s="1"/>
  <c r="C522" i="9"/>
  <c r="C523" i="9" s="1"/>
  <c r="C524" i="9"/>
  <c r="C525" i="9" s="1"/>
  <c r="C526" i="9"/>
  <c r="C527" i="9" s="1"/>
  <c r="C528" i="9" s="1"/>
  <c r="C529" i="9"/>
  <c r="C530" i="9" s="1"/>
  <c r="C531" i="9"/>
  <c r="C532" i="9" s="1"/>
  <c r="C533" i="9" s="1"/>
  <c r="C534" i="9" s="1"/>
  <c r="C535" i="9"/>
  <c r="C536" i="9" s="1"/>
  <c r="C537" i="9" s="1"/>
  <c r="C538" i="9"/>
  <c r="C539" i="9" s="1"/>
  <c r="C540" i="9"/>
  <c r="C541" i="9" s="1"/>
  <c r="C542" i="9" s="1"/>
  <c r="C543" i="9" s="1"/>
  <c r="C544" i="9" s="1"/>
  <c r="C545" i="9" s="1"/>
  <c r="C546" i="9" s="1"/>
  <c r="C547" i="9"/>
  <c r="C548" i="9" s="1"/>
  <c r="C549" i="9" s="1"/>
  <c r="C550" i="9" s="1"/>
  <c r="C551" i="9" s="1"/>
  <c r="C552" i="9" s="1"/>
  <c r="C553" i="9"/>
  <c r="C554" i="9" s="1"/>
  <c r="C555" i="9" s="1"/>
  <c r="C556" i="9"/>
  <c r="C557" i="9" s="1"/>
  <c r="C558" i="9"/>
  <c r="C559" i="9" s="1"/>
  <c r="C560" i="9"/>
  <c r="C561" i="9" s="1"/>
  <c r="C562" i="9"/>
  <c r="C563" i="9" s="1"/>
  <c r="C564" i="9"/>
  <c r="C565" i="9" s="1"/>
  <c r="C566" i="9"/>
  <c r="C567" i="9" s="1"/>
  <c r="C568" i="9" s="1"/>
  <c r="C569" i="9" s="1"/>
  <c r="C570" i="9" s="1"/>
  <c r="C571" i="9" s="1"/>
  <c r="C572" i="9" s="1"/>
  <c r="C573" i="9" s="1"/>
  <c r="C574" i="9" s="1"/>
  <c r="C575" i="9"/>
  <c r="C576" i="9" s="1"/>
  <c r="C577" i="9" s="1"/>
  <c r="C578" i="9" s="1"/>
  <c r="C579" i="9"/>
  <c r="C580" i="9" s="1"/>
  <c r="C581" i="9"/>
  <c r="C582" i="9" s="1"/>
  <c r="C583" i="9"/>
  <c r="C584" i="9" s="1"/>
  <c r="C585" i="9"/>
  <c r="C586" i="9" s="1"/>
  <c r="C587" i="9"/>
  <c r="C588" i="9" s="1"/>
  <c r="C589" i="9"/>
  <c r="C590" i="9" s="1"/>
  <c r="C591" i="9"/>
  <c r="C592" i="9" s="1"/>
  <c r="C593" i="9" s="1"/>
  <c r="C594" i="9" s="1"/>
  <c r="C595" i="9" s="1"/>
  <c r="C596" i="9" s="1"/>
  <c r="C597" i="9" s="1"/>
  <c r="C598" i="9" s="1"/>
  <c r="C599" i="9" s="1"/>
  <c r="C600" i="9" s="1"/>
  <c r="C601" i="9" s="1"/>
  <c r="C602" i="9" s="1"/>
  <c r="C603" i="9" s="1"/>
  <c r="C604" i="9" s="1"/>
  <c r="C605" i="9"/>
  <c r="C606" i="9" s="1"/>
  <c r="C607" i="9" s="1"/>
  <c r="C608" i="9" s="1"/>
  <c r="C609" i="9"/>
  <c r="C610" i="9" s="1"/>
  <c r="C611" i="9"/>
  <c r="C612" i="9" s="1"/>
  <c r="C613" i="9"/>
  <c r="C614" i="9" s="1"/>
  <c r="C615" i="9"/>
  <c r="C616" i="9" s="1"/>
  <c r="C617" i="9"/>
  <c r="C618" i="9" s="1"/>
  <c r="C619" i="9"/>
  <c r="C620" i="9" s="1"/>
  <c r="C621" i="9"/>
  <c r="C622" i="9" s="1"/>
  <c r="C623" i="9"/>
  <c r="C624" i="9" s="1"/>
  <c r="C625" i="9" s="1"/>
  <c r="C626" i="9" s="1"/>
  <c r="C627" i="9" s="1"/>
  <c r="C628" i="9" s="1"/>
  <c r="C629" i="9" s="1"/>
  <c r="C630" i="9" s="1"/>
  <c r="C631" i="9"/>
  <c r="C632" i="9" s="1"/>
  <c r="C633" i="9"/>
  <c r="C634" i="9" s="1"/>
  <c r="C635" i="9" s="1"/>
  <c r="C636" i="9" s="1"/>
  <c r="C637" i="9" s="1"/>
  <c r="C638" i="9" s="1"/>
  <c r="C639" i="9"/>
  <c r="C640" i="9" s="1"/>
  <c r="C641" i="9"/>
  <c r="C642" i="9" s="1"/>
  <c r="C643" i="9"/>
  <c r="C644" i="9" s="1"/>
  <c r="C645" i="9" s="1"/>
  <c r="C646" i="9" s="1"/>
  <c r="C647" i="9" s="1"/>
  <c r="C648" i="9" s="1"/>
  <c r="C649" i="9"/>
  <c r="C650" i="9" s="1"/>
  <c r="C651" i="9"/>
  <c r="C652" i="9" s="1"/>
  <c r="C653" i="9"/>
  <c r="C654" i="9" s="1"/>
  <c r="C655" i="9"/>
  <c r="C656" i="9" s="1"/>
  <c r="C657" i="9"/>
  <c r="C658" i="9" s="1"/>
  <c r="C659" i="9"/>
  <c r="C660" i="9" s="1"/>
  <c r="C661" i="9"/>
  <c r="C662" i="9" s="1"/>
  <c r="C663" i="9" s="1"/>
  <c r="C664" i="9" s="1"/>
  <c r="C665" i="9"/>
  <c r="C666" i="9" s="1"/>
  <c r="C667" i="9" s="1"/>
  <c r="C668" i="9"/>
  <c r="C669" i="9" s="1"/>
  <c r="C670" i="9" s="1"/>
  <c r="C671" i="9" s="1"/>
  <c r="C672" i="9"/>
  <c r="C673" i="9" s="1"/>
  <c r="C674" i="9"/>
  <c r="C675" i="9"/>
  <c r="C676" i="9"/>
  <c r="C677" i="9"/>
  <c r="C678" i="9"/>
  <c r="C679" i="9"/>
  <c r="C680" i="9"/>
  <c r="C681" i="9"/>
  <c r="C682" i="9"/>
  <c r="C683" i="9"/>
  <c r="C684" i="9"/>
  <c r="C685" i="9" s="1"/>
  <c r="C686" i="9"/>
  <c r="C687" i="9"/>
  <c r="C688" i="9" s="1"/>
  <c r="C689" i="9" s="1"/>
  <c r="C690" i="9" s="1"/>
  <c r="C691" i="9" s="1"/>
  <c r="C692" i="9" s="1"/>
  <c r="C693" i="9"/>
  <c r="C694" i="9" s="1"/>
  <c r="C695" i="9"/>
  <c r="C696" i="9"/>
  <c r="C697" i="9"/>
  <c r="C698" i="9"/>
  <c r="C699" i="9"/>
  <c r="C700" i="9"/>
  <c r="C701" i="9"/>
  <c r="C702" i="9" s="1"/>
  <c r="C703" i="9"/>
  <c r="C704" i="9" s="1"/>
  <c r="C705" i="9"/>
  <c r="C706" i="9" s="1"/>
  <c r="C707" i="9"/>
  <c r="C708" i="9" s="1"/>
  <c r="C709" i="9"/>
  <c r="C710" i="9" s="1"/>
  <c r="C711" i="9"/>
  <c r="C712" i="9"/>
  <c r="C713" i="9"/>
  <c r="C714" i="9" s="1"/>
  <c r="C715" i="9"/>
  <c r="C716" i="9"/>
  <c r="C717" i="9"/>
  <c r="C718" i="9" s="1"/>
  <c r="C719" i="9"/>
  <c r="C720" i="9" s="1"/>
  <c r="C721" i="9"/>
  <c r="C722" i="9" s="1"/>
  <c r="C723" i="9"/>
  <c r="C724" i="9" s="1"/>
  <c r="C725" i="9"/>
  <c r="C726" i="9"/>
  <c r="C727" i="9"/>
  <c r="C728" i="9"/>
  <c r="C729" i="9"/>
  <c r="C730" i="9"/>
  <c r="C731" i="9"/>
  <c r="C732" i="9"/>
  <c r="C733" i="9"/>
  <c r="C734" i="9"/>
  <c r="C735" i="9"/>
  <c r="C736" i="9" s="1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 s="1"/>
  <c r="C752" i="9" s="1"/>
  <c r="C753" i="9"/>
  <c r="C754" i="9"/>
  <c r="C755" i="9" s="1"/>
  <c r="C756" i="9"/>
  <c r="C757" i="9"/>
  <c r="C758" i="9"/>
  <c r="C759" i="9"/>
  <c r="C760" i="9"/>
  <c r="C761" i="9"/>
  <c r="C762" i="9"/>
  <c r="C763" i="9"/>
  <c r="C764" i="9"/>
  <c r="C765" i="9" s="1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 s="1"/>
  <c r="C789" i="9"/>
  <c r="C790" i="9"/>
  <c r="C791" i="9"/>
  <c r="C792" i="9"/>
  <c r="C793" i="9"/>
  <c r="C794" i="9"/>
  <c r="C795" i="9"/>
  <c r="C796" i="9"/>
  <c r="C797" i="9"/>
  <c r="C798" i="9"/>
  <c r="C799" i="9"/>
  <c r="C800" i="9" s="1"/>
  <c r="C801" i="9"/>
  <c r="C802" i="9"/>
  <c r="C803" i="9"/>
  <c r="C804" i="9" s="1"/>
  <c r="C805" i="9" s="1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 s="1"/>
  <c r="C890" i="9"/>
  <c r="C891" i="9"/>
  <c r="C892" i="9"/>
  <c r="C893" i="9"/>
  <c r="C894" i="9"/>
  <c r="C895" i="9"/>
  <c r="C896" i="9"/>
  <c r="C897" i="9"/>
  <c r="C898" i="9"/>
  <c r="C899" i="9"/>
  <c r="C900" i="9" s="1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 s="1"/>
  <c r="C6" i="9"/>
  <c r="C7" i="9" s="1"/>
  <c r="C8" i="9" s="1"/>
  <c r="C9" i="9" s="1"/>
  <c r="B22" i="9"/>
  <c r="B23" i="9" s="1"/>
  <c r="B24" i="9"/>
  <c r="B25" i="9" s="1"/>
  <c r="B26" i="9"/>
  <c r="B27" i="9" s="1"/>
  <c r="B28" i="9" s="1"/>
  <c r="B29" i="9" s="1"/>
  <c r="B30" i="9" s="1"/>
  <c r="B31" i="9" s="1"/>
  <c r="B32" i="9" s="1"/>
  <c r="B33" i="9" s="1"/>
  <c r="B34" i="9"/>
  <c r="B35" i="9"/>
  <c r="B36" i="9" s="1"/>
  <c r="B37" i="9"/>
  <c r="B38" i="9" s="1"/>
  <c r="B39" i="9"/>
  <c r="B40" i="9" s="1"/>
  <c r="B41" i="9"/>
  <c r="B42" i="9" s="1"/>
  <c r="B43" i="9" s="1"/>
  <c r="B44" i="9" s="1"/>
  <c r="B45" i="9" s="1"/>
  <c r="B46" i="9"/>
  <c r="B47" i="9" s="1"/>
  <c r="B48" i="9"/>
  <c r="B49" i="9" s="1"/>
  <c r="B50" i="9"/>
  <c r="B51" i="9" s="1"/>
  <c r="B52" i="9" s="1"/>
  <c r="B53" i="9" s="1"/>
  <c r="B54" i="9"/>
  <c r="B55" i="9" s="1"/>
  <c r="B56" i="9"/>
  <c r="B57" i="9" s="1"/>
  <c r="B58" i="9"/>
  <c r="B59" i="9" s="1"/>
  <c r="B60" i="9"/>
  <c r="B61" i="9" s="1"/>
  <c r="B62" i="9"/>
  <c r="B63" i="9" s="1"/>
  <c r="B64" i="9"/>
  <c r="B65" i="9" s="1"/>
  <c r="B66" i="9"/>
  <c r="B67" i="9" s="1"/>
  <c r="B68" i="9"/>
  <c r="B69" i="9" s="1"/>
  <c r="B70" i="9" s="1"/>
  <c r="B71" i="9"/>
  <c r="B72" i="9" s="1"/>
  <c r="B73" i="9" s="1"/>
  <c r="B74" i="9" s="1"/>
  <c r="B75" i="9" s="1"/>
  <c r="B76" i="9"/>
  <c r="B77" i="9"/>
  <c r="B78" i="9" s="1"/>
  <c r="B79" i="9"/>
  <c r="B80" i="9" s="1"/>
  <c r="B81" i="9"/>
  <c r="B82" i="9" s="1"/>
  <c r="B83" i="9" s="1"/>
  <c r="B84" i="9" s="1"/>
  <c r="B85" i="9"/>
  <c r="B86" i="9" s="1"/>
  <c r="B87" i="9"/>
  <c r="B88" i="9" s="1"/>
  <c r="B89" i="9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/>
  <c r="B103" i="9" s="1"/>
  <c r="B104" i="9"/>
  <c r="B105" i="9" s="1"/>
  <c r="B106" i="9"/>
  <c r="B107" i="9" s="1"/>
  <c r="B108" i="9"/>
  <c r="B109" i="9" s="1"/>
  <c r="B110" i="9"/>
  <c r="B111" i="9" s="1"/>
  <c r="B112" i="9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/>
  <c r="B161" i="9" s="1"/>
  <c r="B162" i="9" s="1"/>
  <c r="B163" i="9" s="1"/>
  <c r="B164" i="9" s="1"/>
  <c r="B165" i="9"/>
  <c r="B166" i="9"/>
  <c r="B167" i="9" s="1"/>
  <c r="B168" i="9" s="1"/>
  <c r="B169" i="9" s="1"/>
  <c r="B170" i="9" s="1"/>
  <c r="B171" i="9" s="1"/>
  <c r="B172" i="9" s="1"/>
  <c r="B173" i="9" s="1"/>
  <c r="B174" i="9" s="1"/>
  <c r="B175" i="9" s="1"/>
  <c r="B176" i="9"/>
  <c r="B177" i="9" s="1"/>
  <c r="B178" i="9" s="1"/>
  <c r="B179" i="9" s="1"/>
  <c r="B180" i="9"/>
  <c r="B181" i="9" s="1"/>
  <c r="B182" i="9"/>
  <c r="B183" i="9" s="1"/>
  <c r="B184" i="9" s="1"/>
  <c r="B185" i="9" s="1"/>
  <c r="B186" i="9"/>
  <c r="B187" i="9" s="1"/>
  <c r="B188" i="9"/>
  <c r="B189" i="9" s="1"/>
  <c r="B190" i="9" s="1"/>
  <c r="B191" i="9" s="1"/>
  <c r="B192" i="9" s="1"/>
  <c r="B193" i="9" s="1"/>
  <c r="B194" i="9"/>
  <c r="B195" i="9" s="1"/>
  <c r="B196" i="9"/>
  <c r="B197" i="9"/>
  <c r="B198" i="9" s="1"/>
  <c r="B199" i="9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216" i="9" s="1"/>
  <c r="B217" i="9" s="1"/>
  <c r="B218" i="9" s="1"/>
  <c r="B219" i="9" s="1"/>
  <c r="B220" i="9" s="1"/>
  <c r="B221" i="9" s="1"/>
  <c r="B222" i="9" s="1"/>
  <c r="B223" i="9" s="1"/>
  <c r="B224" i="9" s="1"/>
  <c r="B225" i="9" s="1"/>
  <c r="B226" i="9" s="1"/>
  <c r="B227" i="9" s="1"/>
  <c r="B228" i="9" s="1"/>
  <c r="B229" i="9"/>
  <c r="B230" i="9" s="1"/>
  <c r="B231" i="9" s="1"/>
  <c r="B232" i="9"/>
  <c r="B233" i="9" s="1"/>
  <c r="B234" i="9"/>
  <c r="B235" i="9" s="1"/>
  <c r="B236" i="9" s="1"/>
  <c r="B237" i="9" s="1"/>
  <c r="B238" i="9" s="1"/>
  <c r="B239" i="9" s="1"/>
  <c r="B240" i="9" s="1"/>
  <c r="B241" i="9" s="1"/>
  <c r="B242" i="9" s="1"/>
  <c r="B243" i="9" s="1"/>
  <c r="B244" i="9" s="1"/>
  <c r="B245" i="9" s="1"/>
  <c r="B246" i="9" s="1"/>
  <c r="B247" i="9" s="1"/>
  <c r="B248" i="9" s="1"/>
  <c r="B249" i="9" s="1"/>
  <c r="B250" i="9" s="1"/>
  <c r="B251" i="9" s="1"/>
  <c r="B252" i="9" s="1"/>
  <c r="B253" i="9" s="1"/>
  <c r="B254" i="9" s="1"/>
  <c r="B255" i="9" s="1"/>
  <c r="B256" i="9" s="1"/>
  <c r="B257" i="9" s="1"/>
  <c r="B258" i="9" s="1"/>
  <c r="B259" i="9" s="1"/>
  <c r="B260" i="9"/>
  <c r="B261" i="9" s="1"/>
  <c r="B262" i="9" s="1"/>
  <c r="B263" i="9" s="1"/>
  <c r="B264" i="9" s="1"/>
  <c r="B265" i="9" s="1"/>
  <c r="B266" i="9" s="1"/>
  <c r="B267" i="9" s="1"/>
  <c r="B268" i="9" s="1"/>
  <c r="B269" i="9" s="1"/>
  <c r="B270" i="9" s="1"/>
  <c r="B271" i="9" s="1"/>
  <c r="B272" i="9" s="1"/>
  <c r="B273" i="9" s="1"/>
  <c r="B274" i="9" s="1"/>
  <c r="B275" i="9" s="1"/>
  <c r="B276" i="9" s="1"/>
  <c r="B277" i="9" s="1"/>
  <c r="B278" i="9" s="1"/>
  <c r="B279" i="9" s="1"/>
  <c r="B280" i="9" s="1"/>
  <c r="B281" i="9" s="1"/>
  <c r="B282" i="9" s="1"/>
  <c r="B283" i="9" s="1"/>
  <c r="B284" i="9" s="1"/>
  <c r="B285" i="9" s="1"/>
  <c r="B286" i="9" s="1"/>
  <c r="B287" i="9" s="1"/>
  <c r="B288" i="9"/>
  <c r="B289" i="9" s="1"/>
  <c r="B290" i="9" s="1"/>
  <c r="B291" i="9" s="1"/>
  <c r="B292" i="9" s="1"/>
  <c r="B293" i="9" s="1"/>
  <c r="B294" i="9" s="1"/>
  <c r="B295" i="9" s="1"/>
  <c r="B296" i="9" s="1"/>
  <c r="B297" i="9" s="1"/>
  <c r="B298" i="9" s="1"/>
  <c r="B299" i="9" s="1"/>
  <c r="B300" i="9" s="1"/>
  <c r="B301" i="9"/>
  <c r="B302" i="9" s="1"/>
  <c r="B303" i="9" s="1"/>
  <c r="B304" i="9" s="1"/>
  <c r="B305" i="9" s="1"/>
  <c r="B306" i="9" s="1"/>
  <c r="B307" i="9" s="1"/>
  <c r="B308" i="9" s="1"/>
  <c r="B309" i="9" s="1"/>
  <c r="B310" i="9" s="1"/>
  <c r="B311" i="9" s="1"/>
  <c r="B312" i="9" s="1"/>
  <c r="B313" i="9" s="1"/>
  <c r="B314" i="9" s="1"/>
  <c r="B315" i="9" s="1"/>
  <c r="B316" i="9" s="1"/>
  <c r="B317" i="9"/>
  <c r="B318" i="9" s="1"/>
  <c r="B319" i="9"/>
  <c r="B320" i="9" s="1"/>
  <c r="B321" i="9"/>
  <c r="B322" i="9" s="1"/>
  <c r="B323" i="9"/>
  <c r="B324" i="9" s="1"/>
  <c r="B325" i="9"/>
  <c r="B326" i="9" s="1"/>
  <c r="B327" i="9"/>
  <c r="B328" i="9" s="1"/>
  <c r="B329" i="9"/>
  <c r="B330" i="9" s="1"/>
  <c r="B331" i="9"/>
  <c r="B332" i="9" s="1"/>
  <c r="B333" i="9"/>
  <c r="B334" i="9" s="1"/>
  <c r="B335" i="9"/>
  <c r="B336" i="9" s="1"/>
  <c r="B337" i="9"/>
  <c r="B338" i="9" s="1"/>
  <c r="B339" i="9" s="1"/>
  <c r="B340" i="9" s="1"/>
  <c r="B341" i="9"/>
  <c r="B342" i="9" s="1"/>
  <c r="B343" i="9"/>
  <c r="B344" i="9" s="1"/>
  <c r="B345" i="9"/>
  <c r="B346" i="9" s="1"/>
  <c r="B347" i="9"/>
  <c r="B348" i="9" s="1"/>
  <c r="B349" i="9"/>
  <c r="B350" i="9" s="1"/>
  <c r="B351" i="9"/>
  <c r="B352" i="9" s="1"/>
  <c r="B353" i="9" s="1"/>
  <c r="B354" i="9" s="1"/>
  <c r="B355" i="9" s="1"/>
  <c r="B356" i="9" s="1"/>
  <c r="B357" i="9" s="1"/>
  <c r="B358" i="9" s="1"/>
  <c r="B359" i="9" s="1"/>
  <c r="B360" i="9" s="1"/>
  <c r="B361" i="9" s="1"/>
  <c r="B362" i="9"/>
  <c r="B363" i="9" s="1"/>
  <c r="B364" i="9"/>
  <c r="B365" i="9" s="1"/>
  <c r="B366" i="9"/>
  <c r="B367" i="9" s="1"/>
  <c r="B368" i="9"/>
  <c r="B369" i="9" s="1"/>
  <c r="B370" i="9"/>
  <c r="B371" i="9" s="1"/>
  <c r="B372" i="9"/>
  <c r="B373" i="9" s="1"/>
  <c r="B374" i="9"/>
  <c r="B375" i="9" s="1"/>
  <c r="B376" i="9"/>
  <c r="B377" i="9" s="1"/>
  <c r="B378" i="9"/>
  <c r="B379" i="9" s="1"/>
  <c r="B380" i="9"/>
  <c r="B381" i="9" s="1"/>
  <c r="B382" i="9"/>
  <c r="B383" i="9" s="1"/>
  <c r="B384" i="9"/>
  <c r="B385" i="9" s="1"/>
  <c r="B386" i="9"/>
  <c r="B387" i="9" s="1"/>
  <c r="B388" i="9"/>
  <c r="B389" i="9" s="1"/>
  <c r="B390" i="9"/>
  <c r="B391" i="9" s="1"/>
  <c r="B392" i="9"/>
  <c r="B393" i="9" s="1"/>
  <c r="B394" i="9"/>
  <c r="B395" i="9" s="1"/>
  <c r="B396" i="9"/>
  <c r="B397" i="9" s="1"/>
  <c r="B398" i="9"/>
  <c r="B399" i="9" s="1"/>
  <c r="B400" i="9"/>
  <c r="B401" i="9" s="1"/>
  <c r="B402" i="9"/>
  <c r="B403" i="9" s="1"/>
  <c r="B404" i="9"/>
  <c r="B405" i="9" s="1"/>
  <c r="B406" i="9"/>
  <c r="B407" i="9" s="1"/>
  <c r="B408" i="9"/>
  <c r="B409" i="9" s="1"/>
  <c r="B410" i="9"/>
  <c r="B411" i="9" s="1"/>
  <c r="B412" i="9"/>
  <c r="B413" i="9" s="1"/>
  <c r="B414" i="9"/>
  <c r="B415" i="9" s="1"/>
  <c r="B416" i="9" s="1"/>
  <c r="B417" i="9" s="1"/>
  <c r="B418" i="9" s="1"/>
  <c r="B419" i="9" s="1"/>
  <c r="B420" i="9" s="1"/>
  <c r="B421" i="9" s="1"/>
  <c r="B422" i="9"/>
  <c r="B423" i="9" s="1"/>
  <c r="B424" i="9"/>
  <c r="B425" i="9" s="1"/>
  <c r="B426" i="9"/>
  <c r="B427" i="9" s="1"/>
  <c r="B428" i="9"/>
  <c r="B429" i="9" s="1"/>
  <c r="B430" i="9"/>
  <c r="B431" i="9" s="1"/>
  <c r="B432" i="9" s="1"/>
  <c r="B433" i="9" s="1"/>
  <c r="B434" i="9" s="1"/>
  <c r="B435" i="9" s="1"/>
  <c r="B436" i="9" s="1"/>
  <c r="B437" i="9" s="1"/>
  <c r="B438" i="9" s="1"/>
  <c r="B439" i="9" s="1"/>
  <c r="B440" i="9" s="1"/>
  <c r="B441" i="9" s="1"/>
  <c r="B442" i="9" s="1"/>
  <c r="B443" i="9" s="1"/>
  <c r="B444" i="9" s="1"/>
  <c r="B445" i="9" s="1"/>
  <c r="B446" i="9" s="1"/>
  <c r="B447" i="9" s="1"/>
  <c r="B448" i="9" s="1"/>
  <c r="B449" i="9" s="1"/>
  <c r="B450" i="9" s="1"/>
  <c r="B451" i="9" s="1"/>
  <c r="B452" i="9" s="1"/>
  <c r="B453" i="9" s="1"/>
  <c r="B454" i="9" s="1"/>
  <c r="B455" i="9" s="1"/>
  <c r="B456" i="9" s="1"/>
  <c r="B457" i="9" s="1"/>
  <c r="B458" i="9"/>
  <c r="B459" i="9" s="1"/>
  <c r="B460" i="9" s="1"/>
  <c r="B461" i="9" s="1"/>
  <c r="B462" i="9" s="1"/>
  <c r="B463" i="9"/>
  <c r="B464" i="9" s="1"/>
  <c r="B465" i="9"/>
  <c r="B466" i="9" s="1"/>
  <c r="B467" i="9"/>
  <c r="B468" i="9" s="1"/>
  <c r="B469" i="9" s="1"/>
  <c r="B470" i="9" s="1"/>
  <c r="B471" i="9" s="1"/>
  <c r="B472" i="9" s="1"/>
  <c r="B473" i="9" s="1"/>
  <c r="B474" i="9" s="1"/>
  <c r="B475" i="9" s="1"/>
  <c r="B476" i="9" s="1"/>
  <c r="B477" i="9"/>
  <c r="B478" i="9" s="1"/>
  <c r="B479" i="9"/>
  <c r="B480" i="9" s="1"/>
  <c r="B481" i="9"/>
  <c r="B482" i="9" s="1"/>
  <c r="B483" i="9"/>
  <c r="B484" i="9" s="1"/>
  <c r="B485" i="9"/>
  <c r="B486" i="9" s="1"/>
  <c r="B487" i="9"/>
  <c r="B488" i="9" s="1"/>
  <c r="B489" i="9"/>
  <c r="B490" i="9" s="1"/>
  <c r="B491" i="9"/>
  <c r="B492" i="9" s="1"/>
  <c r="B493" i="9" s="1"/>
  <c r="B494" i="9" s="1"/>
  <c r="B495" i="9"/>
  <c r="B496" i="9" s="1"/>
  <c r="B497" i="9"/>
  <c r="B498" i="9" s="1"/>
  <c r="B499" i="9"/>
  <c r="B500" i="9" s="1"/>
  <c r="B501" i="9"/>
  <c r="B502" i="9" s="1"/>
  <c r="B503" i="9"/>
  <c r="B504" i="9" s="1"/>
  <c r="B505" i="9" s="1"/>
  <c r="B506" i="9" s="1"/>
  <c r="B507" i="9" s="1"/>
  <c r="B508" i="9" s="1"/>
  <c r="B509" i="9" s="1"/>
  <c r="B510" i="9" s="1"/>
  <c r="B511" i="9" s="1"/>
  <c r="B512" i="9" s="1"/>
  <c r="B513" i="9" s="1"/>
  <c r="B514" i="9" s="1"/>
  <c r="B515" i="9"/>
  <c r="B516" i="9" s="1"/>
  <c r="B517" i="9" s="1"/>
  <c r="B518" i="9" s="1"/>
  <c r="B519" i="9" s="1"/>
  <c r="B520" i="9" s="1"/>
  <c r="B521" i="9"/>
  <c r="B522" i="9" s="1"/>
  <c r="B523" i="9" s="1"/>
  <c r="B524" i="9" s="1"/>
  <c r="B525" i="9"/>
  <c r="B526" i="9" s="1"/>
  <c r="B527" i="9" s="1"/>
  <c r="B528" i="9" s="1"/>
  <c r="B529" i="9" s="1"/>
  <c r="B530" i="9" s="1"/>
  <c r="B531" i="9" s="1"/>
  <c r="B532" i="9" s="1"/>
  <c r="B533" i="9" s="1"/>
  <c r="B534" i="9" s="1"/>
  <c r="B535" i="9" s="1"/>
  <c r="B536" i="9" s="1"/>
  <c r="B537" i="9"/>
  <c r="B538" i="9" s="1"/>
  <c r="B539" i="9"/>
  <c r="B540" i="9" s="1"/>
  <c r="B541" i="9" s="1"/>
  <c r="B542" i="9" s="1"/>
  <c r="B543" i="9"/>
  <c r="B544" i="9"/>
  <c r="B545" i="9" s="1"/>
  <c r="B546" i="9"/>
  <c r="B547" i="9" s="1"/>
  <c r="B548" i="9" s="1"/>
  <c r="B549" i="9" s="1"/>
  <c r="B550" i="9" s="1"/>
  <c r="B551" i="9" s="1"/>
  <c r="B552" i="9" s="1"/>
  <c r="B553" i="9" s="1"/>
  <c r="B554" i="9" s="1"/>
  <c r="B555" i="9"/>
  <c r="B556" i="9" s="1"/>
  <c r="B557" i="9" s="1"/>
  <c r="B558" i="9" s="1"/>
  <c r="B559" i="9" s="1"/>
  <c r="B560" i="9" s="1"/>
  <c r="B561" i="9" s="1"/>
  <c r="B562" i="9" s="1"/>
  <c r="B563" i="9" s="1"/>
  <c r="B564" i="9" s="1"/>
  <c r="B565" i="9"/>
  <c r="B566" i="9" s="1"/>
  <c r="B567" i="9"/>
  <c r="B568" i="9" s="1"/>
  <c r="B569" i="9" s="1"/>
  <c r="B570" i="9" s="1"/>
  <c r="B571" i="9" s="1"/>
  <c r="B572" i="9" s="1"/>
  <c r="B573" i="9" s="1"/>
  <c r="B574" i="9"/>
  <c r="B575" i="9" s="1"/>
  <c r="B576" i="9" s="1"/>
  <c r="B577" i="9" s="1"/>
  <c r="B578" i="9"/>
  <c r="B579" i="9" s="1"/>
  <c r="B580" i="9"/>
  <c r="B581" i="9" s="1"/>
  <c r="B582" i="9"/>
  <c r="B583" i="9" s="1"/>
  <c r="B584" i="9"/>
  <c r="B585" i="9" s="1"/>
  <c r="B586" i="9" s="1"/>
  <c r="B587" i="9" s="1"/>
  <c r="B588" i="9" s="1"/>
  <c r="B589" i="9" s="1"/>
  <c r="B590" i="9" s="1"/>
  <c r="B591" i="9" s="1"/>
  <c r="B592" i="9" s="1"/>
  <c r="B593" i="9" s="1"/>
  <c r="B594" i="9" s="1"/>
  <c r="B595" i="9" s="1"/>
  <c r="B596" i="9" s="1"/>
  <c r="B597" i="9" s="1"/>
  <c r="B598" i="9" s="1"/>
  <c r="B599" i="9" s="1"/>
  <c r="B600" i="9" s="1"/>
  <c r="B601" i="9" s="1"/>
  <c r="B602" i="9" s="1"/>
  <c r="B603" i="9" s="1"/>
  <c r="B604" i="9"/>
  <c r="B605" i="9" s="1"/>
  <c r="B606" i="9"/>
  <c r="B607" i="9" s="1"/>
  <c r="B608" i="9"/>
  <c r="B609" i="9" s="1"/>
  <c r="B610" i="9"/>
  <c r="B611" i="9" s="1"/>
  <c r="B612" i="9"/>
  <c r="B613" i="9" s="1"/>
  <c r="B614" i="9"/>
  <c r="B615" i="9" s="1"/>
  <c r="B616" i="9"/>
  <c r="B617" i="9" s="1"/>
  <c r="B618" i="9"/>
  <c r="B619" i="9" s="1"/>
  <c r="B620" i="9"/>
  <c r="B621" i="9" s="1"/>
  <c r="B622" i="9"/>
  <c r="B623" i="9" s="1"/>
  <c r="B624" i="9"/>
  <c r="B625" i="9" s="1"/>
  <c r="B626" i="9" s="1"/>
  <c r="B627" i="9" s="1"/>
  <c r="B628" i="9" s="1"/>
  <c r="B629" i="9" s="1"/>
  <c r="B630" i="9"/>
  <c r="B631" i="9" s="1"/>
  <c r="B632" i="9"/>
  <c r="B633" i="9" s="1"/>
  <c r="B634" i="9"/>
  <c r="B635" i="9" s="1"/>
  <c r="B636" i="9" s="1"/>
  <c r="B637" i="9" s="1"/>
  <c r="B638" i="9" s="1"/>
  <c r="B639" i="9" s="1"/>
  <c r="B640" i="9" s="1"/>
  <c r="B641" i="9" s="1"/>
  <c r="B642" i="9" s="1"/>
  <c r="B643" i="9" s="1"/>
  <c r="B644" i="9" s="1"/>
  <c r="B645" i="9" s="1"/>
  <c r="B646" i="9"/>
  <c r="B647" i="9" s="1"/>
  <c r="B648" i="9"/>
  <c r="B649" i="9" s="1"/>
  <c r="B650" i="9"/>
  <c r="B651" i="9" s="1"/>
  <c r="B652" i="9"/>
  <c r="B653" i="9" s="1"/>
  <c r="B654" i="9"/>
  <c r="B655" i="9" s="1"/>
  <c r="B656" i="9"/>
  <c r="B657" i="9" s="1"/>
  <c r="B658" i="9"/>
  <c r="B659" i="9" s="1"/>
  <c r="B660" i="9"/>
  <c r="B661" i="9" s="1"/>
  <c r="B662" i="9" s="1"/>
  <c r="B663" i="9" s="1"/>
  <c r="B664" i="9"/>
  <c r="B665" i="9" s="1"/>
  <c r="B666" i="9"/>
  <c r="B667" i="9" s="1"/>
  <c r="B668" i="9" s="1"/>
  <c r="B669" i="9" s="1"/>
  <c r="B670" i="9" s="1"/>
  <c r="B671" i="9" s="1"/>
  <c r="B672" i="9" s="1"/>
  <c r="B673" i="9"/>
  <c r="B674" i="9" s="1"/>
  <c r="B675" i="9"/>
  <c r="B676" i="9"/>
  <c r="B677" i="9"/>
  <c r="B678" i="9" s="1"/>
  <c r="B679" i="9"/>
  <c r="B680" i="9"/>
  <c r="B681" i="9"/>
  <c r="B682" i="9"/>
  <c r="B683" i="9"/>
  <c r="B684" i="9"/>
  <c r="B685" i="9"/>
  <c r="B686" i="9"/>
  <c r="B687" i="9" s="1"/>
  <c r="B688" i="9" s="1"/>
  <c r="B689" i="9" s="1"/>
  <c r="B690" i="9"/>
  <c r="B691" i="9" s="1"/>
  <c r="B692" i="9"/>
  <c r="B693" i="9" s="1"/>
  <c r="B694" i="9"/>
  <c r="B695" i="9"/>
  <c r="B696" i="9"/>
  <c r="B697" i="9"/>
  <c r="B698" i="9"/>
  <c r="B699" i="9" s="1"/>
  <c r="B700" i="9"/>
  <c r="B701" i="9"/>
  <c r="B702" i="9"/>
  <c r="B703" i="9"/>
  <c r="B704" i="9"/>
  <c r="B705" i="9" s="1"/>
  <c r="B706" i="9"/>
  <c r="B707" i="9"/>
  <c r="B708" i="9"/>
  <c r="B709" i="9" s="1"/>
  <c r="B710" i="9"/>
  <c r="B711" i="9" s="1"/>
  <c r="B712" i="9"/>
  <c r="B713" i="9"/>
  <c r="B714" i="9"/>
  <c r="B715" i="9"/>
  <c r="B716" i="9"/>
  <c r="B717" i="9" s="1"/>
  <c r="B718" i="9"/>
  <c r="B719" i="9"/>
  <c r="B720" i="9"/>
  <c r="B721" i="9" s="1"/>
  <c r="B722" i="9"/>
  <c r="B723" i="9" s="1"/>
  <c r="B724" i="9"/>
  <c r="B725" i="9" s="1"/>
  <c r="B726" i="9"/>
  <c r="B727" i="9"/>
  <c r="B728" i="9"/>
  <c r="B729" i="9" s="1"/>
  <c r="B730" i="9"/>
  <c r="B731" i="9"/>
  <c r="B732" i="9"/>
  <c r="B733" i="9"/>
  <c r="B734" i="9"/>
  <c r="B735" i="9"/>
  <c r="B736" i="9"/>
  <c r="B737" i="9" s="1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 s="1"/>
  <c r="B753" i="9" s="1"/>
  <c r="B754" i="9"/>
  <c r="B755" i="9" s="1"/>
  <c r="B756" i="9"/>
  <c r="B757" i="9"/>
  <c r="B758" i="9"/>
  <c r="B759" i="9"/>
  <c r="B760" i="9"/>
  <c r="B761" i="9"/>
  <c r="B762" i="9"/>
  <c r="B763" i="9"/>
  <c r="B764" i="9"/>
  <c r="B765" i="9" s="1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 s="1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 s="1"/>
  <c r="B802" i="9"/>
  <c r="B803" i="9"/>
  <c r="B804" i="9" s="1"/>
  <c r="B805" i="9" s="1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 s="1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 s="1"/>
  <c r="B871" i="9" s="1"/>
  <c r="B872" i="9" s="1"/>
  <c r="B873" i="9"/>
  <c r="B874" i="9"/>
  <c r="B875" i="9"/>
  <c r="B876" i="9" s="1"/>
  <c r="B877" i="9" s="1"/>
  <c r="B878" i="9" s="1"/>
  <c r="B879" i="9"/>
  <c r="B880" i="9"/>
  <c r="B881" i="9"/>
  <c r="B882" i="9"/>
  <c r="B883" i="9"/>
  <c r="B884" i="9"/>
  <c r="B885" i="9"/>
  <c r="B886" i="9"/>
  <c r="B887" i="9"/>
  <c r="B888" i="9"/>
  <c r="B889" i="9"/>
  <c r="B890" i="9" s="1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 s="1"/>
  <c r="B5" i="9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 s="1"/>
  <c r="E41" i="5" s="1"/>
  <c r="E42" i="5" s="1"/>
  <c r="E43" i="5" s="1"/>
  <c r="E44" i="5" s="1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 s="1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 s="1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 s="1"/>
  <c r="E120" i="5"/>
  <c r="E121" i="5"/>
  <c r="E122" i="5"/>
  <c r="E123" i="5"/>
  <c r="E124" i="5"/>
  <c r="E125" i="5"/>
  <c r="E126" i="5"/>
  <c r="E127" i="5"/>
  <c r="E128" i="5"/>
  <c r="E129" i="5"/>
  <c r="E130" i="5" s="1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 s="1"/>
  <c r="E184" i="5" s="1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 s="1"/>
  <c r="E205" i="5" s="1"/>
  <c r="E206" i="5" s="1"/>
  <c r="E207" i="5" s="1"/>
  <c r="E208" i="5" s="1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 s="1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 s="1"/>
  <c r="E299" i="5" s="1"/>
  <c r="E300" i="5" s="1"/>
  <c r="E301" i="5" s="1"/>
  <c r="E302" i="5" s="1"/>
  <c r="E303" i="5" s="1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 s="1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 s="1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 s="1"/>
  <c r="E389" i="5" s="1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 s="1"/>
  <c r="E460" i="5" s="1"/>
  <c r="E461" i="5"/>
  <c r="E462" i="5"/>
  <c r="E463" i="5"/>
  <c r="E464" i="5"/>
  <c r="E465" i="5"/>
  <c r="E466" i="5"/>
  <c r="E467" i="5"/>
  <c r="E468" i="5"/>
  <c r="E469" i="5"/>
  <c r="E470" i="5"/>
  <c r="E471" i="5"/>
  <c r="E472" i="5" s="1"/>
  <c r="E473" i="5" s="1"/>
  <c r="E474" i="5" s="1"/>
  <c r="E475" i="5" s="1"/>
  <c r="E476" i="5" s="1"/>
  <c r="E477" i="5" s="1"/>
  <c r="E478" i="5"/>
  <c r="E479" i="5"/>
  <c r="E480" i="5"/>
  <c r="E481" i="5"/>
  <c r="E482" i="5"/>
  <c r="E483" i="5"/>
  <c r="E484" i="5"/>
  <c r="E485" i="5" s="1"/>
  <c r="E486" i="5"/>
  <c r="E487" i="5"/>
  <c r="E488" i="5"/>
  <c r="E489" i="5"/>
  <c r="E490" i="5"/>
  <c r="E491" i="5" s="1"/>
  <c r="E492" i="5"/>
  <c r="E493" i="5"/>
  <c r="E494" i="5"/>
  <c r="E495" i="5"/>
  <c r="E496" i="5"/>
  <c r="E497" i="5" s="1"/>
  <c r="E498" i="5"/>
  <c r="E499" i="5"/>
  <c r="E500" i="5"/>
  <c r="E501" i="5"/>
  <c r="E502" i="5"/>
  <c r="E503" i="5" s="1"/>
  <c r="E504" i="5"/>
  <c r="E505" i="5"/>
  <c r="E506" i="5"/>
  <c r="E507" i="5"/>
  <c r="E508" i="5"/>
  <c r="E509" i="5" s="1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 s="1"/>
  <c r="E565" i="5" s="1"/>
  <c r="E566" i="5" s="1"/>
  <c r="E567" i="5" s="1"/>
  <c r="E568" i="5" s="1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 s="1"/>
  <c r="E613" i="5" s="1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 s="1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 s="1"/>
  <c r="E654" i="5" s="1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 s="1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 s="1"/>
  <c r="E745" i="5" s="1"/>
  <c r="E746" i="5" s="1"/>
  <c r="E747" i="5" s="1"/>
  <c r="E748" i="5" s="1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 s="1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 s="1"/>
  <c r="E844" i="5" s="1"/>
  <c r="E845" i="5" s="1"/>
  <c r="E846" i="5" s="1"/>
  <c r="E847" i="5" s="1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 s="1"/>
  <c r="E880" i="5" s="1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 s="1"/>
  <c r="E899" i="5" s="1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 s="1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 s="1"/>
  <c r="E1004" i="5"/>
  <c r="E1005" i="5"/>
  <c r="E1006" i="5"/>
  <c r="E1007" i="5"/>
  <c r="E1008" i="5"/>
  <c r="E1009" i="5"/>
  <c r="E1010" i="5" s="1"/>
  <c r="E1011" i="5" s="1"/>
  <c r="E1012" i="5" s="1"/>
  <c r="E1013" i="5" s="1"/>
  <c r="E1014" i="5" s="1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 s="1"/>
  <c r="E1102" i="5" s="1"/>
  <c r="E1103" i="5" s="1"/>
  <c r="E1104" i="5" s="1"/>
  <c r="E1105" i="5" s="1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 s="1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 s="1"/>
  <c r="E1165" i="5" s="1"/>
  <c r="E1166" i="5" s="1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 s="1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 s="1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 s="1"/>
  <c r="E1276" i="5" s="1"/>
  <c r="E1277" i="5" s="1"/>
  <c r="E1278" i="5" s="1"/>
  <c r="E1279" i="5" s="1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 s="1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 s="1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 s="1"/>
  <c r="E1432" i="5" s="1"/>
  <c r="E1433" i="5" s="1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 s="1"/>
  <c r="E1472" i="5" s="1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 s="1"/>
  <c r="E1544" i="5" s="1"/>
  <c r="E1545" i="5" s="1"/>
  <c r="E1546" i="5" s="1"/>
  <c r="E1547" i="5" s="1"/>
  <c r="E1548" i="5" s="1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 s="1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 s="1"/>
  <c r="E1641" i="5" s="1"/>
  <c r="E1642" i="5" s="1"/>
  <c r="E1643" i="5" s="1"/>
  <c r="E1644" i="5" s="1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 s="1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 s="1"/>
  <c r="E1700" i="5" s="1"/>
  <c r="E1701" i="5" s="1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 s="1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 s="1"/>
  <c r="E1802" i="5" s="1"/>
  <c r="E1803" i="5"/>
  <c r="E1804" i="5"/>
  <c r="E1805" i="5"/>
  <c r="E1806" i="5"/>
  <c r="E1807" i="5"/>
  <c r="E1808" i="5"/>
  <c r="E1809" i="5"/>
  <c r="E1810" i="5"/>
  <c r="E1811" i="5" s="1"/>
  <c r="E1812" i="5" s="1"/>
  <c r="E1813" i="5" s="1"/>
  <c r="E1814" i="5" s="1"/>
  <c r="E1815" i="5" s="1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 s="1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 s="1"/>
  <c r="E1899" i="5" s="1"/>
  <c r="E1900" i="5" s="1"/>
  <c r="E1901" i="5" s="1"/>
  <c r="E1902" i="5" s="1"/>
  <c r="E1903" i="5" s="1"/>
  <c r="E1904" i="5" s="1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 s="1"/>
  <c r="E1947" i="5" s="1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 s="1"/>
  <c r="E1968" i="5" s="1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 s="1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 s="1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 s="1"/>
  <c r="E2078" i="5" s="1"/>
  <c r="E2079" i="5" s="1"/>
  <c r="E2080" i="5" s="1"/>
  <c r="E2081" i="5" s="1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 s="1"/>
  <c r="E2159" i="5" s="1"/>
  <c r="E2160" i="5" s="1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 s="1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 s="1"/>
  <c r="E2230" i="5" s="1"/>
  <c r="E2231" i="5" s="1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 s="1"/>
  <c r="E2269" i="5" s="1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 s="1"/>
  <c r="E2341" i="5" s="1"/>
  <c r="E2342" i="5" s="1"/>
  <c r="E2343" i="5" s="1"/>
  <c r="E2344" i="5" s="1"/>
  <c r="E2345" i="5" s="1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 s="1"/>
  <c r="E2439" i="5" s="1"/>
  <c r="E2440" i="5" s="1"/>
  <c r="E2441" i="5" s="1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 s="1"/>
  <c r="E2477" i="5" s="1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 s="1"/>
  <c r="E2498" i="5" s="1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 s="1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 s="1"/>
  <c r="E2597" i="5" s="1"/>
  <c r="E2598" i="5"/>
  <c r="E2599" i="5"/>
  <c r="E2600" i="5"/>
  <c r="E2601" i="5"/>
  <c r="E2602" i="5"/>
  <c r="E2603" i="5"/>
  <c r="E2604" i="5"/>
  <c r="E2605" i="5"/>
  <c r="E2606" i="5"/>
  <c r="E2607" i="5"/>
  <c r="E2608" i="5" s="1"/>
  <c r="E2609" i="5" s="1"/>
  <c r="E2610" i="5" s="1"/>
  <c r="E2611" i="5" s="1"/>
  <c r="E2612" i="5" s="1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 s="1"/>
  <c r="E2693" i="5"/>
  <c r="E2694" i="5"/>
  <c r="E2695" i="5" s="1"/>
  <c r="E2696" i="5" s="1"/>
  <c r="E2697" i="5" s="1"/>
  <c r="E2698" i="5" s="1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 s="1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 s="1"/>
  <c r="E2763" i="5" s="1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 s="1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 s="1"/>
  <c r="E2872" i="5" s="1"/>
  <c r="E2873" i="5" s="1"/>
  <c r="E2874" i="5" s="1"/>
  <c r="E2875" i="5" s="1"/>
  <c r="E2876" i="5" s="1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 s="1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 s="1"/>
  <c r="E2972" i="5" s="1"/>
  <c r="E2973" i="5" s="1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 s="1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 s="1"/>
  <c r="E3024" i="5" s="1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 s="1"/>
  <c r="D38" i="5"/>
  <c r="D39" i="5"/>
  <c r="D40" i="5"/>
  <c r="D41" i="5"/>
  <c r="D42" i="5"/>
  <c r="D43" i="5"/>
  <c r="D44" i="5"/>
  <c r="D45" i="5"/>
  <c r="D46" i="5"/>
  <c r="D47" i="5"/>
  <c r="D48" i="5" s="1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 s="1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 s="1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 s="1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 s="1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 s="1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 s="1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 s="1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 s="1"/>
  <c r="D497" i="5"/>
  <c r="D498" i="5"/>
  <c r="D499" i="5"/>
  <c r="D500" i="5"/>
  <c r="D501" i="5"/>
  <c r="D502" i="5" s="1"/>
  <c r="D503" i="5"/>
  <c r="D504" i="5"/>
  <c r="D505" i="5"/>
  <c r="D506" i="5"/>
  <c r="D507" i="5"/>
  <c r="D508" i="5" s="1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 s="1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 s="1"/>
  <c r="D560" i="5"/>
  <c r="D561" i="5"/>
  <c r="D562" i="5"/>
  <c r="D563" i="5"/>
  <c r="D564" i="5"/>
  <c r="D565" i="5"/>
  <c r="D566" i="5"/>
  <c r="D567" i="5"/>
  <c r="D568" i="5"/>
  <c r="D569" i="5"/>
  <c r="D570" i="5" s="1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 s="1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 s="1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 s="1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 s="1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 s="1"/>
  <c r="D840" i="5"/>
  <c r="D841" i="5"/>
  <c r="D842" i="5"/>
  <c r="D843" i="5"/>
  <c r="D844" i="5"/>
  <c r="D845" i="5"/>
  <c r="D846" i="5"/>
  <c r="D847" i="5"/>
  <c r="D848" i="5"/>
  <c r="D849" i="5"/>
  <c r="D850" i="5" s="1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 s="1"/>
  <c r="D876" i="5"/>
  <c r="D877" i="5"/>
  <c r="D878" i="5"/>
  <c r="D879" i="5"/>
  <c r="D880" i="5"/>
  <c r="D881" i="5" s="1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 s="1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 s="1"/>
  <c r="D1009" i="5" s="1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 s="1"/>
  <c r="D1071" i="5" s="1"/>
  <c r="D1072" i="5"/>
  <c r="D1073" i="5"/>
  <c r="D1074" i="5"/>
  <c r="D1075" i="5" s="1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 s="1"/>
  <c r="D1100" i="5" s="1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 s="1"/>
  <c r="D1156" i="5"/>
  <c r="D1157" i="5"/>
  <c r="D1158" i="5"/>
  <c r="D1159" i="5"/>
  <c r="D1160" i="5"/>
  <c r="D1161" i="5" s="1"/>
  <c r="D1162" i="5"/>
  <c r="D1163" i="5"/>
  <c r="D1164" i="5"/>
  <c r="D1165" i="5"/>
  <c r="D1166" i="5"/>
  <c r="D1167" i="5" s="1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 s="1"/>
  <c r="D1274" i="5"/>
  <c r="D1275" i="5"/>
  <c r="D1276" i="5"/>
  <c r="D1277" i="5"/>
  <c r="D1278" i="5"/>
  <c r="D1279" i="5"/>
  <c r="D1280" i="5"/>
  <c r="D1281" i="5"/>
  <c r="D1282" i="5"/>
  <c r="D1283" i="5"/>
  <c r="D1284" i="5" s="1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 s="1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 s="1"/>
  <c r="D1427" i="5"/>
  <c r="D1428" i="5"/>
  <c r="D1429" i="5"/>
  <c r="D1430" i="5"/>
  <c r="D1431" i="5"/>
  <c r="D1432" i="5"/>
  <c r="D1433" i="5"/>
  <c r="D1434" i="5"/>
  <c r="D1435" i="5"/>
  <c r="D1436" i="5"/>
  <c r="D1437" i="5" s="1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 s="1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 s="1"/>
  <c r="D1540" i="5"/>
  <c r="D1541" i="5"/>
  <c r="D1542" i="5"/>
  <c r="D1543" i="5"/>
  <c r="D1544" i="5"/>
  <c r="D1545" i="5"/>
  <c r="D1546" i="5"/>
  <c r="D1547" i="5"/>
  <c r="D1548" i="5"/>
  <c r="D1549" i="5"/>
  <c r="D1550" i="5" s="1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 s="1"/>
  <c r="D1637" i="5"/>
  <c r="D1638" i="5"/>
  <c r="D1639" i="5"/>
  <c r="D1640" i="5"/>
  <c r="D1641" i="5"/>
  <c r="D1642" i="5"/>
  <c r="D1643" i="5"/>
  <c r="D1644" i="5"/>
  <c r="D1645" i="5"/>
  <c r="D1646" i="5"/>
  <c r="D1647" i="5" s="1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 s="1"/>
  <c r="D1694" i="5"/>
  <c r="D1695" i="5"/>
  <c r="D1696" i="5"/>
  <c r="D1697" i="5"/>
  <c r="D1698" i="5"/>
  <c r="D1699" i="5"/>
  <c r="D1700" i="5"/>
  <c r="D1701" i="5"/>
  <c r="D1702" i="5"/>
  <c r="D1703" i="5"/>
  <c r="D1704" i="5" s="1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 s="1"/>
  <c r="D1801" i="5"/>
  <c r="D1802" i="5"/>
  <c r="D1803" i="5"/>
  <c r="D1804" i="5"/>
  <c r="D1805" i="5"/>
  <c r="D1806" i="5" s="1"/>
  <c r="D1807" i="5"/>
  <c r="D1808" i="5"/>
  <c r="D1809" i="5"/>
  <c r="D1810" i="5"/>
  <c r="D1811" i="5"/>
  <c r="D1812" i="5"/>
  <c r="D1813" i="5"/>
  <c r="D1814" i="5"/>
  <c r="D1815" i="5"/>
  <c r="D1816" i="5"/>
  <c r="D1817" i="5" s="1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 s="1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 s="1"/>
  <c r="D1899" i="5" s="1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 s="1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 s="1"/>
  <c r="D1962" i="5"/>
  <c r="D1963" i="5"/>
  <c r="D1964" i="5"/>
  <c r="D1965" i="5"/>
  <c r="D1966" i="5"/>
  <c r="D1967" i="5"/>
  <c r="D1968" i="5"/>
  <c r="D1969" i="5"/>
  <c r="D1970" i="5"/>
  <c r="D1971" i="5" s="1"/>
  <c r="D1972" i="5"/>
  <c r="D1973" i="5"/>
  <c r="D1974" i="5"/>
  <c r="D1975" i="5"/>
  <c r="D1976" i="5"/>
  <c r="D1977" i="5" s="1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 s="1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 s="1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 s="1"/>
  <c r="D2077" i="5"/>
  <c r="D2078" i="5"/>
  <c r="D2079" i="5"/>
  <c r="D2080" i="5"/>
  <c r="D2081" i="5"/>
  <c r="D2082" i="5" s="1"/>
  <c r="D2083" i="5" s="1"/>
  <c r="D2084" i="5"/>
  <c r="D2085" i="5"/>
  <c r="D2086" i="5"/>
  <c r="D2087" i="5"/>
  <c r="D2088" i="5"/>
  <c r="D2089" i="5"/>
  <c r="D2090" i="5"/>
  <c r="D2091" i="5"/>
  <c r="D2092" i="5"/>
  <c r="D2093" i="5"/>
  <c r="D2094" i="5" s="1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 s="1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 s="1"/>
  <c r="D2162" i="5" s="1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 s="1"/>
  <c r="D2212" i="5"/>
  <c r="D2213" i="5"/>
  <c r="D2214" i="5"/>
  <c r="D2215" i="5"/>
  <c r="D2216" i="5"/>
  <c r="D2217" i="5"/>
  <c r="D2218" i="5"/>
  <c r="D2219" i="5"/>
  <c r="D2220" i="5"/>
  <c r="D2221" i="5"/>
  <c r="D2222" i="5"/>
  <c r="D2223" i="5" s="1"/>
  <c r="D2224" i="5"/>
  <c r="D2225" i="5"/>
  <c r="D2226" i="5"/>
  <c r="D2227" i="5"/>
  <c r="D2228" i="5" s="1"/>
  <c r="D2229" i="5"/>
  <c r="D2230" i="5"/>
  <c r="D2231" i="5"/>
  <c r="D2232" i="5"/>
  <c r="D2233" i="5"/>
  <c r="D2234" i="5" s="1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 s="1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 s="1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 s="1"/>
  <c r="D2347" i="5" s="1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 s="1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 s="1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 s="1"/>
  <c r="D2433" i="5"/>
  <c r="D2434" i="5"/>
  <c r="D2435" i="5"/>
  <c r="D2436" i="5"/>
  <c r="D2437" i="5"/>
  <c r="D2438" i="5"/>
  <c r="D2439" i="5"/>
  <c r="D2440" i="5"/>
  <c r="D2441" i="5"/>
  <c r="D2442" i="5" s="1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 s="1"/>
  <c r="D2473" i="5"/>
  <c r="D2474" i="5"/>
  <c r="D2475" i="5"/>
  <c r="D2476" i="5"/>
  <c r="D2477" i="5"/>
  <c r="D2478" i="5" s="1"/>
  <c r="D2479" i="5"/>
  <c r="D2480" i="5"/>
  <c r="D2481" i="5" s="1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 s="1"/>
  <c r="D2495" i="5"/>
  <c r="D2496" i="5"/>
  <c r="D2497" i="5"/>
  <c r="D2498" i="5"/>
  <c r="D2499" i="5"/>
  <c r="D2500" i="5"/>
  <c r="D2501" i="5"/>
  <c r="D2502" i="5"/>
  <c r="D2503" i="5"/>
  <c r="D2504" i="5" s="1"/>
  <c r="D2505" i="5"/>
  <c r="D2506" i="5"/>
  <c r="D2507" i="5"/>
  <c r="D2508" i="5"/>
  <c r="D2509" i="5"/>
  <c r="D2510" i="5"/>
  <c r="D2511" i="5"/>
  <c r="D2512" i="5" s="1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 s="1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 s="1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 s="1"/>
  <c r="D2596" i="5"/>
  <c r="D2597" i="5"/>
  <c r="D2598" i="5"/>
  <c r="D2599" i="5"/>
  <c r="D2600" i="5"/>
  <c r="D2601" i="5"/>
  <c r="D2602" i="5"/>
  <c r="D2603" i="5"/>
  <c r="D2604" i="5"/>
  <c r="D2605" i="5"/>
  <c r="D2606" i="5" s="1"/>
  <c r="D2607" i="5"/>
  <c r="D2608" i="5"/>
  <c r="D2609" i="5"/>
  <c r="D2610" i="5"/>
  <c r="D2611" i="5"/>
  <c r="D2612" i="5"/>
  <c r="D2613" i="5"/>
  <c r="D2614" i="5"/>
  <c r="D2615" i="5"/>
  <c r="D2616" i="5"/>
  <c r="D2617" i="5" s="1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 s="1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 s="1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 s="1"/>
  <c r="D2693" i="5" s="1"/>
  <c r="D2694" i="5"/>
  <c r="D2695" i="5"/>
  <c r="D2696" i="5"/>
  <c r="D2697" i="5"/>
  <c r="D2698" i="5"/>
  <c r="D2699" i="5"/>
  <c r="D2700" i="5"/>
  <c r="D2701" i="5"/>
  <c r="D2702" i="5" s="1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 s="1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 s="1"/>
  <c r="D2753" i="5"/>
  <c r="D2754" i="5"/>
  <c r="D2755" i="5"/>
  <c r="D2756" i="5"/>
  <c r="D2757" i="5"/>
  <c r="D2758" i="5" s="1"/>
  <c r="D2759" i="5"/>
  <c r="D2760" i="5"/>
  <c r="D2761" i="5"/>
  <c r="D2762" i="5"/>
  <c r="D2763" i="5"/>
  <c r="D2764" i="5"/>
  <c r="D2765" i="5"/>
  <c r="D2766" i="5"/>
  <c r="D2767" i="5"/>
  <c r="D2768" i="5" s="1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 s="1"/>
  <c r="D2869" i="5"/>
  <c r="D2870" i="5"/>
  <c r="D2871" i="5"/>
  <c r="D2872" i="5"/>
  <c r="D2873" i="5"/>
  <c r="D2874" i="5"/>
  <c r="D2875" i="5"/>
  <c r="D2876" i="5"/>
  <c r="D2877" i="5"/>
  <c r="D2878" i="5"/>
  <c r="D2879" i="5" s="1"/>
  <c r="D2880" i="5"/>
  <c r="D2881" i="5"/>
  <c r="D2882" i="5"/>
  <c r="D2883" i="5"/>
  <c r="D2884" i="5"/>
  <c r="D2885" i="5" s="1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 s="1"/>
  <c r="D2934" i="5"/>
  <c r="D2935" i="5"/>
  <c r="D2936" i="5"/>
  <c r="D2937" i="5"/>
  <c r="D2938" i="5"/>
  <c r="D2939" i="5" s="1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 s="1"/>
  <c r="D2971" i="5"/>
  <c r="D2972" i="5"/>
  <c r="D2973" i="5"/>
  <c r="D2974" i="5"/>
  <c r="D2975" i="5"/>
  <c r="D2976" i="5"/>
  <c r="D2977" i="5"/>
  <c r="D2978" i="5" s="1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 s="1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 s="1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 s="1"/>
  <c r="D3042" i="5"/>
  <c r="D3043" i="5"/>
  <c r="D3044" i="5" s="1"/>
  <c r="D3045" i="5"/>
  <c r="D3046" i="5"/>
  <c r="D3047" i="5"/>
  <c r="D3048" i="5"/>
  <c r="D3049" i="5"/>
  <c r="D3050" i="5"/>
  <c r="D3051" i="5"/>
  <c r="D3052" i="5"/>
  <c r="D3053" i="5"/>
  <c r="D5" i="5"/>
  <c r="D6" i="5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 s="1"/>
  <c r="C41" i="5" s="1"/>
  <c r="C42" i="5" s="1"/>
  <c r="C43" i="5" s="1"/>
  <c r="C44" i="5" s="1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 s="1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 s="1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 s="1"/>
  <c r="C120" i="5"/>
  <c r="C121" i="5"/>
  <c r="C122" i="5"/>
  <c r="C123" i="5"/>
  <c r="C124" i="5"/>
  <c r="C125" i="5"/>
  <c r="C126" i="5"/>
  <c r="C127" i="5"/>
  <c r="C128" i="5"/>
  <c r="C129" i="5"/>
  <c r="C130" i="5" s="1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 s="1"/>
  <c r="C184" i="5" s="1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 s="1"/>
  <c r="C205" i="5" s="1"/>
  <c r="C206" i="5" s="1"/>
  <c r="C207" i="5" s="1"/>
  <c r="C208" i="5" s="1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 s="1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 s="1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 s="1"/>
  <c r="C299" i="5" s="1"/>
  <c r="C300" i="5" s="1"/>
  <c r="C301" i="5" s="1"/>
  <c r="C302" i="5" s="1"/>
  <c r="C303" i="5" s="1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 s="1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 s="1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 s="1"/>
  <c r="C389" i="5" s="1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 s="1"/>
  <c r="C460" i="5" s="1"/>
  <c r="C461" i="5"/>
  <c r="C462" i="5"/>
  <c r="C463" i="5"/>
  <c r="C464" i="5"/>
  <c r="C465" i="5"/>
  <c r="C466" i="5"/>
  <c r="C467" i="5"/>
  <c r="C468" i="5"/>
  <c r="C469" i="5"/>
  <c r="C470" i="5"/>
  <c r="C471" i="5"/>
  <c r="C472" i="5" s="1"/>
  <c r="C473" i="5" s="1"/>
  <c r="C474" i="5" s="1"/>
  <c r="C475" i="5" s="1"/>
  <c r="C476" i="5" s="1"/>
  <c r="C477" i="5" s="1"/>
  <c r="C478" i="5"/>
  <c r="C479" i="5"/>
  <c r="C480" i="5"/>
  <c r="C481" i="5"/>
  <c r="C482" i="5"/>
  <c r="C483" i="5"/>
  <c r="C484" i="5"/>
  <c r="C485" i="5" s="1"/>
  <c r="C486" i="5"/>
  <c r="C487" i="5"/>
  <c r="C488" i="5"/>
  <c r="C489" i="5"/>
  <c r="C490" i="5"/>
  <c r="C491" i="5" s="1"/>
  <c r="C492" i="5"/>
  <c r="C493" i="5"/>
  <c r="C494" i="5"/>
  <c r="C495" i="5"/>
  <c r="C496" i="5"/>
  <c r="C497" i="5" s="1"/>
  <c r="C498" i="5"/>
  <c r="C499" i="5"/>
  <c r="C500" i="5"/>
  <c r="C501" i="5"/>
  <c r="C502" i="5"/>
  <c r="C503" i="5" s="1"/>
  <c r="C504" i="5"/>
  <c r="C505" i="5"/>
  <c r="C506" i="5"/>
  <c r="C507" i="5"/>
  <c r="C508" i="5"/>
  <c r="C509" i="5" s="1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 s="1"/>
  <c r="C565" i="5" s="1"/>
  <c r="C566" i="5" s="1"/>
  <c r="C567" i="5" s="1"/>
  <c r="C568" i="5" s="1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 s="1"/>
  <c r="C613" i="5" s="1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 s="1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 s="1"/>
  <c r="C654" i="5" s="1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 s="1"/>
  <c r="C745" i="5" s="1"/>
  <c r="C746" i="5" s="1"/>
  <c r="C747" i="5" s="1"/>
  <c r="C748" i="5" s="1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 s="1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 s="1"/>
  <c r="C844" i="5" s="1"/>
  <c r="C845" i="5" s="1"/>
  <c r="C846" i="5" s="1"/>
  <c r="C847" i="5" s="1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 s="1"/>
  <c r="C880" i="5" s="1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 s="1"/>
  <c r="C899" i="5" s="1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 s="1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 s="1"/>
  <c r="C1004" i="5"/>
  <c r="C1005" i="5"/>
  <c r="C1006" i="5"/>
  <c r="C1007" i="5"/>
  <c r="C1008" i="5"/>
  <c r="C1009" i="5"/>
  <c r="C1010" i="5" s="1"/>
  <c r="C1011" i="5" s="1"/>
  <c r="C1012" i="5" s="1"/>
  <c r="C1013" i="5" s="1"/>
  <c r="C1014" i="5" s="1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 s="1"/>
  <c r="C1102" i="5" s="1"/>
  <c r="C1103" i="5" s="1"/>
  <c r="C1104" i="5" s="1"/>
  <c r="C1105" i="5" s="1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 s="1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 s="1"/>
  <c r="C1165" i="5" s="1"/>
  <c r="C1166" i="5" s="1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 s="1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 s="1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 s="1"/>
  <c r="C1276" i="5" s="1"/>
  <c r="C1277" i="5" s="1"/>
  <c r="C1278" i="5" s="1"/>
  <c r="C1279" i="5" s="1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 s="1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 s="1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 s="1"/>
  <c r="C1432" i="5" s="1"/>
  <c r="C1433" i="5" s="1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 s="1"/>
  <c r="C1472" i="5" s="1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 s="1"/>
  <c r="C1544" i="5" s="1"/>
  <c r="C1545" i="5" s="1"/>
  <c r="C1546" i="5" s="1"/>
  <c r="C1547" i="5" s="1"/>
  <c r="C1548" i="5" s="1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 s="1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 s="1"/>
  <c r="C1641" i="5" s="1"/>
  <c r="C1642" i="5" s="1"/>
  <c r="C1643" i="5" s="1"/>
  <c r="C1644" i="5" s="1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 s="1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 s="1"/>
  <c r="C1700" i="5" s="1"/>
  <c r="C1701" i="5" s="1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 s="1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 s="1"/>
  <c r="C1802" i="5" s="1"/>
  <c r="C1803" i="5"/>
  <c r="C1804" i="5"/>
  <c r="C1805" i="5"/>
  <c r="C1806" i="5"/>
  <c r="C1807" i="5"/>
  <c r="C1808" i="5"/>
  <c r="C1809" i="5"/>
  <c r="C1810" i="5"/>
  <c r="C1811" i="5" s="1"/>
  <c r="C1812" i="5" s="1"/>
  <c r="C1813" i="5" s="1"/>
  <c r="C1814" i="5" s="1"/>
  <c r="C1815" i="5" s="1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 s="1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 s="1"/>
  <c r="C1901" i="5" s="1"/>
  <c r="C1902" i="5" s="1"/>
  <c r="C1903" i="5" s="1"/>
  <c r="C1904" i="5" s="1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 s="1"/>
  <c r="C1947" i="5" s="1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 s="1"/>
  <c r="C1968" i="5" s="1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 s="1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 s="1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 s="1"/>
  <c r="C2078" i="5" s="1"/>
  <c r="C2079" i="5" s="1"/>
  <c r="C2080" i="5" s="1"/>
  <c r="C2081" i="5" s="1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 s="1"/>
  <c r="C2159" i="5" s="1"/>
  <c r="C2160" i="5" s="1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 s="1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 s="1"/>
  <c r="C2230" i="5" s="1"/>
  <c r="C2231" i="5" s="1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 s="1"/>
  <c r="C2269" i="5" s="1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 s="1"/>
  <c r="C2341" i="5" s="1"/>
  <c r="C2342" i="5" s="1"/>
  <c r="C2343" i="5" s="1"/>
  <c r="C2344" i="5" s="1"/>
  <c r="C2345" i="5" s="1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 s="1"/>
  <c r="C2439" i="5" s="1"/>
  <c r="C2440" i="5" s="1"/>
  <c r="C2441" i="5" s="1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 s="1"/>
  <c r="C2477" i="5" s="1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 s="1"/>
  <c r="C2498" i="5" s="1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 s="1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 s="1"/>
  <c r="C2597" i="5" s="1"/>
  <c r="C2598" i="5"/>
  <c r="C2599" i="5"/>
  <c r="C2600" i="5"/>
  <c r="C2601" i="5"/>
  <c r="C2602" i="5"/>
  <c r="C2603" i="5"/>
  <c r="C2604" i="5"/>
  <c r="C2605" i="5"/>
  <c r="C2606" i="5"/>
  <c r="C2607" i="5"/>
  <c r="C2608" i="5" s="1"/>
  <c r="C2609" i="5" s="1"/>
  <c r="C2610" i="5" s="1"/>
  <c r="C2611" i="5" s="1"/>
  <c r="C2612" i="5" s="1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 s="1"/>
  <c r="C2696" i="5" s="1"/>
  <c r="C2697" i="5" s="1"/>
  <c r="C2698" i="5" s="1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 s="1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 s="1"/>
  <c r="C2763" i="5" s="1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 s="1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 s="1"/>
  <c r="C2872" i="5" s="1"/>
  <c r="C2873" i="5" s="1"/>
  <c r="C2874" i="5" s="1"/>
  <c r="C2875" i="5" s="1"/>
  <c r="C2876" i="5" s="1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 s="1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 s="1"/>
  <c r="C2972" i="5" s="1"/>
  <c r="C2973" i="5" s="1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 s="1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 s="1"/>
  <c r="C3024" i="5" s="1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6" i="5"/>
  <c r="H581" i="5"/>
  <c r="AA544" i="4"/>
  <c r="Y602" i="4"/>
  <c r="X602" i="4"/>
  <c r="W602" i="4"/>
  <c r="B550" i="4"/>
  <c r="A647" i="12"/>
  <c r="A912" i="9"/>
  <c r="B3049" i="5"/>
  <c r="B3050" i="5"/>
  <c r="B3051" i="5"/>
  <c r="B3052" i="5"/>
  <c r="B3053" i="5"/>
  <c r="R1" i="5"/>
  <c r="H1" i="12"/>
  <c r="I1" i="4"/>
  <c r="C550" i="4" l="1"/>
  <c r="AA542" i="4"/>
  <c r="AA543" i="4"/>
  <c r="W600" i="4"/>
  <c r="X600" i="4"/>
  <c r="Y600" i="4"/>
  <c r="W601" i="4"/>
  <c r="X601" i="4"/>
  <c r="Y601" i="4"/>
  <c r="B549" i="4"/>
  <c r="A646" i="12"/>
  <c r="A911" i="9"/>
  <c r="H580" i="5"/>
  <c r="B3047" i="5"/>
  <c r="B3048" i="5"/>
  <c r="B3044" i="5"/>
  <c r="B3045" i="5"/>
  <c r="B3046" i="5"/>
  <c r="C549" i="4" l="1"/>
  <c r="C548" i="4"/>
  <c r="B548" i="4"/>
  <c r="A645" i="12"/>
  <c r="A910" i="9"/>
  <c r="B3041" i="5"/>
  <c r="B3042" i="5"/>
  <c r="B3043" i="5"/>
  <c r="Y599" i="4" l="1"/>
  <c r="X599" i="4"/>
  <c r="W599" i="4"/>
  <c r="Y598" i="4"/>
  <c r="X598" i="4"/>
  <c r="W598" i="4"/>
  <c r="Y597" i="4"/>
  <c r="X597" i="4"/>
  <c r="W597" i="4"/>
  <c r="Y596" i="4"/>
  <c r="X596" i="4"/>
  <c r="W596" i="4"/>
  <c r="Y595" i="4"/>
  <c r="X595" i="4"/>
  <c r="W595" i="4"/>
  <c r="Y594" i="4"/>
  <c r="X594" i="4"/>
  <c r="W594" i="4"/>
  <c r="Y593" i="4"/>
  <c r="X593" i="4"/>
  <c r="W593" i="4"/>
  <c r="Y592" i="4"/>
  <c r="X592" i="4"/>
  <c r="W592" i="4"/>
  <c r="Y591" i="4"/>
  <c r="X591" i="4"/>
  <c r="W591" i="4"/>
  <c r="Y590" i="4"/>
  <c r="X590" i="4"/>
  <c r="W590" i="4"/>
  <c r="Y589" i="4"/>
  <c r="X589" i="4"/>
  <c r="W589" i="4"/>
  <c r="Y588" i="4"/>
  <c r="X588" i="4"/>
  <c r="W588" i="4"/>
  <c r="Y587" i="4"/>
  <c r="X587" i="4"/>
  <c r="W587" i="4"/>
  <c r="Y586" i="4"/>
  <c r="X586" i="4"/>
  <c r="W586" i="4"/>
  <c r="Y585" i="4"/>
  <c r="X585" i="4"/>
  <c r="W585" i="4"/>
  <c r="Y584" i="4"/>
  <c r="X584" i="4"/>
  <c r="W584" i="4"/>
  <c r="Y583" i="4"/>
  <c r="X583" i="4"/>
  <c r="W583" i="4"/>
  <c r="Y582" i="4"/>
  <c r="X582" i="4"/>
  <c r="W582" i="4"/>
  <c r="Y581" i="4"/>
  <c r="X581" i="4"/>
  <c r="W581" i="4"/>
  <c r="Y580" i="4"/>
  <c r="X580" i="4"/>
  <c r="W580" i="4"/>
  <c r="Y579" i="4"/>
  <c r="X579" i="4"/>
  <c r="W579" i="4"/>
  <c r="Y578" i="4"/>
  <c r="X578" i="4"/>
  <c r="W578" i="4"/>
  <c r="Y577" i="4"/>
  <c r="X577" i="4"/>
  <c r="W577" i="4"/>
  <c r="Y576" i="4"/>
  <c r="X576" i="4"/>
  <c r="W576" i="4"/>
  <c r="Y575" i="4"/>
  <c r="X575" i="4"/>
  <c r="W575" i="4"/>
  <c r="Y574" i="4"/>
  <c r="X574" i="4"/>
  <c r="W574" i="4"/>
  <c r="Y573" i="4"/>
  <c r="X573" i="4"/>
  <c r="W573" i="4"/>
  <c r="Y572" i="4"/>
  <c r="X572" i="4"/>
  <c r="W572" i="4"/>
  <c r="Y571" i="4"/>
  <c r="X571" i="4"/>
  <c r="W571" i="4"/>
  <c r="Y570" i="4"/>
  <c r="X570" i="4"/>
  <c r="W570" i="4"/>
  <c r="Y569" i="4"/>
  <c r="X569" i="4"/>
  <c r="W569" i="4"/>
  <c r="Y568" i="4"/>
  <c r="X568" i="4"/>
  <c r="W568" i="4"/>
  <c r="Y567" i="4"/>
  <c r="X567" i="4"/>
  <c r="W567" i="4"/>
  <c r="Y566" i="4"/>
  <c r="X566" i="4"/>
  <c r="W566" i="4"/>
  <c r="Y565" i="4"/>
  <c r="X565" i="4"/>
  <c r="W565" i="4"/>
  <c r="Y564" i="4"/>
  <c r="X564" i="4"/>
  <c r="W564" i="4"/>
  <c r="Y563" i="4"/>
  <c r="X563" i="4"/>
  <c r="W563" i="4"/>
  <c r="Y562" i="4"/>
  <c r="X562" i="4"/>
  <c r="W562" i="4"/>
  <c r="Y561" i="4"/>
  <c r="X561" i="4"/>
  <c r="W561" i="4"/>
  <c r="Y560" i="4"/>
  <c r="X560" i="4"/>
  <c r="W560" i="4"/>
  <c r="Y559" i="4"/>
  <c r="X559" i="4"/>
  <c r="W559" i="4"/>
  <c r="Y558" i="4"/>
  <c r="X558" i="4"/>
  <c r="W558" i="4"/>
  <c r="Y557" i="4"/>
  <c r="X557" i="4"/>
  <c r="W557" i="4"/>
  <c r="Y556" i="4"/>
  <c r="X556" i="4"/>
  <c r="W556" i="4"/>
  <c r="Y555" i="4"/>
  <c r="X555" i="4"/>
  <c r="W555" i="4"/>
  <c r="Y554" i="4"/>
  <c r="X554" i="4"/>
  <c r="W554" i="4"/>
  <c r="Y553" i="4"/>
  <c r="X553" i="4"/>
  <c r="W553" i="4"/>
  <c r="Y552" i="4"/>
  <c r="X552" i="4"/>
  <c r="W552" i="4"/>
  <c r="Y551" i="4"/>
  <c r="X551" i="4"/>
  <c r="W551" i="4"/>
  <c r="Y550" i="4"/>
  <c r="X550" i="4"/>
  <c r="W550" i="4"/>
  <c r="Y549" i="4"/>
  <c r="X549" i="4"/>
  <c r="W549" i="4"/>
  <c r="Y548" i="4"/>
  <c r="X548" i="4"/>
  <c r="W548" i="4"/>
  <c r="Y547" i="4"/>
  <c r="X547" i="4"/>
  <c r="W547" i="4"/>
  <c r="B547" i="4"/>
  <c r="Y546" i="4"/>
  <c r="X546" i="4"/>
  <c r="W546" i="4"/>
  <c r="B546" i="4"/>
  <c r="Y545" i="4"/>
  <c r="X545" i="4"/>
  <c r="W545" i="4"/>
  <c r="B545" i="4"/>
  <c r="Y544" i="4"/>
  <c r="X544" i="4"/>
  <c r="W544" i="4"/>
  <c r="B544" i="4"/>
  <c r="Y543" i="4"/>
  <c r="X543" i="4"/>
  <c r="W543" i="4"/>
  <c r="B543" i="4"/>
  <c r="Y542" i="4"/>
  <c r="X542" i="4"/>
  <c r="W542" i="4"/>
  <c r="B542" i="4"/>
  <c r="AA541" i="4"/>
  <c r="Y541" i="4"/>
  <c r="X541" i="4"/>
  <c r="W541" i="4"/>
  <c r="B541" i="4"/>
  <c r="AA540" i="4"/>
  <c r="Y540" i="4"/>
  <c r="X540" i="4"/>
  <c r="W540" i="4"/>
  <c r="B540" i="4"/>
  <c r="AA539" i="4"/>
  <c r="Y539" i="4"/>
  <c r="X539" i="4"/>
  <c r="W539" i="4"/>
  <c r="B539" i="4"/>
  <c r="AA538" i="4"/>
  <c r="Y538" i="4"/>
  <c r="X538" i="4"/>
  <c r="W538" i="4"/>
  <c r="B538" i="4"/>
  <c r="AA537" i="4"/>
  <c r="Y537" i="4"/>
  <c r="X537" i="4"/>
  <c r="W537" i="4"/>
  <c r="B537" i="4"/>
  <c r="AA536" i="4"/>
  <c r="Y536" i="4"/>
  <c r="X536" i="4"/>
  <c r="W536" i="4"/>
  <c r="B536" i="4"/>
  <c r="AA535" i="4"/>
  <c r="Y535" i="4"/>
  <c r="X535" i="4"/>
  <c r="W535" i="4"/>
  <c r="B535" i="4"/>
  <c r="AA534" i="4"/>
  <c r="Y534" i="4"/>
  <c r="X534" i="4"/>
  <c r="W534" i="4"/>
  <c r="B534" i="4"/>
  <c r="AA533" i="4"/>
  <c r="Y533" i="4"/>
  <c r="X533" i="4"/>
  <c r="W533" i="4"/>
  <c r="B533" i="4"/>
  <c r="AA532" i="4"/>
  <c r="Y532" i="4"/>
  <c r="X532" i="4"/>
  <c r="W532" i="4"/>
  <c r="B532" i="4"/>
  <c r="AA531" i="4"/>
  <c r="Y531" i="4"/>
  <c r="X531" i="4"/>
  <c r="W531" i="4"/>
  <c r="B531" i="4"/>
  <c r="AA530" i="4"/>
  <c r="Y530" i="4"/>
  <c r="X530" i="4"/>
  <c r="W530" i="4"/>
  <c r="B530" i="4"/>
  <c r="AA529" i="4"/>
  <c r="Y529" i="4"/>
  <c r="X529" i="4"/>
  <c r="W529" i="4"/>
  <c r="B529" i="4"/>
  <c r="AA528" i="4"/>
  <c r="Y528" i="4"/>
  <c r="X528" i="4"/>
  <c r="W528" i="4"/>
  <c r="B528" i="4"/>
  <c r="AA527" i="4"/>
  <c r="Y527" i="4"/>
  <c r="X527" i="4"/>
  <c r="W527" i="4"/>
  <c r="B527" i="4"/>
  <c r="AA526" i="4"/>
  <c r="Y526" i="4"/>
  <c r="X526" i="4"/>
  <c r="W526" i="4"/>
  <c r="B526" i="4"/>
  <c r="AA525" i="4"/>
  <c r="Y525" i="4"/>
  <c r="X525" i="4"/>
  <c r="W525" i="4"/>
  <c r="B525" i="4"/>
  <c r="AA524" i="4"/>
  <c r="Y524" i="4"/>
  <c r="X524" i="4"/>
  <c r="W524" i="4"/>
  <c r="B524" i="4"/>
  <c r="AA523" i="4"/>
  <c r="Y523" i="4"/>
  <c r="X523" i="4"/>
  <c r="W523" i="4"/>
  <c r="B523" i="4"/>
  <c r="AA522" i="4"/>
  <c r="Y522" i="4"/>
  <c r="X522" i="4"/>
  <c r="W522" i="4"/>
  <c r="B522" i="4"/>
  <c r="AA521" i="4"/>
  <c r="Y521" i="4"/>
  <c r="X521" i="4"/>
  <c r="W521" i="4"/>
  <c r="B521" i="4"/>
  <c r="AA520" i="4"/>
  <c r="Y520" i="4"/>
  <c r="X520" i="4"/>
  <c r="W520" i="4"/>
  <c r="B520" i="4"/>
  <c r="AA519" i="4"/>
  <c r="Y519" i="4"/>
  <c r="X519" i="4"/>
  <c r="W519" i="4"/>
  <c r="B519" i="4"/>
  <c r="AA518" i="4"/>
  <c r="Y518" i="4"/>
  <c r="X518" i="4"/>
  <c r="W518" i="4"/>
  <c r="B518" i="4"/>
  <c r="AA517" i="4"/>
  <c r="Y517" i="4"/>
  <c r="X517" i="4"/>
  <c r="W517" i="4"/>
  <c r="B517" i="4"/>
  <c r="AA516" i="4"/>
  <c r="Y516" i="4"/>
  <c r="X516" i="4"/>
  <c r="W516" i="4"/>
  <c r="B516" i="4"/>
  <c r="AA515" i="4"/>
  <c r="Y515" i="4"/>
  <c r="X515" i="4"/>
  <c r="W515" i="4"/>
  <c r="B515" i="4"/>
  <c r="AA514" i="4"/>
  <c r="Y514" i="4"/>
  <c r="X514" i="4"/>
  <c r="W514" i="4"/>
  <c r="B514" i="4"/>
  <c r="AA513" i="4"/>
  <c r="Y513" i="4"/>
  <c r="X513" i="4"/>
  <c r="W513" i="4"/>
  <c r="B513" i="4"/>
  <c r="AA512" i="4"/>
  <c r="Y512" i="4"/>
  <c r="X512" i="4"/>
  <c r="W512" i="4"/>
  <c r="B512" i="4"/>
  <c r="AA511" i="4"/>
  <c r="Y511" i="4"/>
  <c r="X511" i="4"/>
  <c r="W511" i="4"/>
  <c r="B511" i="4"/>
  <c r="AA510" i="4"/>
  <c r="Y510" i="4"/>
  <c r="X510" i="4"/>
  <c r="W510" i="4"/>
  <c r="B510" i="4"/>
  <c r="AA509" i="4"/>
  <c r="Y509" i="4"/>
  <c r="X509" i="4"/>
  <c r="W509" i="4"/>
  <c r="B509" i="4"/>
  <c r="AA508" i="4"/>
  <c r="Y508" i="4"/>
  <c r="X508" i="4"/>
  <c r="W508" i="4"/>
  <c r="B508" i="4"/>
  <c r="AA507" i="4"/>
  <c r="Y507" i="4"/>
  <c r="X507" i="4"/>
  <c r="W507" i="4"/>
  <c r="B507" i="4"/>
  <c r="AA506" i="4"/>
  <c r="Y506" i="4"/>
  <c r="X506" i="4"/>
  <c r="W506" i="4"/>
  <c r="B506" i="4"/>
  <c r="AA505" i="4"/>
  <c r="Y505" i="4"/>
  <c r="X505" i="4"/>
  <c r="W505" i="4"/>
  <c r="B505" i="4"/>
  <c r="AA504" i="4"/>
  <c r="Y504" i="4"/>
  <c r="X504" i="4"/>
  <c r="W504" i="4"/>
  <c r="B504" i="4"/>
  <c r="AA503" i="4"/>
  <c r="Y503" i="4"/>
  <c r="X503" i="4"/>
  <c r="W503" i="4"/>
  <c r="B503" i="4"/>
  <c r="AA502" i="4"/>
  <c r="Y502" i="4"/>
  <c r="X502" i="4"/>
  <c r="W502" i="4"/>
  <c r="B502" i="4"/>
  <c r="AA501" i="4"/>
  <c r="Y501" i="4"/>
  <c r="X501" i="4"/>
  <c r="W501" i="4"/>
  <c r="B501" i="4"/>
  <c r="AA500" i="4"/>
  <c r="Y500" i="4"/>
  <c r="X500" i="4"/>
  <c r="W500" i="4"/>
  <c r="B500" i="4"/>
  <c r="AA499" i="4"/>
  <c r="Y499" i="4"/>
  <c r="X499" i="4"/>
  <c r="W499" i="4"/>
  <c r="B499" i="4"/>
  <c r="AA498" i="4"/>
  <c r="Y498" i="4"/>
  <c r="X498" i="4"/>
  <c r="W498" i="4"/>
  <c r="B498" i="4"/>
  <c r="AA497" i="4"/>
  <c r="Y497" i="4"/>
  <c r="X497" i="4"/>
  <c r="W497" i="4"/>
  <c r="B497" i="4"/>
  <c r="AA496" i="4"/>
  <c r="Y496" i="4"/>
  <c r="X496" i="4"/>
  <c r="W496" i="4"/>
  <c r="B496" i="4"/>
  <c r="AA495" i="4"/>
  <c r="Y495" i="4"/>
  <c r="X495" i="4"/>
  <c r="W495" i="4"/>
  <c r="B495" i="4"/>
  <c r="AA494" i="4"/>
  <c r="Y494" i="4"/>
  <c r="X494" i="4"/>
  <c r="W494" i="4"/>
  <c r="B494" i="4"/>
  <c r="AA493" i="4"/>
  <c r="Y493" i="4"/>
  <c r="X493" i="4"/>
  <c r="W493" i="4"/>
  <c r="B493" i="4"/>
  <c r="AA492" i="4"/>
  <c r="Y492" i="4"/>
  <c r="X492" i="4"/>
  <c r="W492" i="4"/>
  <c r="B492" i="4"/>
  <c r="AA491" i="4"/>
  <c r="Y491" i="4"/>
  <c r="X491" i="4"/>
  <c r="W491" i="4"/>
  <c r="B491" i="4"/>
  <c r="AA490" i="4"/>
  <c r="Y490" i="4"/>
  <c r="X490" i="4"/>
  <c r="W490" i="4"/>
  <c r="B490" i="4"/>
  <c r="AA489" i="4"/>
  <c r="Y489" i="4"/>
  <c r="X489" i="4"/>
  <c r="W489" i="4"/>
  <c r="B489" i="4"/>
  <c r="AA488" i="4"/>
  <c r="Y488" i="4"/>
  <c r="X488" i="4"/>
  <c r="W488" i="4"/>
  <c r="B488" i="4"/>
  <c r="AA487" i="4"/>
  <c r="Y487" i="4"/>
  <c r="X487" i="4"/>
  <c r="W487" i="4"/>
  <c r="B487" i="4"/>
  <c r="AA486" i="4"/>
  <c r="Y486" i="4"/>
  <c r="X486" i="4"/>
  <c r="W486" i="4"/>
  <c r="B486" i="4"/>
  <c r="AA485" i="4"/>
  <c r="Y485" i="4"/>
  <c r="X485" i="4"/>
  <c r="W485" i="4"/>
  <c r="B485" i="4"/>
  <c r="AA484" i="4"/>
  <c r="Y484" i="4"/>
  <c r="X484" i="4"/>
  <c r="W484" i="4"/>
  <c r="B484" i="4"/>
  <c r="AA483" i="4"/>
  <c r="Y483" i="4"/>
  <c r="X483" i="4"/>
  <c r="W483" i="4"/>
  <c r="B483" i="4"/>
  <c r="AA482" i="4"/>
  <c r="Y482" i="4"/>
  <c r="X482" i="4"/>
  <c r="W482" i="4"/>
  <c r="B482" i="4"/>
  <c r="AA481" i="4"/>
  <c r="Y481" i="4"/>
  <c r="X481" i="4"/>
  <c r="W481" i="4"/>
  <c r="B481" i="4"/>
  <c r="AA480" i="4"/>
  <c r="Y480" i="4"/>
  <c r="X480" i="4"/>
  <c r="W480" i="4"/>
  <c r="B480" i="4"/>
  <c r="AA479" i="4"/>
  <c r="Y479" i="4"/>
  <c r="X479" i="4"/>
  <c r="W479" i="4"/>
  <c r="B479" i="4"/>
  <c r="AA478" i="4"/>
  <c r="Y478" i="4"/>
  <c r="X478" i="4"/>
  <c r="W478" i="4"/>
  <c r="B478" i="4"/>
  <c r="AA477" i="4"/>
  <c r="Y477" i="4"/>
  <c r="X477" i="4"/>
  <c r="W477" i="4"/>
  <c r="B477" i="4"/>
  <c r="AA476" i="4"/>
  <c r="Y476" i="4"/>
  <c r="X476" i="4"/>
  <c r="W476" i="4"/>
  <c r="B476" i="4"/>
  <c r="AA475" i="4"/>
  <c r="Y475" i="4"/>
  <c r="X475" i="4"/>
  <c r="W475" i="4"/>
  <c r="B475" i="4"/>
  <c r="AA474" i="4"/>
  <c r="Y474" i="4"/>
  <c r="X474" i="4"/>
  <c r="W474" i="4"/>
  <c r="B474" i="4"/>
  <c r="AA473" i="4"/>
  <c r="Y473" i="4"/>
  <c r="X473" i="4"/>
  <c r="W473" i="4"/>
  <c r="B473" i="4"/>
  <c r="AA472" i="4"/>
  <c r="Y472" i="4"/>
  <c r="X472" i="4"/>
  <c r="W472" i="4"/>
  <c r="B472" i="4"/>
  <c r="AA471" i="4"/>
  <c r="Y471" i="4"/>
  <c r="X471" i="4"/>
  <c r="W471" i="4"/>
  <c r="B471" i="4"/>
  <c r="AA470" i="4"/>
  <c r="Y470" i="4"/>
  <c r="X470" i="4"/>
  <c r="W470" i="4"/>
  <c r="B470" i="4"/>
  <c r="AA469" i="4"/>
  <c r="Y469" i="4"/>
  <c r="X469" i="4"/>
  <c r="W469" i="4"/>
  <c r="B469" i="4"/>
  <c r="AA468" i="4"/>
  <c r="Y468" i="4"/>
  <c r="X468" i="4"/>
  <c r="W468" i="4"/>
  <c r="B468" i="4"/>
  <c r="AA467" i="4"/>
  <c r="Y467" i="4"/>
  <c r="X467" i="4"/>
  <c r="W467" i="4"/>
  <c r="B467" i="4"/>
  <c r="AA466" i="4"/>
  <c r="Y466" i="4"/>
  <c r="X466" i="4"/>
  <c r="W466" i="4"/>
  <c r="B466" i="4"/>
  <c r="AA465" i="4"/>
  <c r="Y465" i="4"/>
  <c r="X465" i="4"/>
  <c r="W465" i="4"/>
  <c r="B465" i="4"/>
  <c r="AA464" i="4"/>
  <c r="Y464" i="4"/>
  <c r="X464" i="4"/>
  <c r="W464" i="4"/>
  <c r="B464" i="4"/>
  <c r="AA463" i="4"/>
  <c r="Y463" i="4"/>
  <c r="X463" i="4"/>
  <c r="W463" i="4"/>
  <c r="B463" i="4"/>
  <c r="AA462" i="4"/>
  <c r="Y462" i="4"/>
  <c r="X462" i="4"/>
  <c r="W462" i="4"/>
  <c r="B462" i="4"/>
  <c r="AA461" i="4"/>
  <c r="Y461" i="4"/>
  <c r="X461" i="4"/>
  <c r="W461" i="4"/>
  <c r="B461" i="4"/>
  <c r="AA460" i="4"/>
  <c r="Y460" i="4"/>
  <c r="X460" i="4"/>
  <c r="W460" i="4"/>
  <c r="B460" i="4"/>
  <c r="AA459" i="4"/>
  <c r="Y459" i="4"/>
  <c r="X459" i="4"/>
  <c r="W459" i="4"/>
  <c r="B459" i="4"/>
  <c r="AA458" i="4"/>
  <c r="Y458" i="4"/>
  <c r="X458" i="4"/>
  <c r="W458" i="4"/>
  <c r="B458" i="4"/>
  <c r="AA457" i="4"/>
  <c r="Y457" i="4"/>
  <c r="X457" i="4"/>
  <c r="W457" i="4"/>
  <c r="B457" i="4"/>
  <c r="AA456" i="4"/>
  <c r="Y456" i="4"/>
  <c r="X456" i="4"/>
  <c r="W456" i="4"/>
  <c r="B456" i="4"/>
  <c r="AA455" i="4"/>
  <c r="Y455" i="4"/>
  <c r="X455" i="4"/>
  <c r="W455" i="4"/>
  <c r="B455" i="4"/>
  <c r="AA454" i="4"/>
  <c r="Y454" i="4"/>
  <c r="X454" i="4"/>
  <c r="W454" i="4"/>
  <c r="B454" i="4"/>
  <c r="AA453" i="4"/>
  <c r="Y453" i="4"/>
  <c r="X453" i="4"/>
  <c r="W453" i="4"/>
  <c r="B453" i="4"/>
  <c r="AA452" i="4"/>
  <c r="Y452" i="4"/>
  <c r="X452" i="4"/>
  <c r="W452" i="4"/>
  <c r="B452" i="4"/>
  <c r="AA451" i="4"/>
  <c r="Y451" i="4"/>
  <c r="X451" i="4"/>
  <c r="W451" i="4"/>
  <c r="B451" i="4"/>
  <c r="AA450" i="4"/>
  <c r="Y450" i="4"/>
  <c r="X450" i="4"/>
  <c r="W450" i="4"/>
  <c r="B450" i="4"/>
  <c r="AA449" i="4"/>
  <c r="Y449" i="4"/>
  <c r="X449" i="4"/>
  <c r="W449" i="4"/>
  <c r="B449" i="4"/>
  <c r="AA448" i="4"/>
  <c r="Y448" i="4"/>
  <c r="X448" i="4"/>
  <c r="W448" i="4"/>
  <c r="B448" i="4"/>
  <c r="AA447" i="4"/>
  <c r="Y447" i="4"/>
  <c r="X447" i="4"/>
  <c r="W447" i="4"/>
  <c r="B447" i="4"/>
  <c r="AA446" i="4"/>
  <c r="Y446" i="4"/>
  <c r="X446" i="4"/>
  <c r="W446" i="4"/>
  <c r="B446" i="4"/>
  <c r="AA445" i="4"/>
  <c r="Y445" i="4"/>
  <c r="X445" i="4"/>
  <c r="W445" i="4"/>
  <c r="B445" i="4"/>
  <c r="AA444" i="4"/>
  <c r="Y444" i="4"/>
  <c r="X444" i="4"/>
  <c r="W444" i="4"/>
  <c r="B444" i="4"/>
  <c r="AA443" i="4"/>
  <c r="Y443" i="4"/>
  <c r="X443" i="4"/>
  <c r="W443" i="4"/>
  <c r="B443" i="4"/>
  <c r="AA442" i="4"/>
  <c r="Y442" i="4"/>
  <c r="X442" i="4"/>
  <c r="W442" i="4"/>
  <c r="B442" i="4"/>
  <c r="AA441" i="4"/>
  <c r="Y441" i="4"/>
  <c r="X441" i="4"/>
  <c r="W441" i="4"/>
  <c r="B441" i="4"/>
  <c r="AA440" i="4"/>
  <c r="Y440" i="4"/>
  <c r="X440" i="4"/>
  <c r="W440" i="4"/>
  <c r="B440" i="4"/>
  <c r="AA439" i="4"/>
  <c r="Y439" i="4"/>
  <c r="X439" i="4"/>
  <c r="W439" i="4"/>
  <c r="B439" i="4"/>
  <c r="AA438" i="4"/>
  <c r="Y438" i="4"/>
  <c r="X438" i="4"/>
  <c r="W438" i="4"/>
  <c r="B438" i="4"/>
  <c r="AA437" i="4"/>
  <c r="Y437" i="4"/>
  <c r="X437" i="4"/>
  <c r="W437" i="4"/>
  <c r="B437" i="4"/>
  <c r="AA436" i="4"/>
  <c r="Y436" i="4"/>
  <c r="X436" i="4"/>
  <c r="W436" i="4"/>
  <c r="B436" i="4"/>
  <c r="AA435" i="4"/>
  <c r="Y435" i="4"/>
  <c r="X435" i="4"/>
  <c r="W435" i="4"/>
  <c r="B435" i="4"/>
  <c r="AA434" i="4"/>
  <c r="Y434" i="4"/>
  <c r="X434" i="4"/>
  <c r="W434" i="4"/>
  <c r="B434" i="4"/>
  <c r="AA433" i="4"/>
  <c r="Y433" i="4"/>
  <c r="X433" i="4"/>
  <c r="W433" i="4"/>
  <c r="B433" i="4"/>
  <c r="AA432" i="4"/>
  <c r="Y432" i="4"/>
  <c r="X432" i="4"/>
  <c r="W432" i="4"/>
  <c r="B432" i="4"/>
  <c r="AA431" i="4"/>
  <c r="Y431" i="4"/>
  <c r="X431" i="4"/>
  <c r="W431" i="4"/>
  <c r="B431" i="4"/>
  <c r="AA430" i="4"/>
  <c r="Y430" i="4"/>
  <c r="X430" i="4"/>
  <c r="W430" i="4"/>
  <c r="B430" i="4"/>
  <c r="AA429" i="4"/>
  <c r="Y429" i="4"/>
  <c r="X429" i="4"/>
  <c r="W429" i="4"/>
  <c r="B429" i="4"/>
  <c r="AA428" i="4"/>
  <c r="Y428" i="4"/>
  <c r="X428" i="4"/>
  <c r="W428" i="4"/>
  <c r="B428" i="4"/>
  <c r="AA427" i="4"/>
  <c r="Y427" i="4"/>
  <c r="X427" i="4"/>
  <c r="W427" i="4"/>
  <c r="B427" i="4"/>
  <c r="AA426" i="4"/>
  <c r="Y426" i="4"/>
  <c r="X426" i="4"/>
  <c r="W426" i="4"/>
  <c r="B426" i="4"/>
  <c r="AA425" i="4"/>
  <c r="Y425" i="4"/>
  <c r="X425" i="4"/>
  <c r="W425" i="4"/>
  <c r="B425" i="4"/>
  <c r="AA424" i="4"/>
  <c r="Y424" i="4"/>
  <c r="X424" i="4"/>
  <c r="W424" i="4"/>
  <c r="B424" i="4"/>
  <c r="AA423" i="4"/>
  <c r="Y423" i="4"/>
  <c r="X423" i="4"/>
  <c r="W423" i="4"/>
  <c r="B423" i="4"/>
  <c r="AA422" i="4"/>
  <c r="Y422" i="4"/>
  <c r="X422" i="4"/>
  <c r="W422" i="4"/>
  <c r="B422" i="4"/>
  <c r="AA421" i="4"/>
  <c r="Y421" i="4"/>
  <c r="X421" i="4"/>
  <c r="W421" i="4"/>
  <c r="B421" i="4"/>
  <c r="AA420" i="4"/>
  <c r="Y420" i="4"/>
  <c r="X420" i="4"/>
  <c r="W420" i="4"/>
  <c r="B420" i="4"/>
  <c r="AA419" i="4"/>
  <c r="Y419" i="4"/>
  <c r="X419" i="4"/>
  <c r="W419" i="4"/>
  <c r="B419" i="4"/>
  <c r="AA418" i="4"/>
  <c r="Y418" i="4"/>
  <c r="X418" i="4"/>
  <c r="W418" i="4"/>
  <c r="B418" i="4"/>
  <c r="AA417" i="4"/>
  <c r="Y417" i="4"/>
  <c r="X417" i="4"/>
  <c r="W417" i="4"/>
  <c r="B417" i="4"/>
  <c r="AA416" i="4"/>
  <c r="Y416" i="4"/>
  <c r="X416" i="4"/>
  <c r="W416" i="4"/>
  <c r="B416" i="4"/>
  <c r="AA415" i="4"/>
  <c r="Y415" i="4"/>
  <c r="X415" i="4"/>
  <c r="W415" i="4"/>
  <c r="B415" i="4"/>
  <c r="AA414" i="4"/>
  <c r="Y414" i="4"/>
  <c r="X414" i="4"/>
  <c r="W414" i="4"/>
  <c r="B414" i="4"/>
  <c r="AA413" i="4"/>
  <c r="Y413" i="4"/>
  <c r="X413" i="4"/>
  <c r="W413" i="4"/>
  <c r="B413" i="4"/>
  <c r="AA412" i="4"/>
  <c r="Y412" i="4"/>
  <c r="X412" i="4"/>
  <c r="W412" i="4"/>
  <c r="B412" i="4"/>
  <c r="AA411" i="4"/>
  <c r="Y411" i="4"/>
  <c r="X411" i="4"/>
  <c r="W411" i="4"/>
  <c r="B411" i="4"/>
  <c r="AA410" i="4"/>
  <c r="Y410" i="4"/>
  <c r="X410" i="4"/>
  <c r="W410" i="4"/>
  <c r="B410" i="4"/>
  <c r="AA409" i="4"/>
  <c r="Y409" i="4"/>
  <c r="X409" i="4"/>
  <c r="W409" i="4"/>
  <c r="B409" i="4"/>
  <c r="AA408" i="4"/>
  <c r="Y408" i="4"/>
  <c r="X408" i="4"/>
  <c r="W408" i="4"/>
  <c r="B408" i="4"/>
  <c r="AA407" i="4"/>
  <c r="Y407" i="4"/>
  <c r="X407" i="4"/>
  <c r="W407" i="4"/>
  <c r="B407" i="4"/>
  <c r="AA406" i="4"/>
  <c r="Y406" i="4"/>
  <c r="X406" i="4"/>
  <c r="W406" i="4"/>
  <c r="B406" i="4"/>
  <c r="AA405" i="4"/>
  <c r="Y405" i="4"/>
  <c r="X405" i="4"/>
  <c r="W405" i="4"/>
  <c r="B405" i="4"/>
  <c r="AA404" i="4"/>
  <c r="Y404" i="4"/>
  <c r="X404" i="4"/>
  <c r="W404" i="4"/>
  <c r="B404" i="4"/>
  <c r="AA403" i="4"/>
  <c r="Y403" i="4"/>
  <c r="X403" i="4"/>
  <c r="W403" i="4"/>
  <c r="B403" i="4"/>
  <c r="AA402" i="4"/>
  <c r="Y402" i="4"/>
  <c r="X402" i="4"/>
  <c r="W402" i="4"/>
  <c r="B402" i="4"/>
  <c r="AA401" i="4"/>
  <c r="Y401" i="4"/>
  <c r="X401" i="4"/>
  <c r="W401" i="4"/>
  <c r="B401" i="4"/>
  <c r="AA400" i="4"/>
  <c r="Y400" i="4"/>
  <c r="X400" i="4"/>
  <c r="W400" i="4"/>
  <c r="B400" i="4"/>
  <c r="AA399" i="4"/>
  <c r="Y399" i="4"/>
  <c r="X399" i="4"/>
  <c r="W399" i="4"/>
  <c r="B399" i="4"/>
  <c r="AA398" i="4"/>
  <c r="Y398" i="4"/>
  <c r="X398" i="4"/>
  <c r="W398" i="4"/>
  <c r="B398" i="4"/>
  <c r="AA397" i="4"/>
  <c r="Y397" i="4"/>
  <c r="X397" i="4"/>
  <c r="W397" i="4"/>
  <c r="B397" i="4"/>
  <c r="AA396" i="4"/>
  <c r="Y396" i="4"/>
  <c r="X396" i="4"/>
  <c r="W396" i="4"/>
  <c r="B396" i="4"/>
  <c r="AA395" i="4"/>
  <c r="Y395" i="4"/>
  <c r="X395" i="4"/>
  <c r="W395" i="4"/>
  <c r="B395" i="4"/>
  <c r="AA394" i="4"/>
  <c r="Y394" i="4"/>
  <c r="X394" i="4"/>
  <c r="W394" i="4"/>
  <c r="B394" i="4"/>
  <c r="AA393" i="4"/>
  <c r="Y393" i="4"/>
  <c r="X393" i="4"/>
  <c r="W393" i="4"/>
  <c r="B393" i="4"/>
  <c r="AA392" i="4"/>
  <c r="Y392" i="4"/>
  <c r="X392" i="4"/>
  <c r="W392" i="4"/>
  <c r="B392" i="4"/>
  <c r="AA391" i="4"/>
  <c r="Y391" i="4"/>
  <c r="X391" i="4"/>
  <c r="W391" i="4"/>
  <c r="B391" i="4"/>
  <c r="AA390" i="4"/>
  <c r="Y390" i="4"/>
  <c r="X390" i="4"/>
  <c r="W390" i="4"/>
  <c r="B390" i="4"/>
  <c r="AA389" i="4"/>
  <c r="Y389" i="4"/>
  <c r="X389" i="4"/>
  <c r="W389" i="4"/>
  <c r="B389" i="4"/>
  <c r="AA388" i="4"/>
  <c r="Y388" i="4"/>
  <c r="X388" i="4"/>
  <c r="W388" i="4"/>
  <c r="B388" i="4"/>
  <c r="AA387" i="4"/>
  <c r="Y387" i="4"/>
  <c r="X387" i="4"/>
  <c r="W387" i="4"/>
  <c r="B387" i="4"/>
  <c r="AA386" i="4"/>
  <c r="Y386" i="4"/>
  <c r="X386" i="4"/>
  <c r="W386" i="4"/>
  <c r="B386" i="4"/>
  <c r="AA385" i="4"/>
  <c r="Y385" i="4"/>
  <c r="X385" i="4"/>
  <c r="W385" i="4"/>
  <c r="B385" i="4"/>
  <c r="AA384" i="4"/>
  <c r="Y384" i="4"/>
  <c r="X384" i="4"/>
  <c r="W384" i="4"/>
  <c r="B384" i="4"/>
  <c r="AA383" i="4"/>
  <c r="Y383" i="4"/>
  <c r="X383" i="4"/>
  <c r="W383" i="4"/>
  <c r="B383" i="4"/>
  <c r="AA382" i="4"/>
  <c r="Y382" i="4"/>
  <c r="X382" i="4"/>
  <c r="W382" i="4"/>
  <c r="B382" i="4"/>
  <c r="AA381" i="4"/>
  <c r="Y381" i="4"/>
  <c r="X381" i="4"/>
  <c r="W381" i="4"/>
  <c r="B381" i="4"/>
  <c r="AA380" i="4"/>
  <c r="Y380" i="4"/>
  <c r="X380" i="4"/>
  <c r="W380" i="4"/>
  <c r="B380" i="4"/>
  <c r="AA379" i="4"/>
  <c r="Y379" i="4"/>
  <c r="X379" i="4"/>
  <c r="W379" i="4"/>
  <c r="B379" i="4"/>
  <c r="AA378" i="4"/>
  <c r="Y378" i="4"/>
  <c r="X378" i="4"/>
  <c r="W378" i="4"/>
  <c r="B378" i="4"/>
  <c r="AA377" i="4"/>
  <c r="Y377" i="4"/>
  <c r="X377" i="4"/>
  <c r="W377" i="4"/>
  <c r="B377" i="4"/>
  <c r="AA376" i="4"/>
  <c r="Y376" i="4"/>
  <c r="X376" i="4"/>
  <c r="W376" i="4"/>
  <c r="B376" i="4"/>
  <c r="AA375" i="4"/>
  <c r="Y375" i="4"/>
  <c r="X375" i="4"/>
  <c r="W375" i="4"/>
  <c r="B375" i="4"/>
  <c r="AA374" i="4"/>
  <c r="Y374" i="4"/>
  <c r="X374" i="4"/>
  <c r="W374" i="4"/>
  <c r="B374" i="4"/>
  <c r="AA373" i="4"/>
  <c r="Y373" i="4"/>
  <c r="X373" i="4"/>
  <c r="W373" i="4"/>
  <c r="B373" i="4"/>
  <c r="AA372" i="4"/>
  <c r="Y372" i="4"/>
  <c r="X372" i="4"/>
  <c r="W372" i="4"/>
  <c r="B372" i="4"/>
  <c r="AA371" i="4"/>
  <c r="Y371" i="4"/>
  <c r="X371" i="4"/>
  <c r="W371" i="4"/>
  <c r="B371" i="4"/>
  <c r="AA370" i="4"/>
  <c r="Y370" i="4"/>
  <c r="X370" i="4"/>
  <c r="W370" i="4"/>
  <c r="B370" i="4"/>
  <c r="AA369" i="4"/>
  <c r="Y369" i="4"/>
  <c r="X369" i="4"/>
  <c r="W369" i="4"/>
  <c r="B369" i="4"/>
  <c r="AA368" i="4"/>
  <c r="Y368" i="4"/>
  <c r="X368" i="4"/>
  <c r="W368" i="4"/>
  <c r="B368" i="4"/>
  <c r="AA367" i="4"/>
  <c r="Y367" i="4"/>
  <c r="X367" i="4"/>
  <c r="W367" i="4"/>
  <c r="B367" i="4"/>
  <c r="AA366" i="4"/>
  <c r="Y366" i="4"/>
  <c r="X366" i="4"/>
  <c r="W366" i="4"/>
  <c r="B366" i="4"/>
  <c r="AA365" i="4"/>
  <c r="Y365" i="4"/>
  <c r="X365" i="4"/>
  <c r="W365" i="4"/>
  <c r="B365" i="4"/>
  <c r="AA364" i="4"/>
  <c r="Y364" i="4"/>
  <c r="X364" i="4"/>
  <c r="W364" i="4"/>
  <c r="B364" i="4"/>
  <c r="AA363" i="4"/>
  <c r="Y363" i="4"/>
  <c r="X363" i="4"/>
  <c r="W363" i="4"/>
  <c r="B363" i="4"/>
  <c r="AA362" i="4"/>
  <c r="Y362" i="4"/>
  <c r="X362" i="4"/>
  <c r="W362" i="4"/>
  <c r="B362" i="4"/>
  <c r="AA361" i="4"/>
  <c r="Y361" i="4"/>
  <c r="X361" i="4"/>
  <c r="W361" i="4"/>
  <c r="B361" i="4"/>
  <c r="AA360" i="4"/>
  <c r="Y360" i="4"/>
  <c r="X360" i="4"/>
  <c r="W360" i="4"/>
  <c r="B360" i="4"/>
  <c r="AA359" i="4"/>
  <c r="Y359" i="4"/>
  <c r="X359" i="4"/>
  <c r="W359" i="4"/>
  <c r="B359" i="4"/>
  <c r="AA358" i="4"/>
  <c r="Y358" i="4"/>
  <c r="X358" i="4"/>
  <c r="W358" i="4"/>
  <c r="B358" i="4"/>
  <c r="AA357" i="4"/>
  <c r="Y357" i="4"/>
  <c r="X357" i="4"/>
  <c r="W357" i="4"/>
  <c r="B357" i="4"/>
  <c r="AA356" i="4"/>
  <c r="Y356" i="4"/>
  <c r="X356" i="4"/>
  <c r="W356" i="4"/>
  <c r="B356" i="4"/>
  <c r="AA355" i="4"/>
  <c r="Y355" i="4"/>
  <c r="X355" i="4"/>
  <c r="W355" i="4"/>
  <c r="B355" i="4"/>
  <c r="AA354" i="4"/>
  <c r="Y354" i="4"/>
  <c r="X354" i="4"/>
  <c r="W354" i="4"/>
  <c r="B354" i="4"/>
  <c r="AA353" i="4"/>
  <c r="Y353" i="4"/>
  <c r="X353" i="4"/>
  <c r="W353" i="4"/>
  <c r="B353" i="4"/>
  <c r="AA352" i="4"/>
  <c r="Y352" i="4"/>
  <c r="X352" i="4"/>
  <c r="W352" i="4"/>
  <c r="B352" i="4"/>
  <c r="AA351" i="4"/>
  <c r="Y351" i="4"/>
  <c r="X351" i="4"/>
  <c r="W351" i="4"/>
  <c r="B351" i="4"/>
  <c r="AA350" i="4"/>
  <c r="Y350" i="4"/>
  <c r="X350" i="4"/>
  <c r="W350" i="4"/>
  <c r="B350" i="4"/>
  <c r="AA349" i="4"/>
  <c r="Y349" i="4"/>
  <c r="X349" i="4"/>
  <c r="W349" i="4"/>
  <c r="B349" i="4"/>
  <c r="AA348" i="4"/>
  <c r="Y348" i="4"/>
  <c r="X348" i="4"/>
  <c r="W348" i="4"/>
  <c r="B348" i="4"/>
  <c r="AA347" i="4"/>
  <c r="Y347" i="4"/>
  <c r="X347" i="4"/>
  <c r="W347" i="4"/>
  <c r="B347" i="4"/>
  <c r="AA346" i="4"/>
  <c r="Y346" i="4"/>
  <c r="X346" i="4"/>
  <c r="W346" i="4"/>
  <c r="B346" i="4"/>
  <c r="AA345" i="4"/>
  <c r="Y345" i="4"/>
  <c r="X345" i="4"/>
  <c r="W345" i="4"/>
  <c r="B345" i="4"/>
  <c r="AA344" i="4"/>
  <c r="Y344" i="4"/>
  <c r="X344" i="4"/>
  <c r="W344" i="4"/>
  <c r="B344" i="4"/>
  <c r="AA343" i="4"/>
  <c r="Y343" i="4"/>
  <c r="X343" i="4"/>
  <c r="W343" i="4"/>
  <c r="B343" i="4"/>
  <c r="AA342" i="4"/>
  <c r="Y342" i="4"/>
  <c r="X342" i="4"/>
  <c r="W342" i="4"/>
  <c r="B342" i="4"/>
  <c r="AA341" i="4"/>
  <c r="Y341" i="4"/>
  <c r="X341" i="4"/>
  <c r="W341" i="4"/>
  <c r="B341" i="4"/>
  <c r="AA340" i="4"/>
  <c r="Y340" i="4"/>
  <c r="X340" i="4"/>
  <c r="W340" i="4"/>
  <c r="B340" i="4"/>
  <c r="AA339" i="4"/>
  <c r="Y339" i="4"/>
  <c r="X339" i="4"/>
  <c r="W339" i="4"/>
  <c r="B339" i="4"/>
  <c r="AA338" i="4"/>
  <c r="Y338" i="4"/>
  <c r="X338" i="4"/>
  <c r="W338" i="4"/>
  <c r="B338" i="4"/>
  <c r="AA337" i="4"/>
  <c r="Y337" i="4"/>
  <c r="X337" i="4"/>
  <c r="W337" i="4"/>
  <c r="B337" i="4"/>
  <c r="AA336" i="4"/>
  <c r="Y336" i="4"/>
  <c r="X336" i="4"/>
  <c r="W336" i="4"/>
  <c r="B336" i="4"/>
  <c r="AA335" i="4"/>
  <c r="Y335" i="4"/>
  <c r="X335" i="4"/>
  <c r="W335" i="4"/>
  <c r="B335" i="4"/>
  <c r="AA334" i="4"/>
  <c r="Y334" i="4"/>
  <c r="X334" i="4"/>
  <c r="W334" i="4"/>
  <c r="B334" i="4"/>
  <c r="AA333" i="4"/>
  <c r="Y333" i="4"/>
  <c r="X333" i="4"/>
  <c r="W333" i="4"/>
  <c r="B333" i="4"/>
  <c r="AA332" i="4"/>
  <c r="Y332" i="4"/>
  <c r="X332" i="4"/>
  <c r="W332" i="4"/>
  <c r="B332" i="4"/>
  <c r="AA331" i="4"/>
  <c r="Y331" i="4"/>
  <c r="X331" i="4"/>
  <c r="W331" i="4"/>
  <c r="B331" i="4"/>
  <c r="AA330" i="4"/>
  <c r="Y330" i="4"/>
  <c r="X330" i="4"/>
  <c r="W330" i="4"/>
  <c r="B330" i="4"/>
  <c r="AA329" i="4"/>
  <c r="Y329" i="4"/>
  <c r="X329" i="4"/>
  <c r="W329" i="4"/>
  <c r="B329" i="4"/>
  <c r="AA328" i="4"/>
  <c r="Y328" i="4"/>
  <c r="X328" i="4"/>
  <c r="W328" i="4"/>
  <c r="B328" i="4"/>
  <c r="AA327" i="4"/>
  <c r="Y327" i="4"/>
  <c r="X327" i="4"/>
  <c r="W327" i="4"/>
  <c r="B327" i="4"/>
  <c r="AA326" i="4"/>
  <c r="Y326" i="4"/>
  <c r="X326" i="4"/>
  <c r="W326" i="4"/>
  <c r="B326" i="4"/>
  <c r="AA325" i="4"/>
  <c r="Y325" i="4"/>
  <c r="X325" i="4"/>
  <c r="W325" i="4"/>
  <c r="B325" i="4"/>
  <c r="AA324" i="4"/>
  <c r="Y324" i="4"/>
  <c r="X324" i="4"/>
  <c r="W324" i="4"/>
  <c r="B324" i="4"/>
  <c r="AA323" i="4"/>
  <c r="Y323" i="4"/>
  <c r="X323" i="4"/>
  <c r="W323" i="4"/>
  <c r="B323" i="4"/>
  <c r="AA322" i="4"/>
  <c r="Y322" i="4"/>
  <c r="X322" i="4"/>
  <c r="W322" i="4"/>
  <c r="B322" i="4"/>
  <c r="AA321" i="4"/>
  <c r="Y321" i="4"/>
  <c r="X321" i="4"/>
  <c r="W321" i="4"/>
  <c r="B321" i="4"/>
  <c r="AA320" i="4"/>
  <c r="Y320" i="4"/>
  <c r="X320" i="4"/>
  <c r="W320" i="4"/>
  <c r="B320" i="4"/>
  <c r="AA319" i="4"/>
  <c r="Y319" i="4"/>
  <c r="X319" i="4"/>
  <c r="W319" i="4"/>
  <c r="B319" i="4"/>
  <c r="AA318" i="4"/>
  <c r="Y318" i="4"/>
  <c r="X318" i="4"/>
  <c r="W318" i="4"/>
  <c r="B318" i="4"/>
  <c r="AA317" i="4"/>
  <c r="Y317" i="4"/>
  <c r="X317" i="4"/>
  <c r="W317" i="4"/>
  <c r="B317" i="4"/>
  <c r="AA316" i="4"/>
  <c r="Y316" i="4"/>
  <c r="X316" i="4"/>
  <c r="W316" i="4"/>
  <c r="B316" i="4"/>
  <c r="AA315" i="4"/>
  <c r="Y315" i="4"/>
  <c r="X315" i="4"/>
  <c r="W315" i="4"/>
  <c r="B315" i="4"/>
  <c r="AA314" i="4"/>
  <c r="Y314" i="4"/>
  <c r="X314" i="4"/>
  <c r="W314" i="4"/>
  <c r="B314" i="4"/>
  <c r="AA313" i="4"/>
  <c r="Y313" i="4"/>
  <c r="X313" i="4"/>
  <c r="W313" i="4"/>
  <c r="B313" i="4"/>
  <c r="AA312" i="4"/>
  <c r="Y312" i="4"/>
  <c r="X312" i="4"/>
  <c r="W312" i="4"/>
  <c r="B312" i="4"/>
  <c r="AA311" i="4"/>
  <c r="Y311" i="4"/>
  <c r="X311" i="4"/>
  <c r="W311" i="4"/>
  <c r="B311" i="4"/>
  <c r="AA310" i="4"/>
  <c r="Y310" i="4"/>
  <c r="X310" i="4"/>
  <c r="W310" i="4"/>
  <c r="B310" i="4"/>
  <c r="AA309" i="4"/>
  <c r="Y309" i="4"/>
  <c r="X309" i="4"/>
  <c r="W309" i="4"/>
  <c r="B309" i="4"/>
  <c r="AA308" i="4"/>
  <c r="Y308" i="4"/>
  <c r="X308" i="4"/>
  <c r="W308" i="4"/>
  <c r="B308" i="4"/>
  <c r="AA307" i="4"/>
  <c r="Y307" i="4"/>
  <c r="X307" i="4"/>
  <c r="W307" i="4"/>
  <c r="B307" i="4"/>
  <c r="AA306" i="4"/>
  <c r="Y306" i="4"/>
  <c r="X306" i="4"/>
  <c r="W306" i="4"/>
  <c r="B306" i="4"/>
  <c r="AA305" i="4"/>
  <c r="Y305" i="4"/>
  <c r="X305" i="4"/>
  <c r="W305" i="4"/>
  <c r="B305" i="4"/>
  <c r="AA304" i="4"/>
  <c r="Y304" i="4"/>
  <c r="X304" i="4"/>
  <c r="W304" i="4"/>
  <c r="B304" i="4"/>
  <c r="AA303" i="4"/>
  <c r="Y303" i="4"/>
  <c r="X303" i="4"/>
  <c r="W303" i="4"/>
  <c r="B303" i="4"/>
  <c r="AA302" i="4"/>
  <c r="Y302" i="4"/>
  <c r="X302" i="4"/>
  <c r="W302" i="4"/>
  <c r="B302" i="4"/>
  <c r="AA301" i="4"/>
  <c r="Y301" i="4"/>
  <c r="X301" i="4"/>
  <c r="W301" i="4"/>
  <c r="B301" i="4"/>
  <c r="AA300" i="4"/>
  <c r="Y300" i="4"/>
  <c r="X300" i="4"/>
  <c r="W300" i="4"/>
  <c r="B300" i="4"/>
  <c r="AA299" i="4"/>
  <c r="Y299" i="4"/>
  <c r="X299" i="4"/>
  <c r="W299" i="4"/>
  <c r="B299" i="4"/>
  <c r="AA298" i="4"/>
  <c r="Y298" i="4"/>
  <c r="X298" i="4"/>
  <c r="W298" i="4"/>
  <c r="B298" i="4"/>
  <c r="AA297" i="4"/>
  <c r="Y297" i="4"/>
  <c r="X297" i="4"/>
  <c r="W297" i="4"/>
  <c r="B297" i="4"/>
  <c r="AA296" i="4"/>
  <c r="Y296" i="4"/>
  <c r="X296" i="4"/>
  <c r="W296" i="4"/>
  <c r="B296" i="4"/>
  <c r="AA295" i="4"/>
  <c r="Y295" i="4"/>
  <c r="X295" i="4"/>
  <c r="W295" i="4"/>
  <c r="B295" i="4"/>
  <c r="AA294" i="4"/>
  <c r="Y294" i="4"/>
  <c r="X294" i="4"/>
  <c r="W294" i="4"/>
  <c r="B294" i="4"/>
  <c r="AA293" i="4"/>
  <c r="Y293" i="4"/>
  <c r="X293" i="4"/>
  <c r="W293" i="4"/>
  <c r="B293" i="4"/>
  <c r="AA292" i="4"/>
  <c r="Y292" i="4"/>
  <c r="X292" i="4"/>
  <c r="W292" i="4"/>
  <c r="B292" i="4"/>
  <c r="AA291" i="4"/>
  <c r="Y291" i="4"/>
  <c r="X291" i="4"/>
  <c r="W291" i="4"/>
  <c r="B291" i="4"/>
  <c r="AA290" i="4"/>
  <c r="Y290" i="4"/>
  <c r="X290" i="4"/>
  <c r="W290" i="4"/>
  <c r="B290" i="4"/>
  <c r="AA289" i="4"/>
  <c r="Y289" i="4"/>
  <c r="X289" i="4"/>
  <c r="W289" i="4"/>
  <c r="B289" i="4"/>
  <c r="AA288" i="4"/>
  <c r="Y288" i="4"/>
  <c r="X288" i="4"/>
  <c r="W288" i="4"/>
  <c r="B288" i="4"/>
  <c r="AA287" i="4"/>
  <c r="Y287" i="4"/>
  <c r="X287" i="4"/>
  <c r="W287" i="4"/>
  <c r="B287" i="4"/>
  <c r="AA286" i="4"/>
  <c r="Y286" i="4"/>
  <c r="X286" i="4"/>
  <c r="W286" i="4"/>
  <c r="B286" i="4"/>
  <c r="AA285" i="4"/>
  <c r="Y285" i="4"/>
  <c r="X285" i="4"/>
  <c r="W285" i="4"/>
  <c r="B285" i="4"/>
  <c r="AA284" i="4"/>
  <c r="Y284" i="4"/>
  <c r="X284" i="4"/>
  <c r="W284" i="4"/>
  <c r="B284" i="4"/>
  <c r="AA283" i="4"/>
  <c r="Y283" i="4"/>
  <c r="X283" i="4"/>
  <c r="W283" i="4"/>
  <c r="B283" i="4"/>
  <c r="AA282" i="4"/>
  <c r="Y282" i="4"/>
  <c r="X282" i="4"/>
  <c r="W282" i="4"/>
  <c r="B282" i="4"/>
  <c r="AA281" i="4"/>
  <c r="Y281" i="4"/>
  <c r="X281" i="4"/>
  <c r="W281" i="4"/>
  <c r="B281" i="4"/>
  <c r="AA280" i="4"/>
  <c r="Y280" i="4"/>
  <c r="X280" i="4"/>
  <c r="W280" i="4"/>
  <c r="B280" i="4"/>
  <c r="AA279" i="4"/>
  <c r="Y279" i="4"/>
  <c r="X279" i="4"/>
  <c r="W279" i="4"/>
  <c r="B279" i="4"/>
  <c r="AA278" i="4"/>
  <c r="Y278" i="4"/>
  <c r="X278" i="4"/>
  <c r="W278" i="4"/>
  <c r="B278" i="4"/>
  <c r="AA277" i="4"/>
  <c r="Y277" i="4"/>
  <c r="X277" i="4"/>
  <c r="W277" i="4"/>
  <c r="B277" i="4"/>
  <c r="AA276" i="4"/>
  <c r="Y276" i="4"/>
  <c r="X276" i="4"/>
  <c r="W276" i="4"/>
  <c r="B276" i="4"/>
  <c r="AA275" i="4"/>
  <c r="Y275" i="4"/>
  <c r="X275" i="4"/>
  <c r="W275" i="4"/>
  <c r="B275" i="4"/>
  <c r="AA274" i="4"/>
  <c r="Y274" i="4"/>
  <c r="X274" i="4"/>
  <c r="W274" i="4"/>
  <c r="B274" i="4"/>
  <c r="AA273" i="4"/>
  <c r="Y273" i="4"/>
  <c r="X273" i="4"/>
  <c r="W273" i="4"/>
  <c r="B273" i="4"/>
  <c r="AA272" i="4"/>
  <c r="Y272" i="4"/>
  <c r="X272" i="4"/>
  <c r="W272" i="4"/>
  <c r="B272" i="4"/>
  <c r="AA271" i="4"/>
  <c r="Y271" i="4"/>
  <c r="X271" i="4"/>
  <c r="W271" i="4"/>
  <c r="B271" i="4"/>
  <c r="AA270" i="4"/>
  <c r="Y270" i="4"/>
  <c r="X270" i="4"/>
  <c r="W270" i="4"/>
  <c r="B270" i="4"/>
  <c r="AA269" i="4"/>
  <c r="Y269" i="4"/>
  <c r="X269" i="4"/>
  <c r="W269" i="4"/>
  <c r="B269" i="4"/>
  <c r="AA268" i="4"/>
  <c r="Y268" i="4"/>
  <c r="X268" i="4"/>
  <c r="W268" i="4"/>
  <c r="B268" i="4"/>
  <c r="AA267" i="4"/>
  <c r="Y267" i="4"/>
  <c r="X267" i="4"/>
  <c r="W267" i="4"/>
  <c r="B267" i="4"/>
  <c r="AA266" i="4"/>
  <c r="Y266" i="4"/>
  <c r="X266" i="4"/>
  <c r="W266" i="4"/>
  <c r="B266" i="4"/>
  <c r="AA265" i="4"/>
  <c r="Y265" i="4"/>
  <c r="X265" i="4"/>
  <c r="W265" i="4"/>
  <c r="B265" i="4"/>
  <c r="AA264" i="4"/>
  <c r="Y264" i="4"/>
  <c r="X264" i="4"/>
  <c r="W264" i="4"/>
  <c r="B264" i="4"/>
  <c r="AA263" i="4"/>
  <c r="Y263" i="4"/>
  <c r="X263" i="4"/>
  <c r="W263" i="4"/>
  <c r="B263" i="4"/>
  <c r="AA262" i="4"/>
  <c r="Y262" i="4"/>
  <c r="X262" i="4"/>
  <c r="W262" i="4"/>
  <c r="B262" i="4"/>
  <c r="AA261" i="4"/>
  <c r="Y261" i="4"/>
  <c r="X261" i="4"/>
  <c r="W261" i="4"/>
  <c r="B261" i="4"/>
  <c r="AA260" i="4"/>
  <c r="Y260" i="4"/>
  <c r="X260" i="4"/>
  <c r="W260" i="4"/>
  <c r="B260" i="4"/>
  <c r="AA259" i="4"/>
  <c r="Y259" i="4"/>
  <c r="X259" i="4"/>
  <c r="W259" i="4"/>
  <c r="B259" i="4"/>
  <c r="AA258" i="4"/>
  <c r="Y258" i="4"/>
  <c r="X258" i="4"/>
  <c r="W258" i="4"/>
  <c r="B258" i="4"/>
  <c r="AA257" i="4"/>
  <c r="Y257" i="4"/>
  <c r="X257" i="4"/>
  <c r="W257" i="4"/>
  <c r="B257" i="4"/>
  <c r="AA256" i="4"/>
  <c r="Y256" i="4"/>
  <c r="X256" i="4"/>
  <c r="W256" i="4"/>
  <c r="B256" i="4"/>
  <c r="AA255" i="4"/>
  <c r="Y255" i="4"/>
  <c r="X255" i="4"/>
  <c r="W255" i="4"/>
  <c r="B255" i="4"/>
  <c r="AA254" i="4"/>
  <c r="Y254" i="4"/>
  <c r="X254" i="4"/>
  <c r="W254" i="4"/>
  <c r="B254" i="4"/>
  <c r="AA253" i="4"/>
  <c r="Y253" i="4"/>
  <c r="X253" i="4"/>
  <c r="W253" i="4"/>
  <c r="B253" i="4"/>
  <c r="AA252" i="4"/>
  <c r="Y252" i="4"/>
  <c r="X252" i="4"/>
  <c r="W252" i="4"/>
  <c r="B252" i="4"/>
  <c r="AA251" i="4"/>
  <c r="Y251" i="4"/>
  <c r="X251" i="4"/>
  <c r="W251" i="4"/>
  <c r="B251" i="4"/>
  <c r="AA250" i="4"/>
  <c r="Y250" i="4"/>
  <c r="X250" i="4"/>
  <c r="W250" i="4"/>
  <c r="B250" i="4"/>
  <c r="AA249" i="4"/>
  <c r="Y249" i="4"/>
  <c r="X249" i="4"/>
  <c r="W249" i="4"/>
  <c r="B249" i="4"/>
  <c r="AA248" i="4"/>
  <c r="Y248" i="4"/>
  <c r="X248" i="4"/>
  <c r="W248" i="4"/>
  <c r="B248" i="4"/>
  <c r="AA247" i="4"/>
  <c r="Y247" i="4"/>
  <c r="X247" i="4"/>
  <c r="W247" i="4"/>
  <c r="B247" i="4"/>
  <c r="AA246" i="4"/>
  <c r="Y246" i="4"/>
  <c r="X246" i="4"/>
  <c r="W246" i="4"/>
  <c r="B246" i="4"/>
  <c r="AA245" i="4"/>
  <c r="Y245" i="4"/>
  <c r="X245" i="4"/>
  <c r="W245" i="4"/>
  <c r="B245" i="4"/>
  <c r="AA244" i="4"/>
  <c r="Y244" i="4"/>
  <c r="X244" i="4"/>
  <c r="W244" i="4"/>
  <c r="B244" i="4"/>
  <c r="AA243" i="4"/>
  <c r="Y243" i="4"/>
  <c r="X243" i="4"/>
  <c r="W243" i="4"/>
  <c r="B243" i="4"/>
  <c r="AA242" i="4"/>
  <c r="Y242" i="4"/>
  <c r="X242" i="4"/>
  <c r="W242" i="4"/>
  <c r="B242" i="4"/>
  <c r="AA241" i="4"/>
  <c r="Y241" i="4"/>
  <c r="X241" i="4"/>
  <c r="W241" i="4"/>
  <c r="B241" i="4"/>
  <c r="AA240" i="4"/>
  <c r="Y240" i="4"/>
  <c r="X240" i="4"/>
  <c r="W240" i="4"/>
  <c r="B240" i="4"/>
  <c r="AA239" i="4"/>
  <c r="Y239" i="4"/>
  <c r="X239" i="4"/>
  <c r="W239" i="4"/>
  <c r="B239" i="4"/>
  <c r="AA238" i="4"/>
  <c r="Y238" i="4"/>
  <c r="X238" i="4"/>
  <c r="W238" i="4"/>
  <c r="B238" i="4"/>
  <c r="AA237" i="4"/>
  <c r="Y237" i="4"/>
  <c r="X237" i="4"/>
  <c r="W237" i="4"/>
  <c r="B237" i="4"/>
  <c r="AA236" i="4"/>
  <c r="Y236" i="4"/>
  <c r="X236" i="4"/>
  <c r="W236" i="4"/>
  <c r="B236" i="4"/>
  <c r="AA235" i="4"/>
  <c r="Y235" i="4"/>
  <c r="X235" i="4"/>
  <c r="W235" i="4"/>
  <c r="B235" i="4"/>
  <c r="AA234" i="4"/>
  <c r="Y234" i="4"/>
  <c r="X234" i="4"/>
  <c r="W234" i="4"/>
  <c r="B234" i="4"/>
  <c r="AA233" i="4"/>
  <c r="Y233" i="4"/>
  <c r="X233" i="4"/>
  <c r="W233" i="4"/>
  <c r="B233" i="4"/>
  <c r="AA232" i="4"/>
  <c r="Y232" i="4"/>
  <c r="X232" i="4"/>
  <c r="W232" i="4"/>
  <c r="B232" i="4"/>
  <c r="AA231" i="4"/>
  <c r="Y231" i="4"/>
  <c r="X231" i="4"/>
  <c r="W231" i="4"/>
  <c r="B231" i="4"/>
  <c r="AA230" i="4"/>
  <c r="Y230" i="4"/>
  <c r="X230" i="4"/>
  <c r="W230" i="4"/>
  <c r="B230" i="4"/>
  <c r="AA229" i="4"/>
  <c r="Y229" i="4"/>
  <c r="X229" i="4"/>
  <c r="W229" i="4"/>
  <c r="B229" i="4"/>
  <c r="AA228" i="4"/>
  <c r="Y228" i="4"/>
  <c r="X228" i="4"/>
  <c r="W228" i="4"/>
  <c r="B228" i="4"/>
  <c r="AA227" i="4"/>
  <c r="Y227" i="4"/>
  <c r="X227" i="4"/>
  <c r="W227" i="4"/>
  <c r="B227" i="4"/>
  <c r="AA226" i="4"/>
  <c r="Y226" i="4"/>
  <c r="X226" i="4"/>
  <c r="W226" i="4"/>
  <c r="B226" i="4"/>
  <c r="AA225" i="4"/>
  <c r="Y225" i="4"/>
  <c r="X225" i="4"/>
  <c r="W225" i="4"/>
  <c r="B225" i="4"/>
  <c r="AA224" i="4"/>
  <c r="Y224" i="4"/>
  <c r="X224" i="4"/>
  <c r="W224" i="4"/>
  <c r="B224" i="4"/>
  <c r="AA223" i="4"/>
  <c r="Y223" i="4"/>
  <c r="X223" i="4"/>
  <c r="W223" i="4"/>
  <c r="B223" i="4"/>
  <c r="AA222" i="4"/>
  <c r="Y222" i="4"/>
  <c r="X222" i="4"/>
  <c r="W222" i="4"/>
  <c r="B222" i="4"/>
  <c r="AA221" i="4"/>
  <c r="Y221" i="4"/>
  <c r="X221" i="4"/>
  <c r="W221" i="4"/>
  <c r="B221" i="4"/>
  <c r="AA220" i="4"/>
  <c r="Y220" i="4"/>
  <c r="X220" i="4"/>
  <c r="W220" i="4"/>
  <c r="B220" i="4"/>
  <c r="AA219" i="4"/>
  <c r="Y219" i="4"/>
  <c r="X219" i="4"/>
  <c r="W219" i="4"/>
  <c r="B219" i="4"/>
  <c r="AA218" i="4"/>
  <c r="Y218" i="4"/>
  <c r="X218" i="4"/>
  <c r="W218" i="4"/>
  <c r="B218" i="4"/>
  <c r="AA217" i="4"/>
  <c r="Y217" i="4"/>
  <c r="X217" i="4"/>
  <c r="W217" i="4"/>
  <c r="B217" i="4"/>
  <c r="AA216" i="4"/>
  <c r="Y216" i="4"/>
  <c r="X216" i="4"/>
  <c r="W216" i="4"/>
  <c r="B216" i="4"/>
  <c r="AA215" i="4"/>
  <c r="Y215" i="4"/>
  <c r="X215" i="4"/>
  <c r="W215" i="4"/>
  <c r="B215" i="4"/>
  <c r="AA214" i="4"/>
  <c r="Y214" i="4"/>
  <c r="X214" i="4"/>
  <c r="W214" i="4"/>
  <c r="B214" i="4"/>
  <c r="AA213" i="4"/>
  <c r="Y213" i="4"/>
  <c r="X213" i="4"/>
  <c r="W213" i="4"/>
  <c r="B213" i="4"/>
  <c r="AA212" i="4"/>
  <c r="Y212" i="4"/>
  <c r="X212" i="4"/>
  <c r="W212" i="4"/>
  <c r="B212" i="4"/>
  <c r="AA211" i="4"/>
  <c r="Y211" i="4"/>
  <c r="X211" i="4"/>
  <c r="W211" i="4"/>
  <c r="B211" i="4"/>
  <c r="AA210" i="4"/>
  <c r="Y210" i="4"/>
  <c r="X210" i="4"/>
  <c r="W210" i="4"/>
  <c r="B210" i="4"/>
  <c r="AA209" i="4"/>
  <c r="Y209" i="4"/>
  <c r="X209" i="4"/>
  <c r="W209" i="4"/>
  <c r="B209" i="4"/>
  <c r="AA208" i="4"/>
  <c r="Y208" i="4"/>
  <c r="X208" i="4"/>
  <c r="W208" i="4"/>
  <c r="B208" i="4"/>
  <c r="AA207" i="4"/>
  <c r="Y207" i="4"/>
  <c r="X207" i="4"/>
  <c r="W207" i="4"/>
  <c r="B207" i="4"/>
  <c r="AA206" i="4"/>
  <c r="Y206" i="4"/>
  <c r="X206" i="4"/>
  <c r="W206" i="4"/>
  <c r="B206" i="4"/>
  <c r="AA205" i="4"/>
  <c r="Y205" i="4"/>
  <c r="X205" i="4"/>
  <c r="W205" i="4"/>
  <c r="B205" i="4"/>
  <c r="AA204" i="4"/>
  <c r="Y204" i="4"/>
  <c r="X204" i="4"/>
  <c r="W204" i="4"/>
  <c r="B204" i="4"/>
  <c r="AA203" i="4"/>
  <c r="Y203" i="4"/>
  <c r="X203" i="4"/>
  <c r="W203" i="4"/>
  <c r="B203" i="4"/>
  <c r="AA202" i="4"/>
  <c r="Y202" i="4"/>
  <c r="X202" i="4"/>
  <c r="W202" i="4"/>
  <c r="B202" i="4"/>
  <c r="AA201" i="4"/>
  <c r="Y201" i="4"/>
  <c r="X201" i="4"/>
  <c r="W201" i="4"/>
  <c r="B201" i="4"/>
  <c r="AA200" i="4"/>
  <c r="Y200" i="4"/>
  <c r="X200" i="4"/>
  <c r="W200" i="4"/>
  <c r="B200" i="4"/>
  <c r="AA199" i="4"/>
  <c r="Y199" i="4"/>
  <c r="X199" i="4"/>
  <c r="W199" i="4"/>
  <c r="B199" i="4"/>
  <c r="AA198" i="4"/>
  <c r="Y198" i="4"/>
  <c r="X198" i="4"/>
  <c r="W198" i="4"/>
  <c r="B198" i="4"/>
  <c r="AA197" i="4"/>
  <c r="Y197" i="4"/>
  <c r="X197" i="4"/>
  <c r="W197" i="4"/>
  <c r="B197" i="4"/>
  <c r="AA196" i="4"/>
  <c r="Y196" i="4"/>
  <c r="X196" i="4"/>
  <c r="W196" i="4"/>
  <c r="B196" i="4"/>
  <c r="AA195" i="4"/>
  <c r="Y195" i="4"/>
  <c r="X195" i="4"/>
  <c r="W195" i="4"/>
  <c r="B195" i="4"/>
  <c r="AA194" i="4"/>
  <c r="Y194" i="4"/>
  <c r="X194" i="4"/>
  <c r="W194" i="4"/>
  <c r="B194" i="4"/>
  <c r="AA193" i="4"/>
  <c r="Y193" i="4"/>
  <c r="X193" i="4"/>
  <c r="W193" i="4"/>
  <c r="B193" i="4"/>
  <c r="AA192" i="4"/>
  <c r="Y192" i="4"/>
  <c r="X192" i="4"/>
  <c r="W192" i="4"/>
  <c r="B192" i="4"/>
  <c r="AA191" i="4"/>
  <c r="Y191" i="4"/>
  <c r="X191" i="4"/>
  <c r="W191" i="4"/>
  <c r="B191" i="4"/>
  <c r="AA190" i="4"/>
  <c r="Y190" i="4"/>
  <c r="X190" i="4"/>
  <c r="W190" i="4"/>
  <c r="B190" i="4"/>
  <c r="AA189" i="4"/>
  <c r="Y189" i="4"/>
  <c r="X189" i="4"/>
  <c r="W189" i="4"/>
  <c r="B189" i="4"/>
  <c r="AA188" i="4"/>
  <c r="Y188" i="4"/>
  <c r="X188" i="4"/>
  <c r="W188" i="4"/>
  <c r="B188" i="4"/>
  <c r="AA187" i="4"/>
  <c r="Y187" i="4"/>
  <c r="X187" i="4"/>
  <c r="W187" i="4"/>
  <c r="B187" i="4"/>
  <c r="AA186" i="4"/>
  <c r="Y186" i="4"/>
  <c r="X186" i="4"/>
  <c r="W186" i="4"/>
  <c r="B186" i="4"/>
  <c r="AA185" i="4"/>
  <c r="Y185" i="4"/>
  <c r="X185" i="4"/>
  <c r="W185" i="4"/>
  <c r="B185" i="4"/>
  <c r="AA184" i="4"/>
  <c r="Y184" i="4"/>
  <c r="X184" i="4"/>
  <c r="W184" i="4"/>
  <c r="B184" i="4"/>
  <c r="AA183" i="4"/>
  <c r="Y183" i="4"/>
  <c r="X183" i="4"/>
  <c r="W183" i="4"/>
  <c r="B183" i="4"/>
  <c r="AA182" i="4"/>
  <c r="Y182" i="4"/>
  <c r="X182" i="4"/>
  <c r="W182" i="4"/>
  <c r="B182" i="4"/>
  <c r="AA181" i="4"/>
  <c r="Y181" i="4"/>
  <c r="X181" i="4"/>
  <c r="W181" i="4"/>
  <c r="B181" i="4"/>
  <c r="AA180" i="4"/>
  <c r="Y180" i="4"/>
  <c r="X180" i="4"/>
  <c r="W180" i="4"/>
  <c r="B180" i="4"/>
  <c r="AA179" i="4"/>
  <c r="Y179" i="4"/>
  <c r="X179" i="4"/>
  <c r="W179" i="4"/>
  <c r="B179" i="4"/>
  <c r="AA178" i="4"/>
  <c r="Y178" i="4"/>
  <c r="X178" i="4"/>
  <c r="W178" i="4"/>
  <c r="B178" i="4"/>
  <c r="AA177" i="4"/>
  <c r="Y177" i="4"/>
  <c r="X177" i="4"/>
  <c r="W177" i="4"/>
  <c r="B177" i="4"/>
  <c r="AA176" i="4"/>
  <c r="Y176" i="4"/>
  <c r="X176" i="4"/>
  <c r="W176" i="4"/>
  <c r="B176" i="4"/>
  <c r="AA175" i="4"/>
  <c r="Y175" i="4"/>
  <c r="X175" i="4"/>
  <c r="W175" i="4"/>
  <c r="B175" i="4"/>
  <c r="AA174" i="4"/>
  <c r="Y174" i="4"/>
  <c r="X174" i="4"/>
  <c r="W174" i="4"/>
  <c r="B174" i="4"/>
  <c r="AA173" i="4"/>
  <c r="Y173" i="4"/>
  <c r="X173" i="4"/>
  <c r="W173" i="4"/>
  <c r="B173" i="4"/>
  <c r="AA172" i="4"/>
  <c r="Y172" i="4"/>
  <c r="X172" i="4"/>
  <c r="W172" i="4"/>
  <c r="B172" i="4"/>
  <c r="AA171" i="4"/>
  <c r="Y171" i="4"/>
  <c r="X171" i="4"/>
  <c r="W171" i="4"/>
  <c r="B171" i="4"/>
  <c r="AA170" i="4"/>
  <c r="Y170" i="4"/>
  <c r="X170" i="4"/>
  <c r="W170" i="4"/>
  <c r="B170" i="4"/>
  <c r="AA169" i="4"/>
  <c r="Y169" i="4"/>
  <c r="X169" i="4"/>
  <c r="W169" i="4"/>
  <c r="B169" i="4"/>
  <c r="AA168" i="4"/>
  <c r="Y168" i="4"/>
  <c r="X168" i="4"/>
  <c r="W168" i="4"/>
  <c r="B168" i="4"/>
  <c r="AA167" i="4"/>
  <c r="Y167" i="4"/>
  <c r="X167" i="4"/>
  <c r="W167" i="4"/>
  <c r="B167" i="4"/>
  <c r="AA166" i="4"/>
  <c r="Y166" i="4"/>
  <c r="X166" i="4"/>
  <c r="W166" i="4"/>
  <c r="B166" i="4"/>
  <c r="AA165" i="4"/>
  <c r="Y165" i="4"/>
  <c r="X165" i="4"/>
  <c r="W165" i="4"/>
  <c r="B165" i="4"/>
  <c r="AA164" i="4"/>
  <c r="Y164" i="4"/>
  <c r="X164" i="4"/>
  <c r="W164" i="4"/>
  <c r="B164" i="4"/>
  <c r="AA163" i="4"/>
  <c r="Y163" i="4"/>
  <c r="X163" i="4"/>
  <c r="W163" i="4"/>
  <c r="B163" i="4"/>
  <c r="AA162" i="4"/>
  <c r="Y162" i="4"/>
  <c r="X162" i="4"/>
  <c r="W162" i="4"/>
  <c r="B162" i="4"/>
  <c r="AA161" i="4"/>
  <c r="Y161" i="4"/>
  <c r="X161" i="4"/>
  <c r="W161" i="4"/>
  <c r="B161" i="4"/>
  <c r="AA160" i="4"/>
  <c r="Y160" i="4"/>
  <c r="X160" i="4"/>
  <c r="W160" i="4"/>
  <c r="B160" i="4"/>
  <c r="AA159" i="4"/>
  <c r="Y159" i="4"/>
  <c r="X159" i="4"/>
  <c r="W159" i="4"/>
  <c r="B159" i="4"/>
  <c r="AA158" i="4"/>
  <c r="Y158" i="4"/>
  <c r="X158" i="4"/>
  <c r="W158" i="4"/>
  <c r="B158" i="4"/>
  <c r="AA157" i="4"/>
  <c r="Y157" i="4"/>
  <c r="X157" i="4"/>
  <c r="W157" i="4"/>
  <c r="B157" i="4"/>
  <c r="AA156" i="4"/>
  <c r="Y156" i="4"/>
  <c r="X156" i="4"/>
  <c r="W156" i="4"/>
  <c r="B156" i="4"/>
  <c r="AA155" i="4"/>
  <c r="Y155" i="4"/>
  <c r="X155" i="4"/>
  <c r="W155" i="4"/>
  <c r="B155" i="4"/>
  <c r="AA154" i="4"/>
  <c r="Y154" i="4"/>
  <c r="X154" i="4"/>
  <c r="W154" i="4"/>
  <c r="B154" i="4"/>
  <c r="AA153" i="4"/>
  <c r="Y153" i="4"/>
  <c r="X153" i="4"/>
  <c r="W153" i="4"/>
  <c r="B153" i="4"/>
  <c r="AA152" i="4"/>
  <c r="Y152" i="4"/>
  <c r="X152" i="4"/>
  <c r="W152" i="4"/>
  <c r="B152" i="4"/>
  <c r="AA151" i="4"/>
  <c r="Y151" i="4"/>
  <c r="X151" i="4"/>
  <c r="W151" i="4"/>
  <c r="B151" i="4"/>
  <c r="AA150" i="4"/>
  <c r="Y150" i="4"/>
  <c r="X150" i="4"/>
  <c r="W150" i="4"/>
  <c r="B150" i="4"/>
  <c r="AA149" i="4"/>
  <c r="Y149" i="4"/>
  <c r="X149" i="4"/>
  <c r="W149" i="4"/>
  <c r="B149" i="4"/>
  <c r="AA148" i="4"/>
  <c r="Y148" i="4"/>
  <c r="X148" i="4"/>
  <c r="W148" i="4"/>
  <c r="B148" i="4"/>
  <c r="AA147" i="4"/>
  <c r="Y147" i="4"/>
  <c r="X147" i="4"/>
  <c r="W147" i="4"/>
  <c r="B147" i="4"/>
  <c r="AA146" i="4"/>
  <c r="Y146" i="4"/>
  <c r="X146" i="4"/>
  <c r="W146" i="4"/>
  <c r="B146" i="4"/>
  <c r="AA145" i="4"/>
  <c r="Y145" i="4"/>
  <c r="X145" i="4"/>
  <c r="W145" i="4"/>
  <c r="B145" i="4"/>
  <c r="AA144" i="4"/>
  <c r="Y144" i="4"/>
  <c r="X144" i="4"/>
  <c r="W144" i="4"/>
  <c r="B144" i="4"/>
  <c r="AA143" i="4"/>
  <c r="Y143" i="4"/>
  <c r="X143" i="4"/>
  <c r="W143" i="4"/>
  <c r="B143" i="4"/>
  <c r="AA142" i="4"/>
  <c r="Y142" i="4"/>
  <c r="X142" i="4"/>
  <c r="W142" i="4"/>
  <c r="B142" i="4"/>
  <c r="AA141" i="4"/>
  <c r="Y141" i="4"/>
  <c r="X141" i="4"/>
  <c r="W141" i="4"/>
  <c r="B141" i="4"/>
  <c r="AA140" i="4"/>
  <c r="Y140" i="4"/>
  <c r="X140" i="4"/>
  <c r="W140" i="4"/>
  <c r="B140" i="4"/>
  <c r="AA139" i="4"/>
  <c r="Y139" i="4"/>
  <c r="X139" i="4"/>
  <c r="W139" i="4"/>
  <c r="B139" i="4"/>
  <c r="AA138" i="4"/>
  <c r="Y138" i="4"/>
  <c r="X138" i="4"/>
  <c r="W138" i="4"/>
  <c r="B138" i="4"/>
  <c r="AA137" i="4"/>
  <c r="Y137" i="4"/>
  <c r="X137" i="4"/>
  <c r="W137" i="4"/>
  <c r="B137" i="4"/>
  <c r="AA136" i="4"/>
  <c r="Y136" i="4"/>
  <c r="X136" i="4"/>
  <c r="W136" i="4"/>
  <c r="B136" i="4"/>
  <c r="AA135" i="4"/>
  <c r="Y135" i="4"/>
  <c r="X135" i="4"/>
  <c r="W135" i="4"/>
  <c r="B135" i="4"/>
  <c r="AA134" i="4"/>
  <c r="Y134" i="4"/>
  <c r="X134" i="4"/>
  <c r="W134" i="4"/>
  <c r="B134" i="4"/>
  <c r="AA133" i="4"/>
  <c r="Y133" i="4"/>
  <c r="X133" i="4"/>
  <c r="W133" i="4"/>
  <c r="B133" i="4"/>
  <c r="AA132" i="4"/>
  <c r="Y132" i="4"/>
  <c r="X132" i="4"/>
  <c r="W132" i="4"/>
  <c r="B132" i="4"/>
  <c r="AA131" i="4"/>
  <c r="Y131" i="4"/>
  <c r="X131" i="4"/>
  <c r="W131" i="4"/>
  <c r="B131" i="4"/>
  <c r="AA130" i="4"/>
  <c r="Y130" i="4"/>
  <c r="X130" i="4"/>
  <c r="W130" i="4"/>
  <c r="B130" i="4"/>
  <c r="AA129" i="4"/>
  <c r="Y129" i="4"/>
  <c r="X129" i="4"/>
  <c r="W129" i="4"/>
  <c r="B129" i="4"/>
  <c r="AA128" i="4"/>
  <c r="Y128" i="4"/>
  <c r="X128" i="4"/>
  <c r="W128" i="4"/>
  <c r="B128" i="4"/>
  <c r="AA127" i="4"/>
  <c r="Y127" i="4"/>
  <c r="X127" i="4"/>
  <c r="W127" i="4"/>
  <c r="B127" i="4"/>
  <c r="AA126" i="4"/>
  <c r="Y126" i="4"/>
  <c r="X126" i="4"/>
  <c r="W126" i="4"/>
  <c r="B126" i="4"/>
  <c r="AA125" i="4"/>
  <c r="Y125" i="4"/>
  <c r="X125" i="4"/>
  <c r="W125" i="4"/>
  <c r="B125" i="4"/>
  <c r="AA124" i="4"/>
  <c r="Y124" i="4"/>
  <c r="X124" i="4"/>
  <c r="W124" i="4"/>
  <c r="B124" i="4"/>
  <c r="AA123" i="4"/>
  <c r="Y123" i="4"/>
  <c r="X123" i="4"/>
  <c r="W123" i="4"/>
  <c r="B123" i="4"/>
  <c r="AA122" i="4"/>
  <c r="Y122" i="4"/>
  <c r="X122" i="4"/>
  <c r="W122" i="4"/>
  <c r="B122" i="4"/>
  <c r="AA121" i="4"/>
  <c r="Y121" i="4"/>
  <c r="X121" i="4"/>
  <c r="W121" i="4"/>
  <c r="B121" i="4"/>
  <c r="AA120" i="4"/>
  <c r="Y120" i="4"/>
  <c r="X120" i="4"/>
  <c r="W120" i="4"/>
  <c r="B120" i="4"/>
  <c r="AA119" i="4"/>
  <c r="Y119" i="4"/>
  <c r="X119" i="4"/>
  <c r="W119" i="4"/>
  <c r="B119" i="4"/>
  <c r="AA118" i="4"/>
  <c r="Y118" i="4"/>
  <c r="X118" i="4"/>
  <c r="W118" i="4"/>
  <c r="B118" i="4"/>
  <c r="AA117" i="4"/>
  <c r="Y117" i="4"/>
  <c r="X117" i="4"/>
  <c r="W117" i="4"/>
  <c r="B117" i="4"/>
  <c r="AA116" i="4"/>
  <c r="Y116" i="4"/>
  <c r="X116" i="4"/>
  <c r="W116" i="4"/>
  <c r="B116" i="4"/>
  <c r="AA115" i="4"/>
  <c r="Y115" i="4"/>
  <c r="X115" i="4"/>
  <c r="W115" i="4"/>
  <c r="B115" i="4"/>
  <c r="AA114" i="4"/>
  <c r="Y114" i="4"/>
  <c r="X114" i="4"/>
  <c r="W114" i="4"/>
  <c r="B114" i="4"/>
  <c r="AA113" i="4"/>
  <c r="Y113" i="4"/>
  <c r="X113" i="4"/>
  <c r="W113" i="4"/>
  <c r="B113" i="4"/>
  <c r="AA112" i="4"/>
  <c r="Y112" i="4"/>
  <c r="X112" i="4"/>
  <c r="W112" i="4"/>
  <c r="B112" i="4"/>
  <c r="AA111" i="4"/>
  <c r="Y111" i="4"/>
  <c r="X111" i="4"/>
  <c r="W111" i="4"/>
  <c r="B111" i="4"/>
  <c r="AA110" i="4"/>
  <c r="Y110" i="4"/>
  <c r="X110" i="4"/>
  <c r="W110" i="4"/>
  <c r="B110" i="4"/>
  <c r="AA109" i="4"/>
  <c r="Y109" i="4"/>
  <c r="X109" i="4"/>
  <c r="W109" i="4"/>
  <c r="B109" i="4"/>
  <c r="AA108" i="4"/>
  <c r="Y108" i="4"/>
  <c r="X108" i="4"/>
  <c r="W108" i="4"/>
  <c r="B108" i="4"/>
  <c r="AA107" i="4"/>
  <c r="Y107" i="4"/>
  <c r="X107" i="4"/>
  <c r="W107" i="4"/>
  <c r="B107" i="4"/>
  <c r="AA106" i="4"/>
  <c r="Y106" i="4"/>
  <c r="X106" i="4"/>
  <c r="W106" i="4"/>
  <c r="B106" i="4"/>
  <c r="AA105" i="4"/>
  <c r="Y105" i="4"/>
  <c r="X105" i="4"/>
  <c r="W105" i="4"/>
  <c r="B105" i="4"/>
  <c r="AA104" i="4"/>
  <c r="Y104" i="4"/>
  <c r="X104" i="4"/>
  <c r="W104" i="4"/>
  <c r="B104" i="4"/>
  <c r="AA103" i="4"/>
  <c r="Y103" i="4"/>
  <c r="X103" i="4"/>
  <c r="W103" i="4"/>
  <c r="B103" i="4"/>
  <c r="AA102" i="4"/>
  <c r="Y102" i="4"/>
  <c r="X102" i="4"/>
  <c r="W102" i="4"/>
  <c r="B102" i="4"/>
  <c r="AA101" i="4"/>
  <c r="Y101" i="4"/>
  <c r="X101" i="4"/>
  <c r="W101" i="4"/>
  <c r="B101" i="4"/>
  <c r="AA100" i="4"/>
  <c r="Y100" i="4"/>
  <c r="X100" i="4"/>
  <c r="W100" i="4"/>
  <c r="B100" i="4"/>
  <c r="AA99" i="4"/>
  <c r="Y99" i="4"/>
  <c r="X99" i="4"/>
  <c r="W99" i="4"/>
  <c r="B99" i="4"/>
  <c r="AA98" i="4"/>
  <c r="Y98" i="4"/>
  <c r="X98" i="4"/>
  <c r="W98" i="4"/>
  <c r="B98" i="4"/>
  <c r="AA97" i="4"/>
  <c r="Y97" i="4"/>
  <c r="X97" i="4"/>
  <c r="W97" i="4"/>
  <c r="B97" i="4"/>
  <c r="AA96" i="4"/>
  <c r="Y96" i="4"/>
  <c r="X96" i="4"/>
  <c r="W96" i="4"/>
  <c r="B96" i="4"/>
  <c r="AA95" i="4"/>
  <c r="Y95" i="4"/>
  <c r="X95" i="4"/>
  <c r="W95" i="4"/>
  <c r="B95" i="4"/>
  <c r="AA94" i="4"/>
  <c r="Y94" i="4"/>
  <c r="X94" i="4"/>
  <c r="W94" i="4"/>
  <c r="B94" i="4"/>
  <c r="AA93" i="4"/>
  <c r="Y93" i="4"/>
  <c r="X93" i="4"/>
  <c r="W93" i="4"/>
  <c r="B93" i="4"/>
  <c r="AA92" i="4"/>
  <c r="Y92" i="4"/>
  <c r="X92" i="4"/>
  <c r="W92" i="4"/>
  <c r="B92" i="4"/>
  <c r="AA91" i="4"/>
  <c r="Y91" i="4"/>
  <c r="X91" i="4"/>
  <c r="W91" i="4"/>
  <c r="B91" i="4"/>
  <c r="AA90" i="4"/>
  <c r="Y90" i="4"/>
  <c r="X90" i="4"/>
  <c r="W90" i="4"/>
  <c r="B90" i="4"/>
  <c r="AA89" i="4"/>
  <c r="Y89" i="4"/>
  <c r="X89" i="4"/>
  <c r="W89" i="4"/>
  <c r="B89" i="4"/>
  <c r="AA88" i="4"/>
  <c r="Y88" i="4"/>
  <c r="X88" i="4"/>
  <c r="W88" i="4"/>
  <c r="B88" i="4"/>
  <c r="AA87" i="4"/>
  <c r="Y87" i="4"/>
  <c r="X87" i="4"/>
  <c r="W87" i="4"/>
  <c r="B87" i="4"/>
  <c r="AA86" i="4"/>
  <c r="Y86" i="4"/>
  <c r="X86" i="4"/>
  <c r="W86" i="4"/>
  <c r="B86" i="4"/>
  <c r="AA85" i="4"/>
  <c r="Y85" i="4"/>
  <c r="X85" i="4"/>
  <c r="W85" i="4"/>
  <c r="B85" i="4"/>
  <c r="AA84" i="4"/>
  <c r="Y84" i="4"/>
  <c r="X84" i="4"/>
  <c r="W84" i="4"/>
  <c r="B84" i="4"/>
  <c r="AA83" i="4"/>
  <c r="Y83" i="4"/>
  <c r="X83" i="4"/>
  <c r="W83" i="4"/>
  <c r="B83" i="4"/>
  <c r="AA82" i="4"/>
  <c r="Y82" i="4"/>
  <c r="X82" i="4"/>
  <c r="W82" i="4"/>
  <c r="B82" i="4"/>
  <c r="AA81" i="4"/>
  <c r="Y81" i="4"/>
  <c r="X81" i="4"/>
  <c r="W81" i="4"/>
  <c r="B81" i="4"/>
  <c r="AA80" i="4"/>
  <c r="Y80" i="4"/>
  <c r="X80" i="4"/>
  <c r="W80" i="4"/>
  <c r="B80" i="4"/>
  <c r="AA79" i="4"/>
  <c r="Y79" i="4"/>
  <c r="X79" i="4"/>
  <c r="W79" i="4"/>
  <c r="B79" i="4"/>
  <c r="AA78" i="4"/>
  <c r="Y78" i="4"/>
  <c r="X78" i="4"/>
  <c r="W78" i="4"/>
  <c r="B78" i="4"/>
  <c r="AA77" i="4"/>
  <c r="Y77" i="4"/>
  <c r="X77" i="4"/>
  <c r="W77" i="4"/>
  <c r="B77" i="4"/>
  <c r="AA76" i="4"/>
  <c r="Y76" i="4"/>
  <c r="X76" i="4"/>
  <c r="W76" i="4"/>
  <c r="B76" i="4"/>
  <c r="AA75" i="4"/>
  <c r="Y75" i="4"/>
  <c r="X75" i="4"/>
  <c r="W75" i="4"/>
  <c r="B75" i="4"/>
  <c r="AA74" i="4"/>
  <c r="Y74" i="4"/>
  <c r="X74" i="4"/>
  <c r="W74" i="4"/>
  <c r="B74" i="4"/>
  <c r="AA73" i="4"/>
  <c r="Y73" i="4"/>
  <c r="X73" i="4"/>
  <c r="W73" i="4"/>
  <c r="B73" i="4"/>
  <c r="AA72" i="4"/>
  <c r="Y72" i="4"/>
  <c r="X72" i="4"/>
  <c r="W72" i="4"/>
  <c r="B72" i="4"/>
  <c r="AA71" i="4"/>
  <c r="Y71" i="4"/>
  <c r="X71" i="4"/>
  <c r="W71" i="4"/>
  <c r="B71" i="4"/>
  <c r="AA70" i="4"/>
  <c r="Y70" i="4"/>
  <c r="X70" i="4"/>
  <c r="W70" i="4"/>
  <c r="B70" i="4"/>
  <c r="AA69" i="4"/>
  <c r="Y69" i="4"/>
  <c r="X69" i="4"/>
  <c r="W69" i="4"/>
  <c r="B69" i="4"/>
  <c r="AA68" i="4"/>
  <c r="Y68" i="4"/>
  <c r="X68" i="4"/>
  <c r="W68" i="4"/>
  <c r="B68" i="4"/>
  <c r="AA67" i="4"/>
  <c r="Y67" i="4"/>
  <c r="X67" i="4"/>
  <c r="W67" i="4"/>
  <c r="B67" i="4"/>
  <c r="AA66" i="4"/>
  <c r="Y66" i="4"/>
  <c r="X66" i="4"/>
  <c r="W66" i="4"/>
  <c r="B66" i="4"/>
  <c r="AA65" i="4"/>
  <c r="Y65" i="4"/>
  <c r="X65" i="4"/>
  <c r="W65" i="4"/>
  <c r="B65" i="4"/>
  <c r="AA64" i="4"/>
  <c r="Y64" i="4"/>
  <c r="X64" i="4"/>
  <c r="W64" i="4"/>
  <c r="B64" i="4"/>
  <c r="AA63" i="4"/>
  <c r="Y63" i="4"/>
  <c r="X63" i="4"/>
  <c r="W63" i="4"/>
  <c r="B63" i="4"/>
  <c r="AA62" i="4"/>
  <c r="Y62" i="4"/>
  <c r="X62" i="4"/>
  <c r="W62" i="4"/>
  <c r="B62" i="4"/>
  <c r="AA61" i="4"/>
  <c r="Y61" i="4"/>
  <c r="X61" i="4"/>
  <c r="W61" i="4"/>
  <c r="B61" i="4"/>
  <c r="AA60" i="4"/>
  <c r="Y60" i="4"/>
  <c r="X60" i="4"/>
  <c r="W60" i="4"/>
  <c r="B60" i="4"/>
  <c r="AA59" i="4"/>
  <c r="Y59" i="4"/>
  <c r="X59" i="4"/>
  <c r="W59" i="4"/>
  <c r="B59" i="4"/>
  <c r="AA58" i="4"/>
  <c r="Y58" i="4"/>
  <c r="X58" i="4"/>
  <c r="W58" i="4"/>
  <c r="B58" i="4"/>
  <c r="AA57" i="4"/>
  <c r="Y57" i="4"/>
  <c r="X57" i="4"/>
  <c r="W57" i="4"/>
  <c r="B57" i="4"/>
  <c r="AA56" i="4"/>
  <c r="Y56" i="4"/>
  <c r="X56" i="4"/>
  <c r="W56" i="4"/>
  <c r="B56" i="4"/>
  <c r="AA55" i="4"/>
  <c r="Y55" i="4"/>
  <c r="X55" i="4"/>
  <c r="W55" i="4"/>
  <c r="B55" i="4"/>
  <c r="AA54" i="4"/>
  <c r="Y54" i="4"/>
  <c r="X54" i="4"/>
  <c r="W54" i="4"/>
  <c r="B54" i="4"/>
  <c r="AA53" i="4"/>
  <c r="Y53" i="4"/>
  <c r="X53" i="4"/>
  <c r="W53" i="4"/>
  <c r="B53" i="4"/>
  <c r="AA52" i="4"/>
  <c r="Y52" i="4"/>
  <c r="X52" i="4"/>
  <c r="W52" i="4"/>
  <c r="B52" i="4"/>
  <c r="AA51" i="4"/>
  <c r="Y51" i="4"/>
  <c r="X51" i="4"/>
  <c r="W51" i="4"/>
  <c r="B51" i="4"/>
  <c r="AA50" i="4"/>
  <c r="Y50" i="4"/>
  <c r="X50" i="4"/>
  <c r="W50" i="4"/>
  <c r="B50" i="4"/>
  <c r="AA49" i="4"/>
  <c r="Y49" i="4"/>
  <c r="X49" i="4"/>
  <c r="W49" i="4"/>
  <c r="B49" i="4"/>
  <c r="AA48" i="4"/>
  <c r="Y48" i="4"/>
  <c r="X48" i="4"/>
  <c r="W48" i="4"/>
  <c r="B48" i="4"/>
  <c r="AA47" i="4"/>
  <c r="Y47" i="4"/>
  <c r="X47" i="4"/>
  <c r="W47" i="4"/>
  <c r="B47" i="4"/>
  <c r="AA46" i="4"/>
  <c r="Y46" i="4"/>
  <c r="X46" i="4"/>
  <c r="W46" i="4"/>
  <c r="B46" i="4"/>
  <c r="AA45" i="4"/>
  <c r="Y45" i="4"/>
  <c r="X45" i="4"/>
  <c r="W45" i="4"/>
  <c r="B45" i="4"/>
  <c r="AA44" i="4"/>
  <c r="Y44" i="4"/>
  <c r="X44" i="4"/>
  <c r="W44" i="4"/>
  <c r="B44" i="4"/>
  <c r="AA43" i="4"/>
  <c r="Y43" i="4"/>
  <c r="X43" i="4"/>
  <c r="W43" i="4"/>
  <c r="B43" i="4"/>
  <c r="AA42" i="4"/>
  <c r="Y42" i="4"/>
  <c r="X42" i="4"/>
  <c r="W42" i="4"/>
  <c r="B42" i="4"/>
  <c r="AA41" i="4"/>
  <c r="Y41" i="4"/>
  <c r="X41" i="4"/>
  <c r="W41" i="4"/>
  <c r="B41" i="4"/>
  <c r="AA40" i="4"/>
  <c r="Y40" i="4"/>
  <c r="X40" i="4"/>
  <c r="W40" i="4"/>
  <c r="B40" i="4"/>
  <c r="AA39" i="4"/>
  <c r="Y39" i="4"/>
  <c r="X39" i="4"/>
  <c r="W39" i="4"/>
  <c r="B39" i="4"/>
  <c r="AA38" i="4"/>
  <c r="Y38" i="4"/>
  <c r="X38" i="4"/>
  <c r="W38" i="4"/>
  <c r="B38" i="4"/>
  <c r="AA37" i="4"/>
  <c r="Y37" i="4"/>
  <c r="X37" i="4"/>
  <c r="W37" i="4"/>
  <c r="B37" i="4"/>
  <c r="AA36" i="4"/>
  <c r="Y36" i="4"/>
  <c r="X36" i="4"/>
  <c r="W36" i="4"/>
  <c r="B36" i="4"/>
  <c r="AA35" i="4"/>
  <c r="Y35" i="4"/>
  <c r="X35" i="4"/>
  <c r="W35" i="4"/>
  <c r="B35" i="4"/>
  <c r="AA34" i="4"/>
  <c r="Y34" i="4"/>
  <c r="X34" i="4"/>
  <c r="W34" i="4"/>
  <c r="B34" i="4"/>
  <c r="AA33" i="4"/>
  <c r="Y33" i="4"/>
  <c r="X33" i="4"/>
  <c r="W33" i="4"/>
  <c r="B33" i="4"/>
  <c r="AA32" i="4"/>
  <c r="Y32" i="4"/>
  <c r="X32" i="4"/>
  <c r="W32" i="4"/>
  <c r="B32" i="4"/>
  <c r="AA31" i="4"/>
  <c r="Y31" i="4"/>
  <c r="X31" i="4"/>
  <c r="W31" i="4"/>
  <c r="B31" i="4"/>
  <c r="AA30" i="4"/>
  <c r="Y30" i="4"/>
  <c r="X30" i="4"/>
  <c r="W30" i="4"/>
  <c r="B30" i="4"/>
  <c r="AA29" i="4"/>
  <c r="Y29" i="4"/>
  <c r="X29" i="4"/>
  <c r="W29" i="4"/>
  <c r="B29" i="4"/>
  <c r="AA28" i="4"/>
  <c r="Y28" i="4"/>
  <c r="X28" i="4"/>
  <c r="W28" i="4"/>
  <c r="B28" i="4"/>
  <c r="AA27" i="4"/>
  <c r="Y27" i="4"/>
  <c r="X27" i="4"/>
  <c r="W27" i="4"/>
  <c r="B27" i="4"/>
  <c r="AA26" i="4"/>
  <c r="Y26" i="4"/>
  <c r="X26" i="4"/>
  <c r="W26" i="4"/>
  <c r="B26" i="4"/>
  <c r="AA25" i="4"/>
  <c r="Y25" i="4"/>
  <c r="X25" i="4"/>
  <c r="W25" i="4"/>
  <c r="B25" i="4"/>
  <c r="AA24" i="4"/>
  <c r="Y24" i="4"/>
  <c r="X24" i="4"/>
  <c r="W24" i="4"/>
  <c r="B24" i="4"/>
  <c r="AA23" i="4"/>
  <c r="Y23" i="4"/>
  <c r="X23" i="4"/>
  <c r="W23" i="4"/>
  <c r="B23" i="4"/>
  <c r="AA22" i="4"/>
  <c r="Y22" i="4"/>
  <c r="X22" i="4"/>
  <c r="W22" i="4"/>
  <c r="B22" i="4"/>
  <c r="AA21" i="4"/>
  <c r="Y21" i="4"/>
  <c r="X21" i="4"/>
  <c r="W21" i="4"/>
  <c r="B21" i="4"/>
  <c r="AA20" i="4"/>
  <c r="Y20" i="4"/>
  <c r="X20" i="4"/>
  <c r="W20" i="4"/>
  <c r="B20" i="4"/>
  <c r="AA19" i="4"/>
  <c r="Y19" i="4"/>
  <c r="X19" i="4"/>
  <c r="W19" i="4"/>
  <c r="B19" i="4"/>
  <c r="AA18" i="4"/>
  <c r="Y18" i="4"/>
  <c r="X18" i="4"/>
  <c r="W18" i="4"/>
  <c r="B18" i="4"/>
  <c r="AA17" i="4"/>
  <c r="Y17" i="4"/>
  <c r="X17" i="4"/>
  <c r="W17" i="4"/>
  <c r="B17" i="4"/>
  <c r="AA16" i="4"/>
  <c r="Y16" i="4"/>
  <c r="X16" i="4"/>
  <c r="W16" i="4"/>
  <c r="B16" i="4"/>
  <c r="AA15" i="4"/>
  <c r="Y15" i="4"/>
  <c r="X15" i="4"/>
  <c r="W15" i="4"/>
  <c r="B15" i="4"/>
  <c r="AA14" i="4"/>
  <c r="Y14" i="4"/>
  <c r="X14" i="4"/>
  <c r="W14" i="4"/>
  <c r="B14" i="4"/>
  <c r="AA13" i="4"/>
  <c r="Y13" i="4"/>
  <c r="X13" i="4"/>
  <c r="W13" i="4"/>
  <c r="B13" i="4"/>
  <c r="AA12" i="4"/>
  <c r="Y12" i="4"/>
  <c r="W12" i="4"/>
  <c r="B12" i="4"/>
  <c r="AA11" i="4"/>
  <c r="Y11" i="4"/>
  <c r="X11" i="4"/>
  <c r="X12" i="4" s="1"/>
  <c r="W11" i="4"/>
  <c r="B11" i="4"/>
  <c r="AA10" i="4"/>
  <c r="Y10" i="4"/>
  <c r="X10" i="4"/>
  <c r="W10" i="4"/>
  <c r="B10" i="4"/>
  <c r="AA9" i="4"/>
  <c r="Y9" i="4"/>
  <c r="X9" i="4"/>
  <c r="W9" i="4"/>
  <c r="B9" i="4"/>
  <c r="AA8" i="4"/>
  <c r="Y8" i="4"/>
  <c r="X8" i="4"/>
  <c r="W8" i="4"/>
  <c r="B8" i="4"/>
  <c r="AA7" i="4"/>
  <c r="Y7" i="4"/>
  <c r="X7" i="4"/>
  <c r="W7" i="4"/>
  <c r="B7" i="4"/>
  <c r="AA6" i="4"/>
  <c r="Y6" i="4"/>
  <c r="X6" i="4"/>
  <c r="W6" i="4"/>
  <c r="B6" i="4"/>
  <c r="AF5" i="4"/>
  <c r="AE5" i="4"/>
  <c r="AD5" i="4"/>
  <c r="AB332" i="4"/>
  <c r="AB333" i="4" s="1"/>
  <c r="AB334" i="4" s="1"/>
  <c r="AB335" i="4" s="1"/>
  <c r="AB336" i="4" s="1"/>
  <c r="AB337" i="4" s="1"/>
  <c r="AB338" i="4" s="1"/>
  <c r="AB339" i="4" s="1"/>
  <c r="AB340" i="4" s="1"/>
  <c r="AB341" i="4" s="1"/>
  <c r="AB342" i="4" s="1"/>
  <c r="AB343" i="4" s="1"/>
  <c r="AB344" i="4" s="1"/>
  <c r="AB345" i="4" s="1"/>
  <c r="AB346" i="4" s="1"/>
  <c r="AB347" i="4" s="1"/>
  <c r="AB348" i="4" s="1"/>
  <c r="AB349" i="4" s="1"/>
  <c r="AB350" i="4" s="1"/>
  <c r="AB351" i="4" s="1"/>
  <c r="AB352" i="4" s="1"/>
  <c r="AB353" i="4" s="1"/>
  <c r="AB354" i="4" s="1"/>
  <c r="AB355" i="4" s="1"/>
  <c r="AB356" i="4" s="1"/>
  <c r="AB357" i="4" s="1"/>
  <c r="AB358" i="4" s="1"/>
  <c r="AB359" i="4" s="1"/>
  <c r="AB360" i="4" s="1"/>
  <c r="AB361" i="4" s="1"/>
  <c r="AB362" i="4" s="1"/>
  <c r="AB363" i="4" s="1"/>
  <c r="AB364" i="4" s="1"/>
  <c r="AB365" i="4" s="1"/>
  <c r="AB366" i="4" s="1"/>
  <c r="AB367" i="4" s="1"/>
  <c r="AB368" i="4" s="1"/>
  <c r="AB369" i="4" s="1"/>
  <c r="AB370" i="4" s="1"/>
  <c r="AB371" i="4" s="1"/>
  <c r="AB372" i="4" s="1"/>
  <c r="AB373" i="4" s="1"/>
  <c r="AB374" i="4" s="1"/>
  <c r="AB375" i="4" s="1"/>
  <c r="AB376" i="4" s="1"/>
  <c r="AB377" i="4" s="1"/>
  <c r="AB378" i="4" s="1"/>
  <c r="AB379" i="4" s="1"/>
  <c r="AB380" i="4" s="1"/>
  <c r="AB381" i="4" s="1"/>
  <c r="AB382" i="4" s="1"/>
  <c r="AB383" i="4" s="1"/>
  <c r="AB384" i="4" s="1"/>
  <c r="AB385" i="4" s="1"/>
  <c r="AB386" i="4" s="1"/>
  <c r="AB387" i="4" s="1"/>
  <c r="AB388" i="4" s="1"/>
  <c r="AB389" i="4" s="1"/>
  <c r="AB390" i="4" s="1"/>
  <c r="AB391" i="4" s="1"/>
  <c r="AB392" i="4" s="1"/>
  <c r="AB393" i="4" s="1"/>
  <c r="AB394" i="4" s="1"/>
  <c r="AB395" i="4" s="1"/>
  <c r="AB396" i="4" s="1"/>
  <c r="AB397" i="4" s="1"/>
  <c r="AB398" i="4" s="1"/>
  <c r="AB399" i="4" s="1"/>
  <c r="AB400" i="4" s="1"/>
  <c r="AB401" i="4" s="1"/>
  <c r="AB402" i="4" s="1"/>
  <c r="AB403" i="4" s="1"/>
  <c r="AB404" i="4" s="1"/>
  <c r="AB405" i="4" s="1"/>
  <c r="AB406" i="4" s="1"/>
  <c r="AB407" i="4" s="1"/>
  <c r="AB408" i="4" s="1"/>
  <c r="AB409" i="4" s="1"/>
  <c r="AB410" i="4" s="1"/>
  <c r="AB411" i="4" s="1"/>
  <c r="AB412" i="4" s="1"/>
  <c r="AB413" i="4" s="1"/>
  <c r="AB414" i="4" s="1"/>
  <c r="AB415" i="4" s="1"/>
  <c r="AB416" i="4" s="1"/>
  <c r="AB417" i="4" s="1"/>
  <c r="AB418" i="4" s="1"/>
  <c r="AB419" i="4" s="1"/>
  <c r="AB420" i="4" s="1"/>
  <c r="AB421" i="4" s="1"/>
  <c r="AB422" i="4" s="1"/>
  <c r="AB423" i="4" s="1"/>
  <c r="AB424" i="4" s="1"/>
  <c r="AB425" i="4" s="1"/>
  <c r="AB426" i="4" s="1"/>
  <c r="AB427" i="4" s="1"/>
  <c r="AB428" i="4" s="1"/>
  <c r="AB429" i="4" s="1"/>
  <c r="AB430" i="4" s="1"/>
  <c r="AB431" i="4" s="1"/>
  <c r="AB432" i="4" s="1"/>
  <c r="AB433" i="4" s="1"/>
  <c r="AB434" i="4" s="1"/>
  <c r="AB435" i="4" s="1"/>
  <c r="AB436" i="4" s="1"/>
  <c r="AB437" i="4" s="1"/>
  <c r="AB438" i="4" s="1"/>
  <c r="AB439" i="4" s="1"/>
  <c r="AB440" i="4" s="1"/>
  <c r="AB441" i="4" s="1"/>
  <c r="AB442" i="4" s="1"/>
  <c r="AB443" i="4" s="1"/>
  <c r="AB444" i="4" s="1"/>
  <c r="AB445" i="4" s="1"/>
  <c r="AB446" i="4" s="1"/>
  <c r="AB447" i="4" s="1"/>
  <c r="AB448" i="4" s="1"/>
  <c r="AB449" i="4" s="1"/>
  <c r="AB450" i="4" s="1"/>
  <c r="AB451" i="4" s="1"/>
  <c r="AB452" i="4" s="1"/>
  <c r="AB453" i="4" s="1"/>
  <c r="AB454" i="4" s="1"/>
  <c r="AB455" i="4" s="1"/>
  <c r="AB456" i="4" s="1"/>
  <c r="AB457" i="4" s="1"/>
  <c r="AB458" i="4" s="1"/>
  <c r="AB459" i="4" s="1"/>
  <c r="AB460" i="4" s="1"/>
  <c r="AB461" i="4" s="1"/>
  <c r="AB462" i="4" s="1"/>
  <c r="AB463" i="4" s="1"/>
  <c r="AB464" i="4" s="1"/>
  <c r="AB465" i="4" s="1"/>
  <c r="AB466" i="4" s="1"/>
  <c r="AB467" i="4" s="1"/>
  <c r="AB468" i="4" s="1"/>
  <c r="AB469" i="4" s="1"/>
  <c r="AB470" i="4" s="1"/>
  <c r="AB471" i="4" s="1"/>
  <c r="AB472" i="4" s="1"/>
  <c r="AB473" i="4" s="1"/>
  <c r="AB474" i="4" s="1"/>
  <c r="AB475" i="4" s="1"/>
  <c r="AB476" i="4" s="1"/>
  <c r="AB477" i="4" s="1"/>
  <c r="AB478" i="4" s="1"/>
  <c r="AB479" i="4" s="1"/>
  <c r="AB480" i="4" s="1"/>
  <c r="AB481" i="4" s="1"/>
  <c r="AB482" i="4" s="1"/>
  <c r="AB483" i="4" s="1"/>
  <c r="AB484" i="4" s="1"/>
  <c r="AB485" i="4" s="1"/>
  <c r="AB486" i="4" s="1"/>
  <c r="AB487" i="4" s="1"/>
  <c r="AB488" i="4" s="1"/>
  <c r="AB489" i="4" s="1"/>
  <c r="AB490" i="4" s="1"/>
  <c r="AB491" i="4" s="1"/>
  <c r="AB492" i="4" s="1"/>
  <c r="AB493" i="4" s="1"/>
  <c r="AB494" i="4" s="1"/>
  <c r="AB495" i="4" s="1"/>
  <c r="AB496" i="4" s="1"/>
  <c r="AB497" i="4" s="1"/>
  <c r="AB498" i="4" s="1"/>
  <c r="AB499" i="4" s="1"/>
  <c r="AB500" i="4" s="1"/>
  <c r="AB501" i="4" s="1"/>
  <c r="AB502" i="4" s="1"/>
  <c r="AB503" i="4" s="1"/>
  <c r="AB504" i="4" s="1"/>
  <c r="AB505" i="4" s="1"/>
  <c r="AB506" i="4" s="1"/>
  <c r="AB507" i="4" s="1"/>
  <c r="AB508" i="4" s="1"/>
  <c r="AB509" i="4" s="1"/>
  <c r="AB510" i="4" s="1"/>
  <c r="AB511" i="4" s="1"/>
  <c r="AB512" i="4" s="1"/>
  <c r="AB513" i="4" s="1"/>
  <c r="AB514" i="4" s="1"/>
  <c r="AB515" i="4" s="1"/>
  <c r="AB516" i="4" s="1"/>
  <c r="AB517" i="4" s="1"/>
  <c r="AB518" i="4" s="1"/>
  <c r="AB519" i="4" s="1"/>
  <c r="AB520" i="4" s="1"/>
  <c r="AB521" i="4" s="1"/>
  <c r="AB522" i="4" s="1"/>
  <c r="AB523" i="4" s="1"/>
  <c r="AB524" i="4" s="1"/>
  <c r="AB525" i="4" s="1"/>
  <c r="AB526" i="4" s="1"/>
  <c r="AB527" i="4" s="1"/>
  <c r="AB528" i="4" s="1"/>
  <c r="AB529" i="4" s="1"/>
  <c r="AB530" i="4" s="1"/>
  <c r="AB531" i="4" s="1"/>
  <c r="AB532" i="4" s="1"/>
  <c r="AB533" i="4" s="1"/>
  <c r="AB534" i="4" s="1"/>
  <c r="AB535" i="4" s="1"/>
  <c r="AB536" i="4" s="1"/>
  <c r="AB537" i="4" s="1"/>
  <c r="AB538" i="4" s="1"/>
  <c r="AB539" i="4" s="1"/>
  <c r="AB540" i="4" s="1"/>
  <c r="AB541" i="4" s="1"/>
  <c r="AB542" i="4" s="1"/>
  <c r="AA5" i="4"/>
  <c r="Y5" i="4"/>
  <c r="X5" i="4"/>
  <c r="W5" i="4"/>
  <c r="B5" i="4"/>
  <c r="A644" i="12"/>
  <c r="A643" i="12"/>
  <c r="A642" i="12"/>
  <c r="A641" i="12"/>
  <c r="A640" i="12"/>
  <c r="A639" i="12"/>
  <c r="A638" i="12"/>
  <c r="A637" i="12"/>
  <c r="A636" i="12"/>
  <c r="A635" i="12"/>
  <c r="A634" i="12"/>
  <c r="A633" i="12"/>
  <c r="A632" i="12"/>
  <c r="A631" i="12"/>
  <c r="A630" i="12"/>
  <c r="A629" i="12"/>
  <c r="A628" i="12"/>
  <c r="A627" i="12"/>
  <c r="A626" i="12"/>
  <c r="A625" i="12"/>
  <c r="A624" i="12"/>
  <c r="A623" i="12"/>
  <c r="A622" i="12"/>
  <c r="A621" i="12"/>
  <c r="A620" i="12"/>
  <c r="A619" i="12"/>
  <c r="A618" i="12"/>
  <c r="A617" i="12"/>
  <c r="A616" i="12"/>
  <c r="A615" i="12"/>
  <c r="A614" i="12"/>
  <c r="A613" i="12"/>
  <c r="A612" i="12"/>
  <c r="A611" i="12"/>
  <c r="A610" i="12"/>
  <c r="A609" i="12"/>
  <c r="A608" i="12"/>
  <c r="A607" i="12"/>
  <c r="A606" i="12"/>
  <c r="A605" i="12"/>
  <c r="A604" i="12"/>
  <c r="A603" i="12"/>
  <c r="A602" i="12"/>
  <c r="A601" i="12"/>
  <c r="A600" i="12"/>
  <c r="A599" i="12"/>
  <c r="A598" i="12"/>
  <c r="A597" i="12"/>
  <c r="A596" i="12"/>
  <c r="A595" i="12"/>
  <c r="A594" i="12"/>
  <c r="A593" i="12"/>
  <c r="A592" i="12"/>
  <c r="A591" i="12"/>
  <c r="A590" i="12"/>
  <c r="A589" i="12"/>
  <c r="A588" i="12"/>
  <c r="A587" i="12"/>
  <c r="A586" i="12"/>
  <c r="A585" i="12"/>
  <c r="A584" i="12"/>
  <c r="A583" i="12"/>
  <c r="A582" i="12"/>
  <c r="A581" i="12"/>
  <c r="A580" i="12"/>
  <c r="A579" i="12"/>
  <c r="A578" i="12"/>
  <c r="A577" i="12"/>
  <c r="A576" i="12"/>
  <c r="A575" i="12"/>
  <c r="A574" i="12"/>
  <c r="A573" i="12"/>
  <c r="A572" i="12"/>
  <c r="A571" i="12"/>
  <c r="A570" i="12"/>
  <c r="A569" i="12"/>
  <c r="A568" i="12"/>
  <c r="A567" i="12"/>
  <c r="A566" i="12"/>
  <c r="A565" i="12"/>
  <c r="A564" i="12"/>
  <c r="A563" i="12"/>
  <c r="A562" i="12"/>
  <c r="A561" i="12"/>
  <c r="A560" i="12"/>
  <c r="A559" i="12"/>
  <c r="A558" i="12"/>
  <c r="A557" i="12"/>
  <c r="A556" i="12"/>
  <c r="A555" i="12"/>
  <c r="A554" i="12"/>
  <c r="A553" i="12"/>
  <c r="A552" i="12"/>
  <c r="A551" i="12"/>
  <c r="A550" i="12"/>
  <c r="A549" i="12"/>
  <c r="A548" i="12"/>
  <c r="A547" i="12"/>
  <c r="A546" i="12"/>
  <c r="A545" i="12"/>
  <c r="A544" i="12"/>
  <c r="A543" i="12"/>
  <c r="A542" i="12"/>
  <c r="A541" i="12"/>
  <c r="A540" i="12"/>
  <c r="A539" i="12"/>
  <c r="A538" i="12"/>
  <c r="A537" i="12"/>
  <c r="A536" i="12"/>
  <c r="A535" i="12"/>
  <c r="A534" i="12"/>
  <c r="A533" i="12"/>
  <c r="A532" i="12"/>
  <c r="A531" i="12"/>
  <c r="A530" i="12"/>
  <c r="A529" i="12"/>
  <c r="A528" i="12"/>
  <c r="A527" i="12"/>
  <c r="A526" i="12"/>
  <c r="A525" i="12"/>
  <c r="A524" i="12"/>
  <c r="A523" i="12"/>
  <c r="A522" i="12"/>
  <c r="A521" i="12"/>
  <c r="A520" i="12"/>
  <c r="A519" i="12"/>
  <c r="A518" i="12"/>
  <c r="A517" i="12"/>
  <c r="A516" i="12"/>
  <c r="A515" i="12"/>
  <c r="A514" i="12"/>
  <c r="A513" i="12"/>
  <c r="A512" i="12"/>
  <c r="A511" i="12"/>
  <c r="A510" i="12"/>
  <c r="A509" i="12"/>
  <c r="A508" i="12"/>
  <c r="A507" i="12"/>
  <c r="A506" i="12"/>
  <c r="A505" i="12"/>
  <c r="A504" i="12"/>
  <c r="A503" i="12"/>
  <c r="A502" i="12"/>
  <c r="A501" i="12"/>
  <c r="A500" i="12"/>
  <c r="A499" i="12"/>
  <c r="A498" i="12"/>
  <c r="A497" i="12"/>
  <c r="A496" i="12"/>
  <c r="A495" i="12"/>
  <c r="A494" i="12"/>
  <c r="A493" i="12"/>
  <c r="A492" i="12"/>
  <c r="A491" i="12"/>
  <c r="A490" i="12"/>
  <c r="A489" i="12"/>
  <c r="A488" i="12"/>
  <c r="A487" i="12"/>
  <c r="A486" i="12"/>
  <c r="A485" i="12"/>
  <c r="A484" i="12"/>
  <c r="A483" i="12"/>
  <c r="A482" i="12"/>
  <c r="A481" i="12"/>
  <c r="A480" i="12"/>
  <c r="A479" i="12"/>
  <c r="A478" i="12"/>
  <c r="A477" i="12"/>
  <c r="A476" i="12"/>
  <c r="A475" i="12"/>
  <c r="A474" i="12"/>
  <c r="A473" i="12"/>
  <c r="A472" i="12"/>
  <c r="A471" i="12"/>
  <c r="A470" i="12"/>
  <c r="A469" i="12"/>
  <c r="A468" i="12"/>
  <c r="A467" i="12"/>
  <c r="A466" i="12"/>
  <c r="A465" i="12"/>
  <c r="A464" i="12"/>
  <c r="A463" i="12"/>
  <c r="A462" i="12"/>
  <c r="A461" i="12"/>
  <c r="A460" i="12"/>
  <c r="A459" i="12"/>
  <c r="A458" i="12"/>
  <c r="A457" i="12"/>
  <c r="A456" i="12"/>
  <c r="A455" i="12"/>
  <c r="A454" i="12"/>
  <c r="A453" i="12"/>
  <c r="A452" i="12"/>
  <c r="A451" i="12"/>
  <c r="A450" i="12"/>
  <c r="A449" i="12"/>
  <c r="A448" i="12"/>
  <c r="A447" i="12"/>
  <c r="A446" i="12"/>
  <c r="A445" i="12"/>
  <c r="A444" i="12"/>
  <c r="A443" i="12"/>
  <c r="A442" i="12"/>
  <c r="A441" i="12"/>
  <c r="A440" i="12"/>
  <c r="A439" i="12"/>
  <c r="A438" i="12"/>
  <c r="A437" i="12"/>
  <c r="A436" i="12"/>
  <c r="A435" i="12"/>
  <c r="A434" i="12"/>
  <c r="A433" i="12"/>
  <c r="A432" i="12"/>
  <c r="A431" i="12"/>
  <c r="A430" i="12"/>
  <c r="A429" i="12"/>
  <c r="A428" i="12"/>
  <c r="A427" i="12"/>
  <c r="A426" i="12"/>
  <c r="A425" i="12"/>
  <c r="A424" i="12"/>
  <c r="A423" i="12"/>
  <c r="A422" i="12"/>
  <c r="A421" i="12"/>
  <c r="A420" i="12"/>
  <c r="A419" i="12"/>
  <c r="A418" i="12"/>
  <c r="A417" i="12"/>
  <c r="A416" i="12"/>
  <c r="A415" i="12"/>
  <c r="A414" i="12"/>
  <c r="A413" i="12"/>
  <c r="A412" i="12"/>
  <c r="A411" i="12"/>
  <c r="A410" i="12"/>
  <c r="A409" i="12"/>
  <c r="A408" i="12"/>
  <c r="A407" i="12"/>
  <c r="A406" i="12"/>
  <c r="A405" i="12"/>
  <c r="A404" i="12"/>
  <c r="A403" i="12"/>
  <c r="A402" i="12"/>
  <c r="A401" i="12"/>
  <c r="A400" i="12"/>
  <c r="A399" i="12"/>
  <c r="A398" i="12"/>
  <c r="A397" i="12"/>
  <c r="A396" i="12"/>
  <c r="A395" i="12"/>
  <c r="A394" i="12"/>
  <c r="A393" i="12"/>
  <c r="A392" i="12"/>
  <c r="A391" i="12"/>
  <c r="A390" i="12"/>
  <c r="A389" i="12"/>
  <c r="A388" i="12"/>
  <c r="A387" i="12"/>
  <c r="A386" i="12"/>
  <c r="A385" i="12"/>
  <c r="A384" i="12"/>
  <c r="A383" i="12"/>
  <c r="A382" i="12"/>
  <c r="A381" i="12"/>
  <c r="A380" i="12"/>
  <c r="A379" i="12"/>
  <c r="A378" i="12"/>
  <c r="A377" i="12"/>
  <c r="A376" i="12"/>
  <c r="A375" i="12"/>
  <c r="A374" i="12"/>
  <c r="A373" i="12"/>
  <c r="A372" i="12"/>
  <c r="A371" i="12"/>
  <c r="A370" i="12"/>
  <c r="A369" i="12"/>
  <c r="A368" i="12"/>
  <c r="A367" i="12"/>
  <c r="A366" i="12"/>
  <c r="A365" i="12"/>
  <c r="A364" i="12"/>
  <c r="A363" i="12"/>
  <c r="A362" i="12"/>
  <c r="A361" i="12"/>
  <c r="A360" i="12"/>
  <c r="A359" i="12"/>
  <c r="A358" i="12"/>
  <c r="A357" i="12"/>
  <c r="A356" i="12"/>
  <c r="A355" i="12"/>
  <c r="A354" i="12"/>
  <c r="A353" i="12"/>
  <c r="A352" i="12"/>
  <c r="A351" i="12"/>
  <c r="A350" i="12"/>
  <c r="A349" i="12"/>
  <c r="A348" i="12"/>
  <c r="A347" i="12"/>
  <c r="A346" i="12"/>
  <c r="A345" i="12"/>
  <c r="A344" i="12"/>
  <c r="A343" i="12"/>
  <c r="A342" i="12"/>
  <c r="A341" i="12"/>
  <c r="A340" i="12"/>
  <c r="A339" i="12"/>
  <c r="A338" i="12"/>
  <c r="A337" i="12"/>
  <c r="A336" i="12"/>
  <c r="A335" i="12"/>
  <c r="A334" i="12"/>
  <c r="A333" i="12"/>
  <c r="A332" i="12"/>
  <c r="A331" i="12"/>
  <c r="A330" i="12"/>
  <c r="A329" i="12"/>
  <c r="A328" i="12"/>
  <c r="A327" i="12"/>
  <c r="A326" i="12"/>
  <c r="A325" i="12"/>
  <c r="A324" i="12"/>
  <c r="A323" i="12"/>
  <c r="A322" i="12"/>
  <c r="A321" i="12"/>
  <c r="A320" i="12"/>
  <c r="A319" i="12"/>
  <c r="A318" i="12"/>
  <c r="A317" i="12"/>
  <c r="A316" i="12"/>
  <c r="A315" i="12"/>
  <c r="A314" i="12"/>
  <c r="A313" i="12"/>
  <c r="A312" i="12"/>
  <c r="A311" i="12"/>
  <c r="A310" i="12"/>
  <c r="A309" i="12"/>
  <c r="A308" i="12"/>
  <c r="A307" i="12"/>
  <c r="A306" i="12"/>
  <c r="A305" i="12"/>
  <c r="A304" i="12"/>
  <c r="A303" i="12"/>
  <c r="A302" i="12"/>
  <c r="A301" i="12"/>
  <c r="A300" i="12"/>
  <c r="A299" i="12"/>
  <c r="A298" i="12"/>
  <c r="A297" i="12"/>
  <c r="A296" i="12"/>
  <c r="A295" i="12"/>
  <c r="A294" i="12"/>
  <c r="A293" i="12"/>
  <c r="A292" i="12"/>
  <c r="A291" i="12"/>
  <c r="A290" i="12"/>
  <c r="A289" i="12"/>
  <c r="A288" i="12"/>
  <c r="A287" i="12"/>
  <c r="A286" i="12"/>
  <c r="A285" i="12"/>
  <c r="A284" i="12"/>
  <c r="A283" i="12"/>
  <c r="A282" i="12"/>
  <c r="A281" i="12"/>
  <c r="A280" i="12"/>
  <c r="A279" i="12"/>
  <c r="A278" i="12"/>
  <c r="A277" i="12"/>
  <c r="A276" i="12"/>
  <c r="A275" i="12"/>
  <c r="A274" i="12"/>
  <c r="A273" i="12"/>
  <c r="A272" i="12"/>
  <c r="A271" i="12"/>
  <c r="A270" i="12"/>
  <c r="A269" i="12"/>
  <c r="A268" i="12"/>
  <c r="A267" i="12"/>
  <c r="A266" i="12"/>
  <c r="A265" i="12"/>
  <c r="A264" i="12"/>
  <c r="A263" i="12"/>
  <c r="A262" i="12"/>
  <c r="A261" i="12"/>
  <c r="A260" i="12"/>
  <c r="A259" i="12"/>
  <c r="A258" i="12"/>
  <c r="A257" i="12"/>
  <c r="A256" i="12"/>
  <c r="A255" i="12"/>
  <c r="A254" i="12"/>
  <c r="A253" i="12"/>
  <c r="A252" i="12"/>
  <c r="A251" i="12"/>
  <c r="A250" i="12"/>
  <c r="A249" i="12"/>
  <c r="A248" i="12"/>
  <c r="A247" i="12"/>
  <c r="A246" i="12"/>
  <c r="A245" i="12"/>
  <c r="A244" i="12"/>
  <c r="A243" i="12"/>
  <c r="A242" i="12"/>
  <c r="A241" i="12"/>
  <c r="A240" i="12"/>
  <c r="A239" i="12"/>
  <c r="A238" i="12"/>
  <c r="A237" i="12"/>
  <c r="A236" i="12"/>
  <c r="A235" i="12"/>
  <c r="A234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909" i="9"/>
  <c r="A908" i="9"/>
  <c r="A907" i="9"/>
  <c r="A906" i="9"/>
  <c r="A905" i="9"/>
  <c r="A904" i="9"/>
  <c r="A903" i="9"/>
  <c r="A902" i="9"/>
  <c r="A901" i="9"/>
  <c r="A900" i="9"/>
  <c r="A899" i="9"/>
  <c r="A898" i="9"/>
  <c r="A897" i="9"/>
  <c r="A896" i="9"/>
  <c r="A895" i="9"/>
  <c r="A894" i="9"/>
  <c r="A893" i="9"/>
  <c r="A892" i="9"/>
  <c r="A891" i="9"/>
  <c r="A890" i="9"/>
  <c r="A889" i="9"/>
  <c r="A888" i="9"/>
  <c r="A887" i="9"/>
  <c r="A886" i="9"/>
  <c r="A885" i="9"/>
  <c r="A884" i="9"/>
  <c r="A883" i="9"/>
  <c r="A882" i="9"/>
  <c r="A881" i="9"/>
  <c r="A880" i="9"/>
  <c r="A879" i="9"/>
  <c r="A878" i="9"/>
  <c r="A877" i="9"/>
  <c r="A876" i="9"/>
  <c r="A875" i="9"/>
  <c r="A874" i="9"/>
  <c r="A873" i="9"/>
  <c r="A872" i="9"/>
  <c r="A871" i="9"/>
  <c r="A870" i="9"/>
  <c r="A869" i="9"/>
  <c r="A868" i="9"/>
  <c r="A867" i="9"/>
  <c r="A866" i="9"/>
  <c r="A865" i="9"/>
  <c r="A864" i="9"/>
  <c r="A863" i="9"/>
  <c r="A862" i="9"/>
  <c r="A861" i="9"/>
  <c r="A860" i="9"/>
  <c r="A859" i="9"/>
  <c r="A858" i="9"/>
  <c r="A857" i="9"/>
  <c r="A856" i="9"/>
  <c r="A855" i="9"/>
  <c r="A854" i="9"/>
  <c r="A853" i="9"/>
  <c r="A852" i="9"/>
  <c r="A851" i="9"/>
  <c r="A850" i="9"/>
  <c r="A849" i="9"/>
  <c r="A848" i="9"/>
  <c r="A847" i="9"/>
  <c r="A846" i="9"/>
  <c r="A845" i="9"/>
  <c r="A844" i="9"/>
  <c r="A843" i="9"/>
  <c r="A842" i="9"/>
  <c r="A841" i="9"/>
  <c r="A840" i="9"/>
  <c r="A839" i="9"/>
  <c r="A838" i="9"/>
  <c r="A837" i="9"/>
  <c r="A836" i="9"/>
  <c r="A835" i="9"/>
  <c r="A834" i="9"/>
  <c r="A833" i="9"/>
  <c r="A832" i="9"/>
  <c r="A831" i="9"/>
  <c r="A830" i="9"/>
  <c r="A829" i="9"/>
  <c r="A828" i="9"/>
  <c r="A827" i="9"/>
  <c r="A826" i="9"/>
  <c r="A825" i="9"/>
  <c r="A824" i="9"/>
  <c r="A823" i="9"/>
  <c r="A822" i="9"/>
  <c r="A821" i="9"/>
  <c r="A820" i="9"/>
  <c r="A819" i="9"/>
  <c r="A818" i="9"/>
  <c r="A817" i="9"/>
  <c r="A816" i="9"/>
  <c r="A815" i="9"/>
  <c r="A814" i="9"/>
  <c r="A813" i="9"/>
  <c r="A812" i="9"/>
  <c r="A811" i="9"/>
  <c r="A810" i="9"/>
  <c r="A809" i="9"/>
  <c r="A808" i="9"/>
  <c r="A807" i="9"/>
  <c r="A806" i="9"/>
  <c r="A805" i="9"/>
  <c r="A804" i="9"/>
  <c r="A803" i="9"/>
  <c r="A802" i="9"/>
  <c r="A801" i="9"/>
  <c r="A800" i="9"/>
  <c r="A799" i="9"/>
  <c r="A798" i="9"/>
  <c r="A797" i="9"/>
  <c r="A796" i="9"/>
  <c r="A795" i="9"/>
  <c r="A794" i="9"/>
  <c r="A793" i="9"/>
  <c r="A792" i="9"/>
  <c r="A791" i="9"/>
  <c r="A790" i="9"/>
  <c r="A789" i="9"/>
  <c r="A788" i="9"/>
  <c r="A787" i="9"/>
  <c r="A786" i="9"/>
  <c r="A785" i="9"/>
  <c r="A784" i="9"/>
  <c r="A783" i="9"/>
  <c r="A782" i="9"/>
  <c r="A781" i="9"/>
  <c r="A780" i="9"/>
  <c r="A779" i="9"/>
  <c r="A778" i="9"/>
  <c r="A777" i="9"/>
  <c r="A776" i="9"/>
  <c r="A775" i="9"/>
  <c r="A774" i="9"/>
  <c r="A773" i="9"/>
  <c r="A772" i="9"/>
  <c r="A771" i="9"/>
  <c r="A770" i="9"/>
  <c r="A769" i="9"/>
  <c r="A768" i="9"/>
  <c r="A767" i="9"/>
  <c r="A766" i="9"/>
  <c r="A765" i="9"/>
  <c r="A764" i="9"/>
  <c r="A763" i="9"/>
  <c r="A762" i="9"/>
  <c r="A761" i="9"/>
  <c r="A760" i="9"/>
  <c r="A759" i="9"/>
  <c r="A758" i="9"/>
  <c r="A757" i="9"/>
  <c r="A756" i="9"/>
  <c r="A755" i="9"/>
  <c r="A754" i="9"/>
  <c r="A753" i="9"/>
  <c r="A752" i="9"/>
  <c r="A751" i="9"/>
  <c r="A750" i="9"/>
  <c r="A749" i="9"/>
  <c r="A748" i="9"/>
  <c r="A747" i="9"/>
  <c r="A746" i="9"/>
  <c r="A745" i="9"/>
  <c r="A744" i="9"/>
  <c r="A743" i="9"/>
  <c r="A742" i="9"/>
  <c r="A741" i="9"/>
  <c r="A740" i="9"/>
  <c r="A739" i="9"/>
  <c r="A738" i="9"/>
  <c r="A737" i="9"/>
  <c r="A736" i="9"/>
  <c r="A735" i="9"/>
  <c r="A734" i="9"/>
  <c r="A733" i="9"/>
  <c r="A732" i="9"/>
  <c r="A731" i="9"/>
  <c r="A730" i="9"/>
  <c r="A729" i="9"/>
  <c r="A728" i="9"/>
  <c r="A727" i="9"/>
  <c r="A726" i="9"/>
  <c r="A725" i="9"/>
  <c r="A724" i="9"/>
  <c r="A723" i="9"/>
  <c r="A722" i="9"/>
  <c r="A721" i="9"/>
  <c r="A720" i="9"/>
  <c r="A719" i="9"/>
  <c r="A718" i="9"/>
  <c r="A717" i="9"/>
  <c r="A716" i="9"/>
  <c r="A715" i="9"/>
  <c r="A714" i="9"/>
  <c r="A713" i="9"/>
  <c r="A712" i="9"/>
  <c r="A711" i="9"/>
  <c r="A710" i="9"/>
  <c r="A709" i="9"/>
  <c r="A708" i="9"/>
  <c r="A707" i="9"/>
  <c r="A706" i="9"/>
  <c r="A705" i="9"/>
  <c r="A704" i="9"/>
  <c r="A703" i="9"/>
  <c r="A702" i="9"/>
  <c r="A701" i="9"/>
  <c r="A700" i="9"/>
  <c r="A699" i="9"/>
  <c r="A698" i="9"/>
  <c r="A697" i="9"/>
  <c r="A696" i="9"/>
  <c r="A695" i="9"/>
  <c r="A694" i="9"/>
  <c r="A693" i="9"/>
  <c r="A692" i="9"/>
  <c r="A691" i="9"/>
  <c r="A690" i="9"/>
  <c r="A689" i="9"/>
  <c r="A688" i="9"/>
  <c r="A687" i="9"/>
  <c r="A686" i="9"/>
  <c r="A685" i="9"/>
  <c r="A684" i="9"/>
  <c r="A683" i="9"/>
  <c r="A682" i="9"/>
  <c r="A681" i="9"/>
  <c r="A680" i="9"/>
  <c r="A679" i="9"/>
  <c r="A678" i="9"/>
  <c r="A677" i="9"/>
  <c r="A676" i="9"/>
  <c r="A675" i="9"/>
  <c r="A674" i="9"/>
  <c r="A673" i="9"/>
  <c r="A672" i="9"/>
  <c r="A671" i="9"/>
  <c r="A670" i="9"/>
  <c r="A669" i="9"/>
  <c r="A668" i="9"/>
  <c r="A667" i="9"/>
  <c r="A666" i="9"/>
  <c r="A665" i="9"/>
  <c r="A664" i="9"/>
  <c r="A663" i="9"/>
  <c r="A662" i="9"/>
  <c r="A661" i="9"/>
  <c r="A660" i="9"/>
  <c r="A659" i="9"/>
  <c r="A658" i="9"/>
  <c r="A657" i="9"/>
  <c r="A656" i="9"/>
  <c r="A655" i="9"/>
  <c r="A654" i="9"/>
  <c r="A653" i="9"/>
  <c r="A652" i="9"/>
  <c r="A651" i="9"/>
  <c r="A650" i="9"/>
  <c r="A649" i="9"/>
  <c r="A648" i="9"/>
  <c r="A647" i="9"/>
  <c r="A646" i="9"/>
  <c r="A645" i="9"/>
  <c r="A644" i="9"/>
  <c r="A643" i="9"/>
  <c r="A642" i="9"/>
  <c r="A641" i="9"/>
  <c r="A640" i="9"/>
  <c r="A639" i="9"/>
  <c r="A638" i="9"/>
  <c r="A637" i="9"/>
  <c r="A636" i="9"/>
  <c r="A635" i="9"/>
  <c r="A634" i="9"/>
  <c r="A633" i="9"/>
  <c r="A632" i="9"/>
  <c r="A631" i="9"/>
  <c r="A630" i="9"/>
  <c r="A629" i="9"/>
  <c r="A628" i="9"/>
  <c r="A627" i="9"/>
  <c r="A626" i="9"/>
  <c r="A625" i="9"/>
  <c r="A624" i="9"/>
  <c r="A623" i="9"/>
  <c r="A622" i="9"/>
  <c r="A621" i="9"/>
  <c r="A620" i="9"/>
  <c r="A619" i="9"/>
  <c r="A618" i="9"/>
  <c r="A617" i="9"/>
  <c r="A616" i="9"/>
  <c r="A615" i="9"/>
  <c r="A614" i="9"/>
  <c r="A613" i="9"/>
  <c r="A612" i="9"/>
  <c r="A611" i="9"/>
  <c r="A610" i="9"/>
  <c r="A609" i="9"/>
  <c r="A608" i="9"/>
  <c r="A607" i="9"/>
  <c r="A606" i="9"/>
  <c r="A605" i="9"/>
  <c r="A604" i="9"/>
  <c r="A603" i="9"/>
  <c r="A602" i="9"/>
  <c r="A601" i="9"/>
  <c r="A600" i="9"/>
  <c r="A599" i="9"/>
  <c r="A598" i="9"/>
  <c r="A597" i="9"/>
  <c r="A596" i="9"/>
  <c r="A595" i="9"/>
  <c r="A594" i="9"/>
  <c r="A593" i="9"/>
  <c r="A592" i="9"/>
  <c r="A591" i="9"/>
  <c r="A590" i="9"/>
  <c r="A589" i="9"/>
  <c r="A588" i="9"/>
  <c r="A587" i="9"/>
  <c r="A586" i="9"/>
  <c r="A585" i="9"/>
  <c r="A584" i="9"/>
  <c r="A583" i="9"/>
  <c r="A582" i="9"/>
  <c r="A581" i="9"/>
  <c r="A580" i="9"/>
  <c r="A579" i="9"/>
  <c r="A578" i="9"/>
  <c r="A577" i="9"/>
  <c r="A576" i="9"/>
  <c r="A575" i="9"/>
  <c r="A574" i="9"/>
  <c r="A573" i="9"/>
  <c r="A572" i="9"/>
  <c r="A571" i="9"/>
  <c r="A570" i="9"/>
  <c r="A569" i="9"/>
  <c r="A568" i="9"/>
  <c r="A567" i="9"/>
  <c r="A566" i="9"/>
  <c r="A565" i="9"/>
  <c r="A564" i="9"/>
  <c r="A563" i="9"/>
  <c r="A562" i="9"/>
  <c r="A561" i="9"/>
  <c r="A560" i="9"/>
  <c r="A559" i="9"/>
  <c r="A558" i="9"/>
  <c r="A557" i="9"/>
  <c r="A556" i="9"/>
  <c r="A555" i="9"/>
  <c r="A554" i="9"/>
  <c r="A553" i="9"/>
  <c r="A552" i="9"/>
  <c r="A551" i="9"/>
  <c r="A550" i="9"/>
  <c r="A549" i="9"/>
  <c r="A548" i="9"/>
  <c r="A547" i="9"/>
  <c r="A546" i="9"/>
  <c r="A545" i="9"/>
  <c r="A544" i="9"/>
  <c r="A543" i="9"/>
  <c r="A542" i="9"/>
  <c r="A541" i="9"/>
  <c r="A540" i="9"/>
  <c r="A539" i="9"/>
  <c r="A538" i="9"/>
  <c r="A537" i="9"/>
  <c r="A536" i="9"/>
  <c r="A535" i="9"/>
  <c r="A534" i="9"/>
  <c r="A533" i="9"/>
  <c r="A532" i="9"/>
  <c r="A531" i="9"/>
  <c r="A530" i="9"/>
  <c r="A529" i="9"/>
  <c r="A528" i="9"/>
  <c r="A527" i="9"/>
  <c r="A526" i="9"/>
  <c r="A525" i="9"/>
  <c r="A524" i="9"/>
  <c r="A523" i="9"/>
  <c r="A522" i="9"/>
  <c r="A521" i="9"/>
  <c r="A520" i="9"/>
  <c r="A519" i="9"/>
  <c r="A518" i="9"/>
  <c r="A517" i="9"/>
  <c r="A516" i="9"/>
  <c r="A515" i="9"/>
  <c r="A514" i="9"/>
  <c r="A513" i="9"/>
  <c r="A512" i="9"/>
  <c r="A511" i="9"/>
  <c r="A510" i="9"/>
  <c r="A509" i="9"/>
  <c r="A508" i="9"/>
  <c r="A507" i="9"/>
  <c r="A506" i="9"/>
  <c r="A505" i="9"/>
  <c r="A504" i="9"/>
  <c r="A503" i="9"/>
  <c r="A502" i="9"/>
  <c r="A501" i="9"/>
  <c r="A500" i="9"/>
  <c r="A499" i="9"/>
  <c r="A498" i="9"/>
  <c r="A497" i="9"/>
  <c r="A496" i="9"/>
  <c r="A495" i="9"/>
  <c r="A494" i="9"/>
  <c r="A493" i="9"/>
  <c r="A492" i="9"/>
  <c r="A491" i="9"/>
  <c r="A490" i="9"/>
  <c r="A489" i="9"/>
  <c r="A488" i="9"/>
  <c r="A487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B3040" i="5"/>
  <c r="B3039" i="5"/>
  <c r="B3038" i="5"/>
  <c r="B3037" i="5"/>
  <c r="B3036" i="5"/>
  <c r="B3035" i="5"/>
  <c r="B3034" i="5"/>
  <c r="B3033" i="5"/>
  <c r="B3032" i="5"/>
  <c r="B3031" i="5"/>
  <c r="B3030" i="5"/>
  <c r="B3029" i="5"/>
  <c r="B3028" i="5"/>
  <c r="B3027" i="5"/>
  <c r="B3026" i="5"/>
  <c r="B3025" i="5"/>
  <c r="B3024" i="5"/>
  <c r="B3023" i="5"/>
  <c r="B3022" i="5"/>
  <c r="B3021" i="5"/>
  <c r="B3020" i="5"/>
  <c r="B3019" i="5"/>
  <c r="B3018" i="5"/>
  <c r="B3017" i="5"/>
  <c r="B3016" i="5"/>
  <c r="B3015" i="5"/>
  <c r="B3014" i="5"/>
  <c r="B3013" i="5"/>
  <c r="B3012" i="5"/>
  <c r="B3011" i="5"/>
  <c r="B3010" i="5"/>
  <c r="B3009" i="5"/>
  <c r="B3008" i="5"/>
  <c r="B3007" i="5"/>
  <c r="B3006" i="5"/>
  <c r="B3005" i="5"/>
  <c r="B3004" i="5"/>
  <c r="B3003" i="5"/>
  <c r="B3002" i="5"/>
  <c r="B3001" i="5"/>
  <c r="B3000" i="5"/>
  <c r="B2999" i="5"/>
  <c r="B2998" i="5"/>
  <c r="B2997" i="5"/>
  <c r="B2996" i="5"/>
  <c r="B2995" i="5"/>
  <c r="B2994" i="5"/>
  <c r="B2993" i="5"/>
  <c r="B2992" i="5"/>
  <c r="B2991" i="5"/>
  <c r="B2990" i="5"/>
  <c r="B2989" i="5"/>
  <c r="B2988" i="5"/>
  <c r="B2987" i="5"/>
  <c r="B2986" i="5"/>
  <c r="B2985" i="5"/>
  <c r="B2984" i="5"/>
  <c r="B2983" i="5"/>
  <c r="B2982" i="5"/>
  <c r="B2981" i="5"/>
  <c r="B2980" i="5"/>
  <c r="B2979" i="5"/>
  <c r="B2978" i="5"/>
  <c r="B2977" i="5"/>
  <c r="B2976" i="5"/>
  <c r="B2975" i="5"/>
  <c r="B2974" i="5"/>
  <c r="B2973" i="5"/>
  <c r="B2972" i="5"/>
  <c r="B2971" i="5"/>
  <c r="B2970" i="5"/>
  <c r="B2969" i="5"/>
  <c r="B2968" i="5"/>
  <c r="B2967" i="5"/>
  <c r="B2966" i="5"/>
  <c r="B2965" i="5"/>
  <c r="B2964" i="5"/>
  <c r="B2963" i="5"/>
  <c r="B2962" i="5"/>
  <c r="B2961" i="5"/>
  <c r="B2960" i="5"/>
  <c r="B2959" i="5"/>
  <c r="B2958" i="5"/>
  <c r="B2957" i="5"/>
  <c r="B2956" i="5"/>
  <c r="B2955" i="5"/>
  <c r="B2954" i="5"/>
  <c r="B2953" i="5"/>
  <c r="B2952" i="5"/>
  <c r="B2951" i="5"/>
  <c r="B2950" i="5"/>
  <c r="B2949" i="5"/>
  <c r="B2948" i="5"/>
  <c r="B2947" i="5"/>
  <c r="B2946" i="5"/>
  <c r="B2945" i="5"/>
  <c r="B2944" i="5"/>
  <c r="B2943" i="5"/>
  <c r="B2942" i="5"/>
  <c r="B2941" i="5"/>
  <c r="B2940" i="5"/>
  <c r="B2939" i="5"/>
  <c r="B2938" i="5"/>
  <c r="B2937" i="5"/>
  <c r="B2936" i="5"/>
  <c r="B2935" i="5"/>
  <c r="B2934" i="5"/>
  <c r="B2933" i="5"/>
  <c r="B2932" i="5"/>
  <c r="B2931" i="5"/>
  <c r="B2930" i="5"/>
  <c r="B2929" i="5"/>
  <c r="B2928" i="5"/>
  <c r="B2927" i="5"/>
  <c r="B2926" i="5"/>
  <c r="B2925" i="5"/>
  <c r="B2924" i="5"/>
  <c r="B2923" i="5"/>
  <c r="B2922" i="5"/>
  <c r="B2921" i="5"/>
  <c r="B2920" i="5"/>
  <c r="B2919" i="5"/>
  <c r="B2918" i="5"/>
  <c r="B2917" i="5"/>
  <c r="B2916" i="5"/>
  <c r="B2915" i="5"/>
  <c r="B2914" i="5"/>
  <c r="B2913" i="5"/>
  <c r="B2912" i="5"/>
  <c r="B2911" i="5"/>
  <c r="B2910" i="5"/>
  <c r="B2909" i="5"/>
  <c r="B2908" i="5"/>
  <c r="B2907" i="5"/>
  <c r="B2906" i="5"/>
  <c r="B2905" i="5"/>
  <c r="B2904" i="5"/>
  <c r="B2903" i="5"/>
  <c r="B2902" i="5"/>
  <c r="B2901" i="5"/>
  <c r="B2900" i="5"/>
  <c r="B2899" i="5"/>
  <c r="B2898" i="5"/>
  <c r="B2897" i="5"/>
  <c r="B2896" i="5"/>
  <c r="B2895" i="5"/>
  <c r="B2894" i="5"/>
  <c r="B2893" i="5"/>
  <c r="B2892" i="5"/>
  <c r="B2891" i="5"/>
  <c r="B2890" i="5"/>
  <c r="B2889" i="5"/>
  <c r="B2888" i="5"/>
  <c r="B2887" i="5"/>
  <c r="B2886" i="5"/>
  <c r="B2885" i="5"/>
  <c r="B2884" i="5"/>
  <c r="B2883" i="5"/>
  <c r="B2882" i="5"/>
  <c r="B2881" i="5"/>
  <c r="B2880" i="5"/>
  <c r="B2879" i="5"/>
  <c r="B2878" i="5"/>
  <c r="B2877" i="5"/>
  <c r="B2876" i="5"/>
  <c r="B2875" i="5"/>
  <c r="B2874" i="5"/>
  <c r="B2873" i="5"/>
  <c r="B2872" i="5"/>
  <c r="B2871" i="5"/>
  <c r="B2870" i="5"/>
  <c r="B2869" i="5"/>
  <c r="B2868" i="5"/>
  <c r="B2867" i="5"/>
  <c r="B2866" i="5"/>
  <c r="B2865" i="5"/>
  <c r="B2864" i="5"/>
  <c r="B2863" i="5"/>
  <c r="B2862" i="5"/>
  <c r="B2861" i="5"/>
  <c r="B2860" i="5"/>
  <c r="B2859" i="5"/>
  <c r="B2858" i="5"/>
  <c r="B2857" i="5"/>
  <c r="B2856" i="5"/>
  <c r="B2855" i="5"/>
  <c r="B2854" i="5"/>
  <c r="B2853" i="5"/>
  <c r="B2852" i="5"/>
  <c r="B2851" i="5"/>
  <c r="B2850" i="5"/>
  <c r="B2849" i="5"/>
  <c r="B2848" i="5"/>
  <c r="B2847" i="5"/>
  <c r="B2846" i="5"/>
  <c r="B2845" i="5"/>
  <c r="B2844" i="5"/>
  <c r="B2843" i="5"/>
  <c r="B2842" i="5"/>
  <c r="B2841" i="5"/>
  <c r="B2840" i="5"/>
  <c r="B2839" i="5"/>
  <c r="B2838" i="5"/>
  <c r="B2837" i="5"/>
  <c r="B2836" i="5"/>
  <c r="B2835" i="5"/>
  <c r="B2834" i="5"/>
  <c r="B2833" i="5"/>
  <c r="B2832" i="5"/>
  <c r="B2831" i="5"/>
  <c r="B2830" i="5"/>
  <c r="B2829" i="5"/>
  <c r="B2828" i="5"/>
  <c r="B2827" i="5"/>
  <c r="B2826" i="5"/>
  <c r="B2825" i="5"/>
  <c r="B2824" i="5"/>
  <c r="B2823" i="5"/>
  <c r="B2822" i="5"/>
  <c r="B2821" i="5"/>
  <c r="B2820" i="5"/>
  <c r="B2819" i="5"/>
  <c r="B2818" i="5"/>
  <c r="B2817" i="5"/>
  <c r="B2816" i="5"/>
  <c r="B2815" i="5"/>
  <c r="B2814" i="5"/>
  <c r="B2813" i="5"/>
  <c r="B2812" i="5"/>
  <c r="B2811" i="5"/>
  <c r="B2810" i="5"/>
  <c r="B2809" i="5"/>
  <c r="B2808" i="5"/>
  <c r="B2807" i="5"/>
  <c r="B2806" i="5"/>
  <c r="B2805" i="5"/>
  <c r="B2804" i="5"/>
  <c r="B2803" i="5"/>
  <c r="B2802" i="5"/>
  <c r="B2801" i="5"/>
  <c r="B2800" i="5"/>
  <c r="B2799" i="5"/>
  <c r="B2798" i="5"/>
  <c r="B2797" i="5"/>
  <c r="B2796" i="5"/>
  <c r="B2795" i="5"/>
  <c r="B2794" i="5"/>
  <c r="B2793" i="5"/>
  <c r="B2792" i="5"/>
  <c r="B2791" i="5"/>
  <c r="B2790" i="5"/>
  <c r="B2789" i="5"/>
  <c r="B2788" i="5"/>
  <c r="B2787" i="5"/>
  <c r="B2786" i="5"/>
  <c r="B2785" i="5"/>
  <c r="B2784" i="5"/>
  <c r="B2783" i="5"/>
  <c r="B2782" i="5"/>
  <c r="B2781" i="5"/>
  <c r="B2780" i="5"/>
  <c r="B2779" i="5"/>
  <c r="B2778" i="5"/>
  <c r="B2777" i="5"/>
  <c r="B2776" i="5"/>
  <c r="B2775" i="5"/>
  <c r="B2774" i="5"/>
  <c r="B2773" i="5"/>
  <c r="B2772" i="5"/>
  <c r="B2771" i="5"/>
  <c r="B2770" i="5"/>
  <c r="B2769" i="5"/>
  <c r="B2768" i="5"/>
  <c r="B2767" i="5"/>
  <c r="B2766" i="5"/>
  <c r="B2765" i="5"/>
  <c r="B2764" i="5"/>
  <c r="B2763" i="5"/>
  <c r="B2762" i="5"/>
  <c r="B2761" i="5"/>
  <c r="B2760" i="5"/>
  <c r="B2759" i="5"/>
  <c r="B2758" i="5"/>
  <c r="B2757" i="5"/>
  <c r="B2756" i="5"/>
  <c r="B2755" i="5"/>
  <c r="B2754" i="5"/>
  <c r="B2753" i="5"/>
  <c r="B2752" i="5"/>
  <c r="B2751" i="5"/>
  <c r="B2750" i="5"/>
  <c r="B2749" i="5"/>
  <c r="B2748" i="5"/>
  <c r="B2747" i="5"/>
  <c r="B2746" i="5"/>
  <c r="B2745" i="5"/>
  <c r="B2744" i="5"/>
  <c r="B2743" i="5"/>
  <c r="B2742" i="5"/>
  <c r="B2741" i="5"/>
  <c r="B2740" i="5"/>
  <c r="B2739" i="5"/>
  <c r="B2738" i="5"/>
  <c r="B2737" i="5"/>
  <c r="B2736" i="5"/>
  <c r="B2735" i="5"/>
  <c r="B2734" i="5"/>
  <c r="B2733" i="5"/>
  <c r="B2732" i="5"/>
  <c r="B2731" i="5"/>
  <c r="B2730" i="5"/>
  <c r="B2729" i="5"/>
  <c r="B2728" i="5"/>
  <c r="B2727" i="5"/>
  <c r="B2726" i="5"/>
  <c r="B2725" i="5"/>
  <c r="B2724" i="5"/>
  <c r="B2723" i="5"/>
  <c r="B2722" i="5"/>
  <c r="B2721" i="5"/>
  <c r="B2720" i="5"/>
  <c r="B2719" i="5"/>
  <c r="B2718" i="5"/>
  <c r="B2717" i="5"/>
  <c r="B2716" i="5"/>
  <c r="B2715" i="5"/>
  <c r="B2714" i="5"/>
  <c r="B2713" i="5"/>
  <c r="B2712" i="5"/>
  <c r="B2711" i="5"/>
  <c r="B2710" i="5"/>
  <c r="B2709" i="5"/>
  <c r="B2708" i="5"/>
  <c r="B2707" i="5"/>
  <c r="B2706" i="5"/>
  <c r="B2705" i="5"/>
  <c r="B2704" i="5"/>
  <c r="B2703" i="5"/>
  <c r="B2702" i="5"/>
  <c r="B2701" i="5"/>
  <c r="B2700" i="5"/>
  <c r="B2699" i="5"/>
  <c r="B2698" i="5"/>
  <c r="B2697" i="5"/>
  <c r="B2696" i="5"/>
  <c r="B2695" i="5"/>
  <c r="B2694" i="5"/>
  <c r="B2693" i="5"/>
  <c r="B2692" i="5"/>
  <c r="B2691" i="5"/>
  <c r="B2690" i="5"/>
  <c r="B2689" i="5"/>
  <c r="B2688" i="5"/>
  <c r="B2687" i="5"/>
  <c r="B2686" i="5"/>
  <c r="B2685" i="5"/>
  <c r="B2684" i="5"/>
  <c r="B2683" i="5"/>
  <c r="B2682" i="5"/>
  <c r="B2681" i="5"/>
  <c r="B2680" i="5"/>
  <c r="B2679" i="5"/>
  <c r="B2678" i="5"/>
  <c r="B2677" i="5"/>
  <c r="B2676" i="5"/>
  <c r="B2675" i="5"/>
  <c r="B2674" i="5"/>
  <c r="B2673" i="5"/>
  <c r="B2672" i="5"/>
  <c r="B2671" i="5"/>
  <c r="B2670" i="5"/>
  <c r="B2669" i="5"/>
  <c r="B2668" i="5"/>
  <c r="B2667" i="5"/>
  <c r="B2666" i="5"/>
  <c r="B2665" i="5"/>
  <c r="B2664" i="5"/>
  <c r="B2663" i="5"/>
  <c r="B2662" i="5"/>
  <c r="B2661" i="5"/>
  <c r="B2660" i="5"/>
  <c r="B2659" i="5"/>
  <c r="B2658" i="5"/>
  <c r="B2657" i="5"/>
  <c r="B2656" i="5"/>
  <c r="B2655" i="5"/>
  <c r="B2654" i="5"/>
  <c r="B2653" i="5"/>
  <c r="B2652" i="5"/>
  <c r="B2651" i="5"/>
  <c r="B2650" i="5"/>
  <c r="B2649" i="5"/>
  <c r="B2648" i="5"/>
  <c r="B2647" i="5"/>
  <c r="B2646" i="5"/>
  <c r="B2645" i="5"/>
  <c r="B2644" i="5"/>
  <c r="B2643" i="5"/>
  <c r="B2642" i="5"/>
  <c r="B2641" i="5"/>
  <c r="B2640" i="5"/>
  <c r="B2639" i="5"/>
  <c r="B2638" i="5"/>
  <c r="B2637" i="5"/>
  <c r="B2636" i="5"/>
  <c r="B2635" i="5"/>
  <c r="B2634" i="5"/>
  <c r="B2633" i="5"/>
  <c r="B2632" i="5"/>
  <c r="B2631" i="5"/>
  <c r="B2630" i="5"/>
  <c r="B2629" i="5"/>
  <c r="B2628" i="5"/>
  <c r="B2627" i="5"/>
  <c r="B2626" i="5"/>
  <c r="B2625" i="5"/>
  <c r="B2624" i="5"/>
  <c r="B2623" i="5"/>
  <c r="B2622" i="5"/>
  <c r="B2621" i="5"/>
  <c r="B2620" i="5"/>
  <c r="B2619" i="5"/>
  <c r="B2618" i="5"/>
  <c r="B2617" i="5"/>
  <c r="B2616" i="5"/>
  <c r="B2615" i="5"/>
  <c r="B2614" i="5"/>
  <c r="B2613" i="5"/>
  <c r="B2612" i="5"/>
  <c r="B2611" i="5"/>
  <c r="B2610" i="5"/>
  <c r="B2609" i="5"/>
  <c r="B2608" i="5"/>
  <c r="B2607" i="5"/>
  <c r="B2606" i="5"/>
  <c r="B2605" i="5"/>
  <c r="B2604" i="5"/>
  <c r="B2603" i="5"/>
  <c r="B2602" i="5"/>
  <c r="B2601" i="5"/>
  <c r="B2600" i="5"/>
  <c r="B2599" i="5"/>
  <c r="B2598" i="5"/>
  <c r="B2597" i="5"/>
  <c r="B2596" i="5"/>
  <c r="B2595" i="5"/>
  <c r="B2594" i="5"/>
  <c r="B2593" i="5"/>
  <c r="B2592" i="5"/>
  <c r="B2591" i="5"/>
  <c r="B2590" i="5"/>
  <c r="B2589" i="5"/>
  <c r="B2588" i="5"/>
  <c r="B2587" i="5"/>
  <c r="B2586" i="5"/>
  <c r="B2585" i="5"/>
  <c r="B2584" i="5"/>
  <c r="B2583" i="5"/>
  <c r="B2582" i="5"/>
  <c r="B2581" i="5"/>
  <c r="B2580" i="5"/>
  <c r="B2579" i="5"/>
  <c r="B2578" i="5"/>
  <c r="B2577" i="5"/>
  <c r="B2576" i="5"/>
  <c r="B2575" i="5"/>
  <c r="B2574" i="5"/>
  <c r="B2573" i="5"/>
  <c r="B2572" i="5"/>
  <c r="B2571" i="5"/>
  <c r="B2570" i="5"/>
  <c r="B2569" i="5"/>
  <c r="B2568" i="5"/>
  <c r="B2567" i="5"/>
  <c r="B2566" i="5"/>
  <c r="B2565" i="5"/>
  <c r="B2564" i="5"/>
  <c r="B2563" i="5"/>
  <c r="B2562" i="5"/>
  <c r="B2561" i="5"/>
  <c r="B2560" i="5"/>
  <c r="B2559" i="5"/>
  <c r="B2558" i="5"/>
  <c r="B2557" i="5"/>
  <c r="B2556" i="5"/>
  <c r="B2555" i="5"/>
  <c r="B2554" i="5"/>
  <c r="B2553" i="5"/>
  <c r="B2552" i="5"/>
  <c r="B2551" i="5"/>
  <c r="B2550" i="5"/>
  <c r="B2549" i="5"/>
  <c r="B2548" i="5"/>
  <c r="B2547" i="5"/>
  <c r="B2546" i="5"/>
  <c r="B2545" i="5"/>
  <c r="B2544" i="5"/>
  <c r="B2543" i="5"/>
  <c r="B2542" i="5"/>
  <c r="B2541" i="5"/>
  <c r="B2540" i="5"/>
  <c r="B2539" i="5"/>
  <c r="B2538" i="5"/>
  <c r="B2537" i="5"/>
  <c r="B2536" i="5"/>
  <c r="B2535" i="5"/>
  <c r="B2534" i="5"/>
  <c r="B2533" i="5"/>
  <c r="B2532" i="5"/>
  <c r="B2531" i="5"/>
  <c r="B2530" i="5"/>
  <c r="B2529" i="5"/>
  <c r="B2528" i="5"/>
  <c r="B2527" i="5"/>
  <c r="B2526" i="5"/>
  <c r="B2525" i="5"/>
  <c r="B2524" i="5"/>
  <c r="B2523" i="5"/>
  <c r="B2522" i="5"/>
  <c r="B2521" i="5"/>
  <c r="B2520" i="5"/>
  <c r="B2519" i="5"/>
  <c r="B2518" i="5"/>
  <c r="B2517" i="5"/>
  <c r="B2516" i="5"/>
  <c r="B2515" i="5"/>
  <c r="B2514" i="5"/>
  <c r="B2513" i="5"/>
  <c r="B2512" i="5"/>
  <c r="B2511" i="5"/>
  <c r="B2510" i="5"/>
  <c r="B2509" i="5"/>
  <c r="B2508" i="5"/>
  <c r="B2507" i="5"/>
  <c r="B2506" i="5"/>
  <c r="B2505" i="5"/>
  <c r="B2504" i="5"/>
  <c r="B2503" i="5"/>
  <c r="B2502" i="5"/>
  <c r="B2501" i="5"/>
  <c r="B2500" i="5"/>
  <c r="B2499" i="5"/>
  <c r="B2498" i="5"/>
  <c r="B2497" i="5"/>
  <c r="B2496" i="5"/>
  <c r="B2495" i="5"/>
  <c r="B2494" i="5"/>
  <c r="B2493" i="5"/>
  <c r="B2492" i="5"/>
  <c r="B2491" i="5"/>
  <c r="B2490" i="5"/>
  <c r="B2489" i="5"/>
  <c r="B2488" i="5"/>
  <c r="B2487" i="5"/>
  <c r="B2486" i="5"/>
  <c r="B2485" i="5"/>
  <c r="B2484" i="5"/>
  <c r="B2483" i="5"/>
  <c r="B2482" i="5"/>
  <c r="B2481" i="5"/>
  <c r="B2480" i="5"/>
  <c r="B2479" i="5"/>
  <c r="B2478" i="5"/>
  <c r="B2477" i="5"/>
  <c r="B2476" i="5"/>
  <c r="B2475" i="5"/>
  <c r="B2474" i="5"/>
  <c r="B2473" i="5"/>
  <c r="B2472" i="5"/>
  <c r="B2471" i="5"/>
  <c r="B2470" i="5"/>
  <c r="B2469" i="5"/>
  <c r="B2468" i="5"/>
  <c r="B2467" i="5"/>
  <c r="B2466" i="5"/>
  <c r="B2465" i="5"/>
  <c r="B2464" i="5"/>
  <c r="B2463" i="5"/>
  <c r="B2462" i="5"/>
  <c r="B2461" i="5"/>
  <c r="B2460" i="5"/>
  <c r="B2459" i="5"/>
  <c r="B2458" i="5"/>
  <c r="B2457" i="5"/>
  <c r="B2456" i="5"/>
  <c r="B2455" i="5"/>
  <c r="B2454" i="5"/>
  <c r="B2453" i="5"/>
  <c r="B2452" i="5"/>
  <c r="B2451" i="5"/>
  <c r="B2450" i="5"/>
  <c r="B2449" i="5"/>
  <c r="B2448" i="5"/>
  <c r="B2447" i="5"/>
  <c r="B2446" i="5"/>
  <c r="B2445" i="5"/>
  <c r="B2444" i="5"/>
  <c r="B2443" i="5"/>
  <c r="B2442" i="5"/>
  <c r="B2441" i="5"/>
  <c r="B2440" i="5"/>
  <c r="B2439" i="5"/>
  <c r="B2438" i="5"/>
  <c r="B2437" i="5"/>
  <c r="B2436" i="5"/>
  <c r="B2435" i="5"/>
  <c r="B2434" i="5"/>
  <c r="B2433" i="5"/>
  <c r="B2432" i="5"/>
  <c r="B2431" i="5"/>
  <c r="B2430" i="5"/>
  <c r="B2429" i="5"/>
  <c r="B2428" i="5"/>
  <c r="B2427" i="5"/>
  <c r="B2426" i="5"/>
  <c r="B2425" i="5"/>
  <c r="B2424" i="5"/>
  <c r="B2423" i="5"/>
  <c r="B2422" i="5"/>
  <c r="B2421" i="5"/>
  <c r="B2420" i="5"/>
  <c r="B2419" i="5"/>
  <c r="B2418" i="5"/>
  <c r="B2417" i="5"/>
  <c r="B2416" i="5"/>
  <c r="B2415" i="5"/>
  <c r="B2414" i="5"/>
  <c r="B2413" i="5"/>
  <c r="B2412" i="5"/>
  <c r="B2411" i="5"/>
  <c r="B2410" i="5"/>
  <c r="B2409" i="5"/>
  <c r="B2408" i="5"/>
  <c r="B2407" i="5"/>
  <c r="B2406" i="5"/>
  <c r="B2405" i="5"/>
  <c r="B2404" i="5"/>
  <c r="B2403" i="5"/>
  <c r="B2402" i="5"/>
  <c r="B2401" i="5"/>
  <c r="B2400" i="5"/>
  <c r="B2399" i="5"/>
  <c r="B2398" i="5"/>
  <c r="B2397" i="5"/>
  <c r="B2396" i="5"/>
  <c r="B2395" i="5"/>
  <c r="B2394" i="5"/>
  <c r="B2393" i="5"/>
  <c r="B2392" i="5"/>
  <c r="B2391" i="5"/>
  <c r="B2390" i="5"/>
  <c r="B2389" i="5"/>
  <c r="B2388" i="5"/>
  <c r="B2387" i="5"/>
  <c r="B2386" i="5"/>
  <c r="B2385" i="5"/>
  <c r="B2384" i="5"/>
  <c r="B2383" i="5"/>
  <c r="B2382" i="5"/>
  <c r="B2381" i="5"/>
  <c r="B2380" i="5"/>
  <c r="B2379" i="5"/>
  <c r="B2378" i="5"/>
  <c r="B2377" i="5"/>
  <c r="B2376" i="5"/>
  <c r="B2375" i="5"/>
  <c r="B2374" i="5"/>
  <c r="B2373" i="5"/>
  <c r="B2372" i="5"/>
  <c r="B2371" i="5"/>
  <c r="B2370" i="5"/>
  <c r="B2369" i="5"/>
  <c r="B2368" i="5"/>
  <c r="B2367" i="5"/>
  <c r="B2366" i="5"/>
  <c r="B2365" i="5"/>
  <c r="B2364" i="5"/>
  <c r="B2363" i="5"/>
  <c r="B2362" i="5"/>
  <c r="B2361" i="5"/>
  <c r="B2360" i="5"/>
  <c r="B2359" i="5"/>
  <c r="B2358" i="5"/>
  <c r="B2357" i="5"/>
  <c r="B2356" i="5"/>
  <c r="B2355" i="5"/>
  <c r="B2354" i="5"/>
  <c r="B2353" i="5"/>
  <c r="B2352" i="5"/>
  <c r="B2351" i="5"/>
  <c r="B2350" i="5"/>
  <c r="B2349" i="5"/>
  <c r="B2348" i="5"/>
  <c r="B2347" i="5"/>
  <c r="B2346" i="5"/>
  <c r="B2345" i="5"/>
  <c r="B2344" i="5"/>
  <c r="B2343" i="5"/>
  <c r="B2342" i="5"/>
  <c r="B2341" i="5"/>
  <c r="B2340" i="5"/>
  <c r="B2339" i="5"/>
  <c r="B2338" i="5"/>
  <c r="B2337" i="5"/>
  <c r="B2336" i="5"/>
  <c r="B2335" i="5"/>
  <c r="B2334" i="5"/>
  <c r="B2333" i="5"/>
  <c r="B2332" i="5"/>
  <c r="B2331" i="5"/>
  <c r="B2330" i="5"/>
  <c r="B2329" i="5"/>
  <c r="B2328" i="5"/>
  <c r="B2327" i="5"/>
  <c r="B2326" i="5"/>
  <c r="B2325" i="5"/>
  <c r="B2324" i="5"/>
  <c r="B2323" i="5"/>
  <c r="B2322" i="5"/>
  <c r="B2321" i="5"/>
  <c r="B2320" i="5"/>
  <c r="B2319" i="5"/>
  <c r="B2318" i="5"/>
  <c r="B2317" i="5"/>
  <c r="B2316" i="5"/>
  <c r="B2315" i="5"/>
  <c r="B2314" i="5"/>
  <c r="B2313" i="5"/>
  <c r="B2312" i="5"/>
  <c r="B2311" i="5"/>
  <c r="B2310" i="5"/>
  <c r="B2309" i="5"/>
  <c r="B2308" i="5"/>
  <c r="B2307" i="5"/>
  <c r="B2306" i="5"/>
  <c r="B2305" i="5"/>
  <c r="B2304" i="5"/>
  <c r="B2303" i="5"/>
  <c r="B2302" i="5"/>
  <c r="B2301" i="5"/>
  <c r="B2300" i="5"/>
  <c r="B2299" i="5"/>
  <c r="B2298" i="5"/>
  <c r="B2297" i="5"/>
  <c r="B2296" i="5"/>
  <c r="B2295" i="5"/>
  <c r="B2294" i="5"/>
  <c r="B2293" i="5"/>
  <c r="B2292" i="5"/>
  <c r="B2291" i="5"/>
  <c r="B2290" i="5"/>
  <c r="B2289" i="5"/>
  <c r="B2288" i="5"/>
  <c r="B2287" i="5"/>
  <c r="B2286" i="5"/>
  <c r="B2285" i="5"/>
  <c r="B2284" i="5"/>
  <c r="B2283" i="5"/>
  <c r="B2282" i="5"/>
  <c r="B2281" i="5"/>
  <c r="B2280" i="5"/>
  <c r="B2279" i="5"/>
  <c r="B2278" i="5"/>
  <c r="B2277" i="5"/>
  <c r="B2276" i="5"/>
  <c r="B2275" i="5"/>
  <c r="B2274" i="5"/>
  <c r="B2273" i="5"/>
  <c r="B2272" i="5"/>
  <c r="B2271" i="5"/>
  <c r="B2270" i="5"/>
  <c r="B2269" i="5"/>
  <c r="B2268" i="5"/>
  <c r="B2267" i="5"/>
  <c r="B2266" i="5"/>
  <c r="B2265" i="5"/>
  <c r="B2264" i="5"/>
  <c r="B2263" i="5"/>
  <c r="B2262" i="5"/>
  <c r="B2261" i="5"/>
  <c r="B2260" i="5"/>
  <c r="B2259" i="5"/>
  <c r="B2258" i="5"/>
  <c r="B2257" i="5"/>
  <c r="B2256" i="5"/>
  <c r="B2255" i="5"/>
  <c r="B2254" i="5"/>
  <c r="B2253" i="5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H579" i="5"/>
  <c r="B579" i="5"/>
  <c r="H578" i="5"/>
  <c r="B578" i="5"/>
  <c r="H577" i="5"/>
  <c r="B577" i="5"/>
  <c r="H576" i="5"/>
  <c r="B576" i="5"/>
  <c r="H575" i="5"/>
  <c r="B575" i="5"/>
  <c r="H574" i="5"/>
  <c r="B574" i="5"/>
  <c r="H573" i="5"/>
  <c r="B573" i="5"/>
  <c r="H572" i="5"/>
  <c r="B572" i="5"/>
  <c r="H571" i="5"/>
  <c r="B571" i="5"/>
  <c r="H570" i="5"/>
  <c r="B570" i="5"/>
  <c r="H569" i="5"/>
  <c r="B569" i="5"/>
  <c r="H568" i="5"/>
  <c r="B568" i="5"/>
  <c r="H567" i="5"/>
  <c r="B567" i="5"/>
  <c r="H566" i="5"/>
  <c r="B566" i="5"/>
  <c r="H565" i="5"/>
  <c r="B565" i="5"/>
  <c r="H564" i="5"/>
  <c r="B564" i="5"/>
  <c r="H563" i="5"/>
  <c r="B563" i="5"/>
  <c r="H562" i="5"/>
  <c r="B562" i="5"/>
  <c r="H561" i="5"/>
  <c r="B561" i="5"/>
  <c r="H560" i="5"/>
  <c r="B560" i="5"/>
  <c r="H559" i="5"/>
  <c r="B559" i="5"/>
  <c r="H558" i="5"/>
  <c r="B558" i="5"/>
  <c r="H557" i="5"/>
  <c r="B557" i="5"/>
  <c r="H556" i="5"/>
  <c r="B556" i="5"/>
  <c r="H555" i="5"/>
  <c r="B555" i="5"/>
  <c r="H554" i="5"/>
  <c r="B554" i="5"/>
  <c r="H553" i="5"/>
  <c r="B553" i="5"/>
  <c r="H552" i="5"/>
  <c r="B552" i="5"/>
  <c r="H551" i="5"/>
  <c r="B551" i="5"/>
  <c r="H550" i="5"/>
  <c r="B550" i="5"/>
  <c r="H549" i="5"/>
  <c r="B549" i="5"/>
  <c r="H548" i="5"/>
  <c r="B548" i="5"/>
  <c r="H547" i="5"/>
  <c r="B547" i="5"/>
  <c r="H546" i="5"/>
  <c r="B546" i="5"/>
  <c r="H545" i="5"/>
  <c r="B545" i="5"/>
  <c r="H544" i="5"/>
  <c r="B544" i="5"/>
  <c r="H543" i="5"/>
  <c r="B543" i="5"/>
  <c r="H542" i="5"/>
  <c r="B542" i="5"/>
  <c r="H541" i="5"/>
  <c r="B541" i="5"/>
  <c r="H540" i="5"/>
  <c r="B540" i="5"/>
  <c r="H539" i="5"/>
  <c r="B539" i="5"/>
  <c r="H538" i="5"/>
  <c r="B538" i="5"/>
  <c r="H537" i="5"/>
  <c r="B537" i="5"/>
  <c r="H536" i="5"/>
  <c r="B536" i="5"/>
  <c r="H535" i="5"/>
  <c r="B535" i="5"/>
  <c r="H534" i="5"/>
  <c r="B534" i="5"/>
  <c r="H533" i="5"/>
  <c r="B533" i="5"/>
  <c r="H532" i="5"/>
  <c r="B532" i="5"/>
  <c r="H531" i="5"/>
  <c r="B531" i="5"/>
  <c r="H530" i="5"/>
  <c r="B530" i="5"/>
  <c r="H529" i="5"/>
  <c r="B529" i="5"/>
  <c r="H528" i="5"/>
  <c r="B528" i="5"/>
  <c r="H527" i="5"/>
  <c r="B527" i="5"/>
  <c r="H526" i="5"/>
  <c r="B526" i="5"/>
  <c r="H525" i="5"/>
  <c r="B525" i="5"/>
  <c r="H524" i="5"/>
  <c r="B524" i="5"/>
  <c r="H523" i="5"/>
  <c r="B523" i="5"/>
  <c r="H522" i="5"/>
  <c r="B522" i="5"/>
  <c r="H521" i="5"/>
  <c r="B521" i="5"/>
  <c r="H520" i="5"/>
  <c r="B520" i="5"/>
  <c r="H519" i="5"/>
  <c r="B519" i="5"/>
  <c r="H518" i="5"/>
  <c r="B518" i="5"/>
  <c r="H517" i="5"/>
  <c r="B517" i="5"/>
  <c r="H516" i="5"/>
  <c r="B516" i="5"/>
  <c r="H515" i="5"/>
  <c r="B515" i="5"/>
  <c r="H514" i="5"/>
  <c r="B514" i="5"/>
  <c r="H513" i="5"/>
  <c r="B513" i="5"/>
  <c r="H512" i="5"/>
  <c r="B512" i="5"/>
  <c r="H511" i="5"/>
  <c r="B511" i="5"/>
  <c r="H510" i="5"/>
  <c r="B510" i="5"/>
  <c r="H509" i="5"/>
  <c r="B509" i="5"/>
  <c r="H508" i="5"/>
  <c r="B508" i="5"/>
  <c r="H507" i="5"/>
  <c r="B507" i="5"/>
  <c r="H506" i="5"/>
  <c r="B506" i="5"/>
  <c r="H505" i="5"/>
  <c r="B505" i="5"/>
  <c r="H504" i="5"/>
  <c r="B504" i="5"/>
  <c r="H503" i="5"/>
  <c r="B503" i="5"/>
  <c r="H502" i="5"/>
  <c r="B502" i="5"/>
  <c r="H501" i="5"/>
  <c r="B501" i="5"/>
  <c r="H500" i="5"/>
  <c r="B500" i="5"/>
  <c r="H499" i="5"/>
  <c r="B499" i="5"/>
  <c r="H498" i="5"/>
  <c r="B498" i="5"/>
  <c r="H497" i="5"/>
  <c r="B497" i="5"/>
  <c r="H496" i="5"/>
  <c r="B496" i="5"/>
  <c r="H495" i="5"/>
  <c r="B495" i="5"/>
  <c r="H494" i="5"/>
  <c r="B494" i="5"/>
  <c r="H493" i="5"/>
  <c r="B493" i="5"/>
  <c r="H492" i="5"/>
  <c r="B492" i="5"/>
  <c r="H491" i="5"/>
  <c r="B491" i="5"/>
  <c r="H490" i="5"/>
  <c r="B490" i="5"/>
  <c r="H489" i="5"/>
  <c r="B489" i="5"/>
  <c r="H488" i="5"/>
  <c r="B488" i="5"/>
  <c r="H487" i="5"/>
  <c r="B487" i="5"/>
  <c r="H486" i="5"/>
  <c r="B486" i="5"/>
  <c r="H485" i="5"/>
  <c r="B485" i="5"/>
  <c r="H484" i="5"/>
  <c r="B484" i="5"/>
  <c r="H483" i="5"/>
  <c r="B483" i="5"/>
  <c r="H482" i="5"/>
  <c r="B482" i="5"/>
  <c r="H481" i="5"/>
  <c r="B481" i="5"/>
  <c r="H480" i="5"/>
  <c r="B480" i="5"/>
  <c r="H479" i="5"/>
  <c r="B479" i="5"/>
  <c r="H478" i="5"/>
  <c r="B478" i="5"/>
  <c r="H477" i="5"/>
  <c r="B477" i="5"/>
  <c r="H476" i="5"/>
  <c r="B476" i="5"/>
  <c r="H475" i="5"/>
  <c r="B475" i="5"/>
  <c r="H474" i="5"/>
  <c r="B474" i="5"/>
  <c r="H473" i="5"/>
  <c r="B473" i="5"/>
  <c r="H472" i="5"/>
  <c r="B472" i="5"/>
  <c r="H471" i="5"/>
  <c r="B471" i="5"/>
  <c r="H470" i="5"/>
  <c r="B470" i="5"/>
  <c r="H469" i="5"/>
  <c r="B469" i="5"/>
  <c r="H468" i="5"/>
  <c r="B468" i="5"/>
  <c r="H467" i="5"/>
  <c r="B467" i="5"/>
  <c r="H466" i="5"/>
  <c r="B466" i="5"/>
  <c r="H465" i="5"/>
  <c r="B465" i="5"/>
  <c r="H464" i="5"/>
  <c r="B464" i="5"/>
  <c r="H463" i="5"/>
  <c r="B463" i="5"/>
  <c r="H462" i="5"/>
  <c r="B462" i="5"/>
  <c r="H461" i="5"/>
  <c r="B461" i="5"/>
  <c r="H460" i="5"/>
  <c r="B460" i="5"/>
  <c r="H459" i="5"/>
  <c r="B459" i="5"/>
  <c r="H458" i="5"/>
  <c r="B458" i="5"/>
  <c r="H457" i="5"/>
  <c r="B457" i="5"/>
  <c r="H456" i="5"/>
  <c r="B456" i="5"/>
  <c r="H455" i="5"/>
  <c r="B455" i="5"/>
  <c r="H454" i="5"/>
  <c r="B454" i="5"/>
  <c r="H453" i="5"/>
  <c r="B453" i="5"/>
  <c r="H452" i="5"/>
  <c r="B452" i="5"/>
  <c r="H451" i="5"/>
  <c r="B451" i="5"/>
  <c r="H450" i="5"/>
  <c r="B450" i="5"/>
  <c r="H449" i="5"/>
  <c r="B449" i="5"/>
  <c r="H448" i="5"/>
  <c r="B448" i="5"/>
  <c r="H447" i="5"/>
  <c r="B447" i="5"/>
  <c r="H446" i="5"/>
  <c r="B446" i="5"/>
  <c r="H445" i="5"/>
  <c r="B445" i="5"/>
  <c r="H444" i="5"/>
  <c r="B444" i="5"/>
  <c r="H443" i="5"/>
  <c r="B443" i="5"/>
  <c r="H442" i="5"/>
  <c r="B442" i="5"/>
  <c r="H441" i="5"/>
  <c r="B441" i="5"/>
  <c r="H440" i="5"/>
  <c r="B440" i="5"/>
  <c r="H439" i="5"/>
  <c r="B439" i="5"/>
  <c r="H438" i="5"/>
  <c r="B438" i="5"/>
  <c r="H437" i="5"/>
  <c r="B437" i="5"/>
  <c r="H436" i="5"/>
  <c r="B436" i="5"/>
  <c r="H435" i="5"/>
  <c r="B435" i="5"/>
  <c r="H434" i="5"/>
  <c r="B434" i="5"/>
  <c r="H433" i="5"/>
  <c r="B433" i="5"/>
  <c r="H432" i="5"/>
  <c r="B432" i="5"/>
  <c r="H431" i="5"/>
  <c r="B431" i="5"/>
  <c r="H430" i="5"/>
  <c r="B430" i="5"/>
  <c r="H429" i="5"/>
  <c r="B429" i="5"/>
  <c r="H428" i="5"/>
  <c r="B428" i="5"/>
  <c r="H427" i="5"/>
  <c r="B427" i="5"/>
  <c r="H426" i="5"/>
  <c r="B426" i="5"/>
  <c r="H425" i="5"/>
  <c r="B425" i="5"/>
  <c r="H424" i="5"/>
  <c r="B424" i="5"/>
  <c r="H423" i="5"/>
  <c r="B423" i="5"/>
  <c r="H422" i="5"/>
  <c r="B422" i="5"/>
  <c r="H421" i="5"/>
  <c r="B421" i="5"/>
  <c r="H420" i="5"/>
  <c r="B420" i="5"/>
  <c r="H419" i="5"/>
  <c r="B419" i="5"/>
  <c r="H418" i="5"/>
  <c r="B418" i="5"/>
  <c r="H417" i="5"/>
  <c r="B417" i="5"/>
  <c r="H416" i="5"/>
  <c r="B416" i="5"/>
  <c r="H415" i="5"/>
  <c r="B415" i="5"/>
  <c r="H414" i="5"/>
  <c r="B414" i="5"/>
  <c r="H413" i="5"/>
  <c r="B413" i="5"/>
  <c r="H412" i="5"/>
  <c r="B412" i="5"/>
  <c r="H411" i="5"/>
  <c r="B411" i="5"/>
  <c r="H410" i="5"/>
  <c r="B410" i="5"/>
  <c r="H409" i="5"/>
  <c r="B409" i="5"/>
  <c r="H408" i="5"/>
  <c r="B408" i="5"/>
  <c r="H407" i="5"/>
  <c r="B407" i="5"/>
  <c r="H406" i="5"/>
  <c r="B406" i="5"/>
  <c r="H405" i="5"/>
  <c r="B405" i="5"/>
  <c r="H404" i="5"/>
  <c r="B404" i="5"/>
  <c r="H403" i="5"/>
  <c r="B403" i="5"/>
  <c r="H402" i="5"/>
  <c r="B402" i="5"/>
  <c r="H401" i="5"/>
  <c r="B401" i="5"/>
  <c r="H400" i="5"/>
  <c r="B400" i="5"/>
  <c r="H399" i="5"/>
  <c r="B399" i="5"/>
  <c r="H398" i="5"/>
  <c r="B398" i="5"/>
  <c r="H397" i="5"/>
  <c r="B397" i="5"/>
  <c r="H396" i="5"/>
  <c r="B396" i="5"/>
  <c r="H395" i="5"/>
  <c r="B395" i="5"/>
  <c r="H394" i="5"/>
  <c r="B394" i="5"/>
  <c r="H393" i="5"/>
  <c r="B393" i="5"/>
  <c r="H392" i="5"/>
  <c r="B392" i="5"/>
  <c r="H391" i="5"/>
  <c r="B391" i="5"/>
  <c r="H390" i="5"/>
  <c r="B390" i="5"/>
  <c r="H389" i="5"/>
  <c r="B389" i="5"/>
  <c r="H388" i="5"/>
  <c r="B388" i="5"/>
  <c r="H387" i="5"/>
  <c r="B387" i="5"/>
  <c r="H386" i="5"/>
  <c r="B386" i="5"/>
  <c r="H385" i="5"/>
  <c r="B385" i="5"/>
  <c r="H384" i="5"/>
  <c r="B384" i="5"/>
  <c r="H383" i="5"/>
  <c r="B383" i="5"/>
  <c r="H382" i="5"/>
  <c r="B382" i="5"/>
  <c r="H381" i="5"/>
  <c r="B381" i="5"/>
  <c r="H380" i="5"/>
  <c r="B380" i="5"/>
  <c r="H379" i="5"/>
  <c r="B379" i="5"/>
  <c r="H378" i="5"/>
  <c r="B378" i="5"/>
  <c r="H377" i="5"/>
  <c r="B377" i="5"/>
  <c r="H376" i="5"/>
  <c r="B376" i="5"/>
  <c r="H375" i="5"/>
  <c r="B375" i="5"/>
  <c r="H374" i="5"/>
  <c r="B374" i="5"/>
  <c r="H373" i="5"/>
  <c r="B373" i="5"/>
  <c r="H372" i="5"/>
  <c r="B372" i="5"/>
  <c r="H371" i="5"/>
  <c r="B371" i="5"/>
  <c r="H370" i="5"/>
  <c r="B370" i="5"/>
  <c r="H369" i="5"/>
  <c r="B369" i="5"/>
  <c r="H368" i="5"/>
  <c r="B368" i="5"/>
  <c r="H367" i="5"/>
  <c r="B367" i="5"/>
  <c r="H366" i="5"/>
  <c r="B366" i="5"/>
  <c r="H365" i="5"/>
  <c r="B365" i="5"/>
  <c r="H364" i="5"/>
  <c r="B364" i="5"/>
  <c r="H363" i="5"/>
  <c r="B363" i="5"/>
  <c r="H362" i="5"/>
  <c r="B362" i="5"/>
  <c r="H361" i="5"/>
  <c r="B361" i="5"/>
  <c r="H360" i="5"/>
  <c r="B360" i="5"/>
  <c r="H359" i="5"/>
  <c r="B359" i="5"/>
  <c r="H358" i="5"/>
  <c r="B358" i="5"/>
  <c r="H357" i="5"/>
  <c r="B357" i="5"/>
  <c r="H356" i="5"/>
  <c r="B356" i="5"/>
  <c r="H355" i="5"/>
  <c r="B355" i="5"/>
  <c r="H354" i="5"/>
  <c r="B354" i="5"/>
  <c r="H353" i="5"/>
  <c r="B353" i="5"/>
  <c r="H352" i="5"/>
  <c r="B352" i="5"/>
  <c r="H351" i="5"/>
  <c r="B351" i="5"/>
  <c r="H350" i="5"/>
  <c r="B350" i="5"/>
  <c r="H349" i="5"/>
  <c r="B349" i="5"/>
  <c r="H348" i="5"/>
  <c r="B348" i="5"/>
  <c r="H347" i="5"/>
  <c r="B347" i="5"/>
  <c r="H346" i="5"/>
  <c r="B346" i="5"/>
  <c r="H345" i="5"/>
  <c r="B345" i="5"/>
  <c r="H344" i="5"/>
  <c r="B344" i="5"/>
  <c r="H343" i="5"/>
  <c r="B343" i="5"/>
  <c r="H342" i="5"/>
  <c r="B342" i="5"/>
  <c r="H341" i="5"/>
  <c r="B341" i="5"/>
  <c r="H340" i="5"/>
  <c r="B340" i="5"/>
  <c r="H339" i="5"/>
  <c r="B339" i="5"/>
  <c r="H338" i="5"/>
  <c r="B338" i="5"/>
  <c r="H337" i="5"/>
  <c r="B337" i="5"/>
  <c r="H336" i="5"/>
  <c r="B336" i="5"/>
  <c r="H335" i="5"/>
  <c r="B335" i="5"/>
  <c r="H334" i="5"/>
  <c r="B334" i="5"/>
  <c r="H333" i="5"/>
  <c r="B333" i="5"/>
  <c r="H332" i="5"/>
  <c r="B332" i="5"/>
  <c r="H331" i="5"/>
  <c r="B331" i="5"/>
  <c r="H330" i="5"/>
  <c r="B330" i="5"/>
  <c r="H329" i="5"/>
  <c r="B329" i="5"/>
  <c r="H328" i="5"/>
  <c r="B328" i="5"/>
  <c r="H327" i="5"/>
  <c r="B327" i="5"/>
  <c r="H326" i="5"/>
  <c r="B326" i="5"/>
  <c r="H325" i="5"/>
  <c r="B325" i="5"/>
  <c r="H324" i="5"/>
  <c r="B324" i="5"/>
  <c r="H323" i="5"/>
  <c r="B323" i="5"/>
  <c r="H322" i="5"/>
  <c r="B322" i="5"/>
  <c r="H321" i="5"/>
  <c r="B321" i="5"/>
  <c r="H320" i="5"/>
  <c r="B320" i="5"/>
  <c r="H319" i="5"/>
  <c r="B319" i="5"/>
  <c r="H318" i="5"/>
  <c r="B318" i="5"/>
  <c r="H317" i="5"/>
  <c r="B317" i="5"/>
  <c r="H316" i="5"/>
  <c r="B316" i="5"/>
  <c r="H315" i="5"/>
  <c r="B315" i="5"/>
  <c r="H314" i="5"/>
  <c r="B314" i="5"/>
  <c r="H313" i="5"/>
  <c r="B313" i="5"/>
  <c r="H312" i="5"/>
  <c r="B312" i="5"/>
  <c r="H311" i="5"/>
  <c r="B311" i="5"/>
  <c r="H310" i="5"/>
  <c r="B310" i="5"/>
  <c r="H309" i="5"/>
  <c r="B309" i="5"/>
  <c r="H308" i="5"/>
  <c r="B308" i="5"/>
  <c r="H307" i="5"/>
  <c r="B307" i="5"/>
  <c r="H306" i="5"/>
  <c r="B306" i="5"/>
  <c r="H305" i="5"/>
  <c r="B305" i="5"/>
  <c r="H304" i="5"/>
  <c r="B304" i="5"/>
  <c r="H303" i="5"/>
  <c r="B303" i="5"/>
  <c r="H302" i="5"/>
  <c r="B302" i="5"/>
  <c r="H301" i="5"/>
  <c r="B301" i="5"/>
  <c r="H300" i="5"/>
  <c r="B300" i="5"/>
  <c r="H299" i="5"/>
  <c r="B299" i="5"/>
  <c r="H298" i="5"/>
  <c r="B298" i="5"/>
  <c r="H297" i="5"/>
  <c r="B297" i="5"/>
  <c r="H296" i="5"/>
  <c r="B296" i="5"/>
  <c r="H295" i="5"/>
  <c r="B295" i="5"/>
  <c r="H294" i="5"/>
  <c r="B294" i="5"/>
  <c r="H293" i="5"/>
  <c r="B293" i="5"/>
  <c r="H292" i="5"/>
  <c r="B292" i="5"/>
  <c r="H291" i="5"/>
  <c r="B291" i="5"/>
  <c r="H290" i="5"/>
  <c r="B290" i="5"/>
  <c r="H289" i="5"/>
  <c r="B289" i="5"/>
  <c r="H288" i="5"/>
  <c r="B288" i="5"/>
  <c r="H287" i="5"/>
  <c r="B287" i="5"/>
  <c r="H286" i="5"/>
  <c r="B286" i="5"/>
  <c r="H285" i="5"/>
  <c r="B285" i="5"/>
  <c r="H284" i="5"/>
  <c r="B284" i="5"/>
  <c r="H283" i="5"/>
  <c r="B283" i="5"/>
  <c r="H282" i="5"/>
  <c r="B282" i="5"/>
  <c r="H281" i="5"/>
  <c r="B281" i="5"/>
  <c r="H280" i="5"/>
  <c r="B280" i="5"/>
  <c r="H279" i="5"/>
  <c r="B279" i="5"/>
  <c r="H278" i="5"/>
  <c r="B278" i="5"/>
  <c r="H277" i="5"/>
  <c r="B277" i="5"/>
  <c r="H276" i="5"/>
  <c r="B276" i="5"/>
  <c r="H275" i="5"/>
  <c r="B275" i="5"/>
  <c r="H274" i="5"/>
  <c r="B274" i="5"/>
  <c r="H273" i="5"/>
  <c r="B273" i="5"/>
  <c r="H272" i="5"/>
  <c r="B272" i="5"/>
  <c r="H271" i="5"/>
  <c r="B271" i="5"/>
  <c r="H270" i="5"/>
  <c r="B270" i="5"/>
  <c r="H269" i="5"/>
  <c r="B269" i="5"/>
  <c r="H268" i="5"/>
  <c r="B268" i="5"/>
  <c r="H267" i="5"/>
  <c r="B267" i="5"/>
  <c r="H266" i="5"/>
  <c r="B266" i="5"/>
  <c r="H265" i="5"/>
  <c r="B265" i="5"/>
  <c r="H264" i="5"/>
  <c r="B264" i="5"/>
  <c r="H263" i="5"/>
  <c r="B263" i="5"/>
  <c r="H262" i="5"/>
  <c r="B262" i="5"/>
  <c r="H261" i="5"/>
  <c r="B261" i="5"/>
  <c r="H260" i="5"/>
  <c r="B260" i="5"/>
  <c r="H259" i="5"/>
  <c r="B259" i="5"/>
  <c r="H258" i="5"/>
  <c r="B258" i="5"/>
  <c r="H257" i="5"/>
  <c r="B257" i="5"/>
  <c r="H256" i="5"/>
  <c r="B256" i="5"/>
  <c r="H255" i="5"/>
  <c r="B255" i="5"/>
  <c r="H254" i="5"/>
  <c r="B254" i="5"/>
  <c r="H253" i="5"/>
  <c r="B253" i="5"/>
  <c r="H252" i="5"/>
  <c r="B252" i="5"/>
  <c r="H251" i="5"/>
  <c r="B251" i="5"/>
  <c r="H250" i="5"/>
  <c r="B250" i="5"/>
  <c r="H249" i="5"/>
  <c r="B249" i="5"/>
  <c r="H248" i="5"/>
  <c r="B248" i="5"/>
  <c r="H247" i="5"/>
  <c r="B247" i="5"/>
  <c r="H246" i="5"/>
  <c r="B246" i="5"/>
  <c r="H245" i="5"/>
  <c r="B245" i="5"/>
  <c r="H244" i="5"/>
  <c r="B244" i="5"/>
  <c r="H243" i="5"/>
  <c r="B243" i="5"/>
  <c r="H242" i="5"/>
  <c r="B242" i="5"/>
  <c r="H241" i="5"/>
  <c r="B241" i="5"/>
  <c r="H240" i="5"/>
  <c r="B240" i="5"/>
  <c r="H239" i="5"/>
  <c r="B239" i="5"/>
  <c r="H238" i="5"/>
  <c r="B238" i="5"/>
  <c r="H237" i="5"/>
  <c r="B237" i="5"/>
  <c r="H236" i="5"/>
  <c r="B236" i="5"/>
  <c r="H235" i="5"/>
  <c r="B235" i="5"/>
  <c r="H234" i="5"/>
  <c r="B234" i="5"/>
  <c r="H233" i="5"/>
  <c r="B233" i="5"/>
  <c r="H232" i="5"/>
  <c r="B232" i="5"/>
  <c r="H231" i="5"/>
  <c r="B231" i="5"/>
  <c r="H230" i="5"/>
  <c r="B230" i="5"/>
  <c r="H229" i="5"/>
  <c r="B229" i="5"/>
  <c r="H228" i="5"/>
  <c r="B228" i="5"/>
  <c r="H227" i="5"/>
  <c r="B227" i="5"/>
  <c r="H226" i="5"/>
  <c r="B226" i="5"/>
  <c r="H225" i="5"/>
  <c r="B225" i="5"/>
  <c r="H224" i="5"/>
  <c r="B224" i="5"/>
  <c r="H223" i="5"/>
  <c r="B223" i="5"/>
  <c r="H222" i="5"/>
  <c r="B222" i="5"/>
  <c r="H221" i="5"/>
  <c r="B221" i="5"/>
  <c r="H220" i="5"/>
  <c r="B220" i="5"/>
  <c r="H219" i="5"/>
  <c r="B219" i="5"/>
  <c r="H218" i="5"/>
  <c r="B218" i="5"/>
  <c r="H217" i="5"/>
  <c r="B217" i="5"/>
  <c r="H216" i="5"/>
  <c r="B216" i="5"/>
  <c r="H215" i="5"/>
  <c r="B215" i="5"/>
  <c r="H214" i="5"/>
  <c r="B214" i="5"/>
  <c r="H213" i="5"/>
  <c r="B213" i="5"/>
  <c r="H212" i="5"/>
  <c r="B212" i="5"/>
  <c r="H211" i="5"/>
  <c r="B211" i="5"/>
  <c r="H210" i="5"/>
  <c r="B210" i="5"/>
  <c r="H209" i="5"/>
  <c r="B209" i="5"/>
  <c r="H208" i="5"/>
  <c r="B208" i="5"/>
  <c r="H207" i="5"/>
  <c r="B207" i="5"/>
  <c r="H206" i="5"/>
  <c r="B206" i="5"/>
  <c r="H205" i="5"/>
  <c r="B205" i="5"/>
  <c r="H204" i="5"/>
  <c r="B204" i="5"/>
  <c r="H203" i="5"/>
  <c r="B203" i="5"/>
  <c r="H202" i="5"/>
  <c r="B202" i="5"/>
  <c r="H201" i="5"/>
  <c r="B201" i="5"/>
  <c r="H200" i="5"/>
  <c r="B200" i="5"/>
  <c r="H199" i="5"/>
  <c r="B199" i="5"/>
  <c r="H198" i="5"/>
  <c r="B198" i="5"/>
  <c r="H197" i="5"/>
  <c r="B197" i="5"/>
  <c r="H196" i="5"/>
  <c r="B196" i="5"/>
  <c r="H195" i="5"/>
  <c r="B195" i="5"/>
  <c r="H194" i="5"/>
  <c r="B194" i="5"/>
  <c r="H193" i="5"/>
  <c r="B193" i="5"/>
  <c r="H192" i="5"/>
  <c r="B192" i="5"/>
  <c r="H191" i="5"/>
  <c r="B191" i="5"/>
  <c r="H190" i="5"/>
  <c r="B190" i="5"/>
  <c r="H189" i="5"/>
  <c r="B189" i="5"/>
  <c r="H188" i="5"/>
  <c r="B188" i="5"/>
  <c r="H187" i="5"/>
  <c r="B187" i="5"/>
  <c r="H186" i="5"/>
  <c r="B186" i="5"/>
  <c r="H185" i="5"/>
  <c r="B185" i="5"/>
  <c r="H184" i="5"/>
  <c r="B184" i="5"/>
  <c r="H183" i="5"/>
  <c r="B183" i="5"/>
  <c r="H182" i="5"/>
  <c r="B182" i="5"/>
  <c r="H181" i="5"/>
  <c r="B181" i="5"/>
  <c r="H180" i="5"/>
  <c r="B180" i="5"/>
  <c r="H179" i="5"/>
  <c r="B179" i="5"/>
  <c r="H178" i="5"/>
  <c r="B178" i="5"/>
  <c r="H177" i="5"/>
  <c r="B177" i="5"/>
  <c r="H176" i="5"/>
  <c r="B176" i="5"/>
  <c r="H175" i="5"/>
  <c r="B175" i="5"/>
  <c r="H174" i="5"/>
  <c r="B174" i="5"/>
  <c r="H173" i="5"/>
  <c r="B173" i="5"/>
  <c r="H172" i="5"/>
  <c r="B172" i="5"/>
  <c r="H171" i="5"/>
  <c r="B171" i="5"/>
  <c r="H170" i="5"/>
  <c r="B170" i="5"/>
  <c r="H169" i="5"/>
  <c r="B169" i="5"/>
  <c r="H168" i="5"/>
  <c r="B168" i="5"/>
  <c r="H167" i="5"/>
  <c r="B167" i="5"/>
  <c r="H166" i="5"/>
  <c r="B166" i="5"/>
  <c r="H165" i="5"/>
  <c r="B165" i="5"/>
  <c r="H164" i="5"/>
  <c r="B164" i="5"/>
  <c r="H163" i="5"/>
  <c r="B163" i="5"/>
  <c r="H162" i="5"/>
  <c r="B162" i="5"/>
  <c r="H161" i="5"/>
  <c r="B161" i="5"/>
  <c r="H160" i="5"/>
  <c r="B160" i="5"/>
  <c r="H159" i="5"/>
  <c r="B159" i="5"/>
  <c r="H158" i="5"/>
  <c r="B158" i="5"/>
  <c r="H157" i="5"/>
  <c r="B157" i="5"/>
  <c r="H156" i="5"/>
  <c r="B156" i="5"/>
  <c r="H155" i="5"/>
  <c r="B155" i="5"/>
  <c r="H154" i="5"/>
  <c r="B154" i="5"/>
  <c r="H153" i="5"/>
  <c r="B153" i="5"/>
  <c r="H152" i="5"/>
  <c r="B152" i="5"/>
  <c r="H151" i="5"/>
  <c r="B151" i="5"/>
  <c r="H150" i="5"/>
  <c r="B150" i="5"/>
  <c r="H149" i="5"/>
  <c r="B149" i="5"/>
  <c r="H148" i="5"/>
  <c r="B148" i="5"/>
  <c r="H147" i="5"/>
  <c r="B147" i="5"/>
  <c r="H146" i="5"/>
  <c r="B146" i="5"/>
  <c r="H145" i="5"/>
  <c r="B145" i="5"/>
  <c r="H144" i="5"/>
  <c r="B144" i="5"/>
  <c r="H143" i="5"/>
  <c r="B143" i="5"/>
  <c r="H142" i="5"/>
  <c r="B142" i="5"/>
  <c r="H141" i="5"/>
  <c r="B141" i="5"/>
  <c r="H140" i="5"/>
  <c r="B140" i="5"/>
  <c r="H139" i="5"/>
  <c r="B139" i="5"/>
  <c r="H138" i="5"/>
  <c r="B138" i="5"/>
  <c r="H137" i="5"/>
  <c r="B137" i="5"/>
  <c r="H136" i="5"/>
  <c r="B136" i="5"/>
  <c r="H135" i="5"/>
  <c r="B135" i="5"/>
  <c r="H134" i="5"/>
  <c r="B134" i="5"/>
  <c r="H133" i="5"/>
  <c r="B133" i="5"/>
  <c r="H132" i="5"/>
  <c r="B132" i="5"/>
  <c r="H131" i="5"/>
  <c r="B131" i="5"/>
  <c r="H130" i="5"/>
  <c r="B130" i="5"/>
  <c r="H129" i="5"/>
  <c r="B129" i="5"/>
  <c r="H128" i="5"/>
  <c r="B128" i="5"/>
  <c r="H127" i="5"/>
  <c r="B127" i="5"/>
  <c r="H126" i="5"/>
  <c r="B126" i="5"/>
  <c r="H125" i="5"/>
  <c r="B125" i="5"/>
  <c r="H124" i="5"/>
  <c r="B124" i="5"/>
  <c r="H123" i="5"/>
  <c r="B123" i="5"/>
  <c r="H122" i="5"/>
  <c r="B122" i="5"/>
  <c r="H121" i="5"/>
  <c r="B121" i="5"/>
  <c r="H120" i="5"/>
  <c r="B120" i="5"/>
  <c r="H119" i="5"/>
  <c r="B119" i="5"/>
  <c r="H118" i="5"/>
  <c r="B118" i="5"/>
  <c r="H117" i="5"/>
  <c r="B117" i="5"/>
  <c r="H116" i="5"/>
  <c r="B116" i="5"/>
  <c r="H115" i="5"/>
  <c r="B115" i="5"/>
  <c r="H114" i="5"/>
  <c r="B114" i="5"/>
  <c r="H113" i="5"/>
  <c r="B113" i="5"/>
  <c r="H112" i="5"/>
  <c r="B112" i="5"/>
  <c r="H111" i="5"/>
  <c r="B111" i="5"/>
  <c r="H110" i="5"/>
  <c r="B110" i="5"/>
  <c r="H109" i="5"/>
  <c r="B109" i="5"/>
  <c r="H108" i="5"/>
  <c r="B108" i="5"/>
  <c r="H107" i="5"/>
  <c r="B107" i="5"/>
  <c r="H106" i="5"/>
  <c r="B106" i="5"/>
  <c r="H105" i="5"/>
  <c r="B105" i="5"/>
  <c r="H104" i="5"/>
  <c r="B104" i="5"/>
  <c r="H103" i="5"/>
  <c r="B103" i="5"/>
  <c r="H102" i="5"/>
  <c r="B102" i="5"/>
  <c r="H101" i="5"/>
  <c r="B101" i="5"/>
  <c r="H100" i="5"/>
  <c r="B100" i="5"/>
  <c r="H99" i="5"/>
  <c r="B99" i="5"/>
  <c r="H98" i="5"/>
  <c r="B98" i="5"/>
  <c r="H97" i="5"/>
  <c r="B97" i="5"/>
  <c r="H96" i="5"/>
  <c r="B96" i="5"/>
  <c r="H95" i="5"/>
  <c r="B95" i="5"/>
  <c r="H94" i="5"/>
  <c r="B94" i="5"/>
  <c r="H93" i="5"/>
  <c r="B93" i="5"/>
  <c r="H92" i="5"/>
  <c r="B92" i="5"/>
  <c r="H91" i="5"/>
  <c r="B91" i="5"/>
  <c r="H90" i="5"/>
  <c r="B90" i="5"/>
  <c r="H89" i="5"/>
  <c r="B89" i="5"/>
  <c r="H88" i="5"/>
  <c r="B88" i="5"/>
  <c r="H87" i="5"/>
  <c r="B87" i="5"/>
  <c r="H86" i="5"/>
  <c r="B86" i="5"/>
  <c r="H85" i="5"/>
  <c r="B85" i="5"/>
  <c r="H84" i="5"/>
  <c r="B84" i="5"/>
  <c r="H83" i="5"/>
  <c r="B83" i="5"/>
  <c r="H82" i="5"/>
  <c r="B82" i="5"/>
  <c r="H81" i="5"/>
  <c r="B81" i="5"/>
  <c r="H80" i="5"/>
  <c r="B80" i="5"/>
  <c r="H79" i="5"/>
  <c r="B79" i="5"/>
  <c r="H78" i="5"/>
  <c r="B78" i="5"/>
  <c r="H77" i="5"/>
  <c r="B77" i="5"/>
  <c r="H76" i="5"/>
  <c r="B76" i="5"/>
  <c r="H75" i="5"/>
  <c r="B75" i="5"/>
  <c r="H74" i="5"/>
  <c r="B74" i="5"/>
  <c r="H73" i="5"/>
  <c r="B73" i="5"/>
  <c r="H72" i="5"/>
  <c r="B72" i="5"/>
  <c r="H71" i="5"/>
  <c r="B71" i="5"/>
  <c r="H70" i="5"/>
  <c r="B70" i="5"/>
  <c r="H69" i="5"/>
  <c r="B69" i="5"/>
  <c r="H68" i="5"/>
  <c r="B68" i="5"/>
  <c r="H67" i="5"/>
  <c r="B67" i="5"/>
  <c r="H66" i="5"/>
  <c r="B66" i="5"/>
  <c r="H65" i="5"/>
  <c r="B65" i="5"/>
  <c r="H64" i="5"/>
  <c r="B64" i="5"/>
  <c r="H63" i="5"/>
  <c r="B63" i="5"/>
  <c r="H62" i="5"/>
  <c r="B62" i="5"/>
  <c r="H61" i="5"/>
  <c r="B61" i="5"/>
  <c r="H60" i="5"/>
  <c r="B60" i="5"/>
  <c r="H59" i="5"/>
  <c r="B59" i="5"/>
  <c r="H58" i="5"/>
  <c r="B58" i="5"/>
  <c r="H57" i="5"/>
  <c r="B57" i="5"/>
  <c r="H56" i="5"/>
  <c r="B56" i="5"/>
  <c r="H55" i="5"/>
  <c r="B55" i="5"/>
  <c r="H54" i="5"/>
  <c r="B54" i="5"/>
  <c r="H53" i="5"/>
  <c r="B53" i="5"/>
  <c r="H52" i="5"/>
  <c r="B52" i="5"/>
  <c r="H51" i="5"/>
  <c r="B51" i="5"/>
  <c r="H50" i="5"/>
  <c r="B50" i="5"/>
  <c r="H49" i="5"/>
  <c r="B49" i="5"/>
  <c r="H48" i="5"/>
  <c r="B48" i="5"/>
  <c r="H47" i="5"/>
  <c r="B47" i="5"/>
  <c r="H46" i="5"/>
  <c r="B46" i="5"/>
  <c r="H45" i="5"/>
  <c r="B45" i="5"/>
  <c r="H44" i="5"/>
  <c r="B44" i="5"/>
  <c r="H43" i="5"/>
  <c r="B43" i="5"/>
  <c r="H42" i="5"/>
  <c r="B42" i="5"/>
  <c r="H41" i="5"/>
  <c r="B41" i="5"/>
  <c r="H40" i="5"/>
  <c r="B40" i="5"/>
  <c r="H39" i="5"/>
  <c r="B39" i="5"/>
  <c r="H38" i="5"/>
  <c r="B38" i="5"/>
  <c r="H37" i="5"/>
  <c r="B37" i="5"/>
  <c r="H36" i="5"/>
  <c r="B36" i="5"/>
  <c r="H35" i="5"/>
  <c r="B35" i="5"/>
  <c r="H34" i="5"/>
  <c r="B34" i="5"/>
  <c r="H33" i="5"/>
  <c r="B33" i="5"/>
  <c r="H32" i="5"/>
  <c r="B32" i="5"/>
  <c r="H31" i="5"/>
  <c r="B31" i="5"/>
  <c r="H30" i="5"/>
  <c r="B30" i="5"/>
  <c r="H29" i="5"/>
  <c r="B29" i="5"/>
  <c r="H28" i="5"/>
  <c r="B28" i="5"/>
  <c r="H27" i="5"/>
  <c r="B27" i="5"/>
  <c r="H26" i="5"/>
  <c r="B26" i="5"/>
  <c r="H25" i="5"/>
  <c r="B25" i="5"/>
  <c r="H24" i="5"/>
  <c r="B24" i="5"/>
  <c r="H23" i="5"/>
  <c r="B23" i="5"/>
  <c r="H22" i="5"/>
  <c r="B22" i="5"/>
  <c r="H21" i="5"/>
  <c r="B21" i="5"/>
  <c r="H20" i="5"/>
  <c r="B20" i="5"/>
  <c r="H19" i="5"/>
  <c r="B19" i="5"/>
  <c r="H18" i="5"/>
  <c r="B18" i="5"/>
  <c r="H17" i="5"/>
  <c r="B17" i="5"/>
  <c r="H16" i="5"/>
  <c r="B16" i="5"/>
  <c r="H15" i="5"/>
  <c r="B15" i="5"/>
  <c r="H14" i="5"/>
  <c r="B14" i="5"/>
  <c r="H13" i="5"/>
  <c r="B13" i="5"/>
  <c r="H12" i="5"/>
  <c r="B12" i="5"/>
  <c r="H11" i="5"/>
  <c r="B11" i="5"/>
  <c r="H10" i="5"/>
  <c r="B10" i="5"/>
  <c r="H9" i="5"/>
  <c r="B9" i="5"/>
  <c r="H8" i="5"/>
  <c r="B8" i="5"/>
  <c r="H7" i="5"/>
  <c r="B7" i="5"/>
  <c r="H6" i="5"/>
  <c r="B6" i="5"/>
  <c r="H5" i="5"/>
  <c r="B5" i="5"/>
  <c r="E564" i="4" l="1"/>
  <c r="D564" i="4"/>
  <c r="F564" i="4"/>
  <c r="D563" i="4"/>
  <c r="E563" i="4"/>
  <c r="F563" i="4"/>
  <c r="E561" i="4"/>
  <c r="D562" i="4"/>
  <c r="E562" i="4"/>
  <c r="D561" i="4"/>
  <c r="F562" i="4"/>
  <c r="F561" i="4"/>
  <c r="D560" i="4"/>
  <c r="E560" i="4"/>
  <c r="F560" i="4"/>
  <c r="D559" i="4"/>
  <c r="E559" i="4"/>
  <c r="F559" i="4"/>
  <c r="F558" i="4"/>
  <c r="D558" i="4"/>
  <c r="E558" i="4"/>
  <c r="F557" i="4"/>
  <c r="E557" i="4"/>
  <c r="D557" i="4"/>
  <c r="D556" i="4"/>
  <c r="F556" i="4"/>
  <c r="E556" i="4"/>
  <c r="E555" i="4"/>
  <c r="F555" i="4"/>
  <c r="D555" i="4"/>
  <c r="D554" i="4"/>
  <c r="F554" i="4"/>
  <c r="E554" i="4"/>
  <c r="D553" i="4"/>
  <c r="F553" i="4"/>
  <c r="E553" i="4"/>
  <c r="E552" i="4"/>
  <c r="F552" i="4"/>
  <c r="D552" i="4"/>
  <c r="C407" i="4"/>
  <c r="E551" i="4"/>
  <c r="D551" i="4"/>
  <c r="F551" i="4"/>
  <c r="C17" i="4"/>
  <c r="F16" i="4"/>
  <c r="D16" i="4"/>
  <c r="E16" i="4"/>
  <c r="F32" i="4"/>
  <c r="D32" i="4"/>
  <c r="E32" i="4"/>
  <c r="F48" i="4"/>
  <c r="D48" i="4"/>
  <c r="E48" i="4"/>
  <c r="F64" i="4"/>
  <c r="D64" i="4"/>
  <c r="E64" i="4"/>
  <c r="F80" i="4"/>
  <c r="D80" i="4"/>
  <c r="E80" i="4"/>
  <c r="F96" i="4"/>
  <c r="D96" i="4"/>
  <c r="E96" i="4"/>
  <c r="F112" i="4"/>
  <c r="D112" i="4"/>
  <c r="E112" i="4"/>
  <c r="F128" i="4"/>
  <c r="D128" i="4"/>
  <c r="E128" i="4"/>
  <c r="F144" i="4"/>
  <c r="D144" i="4"/>
  <c r="E144" i="4"/>
  <c r="F160" i="4"/>
  <c r="E160" i="4"/>
  <c r="D160" i="4"/>
  <c r="F176" i="4"/>
  <c r="E176" i="4"/>
  <c r="D176" i="4"/>
  <c r="F192" i="4"/>
  <c r="D192" i="4"/>
  <c r="E192" i="4"/>
  <c r="F208" i="4"/>
  <c r="D208" i="4"/>
  <c r="E208" i="4"/>
  <c r="F224" i="4"/>
  <c r="D224" i="4"/>
  <c r="E224" i="4"/>
  <c r="F240" i="4"/>
  <c r="D240" i="4"/>
  <c r="E240" i="4"/>
  <c r="F256" i="4"/>
  <c r="D256" i="4"/>
  <c r="E256" i="4"/>
  <c r="F272" i="4"/>
  <c r="E272" i="4"/>
  <c r="D272" i="4"/>
  <c r="F288" i="4"/>
  <c r="D288" i="4"/>
  <c r="E288" i="4"/>
  <c r="F304" i="4"/>
  <c r="E304" i="4"/>
  <c r="D304" i="4"/>
  <c r="F320" i="4"/>
  <c r="D320" i="4"/>
  <c r="E320" i="4"/>
  <c r="F336" i="4"/>
  <c r="D336" i="4"/>
  <c r="E336" i="4"/>
  <c r="F352" i="4"/>
  <c r="D352" i="4"/>
  <c r="E352" i="4"/>
  <c r="F368" i="4"/>
  <c r="D368" i="4"/>
  <c r="E368" i="4"/>
  <c r="F384" i="4"/>
  <c r="D384" i="4"/>
  <c r="E384" i="4"/>
  <c r="F400" i="4"/>
  <c r="E400" i="4"/>
  <c r="D400" i="4"/>
  <c r="F416" i="4"/>
  <c r="D416" i="4"/>
  <c r="E416" i="4"/>
  <c r="F432" i="4"/>
  <c r="E432" i="4"/>
  <c r="D432" i="4"/>
  <c r="F448" i="4"/>
  <c r="D448" i="4"/>
  <c r="E448" i="4"/>
  <c r="E464" i="4"/>
  <c r="F464" i="4"/>
  <c r="D464" i="4"/>
  <c r="E480" i="4"/>
  <c r="F480" i="4"/>
  <c r="D480" i="4"/>
  <c r="E496" i="4"/>
  <c r="F496" i="4"/>
  <c r="D496" i="4"/>
  <c r="E512" i="4"/>
  <c r="F512" i="4"/>
  <c r="D512" i="4"/>
  <c r="E528" i="4"/>
  <c r="F528" i="4"/>
  <c r="D528" i="4"/>
  <c r="D13" i="4"/>
  <c r="E13" i="4"/>
  <c r="F13" i="4"/>
  <c r="D29" i="4"/>
  <c r="E29" i="4"/>
  <c r="F29" i="4"/>
  <c r="D45" i="4"/>
  <c r="E45" i="4"/>
  <c r="F45" i="4"/>
  <c r="D61" i="4"/>
  <c r="E61" i="4"/>
  <c r="F61" i="4"/>
  <c r="D77" i="4"/>
  <c r="E77" i="4"/>
  <c r="F77" i="4"/>
  <c r="D93" i="4"/>
  <c r="E93" i="4"/>
  <c r="F93" i="4"/>
  <c r="D109" i="4"/>
  <c r="E109" i="4"/>
  <c r="F109" i="4"/>
  <c r="D125" i="4"/>
  <c r="E125" i="4"/>
  <c r="F125" i="4"/>
  <c r="D141" i="4"/>
  <c r="E141" i="4"/>
  <c r="F141" i="4"/>
  <c r="D157" i="4"/>
  <c r="E157" i="4"/>
  <c r="F157" i="4"/>
  <c r="D173" i="4"/>
  <c r="E173" i="4"/>
  <c r="F173" i="4"/>
  <c r="D189" i="4"/>
  <c r="E189" i="4"/>
  <c r="F189" i="4"/>
  <c r="D205" i="4"/>
  <c r="E205" i="4"/>
  <c r="F205" i="4"/>
  <c r="D221" i="4"/>
  <c r="E221" i="4"/>
  <c r="F221" i="4"/>
  <c r="D237" i="4"/>
  <c r="E237" i="4"/>
  <c r="F237" i="4"/>
  <c r="D253" i="4"/>
  <c r="E253" i="4"/>
  <c r="F253" i="4"/>
  <c r="D269" i="4"/>
  <c r="E269" i="4"/>
  <c r="F269" i="4"/>
  <c r="D285" i="4"/>
  <c r="E285" i="4"/>
  <c r="F285" i="4"/>
  <c r="D301" i="4"/>
  <c r="E301" i="4"/>
  <c r="F301" i="4"/>
  <c r="D317" i="4"/>
  <c r="E317" i="4"/>
  <c r="F317" i="4"/>
  <c r="D333" i="4"/>
  <c r="E333" i="4"/>
  <c r="F333" i="4"/>
  <c r="D349" i="4"/>
  <c r="E349" i="4"/>
  <c r="F349" i="4"/>
  <c r="D365" i="4"/>
  <c r="E365" i="4"/>
  <c r="F365" i="4"/>
  <c r="E381" i="4"/>
  <c r="F381" i="4"/>
  <c r="D381" i="4"/>
  <c r="E397" i="4"/>
  <c r="F397" i="4"/>
  <c r="D397" i="4"/>
  <c r="D413" i="4"/>
  <c r="E413" i="4"/>
  <c r="F413" i="4"/>
  <c r="D429" i="4"/>
  <c r="E429" i="4"/>
  <c r="F429" i="4"/>
  <c r="D445" i="4"/>
  <c r="E445" i="4"/>
  <c r="F445" i="4"/>
  <c r="D461" i="4"/>
  <c r="E461" i="4"/>
  <c r="F461" i="4"/>
  <c r="D477" i="4"/>
  <c r="E477" i="4"/>
  <c r="F477" i="4"/>
  <c r="C431" i="4"/>
  <c r="D493" i="4"/>
  <c r="E493" i="4"/>
  <c r="F493" i="4"/>
  <c r="D509" i="4"/>
  <c r="E509" i="4"/>
  <c r="F509" i="4"/>
  <c r="D525" i="4"/>
  <c r="E525" i="4"/>
  <c r="F525" i="4"/>
  <c r="D541" i="4"/>
  <c r="E541" i="4"/>
  <c r="F541" i="4"/>
  <c r="F58" i="4"/>
  <c r="E58" i="4"/>
  <c r="D58" i="4"/>
  <c r="D314" i="4"/>
  <c r="E314" i="4"/>
  <c r="F314" i="4"/>
  <c r="D346" i="4"/>
  <c r="E346" i="4"/>
  <c r="F346" i="4"/>
  <c r="D442" i="4"/>
  <c r="E442" i="4"/>
  <c r="F442" i="4"/>
  <c r="F458" i="4"/>
  <c r="D458" i="4"/>
  <c r="E458" i="4"/>
  <c r="F474" i="4"/>
  <c r="E474" i="4"/>
  <c r="D474" i="4"/>
  <c r="F490" i="4"/>
  <c r="E490" i="4"/>
  <c r="D490" i="4"/>
  <c r="F506" i="4"/>
  <c r="D506" i="4"/>
  <c r="E506" i="4"/>
  <c r="F522" i="4"/>
  <c r="D522" i="4"/>
  <c r="E522" i="4"/>
  <c r="F538" i="4"/>
  <c r="D538" i="4"/>
  <c r="E538" i="4"/>
  <c r="D545" i="4"/>
  <c r="E545" i="4"/>
  <c r="F545" i="4"/>
  <c r="E122" i="4"/>
  <c r="D122" i="4"/>
  <c r="F122" i="4"/>
  <c r="D218" i="4"/>
  <c r="F218" i="4"/>
  <c r="E218" i="4"/>
  <c r="D87" i="4"/>
  <c r="E87" i="4"/>
  <c r="F87" i="4"/>
  <c r="D151" i="4"/>
  <c r="E151" i="4"/>
  <c r="F151" i="4"/>
  <c r="D167" i="4"/>
  <c r="E167" i="4"/>
  <c r="F167" i="4"/>
  <c r="D215" i="4"/>
  <c r="E215" i="4"/>
  <c r="F215" i="4"/>
  <c r="D263" i="4"/>
  <c r="E263" i="4"/>
  <c r="F263" i="4"/>
  <c r="D439" i="4"/>
  <c r="E439" i="4"/>
  <c r="F439" i="4"/>
  <c r="D455" i="4"/>
  <c r="E455" i="4"/>
  <c r="F455" i="4"/>
  <c r="D519" i="4"/>
  <c r="E519" i="4"/>
  <c r="F519" i="4"/>
  <c r="D7" i="4"/>
  <c r="E7" i="4"/>
  <c r="F7" i="4"/>
  <c r="D20" i="4"/>
  <c r="E20" i="4"/>
  <c r="F20" i="4"/>
  <c r="D36" i="4"/>
  <c r="E36" i="4"/>
  <c r="F36" i="4"/>
  <c r="D52" i="4"/>
  <c r="E52" i="4"/>
  <c r="F52" i="4"/>
  <c r="D68" i="4"/>
  <c r="E68" i="4"/>
  <c r="F68" i="4"/>
  <c r="D84" i="4"/>
  <c r="E84" i="4"/>
  <c r="F84" i="4"/>
  <c r="D100" i="4"/>
  <c r="E100" i="4"/>
  <c r="F100" i="4"/>
  <c r="D116" i="4"/>
  <c r="E116" i="4"/>
  <c r="F116" i="4"/>
  <c r="D132" i="4"/>
  <c r="E132" i="4"/>
  <c r="F132" i="4"/>
  <c r="D148" i="4"/>
  <c r="E148" i="4"/>
  <c r="F148" i="4"/>
  <c r="D164" i="4"/>
  <c r="E164" i="4"/>
  <c r="F164" i="4"/>
  <c r="D180" i="4"/>
  <c r="E180" i="4"/>
  <c r="F180" i="4"/>
  <c r="D196" i="4"/>
  <c r="E196" i="4"/>
  <c r="F196" i="4"/>
  <c r="D212" i="4"/>
  <c r="E212" i="4"/>
  <c r="F212" i="4"/>
  <c r="D228" i="4"/>
  <c r="E228" i="4"/>
  <c r="F228" i="4"/>
  <c r="D244" i="4"/>
  <c r="E244" i="4"/>
  <c r="F244" i="4"/>
  <c r="D260" i="4"/>
  <c r="E260" i="4"/>
  <c r="F260" i="4"/>
  <c r="D276" i="4"/>
  <c r="E276" i="4"/>
  <c r="F276" i="4"/>
  <c r="D292" i="4"/>
  <c r="E292" i="4"/>
  <c r="F292" i="4"/>
  <c r="D308" i="4"/>
  <c r="E308" i="4"/>
  <c r="F308" i="4"/>
  <c r="D324" i="4"/>
  <c r="E324" i="4"/>
  <c r="F324" i="4"/>
  <c r="D340" i="4"/>
  <c r="E340" i="4"/>
  <c r="F340" i="4"/>
  <c r="D356" i="4"/>
  <c r="E356" i="4"/>
  <c r="F356" i="4"/>
  <c r="D372" i="4"/>
  <c r="E372" i="4"/>
  <c r="F372" i="4"/>
  <c r="D388" i="4"/>
  <c r="E388" i="4"/>
  <c r="F388" i="4"/>
  <c r="D404" i="4"/>
  <c r="E404" i="4"/>
  <c r="F404" i="4"/>
  <c r="E420" i="4"/>
  <c r="D420" i="4"/>
  <c r="F420" i="4"/>
  <c r="E436" i="4"/>
  <c r="D436" i="4"/>
  <c r="F436" i="4"/>
  <c r="D452" i="4"/>
  <c r="E452" i="4"/>
  <c r="F452" i="4"/>
  <c r="D468" i="4"/>
  <c r="E468" i="4"/>
  <c r="F468" i="4"/>
  <c r="D484" i="4"/>
  <c r="E484" i="4"/>
  <c r="F484" i="4"/>
  <c r="D500" i="4"/>
  <c r="E500" i="4"/>
  <c r="F500" i="4"/>
  <c r="D516" i="4"/>
  <c r="E516" i="4"/>
  <c r="F516" i="4"/>
  <c r="D532" i="4"/>
  <c r="E532" i="4"/>
  <c r="F532" i="4"/>
  <c r="D17" i="4"/>
  <c r="E17" i="4"/>
  <c r="F17" i="4"/>
  <c r="D33" i="4"/>
  <c r="E33" i="4"/>
  <c r="F33" i="4"/>
  <c r="D49" i="4"/>
  <c r="E49" i="4"/>
  <c r="F49" i="4"/>
  <c r="D65" i="4"/>
  <c r="E65" i="4"/>
  <c r="F65" i="4"/>
  <c r="D81" i="4"/>
  <c r="E81" i="4"/>
  <c r="F81" i="4"/>
  <c r="D97" i="4"/>
  <c r="E97" i="4"/>
  <c r="F97" i="4"/>
  <c r="D113" i="4"/>
  <c r="E113" i="4"/>
  <c r="F113" i="4"/>
  <c r="D129" i="4"/>
  <c r="E129" i="4"/>
  <c r="F129" i="4"/>
  <c r="D145" i="4"/>
  <c r="E145" i="4"/>
  <c r="F145" i="4"/>
  <c r="D161" i="4"/>
  <c r="E161" i="4"/>
  <c r="F161" i="4"/>
  <c r="D177" i="4"/>
  <c r="E177" i="4"/>
  <c r="F177" i="4"/>
  <c r="D193" i="4"/>
  <c r="E193" i="4"/>
  <c r="F193" i="4"/>
  <c r="D209" i="4"/>
  <c r="E209" i="4"/>
  <c r="F209" i="4"/>
  <c r="D225" i="4"/>
  <c r="E225" i="4"/>
  <c r="F225" i="4"/>
  <c r="D241" i="4"/>
  <c r="E241" i="4"/>
  <c r="F241" i="4"/>
  <c r="D257" i="4"/>
  <c r="E257" i="4"/>
  <c r="F257" i="4"/>
  <c r="D273" i="4"/>
  <c r="E273" i="4"/>
  <c r="F273" i="4"/>
  <c r="D289" i="4"/>
  <c r="E289" i="4"/>
  <c r="F289" i="4"/>
  <c r="D305" i="4"/>
  <c r="E305" i="4"/>
  <c r="F305" i="4"/>
  <c r="D321" i="4"/>
  <c r="E321" i="4"/>
  <c r="F321" i="4"/>
  <c r="C275" i="4"/>
  <c r="D337" i="4"/>
  <c r="E337" i="4"/>
  <c r="F337" i="4"/>
  <c r="D353" i="4"/>
  <c r="E353" i="4"/>
  <c r="F353" i="4"/>
  <c r="D369" i="4"/>
  <c r="E369" i="4"/>
  <c r="F369" i="4"/>
  <c r="D385" i="4"/>
  <c r="E385" i="4"/>
  <c r="F385" i="4"/>
  <c r="D401" i="4"/>
  <c r="E401" i="4"/>
  <c r="F401" i="4"/>
  <c r="D417" i="4"/>
  <c r="E417" i="4"/>
  <c r="F417" i="4"/>
  <c r="D433" i="4"/>
  <c r="E433" i="4"/>
  <c r="F433" i="4"/>
  <c r="D449" i="4"/>
  <c r="E449" i="4"/>
  <c r="F449" i="4"/>
  <c r="D465" i="4"/>
  <c r="E465" i="4"/>
  <c r="F465" i="4"/>
  <c r="D481" i="4"/>
  <c r="E481" i="4"/>
  <c r="F481" i="4"/>
  <c r="D497" i="4"/>
  <c r="E497" i="4"/>
  <c r="F497" i="4"/>
  <c r="D513" i="4"/>
  <c r="E513" i="4"/>
  <c r="F513" i="4"/>
  <c r="D529" i="4"/>
  <c r="E529" i="4"/>
  <c r="F529" i="4"/>
  <c r="D5" i="4"/>
  <c r="E5" i="4"/>
  <c r="F5" i="4"/>
  <c r="E14" i="4"/>
  <c r="F14" i="4"/>
  <c r="D14" i="4"/>
  <c r="E30" i="4"/>
  <c r="F30" i="4"/>
  <c r="D30" i="4"/>
  <c r="E46" i="4"/>
  <c r="F46" i="4"/>
  <c r="D46" i="4"/>
  <c r="E62" i="4"/>
  <c r="F62" i="4"/>
  <c r="D62" i="4"/>
  <c r="E78" i="4"/>
  <c r="F78" i="4"/>
  <c r="D78" i="4"/>
  <c r="E94" i="4"/>
  <c r="F94" i="4"/>
  <c r="D94" i="4"/>
  <c r="E110" i="4"/>
  <c r="F110" i="4"/>
  <c r="D110" i="4"/>
  <c r="E126" i="4"/>
  <c r="F126" i="4"/>
  <c r="D126" i="4"/>
  <c r="E142" i="4"/>
  <c r="F142" i="4"/>
  <c r="D142" i="4"/>
  <c r="E158" i="4"/>
  <c r="F158" i="4"/>
  <c r="D158" i="4"/>
  <c r="E174" i="4"/>
  <c r="F174" i="4"/>
  <c r="D174" i="4"/>
  <c r="E190" i="4"/>
  <c r="F190" i="4"/>
  <c r="D190" i="4"/>
  <c r="E206" i="4"/>
  <c r="F206" i="4"/>
  <c r="D206" i="4"/>
  <c r="E222" i="4"/>
  <c r="F222" i="4"/>
  <c r="D222" i="4"/>
  <c r="E238" i="4"/>
  <c r="F238" i="4"/>
  <c r="D238" i="4"/>
  <c r="E254" i="4"/>
  <c r="F254" i="4"/>
  <c r="D254" i="4"/>
  <c r="E270" i="4"/>
  <c r="F270" i="4"/>
  <c r="D270" i="4"/>
  <c r="E286" i="4"/>
  <c r="F286" i="4"/>
  <c r="D286" i="4"/>
  <c r="E302" i="4"/>
  <c r="F302" i="4"/>
  <c r="D302" i="4"/>
  <c r="E318" i="4"/>
  <c r="F318" i="4"/>
  <c r="D318" i="4"/>
  <c r="E334" i="4"/>
  <c r="F334" i="4"/>
  <c r="D334" i="4"/>
  <c r="E350" i="4"/>
  <c r="F350" i="4"/>
  <c r="D350" i="4"/>
  <c r="E366" i="4"/>
  <c r="F366" i="4"/>
  <c r="D366" i="4"/>
  <c r="E382" i="4"/>
  <c r="F382" i="4"/>
  <c r="D382" i="4"/>
  <c r="F398" i="4"/>
  <c r="D398" i="4"/>
  <c r="E398" i="4"/>
  <c r="D414" i="4"/>
  <c r="F414" i="4"/>
  <c r="E414" i="4"/>
  <c r="D430" i="4"/>
  <c r="E430" i="4"/>
  <c r="F430" i="4"/>
  <c r="D446" i="4"/>
  <c r="E446" i="4"/>
  <c r="F446" i="4"/>
  <c r="D462" i="4"/>
  <c r="E462" i="4"/>
  <c r="F462" i="4"/>
  <c r="D478" i="4"/>
  <c r="E478" i="4"/>
  <c r="F478" i="4"/>
  <c r="D494" i="4"/>
  <c r="E494" i="4"/>
  <c r="F494" i="4"/>
  <c r="D510" i="4"/>
  <c r="E510" i="4"/>
  <c r="F510" i="4"/>
  <c r="D526" i="4"/>
  <c r="F526" i="4"/>
  <c r="E526" i="4"/>
  <c r="D542" i="4"/>
  <c r="F542" i="4"/>
  <c r="E542" i="4"/>
  <c r="D546" i="4"/>
  <c r="E546" i="4"/>
  <c r="F546" i="4"/>
  <c r="E27" i="4"/>
  <c r="F27" i="4"/>
  <c r="D27" i="4"/>
  <c r="E43" i="4"/>
  <c r="F43" i="4"/>
  <c r="D43" i="4"/>
  <c r="E59" i="4"/>
  <c r="F59" i="4"/>
  <c r="D59" i="4"/>
  <c r="E75" i="4"/>
  <c r="F75" i="4"/>
  <c r="D75" i="4"/>
  <c r="E91" i="4"/>
  <c r="F91" i="4"/>
  <c r="D91" i="4"/>
  <c r="E107" i="4"/>
  <c r="F107" i="4"/>
  <c r="D107" i="4"/>
  <c r="E123" i="4"/>
  <c r="F123" i="4"/>
  <c r="D123" i="4"/>
  <c r="E139" i="4"/>
  <c r="F139" i="4"/>
  <c r="D139" i="4"/>
  <c r="E155" i="4"/>
  <c r="F155" i="4"/>
  <c r="D155" i="4"/>
  <c r="E171" i="4"/>
  <c r="F171" i="4"/>
  <c r="D171" i="4"/>
  <c r="E187" i="4"/>
  <c r="F187" i="4"/>
  <c r="D187" i="4"/>
  <c r="E203" i="4"/>
  <c r="F203" i="4"/>
  <c r="D203" i="4"/>
  <c r="E219" i="4"/>
  <c r="F219" i="4"/>
  <c r="D219" i="4"/>
  <c r="E235" i="4"/>
  <c r="F235" i="4"/>
  <c r="D235" i="4"/>
  <c r="E251" i="4"/>
  <c r="F251" i="4"/>
  <c r="D251" i="4"/>
  <c r="E267" i="4"/>
  <c r="F267" i="4"/>
  <c r="D267" i="4"/>
  <c r="E283" i="4"/>
  <c r="F283" i="4"/>
  <c r="D283" i="4"/>
  <c r="E299" i="4"/>
  <c r="F299" i="4"/>
  <c r="D299" i="4"/>
  <c r="E315" i="4"/>
  <c r="F315" i="4"/>
  <c r="D315" i="4"/>
  <c r="E331" i="4"/>
  <c r="F331" i="4"/>
  <c r="D331" i="4"/>
  <c r="E347" i="4"/>
  <c r="F347" i="4"/>
  <c r="D347" i="4"/>
  <c r="E363" i="4"/>
  <c r="F363" i="4"/>
  <c r="D363" i="4"/>
  <c r="E379" i="4"/>
  <c r="F379" i="4"/>
  <c r="D379" i="4"/>
  <c r="E395" i="4"/>
  <c r="F395" i="4"/>
  <c r="D395" i="4"/>
  <c r="E411" i="4"/>
  <c r="F411" i="4"/>
  <c r="D411" i="4"/>
  <c r="E427" i="4"/>
  <c r="F427" i="4"/>
  <c r="D427" i="4"/>
  <c r="E443" i="4"/>
  <c r="F443" i="4"/>
  <c r="D443" i="4"/>
  <c r="D459" i="4"/>
  <c r="E459" i="4"/>
  <c r="F459" i="4"/>
  <c r="D475" i="4"/>
  <c r="E475" i="4"/>
  <c r="F475" i="4"/>
  <c r="D491" i="4"/>
  <c r="E491" i="4"/>
  <c r="F491" i="4"/>
  <c r="D507" i="4"/>
  <c r="E507" i="4"/>
  <c r="F507" i="4"/>
  <c r="D523" i="4"/>
  <c r="E523" i="4"/>
  <c r="F523" i="4"/>
  <c r="D539" i="4"/>
  <c r="E539" i="4"/>
  <c r="F539" i="4"/>
  <c r="E11" i="4"/>
  <c r="F11" i="4"/>
  <c r="D11" i="4"/>
  <c r="D24" i="4"/>
  <c r="E24" i="4"/>
  <c r="F24" i="4"/>
  <c r="D40" i="4"/>
  <c r="E40" i="4"/>
  <c r="F40" i="4"/>
  <c r="D56" i="4"/>
  <c r="E56" i="4"/>
  <c r="F56" i="4"/>
  <c r="D72" i="4"/>
  <c r="E72" i="4"/>
  <c r="F72" i="4"/>
  <c r="D88" i="4"/>
  <c r="E88" i="4"/>
  <c r="F88" i="4"/>
  <c r="D104" i="4"/>
  <c r="E104" i="4"/>
  <c r="F104" i="4"/>
  <c r="D120" i="4"/>
  <c r="E120" i="4"/>
  <c r="F120" i="4"/>
  <c r="D136" i="4"/>
  <c r="E136" i="4"/>
  <c r="F136" i="4"/>
  <c r="D152" i="4"/>
  <c r="E152" i="4"/>
  <c r="F152" i="4"/>
  <c r="D168" i="4"/>
  <c r="E168" i="4"/>
  <c r="F168" i="4"/>
  <c r="D184" i="4"/>
  <c r="E184" i="4"/>
  <c r="F184" i="4"/>
  <c r="D200" i="4"/>
  <c r="E200" i="4"/>
  <c r="F200" i="4"/>
  <c r="D216" i="4"/>
  <c r="F216" i="4"/>
  <c r="E216" i="4"/>
  <c r="D232" i="4"/>
  <c r="E232" i="4"/>
  <c r="F232" i="4"/>
  <c r="D248" i="4"/>
  <c r="F248" i="4"/>
  <c r="E248" i="4"/>
  <c r="D264" i="4"/>
  <c r="E264" i="4"/>
  <c r="F264" i="4"/>
  <c r="D280" i="4"/>
  <c r="E280" i="4"/>
  <c r="F280" i="4"/>
  <c r="D296" i="4"/>
  <c r="E296" i="4"/>
  <c r="F296" i="4"/>
  <c r="D312" i="4"/>
  <c r="E312" i="4"/>
  <c r="F312" i="4"/>
  <c r="D328" i="4"/>
  <c r="E328" i="4"/>
  <c r="F328" i="4"/>
  <c r="D344" i="4"/>
  <c r="F344" i="4"/>
  <c r="E344" i="4"/>
  <c r="D360" i="4"/>
  <c r="E360" i="4"/>
  <c r="F360" i="4"/>
  <c r="D376" i="4"/>
  <c r="E376" i="4"/>
  <c r="F376" i="4"/>
  <c r="D392" i="4"/>
  <c r="E392" i="4"/>
  <c r="F392" i="4"/>
  <c r="D408" i="4"/>
  <c r="E408" i="4"/>
  <c r="F408" i="4"/>
  <c r="D424" i="4"/>
  <c r="E424" i="4"/>
  <c r="F424" i="4"/>
  <c r="D440" i="4"/>
  <c r="F440" i="4"/>
  <c r="E440" i="4"/>
  <c r="D456" i="4"/>
  <c r="F456" i="4"/>
  <c r="E456" i="4"/>
  <c r="D472" i="4"/>
  <c r="E472" i="4"/>
  <c r="F472" i="4"/>
  <c r="D488" i="4"/>
  <c r="E488" i="4"/>
  <c r="F488" i="4"/>
  <c r="D504" i="4"/>
  <c r="F504" i="4"/>
  <c r="E504" i="4"/>
  <c r="D520" i="4"/>
  <c r="F520" i="4"/>
  <c r="E520" i="4"/>
  <c r="D536" i="4"/>
  <c r="F536" i="4"/>
  <c r="E536" i="4"/>
  <c r="D55" i="4"/>
  <c r="E55" i="4"/>
  <c r="F55" i="4"/>
  <c r="D8" i="4"/>
  <c r="E8" i="4"/>
  <c r="F8" i="4"/>
  <c r="D21" i="4"/>
  <c r="E21" i="4"/>
  <c r="F21" i="4"/>
  <c r="D37" i="4"/>
  <c r="E37" i="4"/>
  <c r="F37" i="4"/>
  <c r="E53" i="4"/>
  <c r="D53" i="4"/>
  <c r="F53" i="4"/>
  <c r="D69" i="4"/>
  <c r="E69" i="4"/>
  <c r="F69" i="4"/>
  <c r="D85" i="4"/>
  <c r="E85" i="4"/>
  <c r="F85" i="4"/>
  <c r="D101" i="4"/>
  <c r="E101" i="4"/>
  <c r="F101" i="4"/>
  <c r="D117" i="4"/>
  <c r="E117" i="4"/>
  <c r="F117" i="4"/>
  <c r="D133" i="4"/>
  <c r="E133" i="4"/>
  <c r="F133" i="4"/>
  <c r="D149" i="4"/>
  <c r="E149" i="4"/>
  <c r="F149" i="4"/>
  <c r="D165" i="4"/>
  <c r="E165" i="4"/>
  <c r="F165" i="4"/>
  <c r="D181" i="4"/>
  <c r="E181" i="4"/>
  <c r="F181" i="4"/>
  <c r="D197" i="4"/>
  <c r="E197" i="4"/>
  <c r="F197" i="4"/>
  <c r="D213" i="4"/>
  <c r="E213" i="4"/>
  <c r="F213" i="4"/>
  <c r="D229" i="4"/>
  <c r="E229" i="4"/>
  <c r="F229" i="4"/>
  <c r="D245" i="4"/>
  <c r="E245" i="4"/>
  <c r="F245" i="4"/>
  <c r="F261" i="4"/>
  <c r="D261" i="4"/>
  <c r="E261" i="4"/>
  <c r="E277" i="4"/>
  <c r="F277" i="4"/>
  <c r="D277" i="4"/>
  <c r="D293" i="4"/>
  <c r="E293" i="4"/>
  <c r="F293" i="4"/>
  <c r="D309" i="4"/>
  <c r="E309" i="4"/>
  <c r="F309" i="4"/>
  <c r="D325" i="4"/>
  <c r="E325" i="4"/>
  <c r="F325" i="4"/>
  <c r="D341" i="4"/>
  <c r="E341" i="4"/>
  <c r="F341" i="4"/>
  <c r="D357" i="4"/>
  <c r="E357" i="4"/>
  <c r="F357" i="4"/>
  <c r="D373" i="4"/>
  <c r="E373" i="4"/>
  <c r="F373" i="4"/>
  <c r="D389" i="4"/>
  <c r="E389" i="4"/>
  <c r="F389" i="4"/>
  <c r="D405" i="4"/>
  <c r="E405" i="4"/>
  <c r="F405" i="4"/>
  <c r="D421" i="4"/>
  <c r="E421" i="4"/>
  <c r="F421" i="4"/>
  <c r="D437" i="4"/>
  <c r="E437" i="4"/>
  <c r="F437" i="4"/>
  <c r="D453" i="4"/>
  <c r="E453" i="4"/>
  <c r="F453" i="4"/>
  <c r="F469" i="4"/>
  <c r="E469" i="4"/>
  <c r="D469" i="4"/>
  <c r="F485" i="4"/>
  <c r="E485" i="4"/>
  <c r="D485" i="4"/>
  <c r="F501" i="4"/>
  <c r="E501" i="4"/>
  <c r="D501" i="4"/>
  <c r="F517" i="4"/>
  <c r="E517" i="4"/>
  <c r="D517" i="4"/>
  <c r="F533" i="4"/>
  <c r="E533" i="4"/>
  <c r="D533" i="4"/>
  <c r="D18" i="4"/>
  <c r="E18" i="4"/>
  <c r="F18" i="4"/>
  <c r="D34" i="4"/>
  <c r="E34" i="4"/>
  <c r="F34" i="4"/>
  <c r="D50" i="4"/>
  <c r="E50" i="4"/>
  <c r="F50" i="4"/>
  <c r="D66" i="4"/>
  <c r="E66" i="4"/>
  <c r="F66" i="4"/>
  <c r="D82" i="4"/>
  <c r="E82" i="4"/>
  <c r="F82" i="4"/>
  <c r="D98" i="4"/>
  <c r="E98" i="4"/>
  <c r="F98" i="4"/>
  <c r="D114" i="4"/>
  <c r="E114" i="4"/>
  <c r="F114" i="4"/>
  <c r="D130" i="4"/>
  <c r="E130" i="4"/>
  <c r="F130" i="4"/>
  <c r="D146" i="4"/>
  <c r="E146" i="4"/>
  <c r="F146" i="4"/>
  <c r="D162" i="4"/>
  <c r="E162" i="4"/>
  <c r="F162" i="4"/>
  <c r="D178" i="4"/>
  <c r="E178" i="4"/>
  <c r="F178" i="4"/>
  <c r="D194" i="4"/>
  <c r="E194" i="4"/>
  <c r="F194" i="4"/>
  <c r="D210" i="4"/>
  <c r="E210" i="4"/>
  <c r="F210" i="4"/>
  <c r="D226" i="4"/>
  <c r="E226" i="4"/>
  <c r="F226" i="4"/>
  <c r="D242" i="4"/>
  <c r="E242" i="4"/>
  <c r="F242" i="4"/>
  <c r="D258" i="4"/>
  <c r="E258" i="4"/>
  <c r="F258" i="4"/>
  <c r="D274" i="4"/>
  <c r="E274" i="4"/>
  <c r="F274" i="4"/>
  <c r="D290" i="4"/>
  <c r="E290" i="4"/>
  <c r="F290" i="4"/>
  <c r="D306" i="4"/>
  <c r="E306" i="4"/>
  <c r="F306" i="4"/>
  <c r="D322" i="4"/>
  <c r="E322" i="4"/>
  <c r="F322" i="4"/>
  <c r="D338" i="4"/>
  <c r="E338" i="4"/>
  <c r="F338" i="4"/>
  <c r="D354" i="4"/>
  <c r="E354" i="4"/>
  <c r="F354" i="4"/>
  <c r="D370" i="4"/>
  <c r="F370" i="4"/>
  <c r="E370" i="4"/>
  <c r="D386" i="4"/>
  <c r="E386" i="4"/>
  <c r="F386" i="4"/>
  <c r="D402" i="4"/>
  <c r="E402" i="4"/>
  <c r="F402" i="4"/>
  <c r="D418" i="4"/>
  <c r="F418" i="4"/>
  <c r="E418" i="4"/>
  <c r="D434" i="4"/>
  <c r="E434" i="4"/>
  <c r="F434" i="4"/>
  <c r="D450" i="4"/>
  <c r="E450" i="4"/>
  <c r="F450" i="4"/>
  <c r="D466" i="4"/>
  <c r="E466" i="4"/>
  <c r="F466" i="4"/>
  <c r="D482" i="4"/>
  <c r="E482" i="4"/>
  <c r="F482" i="4"/>
  <c r="D498" i="4"/>
  <c r="E498" i="4"/>
  <c r="F498" i="4"/>
  <c r="D514" i="4"/>
  <c r="E514" i="4"/>
  <c r="F514" i="4"/>
  <c r="D530" i="4"/>
  <c r="E530" i="4"/>
  <c r="F530" i="4"/>
  <c r="D543" i="4"/>
  <c r="E543" i="4"/>
  <c r="F543" i="4"/>
  <c r="E547" i="4"/>
  <c r="F547" i="4"/>
  <c r="D547" i="4"/>
  <c r="D15" i="4"/>
  <c r="E15" i="4"/>
  <c r="F15" i="4"/>
  <c r="D31" i="4"/>
  <c r="E31" i="4"/>
  <c r="F31" i="4"/>
  <c r="D47" i="4"/>
  <c r="E47" i="4"/>
  <c r="F47" i="4"/>
  <c r="D63" i="4"/>
  <c r="E63" i="4"/>
  <c r="F63" i="4"/>
  <c r="D79" i="4"/>
  <c r="E79" i="4"/>
  <c r="F79" i="4"/>
  <c r="D95" i="4"/>
  <c r="E95" i="4"/>
  <c r="F95" i="4"/>
  <c r="D111" i="4"/>
  <c r="E111" i="4"/>
  <c r="F111" i="4"/>
  <c r="D127" i="4"/>
  <c r="F127" i="4"/>
  <c r="E127" i="4"/>
  <c r="D143" i="4"/>
  <c r="F143" i="4"/>
  <c r="E143" i="4"/>
  <c r="D159" i="4"/>
  <c r="E159" i="4"/>
  <c r="F159" i="4"/>
  <c r="D175" i="4"/>
  <c r="E175" i="4"/>
  <c r="F175" i="4"/>
  <c r="D191" i="4"/>
  <c r="F191" i="4"/>
  <c r="E191" i="4"/>
  <c r="D207" i="4"/>
  <c r="E207" i="4"/>
  <c r="F207" i="4"/>
  <c r="D223" i="4"/>
  <c r="E223" i="4"/>
  <c r="F223" i="4"/>
  <c r="D239" i="4"/>
  <c r="E239" i="4"/>
  <c r="F239" i="4"/>
  <c r="D255" i="4"/>
  <c r="E255" i="4"/>
  <c r="F255" i="4"/>
  <c r="D271" i="4"/>
  <c r="E271" i="4"/>
  <c r="F271" i="4"/>
  <c r="D287" i="4"/>
  <c r="E287" i="4"/>
  <c r="F287" i="4"/>
  <c r="D303" i="4"/>
  <c r="E303" i="4"/>
  <c r="F303" i="4"/>
  <c r="D319" i="4"/>
  <c r="F319" i="4"/>
  <c r="E319" i="4"/>
  <c r="D335" i="4"/>
  <c r="E335" i="4"/>
  <c r="F335" i="4"/>
  <c r="D351" i="4"/>
  <c r="E351" i="4"/>
  <c r="F351" i="4"/>
  <c r="D367" i="4"/>
  <c r="E367" i="4"/>
  <c r="F367" i="4"/>
  <c r="D383" i="4"/>
  <c r="E383" i="4"/>
  <c r="F383" i="4"/>
  <c r="D399" i="4"/>
  <c r="F399" i="4"/>
  <c r="E399" i="4"/>
  <c r="D415" i="4"/>
  <c r="E415" i="4"/>
  <c r="F415" i="4"/>
  <c r="D431" i="4"/>
  <c r="F431" i="4"/>
  <c r="E431" i="4"/>
  <c r="D447" i="4"/>
  <c r="E447" i="4"/>
  <c r="F447" i="4"/>
  <c r="D463" i="4"/>
  <c r="E463" i="4"/>
  <c r="F463" i="4"/>
  <c r="D479" i="4"/>
  <c r="E479" i="4"/>
  <c r="F479" i="4"/>
  <c r="D495" i="4"/>
  <c r="F495" i="4"/>
  <c r="E495" i="4"/>
  <c r="D511" i="4"/>
  <c r="F511" i="4"/>
  <c r="E511" i="4"/>
  <c r="D527" i="4"/>
  <c r="E527" i="4"/>
  <c r="F527" i="4"/>
  <c r="D28" i="4"/>
  <c r="E28" i="4"/>
  <c r="F28" i="4"/>
  <c r="D44" i="4"/>
  <c r="E44" i="4"/>
  <c r="F44" i="4"/>
  <c r="D60" i="4"/>
  <c r="E60" i="4"/>
  <c r="F60" i="4"/>
  <c r="D76" i="4"/>
  <c r="E76" i="4"/>
  <c r="F76" i="4"/>
  <c r="D92" i="4"/>
  <c r="E92" i="4"/>
  <c r="F92" i="4"/>
  <c r="D108" i="4"/>
  <c r="E108" i="4"/>
  <c r="F108" i="4"/>
  <c r="D124" i="4"/>
  <c r="E124" i="4"/>
  <c r="F124" i="4"/>
  <c r="D140" i="4"/>
  <c r="E140" i="4"/>
  <c r="F140" i="4"/>
  <c r="D156" i="4"/>
  <c r="E156" i="4"/>
  <c r="F156" i="4"/>
  <c r="D172" i="4"/>
  <c r="E172" i="4"/>
  <c r="F172" i="4"/>
  <c r="D188" i="4"/>
  <c r="E188" i="4"/>
  <c r="F188" i="4"/>
  <c r="D204" i="4"/>
  <c r="E204" i="4"/>
  <c r="F204" i="4"/>
  <c r="D220" i="4"/>
  <c r="E220" i="4"/>
  <c r="F220" i="4"/>
  <c r="D236" i="4"/>
  <c r="E236" i="4"/>
  <c r="F236" i="4"/>
  <c r="D252" i="4"/>
  <c r="E252" i="4"/>
  <c r="F252" i="4"/>
  <c r="D268" i="4"/>
  <c r="E268" i="4"/>
  <c r="F268" i="4"/>
  <c r="D284" i="4"/>
  <c r="E284" i="4"/>
  <c r="F284" i="4"/>
  <c r="D300" i="4"/>
  <c r="E300" i="4"/>
  <c r="F300" i="4"/>
  <c r="D316" i="4"/>
  <c r="E316" i="4"/>
  <c r="F316" i="4"/>
  <c r="D332" i="4"/>
  <c r="E332" i="4"/>
  <c r="F332" i="4"/>
  <c r="D348" i="4"/>
  <c r="E348" i="4"/>
  <c r="F348" i="4"/>
  <c r="D364" i="4"/>
  <c r="E364" i="4"/>
  <c r="F364" i="4"/>
  <c r="D380" i="4"/>
  <c r="E380" i="4"/>
  <c r="F380" i="4"/>
  <c r="D396" i="4"/>
  <c r="E396" i="4"/>
  <c r="F396" i="4"/>
  <c r="D412" i="4"/>
  <c r="E412" i="4"/>
  <c r="F412" i="4"/>
  <c r="D428" i="4"/>
  <c r="E428" i="4"/>
  <c r="F428" i="4"/>
  <c r="D444" i="4"/>
  <c r="E444" i="4"/>
  <c r="F444" i="4"/>
  <c r="D460" i="4"/>
  <c r="E460" i="4"/>
  <c r="F460" i="4"/>
  <c r="D476" i="4"/>
  <c r="E476" i="4"/>
  <c r="F476" i="4"/>
  <c r="D492" i="4"/>
  <c r="E492" i="4"/>
  <c r="F492" i="4"/>
  <c r="D508" i="4"/>
  <c r="E508" i="4"/>
  <c r="F508" i="4"/>
  <c r="D524" i="4"/>
  <c r="E524" i="4"/>
  <c r="F524" i="4"/>
  <c r="D540" i="4"/>
  <c r="E540" i="4"/>
  <c r="F540" i="4"/>
  <c r="D250" i="4"/>
  <c r="E250" i="4"/>
  <c r="F250" i="4"/>
  <c r="D266" i="4"/>
  <c r="E266" i="4"/>
  <c r="F266" i="4"/>
  <c r="D298" i="4"/>
  <c r="E298" i="4"/>
  <c r="F298" i="4"/>
  <c r="D394" i="4"/>
  <c r="E394" i="4"/>
  <c r="F394" i="4"/>
  <c r="F426" i="4"/>
  <c r="E426" i="4"/>
  <c r="D426" i="4"/>
  <c r="D12" i="4"/>
  <c r="E12" i="4"/>
  <c r="F12" i="4"/>
  <c r="D25" i="4"/>
  <c r="E25" i="4"/>
  <c r="F25" i="4"/>
  <c r="D41" i="4"/>
  <c r="E41" i="4"/>
  <c r="F41" i="4"/>
  <c r="D57" i="4"/>
  <c r="E57" i="4"/>
  <c r="F57" i="4"/>
  <c r="D73" i="4"/>
  <c r="E73" i="4"/>
  <c r="F73" i="4"/>
  <c r="D89" i="4"/>
  <c r="E89" i="4"/>
  <c r="F89" i="4"/>
  <c r="D105" i="4"/>
  <c r="E105" i="4"/>
  <c r="F105" i="4"/>
  <c r="D121" i="4"/>
  <c r="E121" i="4"/>
  <c r="F121" i="4"/>
  <c r="D137" i="4"/>
  <c r="E137" i="4"/>
  <c r="F137" i="4"/>
  <c r="D153" i="4"/>
  <c r="E153" i="4"/>
  <c r="F153" i="4"/>
  <c r="D169" i="4"/>
  <c r="E169" i="4"/>
  <c r="F169" i="4"/>
  <c r="D185" i="4"/>
  <c r="E185" i="4"/>
  <c r="F185" i="4"/>
  <c r="D201" i="4"/>
  <c r="E201" i="4"/>
  <c r="F201" i="4"/>
  <c r="D217" i="4"/>
  <c r="E217" i="4"/>
  <c r="F217" i="4"/>
  <c r="D233" i="4"/>
  <c r="E233" i="4"/>
  <c r="F233" i="4"/>
  <c r="D249" i="4"/>
  <c r="E249" i="4"/>
  <c r="F249" i="4"/>
  <c r="D265" i="4"/>
  <c r="E265" i="4"/>
  <c r="F265" i="4"/>
  <c r="D281" i="4"/>
  <c r="E281" i="4"/>
  <c r="F281" i="4"/>
  <c r="D297" i="4"/>
  <c r="E297" i="4"/>
  <c r="F297" i="4"/>
  <c r="D313" i="4"/>
  <c r="E313" i="4"/>
  <c r="F313" i="4"/>
  <c r="D329" i="4"/>
  <c r="E329" i="4"/>
  <c r="F329" i="4"/>
  <c r="D345" i="4"/>
  <c r="E345" i="4"/>
  <c r="F345" i="4"/>
  <c r="D361" i="4"/>
  <c r="E361" i="4"/>
  <c r="F361" i="4"/>
  <c r="D377" i="4"/>
  <c r="E377" i="4"/>
  <c r="F377" i="4"/>
  <c r="E393" i="4"/>
  <c r="F393" i="4"/>
  <c r="D393" i="4"/>
  <c r="F409" i="4"/>
  <c r="E409" i="4"/>
  <c r="D409" i="4"/>
  <c r="F425" i="4"/>
  <c r="D425" i="4"/>
  <c r="E425" i="4"/>
  <c r="F441" i="4"/>
  <c r="D441" i="4"/>
  <c r="E441" i="4"/>
  <c r="E457" i="4"/>
  <c r="D457" i="4"/>
  <c r="F457" i="4"/>
  <c r="E473" i="4"/>
  <c r="D473" i="4"/>
  <c r="F473" i="4"/>
  <c r="D489" i="4"/>
  <c r="E489" i="4"/>
  <c r="F489" i="4"/>
  <c r="D505" i="4"/>
  <c r="E505" i="4"/>
  <c r="F505" i="4"/>
  <c r="D521" i="4"/>
  <c r="E521" i="4"/>
  <c r="F521" i="4"/>
  <c r="D537" i="4"/>
  <c r="E537" i="4"/>
  <c r="F537" i="4"/>
  <c r="F548" i="4"/>
  <c r="D74" i="4"/>
  <c r="F74" i="4"/>
  <c r="E74" i="4"/>
  <c r="D138" i="4"/>
  <c r="E138" i="4"/>
  <c r="F138" i="4"/>
  <c r="D170" i="4"/>
  <c r="E170" i="4"/>
  <c r="F170" i="4"/>
  <c r="D202" i="4"/>
  <c r="E202" i="4"/>
  <c r="F202" i="4"/>
  <c r="F234" i="4"/>
  <c r="E234" i="4"/>
  <c r="D234" i="4"/>
  <c r="D282" i="4"/>
  <c r="E282" i="4"/>
  <c r="F282" i="4"/>
  <c r="D410" i="4"/>
  <c r="E410" i="4"/>
  <c r="F410" i="4"/>
  <c r="D10" i="4"/>
  <c r="E10" i="4"/>
  <c r="F10" i="4"/>
  <c r="D23" i="4"/>
  <c r="E23" i="4"/>
  <c r="F23" i="4"/>
  <c r="D39" i="4"/>
  <c r="E39" i="4"/>
  <c r="F39" i="4"/>
  <c r="D71" i="4"/>
  <c r="E71" i="4"/>
  <c r="F71" i="4"/>
  <c r="D103" i="4"/>
  <c r="E103" i="4"/>
  <c r="F103" i="4"/>
  <c r="D119" i="4"/>
  <c r="E119" i="4"/>
  <c r="F119" i="4"/>
  <c r="D135" i="4"/>
  <c r="E135" i="4"/>
  <c r="F135" i="4"/>
  <c r="D183" i="4"/>
  <c r="E183" i="4"/>
  <c r="F183" i="4"/>
  <c r="D199" i="4"/>
  <c r="E199" i="4"/>
  <c r="F199" i="4"/>
  <c r="D231" i="4"/>
  <c r="E231" i="4"/>
  <c r="F231" i="4"/>
  <c r="D247" i="4"/>
  <c r="E247" i="4"/>
  <c r="F247" i="4"/>
  <c r="D279" i="4"/>
  <c r="E279" i="4"/>
  <c r="F279" i="4"/>
  <c r="D295" i="4"/>
  <c r="E295" i="4"/>
  <c r="F295" i="4"/>
  <c r="D311" i="4"/>
  <c r="E311" i="4"/>
  <c r="F311" i="4"/>
  <c r="D327" i="4"/>
  <c r="E327" i="4"/>
  <c r="F327" i="4"/>
  <c r="D343" i="4"/>
  <c r="E343" i="4"/>
  <c r="F343" i="4"/>
  <c r="D359" i="4"/>
  <c r="E359" i="4"/>
  <c r="F359" i="4"/>
  <c r="D375" i="4"/>
  <c r="E375" i="4"/>
  <c r="F375" i="4"/>
  <c r="D391" i="4"/>
  <c r="E391" i="4"/>
  <c r="F391" i="4"/>
  <c r="D407" i="4"/>
  <c r="E407" i="4"/>
  <c r="F407" i="4"/>
  <c r="D423" i="4"/>
  <c r="E423" i="4"/>
  <c r="F423" i="4"/>
  <c r="D471" i="4"/>
  <c r="E471" i="4"/>
  <c r="F471" i="4"/>
  <c r="D487" i="4"/>
  <c r="E487" i="4"/>
  <c r="F487" i="4"/>
  <c r="D503" i="4"/>
  <c r="E503" i="4"/>
  <c r="F503" i="4"/>
  <c r="D535" i="4"/>
  <c r="E535" i="4"/>
  <c r="F535" i="4"/>
  <c r="D9" i="4"/>
  <c r="E9" i="4"/>
  <c r="F9" i="4"/>
  <c r="D22" i="4"/>
  <c r="E22" i="4"/>
  <c r="F22" i="4"/>
  <c r="D38" i="4"/>
  <c r="E38" i="4"/>
  <c r="F38" i="4"/>
  <c r="D54" i="4"/>
  <c r="E54" i="4"/>
  <c r="F54" i="4"/>
  <c r="D70" i="4"/>
  <c r="E70" i="4"/>
  <c r="F70" i="4"/>
  <c r="D86" i="4"/>
  <c r="E86" i="4"/>
  <c r="F86" i="4"/>
  <c r="D102" i="4"/>
  <c r="E102" i="4"/>
  <c r="F102" i="4"/>
  <c r="D118" i="4"/>
  <c r="E118" i="4"/>
  <c r="F118" i="4"/>
  <c r="D134" i="4"/>
  <c r="E134" i="4"/>
  <c r="F134" i="4"/>
  <c r="D150" i="4"/>
  <c r="E150" i="4"/>
  <c r="F150" i="4"/>
  <c r="D166" i="4"/>
  <c r="E166" i="4"/>
  <c r="F166" i="4"/>
  <c r="D182" i="4"/>
  <c r="E182" i="4"/>
  <c r="F182" i="4"/>
  <c r="D198" i="4"/>
  <c r="E198" i="4"/>
  <c r="F198" i="4"/>
  <c r="D214" i="4"/>
  <c r="E214" i="4"/>
  <c r="F214" i="4"/>
  <c r="D230" i="4"/>
  <c r="E230" i="4"/>
  <c r="F230" i="4"/>
  <c r="D246" i="4"/>
  <c r="E246" i="4"/>
  <c r="F246" i="4"/>
  <c r="D262" i="4"/>
  <c r="E262" i="4"/>
  <c r="F262" i="4"/>
  <c r="D278" i="4"/>
  <c r="E278" i="4"/>
  <c r="F278" i="4"/>
  <c r="D294" i="4"/>
  <c r="E294" i="4"/>
  <c r="F294" i="4"/>
  <c r="D310" i="4"/>
  <c r="E310" i="4"/>
  <c r="F310" i="4"/>
  <c r="D326" i="4"/>
  <c r="E326" i="4"/>
  <c r="F326" i="4"/>
  <c r="D342" i="4"/>
  <c r="E342" i="4"/>
  <c r="F342" i="4"/>
  <c r="D358" i="4"/>
  <c r="E358" i="4"/>
  <c r="F358" i="4"/>
  <c r="D374" i="4"/>
  <c r="E374" i="4"/>
  <c r="F374" i="4"/>
  <c r="D390" i="4"/>
  <c r="E390" i="4"/>
  <c r="F390" i="4"/>
  <c r="D406" i="4"/>
  <c r="E406" i="4"/>
  <c r="F406" i="4"/>
  <c r="D422" i="4"/>
  <c r="E422" i="4"/>
  <c r="F422" i="4"/>
  <c r="D438" i="4"/>
  <c r="E438" i="4"/>
  <c r="F438" i="4"/>
  <c r="D454" i="4"/>
  <c r="E454" i="4"/>
  <c r="F454" i="4"/>
  <c r="D470" i="4"/>
  <c r="E470" i="4"/>
  <c r="F470" i="4"/>
  <c r="D486" i="4"/>
  <c r="E486" i="4"/>
  <c r="F486" i="4"/>
  <c r="D502" i="4"/>
  <c r="E502" i="4"/>
  <c r="F502" i="4"/>
  <c r="D518" i="4"/>
  <c r="E518" i="4"/>
  <c r="F518" i="4"/>
  <c r="D534" i="4"/>
  <c r="E534" i="4"/>
  <c r="F534" i="4"/>
  <c r="E544" i="4"/>
  <c r="F544" i="4"/>
  <c r="D544" i="4"/>
  <c r="E548" i="4"/>
  <c r="D26" i="4"/>
  <c r="E26" i="4"/>
  <c r="F26" i="4"/>
  <c r="E42" i="4"/>
  <c r="F42" i="4"/>
  <c r="D42" i="4"/>
  <c r="D90" i="4"/>
  <c r="E90" i="4"/>
  <c r="F90" i="4"/>
  <c r="D106" i="4"/>
  <c r="E106" i="4"/>
  <c r="F106" i="4"/>
  <c r="D154" i="4"/>
  <c r="E154" i="4"/>
  <c r="F154" i="4"/>
  <c r="D186" i="4"/>
  <c r="E186" i="4"/>
  <c r="F186" i="4"/>
  <c r="D330" i="4"/>
  <c r="E330" i="4"/>
  <c r="F330" i="4"/>
  <c r="D362" i="4"/>
  <c r="E362" i="4"/>
  <c r="F362" i="4"/>
  <c r="D378" i="4"/>
  <c r="E378" i="4"/>
  <c r="F378" i="4"/>
  <c r="D6" i="4"/>
  <c r="E6" i="4"/>
  <c r="F6" i="4"/>
  <c r="D19" i="4"/>
  <c r="F19" i="4"/>
  <c r="E19" i="4"/>
  <c r="D35" i="4"/>
  <c r="F35" i="4"/>
  <c r="E35" i="4"/>
  <c r="D51" i="4"/>
  <c r="F51" i="4"/>
  <c r="E51" i="4"/>
  <c r="C5" i="4"/>
  <c r="D67" i="4"/>
  <c r="F67" i="4"/>
  <c r="E67" i="4"/>
  <c r="D83" i="4"/>
  <c r="F83" i="4"/>
  <c r="E83" i="4"/>
  <c r="D99" i="4"/>
  <c r="F99" i="4"/>
  <c r="E99" i="4"/>
  <c r="D115" i="4"/>
  <c r="F115" i="4"/>
  <c r="E115" i="4"/>
  <c r="D131" i="4"/>
  <c r="F131" i="4"/>
  <c r="E131" i="4"/>
  <c r="D147" i="4"/>
  <c r="F147" i="4"/>
  <c r="E147" i="4"/>
  <c r="D163" i="4"/>
  <c r="F163" i="4"/>
  <c r="E163" i="4"/>
  <c r="F179" i="4"/>
  <c r="D179" i="4"/>
  <c r="E179" i="4"/>
  <c r="F195" i="4"/>
  <c r="D195" i="4"/>
  <c r="E195" i="4"/>
  <c r="F211" i="4"/>
  <c r="D211" i="4"/>
  <c r="E211" i="4"/>
  <c r="F227" i="4"/>
  <c r="D227" i="4"/>
  <c r="E227" i="4"/>
  <c r="F243" i="4"/>
  <c r="D243" i="4"/>
  <c r="E243" i="4"/>
  <c r="F259" i="4"/>
  <c r="D259" i="4"/>
  <c r="E259" i="4"/>
  <c r="F275" i="4"/>
  <c r="D275" i="4"/>
  <c r="E275" i="4"/>
  <c r="F291" i="4"/>
  <c r="E291" i="4"/>
  <c r="D291" i="4"/>
  <c r="F307" i="4"/>
  <c r="D307" i="4"/>
  <c r="E307" i="4"/>
  <c r="F323" i="4"/>
  <c r="D323" i="4"/>
  <c r="E323" i="4"/>
  <c r="F339" i="4"/>
  <c r="D339" i="4"/>
  <c r="E339" i="4"/>
  <c r="F355" i="4"/>
  <c r="D355" i="4"/>
  <c r="E355" i="4"/>
  <c r="F371" i="4"/>
  <c r="D371" i="4"/>
  <c r="E371" i="4"/>
  <c r="F387" i="4"/>
  <c r="D387" i="4"/>
  <c r="E387" i="4"/>
  <c r="D403" i="4"/>
  <c r="E403" i="4"/>
  <c r="F403" i="4"/>
  <c r="D419" i="4"/>
  <c r="E419" i="4"/>
  <c r="F419" i="4"/>
  <c r="F435" i="4"/>
  <c r="E435" i="4"/>
  <c r="D435" i="4"/>
  <c r="F451" i="4"/>
  <c r="E451" i="4"/>
  <c r="D451" i="4"/>
  <c r="D467" i="4"/>
  <c r="E467" i="4"/>
  <c r="F467" i="4"/>
  <c r="D483" i="4"/>
  <c r="E483" i="4"/>
  <c r="F483" i="4"/>
  <c r="D499" i="4"/>
  <c r="E499" i="4"/>
  <c r="F499" i="4"/>
  <c r="E515" i="4"/>
  <c r="F515" i="4"/>
  <c r="D515" i="4"/>
  <c r="E531" i="4"/>
  <c r="F531" i="4"/>
  <c r="D531" i="4"/>
  <c r="D548" i="4"/>
  <c r="AB543" i="4"/>
  <c r="F549" i="4" s="1"/>
  <c r="C506" i="4"/>
  <c r="C538" i="4"/>
  <c r="C110" i="4"/>
  <c r="C285" i="4"/>
  <c r="C309" i="4"/>
  <c r="C381" i="4"/>
  <c r="C130" i="4"/>
  <c r="C173" i="4"/>
  <c r="C390" i="4"/>
  <c r="C35" i="4"/>
  <c r="C83" i="4"/>
  <c r="C265" i="4"/>
  <c r="C451" i="4"/>
  <c r="C360" i="4"/>
  <c r="C498" i="4"/>
  <c r="C213" i="4"/>
  <c r="C308" i="4"/>
  <c r="C28" i="4"/>
  <c r="C226" i="4"/>
  <c r="C501" i="4"/>
  <c r="C214" i="4"/>
  <c r="C200" i="4"/>
  <c r="C273" i="4"/>
  <c r="C288" i="4"/>
  <c r="C435" i="4"/>
  <c r="C508" i="4"/>
  <c r="C524" i="4"/>
  <c r="C21" i="4"/>
  <c r="C92" i="4"/>
  <c r="C108" i="4"/>
  <c r="C332" i="4"/>
  <c r="C16" i="4"/>
  <c r="C269" i="4"/>
  <c r="C425" i="4"/>
  <c r="C27" i="4"/>
  <c r="C157" i="4"/>
  <c r="C184" i="4"/>
  <c r="C502" i="4"/>
  <c r="C218" i="4"/>
  <c r="C349" i="4"/>
  <c r="C440" i="4"/>
  <c r="C514" i="4"/>
  <c r="C485" i="4"/>
  <c r="C504" i="4"/>
  <c r="C97" i="4"/>
  <c r="C335" i="4"/>
  <c r="C410" i="4"/>
  <c r="C499" i="4"/>
  <c r="C515" i="4"/>
  <c r="C7" i="4"/>
  <c r="C94" i="4"/>
  <c r="C476" i="4"/>
  <c r="C103" i="4"/>
  <c r="C345" i="4"/>
  <c r="C361" i="4"/>
  <c r="C32" i="4"/>
  <c r="C80" i="4"/>
  <c r="C166" i="4"/>
  <c r="C409" i="4"/>
  <c r="C116" i="4"/>
  <c r="C299" i="4"/>
  <c r="C225" i="4"/>
  <c r="C371" i="4"/>
  <c r="C13" i="4"/>
  <c r="C36" i="4"/>
  <c r="C443" i="4"/>
  <c r="C467" i="4"/>
  <c r="C475" i="4"/>
  <c r="C483" i="4"/>
  <c r="C293" i="4"/>
  <c r="C540" i="4"/>
  <c r="C113" i="4"/>
  <c r="C392" i="4"/>
  <c r="C400" i="4"/>
  <c r="C424" i="4"/>
  <c r="C488" i="4"/>
  <c r="C493" i="4"/>
  <c r="C8" i="4"/>
  <c r="C122" i="4"/>
  <c r="C165" i="4"/>
  <c r="C322" i="4"/>
  <c r="C546" i="4"/>
  <c r="C389" i="4"/>
  <c r="C397" i="4"/>
  <c r="C405" i="4"/>
  <c r="C477" i="4"/>
  <c r="C270" i="4"/>
  <c r="C418" i="4"/>
  <c r="C466" i="4"/>
  <c r="C272" i="4"/>
  <c r="C284" i="4"/>
  <c r="C85" i="4"/>
  <c r="C516" i="4"/>
  <c r="C139" i="4"/>
  <c r="C283" i="4"/>
  <c r="C307" i="4"/>
  <c r="C385" i="4"/>
  <c r="C234" i="4"/>
  <c r="C303" i="4"/>
  <c r="C51" i="4"/>
  <c r="C316" i="4"/>
  <c r="C386" i="4"/>
  <c r="C490" i="4"/>
  <c r="C14" i="4"/>
  <c r="C251" i="4"/>
  <c r="C201" i="4"/>
  <c r="C357" i="4"/>
  <c r="C408" i="4"/>
  <c r="C162" i="4"/>
  <c r="C529" i="4"/>
  <c r="C545" i="4"/>
  <c r="C20" i="4"/>
  <c r="C75" i="4"/>
  <c r="C98" i="4"/>
  <c r="C221" i="4"/>
  <c r="C343" i="4"/>
  <c r="C375" i="4"/>
  <c r="C456" i="4"/>
  <c r="C91" i="4"/>
  <c r="C107" i="4"/>
  <c r="C175" i="4"/>
  <c r="C207" i="4"/>
  <c r="C302" i="4"/>
  <c r="C326" i="4"/>
  <c r="C348" i="4"/>
  <c r="C24" i="4"/>
  <c r="C79" i="4"/>
  <c r="C202" i="4"/>
  <c r="C280" i="4"/>
  <c r="C304" i="4"/>
  <c r="C323" i="4"/>
  <c r="C334" i="4"/>
  <c r="C377" i="4"/>
  <c r="C404" i="4"/>
  <c r="C412" i="4"/>
  <c r="C471" i="4"/>
  <c r="C479" i="4"/>
  <c r="C487" i="4"/>
  <c r="C510" i="4"/>
  <c r="C542" i="4"/>
  <c r="C26" i="4"/>
  <c r="C81" i="4"/>
  <c r="C115" i="4"/>
  <c r="C179" i="4"/>
  <c r="C350" i="4"/>
  <c r="C358" i="4"/>
  <c r="C366" i="4"/>
  <c r="C374" i="4"/>
  <c r="C19" i="4"/>
  <c r="C382" i="4"/>
  <c r="C76" i="4"/>
  <c r="C174" i="4"/>
  <c r="C190" i="4"/>
  <c r="C245" i="4"/>
  <c r="C344" i="4"/>
  <c r="C481" i="4"/>
  <c r="C517" i="4"/>
  <c r="C62" i="4"/>
  <c r="C119" i="4"/>
  <c r="C208" i="4"/>
  <c r="C240" i="4"/>
  <c r="C279" i="4"/>
  <c r="C295" i="4"/>
  <c r="C330" i="4"/>
  <c r="C403" i="4"/>
  <c r="C419" i="4"/>
  <c r="C454" i="4"/>
  <c r="C462" i="4"/>
  <c r="C478" i="4"/>
  <c r="C492" i="4"/>
  <c r="C496" i="4"/>
  <c r="C544" i="4"/>
  <c r="C37" i="4"/>
  <c r="C159" i="4"/>
  <c r="C170" i="4"/>
  <c r="C231" i="4"/>
  <c r="C434" i="4"/>
  <c r="C93" i="4"/>
  <c r="C204" i="4"/>
  <c r="C291" i="4"/>
  <c r="C380" i="4"/>
  <c r="C193" i="4"/>
  <c r="C520" i="4"/>
  <c r="C66" i="4"/>
  <c r="C188" i="4"/>
  <c r="C271" i="4"/>
  <c r="C336" i="4"/>
  <c r="C297" i="4"/>
  <c r="C391" i="4"/>
  <c r="C411" i="4"/>
  <c r="C421" i="4"/>
  <c r="C89" i="4"/>
  <c r="C441" i="4"/>
  <c r="C23" i="4"/>
  <c r="C45" i="4"/>
  <c r="C145" i="4"/>
  <c r="C509" i="4"/>
  <c r="C342" i="4"/>
  <c r="C352" i="4"/>
  <c r="C372" i="4"/>
  <c r="C526" i="4"/>
  <c r="C472" i="4"/>
  <c r="C220" i="4"/>
  <c r="C305" i="4"/>
  <c r="C369" i="4"/>
  <c r="C439" i="4"/>
  <c r="C133" i="4"/>
  <c r="C233" i="4"/>
  <c r="C460" i="4"/>
  <c r="C219" i="4"/>
  <c r="C495" i="4"/>
  <c r="C274" i="4"/>
  <c r="C365" i="4"/>
  <c r="C311" i="4"/>
  <c r="C100" i="4"/>
  <c r="C222" i="4"/>
  <c r="C29" i="4"/>
  <c r="C106" i="4"/>
  <c r="C156" i="4"/>
  <c r="C178" i="4"/>
  <c r="C84" i="4"/>
  <c r="C134" i="4"/>
  <c r="C69" i="4"/>
  <c r="C422" i="4"/>
  <c r="C42" i="4"/>
  <c r="C457" i="4"/>
  <c r="C230" i="4"/>
  <c r="C142" i="4"/>
  <c r="C512" i="4"/>
  <c r="C320" i="4"/>
  <c r="C88" i="4"/>
  <c r="C6" i="4"/>
  <c r="C519" i="4"/>
  <c r="C78" i="4"/>
  <c r="C128" i="4"/>
  <c r="C228" i="4"/>
  <c r="C312" i="4"/>
  <c r="C482" i="4"/>
  <c r="C378" i="4"/>
  <c r="C533" i="4"/>
  <c r="C464" i="4"/>
  <c r="C105" i="4"/>
  <c r="C183" i="4"/>
  <c r="C531" i="4"/>
  <c r="C427" i="4"/>
  <c r="C169" i="4"/>
  <c r="C114" i="4"/>
  <c r="C10" i="4"/>
  <c r="C547" i="4"/>
  <c r="C65" i="4"/>
  <c r="C155" i="4"/>
  <c r="C238" i="4"/>
  <c r="C46" i="4"/>
  <c r="C129" i="4"/>
  <c r="C406" i="4"/>
  <c r="C15" i="4"/>
  <c r="C428" i="4"/>
  <c r="C87" i="4"/>
  <c r="C38" i="4"/>
  <c r="C414" i="4"/>
  <c r="C306" i="4"/>
  <c r="C415" i="4"/>
  <c r="C68" i="4"/>
  <c r="C261" i="4"/>
  <c r="C436" i="4"/>
  <c r="C246" i="4"/>
  <c r="C468" i="4"/>
  <c r="C532" i="4"/>
  <c r="C215" i="4"/>
  <c r="C160" i="4"/>
  <c r="C394" i="4"/>
  <c r="C33" i="4"/>
  <c r="C518" i="4"/>
  <c r="C41" i="4"/>
  <c r="C96" i="4"/>
  <c r="C527" i="4"/>
  <c r="C444" i="4"/>
  <c r="C56" i="4"/>
  <c r="C124" i="4"/>
  <c r="C278" i="4"/>
  <c r="C319" i="4"/>
  <c r="C324" i="4"/>
  <c r="C489" i="4"/>
  <c r="C535" i="4"/>
  <c r="C229" i="4"/>
  <c r="C432" i="4"/>
  <c r="C452" i="4"/>
  <c r="C241" i="4"/>
  <c r="C353" i="4"/>
  <c r="C373" i="4"/>
  <c r="C120" i="4"/>
  <c r="C453" i="4"/>
  <c r="C399" i="4"/>
  <c r="C210" i="4"/>
  <c r="C61" i="4"/>
  <c r="C205" i="4"/>
  <c r="C34" i="4"/>
  <c r="C260" i="4"/>
  <c r="C402" i="4"/>
  <c r="C147" i="4"/>
  <c r="C125" i="4"/>
  <c r="C252" i="4"/>
  <c r="C500" i="4"/>
  <c r="C534" i="4"/>
  <c r="C340" i="4"/>
  <c r="C102" i="4"/>
  <c r="C59" i="4"/>
  <c r="C150" i="4"/>
  <c r="C187" i="4"/>
  <c r="C236" i="4"/>
  <c r="C539" i="4"/>
  <c r="C328" i="4"/>
  <c r="C247" i="4"/>
  <c r="C523" i="4"/>
  <c r="C70" i="4"/>
  <c r="C486" i="4"/>
  <c r="C314" i="4"/>
  <c r="C448" i="4"/>
  <c r="C507" i="4"/>
  <c r="C12" i="4"/>
  <c r="C49" i="4"/>
  <c r="C161" i="4"/>
  <c r="C182" i="4"/>
  <c r="C242" i="4"/>
  <c r="C458" i="4"/>
  <c r="C541" i="4"/>
  <c r="C199" i="4"/>
  <c r="C362" i="4"/>
  <c r="C376" i="4"/>
  <c r="C395" i="4"/>
  <c r="C463" i="4"/>
  <c r="C525" i="4"/>
  <c r="C300" i="4"/>
  <c r="C60" i="4"/>
  <c r="C151" i="4"/>
  <c r="C237" i="4"/>
  <c r="C18" i="4"/>
  <c r="C216" i="4"/>
  <c r="C264" i="4"/>
  <c r="C543" i="4"/>
  <c r="C449" i="4"/>
  <c r="C50" i="4"/>
  <c r="C211" i="4"/>
  <c r="C473" i="4"/>
  <c r="C511" i="4"/>
  <c r="C259" i="4"/>
  <c r="C310" i="4"/>
  <c r="C315" i="4"/>
  <c r="C141" i="4"/>
  <c r="C189" i="4"/>
  <c r="C227" i="4"/>
  <c r="C396" i="4"/>
  <c r="C430" i="4"/>
  <c r="C528" i="4"/>
  <c r="C40" i="4"/>
  <c r="C109" i="4"/>
  <c r="C136" i="4"/>
  <c r="C152" i="4"/>
  <c r="C296" i="4"/>
  <c r="C325" i="4"/>
  <c r="C339" i="4"/>
  <c r="C401" i="4"/>
  <c r="C82" i="4"/>
  <c r="C146" i="4"/>
  <c r="C232" i="4"/>
  <c r="C494" i="4"/>
  <c r="C131" i="4"/>
  <c r="C195" i="4"/>
  <c r="C206" i="4"/>
  <c r="C217" i="4"/>
  <c r="C301" i="4"/>
  <c r="C445" i="4"/>
  <c r="C513" i="4"/>
  <c r="C55" i="4"/>
  <c r="C77" i="4"/>
  <c r="C104" i="4"/>
  <c r="C168" i="4"/>
  <c r="C354" i="4"/>
  <c r="C387" i="4"/>
  <c r="C469" i="4"/>
  <c r="C497" i="4"/>
  <c r="C212" i="4"/>
  <c r="C126" i="4"/>
  <c r="C426" i="4"/>
  <c r="C450" i="4"/>
  <c r="C474" i="4"/>
  <c r="C255" i="4"/>
  <c r="C287" i="4"/>
  <c r="C9" i="4"/>
  <c r="C99" i="4"/>
  <c r="C121" i="4"/>
  <c r="C137" i="4"/>
  <c r="C223" i="4"/>
  <c r="C277" i="4"/>
  <c r="C292" i="4"/>
  <c r="C250" i="4"/>
  <c r="C465" i="4"/>
  <c r="C31" i="4"/>
  <c r="C57" i="4"/>
  <c r="C132" i="4"/>
  <c r="C148" i="4"/>
  <c r="C196" i="4"/>
  <c r="C383" i="4"/>
  <c r="C446" i="4"/>
  <c r="C331" i="4"/>
  <c r="C470" i="4"/>
  <c r="C484" i="4"/>
  <c r="C388" i="4"/>
  <c r="C417" i="4"/>
  <c r="C164" i="4"/>
  <c r="C461" i="4"/>
  <c r="C111" i="4"/>
  <c r="C138" i="4"/>
  <c r="C256" i="4"/>
  <c r="C224" i="4"/>
  <c r="C393" i="4"/>
  <c r="C398" i="4"/>
  <c r="C47" i="4"/>
  <c r="C73" i="4"/>
  <c r="C117" i="4"/>
  <c r="C197" i="4"/>
  <c r="C235" i="4"/>
  <c r="C298" i="4"/>
  <c r="C346" i="4"/>
  <c r="C379" i="4"/>
  <c r="C52" i="4"/>
  <c r="C127" i="4"/>
  <c r="C327" i="4"/>
  <c r="C536" i="4"/>
  <c r="C384" i="4"/>
  <c r="C503" i="4"/>
  <c r="C74" i="4"/>
  <c r="C203" i="4"/>
  <c r="C313" i="4"/>
  <c r="C370" i="4"/>
  <c r="C413" i="4"/>
  <c r="C537" i="4"/>
  <c r="C112" i="4"/>
  <c r="C192" i="4"/>
  <c r="C257" i="4"/>
  <c r="C318" i="4"/>
  <c r="C423" i="4"/>
  <c r="C521" i="4"/>
  <c r="C11" i="4"/>
  <c r="C22" i="4"/>
  <c r="C43" i="4"/>
  <c r="C64" i="4"/>
  <c r="C90" i="4"/>
  <c r="C101" i="4"/>
  <c r="C123" i="4"/>
  <c r="C268" i="4"/>
  <c r="C289" i="4"/>
  <c r="C491" i="4"/>
  <c r="C505" i="4"/>
  <c r="C118" i="4"/>
  <c r="C198" i="4"/>
  <c r="C522" i="4"/>
  <c r="C180" i="4"/>
  <c r="C194" i="4"/>
  <c r="C266" i="4"/>
  <c r="C341" i="4"/>
  <c r="C363" i="4"/>
  <c r="C367" i="4"/>
  <c r="C437" i="4"/>
  <c r="C459" i="4"/>
  <c r="C480" i="4"/>
  <c r="C530" i="4"/>
  <c r="C143" i="4"/>
  <c r="C153" i="4"/>
  <c r="C209" i="4"/>
  <c r="C248" i="4"/>
  <c r="C281" i="4"/>
  <c r="C359" i="4"/>
  <c r="C71" i="4"/>
  <c r="C243" i="4"/>
  <c r="C253" i="4"/>
  <c r="C337" i="4"/>
  <c r="C455" i="4"/>
  <c r="C185" i="4"/>
  <c r="C262" i="4"/>
  <c r="C276" i="4"/>
  <c r="C294" i="4"/>
  <c r="C433" i="4"/>
  <c r="C53" i="4"/>
  <c r="C158" i="4"/>
  <c r="C239" i="4"/>
  <c r="C290" i="4"/>
  <c r="C355" i="4"/>
  <c r="C171" i="4"/>
  <c r="C176" i="4"/>
  <c r="C333" i="4"/>
  <c r="C48" i="4"/>
  <c r="C58" i="4"/>
  <c r="C95" i="4"/>
  <c r="C442" i="4"/>
  <c r="C67" i="4"/>
  <c r="C258" i="4"/>
  <c r="C286" i="4"/>
  <c r="C329" i="4"/>
  <c r="C429" i="4"/>
  <c r="C39" i="4"/>
  <c r="C86" i="4"/>
  <c r="C181" i="4"/>
  <c r="C351" i="4"/>
  <c r="C420" i="4"/>
  <c r="C438" i="4"/>
  <c r="C167" i="4"/>
  <c r="C447" i="4"/>
  <c r="C63" i="4"/>
  <c r="C135" i="4"/>
  <c r="C144" i="4"/>
  <c r="C154" i="4"/>
  <c r="C244" i="4"/>
  <c r="C249" i="4"/>
  <c r="C267" i="4"/>
  <c r="C321" i="4"/>
  <c r="C364" i="4"/>
  <c r="C368" i="4"/>
  <c r="C163" i="4"/>
  <c r="C72" i="4"/>
  <c r="C254" i="4"/>
  <c r="C282" i="4"/>
  <c r="C338" i="4"/>
  <c r="C416" i="4"/>
  <c r="C30" i="4"/>
  <c r="C44" i="4"/>
  <c r="C149" i="4"/>
  <c r="C54" i="4"/>
  <c r="C140" i="4"/>
  <c r="C186" i="4"/>
  <c r="C191" i="4"/>
  <c r="C263" i="4"/>
  <c r="C347" i="4"/>
  <c r="C25" i="4"/>
  <c r="C172" i="4"/>
  <c r="C177" i="4"/>
  <c r="C317" i="4"/>
  <c r="C356" i="4"/>
  <c r="D549" i="4" l="1"/>
  <c r="E549" i="4"/>
  <c r="AB544" i="4"/>
  <c r="D550" i="4" l="1"/>
  <c r="E550" i="4"/>
  <c r="F55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RSPUB</author>
    <author>Yutong Jiang</author>
  </authors>
  <commentList>
    <comment ref="L1" authorId="0" shapeId="0" xr:uid="{1BF2F6E5-A08F-4138-862A-57FCFC2560BD}">
      <text>
        <r>
          <rPr>
            <b/>
            <sz val="9"/>
            <color indexed="81"/>
            <rFont val="宋体"/>
            <family val="3"/>
            <charset val="134"/>
          </rPr>
          <t>UEsDBBQACAgIAIN7Al0AAAAAAAAAAAAAAAABAAAAMLWVW2vcRhSA/dxfIQSFNayIpNVKu3pz1jYpiZ3itQslmDKaOdodrJXU0Sh4MX5IQ8mLYwqlDW3zEAoleSlxwSWu08ufWXmTf9Ez0t5ah1xK+jQ6Z85tvnM0s7Z6demDpaWlAx3200TIThKHvKf7B3oQkXhvO9F9w6pXwickykH3dVOv6wxCkkfyBol7OekpLY2VmmdpRIYbCVMqNvgoZpwSyRO1yeMwuQ6Q7qSMSNw3UZWtZFT3pchBCdc4g6sqVaU6rE+q2uYygptpGQdLI1FUatYiGEAsM90PSZRhBJrksRTDmcwgo4JP/KokoYDPc4jpcJaVYQgechAzt4wM0gjmIkRAJbAy53UY3uCZ1P1buoBMJgI2yQD0KjAuecylvotOSS7oPIYkQVRZTjXKMJsWkZdIVkss5T4efQBScIRz60D/DHfJKu+VHna9kreHKVqr5kCPx5WvbpuWbTbNNlZC+9gc2AKaCIZRdhWesi3dpuOZdttDG4irmvROn8dE6/RhgP2KtI9FwnIqceUUNOwi7JfWO+p0vq6XjSGoZrPzwL4UhMpt0ltEXRbYE0melhsT2z0YqolptANCQs/wHM81nLbbMIjXoEbYbHgty6Jm6DYwU1xVODr7ufjhj+Lo2+LZT6Pzx8XXd0bPn108+v3i6N7FNydoN2nHNLuQl3Cryg/r74YTYdp26w040cppL+LcxKHtA8nkSsaJr3XWt7Rumkx51jY4W/a1NTSJYZHrTnf1iiz/lfeANwi9kBKbGpbpUcMJW7YRhEFoUIuYge2GDmt4i3gfFkcPRuff++PjkxenjxFuDcuuI/aXD05RWvZHv303vvt0kfQk36tRj/88Lr68e6X46sl/gG7ZtvvGGXaal2fYXwDtazsCiFZz3A+XFzF3Nj99f5jbQRBaTZMYLoRgOB4NDELatmGGFm0RJ6Btz/z3FM8Z+8XJX+PTR9MS347s67D+E6StLoPm60BuOTb+eE33FSDXcH61yfcGEXswn1/C40wi20GlwWHuJoxoK1lfq10Dcnv4//G2nJbFmq2W4bkB8g5cxyDAED+zmdlgDbvN3Eu8i/vHasDPvigenvvVogZ8dPb84tc75XCPz5+Of/yl9vLe/RenT5bf9jqZdWJXOWDpWb8aaXzbJB/AukCnLkjJ4/JRpX2g6h3lcwIRUr4ZqOY5lVAF0COlBXG7fD0zLCgJsnWRDCZ9xWveqpRdSYRckdXl3zStqV693coU/yVLXU4pCJ6wSfRURS/DHR7+DVBLBwhT6qIPtwMAAAQIAAA=</t>
        </r>
      </text>
    </comment>
    <comment ref="R1" authorId="0" shapeId="0" xr:uid="{F6BDAE8C-1FEF-4D3F-BF7A-9DBB6F87B8F8}">
      <text>
        <r>
          <rPr>
            <b/>
            <sz val="9"/>
            <color indexed="81"/>
            <rFont val="宋体"/>
            <family val="3"/>
            <charset val="134"/>
          </rPr>
          <t>UEsDBBQACAgIAKtwu1wAAAAAAAAAAAAAAAABAAAAMM1WT0/cRhTn3E+x8gkkLPx37fWN7HoJAha6LIlQhFbj8fMywmtvx7MpK7SHUlVRpBD1kkNVovaQQy9VI1VNCWnVL4NJ8i36bC8LhYawEkp7sufN+zPv/X7vzbi1O1OfTU1N7Umw24u5qMZRwDqSsyd5IYl2WrHkyOpssbhHwj5IjqRIs5IPAemHYplEnT7pZFIaZWKW9EIyWIn9TOR3FyOfUSJYnG2yKIiXAHobPZ8I3FdQlMwnVHIE70O2uMt8uJOFKkTD2dGpWkyEsNrL/eDRSBjmEjeELkQikZyAhAl6oHE/EnwwXvuQUM5GdkWQgMMXfYjoYBzVRxcsYMDHZgnp9kI4X0IIVICfx1yCwTJLhOQ8kDgkIubQIF2QCsf46UdMSFtoFPc5PfchiBcWmmeSTDE5O0Q/L0ktL0u+j6l3QXCGxXmwJ7Vxl9RYJ7fQEA7osKjQljRFVRVbsTA23UY4oAk05j7abWUFyYFYNw1D0y0DdSAqTiFVt1lEnJJLElEa/a8QvgOitIZhoTQ9/xA4QlssZ5zSWhwOMGPgpToLSVb40nSttamaSm3OsOszufONLH103ticEznoCCCJfPDHecOu4ISKFumMRXnpHH1W6vC437u4swODjHAmWDY1bVm3NF02/DKVPdu2ZNW0qK2VwdOCAENFRWInRz+n3//ppAdPT44O08OX6ZNjJz3aTw+PT978Pp2+/jV9/gj/ZpzTVy/eHr96/+yvk6PnlzMZYTs+CBdXwMNQ6Tdfz6Xf/iQNZz+KkakYH8fIrpjmRBitEBYlggPpXgcT5laavjWc1A/ipJOyVa4QU9bMgMqGoqiyB1SXkZ+6Sj2rUvGMm+J0cvTm9Lev/hOcVPUqTnsIU7eLFcrmzyiBetP9vF1bvd9A9R7hKMSqJ5nCittccNutzTUX1ebvLaDC4nq7utFsuo1WuzbfckdjNHOBv/ddd2m0aq83qyjJddBqobHadNuNjeXlCxZnnsuZRqO6vFFbbCy03UbtzLUqDYfDc2ol2v+RVOfz+LreR97o1DPKMliVQDZssyzb5Yoh67btqZbm4Qgo3zanyJfVKz2JwvoZ/fF/aRLC3zZJNUWxVO26YbJk6KZtWta/4F6AjBcz7DqlFtDtCG/osFTj/Y5TugvcYxSvxIt4rsUsErc0ysEzNc3Qy7Jn2IZsEN2TK7ZKZIpYEpuAZxDtCpyI2OmPf5w+eXT67KWTPv3h3cEvzvvvXrw7eJw+3r9xfd/uv75pbScZANjAl9t/wl4fST7QyZdb/p+drX86hG/Yr4pOgnJgyZUyYL8SasiVwNLkiolXtuqBqpj+5ACPO/ICsccdqV/oyBvyawLGbGXamHWy3Rr0ilerYF2oZ4CvgxAsyp/LdBto9kJm58ULccKuehnJjGJROJDCTAr8Yf4uTvA0sZfUedwt+KepeAsVwnVBuJgXZxeTqhiFPHuVZ6qmqqmVjH3AWeyPvPcy77m74fBvUEsHCAhKO9ZbBAAA3gsAAA==</t>
        </r>
      </text>
    </comment>
    <comment ref="J581" authorId="1" shapeId="0" xr:uid="{1B550348-6362-4B7A-80FB-FD9F9FC031CA}">
      <text>
        <r>
          <rPr>
            <b/>
            <sz val="9"/>
            <color indexed="81"/>
            <rFont val="宋体"/>
            <family val="3"/>
            <charset val="134"/>
          </rPr>
          <t>Yutong Jiang:</t>
        </r>
        <r>
          <rPr>
            <sz val="9"/>
            <color indexed="81"/>
            <rFont val="宋体"/>
            <family val="3"/>
            <charset val="134"/>
          </rPr>
          <t xml:space="preserve">
数据源每周一更新前一周数据
https://mp.weixin.qq.com/s/rNItur5PFH_lEYTtlSVNzg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RSPUB</author>
  </authors>
  <commentList>
    <comment ref="H1" authorId="0" shapeId="0" xr:uid="{5F29A999-550E-4A18-8D9F-A09F84B61FB0}">
      <text>
        <r>
          <rPr>
            <b/>
            <sz val="9"/>
            <color indexed="81"/>
            <rFont val="宋体"/>
            <family val="3"/>
            <charset val="134"/>
          </rPr>
          <t>UEsDBBQACAgIAEuG0lwAAAAAAAAAAAAAAAABAAAAMO1YS2/bRhD2ub+C4KkFvADfInlT9EhU25Jryy3SIDCWu0OZDUWqJJVGMHzoofWhjxRoA/SRIocGaHsI0gZooLqvPyPZzb/oLCXZLizbshMnQBBdtDs7Ozuc79uPy62UL829Njc3tynDrU6cZKU48oOW7G7KXkijG81Ydok6P+q8TcMuyK6syPMyB592w2yRRq0ubQkri4Q5SDsh7S3FXJh4uxbxgNEsiMVgEPnxAkBnrcNphuMKmtJiymQ3S7ogOlcCDpfEUiPT1vw4q2aQhdDo5HEwNRqGuaUSQhuiLJVdn4YpRmBxN8qS3n6fQ8qSYDxvtIifwPtdiFhvf1WOIQI/gGR/WkrbnRAOuhACy4Dnay5AbzFIM9m9JieQZnECddoGeRQY/7pRkMnXcVLcTdhBjIx64chzYhGO6SSJbl6Scl6WfBwfvQ1ZEmBxrm3K6zhKy0Ern4Fw5P1mrwN5z4NWEI3mypqiaoqtC4jYBoIDK8DihGOU66I8OSyrpqFbpmahD0SjnOTSRhBRV6rQNJPytrSMdU9dqRbdxPrESc+VliDDkHGYz1sTz+nKqoI/KYujVM7BohEHvv+McCtLKMuatHW4/LKrz8utJO528oGx7w3oiXgUiUWdAuEaB2KoBieObWDXMhTDtlROHRNXikZZD/oPht/95Q4/+3zQv7vbfzi8/YM73Ply+ODrJ9u33b2vHj35eBu9x0BNckiyI0DksbaHX/wkb80/m3JvYrXbbSyHIOw43WptcfFycXkVvTs0QVsGSSrGm41y8ep4Z9Uu1xsrlfV3KpWFSr08Nq4uV0q1aq007i5VmlcaYkzUorpSeQubYsLB9CuNxdpBzFJjrd5cubpeLy5VJmAL33ppca1cq19ex5XWy8VmJfff2to6IEt6bpq4pUZ9tVmsN8/Hl7HpVMJYoBmmhgwpqJQY1LaRMMCJSZnjMeqA57CzEcYd9vu7d34RvKEflI5sGTRWJzlhe+EstD2GiGMNOJmH2hHm6Yqj2KdsdMNSLWcKgmXaS6XYP4zbcjcRMsilJiTQ2UAQw4BJRRZwxJRGXR+R6SYgVSKkbScJUkgPI8tp79lIgOeYjqdRxBEUjWD9GKHU8omnqVw3ddBswz+KaA7i8P7PiJy79+jv4cPf//3k4WDnU4HpR32E9t5g58fBnx8O+t/OqggY7SlgeGkEwL4w+kxViBl4NKs0UM2kiqWRgmqYxDAKSCmqGwRMx9dMbiqMTnmXnIFIxyjFZM9NVYoZ2T2LUszIT/wpxikyodmOM03op+Echz1MDhKpGoRUnL+k15cbV99wpTcDXCDtcundDXhPtKXFOG5fiEYUfF13TK4TxwNGDG56xFO4RVTFK5iqbwI49snQ7j6+v7fz+Mmdfwb970f57/56b/e3b/b+2N69u/OMJeIYCF4aiVCVi+HOBQsExaObY/s6UTzFIoaHfKK6qRFdt5yCYxYcz5tydpidRcfow2SzTdWHGZn9AvTBOD/G1fJz1gebcoPbjkcoA1RZh3Li+QVKNEsF6pm66dGzIJvn/0ofzq0Ps55Az0idC5YHjTGFM06Jo3j4acFMII6u+8RUDNU2bKVgO6ccRE8m0QnyYBwnDzMS+wXIg3l+jMvN5ywPmm0zj1oKQclXEFlAkS2AThBsR+PMVNXTPjH+h2ye/yt5OLc8FC6GOhcsD7rFuKqCjZ/7HLci1Rxi25pOTBQKyj2roPGnItEJ8mAeJw8zEntmebgufLEQ6cbo+kuZl7OgDVXBrFXIsiDK74rZBjBxPRwcFDSkadbwBJ2NUWcUQA6FFZKb+aWwuECIvbSa4D4XTNc0Fek+Mq5mNMmK2WgHmIo6sYsraeFqqpoq3isdSIKYj6N3RPQ83NbWf1BLBwibrf2hggUAANsWAAA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RSPUB</author>
  </authors>
  <commentList>
    <comment ref="H1" authorId="0" shapeId="0" xr:uid="{DCD49DDC-15A2-4B12-BA9E-71059ECE3B98}">
      <text>
        <r>
          <rPr>
            <b/>
            <sz val="9"/>
            <color indexed="81"/>
            <rFont val="宋体"/>
            <family val="3"/>
            <charset val="134"/>
          </rPr>
          <t>UEsDBBQACAgIAAGesFwAAAAAAAAAAAAAAAABAAAAMO2a72/bxhnH83p/hSAggIP5EN7xjuTxnWvJaRbHdv1jRVYExvHuaHORSY2k0hiBgTVFZxRN0g1d16VLkWJL0fRF4bTLGsX99c+IVvxf7CEl20qkRErtNME6vTHveLwf389zz/Mc6WrllWO/Onbs2OWyvlSP4nQyCv1gpexeLns1EV5YjMouwuOdwm9FraHLbtkoj5eV9kWjlk6LcKUhVvJaGebVQVKvifWzkcqr1NrpUAVSpEGU3wxCPzqjdX2prkQK9w2oSiYSWXbTuKHzwquB0q/kQ3WqNsa7s1oM0pqerRf9wNRErVbUVGt6TYdpUnZ9UUugBxk1wjRe3y8rncg46D7XGcSP9R8aOpTr+6Mq6CLwAx3vP5aItXpNHxR1TctUq2LMM3p9OkjSsvtGOdZJGsV6Rqzpcqdj+NMIg7R8Hh6KGrE86CMVXq3Tcq8mb5jsTaJRSFIpZCnuw9LXdBoHIM4bl8vLcFdUgpXiCQI49EoQdlqXiWFwwyIOjC1XAYee1zKKFTx3PhekALHAKCWYMGijw84sypOrQSjcUlUkaal7fVbEF3RamoNhdWls4qKOAW2neMItLURKlCaS1VJFh4kuulrKFwtdzZw7mRaIAZcIlVb7q9SX0ljIdFGs7FcVQrnmeHkljhr13jsXNFApCyIx97VCWjOOKKEmEsR3EOcGdYQUjkXz0cPOMlrNL7N/fO9m1663mjezm3ezq9tu1ryS3dxufXt/LHvw7+yTTbg64e5uXnt47057e6v9z6/g8S68PQBx2gcHOs/eeftk9uc75Y3xYQwwMZjBhzCwDcLtPgagvl6DXVIDpSPVkHsAYO/oS70yP5O++In6+lx4GpsSGdIHfZmDkeOB3Jw7mprYs4jAj+ubXf1bdv+z1vbn2QdvgZo7n363c3Vz58O7owo5goIGw4RYQxWkrF9BsM161JXNLS3FWpTGqHX8xGFt9MkaelowyhVFPsY4t1EDOYwyZGHsO8qUDmf9Ntq+fvfhvc9BPje7+2P73qd7c9xXsDvEYW0RLJEM9QfQivJeJWfAz65q8AYTSQCKTk7N96haGjsbKPABVWgSPrL3lxYqR6grNYmtmSURManIdRUIdr2JLEE9zZktufeIrjezqx+1tj8+kHYM5j0Oeu9+dK/Y9a0HN9pvb40scvuH678InS3LI4Rqimzm+IjaxEKOLwnSJreVY3Mp8MujMyhtY/I0nc9QkznMHuQZenypW1rUcjUsXG0lbqy4pVd17AUSMoBepeeiIEyPKJZxZUtqMAbC+jai1OLIc0yFTMewbWUbWBRB+VE/0etg3ez6rYfXttzdG7cfXns3e/fK6BJfeTBK3MIGTGVo7mDa9FC5w1xUW4dZ67g0FdREnrSVxiqL5zAzKiepM3VoT/1kAgwz0/OIAdmECZZOwcgdaWGkuUMp45aEffATsomdb263t7/Z/fDHVvOTx1dy1P78f56RJTixFfh63/aBkZIW4gpyP00cxpTl+9L0/8/oxTKitsNtw2PIsQhBlPsMPJnnIKyoaUpLWZ7JX3ZGxHBMYwgj02JFFvpkRgAhThMXYspF0D+K1wGaTqHLqNYrPzbgVwIAyRERUMIwlOAeMnzYINSGdFNwrGGrYM+U2na0Ek8gsNPcyt7/l5ttf5B9+ffdzffd9l+/3v3T5sgat5qbvwiJpbKYJTyOCKMyTz8x4lQ4iEpFIPvkmmjywiU24bw/9LRvYYsPkLgi1pNS5PcKO9eI87cfCpKjWNdXQeVaIEsTkBXlzihs+KBhI9alaghupx4HiU56GSixfkTiEw9+tjKRjRmcqSwN4lvcQabQhFMOeZMz4Nxf6J3d/iLPldpf/5BtPXj43lZr+2ou/ztNoHALTq2t795qNT8e3aXc/mIklw9Onw4BQRzOB9n6IBADfPvc7Dnw+r8JYICkoUq/W9W/z69L01G09nwomJrZWigOsZgqMHxuI+E7FFGfSSlNjKWyn07hEZdeLGDnq1s7/7nR/nZz5+b2i4Iw6N3XiBAgLP3MELSBtcexhWzPNyEhEgYSQlvIUIzYWApTc/UMEIoFvAwQBiU/I0KYqvzcEGwIU0RaJtK+CfFWWgR52KQIw8HN8wRm/JkgFAt4nhAsgw1/f4ZNc1BcmK1DnpkGoOc89Nd5h9ar6vGjOo0RYjsOJJA2xgJRjR3EhTbgSkEwVw4znP7zcPbdH7P7n7Wvb3bfm4360vH4IVS7DKKtrcF68+8N3elMzVdfW66+Bo3rIoYqMNAkv316YXlyaX6+OrO4XJlYrHa/kOSt4fL1avVMt7S8MD95UHN6ZnJ6qXJ65tRydaby+IPLi+fm8jItb2xsHBBMyPNgd/Bh5KnpJ5iOTxyCIArYcACgJvKERZGvHJNrDJFBDwjPA9CJNyf77BEqp/bGh+szz2Iso22iEY3BMga8aBpkDNMTp/oMYa46f3q2srA8OzW1UF3ME9Sc86mZ2fnq8szS9HQB+FGgeESg7q/x689jQ2qLCFMaDjKIBeHecyTiDqOIG5ww7lkMItBQqjC57C93nsL2RfHMU+VhcQlSZXvQtuqGmhJIvB9t+tkMCFXnRBw+h/0nmQ85GGjmaAHpsS2BlNQ+khZjzDYl9ajZR6oTb/YO4PvYegPTkXrTUQUflAgcSnDII6I3wySFrbLWlxMcEQHMTW57BkFCKUiIpS2QZ5sm4tqxfcpN2/J+EgG31Xxvp9nszwqG4DifN4VJJ6uL63VdfE9PgzU9lbukBZ3mouVeSa5qmX+7Dw7WXoOT9qyXE6SdQqeDci2v1fHF4ot9fsyLvGQqBjGL1/AETve4U7mQijidSDvQmYH36vP/F8ibMkxwvvcBXhCpbu/1vPeiu42N/wJQSwcIyrAbJmgIAAB4IAA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RSPUB</author>
  </authors>
  <commentList>
    <comment ref="I1" authorId="0" shapeId="0" xr:uid="{430C723E-49FB-4332-BAD4-08EF0CA17B79}">
      <text>
        <r>
          <rPr>
            <b/>
            <sz val="9"/>
            <color indexed="81"/>
            <rFont val="宋体"/>
            <family val="3"/>
            <charset val="134"/>
          </rPr>
          <t>UEsDBBQACAgIAKp5r1wAAAAAAAAAAAAAAAABAAAAMO1aW28URxbmeX/FaCQkkCjRVV3V3TVvjmdMWF/w+pKIjZBVt7Y7jKdnu3sIFrK0IZu1Ii7ZVTabJUtEtEuU8BCZEDYMhiR/ZtqXf7Gne8ZmHA94wDZYJH7xdHXVqarvO3Vu1ZXyG0d+d+TIkUtFc7EeRslgWPOD2WLpUlFWRe38VFgsIXyi/fCWqDZMsVS0iieK2viiUU1GRG22IWazVlXLmoO4XhULo6HOmvT86ZoOlEiCMHsZ1Pxw2Jj6dF2LBN5b0BQPxKpYSqKGyR7eDLR5I5uq3bR4orOqqSCpmjP1XA4sTVSreUulauZNLYmLJV9UY5CgwkYtiRa2nrWJVRR0xrUn8SPzp4apqYWtWTWICPzARFvDYjFfr5onj6ZqVGJ0PuewWRgJ4qRYeqcYmTgJIzMm5k2xLRj+NWpBUjwHg8JGpJ7ISISstntutmQd481FNHJIyjks+XvY+rxJogDAeedScQbeinIwm48gQIeZDWrt3kViWdxyiAdzqzmgw0wYFUYaxp3LAMmJmGSUEkwY9DG19iqKg3NBTZQKFREnhc7vURGdN0lhHKY1hWMDF0wE1LYfj5cKk6EWhYF4rlA2tdjkoqazzYKosbMnk5xioEvUtNFbuzQXk0ioZErMbjXlQJXsE8XZKGzUu9+cN8BKURCFuW80MoZxRAm1kSC+hzi3qCeU8ByazV5rb6PV/Db994+l9Nr1VvNmevNuenWllDYvpzdXWo8eHEsffp9+sQS/jpc2lq6t3/9mbWV57T/fwfAOeZsERMkOckB4+uEHJ9O/fVNcPLEbB5hYzOK7cOBahLs7OAD0zTyckiogHeqG2iQAzo652A3zc+GLn4qvz4U02FbIUj7gyzyMPAlwc+4ZamPpEIF/iW969Z/pg69aK1+nn7wPaK5++Xj16tLqp3f7BbIPBC2GCXF2RZCynQiCbtbDDmylwnRkROEYdY4e36uOPh1DaQSjXFPkY4wzHbWQxyhDDsa+p23lcbZTR9eu312//zXAV0rv/rx2/8vNNW4h2Jlir7oImkh2tQfQi/JuJMfAzs4ZsAYDcQCIDg5NdKFaODYaaLABFehS23b2pyfL+4grtYlrmKMQsanIcBUITr2NHEGl4cxVXG7D9WZ69bPWyudPoD0G6z4BeG98dj8/9a2HN9Y+WO4b5LWfrv8qcHYcSQg1FLnM8xF1iYM8XxFkbO5qz+VK4MODMyDtYvIsnIepzTzm9rIMXba0VJgyaq6Wm9py1JgtFd40kQwURADdSI+HQS3ZJ1/GtauoxRgA67uIUocj6dka2Z7lutq1sMid8nY70W1gS+n1W+vXlksbN26vX/so/ehy/xBfftiP38IWLGXX2MF26Z5ih/GwugCrNlFhKKiKLGgrHCtPncXMKp+k3tCeLfXTGWCY2VISC6IJGzSdgpJ7ysHIcI9Sxh0F5+AFoonVH26vrfyw8enPreYXv9zJftvz154jR3DiarD1vusDR1o5iGuI/QzxGNOO7yvb/42jV8sRdT3uWpIhzyEEUe4zsGTSQ1hT21aOdqTNDztHxPJsaxeObIflUejTOQISoiQugU+5APiH0QKQZhIQGVa74ccW/BWAgHifGNDCsrTgElk+HBDqQrgpODZwVLC0lXE9o8VTGFhtLqcf/7eUrnySfvuvjaWPS2v/uLfx16W+MW41l34VECvtMEdIjgijKgs/MeJUeIgqTSD65IYY8sohtiHf3zXbd7DDe0BcFgtxIfS7gR1vRFn1Q0NwFJn6HKBcDVRhAKKizBjVGj5g2IhMoVIDs1OPgtjE3RxosbBP4BMJf662kYsZ5FSOAfAd7iFbGMIph7jJ65H353int+9ksdLavZ/S5YfrV5ZbK1cz+D9sAgu3IGttPX6/1fy8f5Ny+05fJh+MPt2FCOJx3kvXexHRw7aPnzkLVv/3AUwQN3Thj3Pm3ex3YSQM5w+GBdsw1wjNwRdTDYrPXSR8jyLqM6WUjbHS7rNZ2GbS8w2sfndr9X831h4trd5ceVUk9Kp99UkCuKWXTIKxsJEcO8iVvg0BkbCQEMZBlmbExUrYhuvnICHfwGEgoVfw0ycJQ+WXTYILbooox0bGt8HfKocgiW2KMCRuUgrM+HORkG/gIElwLLZ7/Qzbdi+/cKYOcWYSAJ4TIK9dQ+tG9eg+YYoJk9QVBmWBAmRjHkT6AC+YGMiFiY21LXbmw+njP6cPvlq7vtSpm/VbdDzarzfdTXXBm7qkB2odbSwALFsKuRPLHtp8VkS1g4A3K5DRLCYUWZEhK6Yh7koMKmspLjl1Od6psm2d3AzSt7DuVt5XgngvY7EnxMHWhO/V4gR0e36H3dgvCnymLa08gohFBHhNAgG6YQ5inkWpdAnBcqeG90FBqdW8stps7jQde+YDY/Ls6tokg9MKUXs3H8Mw97a6eyGrCIKFHhN5DHlwpUsmKLY195FDMSSicDKRUL5ExhCpCM6q8l0Ab9y6s6303l7l2q3v1//y99V7D/sF8rnqlTmiPWoBlwDQ+XkAILvD7KxvaKLyh5nymbfHoHtdRNAIahtnHUYrE6cqM1NnxyvQbeCtU9Dh9OTM4PTERGVsaqY8MJW1Z6lWJgJ+vl2pDHeeZiYnBqEl7wOjTo2dmajMjE2PjHSN2JScsXp6bHBkunx67NRMZay8KRoXFxcXnyhBbB8w/U+uZ5/plG3CicAugoDDRdT44JSVy5B2PM/4oBu+i5+LffHe4A4th8ahTS2E38PPo3cHUP8+AH2anB591fpEXqY5eUaF3lOOxxRBjlQcUQvyHc94FpLSYN/YTEllHQ6F2m6fOt8NvNC1FaiTvVuNBvr1csCj4t0w2izPdN+6DoZxkrtl2GgwO5dsezkOmnhxoXqgV1rMxcL3uUBYAJuQM2nEJc2KyLa2lLGE4jsT11bz0Wpzuetmtk1ouvywXUJYv7L8dAr2dHX4OrqIQ6Iw/XkSYhtL2gwjx5fZFajtI04gWvMt11dceFxq+0X1pcsGbJ2k3jagP6U9kMvr19Gp4MOhgf3ee1HGsO1aSEgXQ7pmKJJGWYgST1HhE9/1rEOngr+5oWe6IeJJz+WSIcdzJXAqDJKe9pHiviLSh6xQqZflhs5lY2DB8dzUQt3kH1wmwbwZyk7wpEmyjDk7xGrOqOzjzuDJxqsiTs7IjDbafmgLKFazVhNdyD/pzO4BQhkPRZBJ599pQB5p4XbjZCKiZCBpx6/Mwpvt2QelWdeM/KwQBZl7EOqO9HomPRe3uPh/UEsHCHIUF9+MCQAAmSoAAA==</t>
        </r>
      </text>
    </comment>
    <comment ref="O1" authorId="0" shapeId="0" xr:uid="{F6502771-7806-4D26-B483-5786FD87CED6}">
      <text>
        <r>
          <rPr>
            <b/>
            <sz val="9"/>
            <color indexed="81"/>
            <rFont val="宋体"/>
            <family val="3"/>
            <charset val="134"/>
          </rPr>
          <t>UEsDBBQACAgIADaJ0lwAAAAAAAAAAAAAAAABAAAAMO1b728bRRru5/srLEtIQeqI+bmz428hdkqvbZLLD1APoWh2ZjZZcGzfel0aVZEOOC5CtOVOHMeVKyq6KwI+oBYokAYO/hk7af6Le3ftJE7tNA5xmvIjX+Idz87uPs8zz7zvO+tS8dlTvzt16tSVvLtcq8bJWLUSRgv5wpV8UNaVV2ar+QIip9sHz+tyw+ULeZw/nbcu1I1ycl5XFhp6IW01lbQ5qtfKevlC1aZNdulsxUZGJ1E1/TKqhNVzztXmalYn8D2Gpvpo3eQLSdxw6cFzkXXPppdqN62c7tzVbJSU3WQtGwduTZfLWUup7JZcJannC6Eu12EEU21Uknh559i6uomjznnti4Sx+1PDVczyzlUtDBGFkYt3TqvrpVrZ7R66sjOJs9k1z7nl81E9yRdezMeunlRjN6GXXL49MPxrVKIk/xKcVG3EZneMRAflds/tlrRjffsmGhkkxQyW7Ht49CWXxBGA8+KV/Dx8q4vRQnYGBTrcQlRp985TjBX2qA/XNotAh5t2phpbOO+lFJCMiBnBOSVUQB9Xad9FfmwxquhCrqTrSa7z+YKOX3FJbgou63Ijo5dcDNS2D58u5GaqVudG64u5oqvUXTbUXPqwMNTExWeSjGKgS1essztP6S4nsTbJrF7YacqAKrDT+YW42qh1f/OKA1bymhqiQmeRc0IhTjlDmoY+UgpzXxvtezy9eqX9GM21z1v//l+hde16c+1m6+bd1tX1Qmvt9dbN9eZ334607n/V+nAVPj1d2Fq99uDep5vrdzb/8wWc3iFvm4A46SEHBm+9+cYzrb99ml85fRAHhGKB1QEcSEyV7OEA0HdLMEvKgHTVNsw2ATB33OVumA+FL9kX31DpwBFmEDYh4Ct8gvwA4FbKd5yRwKOaPIxv6+o/W99+3Fz/pPXua4Dmxkffb1xd3Xjv7qBADoAgFoRS70AEuehFELRZq3ZgK+TmYqdzI9x76umjanR/DAOnBVeWo5AQkmoUI19wgTxCQt8y4yvRq9HN63cf3PsE4Cu07v64ee+j7XvcQbBziaNqEZRID/QD6MVVN5IT4LOLDtxgtB4BomPj012o5kYuRBY8oARdKnvm/txMcYi4ckalE55BlHGd4qoRzHqGPM0Dp4Q0KtiD683W1feb6x/sQjsC930a8N56/14265v3b2y+cWdgkDd/uP6rwNnzAkq540gKP0RcUg/5oaHIMSWtL5XR5MnBGZCWhD4K53OcCV/Ifs7Q5aWF3Kwzi5XMaotxY6GQe87FQWQgAuhGeqoaVZIhrWXKSsOxEABsKBHnnkKBzyxiPpbSSkx0tijv9Ylugy20rt96cO1OYevG7QfX3mq99frgEL9+f5B1i2C4lQNjByb5kWKHqWp5Ge7axbnxqKzToC03Upy9SAQuPsP98SM79f4MCCJYEFAM0QQDpXMQuW88gpzyORfKMzAPfkI0sfHN7c31b7be+7G59uHDTzJsP//Fc+RpRaUFrw9lCBxZ4yFlIfZz1BfCemFoWPgbRyfLEZe+kjgQyPcoRVyFApws8BGxnDHjWS9g6knniGKf4QM4Yp7IotD9OQIS4qRegDXlEuBfjZeBNJfAkNVyN/wEw18OCKgPiQGrMbZaBQiHMEG4hHBTK+JgqpCAGSd9Z/U+DGys3Wm9899Ca/3d1uf/2lp9p7D5jy+3/ro6MMbNtdVfBcTGesLTgUJUcJOGnwQprn3EjaUQfSpHHT1xiBnk+wdm+x7xVB+Ii3q5nquG3cBONeK0+mEhOIpdbRFQLkcmNwpRUWpGlUYIGDZilytVwHZqcVR39W4OrF4eEvg0gD9pGZJEQE7lOQDfUz5i2lHFFcRNfp+8P8O7dfuzNFba/PKH1p37D96+01y/msL/5hqwcAuy1ub3rzXXPhjcUm5/NpDlg+nzA4igvlL9tN6PiD7ePjV5EVz/9xFcoN6wuT8uupfTz7nz1erS8bDAnJBOWwVrMbcgfCWRDn2OeCiMMYwQY+WjWdhj6dkDbHxxa+PrG5vfrW7cXD8pEvrVvgYkAZalx0yCw8QFinhIBiGDgEhjpLXzELaCSmI0c8oegoTsAZ4EEvoFPwOSMF583CRIWKao8RhyIYP11ngUBYRxRCBxCwJNhDoUCdkDHCcJHhYH188IY+11YbxRMR0iJmsQZCYRgDkNg7ULaH2I2rdbB/mnDot7uHsLre//3Pr2483rq53SWH5fVggVAZfaoTTUgHzOh1wBCAKTgmyaMmKZ7s2o+ww/UNnyqUHX44PED+uxpH0w7eg5B6DtSLoX6T7z4aKOK0cCf790WRpYayGq1GmZIi3HISUDAqLHRgWKS0V6Rd9W9XaYv4N1t/xPBPF+dnMkxMGtqq9W6gkof6nHeYZFQSgstsaniGKqYd2lEOI74SHhY84DSSkJehU+AAWF5trbG2trveZzZD4IoY+uz80ImK0Q93fzcQ6uvadyn0triuDxEzqLQo+v+Ck0J8yqEHmcQCoLMxNpEwbIORoYStK6fhfAW7c+21O8b9/l5q2vHvzl7xtf3h8UyENWlgFRdlAaBf36KfyCfrkab2dQ3RsjY1XIr1Ldj8cuWlhM9nw5pWN9ebl8rFVnIYkOQ6UR0YamYY1FKuBpnYdZbBzWRvXGls217yC36to8aRMAgX47yodw/zcOBueA+oEvVSCQ58sADB5W0sC3ITIqNDQIwXOMeWI4oOmuqngUB+NSMcUZOVRV7YKOtk18p7A2O3p8u4XcGggmuUCEp7UzJ32kBUT3oZZc+gH4ke0TSbZrZ1nRrKt2llLx9WtZ7aw33R3+vnbGQJ+65hUgYGkJkEnfx+jc+Ph06Q/zxckXJqB7DaS85GABracdLpSmz5TmZy9OlaDb6PNnoMPZmfmxuenp0sTsfHF0Nm1Py0bpEPDxhVLpXOdofmZ6DFqyPnDWmYnJ6dL8xNz5811nbI+cri9nJ8bOzxXPTpyZL00Ut4cm+ZWVlV3R1PuFYo9BLrtvoDxyz8gEQmpYlCjkeohLC8uTZBgJyQUl0minemfoT1WLfnWsZyJB4/i2ouHzucNoeOg1W4Y5JgfFeowe8t2WPpSeKS+bveXFIb8ywBhlYQj5o+dnrwwYpDD2kKcwWDEk+1TiQQvoXbQ2798AQh+qNA7pnZYU+z4Z5c977p+cUAab/k4C6rAuI48yg7hnIbeV1iBNIe9VlpG+ZdDD6WRn1ndNnr6zfkDRDn3WC8DgwN00X/V9F+hwRt6b6E1NXsyNDG1HbX9DgEQjdJhaRJyDVJsYjZQgHGHlU99RF7LBd9S6iH64/Np3R21IBgE0kT7m/PM2iKPHksegqcG8I4QENnCSIxZqDySlLPJDqhCDDF17OKTEsGFLao+XdKZkXy8ZUO8n5iWP3pL8abyPF7d5V95xeon2lMZaG4SJ1RCdeRKIdwYFnq+FZb4J/X0zjEGJh2fpfpLj4OmXZyaHe93jMYlqMDPxiXSCa5VaiEsDEY4CHGaOwiWWAqvB38oZVFMPm4m3n5kMKPgTM5MjR5l9eC/OPp7AxJM4IFg7hAFkxBl3YNQUI+YFEH760tNHJ/64X/X5RZoJexJFNZiZBEpoX1OKBIVsgivrI98YjEKiHVaBM6LfZurRNPWwmeyb5Qwo+EOK9KX0DMClvji7XHPZz52SaMmNpwqbcUm625SKzCw6k/60KtqFtwycTgaprnn7oD1Avpy2uvhS9oOq9C2calAfj6tLnUodoVmlBBpnEh0no0m+sy9MttvTn3OlXdPSdhpr1VwcVW1n9Fo6ejbcysr/AVBLBwgTd8jRFgsAABc2AAA=</t>
        </r>
      </text>
    </comment>
  </commentList>
</comments>
</file>

<file path=xl/sharedStrings.xml><?xml version="1.0" encoding="utf-8"?>
<sst xmlns="http://schemas.openxmlformats.org/spreadsheetml/2006/main" count="169" uniqueCount="63">
  <si>
    <t>频率</t>
  </si>
  <si>
    <t>周</t>
  </si>
  <si>
    <t>涤纶长丝(FDY)-PTA-MEG价差</t>
  </si>
  <si>
    <t>涤纶长丝(DTY)-PTA-MEG价差</t>
  </si>
  <si>
    <t>单位</t>
    <phoneticPr fontId="2" type="noConversion"/>
  </si>
  <si>
    <t>元/吨</t>
    <phoneticPr fontId="2" type="noConversion"/>
  </si>
  <si>
    <t>指标名称</t>
    <phoneticPr fontId="2" type="noConversion"/>
  </si>
  <si>
    <t>周</t>
    <phoneticPr fontId="2" type="noConversion"/>
  </si>
  <si>
    <t>美元/吨</t>
    <phoneticPr fontId="2" type="noConversion"/>
  </si>
  <si>
    <t>PX-石脑油价差</t>
  </si>
  <si>
    <t>中国化工产品价格指数</t>
    <phoneticPr fontId="2" type="noConversion"/>
  </si>
  <si>
    <t>频率</t>
    <phoneticPr fontId="2" type="noConversion"/>
  </si>
  <si>
    <t>日</t>
    <phoneticPr fontId="2" type="noConversion"/>
  </si>
  <si>
    <t>中国:现货价:尿素(46%)</t>
    <phoneticPr fontId="2" type="noConversion"/>
  </si>
  <si>
    <t>东北亚:现货价(CFR,中间价):乙烯</t>
    <phoneticPr fontId="2" type="noConversion"/>
  </si>
  <si>
    <t>中国:华东港口:库存量:甲醇</t>
    <phoneticPr fontId="2" type="noConversion"/>
  </si>
  <si>
    <t>中国:库存天数:精对苯二甲酸:生产企业</t>
    <phoneticPr fontId="2" type="noConversion"/>
  </si>
  <si>
    <t>中国:库存天数:涤纶长丝(POY):江浙织机</t>
    <phoneticPr fontId="2" type="noConversion"/>
  </si>
  <si>
    <t>中国:库存天数:涤纶长丝(DTY):江浙织机</t>
    <phoneticPr fontId="2" type="noConversion"/>
  </si>
  <si>
    <t>中国:库存天数:涤纶长丝(FDY):江浙织机</t>
    <phoneticPr fontId="2" type="noConversion"/>
  </si>
  <si>
    <t>万吨</t>
    <phoneticPr fontId="2" type="noConversion"/>
  </si>
  <si>
    <t>天</t>
    <phoneticPr fontId="2" type="noConversion"/>
  </si>
  <si>
    <t>中国:开工率:尿素</t>
    <phoneticPr fontId="2" type="noConversion"/>
  </si>
  <si>
    <t>中国:江浙地区:开工率:涤纶长丝</t>
    <phoneticPr fontId="2" type="noConversion"/>
  </si>
  <si>
    <t>中国:江浙地区:开工率:涤纶长丝:下游织机</t>
    <phoneticPr fontId="2" type="noConversion"/>
  </si>
  <si>
    <t>%</t>
    <phoneticPr fontId="2" type="noConversion"/>
  </si>
  <si>
    <t>韩国:现货价(CFR):石脑油</t>
    <phoneticPr fontId="2" type="noConversion"/>
  </si>
  <si>
    <t>中国:主港:现货价:(CFR):对二甲苯</t>
    <phoneticPr fontId="2" type="noConversion"/>
  </si>
  <si>
    <t>中国:华东地区:市场价(主流价):涤纶长丝(POY150D/48F)</t>
    <phoneticPr fontId="2" type="noConversion"/>
  </si>
  <si>
    <t>中国:华东市场:市场价(主流价):精对苯二甲酸</t>
    <phoneticPr fontId="2" type="noConversion"/>
  </si>
  <si>
    <t>中国:华东地区:市场价(主流价):乙二醇</t>
    <phoneticPr fontId="2" type="noConversion"/>
  </si>
  <si>
    <t>中国:华东地区:市场价(主流价):涤纶长丝(DTY150D/48F)</t>
    <phoneticPr fontId="2" type="noConversion"/>
  </si>
  <si>
    <t>中国:华东地区:市场价(主流价):涤纶长丝(FDY150D/96F)</t>
    <phoneticPr fontId="2" type="noConversion"/>
  </si>
  <si>
    <t>指标名称</t>
  </si>
  <si>
    <t>单位</t>
  </si>
  <si>
    <t>美元/吨</t>
  </si>
  <si>
    <t>元/吨</t>
  </si>
  <si>
    <t>中国:华东地区:市场价(平均价):涤纶长丝(DTY150D/48F)</t>
  </si>
  <si>
    <t>点</t>
  </si>
  <si>
    <t>中国:华东港口:库存量:甲醇</t>
  </si>
  <si>
    <t>万吨</t>
  </si>
  <si>
    <t>中国:开工率:尿素</t>
  </si>
  <si>
    <t>中国:江浙地区:开工率:涤纶长丝</t>
  </si>
  <si>
    <t>中国:江浙地区:开工率:涤纶长丝:下游织机</t>
  </si>
  <si>
    <t>%</t>
  </si>
  <si>
    <t>中国:库存天数:涤纶长丝(DTY):江浙织机</t>
  </si>
  <si>
    <t>中国:库存天数:涤纶长丝(FDY):江浙织机</t>
  </si>
  <si>
    <t>天</t>
  </si>
  <si>
    <t>中国化工产品价格指数</t>
  </si>
  <si>
    <t>中国:现货价:尿素(46%)</t>
  </si>
  <si>
    <t>日</t>
  </si>
  <si>
    <t>中国:价格指数:原药:除草剂</t>
    <phoneticPr fontId="2" type="noConversion"/>
  </si>
  <si>
    <t>点</t>
    <phoneticPr fontId="2" type="noConversion"/>
  </si>
  <si>
    <t>中国:华东市场:市场价(主流价):纯碱(重质)</t>
    <phoneticPr fontId="2" type="noConversion"/>
  </si>
  <si>
    <t>中国:华东市场:市场价(主流价):重质纯碱</t>
    <phoneticPr fontId="2" type="noConversion"/>
  </si>
  <si>
    <t>乙烯（RHS）</t>
    <phoneticPr fontId="2" type="noConversion"/>
  </si>
  <si>
    <t>涤纶长丝(POY)-PTA-MEG价差（RHS）</t>
    <phoneticPr fontId="2" type="noConversion"/>
  </si>
  <si>
    <t>中国库存天数:PTA:生产企业（RHS）</t>
    <phoneticPr fontId="2" type="noConversion"/>
  </si>
  <si>
    <t>中国:华东地区:市场价(主流价):涤纶长丝(DTY150D/48F)</t>
  </si>
  <si>
    <t>中国:华东地区:市场价(主流价):涤纶长丝(POY150D/48F)</t>
  </si>
  <si>
    <t>中国:华东市场:市场价(主流价):精对苯二甲酸</t>
  </si>
  <si>
    <t>中国:华东地区:市场价(主流价):乙二醇</t>
  </si>
  <si>
    <t>中国:华东地区:市场价(主流价):涤纶长丝(FDY150D/96F)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</si>
</sst>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76" formatCode="yyyy\-mm\-dd"/>
    <numFmt numFmtId="177" formatCode="#,##0_ "/>
    <numFmt numFmtId="178" formatCode="#,##0.00_ "/>
    <numFmt numFmtId="179" formatCode="yyyy\-mm\-dd;@"/>
    <numFmt numFmtId="180" formatCode="0_);[Red]\(0\)"/>
    <numFmt numFmtId="181" formatCode="0.00_ "/>
    <numFmt numFmtId="182" formatCode="0.00_);[Red]\(0.00\)"/>
    <numFmt numFmtId="183" formatCode="#,##0.0_ "/>
  </numFmts>
  <fonts count="13" x14ac:knownFonts="1">
    <font>
      <sz val="11"/>
      <color theme="1"/>
      <name val="等线"/>
      <family val="2"/>
      <scheme val="minor"/>
    </font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indexed="10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>
      <alignment vertical="center"/>
    </xf>
    <xf numFmtId="0" fontId="7" fillId="0" borderId="0"/>
    <xf numFmtId="9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</cellStyleXfs>
  <cellXfs count="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77" fontId="5" fillId="0" borderId="0" xfId="0" applyNumberFormat="1" applyFont="1" applyAlignment="1">
      <alignment horizontal="center"/>
    </xf>
    <xf numFmtId="179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80" fontId="4" fillId="0" borderId="0" xfId="0" applyNumberFormat="1" applyFont="1" applyAlignment="1">
      <alignment horizontal="center"/>
    </xf>
    <xf numFmtId="178" fontId="0" fillId="0" borderId="0" xfId="0" applyNumberFormat="1" applyAlignment="1">
      <alignment horizontal="right"/>
    </xf>
    <xf numFmtId="0" fontId="7" fillId="0" borderId="0" xfId="2" applyAlignment="1">
      <alignment horizontal="left"/>
    </xf>
    <xf numFmtId="176" fontId="0" fillId="0" borderId="0" xfId="0" applyNumberFormat="1" applyAlignment="1">
      <alignment horizontal="right"/>
    </xf>
    <xf numFmtId="0" fontId="6" fillId="0" borderId="0" xfId="0" applyFont="1" applyAlignment="1">
      <alignment horizontal="left"/>
    </xf>
    <xf numFmtId="0" fontId="8" fillId="0" borderId="0" xfId="2" applyFon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/>
    <xf numFmtId="176" fontId="0" fillId="0" borderId="0" xfId="0" applyNumberFormat="1"/>
    <xf numFmtId="178" fontId="0" fillId="0" borderId="0" xfId="0" applyNumberFormat="1"/>
    <xf numFmtId="0" fontId="3" fillId="0" borderId="0" xfId="2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81" fontId="0" fillId="0" borderId="0" xfId="0" applyNumberFormat="1"/>
    <xf numFmtId="181" fontId="3" fillId="0" borderId="0" xfId="0" applyNumberFormat="1" applyFont="1" applyAlignment="1">
      <alignment horizontal="left"/>
    </xf>
    <xf numFmtId="182" fontId="0" fillId="0" borderId="0" xfId="0" applyNumberFormat="1"/>
    <xf numFmtId="182" fontId="3" fillId="0" borderId="0" xfId="0" applyNumberFormat="1" applyFont="1" applyAlignment="1">
      <alignment horizontal="left"/>
    </xf>
    <xf numFmtId="183" fontId="0" fillId="0" borderId="0" xfId="0" applyNumberFormat="1" applyAlignment="1">
      <alignment horizontal="right"/>
    </xf>
    <xf numFmtId="9" fontId="0" fillId="0" borderId="0" xfId="3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/>
    <xf numFmtId="178" fontId="0" fillId="0" borderId="1" xfId="0" applyNumberFormat="1" applyBorder="1" applyAlignment="1">
      <alignment horizontal="right"/>
    </xf>
    <xf numFmtId="0" fontId="0" fillId="2" borderId="0" xfId="0" applyFill="1"/>
    <xf numFmtId="0" fontId="3" fillId="2" borderId="0" xfId="0" applyFont="1" applyFill="1"/>
    <xf numFmtId="0" fontId="0" fillId="3" borderId="0" xfId="0" applyFill="1" applyAlignment="1">
      <alignment horizontal="center"/>
    </xf>
    <xf numFmtId="178" fontId="0" fillId="0" borderId="0" xfId="3" applyNumberFormat="1" applyFont="1" applyAlignment="1">
      <alignment horizontal="right"/>
    </xf>
    <xf numFmtId="0" fontId="7" fillId="0" borderId="0" xfId="2" applyNumberFormat="1" applyAlignment="1">
      <alignment horizontal="left"/>
    </xf>
    <xf numFmtId="0" fontId="0" fillId="0" borderId="0" xfId="0" applyNumberFormat="1" applyAlignment="1">
      <alignment horizontal="left"/>
    </xf>
    <xf numFmtId="0" fontId="4" fillId="0" borderId="0" xfId="0" applyNumberFormat="1" applyFont="1" applyAlignment="1">
      <alignment horizontal="left"/>
    </xf>
    <xf numFmtId="0" fontId="0" fillId="0" borderId="1" xfId="0" applyNumberFormat="1" applyBorder="1" applyAlignment="1">
      <alignment horizontal="left"/>
    </xf>
    <xf numFmtId="0" fontId="3" fillId="0" borderId="0" xfId="0" applyNumberFormat="1" applyFont="1" applyAlignment="1">
      <alignment horizontal="left"/>
    </xf>
  </cellXfs>
  <cellStyles count="7">
    <cellStyle name="百分比" xfId="3" builtinId="5"/>
    <cellStyle name="百分比 2" xfId="6" xr:uid="{DD68D93A-624C-4C09-A910-73C909A9EEC7}"/>
    <cellStyle name="常规" xfId="0" builtinId="0"/>
    <cellStyle name="常规 2" xfId="1" xr:uid="{7AE68614-7966-4266-B631-D37BE4B52136}"/>
    <cellStyle name="常规 3" xfId="2" xr:uid="{5D627E11-6101-42CB-A94F-ECA3490AFACC}"/>
    <cellStyle name="常规 4" xfId="4" xr:uid="{6679CEBD-79A3-490B-9931-580E8BF3A96D}"/>
    <cellStyle name="千位分隔 2" xfId="5" xr:uid="{73A5E663-1FB1-4416-AD0C-4185BFFCB370}"/>
  </cellStyles>
  <dxfs count="0"/>
  <tableStyles count="0" defaultTableStyle="TableStyleMedium2" defaultPivotStyle="PivotStyleLight16"/>
  <colors>
    <mruColors>
      <color rgb="FF640000"/>
      <color rgb="FF3D88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oftware\Wind\DataBrowse\XLA\WindFunc.xla" TargetMode="External"/><Relationship Id="rId1" Type="http://schemas.openxmlformats.org/officeDocument/2006/relationships/externalLinkPath" Target="file:///D:\Software\Wind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2C3196D-1F31-4932-9517-F5C2F3DD465E}">
  <we:reference id="wa200010215" version="2.0.0.0" store="zh-CN" storeType="OMEX"/>
  <we:alternateReferences>
    <we:reference id="wa200010215" version="2.0.0.0" store="wa200010215" storeType="OMEX"/>
  </we:alternateReferences>
  <we:properties>
    <we:property name="bps.codex_control.document_id" value="&quot;b6c8dcc5-197d-4329-8fbc-90246f6bc42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DB75-CA80-41B4-B848-7BA6A95EA1C9}">
  <dimension ref="B1:U4157"/>
  <sheetViews>
    <sheetView tabSelected="1" zoomScale="70" zoomScaleNormal="70" workbookViewId="0">
      <pane xSplit="2" ySplit="4" topLeftCell="C3099" activePane="bottomRight" state="frozen"/>
      <selection pane="topRight" activeCell="C1" sqref="C1"/>
      <selection pane="bottomLeft" activeCell="A5" sqref="A5"/>
      <selection pane="bottomRight" activeCell="D3124" sqref="D3124"/>
    </sheetView>
  </sheetViews>
  <sheetFormatPr defaultRowHeight="13.9" outlineLevelCol="1" x14ac:dyDescent="0.4"/>
  <cols>
    <col min="2" max="2" width="11.59765625" bestFit="1" customWidth="1"/>
    <col min="3" max="3" width="21.3984375" bestFit="1" customWidth="1"/>
    <col min="4" max="4" width="29.265625" bestFit="1" customWidth="1"/>
    <col min="5" max="5" width="20.3984375" bestFit="1" customWidth="1"/>
    <col min="6" max="6" width="39.46484375" bestFit="1" customWidth="1"/>
    <col min="8" max="8" width="11.59765625" bestFit="1" customWidth="1"/>
    <col min="9" max="9" width="51.1328125" bestFit="1" customWidth="1"/>
    <col min="10" max="10" width="24.73046875" bestFit="1" customWidth="1"/>
    <col min="11" max="11" width="9" customWidth="1"/>
    <col min="12" max="12" width="11.59765625" hidden="1" customWidth="1" outlineLevel="1"/>
    <col min="13" max="13" width="21.3984375" hidden="1" customWidth="1" outlineLevel="1"/>
    <col min="14" max="14" width="29.265625" hidden="1" customWidth="1" outlineLevel="1"/>
    <col min="15" max="15" width="20.3984375" hidden="1" customWidth="1" outlineLevel="1"/>
    <col min="16" max="16" width="35" hidden="1" customWidth="1" outlineLevel="1"/>
    <col min="17" max="17" width="9" hidden="1" customWidth="1" outlineLevel="1"/>
    <col min="18" max="18" width="11.59765625" hidden="1" customWidth="1" outlineLevel="1"/>
    <col min="19" max="19" width="49.59765625" hidden="1" customWidth="1" outlineLevel="1"/>
    <col min="20" max="20" width="24.73046875" hidden="1" customWidth="1" outlineLevel="1"/>
    <col min="21" max="21" width="9.1328125" collapsed="1"/>
  </cols>
  <sheetData>
    <row r="1" spans="2:21" x14ac:dyDescent="0.4">
      <c r="L1" s="15" t="str">
        <f>[1]!edb()</f>
        <v>Wind</v>
      </c>
      <c r="R1" s="15" t="str">
        <f>[1]!edb()</f>
        <v>Wind</v>
      </c>
    </row>
    <row r="2" spans="2:21" x14ac:dyDescent="0.4">
      <c r="B2" s="20"/>
      <c r="C2" s="7" t="s">
        <v>48</v>
      </c>
      <c r="D2" s="7" t="s">
        <v>55</v>
      </c>
      <c r="E2" s="7" t="s">
        <v>49</v>
      </c>
      <c r="F2" s="7" t="s">
        <v>54</v>
      </c>
      <c r="H2" s="20" t="s">
        <v>33</v>
      </c>
      <c r="I2" s="7" t="s">
        <v>37</v>
      </c>
      <c r="J2" s="7" t="s">
        <v>51</v>
      </c>
      <c r="L2" s="37" t="s">
        <v>6</v>
      </c>
      <c r="M2" s="37" t="s">
        <v>10</v>
      </c>
      <c r="N2" s="37" t="s">
        <v>14</v>
      </c>
      <c r="O2" s="37" t="s">
        <v>13</v>
      </c>
      <c r="P2" s="37" t="s">
        <v>53</v>
      </c>
      <c r="Q2" s="1"/>
      <c r="R2" s="37" t="s">
        <v>6</v>
      </c>
      <c r="S2" s="37" t="s">
        <v>31</v>
      </c>
      <c r="T2" s="37" t="s">
        <v>51</v>
      </c>
      <c r="U2" s="14"/>
    </row>
    <row r="3" spans="2:21" x14ac:dyDescent="0.4">
      <c r="C3" s="1" t="s">
        <v>50</v>
      </c>
      <c r="D3" s="1" t="s">
        <v>50</v>
      </c>
      <c r="E3" s="1" t="s">
        <v>50</v>
      </c>
      <c r="F3" s="1" t="s">
        <v>50</v>
      </c>
      <c r="H3" t="s">
        <v>0</v>
      </c>
      <c r="I3" s="1" t="s">
        <v>1</v>
      </c>
      <c r="J3" s="1" t="s">
        <v>1</v>
      </c>
      <c r="L3" s="37" t="s">
        <v>11</v>
      </c>
      <c r="M3" s="37" t="s">
        <v>12</v>
      </c>
      <c r="N3" s="37" t="s">
        <v>12</v>
      </c>
      <c r="O3" s="37" t="s">
        <v>12</v>
      </c>
      <c r="P3" s="37" t="s">
        <v>12</v>
      </c>
      <c r="Q3" s="1"/>
      <c r="R3" s="37" t="s">
        <v>11</v>
      </c>
      <c r="S3" s="37" t="s">
        <v>7</v>
      </c>
      <c r="T3" s="37" t="s">
        <v>7</v>
      </c>
      <c r="U3" s="14"/>
    </row>
    <row r="4" spans="2:21" x14ac:dyDescent="0.4">
      <c r="C4" s="1"/>
      <c r="D4" s="1" t="s">
        <v>35</v>
      </c>
      <c r="E4" s="1" t="s">
        <v>36</v>
      </c>
      <c r="F4" s="1" t="s">
        <v>36</v>
      </c>
      <c r="H4" t="s">
        <v>34</v>
      </c>
      <c r="I4" s="1" t="s">
        <v>36</v>
      </c>
      <c r="J4" s="1" t="s">
        <v>38</v>
      </c>
      <c r="L4" s="37" t="s">
        <v>4</v>
      </c>
      <c r="M4" s="37"/>
      <c r="N4" s="37" t="s">
        <v>8</v>
      </c>
      <c r="O4" s="37" t="s">
        <v>5</v>
      </c>
      <c r="P4" s="37" t="s">
        <v>5</v>
      </c>
      <c r="Q4" s="1"/>
      <c r="R4" s="37" t="s">
        <v>4</v>
      </c>
      <c r="S4" s="37" t="s">
        <v>5</v>
      </c>
      <c r="T4" s="37" t="s">
        <v>52</v>
      </c>
      <c r="U4" s="14"/>
    </row>
    <row r="5" spans="2:21" x14ac:dyDescent="0.4">
      <c r="B5" s="16">
        <f>L5</f>
        <v>42006</v>
      </c>
      <c r="C5" s="1"/>
      <c r="D5" s="1">
        <f>IF(N5&lt;&gt;0,N5,D4)</f>
        <v>930</v>
      </c>
      <c r="E5" s="1"/>
      <c r="F5" s="1"/>
      <c r="H5" s="16">
        <f>R5</f>
        <v>42105</v>
      </c>
      <c r="I5" s="29">
        <f>IF(S5&lt;&gt;0,S5,I4)</f>
        <v>9062.5</v>
      </c>
      <c r="J5" s="34">
        <v>82.52</v>
      </c>
      <c r="L5" s="11">
        <v>42006</v>
      </c>
      <c r="M5" s="9">
        <v>0</v>
      </c>
      <c r="N5" s="9">
        <v>930</v>
      </c>
      <c r="O5" s="9">
        <v>0</v>
      </c>
      <c r="P5" s="9">
        <v>0</v>
      </c>
      <c r="R5" s="11">
        <v>42105</v>
      </c>
      <c r="S5" s="9">
        <v>9062.5</v>
      </c>
      <c r="T5" s="9">
        <v>0</v>
      </c>
      <c r="U5" s="9"/>
    </row>
    <row r="6" spans="2:21" x14ac:dyDescent="0.4">
      <c r="B6" s="16">
        <f t="shared" ref="B6:B69" si="0">L6</f>
        <v>42008</v>
      </c>
      <c r="C6" s="1">
        <f>IF(M6&lt;&gt;0,M6,C5)</f>
        <v>4125</v>
      </c>
      <c r="D6" s="1">
        <f>IF(N6&lt;&gt;0,N6,D5)</f>
        <v>930</v>
      </c>
      <c r="E6" s="1">
        <f>IF(O6&lt;&gt;0,O6,E5)</f>
        <v>1530</v>
      </c>
      <c r="F6" s="1"/>
      <c r="H6" s="16">
        <f t="shared" ref="H6:H69" si="1">R6</f>
        <v>42112</v>
      </c>
      <c r="I6" s="29">
        <f t="shared" ref="I6:I69" si="2">IF(S6&lt;&gt;0,S6,I5)</f>
        <v>9520</v>
      </c>
      <c r="J6" s="34">
        <f t="shared" ref="J6:J69" si="3">IF(T6&lt;&gt;0,T6,J5)</f>
        <v>82.52</v>
      </c>
      <c r="L6" s="11">
        <v>42008</v>
      </c>
      <c r="M6" s="9">
        <v>4125</v>
      </c>
      <c r="N6" s="9">
        <v>0</v>
      </c>
      <c r="O6" s="9">
        <v>1530</v>
      </c>
      <c r="P6" s="9">
        <v>0</v>
      </c>
      <c r="R6" s="11">
        <v>42112</v>
      </c>
      <c r="S6" s="9">
        <v>9520</v>
      </c>
      <c r="T6" s="9">
        <v>0</v>
      </c>
      <c r="U6" s="9"/>
    </row>
    <row r="7" spans="2:21" x14ac:dyDescent="0.4">
      <c r="B7" s="16">
        <f t="shared" si="0"/>
        <v>42009</v>
      </c>
      <c r="C7" s="1">
        <f t="shared" ref="C7:C70" si="4">IF(M7&lt;&gt;0,M7,C6)</f>
        <v>4104</v>
      </c>
      <c r="D7" s="1">
        <f t="shared" ref="D7:D70" si="5">IF(N7&lt;&gt;0,N7,D6)</f>
        <v>925</v>
      </c>
      <c r="E7" s="1">
        <f t="shared" ref="E7:E70" si="6">IF(O7&lt;&gt;0,O7,E6)</f>
        <v>1535</v>
      </c>
      <c r="F7" s="1"/>
      <c r="H7" s="16">
        <f t="shared" si="1"/>
        <v>42119</v>
      </c>
      <c r="I7" s="29">
        <f t="shared" si="2"/>
        <v>9950</v>
      </c>
      <c r="J7" s="34">
        <f t="shared" si="3"/>
        <v>82.52</v>
      </c>
      <c r="L7" s="11">
        <v>42009</v>
      </c>
      <c r="M7" s="9">
        <v>4104</v>
      </c>
      <c r="N7" s="9">
        <v>925</v>
      </c>
      <c r="O7" s="9">
        <v>1535</v>
      </c>
      <c r="P7" s="9">
        <v>0</v>
      </c>
      <c r="R7" s="11">
        <v>42119</v>
      </c>
      <c r="S7" s="9">
        <v>9950</v>
      </c>
      <c r="T7" s="9">
        <v>0</v>
      </c>
      <c r="U7" s="9"/>
    </row>
    <row r="8" spans="2:21" x14ac:dyDescent="0.4">
      <c r="B8" s="16">
        <f t="shared" si="0"/>
        <v>42010</v>
      </c>
      <c r="C8" s="1">
        <f t="shared" si="4"/>
        <v>4062</v>
      </c>
      <c r="D8" s="1">
        <f t="shared" si="5"/>
        <v>925</v>
      </c>
      <c r="E8" s="1">
        <f t="shared" si="6"/>
        <v>1535</v>
      </c>
      <c r="F8" s="1"/>
      <c r="H8" s="16">
        <f t="shared" si="1"/>
        <v>42126</v>
      </c>
      <c r="I8" s="29">
        <f t="shared" si="2"/>
        <v>10200</v>
      </c>
      <c r="J8" s="34">
        <f t="shared" si="3"/>
        <v>82.52</v>
      </c>
      <c r="L8" s="11">
        <v>42010</v>
      </c>
      <c r="M8" s="9">
        <v>4062</v>
      </c>
      <c r="N8" s="9">
        <v>925</v>
      </c>
      <c r="O8" s="9">
        <v>1535</v>
      </c>
      <c r="P8" s="9">
        <v>0</v>
      </c>
      <c r="R8" s="11">
        <v>42126</v>
      </c>
      <c r="S8" s="9">
        <v>10200</v>
      </c>
      <c r="T8" s="9">
        <v>0</v>
      </c>
      <c r="U8" s="9"/>
    </row>
    <row r="9" spans="2:21" x14ac:dyDescent="0.4">
      <c r="B9" s="16">
        <f t="shared" si="0"/>
        <v>42011</v>
      </c>
      <c r="C9" s="1">
        <f t="shared" si="4"/>
        <v>4047</v>
      </c>
      <c r="D9" s="1">
        <f t="shared" si="5"/>
        <v>900</v>
      </c>
      <c r="E9" s="1">
        <f t="shared" si="6"/>
        <v>1540</v>
      </c>
      <c r="F9" s="1"/>
      <c r="H9" s="16">
        <f t="shared" si="1"/>
        <v>42133</v>
      </c>
      <c r="I9" s="29">
        <f t="shared" si="2"/>
        <v>10200</v>
      </c>
      <c r="J9" s="34">
        <f t="shared" si="3"/>
        <v>82.52</v>
      </c>
      <c r="L9" s="11">
        <v>42011</v>
      </c>
      <c r="M9" s="9">
        <v>4047</v>
      </c>
      <c r="N9" s="9">
        <v>900</v>
      </c>
      <c r="O9" s="9">
        <v>1540</v>
      </c>
      <c r="P9" s="9">
        <v>0</v>
      </c>
      <c r="R9" s="11">
        <v>42133</v>
      </c>
      <c r="S9" s="9">
        <v>10200</v>
      </c>
      <c r="T9" s="9">
        <v>0</v>
      </c>
      <c r="U9" s="9"/>
    </row>
    <row r="10" spans="2:21" x14ac:dyDescent="0.4">
      <c r="B10" s="16">
        <f t="shared" si="0"/>
        <v>42012</v>
      </c>
      <c r="C10" s="1">
        <f t="shared" si="4"/>
        <v>4011</v>
      </c>
      <c r="D10" s="1">
        <f t="shared" si="5"/>
        <v>900</v>
      </c>
      <c r="E10" s="1">
        <f t="shared" si="6"/>
        <v>1540</v>
      </c>
      <c r="F10" s="1"/>
      <c r="H10" s="16">
        <f t="shared" si="1"/>
        <v>42140</v>
      </c>
      <c r="I10" s="29">
        <f t="shared" si="2"/>
        <v>10065</v>
      </c>
      <c r="J10" s="34">
        <f t="shared" si="3"/>
        <v>82.52</v>
      </c>
      <c r="L10" s="11">
        <v>42012</v>
      </c>
      <c r="M10" s="9">
        <v>4011</v>
      </c>
      <c r="N10" s="9">
        <v>900</v>
      </c>
      <c r="O10" s="9">
        <v>1540</v>
      </c>
      <c r="P10" s="9">
        <v>0</v>
      </c>
      <c r="R10" s="11">
        <v>42140</v>
      </c>
      <c r="S10" s="9">
        <v>10065</v>
      </c>
      <c r="T10" s="9">
        <v>0</v>
      </c>
      <c r="U10" s="9"/>
    </row>
    <row r="11" spans="2:21" x14ac:dyDescent="0.4">
      <c r="B11" s="16">
        <f t="shared" si="0"/>
        <v>42013</v>
      </c>
      <c r="C11" s="1">
        <f t="shared" si="4"/>
        <v>4000</v>
      </c>
      <c r="D11" s="1">
        <f t="shared" si="5"/>
        <v>920</v>
      </c>
      <c r="E11" s="1">
        <f t="shared" si="6"/>
        <v>1545</v>
      </c>
      <c r="F11" s="1"/>
      <c r="H11" s="16">
        <f t="shared" si="1"/>
        <v>42147</v>
      </c>
      <c r="I11" s="29">
        <f t="shared" si="2"/>
        <v>9690</v>
      </c>
      <c r="J11" s="34">
        <f t="shared" si="3"/>
        <v>82.52</v>
      </c>
      <c r="L11" s="11">
        <v>42013</v>
      </c>
      <c r="M11" s="9">
        <v>4000</v>
      </c>
      <c r="N11" s="9">
        <v>920</v>
      </c>
      <c r="O11" s="9">
        <v>1545</v>
      </c>
      <c r="P11" s="9">
        <v>0</v>
      </c>
      <c r="R11" s="11">
        <v>42147</v>
      </c>
      <c r="S11" s="9">
        <v>9690</v>
      </c>
      <c r="T11" s="9">
        <v>0</v>
      </c>
      <c r="U11" s="9"/>
    </row>
    <row r="12" spans="2:21" x14ac:dyDescent="0.4">
      <c r="B12" s="16">
        <f t="shared" si="0"/>
        <v>42016</v>
      </c>
      <c r="C12" s="1">
        <f t="shared" si="4"/>
        <v>3981</v>
      </c>
      <c r="D12" s="1">
        <f t="shared" si="5"/>
        <v>920</v>
      </c>
      <c r="E12" s="1">
        <f t="shared" si="6"/>
        <v>1545</v>
      </c>
      <c r="F12" s="1"/>
      <c r="H12" s="16">
        <f t="shared" si="1"/>
        <v>42154</v>
      </c>
      <c r="I12" s="29">
        <f t="shared" si="2"/>
        <v>9330</v>
      </c>
      <c r="J12" s="34">
        <f t="shared" si="3"/>
        <v>82.52</v>
      </c>
      <c r="L12" s="11">
        <v>42016</v>
      </c>
      <c r="M12" s="9">
        <v>3981</v>
      </c>
      <c r="N12" s="9">
        <v>920</v>
      </c>
      <c r="O12" s="9">
        <v>1545</v>
      </c>
      <c r="P12" s="9">
        <v>0</v>
      </c>
      <c r="R12" s="11">
        <v>42154</v>
      </c>
      <c r="S12" s="9">
        <v>9330</v>
      </c>
      <c r="T12" s="9">
        <v>0</v>
      </c>
      <c r="U12" s="9"/>
    </row>
    <row r="13" spans="2:21" x14ac:dyDescent="0.4">
      <c r="B13" s="16">
        <f t="shared" si="0"/>
        <v>42017</v>
      </c>
      <c r="C13" s="1">
        <f t="shared" si="4"/>
        <v>3947</v>
      </c>
      <c r="D13" s="1">
        <f t="shared" si="5"/>
        <v>910</v>
      </c>
      <c r="E13" s="1">
        <f t="shared" si="6"/>
        <v>1530</v>
      </c>
      <c r="F13" s="1"/>
      <c r="H13" s="16">
        <f t="shared" si="1"/>
        <v>42161</v>
      </c>
      <c r="I13" s="29">
        <f t="shared" si="2"/>
        <v>9220</v>
      </c>
      <c r="J13" s="34">
        <f t="shared" si="3"/>
        <v>82.52</v>
      </c>
      <c r="L13" s="11">
        <v>42017</v>
      </c>
      <c r="M13" s="9">
        <v>3947</v>
      </c>
      <c r="N13" s="9">
        <v>910</v>
      </c>
      <c r="O13" s="9">
        <v>1530</v>
      </c>
      <c r="P13" s="9">
        <v>0</v>
      </c>
      <c r="R13" s="11">
        <v>42161</v>
      </c>
      <c r="S13" s="9">
        <v>9220</v>
      </c>
      <c r="T13" s="9">
        <v>0</v>
      </c>
      <c r="U13" s="9"/>
    </row>
    <row r="14" spans="2:21" x14ac:dyDescent="0.4">
      <c r="B14" s="16">
        <f t="shared" si="0"/>
        <v>42018</v>
      </c>
      <c r="C14" s="1">
        <f t="shared" si="4"/>
        <v>3930</v>
      </c>
      <c r="D14" s="1">
        <f t="shared" si="5"/>
        <v>910</v>
      </c>
      <c r="E14" s="1">
        <f t="shared" si="6"/>
        <v>1530</v>
      </c>
      <c r="F14" s="1"/>
      <c r="H14" s="16">
        <f t="shared" si="1"/>
        <v>42168</v>
      </c>
      <c r="I14" s="29">
        <f t="shared" si="2"/>
        <v>9126</v>
      </c>
      <c r="J14" s="34">
        <f t="shared" si="3"/>
        <v>82.52</v>
      </c>
      <c r="L14" s="11">
        <v>42018</v>
      </c>
      <c r="M14" s="9">
        <v>3930</v>
      </c>
      <c r="N14" s="9">
        <v>910</v>
      </c>
      <c r="O14" s="9">
        <v>1530</v>
      </c>
      <c r="P14" s="9">
        <v>0</v>
      </c>
      <c r="R14" s="11">
        <v>42168</v>
      </c>
      <c r="S14" s="9">
        <v>9126</v>
      </c>
      <c r="T14" s="9">
        <v>0</v>
      </c>
      <c r="U14" s="9"/>
    </row>
    <row r="15" spans="2:21" x14ac:dyDescent="0.4">
      <c r="B15" s="16">
        <f t="shared" si="0"/>
        <v>42019</v>
      </c>
      <c r="C15" s="1">
        <f t="shared" si="4"/>
        <v>3952</v>
      </c>
      <c r="D15" s="1">
        <f t="shared" si="5"/>
        <v>920</v>
      </c>
      <c r="E15" s="1">
        <f t="shared" si="6"/>
        <v>1530</v>
      </c>
      <c r="F15" s="1"/>
      <c r="H15" s="16">
        <f t="shared" si="1"/>
        <v>42175</v>
      </c>
      <c r="I15" s="29">
        <f t="shared" si="2"/>
        <v>9100</v>
      </c>
      <c r="J15" s="34">
        <f t="shared" si="3"/>
        <v>82.52</v>
      </c>
      <c r="L15" s="11">
        <v>42019</v>
      </c>
      <c r="M15" s="9">
        <v>3952</v>
      </c>
      <c r="N15" s="9">
        <v>920</v>
      </c>
      <c r="O15" s="9">
        <v>1530</v>
      </c>
      <c r="P15" s="9">
        <v>0</v>
      </c>
      <c r="R15" s="11">
        <v>42175</v>
      </c>
      <c r="S15" s="9">
        <v>9100</v>
      </c>
      <c r="T15" s="9">
        <v>0</v>
      </c>
      <c r="U15" s="9"/>
    </row>
    <row r="16" spans="2:21" x14ac:dyDescent="0.4">
      <c r="B16" s="16">
        <f t="shared" si="0"/>
        <v>42020</v>
      </c>
      <c r="C16" s="1">
        <f t="shared" si="4"/>
        <v>3949</v>
      </c>
      <c r="D16" s="1">
        <f t="shared" si="5"/>
        <v>920</v>
      </c>
      <c r="E16" s="1">
        <f t="shared" si="6"/>
        <v>1530</v>
      </c>
      <c r="F16" s="1"/>
      <c r="H16" s="16">
        <f t="shared" si="1"/>
        <v>42182</v>
      </c>
      <c r="I16" s="29">
        <f t="shared" si="2"/>
        <v>8972.5</v>
      </c>
      <c r="J16" s="34">
        <f t="shared" si="3"/>
        <v>82.52</v>
      </c>
      <c r="L16" s="11">
        <v>42020</v>
      </c>
      <c r="M16" s="9">
        <v>3949</v>
      </c>
      <c r="N16" s="9">
        <v>920</v>
      </c>
      <c r="O16" s="9">
        <v>1530</v>
      </c>
      <c r="P16" s="9">
        <v>0</v>
      </c>
      <c r="R16" s="11">
        <v>42182</v>
      </c>
      <c r="S16" s="9">
        <v>8972.5</v>
      </c>
      <c r="T16" s="9">
        <v>0</v>
      </c>
      <c r="U16" s="9"/>
    </row>
    <row r="17" spans="2:21" x14ac:dyDescent="0.4">
      <c r="B17" s="16">
        <f t="shared" si="0"/>
        <v>42023</v>
      </c>
      <c r="C17" s="1">
        <f t="shared" si="4"/>
        <v>3967</v>
      </c>
      <c r="D17" s="1">
        <f t="shared" si="5"/>
        <v>920</v>
      </c>
      <c r="E17" s="1">
        <f t="shared" si="6"/>
        <v>1530</v>
      </c>
      <c r="F17" s="1"/>
      <c r="H17" s="16">
        <f t="shared" si="1"/>
        <v>42189</v>
      </c>
      <c r="I17" s="29">
        <f t="shared" si="2"/>
        <v>8922</v>
      </c>
      <c r="J17" s="34">
        <f t="shared" si="3"/>
        <v>82.52</v>
      </c>
      <c r="L17" s="11">
        <v>42023</v>
      </c>
      <c r="M17" s="9">
        <v>3967</v>
      </c>
      <c r="N17" s="9">
        <v>920</v>
      </c>
      <c r="O17" s="9">
        <v>1530</v>
      </c>
      <c r="P17" s="9">
        <v>0</v>
      </c>
      <c r="R17" s="11">
        <v>42189</v>
      </c>
      <c r="S17" s="9">
        <v>8922</v>
      </c>
      <c r="T17" s="9">
        <v>0</v>
      </c>
      <c r="U17" s="9"/>
    </row>
    <row r="18" spans="2:21" x14ac:dyDescent="0.4">
      <c r="B18" s="16">
        <f t="shared" si="0"/>
        <v>42024</v>
      </c>
      <c r="C18" s="1">
        <f t="shared" si="4"/>
        <v>3980</v>
      </c>
      <c r="D18" s="1">
        <f t="shared" si="5"/>
        <v>920</v>
      </c>
      <c r="E18" s="1">
        <f t="shared" si="6"/>
        <v>1530</v>
      </c>
      <c r="F18" s="1"/>
      <c r="H18" s="16">
        <f t="shared" si="1"/>
        <v>42196</v>
      </c>
      <c r="I18" s="29">
        <f t="shared" si="2"/>
        <v>8884</v>
      </c>
      <c r="J18" s="34">
        <f t="shared" si="3"/>
        <v>82.52</v>
      </c>
      <c r="L18" s="11">
        <v>42024</v>
      </c>
      <c r="M18" s="9">
        <v>3980</v>
      </c>
      <c r="N18" s="9">
        <v>920</v>
      </c>
      <c r="O18" s="9">
        <v>1530</v>
      </c>
      <c r="P18" s="9">
        <v>0</v>
      </c>
      <c r="R18" s="11">
        <v>42196</v>
      </c>
      <c r="S18" s="9">
        <v>8884</v>
      </c>
      <c r="T18" s="9">
        <v>0</v>
      </c>
      <c r="U18" s="9"/>
    </row>
    <row r="19" spans="2:21" x14ac:dyDescent="0.4">
      <c r="B19" s="16">
        <f t="shared" si="0"/>
        <v>42025</v>
      </c>
      <c r="C19" s="1">
        <f t="shared" si="4"/>
        <v>3976</v>
      </c>
      <c r="D19" s="1">
        <f t="shared" si="5"/>
        <v>920</v>
      </c>
      <c r="E19" s="1">
        <f t="shared" si="6"/>
        <v>1530</v>
      </c>
      <c r="F19" s="1"/>
      <c r="H19" s="16">
        <f t="shared" si="1"/>
        <v>42203</v>
      </c>
      <c r="I19" s="29">
        <f t="shared" si="2"/>
        <v>8750</v>
      </c>
      <c r="J19" s="34">
        <f t="shared" si="3"/>
        <v>82.52</v>
      </c>
      <c r="L19" s="11">
        <v>42025</v>
      </c>
      <c r="M19" s="9">
        <v>3976</v>
      </c>
      <c r="N19" s="9">
        <v>920</v>
      </c>
      <c r="O19" s="9">
        <v>1530</v>
      </c>
      <c r="P19" s="9">
        <v>0</v>
      </c>
      <c r="R19" s="11">
        <v>42203</v>
      </c>
      <c r="S19" s="9">
        <v>8750</v>
      </c>
      <c r="T19" s="9">
        <v>0</v>
      </c>
      <c r="U19" s="9"/>
    </row>
    <row r="20" spans="2:21" x14ac:dyDescent="0.4">
      <c r="B20" s="16">
        <f t="shared" si="0"/>
        <v>42026</v>
      </c>
      <c r="C20" s="1">
        <f t="shared" si="4"/>
        <v>3985</v>
      </c>
      <c r="D20" s="1">
        <f t="shared" si="5"/>
        <v>920</v>
      </c>
      <c r="E20" s="1">
        <f t="shared" si="6"/>
        <v>1540</v>
      </c>
      <c r="F20" s="1"/>
      <c r="H20" s="16">
        <f t="shared" si="1"/>
        <v>42210</v>
      </c>
      <c r="I20" s="29">
        <f t="shared" si="2"/>
        <v>8656</v>
      </c>
      <c r="J20" s="34">
        <f t="shared" si="3"/>
        <v>82.52</v>
      </c>
      <c r="L20" s="11">
        <v>42026</v>
      </c>
      <c r="M20" s="9">
        <v>3985</v>
      </c>
      <c r="N20" s="9">
        <v>920</v>
      </c>
      <c r="O20" s="9">
        <v>1540</v>
      </c>
      <c r="P20" s="9">
        <v>0</v>
      </c>
      <c r="R20" s="11">
        <v>42210</v>
      </c>
      <c r="S20" s="9">
        <v>8656</v>
      </c>
      <c r="T20" s="9">
        <v>0</v>
      </c>
      <c r="U20" s="9"/>
    </row>
    <row r="21" spans="2:21" x14ac:dyDescent="0.4">
      <c r="B21" s="16">
        <f t="shared" si="0"/>
        <v>42027</v>
      </c>
      <c r="C21" s="1">
        <f t="shared" si="4"/>
        <v>3985</v>
      </c>
      <c r="D21" s="1">
        <f t="shared" si="5"/>
        <v>900</v>
      </c>
      <c r="E21" s="1">
        <f t="shared" si="6"/>
        <v>1540</v>
      </c>
      <c r="F21" s="1"/>
      <c r="H21" s="16">
        <f t="shared" si="1"/>
        <v>42217</v>
      </c>
      <c r="I21" s="29">
        <f t="shared" si="2"/>
        <v>8460</v>
      </c>
      <c r="J21" s="34">
        <f t="shared" si="3"/>
        <v>82.52</v>
      </c>
      <c r="L21" s="11">
        <v>42027</v>
      </c>
      <c r="M21" s="9">
        <v>3985</v>
      </c>
      <c r="N21" s="9">
        <v>900</v>
      </c>
      <c r="O21" s="9">
        <v>1540</v>
      </c>
      <c r="P21" s="9">
        <v>0</v>
      </c>
      <c r="R21" s="11">
        <v>42217</v>
      </c>
      <c r="S21" s="9">
        <v>8460</v>
      </c>
      <c r="T21" s="9">
        <v>0</v>
      </c>
      <c r="U21" s="9"/>
    </row>
    <row r="22" spans="2:21" x14ac:dyDescent="0.4">
      <c r="B22" s="16">
        <f t="shared" si="0"/>
        <v>42030</v>
      </c>
      <c r="C22" s="1">
        <f t="shared" si="4"/>
        <v>3966</v>
      </c>
      <c r="D22" s="1">
        <f t="shared" si="5"/>
        <v>880</v>
      </c>
      <c r="E22" s="1">
        <f t="shared" si="6"/>
        <v>1540</v>
      </c>
      <c r="F22" s="1"/>
      <c r="H22" s="16">
        <f t="shared" si="1"/>
        <v>42224</v>
      </c>
      <c r="I22" s="29">
        <f t="shared" si="2"/>
        <v>8440</v>
      </c>
      <c r="J22" s="34">
        <f t="shared" si="3"/>
        <v>82.52</v>
      </c>
      <c r="L22" s="11">
        <v>42030</v>
      </c>
      <c r="M22" s="9">
        <v>3966</v>
      </c>
      <c r="N22" s="9">
        <v>880</v>
      </c>
      <c r="O22" s="9">
        <v>1540</v>
      </c>
      <c r="P22" s="9">
        <v>0</v>
      </c>
      <c r="R22" s="11">
        <v>42224</v>
      </c>
      <c r="S22" s="9">
        <v>8440</v>
      </c>
      <c r="T22" s="9">
        <v>0</v>
      </c>
      <c r="U22" s="9"/>
    </row>
    <row r="23" spans="2:21" x14ac:dyDescent="0.4">
      <c r="B23" s="16">
        <f t="shared" si="0"/>
        <v>42031</v>
      </c>
      <c r="C23" s="1">
        <f t="shared" si="4"/>
        <v>3951</v>
      </c>
      <c r="D23" s="1">
        <f t="shared" si="5"/>
        <v>870</v>
      </c>
      <c r="E23" s="1">
        <f t="shared" si="6"/>
        <v>1550</v>
      </c>
      <c r="F23" s="1"/>
      <c r="H23" s="16">
        <f t="shared" si="1"/>
        <v>42231</v>
      </c>
      <c r="I23" s="29">
        <f t="shared" si="2"/>
        <v>8370</v>
      </c>
      <c r="J23" s="34">
        <f t="shared" si="3"/>
        <v>82.52</v>
      </c>
      <c r="L23" s="11">
        <v>42031</v>
      </c>
      <c r="M23" s="9">
        <v>3951</v>
      </c>
      <c r="N23" s="9">
        <v>870</v>
      </c>
      <c r="O23" s="9">
        <v>1550</v>
      </c>
      <c r="P23" s="9">
        <v>0</v>
      </c>
      <c r="R23" s="11">
        <v>42231</v>
      </c>
      <c r="S23" s="9">
        <v>8370</v>
      </c>
      <c r="T23" s="9">
        <v>0</v>
      </c>
      <c r="U23" s="9"/>
    </row>
    <row r="24" spans="2:21" x14ac:dyDescent="0.4">
      <c r="B24" s="16">
        <f t="shared" si="0"/>
        <v>42032</v>
      </c>
      <c r="C24" s="1">
        <f t="shared" si="4"/>
        <v>3938</v>
      </c>
      <c r="D24" s="1">
        <f t="shared" si="5"/>
        <v>870</v>
      </c>
      <c r="E24" s="1">
        <f t="shared" si="6"/>
        <v>1550</v>
      </c>
      <c r="F24" s="1"/>
      <c r="H24" s="16">
        <f t="shared" si="1"/>
        <v>42238</v>
      </c>
      <c r="I24" s="29">
        <f t="shared" si="2"/>
        <v>8560</v>
      </c>
      <c r="J24" s="34">
        <f t="shared" si="3"/>
        <v>82.52</v>
      </c>
      <c r="L24" s="11">
        <v>42032</v>
      </c>
      <c r="M24" s="9">
        <v>3938</v>
      </c>
      <c r="N24" s="9">
        <v>870</v>
      </c>
      <c r="O24" s="9">
        <v>1550</v>
      </c>
      <c r="P24" s="9">
        <v>0</v>
      </c>
      <c r="R24" s="11">
        <v>42238</v>
      </c>
      <c r="S24" s="9">
        <v>8560</v>
      </c>
      <c r="T24" s="9">
        <v>0</v>
      </c>
      <c r="U24" s="9"/>
    </row>
    <row r="25" spans="2:21" x14ac:dyDescent="0.4">
      <c r="B25" s="16">
        <f t="shared" si="0"/>
        <v>42033</v>
      </c>
      <c r="C25" s="1">
        <f t="shared" si="4"/>
        <v>3938</v>
      </c>
      <c r="D25" s="1">
        <f t="shared" si="5"/>
        <v>870</v>
      </c>
      <c r="E25" s="1">
        <f t="shared" si="6"/>
        <v>1550</v>
      </c>
      <c r="F25" s="1"/>
      <c r="H25" s="16">
        <f t="shared" si="1"/>
        <v>42245</v>
      </c>
      <c r="I25" s="29">
        <f t="shared" si="2"/>
        <v>8470</v>
      </c>
      <c r="J25" s="34">
        <f t="shared" si="3"/>
        <v>82.52</v>
      </c>
      <c r="L25" s="11">
        <v>42033</v>
      </c>
      <c r="M25" s="9">
        <v>3938</v>
      </c>
      <c r="N25" s="9">
        <v>870</v>
      </c>
      <c r="O25" s="9">
        <v>1550</v>
      </c>
      <c r="P25" s="9">
        <v>0</v>
      </c>
      <c r="R25" s="11">
        <v>42245</v>
      </c>
      <c r="S25" s="9">
        <v>8470</v>
      </c>
      <c r="T25" s="9">
        <v>0</v>
      </c>
      <c r="U25" s="9"/>
    </row>
    <row r="26" spans="2:21" x14ac:dyDescent="0.4">
      <c r="B26" s="16">
        <f t="shared" si="0"/>
        <v>42034</v>
      </c>
      <c r="C26" s="1">
        <f t="shared" si="4"/>
        <v>3927</v>
      </c>
      <c r="D26" s="1">
        <f t="shared" si="5"/>
        <v>870</v>
      </c>
      <c r="E26" s="1">
        <f t="shared" si="6"/>
        <v>1550</v>
      </c>
      <c r="F26" s="1"/>
      <c r="H26" s="16">
        <f t="shared" si="1"/>
        <v>42252</v>
      </c>
      <c r="I26" s="29">
        <f t="shared" si="2"/>
        <v>8666.6666666666661</v>
      </c>
      <c r="J26" s="34">
        <f t="shared" si="3"/>
        <v>82.52</v>
      </c>
      <c r="L26" s="11">
        <v>42034</v>
      </c>
      <c r="M26" s="9">
        <v>3927</v>
      </c>
      <c r="N26" s="9">
        <v>870</v>
      </c>
      <c r="O26" s="9">
        <v>1550</v>
      </c>
      <c r="P26" s="9">
        <v>0</v>
      </c>
      <c r="R26" s="11">
        <v>42252</v>
      </c>
      <c r="S26" s="9">
        <v>8666.6666666666661</v>
      </c>
      <c r="T26" s="9">
        <v>0</v>
      </c>
      <c r="U26" s="9"/>
    </row>
    <row r="27" spans="2:21" x14ac:dyDescent="0.4">
      <c r="B27" s="16">
        <f t="shared" si="0"/>
        <v>42037</v>
      </c>
      <c r="C27" s="1">
        <f t="shared" si="4"/>
        <v>3929</v>
      </c>
      <c r="D27" s="1">
        <f t="shared" si="5"/>
        <v>870</v>
      </c>
      <c r="E27" s="1">
        <f t="shared" si="6"/>
        <v>1550</v>
      </c>
      <c r="F27" s="1"/>
      <c r="H27" s="16">
        <f t="shared" si="1"/>
        <v>42259</v>
      </c>
      <c r="I27" s="29">
        <f t="shared" si="2"/>
        <v>8700</v>
      </c>
      <c r="J27" s="34">
        <f t="shared" si="3"/>
        <v>82.52</v>
      </c>
      <c r="L27" s="11">
        <v>42037</v>
      </c>
      <c r="M27" s="9">
        <v>3929</v>
      </c>
      <c r="N27" s="9">
        <v>870</v>
      </c>
      <c r="O27" s="9">
        <v>1550</v>
      </c>
      <c r="P27" s="9">
        <v>0</v>
      </c>
      <c r="R27" s="11">
        <v>42259</v>
      </c>
      <c r="S27" s="9">
        <v>8700</v>
      </c>
      <c r="T27" s="9">
        <v>0</v>
      </c>
      <c r="U27" s="9"/>
    </row>
    <row r="28" spans="2:21" x14ac:dyDescent="0.4">
      <c r="B28" s="16">
        <f t="shared" si="0"/>
        <v>42038</v>
      </c>
      <c r="C28" s="1">
        <f t="shared" si="4"/>
        <v>3952</v>
      </c>
      <c r="D28" s="1">
        <f t="shared" si="5"/>
        <v>870</v>
      </c>
      <c r="E28" s="1">
        <f t="shared" si="6"/>
        <v>1560</v>
      </c>
      <c r="F28" s="1"/>
      <c r="H28" s="16">
        <f t="shared" si="1"/>
        <v>42266</v>
      </c>
      <c r="I28" s="29">
        <f t="shared" si="2"/>
        <v>8530</v>
      </c>
      <c r="J28" s="34">
        <f t="shared" si="3"/>
        <v>82.52</v>
      </c>
      <c r="L28" s="11">
        <v>42038</v>
      </c>
      <c r="M28" s="9">
        <v>3952</v>
      </c>
      <c r="N28" s="9">
        <v>870</v>
      </c>
      <c r="O28" s="9">
        <v>1560</v>
      </c>
      <c r="P28" s="9">
        <v>0</v>
      </c>
      <c r="R28" s="11">
        <v>42266</v>
      </c>
      <c r="S28" s="9">
        <v>8530</v>
      </c>
      <c r="T28" s="9">
        <v>0</v>
      </c>
      <c r="U28" s="9"/>
    </row>
    <row r="29" spans="2:21" x14ac:dyDescent="0.4">
      <c r="B29" s="16">
        <f t="shared" si="0"/>
        <v>42039</v>
      </c>
      <c r="C29" s="1">
        <f t="shared" si="4"/>
        <v>3995</v>
      </c>
      <c r="D29" s="1">
        <f t="shared" si="5"/>
        <v>875</v>
      </c>
      <c r="E29" s="1">
        <f t="shared" si="6"/>
        <v>1560</v>
      </c>
      <c r="F29" s="1"/>
      <c r="H29" s="16">
        <f t="shared" si="1"/>
        <v>42273</v>
      </c>
      <c r="I29" s="29">
        <f t="shared" si="2"/>
        <v>8400</v>
      </c>
      <c r="J29" s="34">
        <f t="shared" si="3"/>
        <v>82.52</v>
      </c>
      <c r="L29" s="11">
        <v>42039</v>
      </c>
      <c r="M29" s="9">
        <v>3995</v>
      </c>
      <c r="N29" s="9">
        <v>875</v>
      </c>
      <c r="O29" s="9">
        <v>1560</v>
      </c>
      <c r="P29" s="9">
        <v>0</v>
      </c>
      <c r="R29" s="11">
        <v>42273</v>
      </c>
      <c r="S29" s="9">
        <v>8400</v>
      </c>
      <c r="T29" s="9">
        <v>0</v>
      </c>
      <c r="U29" s="9"/>
    </row>
    <row r="30" spans="2:21" x14ac:dyDescent="0.4">
      <c r="B30" s="16">
        <f t="shared" si="0"/>
        <v>42040</v>
      </c>
      <c r="C30" s="1">
        <f t="shared" si="4"/>
        <v>4018</v>
      </c>
      <c r="D30" s="1">
        <f t="shared" si="5"/>
        <v>885</v>
      </c>
      <c r="E30" s="1">
        <f t="shared" si="6"/>
        <v>1560</v>
      </c>
      <c r="F30" s="1"/>
      <c r="H30" s="16">
        <f t="shared" si="1"/>
        <v>42280</v>
      </c>
      <c r="I30" s="29">
        <f t="shared" si="2"/>
        <v>8333.3333333333339</v>
      </c>
      <c r="J30" s="34">
        <f t="shared" si="3"/>
        <v>82.52</v>
      </c>
      <c r="L30" s="11">
        <v>42040</v>
      </c>
      <c r="M30" s="9">
        <v>4018</v>
      </c>
      <c r="N30" s="9">
        <v>885</v>
      </c>
      <c r="O30" s="9">
        <v>1560</v>
      </c>
      <c r="P30" s="9">
        <v>0</v>
      </c>
      <c r="R30" s="11">
        <v>42280</v>
      </c>
      <c r="S30" s="9">
        <v>8333.3333333333339</v>
      </c>
      <c r="T30" s="9">
        <v>0</v>
      </c>
      <c r="U30" s="9"/>
    </row>
    <row r="31" spans="2:21" x14ac:dyDescent="0.4">
      <c r="B31" s="16">
        <f t="shared" si="0"/>
        <v>42041</v>
      </c>
      <c r="C31" s="1">
        <f t="shared" si="4"/>
        <v>4011</v>
      </c>
      <c r="D31" s="1">
        <f t="shared" si="5"/>
        <v>905</v>
      </c>
      <c r="E31" s="1">
        <f t="shared" si="6"/>
        <v>1560</v>
      </c>
      <c r="F31" s="1"/>
      <c r="H31" s="16">
        <f t="shared" si="1"/>
        <v>42287</v>
      </c>
      <c r="I31" s="29">
        <f t="shared" si="2"/>
        <v>8300</v>
      </c>
      <c r="J31" s="34">
        <f t="shared" si="3"/>
        <v>82.52</v>
      </c>
      <c r="L31" s="11">
        <v>42041</v>
      </c>
      <c r="M31" s="9">
        <v>4011</v>
      </c>
      <c r="N31" s="9">
        <v>905</v>
      </c>
      <c r="O31" s="9">
        <v>1560</v>
      </c>
      <c r="P31" s="9">
        <v>0</v>
      </c>
      <c r="R31" s="11">
        <v>42287</v>
      </c>
      <c r="S31" s="9">
        <v>8300</v>
      </c>
      <c r="T31" s="9">
        <v>0</v>
      </c>
      <c r="U31" s="9"/>
    </row>
    <row r="32" spans="2:21" x14ac:dyDescent="0.4">
      <c r="B32" s="16">
        <f t="shared" si="0"/>
        <v>42044</v>
      </c>
      <c r="C32" s="1">
        <f t="shared" si="4"/>
        <v>4026</v>
      </c>
      <c r="D32" s="1">
        <f t="shared" si="5"/>
        <v>910</v>
      </c>
      <c r="E32" s="1">
        <f t="shared" si="6"/>
        <v>1560</v>
      </c>
      <c r="F32" s="1"/>
      <c r="H32" s="16">
        <f t="shared" si="1"/>
        <v>42294</v>
      </c>
      <c r="I32" s="29">
        <f t="shared" si="2"/>
        <v>8280</v>
      </c>
      <c r="J32" s="34">
        <f t="shared" si="3"/>
        <v>82.52</v>
      </c>
      <c r="L32" s="11">
        <v>42044</v>
      </c>
      <c r="M32" s="9">
        <v>4026</v>
      </c>
      <c r="N32" s="9">
        <v>910</v>
      </c>
      <c r="O32" s="9">
        <v>1560</v>
      </c>
      <c r="P32" s="9">
        <v>0</v>
      </c>
      <c r="R32" s="11">
        <v>42294</v>
      </c>
      <c r="S32" s="9">
        <v>8280</v>
      </c>
      <c r="T32" s="9">
        <v>0</v>
      </c>
      <c r="U32" s="9"/>
    </row>
    <row r="33" spans="2:21" x14ac:dyDescent="0.4">
      <c r="B33" s="16">
        <f t="shared" si="0"/>
        <v>42045</v>
      </c>
      <c r="C33" s="1">
        <f t="shared" si="4"/>
        <v>4027</v>
      </c>
      <c r="D33" s="1">
        <f t="shared" si="5"/>
        <v>910</v>
      </c>
      <c r="E33" s="1">
        <f t="shared" si="6"/>
        <v>1560</v>
      </c>
      <c r="F33" s="1"/>
      <c r="H33" s="16">
        <f t="shared" si="1"/>
        <v>42301</v>
      </c>
      <c r="I33" s="29">
        <f t="shared" si="2"/>
        <v>8180</v>
      </c>
      <c r="J33" s="34">
        <f t="shared" si="3"/>
        <v>82.52</v>
      </c>
      <c r="L33" s="11">
        <v>42045</v>
      </c>
      <c r="M33" s="9">
        <v>4027</v>
      </c>
      <c r="N33" s="9">
        <v>910</v>
      </c>
      <c r="O33" s="9">
        <v>1560</v>
      </c>
      <c r="P33" s="9">
        <v>0</v>
      </c>
      <c r="R33" s="11">
        <v>42301</v>
      </c>
      <c r="S33" s="9">
        <v>8180</v>
      </c>
      <c r="T33" s="9">
        <v>0</v>
      </c>
      <c r="U33" s="9"/>
    </row>
    <row r="34" spans="2:21" x14ac:dyDescent="0.4">
      <c r="B34" s="16">
        <f t="shared" si="0"/>
        <v>42046</v>
      </c>
      <c r="C34" s="1">
        <f t="shared" si="4"/>
        <v>4031</v>
      </c>
      <c r="D34" s="1">
        <f t="shared" si="5"/>
        <v>910</v>
      </c>
      <c r="E34" s="1">
        <f t="shared" si="6"/>
        <v>1580</v>
      </c>
      <c r="F34" s="1"/>
      <c r="H34" s="16">
        <f t="shared" si="1"/>
        <v>42308</v>
      </c>
      <c r="I34" s="29">
        <f t="shared" si="2"/>
        <v>8160</v>
      </c>
      <c r="J34" s="34">
        <f t="shared" si="3"/>
        <v>82.52</v>
      </c>
      <c r="L34" s="11">
        <v>42046</v>
      </c>
      <c r="M34" s="9">
        <v>4031</v>
      </c>
      <c r="N34" s="9">
        <v>910</v>
      </c>
      <c r="O34" s="9">
        <v>1580</v>
      </c>
      <c r="P34" s="9">
        <v>0</v>
      </c>
      <c r="R34" s="11">
        <v>42308</v>
      </c>
      <c r="S34" s="9">
        <v>8160</v>
      </c>
      <c r="T34" s="9">
        <v>0</v>
      </c>
      <c r="U34" s="9"/>
    </row>
    <row r="35" spans="2:21" x14ac:dyDescent="0.4">
      <c r="B35" s="16">
        <f t="shared" si="0"/>
        <v>42047</v>
      </c>
      <c r="C35" s="1">
        <f t="shared" si="4"/>
        <v>4031</v>
      </c>
      <c r="D35" s="1">
        <f t="shared" si="5"/>
        <v>910</v>
      </c>
      <c r="E35" s="1">
        <f t="shared" si="6"/>
        <v>1580</v>
      </c>
      <c r="F35" s="1"/>
      <c r="H35" s="16">
        <f t="shared" si="1"/>
        <v>42315</v>
      </c>
      <c r="I35" s="29">
        <f t="shared" si="2"/>
        <v>8280</v>
      </c>
      <c r="J35" s="34">
        <f t="shared" si="3"/>
        <v>82.52</v>
      </c>
      <c r="L35" s="11">
        <v>42047</v>
      </c>
      <c r="M35" s="9">
        <v>4031</v>
      </c>
      <c r="N35" s="9">
        <v>910</v>
      </c>
      <c r="O35" s="9">
        <v>1580</v>
      </c>
      <c r="P35" s="9">
        <v>0</v>
      </c>
      <c r="R35" s="11">
        <v>42315</v>
      </c>
      <c r="S35" s="9">
        <v>8280</v>
      </c>
      <c r="T35" s="9">
        <v>0</v>
      </c>
      <c r="U35" s="9"/>
    </row>
    <row r="36" spans="2:21" x14ac:dyDescent="0.4">
      <c r="B36" s="16">
        <f t="shared" si="0"/>
        <v>42048</v>
      </c>
      <c r="C36" s="1">
        <f t="shared" si="4"/>
        <v>4038</v>
      </c>
      <c r="D36" s="1">
        <f t="shared" si="5"/>
        <v>940</v>
      </c>
      <c r="E36" s="1">
        <f t="shared" si="6"/>
        <v>1600</v>
      </c>
      <c r="F36" s="1"/>
      <c r="H36" s="16">
        <f t="shared" si="1"/>
        <v>42322</v>
      </c>
      <c r="I36" s="29">
        <f t="shared" si="2"/>
        <v>8120</v>
      </c>
      <c r="J36" s="34">
        <f t="shared" si="3"/>
        <v>82.52</v>
      </c>
      <c r="L36" s="11">
        <v>42048</v>
      </c>
      <c r="M36" s="9">
        <v>4038</v>
      </c>
      <c r="N36" s="9">
        <v>940</v>
      </c>
      <c r="O36" s="9">
        <v>1600</v>
      </c>
      <c r="P36" s="9">
        <v>0</v>
      </c>
      <c r="R36" s="11">
        <v>42322</v>
      </c>
      <c r="S36" s="9">
        <v>8120</v>
      </c>
      <c r="T36" s="9">
        <v>0</v>
      </c>
      <c r="U36" s="9"/>
    </row>
    <row r="37" spans="2:21" x14ac:dyDescent="0.4">
      <c r="B37" s="16">
        <f t="shared" si="0"/>
        <v>42050</v>
      </c>
      <c r="C37" s="1">
        <f t="shared" si="4"/>
        <v>4050</v>
      </c>
      <c r="D37" s="1">
        <f t="shared" si="5"/>
        <v>940</v>
      </c>
      <c r="E37" s="1">
        <f t="shared" si="6"/>
        <v>1600</v>
      </c>
      <c r="F37" s="1"/>
      <c r="H37" s="16">
        <f t="shared" si="1"/>
        <v>42329</v>
      </c>
      <c r="I37" s="29">
        <f t="shared" si="2"/>
        <v>8100</v>
      </c>
      <c r="J37" s="34">
        <f t="shared" si="3"/>
        <v>82.52</v>
      </c>
      <c r="L37" s="11">
        <v>42050</v>
      </c>
      <c r="M37" s="9">
        <v>4050</v>
      </c>
      <c r="N37" s="9">
        <v>0</v>
      </c>
      <c r="O37" s="9">
        <v>1600</v>
      </c>
      <c r="P37" s="9">
        <v>0</v>
      </c>
      <c r="R37" s="11">
        <v>42329</v>
      </c>
      <c r="S37" s="9">
        <v>8100</v>
      </c>
      <c r="T37" s="9">
        <v>0</v>
      </c>
      <c r="U37" s="9"/>
    </row>
    <row r="38" spans="2:21" x14ac:dyDescent="0.4">
      <c r="B38" s="16">
        <f t="shared" si="0"/>
        <v>42051</v>
      </c>
      <c r="C38" s="1">
        <f t="shared" si="4"/>
        <v>4060</v>
      </c>
      <c r="D38" s="1">
        <f t="shared" si="5"/>
        <v>945</v>
      </c>
      <c r="E38" s="1">
        <f t="shared" si="6"/>
        <v>1610</v>
      </c>
      <c r="F38" s="1"/>
      <c r="H38" s="16">
        <f t="shared" si="1"/>
        <v>42336</v>
      </c>
      <c r="I38" s="29">
        <f t="shared" si="2"/>
        <v>8100</v>
      </c>
      <c r="J38" s="34">
        <f t="shared" si="3"/>
        <v>82.52</v>
      </c>
      <c r="L38" s="11">
        <v>42051</v>
      </c>
      <c r="M38" s="9">
        <v>4060</v>
      </c>
      <c r="N38" s="9">
        <v>945</v>
      </c>
      <c r="O38" s="9">
        <v>1610</v>
      </c>
      <c r="P38" s="9">
        <v>0</v>
      </c>
      <c r="R38" s="11">
        <v>42336</v>
      </c>
      <c r="S38" s="9">
        <v>8100</v>
      </c>
      <c r="T38" s="9">
        <v>0</v>
      </c>
      <c r="U38" s="9"/>
    </row>
    <row r="39" spans="2:21" x14ac:dyDescent="0.4">
      <c r="B39" s="16">
        <f t="shared" si="0"/>
        <v>42052</v>
      </c>
      <c r="C39" s="1">
        <f t="shared" si="4"/>
        <v>4061</v>
      </c>
      <c r="D39" s="1">
        <f t="shared" si="5"/>
        <v>950</v>
      </c>
      <c r="E39" s="1">
        <f t="shared" si="6"/>
        <v>1610</v>
      </c>
      <c r="F39" s="1"/>
      <c r="H39" s="16">
        <f t="shared" si="1"/>
        <v>42343</v>
      </c>
      <c r="I39" s="29">
        <f t="shared" si="2"/>
        <v>8040</v>
      </c>
      <c r="J39" s="34">
        <f t="shared" si="3"/>
        <v>82.52</v>
      </c>
      <c r="L39" s="11">
        <v>42052</v>
      </c>
      <c r="M39" s="9">
        <v>4061</v>
      </c>
      <c r="N39" s="9">
        <v>950</v>
      </c>
      <c r="O39" s="9">
        <v>1610</v>
      </c>
      <c r="P39" s="9">
        <v>0</v>
      </c>
      <c r="R39" s="11">
        <v>42343</v>
      </c>
      <c r="S39" s="9">
        <v>8040</v>
      </c>
      <c r="T39" s="9">
        <v>0</v>
      </c>
      <c r="U39" s="9"/>
    </row>
    <row r="40" spans="2:21" x14ac:dyDescent="0.4">
      <c r="B40" s="16">
        <f t="shared" si="0"/>
        <v>42053</v>
      </c>
      <c r="C40" s="1">
        <f t="shared" si="4"/>
        <v>4061</v>
      </c>
      <c r="D40" s="1">
        <f t="shared" si="5"/>
        <v>950</v>
      </c>
      <c r="E40" s="1">
        <f t="shared" si="6"/>
        <v>1610</v>
      </c>
      <c r="F40" s="1"/>
      <c r="H40" s="16">
        <f t="shared" si="1"/>
        <v>42350</v>
      </c>
      <c r="I40" s="29">
        <f t="shared" si="2"/>
        <v>7920</v>
      </c>
      <c r="J40" s="34">
        <f t="shared" si="3"/>
        <v>82.52</v>
      </c>
      <c r="L40" s="11">
        <v>42053</v>
      </c>
      <c r="M40" s="9">
        <v>0</v>
      </c>
      <c r="N40" s="9">
        <v>950</v>
      </c>
      <c r="O40" s="9">
        <v>0</v>
      </c>
      <c r="P40" s="9">
        <v>0</v>
      </c>
      <c r="R40" s="11">
        <v>42350</v>
      </c>
      <c r="S40" s="9">
        <v>7920</v>
      </c>
      <c r="T40" s="9">
        <v>0</v>
      </c>
      <c r="U40" s="9"/>
    </row>
    <row r="41" spans="2:21" x14ac:dyDescent="0.4">
      <c r="B41" s="16">
        <f t="shared" si="0"/>
        <v>42054</v>
      </c>
      <c r="C41" s="1">
        <f t="shared" si="4"/>
        <v>4061</v>
      </c>
      <c r="D41" s="1">
        <f t="shared" si="5"/>
        <v>950</v>
      </c>
      <c r="E41" s="1">
        <f t="shared" si="6"/>
        <v>1610</v>
      </c>
      <c r="F41" s="1"/>
      <c r="H41" s="16">
        <f t="shared" si="1"/>
        <v>42357</v>
      </c>
      <c r="I41" s="29">
        <f t="shared" si="2"/>
        <v>7740</v>
      </c>
      <c r="J41" s="34">
        <f t="shared" si="3"/>
        <v>82.52</v>
      </c>
      <c r="L41" s="11">
        <v>42054</v>
      </c>
      <c r="M41" s="9">
        <v>0</v>
      </c>
      <c r="N41" s="9">
        <v>950</v>
      </c>
      <c r="O41" s="9">
        <v>0</v>
      </c>
      <c r="P41" s="9">
        <v>0</v>
      </c>
      <c r="R41" s="11">
        <v>42357</v>
      </c>
      <c r="S41" s="9">
        <v>7740</v>
      </c>
      <c r="T41" s="9">
        <v>0</v>
      </c>
      <c r="U41" s="9"/>
    </row>
    <row r="42" spans="2:21" x14ac:dyDescent="0.4">
      <c r="B42" s="16">
        <f t="shared" si="0"/>
        <v>42055</v>
      </c>
      <c r="C42" s="1">
        <f t="shared" si="4"/>
        <v>4061</v>
      </c>
      <c r="D42" s="1">
        <f t="shared" si="5"/>
        <v>950</v>
      </c>
      <c r="E42" s="1">
        <f t="shared" si="6"/>
        <v>1610</v>
      </c>
      <c r="F42" s="1"/>
      <c r="H42" s="16">
        <f t="shared" si="1"/>
        <v>42364</v>
      </c>
      <c r="I42" s="29">
        <f t="shared" si="2"/>
        <v>7540</v>
      </c>
      <c r="J42" s="34">
        <f t="shared" si="3"/>
        <v>82.52</v>
      </c>
      <c r="L42" s="11">
        <v>42055</v>
      </c>
      <c r="M42" s="9">
        <v>0</v>
      </c>
      <c r="N42" s="9">
        <v>950</v>
      </c>
      <c r="O42" s="9">
        <v>0</v>
      </c>
      <c r="P42" s="9">
        <v>0</v>
      </c>
      <c r="R42" s="11">
        <v>42364</v>
      </c>
      <c r="S42" s="9">
        <v>7540</v>
      </c>
      <c r="T42" s="9">
        <v>0</v>
      </c>
      <c r="U42" s="9"/>
    </row>
    <row r="43" spans="2:21" x14ac:dyDescent="0.4">
      <c r="B43" s="16">
        <f t="shared" si="0"/>
        <v>42058</v>
      </c>
      <c r="C43" s="1">
        <f t="shared" si="4"/>
        <v>4061</v>
      </c>
      <c r="D43" s="1">
        <f t="shared" si="5"/>
        <v>950</v>
      </c>
      <c r="E43" s="1">
        <f t="shared" si="6"/>
        <v>1610</v>
      </c>
      <c r="F43" s="1"/>
      <c r="H43" s="16">
        <f t="shared" si="1"/>
        <v>42371</v>
      </c>
      <c r="I43" s="29">
        <f t="shared" si="2"/>
        <v>7500</v>
      </c>
      <c r="J43" s="34">
        <f t="shared" si="3"/>
        <v>82.52</v>
      </c>
      <c r="L43" s="11">
        <v>42058</v>
      </c>
      <c r="M43" s="9">
        <v>0</v>
      </c>
      <c r="N43" s="9">
        <v>950</v>
      </c>
      <c r="O43" s="9">
        <v>0</v>
      </c>
      <c r="P43" s="9">
        <v>0</v>
      </c>
      <c r="R43" s="11">
        <v>42371</v>
      </c>
      <c r="S43" s="9">
        <v>7500</v>
      </c>
      <c r="T43" s="9">
        <v>0</v>
      </c>
      <c r="U43" s="9"/>
    </row>
    <row r="44" spans="2:21" x14ac:dyDescent="0.4">
      <c r="B44" s="16">
        <f t="shared" si="0"/>
        <v>42059</v>
      </c>
      <c r="C44" s="1">
        <f t="shared" si="4"/>
        <v>4061</v>
      </c>
      <c r="D44" s="1">
        <f t="shared" si="5"/>
        <v>950</v>
      </c>
      <c r="E44" s="1">
        <f t="shared" si="6"/>
        <v>1610</v>
      </c>
      <c r="F44" s="1"/>
      <c r="H44" s="16">
        <f t="shared" si="1"/>
        <v>42378</v>
      </c>
      <c r="I44" s="29">
        <f t="shared" si="2"/>
        <v>7500</v>
      </c>
      <c r="J44" s="34">
        <f t="shared" si="3"/>
        <v>82.52</v>
      </c>
      <c r="L44" s="11">
        <v>42059</v>
      </c>
      <c r="M44" s="9">
        <v>0</v>
      </c>
      <c r="N44" s="9">
        <v>950</v>
      </c>
      <c r="O44" s="9">
        <v>0</v>
      </c>
      <c r="P44" s="9">
        <v>0</v>
      </c>
      <c r="R44" s="11">
        <v>42378</v>
      </c>
      <c r="S44" s="9">
        <v>7500</v>
      </c>
      <c r="T44" s="9">
        <v>0</v>
      </c>
      <c r="U44" s="9"/>
    </row>
    <row r="45" spans="2:21" x14ac:dyDescent="0.4">
      <c r="B45" s="16">
        <f t="shared" si="0"/>
        <v>42060</v>
      </c>
      <c r="C45" s="1">
        <f t="shared" si="4"/>
        <v>4066</v>
      </c>
      <c r="D45" s="1">
        <f t="shared" si="5"/>
        <v>950</v>
      </c>
      <c r="E45" s="1">
        <f t="shared" si="6"/>
        <v>1610</v>
      </c>
      <c r="F45" s="1"/>
      <c r="H45" s="16">
        <f t="shared" si="1"/>
        <v>42385</v>
      </c>
      <c r="I45" s="29">
        <f t="shared" si="2"/>
        <v>7500</v>
      </c>
      <c r="J45" s="34">
        <f t="shared" si="3"/>
        <v>82.52</v>
      </c>
      <c r="L45" s="11">
        <v>42060</v>
      </c>
      <c r="M45" s="9">
        <v>4066</v>
      </c>
      <c r="N45" s="9">
        <v>950</v>
      </c>
      <c r="O45" s="9">
        <v>1610</v>
      </c>
      <c r="P45" s="9">
        <v>0</v>
      </c>
      <c r="R45" s="11">
        <v>42385</v>
      </c>
      <c r="S45" s="9">
        <v>7500</v>
      </c>
      <c r="T45" s="9">
        <v>0</v>
      </c>
      <c r="U45" s="9"/>
    </row>
    <row r="46" spans="2:21" x14ac:dyDescent="0.4">
      <c r="B46" s="16">
        <f t="shared" si="0"/>
        <v>42061</v>
      </c>
      <c r="C46" s="1">
        <f t="shared" si="4"/>
        <v>4083</v>
      </c>
      <c r="D46" s="1">
        <f t="shared" si="5"/>
        <v>975</v>
      </c>
      <c r="E46" s="1">
        <f t="shared" si="6"/>
        <v>1620</v>
      </c>
      <c r="F46" s="1"/>
      <c r="H46" s="16">
        <f t="shared" si="1"/>
        <v>42392</v>
      </c>
      <c r="I46" s="29">
        <f t="shared" si="2"/>
        <v>7500</v>
      </c>
      <c r="J46" s="34">
        <f t="shared" si="3"/>
        <v>82.52</v>
      </c>
      <c r="L46" s="11">
        <v>42061</v>
      </c>
      <c r="M46" s="9">
        <v>4083</v>
      </c>
      <c r="N46" s="9">
        <v>975</v>
      </c>
      <c r="O46" s="9">
        <v>1620</v>
      </c>
      <c r="P46" s="9">
        <v>0</v>
      </c>
      <c r="R46" s="11">
        <v>42392</v>
      </c>
      <c r="S46" s="9">
        <v>7500</v>
      </c>
      <c r="T46" s="9">
        <v>0</v>
      </c>
      <c r="U46" s="9"/>
    </row>
    <row r="47" spans="2:21" x14ac:dyDescent="0.4">
      <c r="B47" s="16">
        <f t="shared" si="0"/>
        <v>42062</v>
      </c>
      <c r="C47" s="1">
        <f t="shared" si="4"/>
        <v>4123</v>
      </c>
      <c r="D47" s="1">
        <f t="shared" si="5"/>
        <v>1000</v>
      </c>
      <c r="E47" s="1">
        <f t="shared" si="6"/>
        <v>1650</v>
      </c>
      <c r="F47" s="1"/>
      <c r="H47" s="16">
        <f t="shared" si="1"/>
        <v>42399</v>
      </c>
      <c r="I47" s="29">
        <f t="shared" si="2"/>
        <v>7500</v>
      </c>
      <c r="J47" s="34">
        <f t="shared" si="3"/>
        <v>82.52</v>
      </c>
      <c r="L47" s="11">
        <v>42062</v>
      </c>
      <c r="M47" s="9">
        <v>4123</v>
      </c>
      <c r="N47" s="9">
        <v>1000</v>
      </c>
      <c r="O47" s="9">
        <v>1650</v>
      </c>
      <c r="P47" s="9">
        <v>0</v>
      </c>
      <c r="R47" s="11">
        <v>42399</v>
      </c>
      <c r="S47" s="9">
        <v>7500</v>
      </c>
      <c r="T47" s="9">
        <v>0</v>
      </c>
      <c r="U47" s="9"/>
    </row>
    <row r="48" spans="2:21" x14ac:dyDescent="0.4">
      <c r="B48" s="16">
        <f t="shared" si="0"/>
        <v>42063</v>
      </c>
      <c r="C48" s="1">
        <f t="shared" si="4"/>
        <v>4136</v>
      </c>
      <c r="D48" s="1">
        <f t="shared" si="5"/>
        <v>1000</v>
      </c>
      <c r="E48" s="1">
        <f t="shared" si="6"/>
        <v>1650</v>
      </c>
      <c r="F48" s="1"/>
      <c r="H48" s="16">
        <f t="shared" si="1"/>
        <v>42406</v>
      </c>
      <c r="I48" s="29">
        <f t="shared" si="2"/>
        <v>7500</v>
      </c>
      <c r="J48" s="34">
        <f t="shared" si="3"/>
        <v>82.52</v>
      </c>
      <c r="L48" s="11">
        <v>42063</v>
      </c>
      <c r="M48" s="9">
        <v>4136</v>
      </c>
      <c r="N48" s="9">
        <v>0</v>
      </c>
      <c r="O48" s="9">
        <v>1650</v>
      </c>
      <c r="P48" s="9">
        <v>0</v>
      </c>
      <c r="R48" s="11">
        <v>42406</v>
      </c>
      <c r="S48" s="9">
        <v>7500</v>
      </c>
      <c r="T48" s="9">
        <v>0</v>
      </c>
      <c r="U48" s="9"/>
    </row>
    <row r="49" spans="2:21" x14ac:dyDescent="0.4">
      <c r="B49" s="16">
        <f t="shared" si="0"/>
        <v>42065</v>
      </c>
      <c r="C49" s="1">
        <f t="shared" si="4"/>
        <v>4183</v>
      </c>
      <c r="D49" s="1">
        <f t="shared" si="5"/>
        <v>1000</v>
      </c>
      <c r="E49" s="1">
        <f t="shared" si="6"/>
        <v>1650</v>
      </c>
      <c r="F49" s="1"/>
      <c r="H49" s="16">
        <f t="shared" si="1"/>
        <v>42420</v>
      </c>
      <c r="I49" s="29">
        <f t="shared" si="2"/>
        <v>7500</v>
      </c>
      <c r="J49" s="34">
        <f t="shared" si="3"/>
        <v>82.52</v>
      </c>
      <c r="L49" s="11">
        <v>42065</v>
      </c>
      <c r="M49" s="9">
        <v>4183</v>
      </c>
      <c r="N49" s="9">
        <v>1000</v>
      </c>
      <c r="O49" s="9">
        <v>1650</v>
      </c>
      <c r="P49" s="9">
        <v>0</v>
      </c>
      <c r="R49" s="11">
        <v>42420</v>
      </c>
      <c r="S49" s="9">
        <v>7500</v>
      </c>
      <c r="T49" s="9">
        <v>0</v>
      </c>
      <c r="U49" s="9"/>
    </row>
    <row r="50" spans="2:21" x14ac:dyDescent="0.4">
      <c r="B50" s="16">
        <f t="shared" si="0"/>
        <v>42066</v>
      </c>
      <c r="C50" s="1">
        <f t="shared" si="4"/>
        <v>4219</v>
      </c>
      <c r="D50" s="1">
        <f t="shared" si="5"/>
        <v>1010</v>
      </c>
      <c r="E50" s="1">
        <f t="shared" si="6"/>
        <v>1650</v>
      </c>
      <c r="F50" s="1"/>
      <c r="H50" s="16">
        <f t="shared" si="1"/>
        <v>42427</v>
      </c>
      <c r="I50" s="29">
        <f t="shared" si="2"/>
        <v>7580</v>
      </c>
      <c r="J50" s="34">
        <f t="shared" si="3"/>
        <v>82.52</v>
      </c>
      <c r="L50" s="11">
        <v>42066</v>
      </c>
      <c r="M50" s="9">
        <v>4219</v>
      </c>
      <c r="N50" s="9">
        <v>1010</v>
      </c>
      <c r="O50" s="9">
        <v>1650</v>
      </c>
      <c r="P50" s="9">
        <v>0</v>
      </c>
      <c r="R50" s="11">
        <v>42427</v>
      </c>
      <c r="S50" s="9">
        <v>7580</v>
      </c>
      <c r="T50" s="9">
        <v>0</v>
      </c>
      <c r="U50" s="9"/>
    </row>
    <row r="51" spans="2:21" x14ac:dyDescent="0.4">
      <c r="B51" s="16">
        <f t="shared" si="0"/>
        <v>42067</v>
      </c>
      <c r="C51" s="1">
        <f t="shared" si="4"/>
        <v>4221</v>
      </c>
      <c r="D51" s="1">
        <f t="shared" si="5"/>
        <v>1050</v>
      </c>
      <c r="E51" s="1">
        <f t="shared" si="6"/>
        <v>1650</v>
      </c>
      <c r="F51" s="1"/>
      <c r="H51" s="16">
        <f t="shared" si="1"/>
        <v>42434</v>
      </c>
      <c r="I51" s="29">
        <f t="shared" si="2"/>
        <v>7840</v>
      </c>
      <c r="J51" s="34">
        <f t="shared" si="3"/>
        <v>82.52</v>
      </c>
      <c r="L51" s="11">
        <v>42067</v>
      </c>
      <c r="M51" s="9">
        <v>4221</v>
      </c>
      <c r="N51" s="9">
        <v>1050</v>
      </c>
      <c r="O51" s="9">
        <v>1650</v>
      </c>
      <c r="P51" s="9">
        <v>0</v>
      </c>
      <c r="R51" s="11">
        <v>42434</v>
      </c>
      <c r="S51" s="9">
        <v>7840</v>
      </c>
      <c r="T51" s="9">
        <v>0</v>
      </c>
      <c r="U51" s="9"/>
    </row>
    <row r="52" spans="2:21" x14ac:dyDescent="0.4">
      <c r="B52" s="16">
        <f t="shared" si="0"/>
        <v>42068</v>
      </c>
      <c r="C52" s="1">
        <f t="shared" si="4"/>
        <v>4221</v>
      </c>
      <c r="D52" s="1">
        <f t="shared" si="5"/>
        <v>1060</v>
      </c>
      <c r="E52" s="1">
        <f t="shared" si="6"/>
        <v>1650</v>
      </c>
      <c r="F52" s="1"/>
      <c r="H52" s="16">
        <f t="shared" si="1"/>
        <v>42441</v>
      </c>
      <c r="I52" s="29">
        <f t="shared" si="2"/>
        <v>8480</v>
      </c>
      <c r="J52" s="34">
        <f t="shared" si="3"/>
        <v>82.52</v>
      </c>
      <c r="L52" s="11">
        <v>42068</v>
      </c>
      <c r="M52" s="9">
        <v>4221</v>
      </c>
      <c r="N52" s="9">
        <v>1060</v>
      </c>
      <c r="O52" s="9">
        <v>1650</v>
      </c>
      <c r="P52" s="9">
        <v>0</v>
      </c>
      <c r="R52" s="11">
        <v>42441</v>
      </c>
      <c r="S52" s="9">
        <v>8480</v>
      </c>
      <c r="T52" s="9">
        <v>0</v>
      </c>
      <c r="U52" s="9"/>
    </row>
    <row r="53" spans="2:21" x14ac:dyDescent="0.4">
      <c r="B53" s="16">
        <f t="shared" si="0"/>
        <v>42069</v>
      </c>
      <c r="C53" s="1">
        <f t="shared" si="4"/>
        <v>4213</v>
      </c>
      <c r="D53" s="1">
        <f t="shared" si="5"/>
        <v>1070</v>
      </c>
      <c r="E53" s="1">
        <f t="shared" si="6"/>
        <v>1650</v>
      </c>
      <c r="F53" s="1"/>
      <c r="H53" s="16">
        <f t="shared" si="1"/>
        <v>42448</v>
      </c>
      <c r="I53" s="29">
        <f t="shared" si="2"/>
        <v>8490</v>
      </c>
      <c r="J53" s="34">
        <f t="shared" si="3"/>
        <v>82.52</v>
      </c>
      <c r="L53" s="11">
        <v>42069</v>
      </c>
      <c r="M53" s="9">
        <v>4213</v>
      </c>
      <c r="N53" s="9">
        <v>1070</v>
      </c>
      <c r="O53" s="9">
        <v>1650</v>
      </c>
      <c r="P53" s="9">
        <v>0</v>
      </c>
      <c r="R53" s="11">
        <v>42448</v>
      </c>
      <c r="S53" s="9">
        <v>8490</v>
      </c>
      <c r="T53" s="9">
        <v>0</v>
      </c>
      <c r="U53" s="9"/>
    </row>
    <row r="54" spans="2:21" x14ac:dyDescent="0.4">
      <c r="B54" s="16">
        <f t="shared" si="0"/>
        <v>42072</v>
      </c>
      <c r="C54" s="1">
        <f t="shared" si="4"/>
        <v>4211</v>
      </c>
      <c r="D54" s="1">
        <f t="shared" si="5"/>
        <v>1070</v>
      </c>
      <c r="E54" s="1">
        <f t="shared" si="6"/>
        <v>1650</v>
      </c>
      <c r="F54" s="1"/>
      <c r="H54" s="16">
        <f t="shared" si="1"/>
        <v>42455</v>
      </c>
      <c r="I54" s="29">
        <f t="shared" si="2"/>
        <v>8410</v>
      </c>
      <c r="J54" s="34">
        <f t="shared" si="3"/>
        <v>82.52</v>
      </c>
      <c r="L54" s="11">
        <v>42072</v>
      </c>
      <c r="M54" s="9">
        <v>4211</v>
      </c>
      <c r="N54" s="9">
        <v>1070</v>
      </c>
      <c r="O54" s="9">
        <v>1650</v>
      </c>
      <c r="P54" s="9">
        <v>0</v>
      </c>
      <c r="R54" s="11">
        <v>42455</v>
      </c>
      <c r="S54" s="9">
        <v>8410</v>
      </c>
      <c r="T54" s="9">
        <v>0</v>
      </c>
      <c r="U54" s="9"/>
    </row>
    <row r="55" spans="2:21" x14ac:dyDescent="0.4">
      <c r="B55" s="16">
        <f t="shared" si="0"/>
        <v>42073</v>
      </c>
      <c r="C55" s="1">
        <f t="shared" si="4"/>
        <v>4210</v>
      </c>
      <c r="D55" s="1">
        <f t="shared" si="5"/>
        <v>1080</v>
      </c>
      <c r="E55" s="1">
        <f t="shared" si="6"/>
        <v>1650</v>
      </c>
      <c r="F55" s="1"/>
      <c r="H55" s="16">
        <f t="shared" si="1"/>
        <v>42462</v>
      </c>
      <c r="I55" s="29">
        <f t="shared" si="2"/>
        <v>8400</v>
      </c>
      <c r="J55" s="34">
        <f t="shared" si="3"/>
        <v>82.52</v>
      </c>
      <c r="L55" s="11">
        <v>42073</v>
      </c>
      <c r="M55" s="9">
        <v>4210</v>
      </c>
      <c r="N55" s="9">
        <v>1080</v>
      </c>
      <c r="O55" s="9">
        <v>1650</v>
      </c>
      <c r="P55" s="9">
        <v>0</v>
      </c>
      <c r="R55" s="11">
        <v>42462</v>
      </c>
      <c r="S55" s="9">
        <v>8400</v>
      </c>
      <c r="T55" s="9">
        <v>0</v>
      </c>
      <c r="U55" s="9"/>
    </row>
    <row r="56" spans="2:21" x14ac:dyDescent="0.4">
      <c r="B56" s="16">
        <f t="shared" si="0"/>
        <v>42074</v>
      </c>
      <c r="C56" s="1">
        <f t="shared" si="4"/>
        <v>4185</v>
      </c>
      <c r="D56" s="1">
        <f t="shared" si="5"/>
        <v>1085</v>
      </c>
      <c r="E56" s="1">
        <f t="shared" si="6"/>
        <v>1650</v>
      </c>
      <c r="F56" s="1"/>
      <c r="H56" s="16">
        <f t="shared" si="1"/>
        <v>42469</v>
      </c>
      <c r="I56" s="29">
        <f t="shared" si="2"/>
        <v>8400</v>
      </c>
      <c r="J56" s="34">
        <f t="shared" si="3"/>
        <v>82.52</v>
      </c>
      <c r="L56" s="11">
        <v>42074</v>
      </c>
      <c r="M56" s="9">
        <v>4185</v>
      </c>
      <c r="N56" s="9">
        <v>1085</v>
      </c>
      <c r="O56" s="9">
        <v>1650</v>
      </c>
      <c r="P56" s="9">
        <v>0</v>
      </c>
      <c r="R56" s="11">
        <v>42469</v>
      </c>
      <c r="S56" s="9">
        <v>8400</v>
      </c>
      <c r="T56" s="9">
        <v>0</v>
      </c>
      <c r="U56" s="9"/>
    </row>
    <row r="57" spans="2:21" x14ac:dyDescent="0.4">
      <c r="B57" s="16">
        <f t="shared" si="0"/>
        <v>42075</v>
      </c>
      <c r="C57" s="1">
        <f t="shared" si="4"/>
        <v>4182</v>
      </c>
      <c r="D57" s="1">
        <f t="shared" si="5"/>
        <v>1090</v>
      </c>
      <c r="E57" s="1">
        <f t="shared" si="6"/>
        <v>1650</v>
      </c>
      <c r="F57" s="1"/>
      <c r="H57" s="16">
        <f t="shared" si="1"/>
        <v>42476</v>
      </c>
      <c r="I57" s="29">
        <f t="shared" si="2"/>
        <v>8420</v>
      </c>
      <c r="J57" s="34">
        <f t="shared" si="3"/>
        <v>82.52</v>
      </c>
      <c r="L57" s="11">
        <v>42075</v>
      </c>
      <c r="M57" s="9">
        <v>4182</v>
      </c>
      <c r="N57" s="9">
        <v>1090</v>
      </c>
      <c r="O57" s="9">
        <v>1650</v>
      </c>
      <c r="P57" s="9">
        <v>0</v>
      </c>
      <c r="R57" s="11">
        <v>42476</v>
      </c>
      <c r="S57" s="9">
        <v>8420</v>
      </c>
      <c r="T57" s="9">
        <v>0</v>
      </c>
      <c r="U57" s="9"/>
    </row>
    <row r="58" spans="2:21" x14ac:dyDescent="0.4">
      <c r="B58" s="16">
        <f t="shared" si="0"/>
        <v>42076</v>
      </c>
      <c r="C58" s="1">
        <f t="shared" si="4"/>
        <v>4194</v>
      </c>
      <c r="D58" s="1">
        <f t="shared" si="5"/>
        <v>1105</v>
      </c>
      <c r="E58" s="1">
        <f t="shared" si="6"/>
        <v>1650</v>
      </c>
      <c r="F58" s="1"/>
      <c r="H58" s="16">
        <f t="shared" si="1"/>
        <v>42483</v>
      </c>
      <c r="I58" s="29">
        <f t="shared" si="2"/>
        <v>8210</v>
      </c>
      <c r="J58" s="34">
        <f t="shared" si="3"/>
        <v>82.52</v>
      </c>
      <c r="L58" s="11">
        <v>42076</v>
      </c>
      <c r="M58" s="9">
        <v>4194</v>
      </c>
      <c r="N58" s="9">
        <v>1105</v>
      </c>
      <c r="O58" s="9">
        <v>1650</v>
      </c>
      <c r="P58" s="9">
        <v>0</v>
      </c>
      <c r="R58" s="11">
        <v>42483</v>
      </c>
      <c r="S58" s="9">
        <v>8210</v>
      </c>
      <c r="T58" s="9">
        <v>0</v>
      </c>
      <c r="U58" s="9"/>
    </row>
    <row r="59" spans="2:21" x14ac:dyDescent="0.4">
      <c r="B59" s="16">
        <f t="shared" si="0"/>
        <v>42079</v>
      </c>
      <c r="C59" s="1">
        <f t="shared" si="4"/>
        <v>4176</v>
      </c>
      <c r="D59" s="1">
        <f t="shared" si="5"/>
        <v>1105</v>
      </c>
      <c r="E59" s="1">
        <f t="shared" si="6"/>
        <v>1650</v>
      </c>
      <c r="F59" s="1"/>
      <c r="H59" s="16">
        <f t="shared" si="1"/>
        <v>42490</v>
      </c>
      <c r="I59" s="29">
        <f t="shared" si="2"/>
        <v>8370</v>
      </c>
      <c r="J59" s="34">
        <f t="shared" si="3"/>
        <v>82.52</v>
      </c>
      <c r="L59" s="11">
        <v>42079</v>
      </c>
      <c r="M59" s="9">
        <v>4176</v>
      </c>
      <c r="N59" s="9">
        <v>1105</v>
      </c>
      <c r="O59" s="9">
        <v>1650</v>
      </c>
      <c r="P59" s="9">
        <v>0</v>
      </c>
      <c r="R59" s="11">
        <v>42490</v>
      </c>
      <c r="S59" s="9">
        <v>8370</v>
      </c>
      <c r="T59" s="9">
        <v>0</v>
      </c>
      <c r="U59" s="9"/>
    </row>
    <row r="60" spans="2:21" x14ac:dyDescent="0.4">
      <c r="B60" s="16">
        <f t="shared" si="0"/>
        <v>42080</v>
      </c>
      <c r="C60" s="1">
        <f t="shared" si="4"/>
        <v>4156</v>
      </c>
      <c r="D60" s="1">
        <f t="shared" si="5"/>
        <v>1105</v>
      </c>
      <c r="E60" s="1">
        <f t="shared" si="6"/>
        <v>1650</v>
      </c>
      <c r="F60" s="1"/>
      <c r="H60" s="16">
        <f t="shared" si="1"/>
        <v>42497</v>
      </c>
      <c r="I60" s="29">
        <f t="shared" si="2"/>
        <v>8500</v>
      </c>
      <c r="J60" s="34">
        <f t="shared" si="3"/>
        <v>82.52</v>
      </c>
      <c r="L60" s="11">
        <v>42080</v>
      </c>
      <c r="M60" s="9">
        <v>4156</v>
      </c>
      <c r="N60" s="9">
        <v>1105</v>
      </c>
      <c r="O60" s="9">
        <v>1650</v>
      </c>
      <c r="P60" s="9">
        <v>0</v>
      </c>
      <c r="R60" s="11">
        <v>42497</v>
      </c>
      <c r="S60" s="9">
        <v>8500</v>
      </c>
      <c r="T60" s="9">
        <v>0</v>
      </c>
      <c r="U60" s="9"/>
    </row>
    <row r="61" spans="2:21" x14ac:dyDescent="0.4">
      <c r="B61" s="16">
        <f t="shared" si="0"/>
        <v>42081</v>
      </c>
      <c r="C61" s="1">
        <f t="shared" si="4"/>
        <v>4140</v>
      </c>
      <c r="D61" s="1">
        <f t="shared" si="5"/>
        <v>1115</v>
      </c>
      <c r="E61" s="1">
        <f t="shared" si="6"/>
        <v>1660</v>
      </c>
      <c r="F61" s="1"/>
      <c r="H61" s="16">
        <f t="shared" si="1"/>
        <v>42504</v>
      </c>
      <c r="I61" s="29">
        <f t="shared" si="2"/>
        <v>8360</v>
      </c>
      <c r="J61" s="34">
        <f t="shared" si="3"/>
        <v>82.52</v>
      </c>
      <c r="L61" s="11">
        <v>42081</v>
      </c>
      <c r="M61" s="9">
        <v>4140</v>
      </c>
      <c r="N61" s="9">
        <v>1115</v>
      </c>
      <c r="O61" s="9">
        <v>1660</v>
      </c>
      <c r="P61" s="9">
        <v>0</v>
      </c>
      <c r="R61" s="11">
        <v>42504</v>
      </c>
      <c r="S61" s="9">
        <v>8360</v>
      </c>
      <c r="T61" s="9">
        <v>0</v>
      </c>
      <c r="U61" s="9"/>
    </row>
    <row r="62" spans="2:21" x14ac:dyDescent="0.4">
      <c r="B62" s="16">
        <f t="shared" si="0"/>
        <v>42082</v>
      </c>
      <c r="C62" s="1">
        <f t="shared" si="4"/>
        <v>4149</v>
      </c>
      <c r="D62" s="1">
        <f t="shared" si="5"/>
        <v>1115</v>
      </c>
      <c r="E62" s="1">
        <f t="shared" si="6"/>
        <v>1660</v>
      </c>
      <c r="F62" s="1"/>
      <c r="H62" s="16">
        <f t="shared" si="1"/>
        <v>42511</v>
      </c>
      <c r="I62" s="29">
        <f t="shared" si="2"/>
        <v>8300</v>
      </c>
      <c r="J62" s="34">
        <f t="shared" si="3"/>
        <v>82.52</v>
      </c>
      <c r="L62" s="11">
        <v>42082</v>
      </c>
      <c r="M62" s="9">
        <v>4149</v>
      </c>
      <c r="N62" s="9">
        <v>1115</v>
      </c>
      <c r="O62" s="9">
        <v>1660</v>
      </c>
      <c r="P62" s="9">
        <v>0</v>
      </c>
      <c r="R62" s="11">
        <v>42511</v>
      </c>
      <c r="S62" s="9">
        <v>8300</v>
      </c>
      <c r="T62" s="9">
        <v>0</v>
      </c>
      <c r="U62" s="9"/>
    </row>
    <row r="63" spans="2:21" x14ac:dyDescent="0.4">
      <c r="B63" s="16">
        <f t="shared" si="0"/>
        <v>42083</v>
      </c>
      <c r="C63" s="1">
        <f t="shared" si="4"/>
        <v>4158</v>
      </c>
      <c r="D63" s="1">
        <f t="shared" si="5"/>
        <v>1150</v>
      </c>
      <c r="E63" s="1">
        <f t="shared" si="6"/>
        <v>1660</v>
      </c>
      <c r="F63" s="1"/>
      <c r="H63" s="16">
        <f t="shared" si="1"/>
        <v>42518</v>
      </c>
      <c r="I63" s="29">
        <f t="shared" si="2"/>
        <v>8200</v>
      </c>
      <c r="J63" s="34">
        <f t="shared" si="3"/>
        <v>82.52</v>
      </c>
      <c r="L63" s="11">
        <v>42083</v>
      </c>
      <c r="M63" s="9">
        <v>4158</v>
      </c>
      <c r="N63" s="9">
        <v>1150</v>
      </c>
      <c r="O63" s="9">
        <v>1660</v>
      </c>
      <c r="P63" s="9">
        <v>0</v>
      </c>
      <c r="R63" s="11">
        <v>42518</v>
      </c>
      <c r="S63" s="9">
        <v>8200</v>
      </c>
      <c r="T63" s="9">
        <v>0</v>
      </c>
      <c r="U63" s="9"/>
    </row>
    <row r="64" spans="2:21" x14ac:dyDescent="0.4">
      <c r="B64" s="16">
        <f t="shared" si="0"/>
        <v>42086</v>
      </c>
      <c r="C64" s="1">
        <f t="shared" si="4"/>
        <v>4177</v>
      </c>
      <c r="D64" s="1">
        <f t="shared" si="5"/>
        <v>1160</v>
      </c>
      <c r="E64" s="1">
        <f t="shared" si="6"/>
        <v>1660</v>
      </c>
      <c r="F64" s="1"/>
      <c r="H64" s="16">
        <f t="shared" si="1"/>
        <v>42525</v>
      </c>
      <c r="I64" s="29">
        <f t="shared" si="2"/>
        <v>8150</v>
      </c>
      <c r="J64" s="34">
        <f t="shared" si="3"/>
        <v>82.52</v>
      </c>
      <c r="L64" s="11">
        <v>42086</v>
      </c>
      <c r="M64" s="9">
        <v>4177</v>
      </c>
      <c r="N64" s="9">
        <v>1160</v>
      </c>
      <c r="O64" s="9">
        <v>1660</v>
      </c>
      <c r="P64" s="9">
        <v>0</v>
      </c>
      <c r="R64" s="11">
        <v>42525</v>
      </c>
      <c r="S64" s="9">
        <v>8150</v>
      </c>
      <c r="T64" s="9">
        <v>0</v>
      </c>
      <c r="U64" s="9"/>
    </row>
    <row r="65" spans="2:21" x14ac:dyDescent="0.4">
      <c r="B65" s="16">
        <f t="shared" si="0"/>
        <v>42087</v>
      </c>
      <c r="C65" s="1">
        <f t="shared" si="4"/>
        <v>4204</v>
      </c>
      <c r="D65" s="1">
        <f t="shared" si="5"/>
        <v>1160</v>
      </c>
      <c r="E65" s="1">
        <f t="shared" si="6"/>
        <v>1660</v>
      </c>
      <c r="F65" s="1"/>
      <c r="H65" s="16">
        <f t="shared" si="1"/>
        <v>42532</v>
      </c>
      <c r="I65" s="29">
        <f t="shared" si="2"/>
        <v>8190</v>
      </c>
      <c r="J65" s="34">
        <f t="shared" si="3"/>
        <v>82.52</v>
      </c>
      <c r="L65" s="11">
        <v>42087</v>
      </c>
      <c r="M65" s="9">
        <v>4204</v>
      </c>
      <c r="N65" s="9">
        <v>1160</v>
      </c>
      <c r="O65" s="9">
        <v>1660</v>
      </c>
      <c r="P65" s="9">
        <v>0</v>
      </c>
      <c r="R65" s="11">
        <v>42532</v>
      </c>
      <c r="S65" s="9">
        <v>8190</v>
      </c>
      <c r="T65" s="9">
        <v>0</v>
      </c>
      <c r="U65" s="9"/>
    </row>
    <row r="66" spans="2:21" x14ac:dyDescent="0.4">
      <c r="B66" s="16">
        <f t="shared" si="0"/>
        <v>42088</v>
      </c>
      <c r="C66" s="1">
        <f t="shared" si="4"/>
        <v>4215</v>
      </c>
      <c r="D66" s="1">
        <f t="shared" si="5"/>
        <v>1160</v>
      </c>
      <c r="E66" s="1">
        <f t="shared" si="6"/>
        <v>1660</v>
      </c>
      <c r="F66" s="1"/>
      <c r="H66" s="16">
        <f t="shared" si="1"/>
        <v>42539</v>
      </c>
      <c r="I66" s="29">
        <f t="shared" si="2"/>
        <v>8200</v>
      </c>
      <c r="J66" s="34">
        <f t="shared" si="3"/>
        <v>82.52</v>
      </c>
      <c r="L66" s="11">
        <v>42088</v>
      </c>
      <c r="M66" s="9">
        <v>4215</v>
      </c>
      <c r="N66" s="9">
        <v>1160</v>
      </c>
      <c r="O66" s="9">
        <v>1660</v>
      </c>
      <c r="P66" s="9">
        <v>0</v>
      </c>
      <c r="R66" s="11">
        <v>42539</v>
      </c>
      <c r="S66" s="9">
        <v>8200</v>
      </c>
      <c r="T66" s="9">
        <v>0</v>
      </c>
      <c r="U66" s="9"/>
    </row>
    <row r="67" spans="2:21" x14ac:dyDescent="0.4">
      <c r="B67" s="16">
        <f t="shared" si="0"/>
        <v>42089</v>
      </c>
      <c r="C67" s="1">
        <f t="shared" si="4"/>
        <v>4213</v>
      </c>
      <c r="D67" s="1">
        <f t="shared" si="5"/>
        <v>1170</v>
      </c>
      <c r="E67" s="1">
        <f t="shared" si="6"/>
        <v>1660</v>
      </c>
      <c r="F67" s="1"/>
      <c r="H67" s="16">
        <f t="shared" si="1"/>
        <v>42546</v>
      </c>
      <c r="I67" s="29">
        <f t="shared" si="2"/>
        <v>8200</v>
      </c>
      <c r="J67" s="34">
        <f t="shared" si="3"/>
        <v>82.52</v>
      </c>
      <c r="L67" s="11">
        <v>42089</v>
      </c>
      <c r="M67" s="9">
        <v>4213</v>
      </c>
      <c r="N67" s="9">
        <v>1170</v>
      </c>
      <c r="O67" s="9">
        <v>1660</v>
      </c>
      <c r="P67" s="9">
        <v>0</v>
      </c>
      <c r="R67" s="11">
        <v>42546</v>
      </c>
      <c r="S67" s="9">
        <v>8200</v>
      </c>
      <c r="T67" s="9">
        <v>0</v>
      </c>
      <c r="U67" s="9"/>
    </row>
    <row r="68" spans="2:21" x14ac:dyDescent="0.4">
      <c r="B68" s="16">
        <f t="shared" si="0"/>
        <v>42090</v>
      </c>
      <c r="C68" s="1">
        <f t="shared" si="4"/>
        <v>4229</v>
      </c>
      <c r="D68" s="1">
        <f t="shared" si="5"/>
        <v>1190</v>
      </c>
      <c r="E68" s="1">
        <f t="shared" si="6"/>
        <v>1660</v>
      </c>
      <c r="F68" s="1"/>
      <c r="H68" s="16">
        <f t="shared" si="1"/>
        <v>42553</v>
      </c>
      <c r="I68" s="29">
        <f t="shared" si="2"/>
        <v>8240</v>
      </c>
      <c r="J68" s="34">
        <f t="shared" si="3"/>
        <v>82.52</v>
      </c>
      <c r="L68" s="11">
        <v>42090</v>
      </c>
      <c r="M68" s="9">
        <v>4229</v>
      </c>
      <c r="N68" s="9">
        <v>1190</v>
      </c>
      <c r="O68" s="9">
        <v>1660</v>
      </c>
      <c r="P68" s="9">
        <v>0</v>
      </c>
      <c r="R68" s="11">
        <v>42553</v>
      </c>
      <c r="S68" s="9">
        <v>8240</v>
      </c>
      <c r="T68" s="9">
        <v>0</v>
      </c>
      <c r="U68" s="9"/>
    </row>
    <row r="69" spans="2:21" x14ac:dyDescent="0.4">
      <c r="B69" s="16">
        <f t="shared" si="0"/>
        <v>42093</v>
      </c>
      <c r="C69" s="1">
        <f t="shared" si="4"/>
        <v>4227</v>
      </c>
      <c r="D69" s="1">
        <f t="shared" si="5"/>
        <v>1190</v>
      </c>
      <c r="E69" s="1">
        <f t="shared" si="6"/>
        <v>1660</v>
      </c>
      <c r="F69" s="1"/>
      <c r="H69" s="16">
        <f t="shared" si="1"/>
        <v>42560</v>
      </c>
      <c r="I69" s="29">
        <f t="shared" si="2"/>
        <v>8330</v>
      </c>
      <c r="J69" s="34">
        <f t="shared" si="3"/>
        <v>82.52</v>
      </c>
      <c r="L69" s="11">
        <v>42093</v>
      </c>
      <c r="M69" s="9">
        <v>4227</v>
      </c>
      <c r="N69" s="9">
        <v>1190</v>
      </c>
      <c r="O69" s="9">
        <v>1660</v>
      </c>
      <c r="P69" s="9">
        <v>0</v>
      </c>
      <c r="R69" s="11">
        <v>42560</v>
      </c>
      <c r="S69" s="9">
        <v>8330</v>
      </c>
      <c r="T69" s="9">
        <v>0</v>
      </c>
      <c r="U69" s="9"/>
    </row>
    <row r="70" spans="2:21" x14ac:dyDescent="0.4">
      <c r="B70" s="16">
        <f t="shared" ref="B70:B133" si="7">L70</f>
        <v>42094</v>
      </c>
      <c r="C70" s="1">
        <f t="shared" si="4"/>
        <v>4230</v>
      </c>
      <c r="D70" s="1">
        <f t="shared" si="5"/>
        <v>1190</v>
      </c>
      <c r="E70" s="1">
        <f t="shared" si="6"/>
        <v>1660</v>
      </c>
      <c r="F70" s="1"/>
      <c r="H70" s="16">
        <f t="shared" ref="H70:H133" si="8">R70</f>
        <v>42567</v>
      </c>
      <c r="I70" s="29">
        <f t="shared" ref="I70:I133" si="9">IF(S70&lt;&gt;0,S70,I69)</f>
        <v>8380</v>
      </c>
      <c r="J70" s="34">
        <f t="shared" ref="J70:J133" si="10">IF(T70&lt;&gt;0,T70,J69)</f>
        <v>82.52</v>
      </c>
      <c r="L70" s="11">
        <v>42094</v>
      </c>
      <c r="M70" s="9">
        <v>4230</v>
      </c>
      <c r="N70" s="9">
        <v>1190</v>
      </c>
      <c r="O70" s="9">
        <v>1660</v>
      </c>
      <c r="P70" s="9">
        <v>0</v>
      </c>
      <c r="R70" s="11">
        <v>42567</v>
      </c>
      <c r="S70" s="9">
        <v>8380</v>
      </c>
      <c r="T70" s="9">
        <v>0</v>
      </c>
      <c r="U70" s="9"/>
    </row>
    <row r="71" spans="2:21" x14ac:dyDescent="0.4">
      <c r="B71" s="16">
        <f t="shared" si="7"/>
        <v>42095</v>
      </c>
      <c r="C71" s="1">
        <f t="shared" ref="C71:C134" si="11">IF(M71&lt;&gt;0,M71,C70)</f>
        <v>4252</v>
      </c>
      <c r="D71" s="1">
        <f t="shared" ref="D71:D134" si="12">IF(N71&lt;&gt;0,N71,D70)</f>
        <v>1255</v>
      </c>
      <c r="E71" s="1">
        <f t="shared" ref="E71:E134" si="13">IF(O71&lt;&gt;0,O71,E70)</f>
        <v>1660</v>
      </c>
      <c r="F71" s="1"/>
      <c r="H71" s="16">
        <f t="shared" si="8"/>
        <v>42574</v>
      </c>
      <c r="I71" s="29">
        <f t="shared" si="9"/>
        <v>8550</v>
      </c>
      <c r="J71" s="34">
        <f t="shared" si="10"/>
        <v>82.52</v>
      </c>
      <c r="L71" s="11">
        <v>42095</v>
      </c>
      <c r="M71" s="9">
        <v>4252</v>
      </c>
      <c r="N71" s="9">
        <v>1255</v>
      </c>
      <c r="O71" s="9">
        <v>1660</v>
      </c>
      <c r="P71" s="9">
        <v>0</v>
      </c>
      <c r="R71" s="11">
        <v>42574</v>
      </c>
      <c r="S71" s="9">
        <v>8550</v>
      </c>
      <c r="T71" s="9">
        <v>0</v>
      </c>
      <c r="U71" s="9"/>
    </row>
    <row r="72" spans="2:21" x14ac:dyDescent="0.4">
      <c r="B72" s="16">
        <f t="shared" si="7"/>
        <v>42096</v>
      </c>
      <c r="C72" s="1">
        <f t="shared" si="11"/>
        <v>4264</v>
      </c>
      <c r="D72" s="1">
        <f t="shared" si="12"/>
        <v>1255</v>
      </c>
      <c r="E72" s="1">
        <f t="shared" si="13"/>
        <v>1660</v>
      </c>
      <c r="F72" s="1"/>
      <c r="H72" s="16">
        <f t="shared" si="8"/>
        <v>42581</v>
      </c>
      <c r="I72" s="29">
        <f t="shared" si="9"/>
        <v>8725</v>
      </c>
      <c r="J72" s="34">
        <f t="shared" si="10"/>
        <v>82.52</v>
      </c>
      <c r="L72" s="11">
        <v>42096</v>
      </c>
      <c r="M72" s="9">
        <v>4264</v>
      </c>
      <c r="N72" s="9">
        <v>1255</v>
      </c>
      <c r="O72" s="9">
        <v>1660</v>
      </c>
      <c r="P72" s="9">
        <v>0</v>
      </c>
      <c r="R72" s="11">
        <v>42581</v>
      </c>
      <c r="S72" s="9">
        <v>8725</v>
      </c>
      <c r="T72" s="9">
        <v>0</v>
      </c>
      <c r="U72" s="9"/>
    </row>
    <row r="73" spans="2:21" x14ac:dyDescent="0.4">
      <c r="B73" s="16">
        <f t="shared" si="7"/>
        <v>42097</v>
      </c>
      <c r="C73" s="1">
        <f t="shared" si="11"/>
        <v>4281</v>
      </c>
      <c r="D73" s="1">
        <f t="shared" si="12"/>
        <v>1255</v>
      </c>
      <c r="E73" s="1">
        <f t="shared" si="13"/>
        <v>1670</v>
      </c>
      <c r="F73" s="1"/>
      <c r="H73" s="16">
        <f t="shared" si="8"/>
        <v>42588</v>
      </c>
      <c r="I73" s="29">
        <f t="shared" si="9"/>
        <v>8725</v>
      </c>
      <c r="J73" s="34">
        <f t="shared" si="10"/>
        <v>82.52</v>
      </c>
      <c r="L73" s="11">
        <v>42097</v>
      </c>
      <c r="M73" s="9">
        <v>4281</v>
      </c>
      <c r="N73" s="9">
        <v>1255</v>
      </c>
      <c r="O73" s="9">
        <v>1670</v>
      </c>
      <c r="P73" s="9">
        <v>0</v>
      </c>
      <c r="R73" s="11">
        <v>42588</v>
      </c>
      <c r="S73" s="9">
        <v>8725</v>
      </c>
      <c r="T73" s="9">
        <v>0</v>
      </c>
      <c r="U73" s="9"/>
    </row>
    <row r="74" spans="2:21" x14ac:dyDescent="0.4">
      <c r="B74" s="16">
        <f t="shared" si="7"/>
        <v>42100</v>
      </c>
      <c r="C74" s="1">
        <f t="shared" si="11"/>
        <v>4281</v>
      </c>
      <c r="D74" s="1">
        <f t="shared" si="12"/>
        <v>1255</v>
      </c>
      <c r="E74" s="1">
        <f t="shared" si="13"/>
        <v>1670</v>
      </c>
      <c r="F74" s="1"/>
      <c r="H74" s="16">
        <f t="shared" si="8"/>
        <v>42595</v>
      </c>
      <c r="I74" s="29">
        <f t="shared" si="9"/>
        <v>8645</v>
      </c>
      <c r="J74" s="34">
        <f t="shared" si="10"/>
        <v>82.52</v>
      </c>
      <c r="L74" s="11">
        <v>42100</v>
      </c>
      <c r="M74" s="9">
        <v>0</v>
      </c>
      <c r="N74" s="9">
        <v>1255</v>
      </c>
      <c r="O74" s="9">
        <v>0</v>
      </c>
      <c r="P74" s="9">
        <v>0</v>
      </c>
      <c r="R74" s="11">
        <v>42595</v>
      </c>
      <c r="S74" s="9">
        <v>8645</v>
      </c>
      <c r="T74" s="9">
        <v>0</v>
      </c>
      <c r="U74" s="9"/>
    </row>
    <row r="75" spans="2:21" x14ac:dyDescent="0.4">
      <c r="B75" s="16">
        <f t="shared" si="7"/>
        <v>42101</v>
      </c>
      <c r="C75" s="1">
        <f t="shared" si="11"/>
        <v>4318</v>
      </c>
      <c r="D75" s="1">
        <f t="shared" si="12"/>
        <v>1255</v>
      </c>
      <c r="E75" s="1">
        <f t="shared" si="13"/>
        <v>1670</v>
      </c>
      <c r="F75" s="1"/>
      <c r="H75" s="16">
        <f t="shared" si="8"/>
        <v>42602</v>
      </c>
      <c r="I75" s="29">
        <f t="shared" si="9"/>
        <v>8625</v>
      </c>
      <c r="J75" s="34">
        <f t="shared" si="10"/>
        <v>82.52</v>
      </c>
      <c r="L75" s="11">
        <v>42101</v>
      </c>
      <c r="M75" s="9">
        <v>4318</v>
      </c>
      <c r="N75" s="9">
        <v>1255</v>
      </c>
      <c r="O75" s="9">
        <v>1670</v>
      </c>
      <c r="P75" s="9">
        <v>0</v>
      </c>
      <c r="R75" s="11">
        <v>42602</v>
      </c>
      <c r="S75" s="9">
        <v>8625</v>
      </c>
      <c r="T75" s="9">
        <v>0</v>
      </c>
      <c r="U75" s="9"/>
    </row>
    <row r="76" spans="2:21" x14ac:dyDescent="0.4">
      <c r="B76" s="16">
        <f t="shared" si="7"/>
        <v>42102</v>
      </c>
      <c r="C76" s="1">
        <f t="shared" si="11"/>
        <v>4348</v>
      </c>
      <c r="D76" s="1">
        <f t="shared" si="12"/>
        <v>1305</v>
      </c>
      <c r="E76" s="1">
        <f t="shared" si="13"/>
        <v>1640</v>
      </c>
      <c r="F76" s="1"/>
      <c r="H76" s="16">
        <f t="shared" si="8"/>
        <v>42609</v>
      </c>
      <c r="I76" s="29">
        <f t="shared" si="9"/>
        <v>8625</v>
      </c>
      <c r="J76" s="34">
        <f t="shared" si="10"/>
        <v>82.52</v>
      </c>
      <c r="L76" s="11">
        <v>42102</v>
      </c>
      <c r="M76" s="9">
        <v>4348</v>
      </c>
      <c r="N76" s="9">
        <v>1305</v>
      </c>
      <c r="O76" s="9">
        <v>1640</v>
      </c>
      <c r="P76" s="9">
        <v>0</v>
      </c>
      <c r="R76" s="11">
        <v>42609</v>
      </c>
      <c r="S76" s="9">
        <v>8625</v>
      </c>
      <c r="T76" s="9">
        <v>0</v>
      </c>
      <c r="U76" s="9"/>
    </row>
    <row r="77" spans="2:21" x14ac:dyDescent="0.4">
      <c r="B77" s="16">
        <f t="shared" si="7"/>
        <v>42103</v>
      </c>
      <c r="C77" s="1">
        <f t="shared" si="11"/>
        <v>4356</v>
      </c>
      <c r="D77" s="1">
        <f t="shared" si="12"/>
        <v>1310</v>
      </c>
      <c r="E77" s="1">
        <f t="shared" si="13"/>
        <v>1640</v>
      </c>
      <c r="F77" s="1"/>
      <c r="H77" s="16">
        <f t="shared" si="8"/>
        <v>42616</v>
      </c>
      <c r="I77" s="29">
        <f t="shared" si="9"/>
        <v>8625</v>
      </c>
      <c r="J77" s="34">
        <f t="shared" si="10"/>
        <v>82.52</v>
      </c>
      <c r="L77" s="11">
        <v>42103</v>
      </c>
      <c r="M77" s="9">
        <v>4356</v>
      </c>
      <c r="N77" s="9">
        <v>1310</v>
      </c>
      <c r="O77" s="9">
        <v>1640</v>
      </c>
      <c r="P77" s="9">
        <v>0</v>
      </c>
      <c r="R77" s="11">
        <v>42616</v>
      </c>
      <c r="S77" s="9">
        <v>8625</v>
      </c>
      <c r="T77" s="9">
        <v>0</v>
      </c>
      <c r="U77" s="9"/>
    </row>
    <row r="78" spans="2:21" x14ac:dyDescent="0.4">
      <c r="B78" s="16">
        <f t="shared" si="7"/>
        <v>42104</v>
      </c>
      <c r="C78" s="1">
        <f t="shared" si="11"/>
        <v>4350</v>
      </c>
      <c r="D78" s="1">
        <f t="shared" si="12"/>
        <v>1330</v>
      </c>
      <c r="E78" s="1">
        <f t="shared" si="13"/>
        <v>1580</v>
      </c>
      <c r="F78" s="1"/>
      <c r="H78" s="16">
        <f t="shared" si="8"/>
        <v>42623</v>
      </c>
      <c r="I78" s="29">
        <f t="shared" si="9"/>
        <v>8625</v>
      </c>
      <c r="J78" s="34">
        <f t="shared" si="10"/>
        <v>82.52</v>
      </c>
      <c r="L78" s="11">
        <v>42104</v>
      </c>
      <c r="M78" s="9">
        <v>4350</v>
      </c>
      <c r="N78" s="9">
        <v>1330</v>
      </c>
      <c r="O78" s="9">
        <v>1580</v>
      </c>
      <c r="P78" s="9">
        <v>0</v>
      </c>
      <c r="R78" s="11">
        <v>42623</v>
      </c>
      <c r="S78" s="9">
        <v>8625</v>
      </c>
      <c r="T78" s="9">
        <v>0</v>
      </c>
      <c r="U78" s="9"/>
    </row>
    <row r="79" spans="2:21" x14ac:dyDescent="0.4">
      <c r="B79" s="16">
        <f t="shared" si="7"/>
        <v>42107</v>
      </c>
      <c r="C79" s="1">
        <f t="shared" si="11"/>
        <v>4349</v>
      </c>
      <c r="D79" s="1">
        <f t="shared" si="12"/>
        <v>1380</v>
      </c>
      <c r="E79" s="1">
        <f t="shared" si="13"/>
        <v>1580</v>
      </c>
      <c r="F79" s="1"/>
      <c r="H79" s="16">
        <f t="shared" si="8"/>
        <v>42630</v>
      </c>
      <c r="I79" s="29">
        <f t="shared" si="9"/>
        <v>8625</v>
      </c>
      <c r="J79" s="34">
        <f t="shared" si="10"/>
        <v>82.52</v>
      </c>
      <c r="L79" s="11">
        <v>42107</v>
      </c>
      <c r="M79" s="9">
        <v>4349</v>
      </c>
      <c r="N79" s="9">
        <v>1380</v>
      </c>
      <c r="O79" s="9">
        <v>1580</v>
      </c>
      <c r="P79" s="9">
        <v>0</v>
      </c>
      <c r="R79" s="11">
        <v>42630</v>
      </c>
      <c r="S79" s="9">
        <v>8625</v>
      </c>
      <c r="T79" s="9">
        <v>0</v>
      </c>
      <c r="U79" s="9"/>
    </row>
    <row r="80" spans="2:21" x14ac:dyDescent="0.4">
      <c r="B80" s="16">
        <f t="shared" si="7"/>
        <v>42108</v>
      </c>
      <c r="C80" s="1">
        <f t="shared" si="11"/>
        <v>4369</v>
      </c>
      <c r="D80" s="1">
        <f t="shared" si="12"/>
        <v>1380</v>
      </c>
      <c r="E80" s="1">
        <f t="shared" si="13"/>
        <v>1580</v>
      </c>
      <c r="F80" s="1"/>
      <c r="H80" s="16">
        <f t="shared" si="8"/>
        <v>42637</v>
      </c>
      <c r="I80" s="29">
        <f t="shared" si="9"/>
        <v>8625</v>
      </c>
      <c r="J80" s="34">
        <f t="shared" si="10"/>
        <v>82.52</v>
      </c>
      <c r="L80" s="11">
        <v>42108</v>
      </c>
      <c r="M80" s="9">
        <v>4369</v>
      </c>
      <c r="N80" s="9">
        <v>1380</v>
      </c>
      <c r="O80" s="9">
        <v>1580</v>
      </c>
      <c r="P80" s="9">
        <v>0</v>
      </c>
      <c r="R80" s="11">
        <v>42637</v>
      </c>
      <c r="S80" s="9">
        <v>8625</v>
      </c>
      <c r="T80" s="9">
        <v>0</v>
      </c>
      <c r="U80" s="9"/>
    </row>
    <row r="81" spans="2:21" x14ac:dyDescent="0.4">
      <c r="B81" s="16">
        <f t="shared" si="7"/>
        <v>42109</v>
      </c>
      <c r="C81" s="1">
        <f t="shared" si="11"/>
        <v>4412</v>
      </c>
      <c r="D81" s="1">
        <f t="shared" si="12"/>
        <v>1390</v>
      </c>
      <c r="E81" s="1">
        <f t="shared" si="13"/>
        <v>1580</v>
      </c>
      <c r="F81" s="1"/>
      <c r="H81" s="16">
        <f t="shared" si="8"/>
        <v>42644</v>
      </c>
      <c r="I81" s="29">
        <f t="shared" si="9"/>
        <v>8625</v>
      </c>
      <c r="J81" s="34">
        <f t="shared" si="10"/>
        <v>82.52</v>
      </c>
      <c r="L81" s="11">
        <v>42109</v>
      </c>
      <c r="M81" s="9">
        <v>4412</v>
      </c>
      <c r="N81" s="9">
        <v>1390</v>
      </c>
      <c r="O81" s="9">
        <v>1580</v>
      </c>
      <c r="P81" s="9">
        <v>0</v>
      </c>
      <c r="R81" s="11">
        <v>42644</v>
      </c>
      <c r="S81" s="9">
        <v>8625</v>
      </c>
      <c r="T81" s="9">
        <v>0</v>
      </c>
      <c r="U81" s="9"/>
    </row>
    <row r="82" spans="2:21" x14ac:dyDescent="0.4">
      <c r="B82" s="16">
        <f t="shared" si="7"/>
        <v>42110</v>
      </c>
      <c r="C82" s="1">
        <f t="shared" si="11"/>
        <v>4431</v>
      </c>
      <c r="D82" s="1">
        <f t="shared" si="12"/>
        <v>1390</v>
      </c>
      <c r="E82" s="1">
        <f t="shared" si="13"/>
        <v>1580</v>
      </c>
      <c r="F82" s="1"/>
      <c r="H82" s="16">
        <f t="shared" si="8"/>
        <v>42651</v>
      </c>
      <c r="I82" s="29">
        <f t="shared" si="9"/>
        <v>8675</v>
      </c>
      <c r="J82" s="34">
        <f t="shared" si="10"/>
        <v>82.52</v>
      </c>
      <c r="L82" s="11">
        <v>42110</v>
      </c>
      <c r="M82" s="9">
        <v>4431</v>
      </c>
      <c r="N82" s="9">
        <v>1390</v>
      </c>
      <c r="O82" s="9">
        <v>1580</v>
      </c>
      <c r="P82" s="9">
        <v>0</v>
      </c>
      <c r="R82" s="11">
        <v>42651</v>
      </c>
      <c r="S82" s="9">
        <v>8675</v>
      </c>
      <c r="T82" s="9">
        <v>0</v>
      </c>
      <c r="U82" s="9"/>
    </row>
    <row r="83" spans="2:21" x14ac:dyDescent="0.4">
      <c r="B83" s="16">
        <f t="shared" si="7"/>
        <v>42111</v>
      </c>
      <c r="C83" s="1">
        <f t="shared" si="11"/>
        <v>4447</v>
      </c>
      <c r="D83" s="1">
        <f t="shared" si="12"/>
        <v>1400</v>
      </c>
      <c r="E83" s="1">
        <f t="shared" si="13"/>
        <v>1570</v>
      </c>
      <c r="F83" s="1"/>
      <c r="H83" s="16">
        <f t="shared" si="8"/>
        <v>42658</v>
      </c>
      <c r="I83" s="29">
        <f t="shared" si="9"/>
        <v>8741.6666666666661</v>
      </c>
      <c r="J83" s="34">
        <f t="shared" si="10"/>
        <v>82.52</v>
      </c>
      <c r="L83" s="11">
        <v>42111</v>
      </c>
      <c r="M83" s="9">
        <v>4447</v>
      </c>
      <c r="N83" s="9">
        <v>1400</v>
      </c>
      <c r="O83" s="9">
        <v>1570</v>
      </c>
      <c r="P83" s="9">
        <v>0</v>
      </c>
      <c r="R83" s="11">
        <v>42658</v>
      </c>
      <c r="S83" s="9">
        <v>8741.6666666666661</v>
      </c>
      <c r="T83" s="9">
        <v>0</v>
      </c>
      <c r="U83" s="9"/>
    </row>
    <row r="84" spans="2:21" x14ac:dyDescent="0.4">
      <c r="B84" s="16">
        <f t="shared" si="7"/>
        <v>42114</v>
      </c>
      <c r="C84" s="1">
        <f t="shared" si="11"/>
        <v>4470</v>
      </c>
      <c r="D84" s="1">
        <f t="shared" si="12"/>
        <v>1405</v>
      </c>
      <c r="E84" s="1">
        <f t="shared" si="13"/>
        <v>1560</v>
      </c>
      <c r="F84" s="1"/>
      <c r="H84" s="16">
        <f t="shared" si="8"/>
        <v>42665</v>
      </c>
      <c r="I84" s="29">
        <f t="shared" si="9"/>
        <v>8905</v>
      </c>
      <c r="J84" s="34">
        <f t="shared" si="10"/>
        <v>82.52</v>
      </c>
      <c r="L84" s="11">
        <v>42114</v>
      </c>
      <c r="M84" s="9">
        <v>4470</v>
      </c>
      <c r="N84" s="9">
        <v>1405</v>
      </c>
      <c r="O84" s="9">
        <v>1560</v>
      </c>
      <c r="P84" s="9">
        <v>0</v>
      </c>
      <c r="R84" s="11">
        <v>42665</v>
      </c>
      <c r="S84" s="9">
        <v>8905</v>
      </c>
      <c r="T84" s="9">
        <v>0</v>
      </c>
      <c r="U84" s="9"/>
    </row>
    <row r="85" spans="2:21" x14ac:dyDescent="0.4">
      <c r="B85" s="16">
        <f t="shared" si="7"/>
        <v>42115</v>
      </c>
      <c r="C85" s="1">
        <f t="shared" si="11"/>
        <v>4540</v>
      </c>
      <c r="D85" s="1">
        <f t="shared" si="12"/>
        <v>1420</v>
      </c>
      <c r="E85" s="1">
        <f t="shared" si="13"/>
        <v>1560</v>
      </c>
      <c r="F85" s="1"/>
      <c r="H85" s="16">
        <f t="shared" si="8"/>
        <v>42672</v>
      </c>
      <c r="I85" s="29">
        <f t="shared" si="9"/>
        <v>9060</v>
      </c>
      <c r="J85" s="34">
        <f t="shared" si="10"/>
        <v>82.52</v>
      </c>
      <c r="L85" s="11">
        <v>42115</v>
      </c>
      <c r="M85" s="9">
        <v>4540</v>
      </c>
      <c r="N85" s="9">
        <v>1420</v>
      </c>
      <c r="O85" s="9">
        <v>1560</v>
      </c>
      <c r="P85" s="9">
        <v>0</v>
      </c>
      <c r="R85" s="11">
        <v>42672</v>
      </c>
      <c r="S85" s="9">
        <v>9060</v>
      </c>
      <c r="T85" s="9">
        <v>0</v>
      </c>
      <c r="U85" s="9"/>
    </row>
    <row r="86" spans="2:21" x14ac:dyDescent="0.4">
      <c r="B86" s="16">
        <f t="shared" si="7"/>
        <v>42116</v>
      </c>
      <c r="C86" s="1">
        <f t="shared" si="11"/>
        <v>4542</v>
      </c>
      <c r="D86" s="1">
        <f t="shared" si="12"/>
        <v>1420</v>
      </c>
      <c r="E86" s="1">
        <f t="shared" si="13"/>
        <v>1560</v>
      </c>
      <c r="F86" s="1"/>
      <c r="H86" s="16">
        <f t="shared" si="8"/>
        <v>42679</v>
      </c>
      <c r="I86" s="29">
        <f t="shared" si="9"/>
        <v>9100</v>
      </c>
      <c r="J86" s="34">
        <f t="shared" si="10"/>
        <v>82.52</v>
      </c>
      <c r="L86" s="11">
        <v>42116</v>
      </c>
      <c r="M86" s="9">
        <v>4542</v>
      </c>
      <c r="N86" s="9">
        <v>1420</v>
      </c>
      <c r="O86" s="9">
        <v>1560</v>
      </c>
      <c r="P86" s="9">
        <v>0</v>
      </c>
      <c r="R86" s="11">
        <v>42679</v>
      </c>
      <c r="S86" s="9">
        <v>9100</v>
      </c>
      <c r="T86" s="9">
        <v>0</v>
      </c>
      <c r="U86" s="9"/>
    </row>
    <row r="87" spans="2:21" x14ac:dyDescent="0.4">
      <c r="B87" s="16">
        <f t="shared" si="7"/>
        <v>42117</v>
      </c>
      <c r="C87" s="1">
        <f t="shared" si="11"/>
        <v>4564</v>
      </c>
      <c r="D87" s="1">
        <f t="shared" si="12"/>
        <v>1430</v>
      </c>
      <c r="E87" s="1">
        <f t="shared" si="13"/>
        <v>1580</v>
      </c>
      <c r="F87" s="1"/>
      <c r="H87" s="16">
        <f t="shared" si="8"/>
        <v>42686</v>
      </c>
      <c r="I87" s="29">
        <f t="shared" si="9"/>
        <v>9120</v>
      </c>
      <c r="J87" s="34">
        <f t="shared" si="10"/>
        <v>82.52</v>
      </c>
      <c r="L87" s="11">
        <v>42117</v>
      </c>
      <c r="M87" s="9">
        <v>4564</v>
      </c>
      <c r="N87" s="9">
        <v>1430</v>
      </c>
      <c r="O87" s="9">
        <v>1580</v>
      </c>
      <c r="P87" s="9">
        <v>0</v>
      </c>
      <c r="R87" s="11">
        <v>42686</v>
      </c>
      <c r="S87" s="9">
        <v>9120</v>
      </c>
      <c r="T87" s="9">
        <v>0</v>
      </c>
      <c r="U87" s="9"/>
    </row>
    <row r="88" spans="2:21" x14ac:dyDescent="0.4">
      <c r="B88" s="16">
        <f t="shared" si="7"/>
        <v>42118</v>
      </c>
      <c r="C88" s="1">
        <f t="shared" si="11"/>
        <v>4575</v>
      </c>
      <c r="D88" s="1">
        <f t="shared" si="12"/>
        <v>1430</v>
      </c>
      <c r="E88" s="1">
        <f t="shared" si="13"/>
        <v>1600</v>
      </c>
      <c r="F88" s="1"/>
      <c r="H88" s="16">
        <f t="shared" si="8"/>
        <v>42693</v>
      </c>
      <c r="I88" s="29">
        <f t="shared" si="9"/>
        <v>9280</v>
      </c>
      <c r="J88" s="34">
        <f t="shared" si="10"/>
        <v>82.52</v>
      </c>
      <c r="L88" s="11">
        <v>42118</v>
      </c>
      <c r="M88" s="9">
        <v>4575</v>
      </c>
      <c r="N88" s="9">
        <v>1430</v>
      </c>
      <c r="O88" s="9">
        <v>1600</v>
      </c>
      <c r="P88" s="9">
        <v>0</v>
      </c>
      <c r="R88" s="11">
        <v>42693</v>
      </c>
      <c r="S88" s="9">
        <v>9280</v>
      </c>
      <c r="T88" s="9">
        <v>0</v>
      </c>
      <c r="U88" s="9"/>
    </row>
    <row r="89" spans="2:21" x14ac:dyDescent="0.4">
      <c r="B89" s="16">
        <f t="shared" si="7"/>
        <v>42121</v>
      </c>
      <c r="C89" s="1">
        <f t="shared" si="11"/>
        <v>4586</v>
      </c>
      <c r="D89" s="1">
        <f t="shared" si="12"/>
        <v>1430</v>
      </c>
      <c r="E89" s="1">
        <f t="shared" si="13"/>
        <v>1600</v>
      </c>
      <c r="F89" s="1"/>
      <c r="H89" s="16">
        <f t="shared" si="8"/>
        <v>42700</v>
      </c>
      <c r="I89" s="29">
        <f t="shared" si="9"/>
        <v>9360</v>
      </c>
      <c r="J89" s="34">
        <f t="shared" si="10"/>
        <v>82.52</v>
      </c>
      <c r="L89" s="11">
        <v>42121</v>
      </c>
      <c r="M89" s="9">
        <v>4586</v>
      </c>
      <c r="N89" s="9">
        <v>1430</v>
      </c>
      <c r="O89" s="9">
        <v>1600</v>
      </c>
      <c r="P89" s="9">
        <v>0</v>
      </c>
      <c r="R89" s="11">
        <v>42700</v>
      </c>
      <c r="S89" s="9">
        <v>9360</v>
      </c>
      <c r="T89" s="9">
        <v>0</v>
      </c>
      <c r="U89" s="9"/>
    </row>
    <row r="90" spans="2:21" x14ac:dyDescent="0.4">
      <c r="B90" s="16">
        <f t="shared" si="7"/>
        <v>42122</v>
      </c>
      <c r="C90" s="1">
        <f t="shared" si="11"/>
        <v>4611</v>
      </c>
      <c r="D90" s="1">
        <f t="shared" si="12"/>
        <v>1440</v>
      </c>
      <c r="E90" s="1">
        <f t="shared" si="13"/>
        <v>1600</v>
      </c>
      <c r="F90" s="1"/>
      <c r="H90" s="16">
        <f t="shared" si="8"/>
        <v>42707</v>
      </c>
      <c r="I90" s="29">
        <f t="shared" si="9"/>
        <v>9380</v>
      </c>
      <c r="J90" s="34">
        <f t="shared" si="10"/>
        <v>82.52</v>
      </c>
      <c r="L90" s="11">
        <v>42122</v>
      </c>
      <c r="M90" s="9">
        <v>4611</v>
      </c>
      <c r="N90" s="9">
        <v>1440</v>
      </c>
      <c r="O90" s="9">
        <v>1600</v>
      </c>
      <c r="P90" s="9">
        <v>0</v>
      </c>
      <c r="R90" s="11">
        <v>42707</v>
      </c>
      <c r="S90" s="9">
        <v>9380</v>
      </c>
      <c r="T90" s="9">
        <v>0</v>
      </c>
      <c r="U90" s="9"/>
    </row>
    <row r="91" spans="2:21" x14ac:dyDescent="0.4">
      <c r="B91" s="16">
        <f t="shared" si="7"/>
        <v>42123</v>
      </c>
      <c r="C91" s="1">
        <f t="shared" si="11"/>
        <v>4588</v>
      </c>
      <c r="D91" s="1">
        <f t="shared" si="12"/>
        <v>1430</v>
      </c>
      <c r="E91" s="1">
        <f t="shared" si="13"/>
        <v>1610</v>
      </c>
      <c r="F91" s="1"/>
      <c r="H91" s="16">
        <f t="shared" si="8"/>
        <v>42714</v>
      </c>
      <c r="I91" s="29">
        <f t="shared" si="9"/>
        <v>9610</v>
      </c>
      <c r="J91" s="34">
        <f t="shared" si="10"/>
        <v>82.52</v>
      </c>
      <c r="L91" s="11">
        <v>42123</v>
      </c>
      <c r="M91" s="9">
        <v>4588</v>
      </c>
      <c r="N91" s="9">
        <v>1430</v>
      </c>
      <c r="O91" s="9">
        <v>1610</v>
      </c>
      <c r="P91" s="9">
        <v>0</v>
      </c>
      <c r="R91" s="11">
        <v>42714</v>
      </c>
      <c r="S91" s="9">
        <v>9610</v>
      </c>
      <c r="T91" s="9">
        <v>0</v>
      </c>
      <c r="U91" s="9"/>
    </row>
    <row r="92" spans="2:21" x14ac:dyDescent="0.4">
      <c r="B92" s="16">
        <f t="shared" si="7"/>
        <v>42124</v>
      </c>
      <c r="C92" s="1">
        <f t="shared" si="11"/>
        <v>4587</v>
      </c>
      <c r="D92" s="1">
        <f t="shared" si="12"/>
        <v>1430</v>
      </c>
      <c r="E92" s="1">
        <f t="shared" si="13"/>
        <v>1610</v>
      </c>
      <c r="F92" s="1"/>
      <c r="H92" s="16">
        <f t="shared" si="8"/>
        <v>42721</v>
      </c>
      <c r="I92" s="29">
        <f t="shared" si="9"/>
        <v>10375</v>
      </c>
      <c r="J92" s="34">
        <f t="shared" si="10"/>
        <v>82.52</v>
      </c>
      <c r="L92" s="11">
        <v>42124</v>
      </c>
      <c r="M92" s="9">
        <v>4587</v>
      </c>
      <c r="N92" s="9">
        <v>1430</v>
      </c>
      <c r="O92" s="9">
        <v>1610</v>
      </c>
      <c r="P92" s="9">
        <v>0</v>
      </c>
      <c r="R92" s="11">
        <v>42721</v>
      </c>
      <c r="S92" s="9">
        <v>10375</v>
      </c>
      <c r="T92" s="9">
        <v>0</v>
      </c>
      <c r="U92" s="9"/>
    </row>
    <row r="93" spans="2:21" x14ac:dyDescent="0.4">
      <c r="B93" s="16">
        <f t="shared" si="7"/>
        <v>42125</v>
      </c>
      <c r="C93" s="1">
        <f t="shared" si="11"/>
        <v>4587</v>
      </c>
      <c r="D93" s="1">
        <f t="shared" si="12"/>
        <v>1430</v>
      </c>
      <c r="E93" s="1">
        <f t="shared" si="13"/>
        <v>1610</v>
      </c>
      <c r="F93" s="1"/>
      <c r="H93" s="16">
        <f t="shared" si="8"/>
        <v>42728</v>
      </c>
      <c r="I93" s="29">
        <f t="shared" si="9"/>
        <v>10450</v>
      </c>
      <c r="J93" s="34">
        <f t="shared" si="10"/>
        <v>82.52</v>
      </c>
      <c r="L93" s="11">
        <v>42125</v>
      </c>
      <c r="M93" s="9">
        <v>0</v>
      </c>
      <c r="N93" s="9">
        <v>1430</v>
      </c>
      <c r="O93" s="9">
        <v>0</v>
      </c>
      <c r="P93" s="9">
        <v>0</v>
      </c>
      <c r="R93" s="11">
        <v>42728</v>
      </c>
      <c r="S93" s="9">
        <v>10450</v>
      </c>
      <c r="T93" s="9">
        <v>0</v>
      </c>
      <c r="U93" s="9"/>
    </row>
    <row r="94" spans="2:21" x14ac:dyDescent="0.4">
      <c r="B94" s="16">
        <f t="shared" si="7"/>
        <v>42128</v>
      </c>
      <c r="C94" s="1">
        <f t="shared" si="11"/>
        <v>4603</v>
      </c>
      <c r="D94" s="1">
        <f t="shared" si="12"/>
        <v>1380</v>
      </c>
      <c r="E94" s="1">
        <f t="shared" si="13"/>
        <v>1590</v>
      </c>
      <c r="F94" s="1"/>
      <c r="H94" s="16">
        <f t="shared" si="8"/>
        <v>42735</v>
      </c>
      <c r="I94" s="29">
        <f t="shared" si="9"/>
        <v>10450</v>
      </c>
      <c r="J94" s="34">
        <f t="shared" si="10"/>
        <v>82.52</v>
      </c>
      <c r="L94" s="11">
        <v>42128</v>
      </c>
      <c r="M94" s="9">
        <v>4603</v>
      </c>
      <c r="N94" s="9">
        <v>1380</v>
      </c>
      <c r="O94" s="9">
        <v>1590</v>
      </c>
      <c r="P94" s="9">
        <v>0</v>
      </c>
      <c r="R94" s="11">
        <v>42735</v>
      </c>
      <c r="S94" s="9">
        <v>10450</v>
      </c>
      <c r="T94" s="9">
        <v>0</v>
      </c>
      <c r="U94" s="9"/>
    </row>
    <row r="95" spans="2:21" x14ac:dyDescent="0.4">
      <c r="B95" s="16">
        <f t="shared" si="7"/>
        <v>42129</v>
      </c>
      <c r="C95" s="1">
        <f t="shared" si="11"/>
        <v>4613</v>
      </c>
      <c r="D95" s="1">
        <f t="shared" si="12"/>
        <v>1365</v>
      </c>
      <c r="E95" s="1">
        <f t="shared" si="13"/>
        <v>1580</v>
      </c>
      <c r="F95" s="1"/>
      <c r="H95" s="16">
        <f t="shared" si="8"/>
        <v>42742</v>
      </c>
      <c r="I95" s="29">
        <f t="shared" si="9"/>
        <v>10450</v>
      </c>
      <c r="J95" s="34">
        <f t="shared" si="10"/>
        <v>82.52</v>
      </c>
      <c r="L95" s="11">
        <v>42129</v>
      </c>
      <c r="M95" s="9">
        <v>4613</v>
      </c>
      <c r="N95" s="9">
        <v>1365</v>
      </c>
      <c r="O95" s="9">
        <v>1580</v>
      </c>
      <c r="P95" s="9">
        <v>0</v>
      </c>
      <c r="R95" s="11">
        <v>42742</v>
      </c>
      <c r="S95" s="9">
        <v>10450</v>
      </c>
      <c r="T95" s="9">
        <v>0</v>
      </c>
      <c r="U95" s="9"/>
    </row>
    <row r="96" spans="2:21" x14ac:dyDescent="0.4">
      <c r="B96" s="16">
        <f t="shared" si="7"/>
        <v>42130</v>
      </c>
      <c r="C96" s="1">
        <f t="shared" si="11"/>
        <v>4633</v>
      </c>
      <c r="D96" s="1">
        <f t="shared" si="12"/>
        <v>1365</v>
      </c>
      <c r="E96" s="1">
        <f t="shared" si="13"/>
        <v>1580</v>
      </c>
      <c r="F96" s="1"/>
      <c r="H96" s="16">
        <f t="shared" si="8"/>
        <v>42749</v>
      </c>
      <c r="I96" s="29">
        <f t="shared" si="9"/>
        <v>10280</v>
      </c>
      <c r="J96" s="34">
        <f t="shared" si="10"/>
        <v>82.52</v>
      </c>
      <c r="L96" s="11">
        <v>42130</v>
      </c>
      <c r="M96" s="9">
        <v>4633</v>
      </c>
      <c r="N96" s="9">
        <v>1365</v>
      </c>
      <c r="O96" s="9">
        <v>1580</v>
      </c>
      <c r="P96" s="9">
        <v>0</v>
      </c>
      <c r="R96" s="11">
        <v>42749</v>
      </c>
      <c r="S96" s="9">
        <v>10280</v>
      </c>
      <c r="T96" s="9">
        <v>0</v>
      </c>
      <c r="U96" s="9"/>
    </row>
    <row r="97" spans="2:21" x14ac:dyDescent="0.4">
      <c r="B97" s="16">
        <f t="shared" si="7"/>
        <v>42131</v>
      </c>
      <c r="C97" s="1">
        <f t="shared" si="11"/>
        <v>4629</v>
      </c>
      <c r="D97" s="1">
        <f t="shared" si="12"/>
        <v>1350</v>
      </c>
      <c r="E97" s="1">
        <f t="shared" si="13"/>
        <v>1590</v>
      </c>
      <c r="F97" s="1"/>
      <c r="H97" s="16">
        <f t="shared" si="8"/>
        <v>42756</v>
      </c>
      <c r="I97" s="29">
        <f t="shared" si="9"/>
        <v>10200</v>
      </c>
      <c r="J97" s="34">
        <f t="shared" si="10"/>
        <v>82.52</v>
      </c>
      <c r="L97" s="11">
        <v>42131</v>
      </c>
      <c r="M97" s="9">
        <v>4629</v>
      </c>
      <c r="N97" s="9">
        <v>1350</v>
      </c>
      <c r="O97" s="9">
        <v>1590</v>
      </c>
      <c r="P97" s="9">
        <v>0</v>
      </c>
      <c r="R97" s="11">
        <v>42756</v>
      </c>
      <c r="S97" s="9">
        <v>10200</v>
      </c>
      <c r="T97" s="9">
        <v>0</v>
      </c>
      <c r="U97" s="9"/>
    </row>
    <row r="98" spans="2:21" x14ac:dyDescent="0.4">
      <c r="B98" s="16">
        <f t="shared" si="7"/>
        <v>42132</v>
      </c>
      <c r="C98" s="1">
        <f t="shared" si="11"/>
        <v>4605</v>
      </c>
      <c r="D98" s="1">
        <f t="shared" si="12"/>
        <v>1350</v>
      </c>
      <c r="E98" s="1">
        <f t="shared" si="13"/>
        <v>1590</v>
      </c>
      <c r="F98" s="1"/>
      <c r="H98" s="16">
        <f t="shared" si="8"/>
        <v>42763</v>
      </c>
      <c r="I98" s="29">
        <f t="shared" si="9"/>
        <v>10200</v>
      </c>
      <c r="J98" s="34">
        <f t="shared" si="10"/>
        <v>82.52</v>
      </c>
      <c r="L98" s="11">
        <v>42132</v>
      </c>
      <c r="M98" s="9">
        <v>4605</v>
      </c>
      <c r="N98" s="9">
        <v>1350</v>
      </c>
      <c r="O98" s="9">
        <v>1590</v>
      </c>
      <c r="P98" s="9">
        <v>0</v>
      </c>
      <c r="R98" s="11">
        <v>42763</v>
      </c>
      <c r="S98" s="9">
        <v>10200</v>
      </c>
      <c r="T98" s="9">
        <v>0</v>
      </c>
      <c r="U98" s="9"/>
    </row>
    <row r="99" spans="2:21" x14ac:dyDescent="0.4">
      <c r="B99" s="16">
        <f t="shared" si="7"/>
        <v>42135</v>
      </c>
      <c r="C99" s="1">
        <f t="shared" si="11"/>
        <v>4602</v>
      </c>
      <c r="D99" s="1">
        <f t="shared" si="12"/>
        <v>1347</v>
      </c>
      <c r="E99" s="1">
        <f t="shared" si="13"/>
        <v>1600</v>
      </c>
      <c r="F99" s="1"/>
      <c r="H99" s="16">
        <f t="shared" si="8"/>
        <v>42770</v>
      </c>
      <c r="I99" s="29">
        <f t="shared" si="9"/>
        <v>10200</v>
      </c>
      <c r="J99" s="34">
        <f t="shared" si="10"/>
        <v>82.52</v>
      </c>
      <c r="L99" s="11">
        <v>42135</v>
      </c>
      <c r="M99" s="9">
        <v>4602</v>
      </c>
      <c r="N99" s="9">
        <v>1347</v>
      </c>
      <c r="O99" s="9">
        <v>1600</v>
      </c>
      <c r="P99" s="9">
        <v>0</v>
      </c>
      <c r="R99" s="11">
        <v>42770</v>
      </c>
      <c r="S99" s="9">
        <v>10200</v>
      </c>
      <c r="T99" s="9">
        <v>0</v>
      </c>
      <c r="U99" s="9"/>
    </row>
    <row r="100" spans="2:21" x14ac:dyDescent="0.4">
      <c r="B100" s="16">
        <f t="shared" si="7"/>
        <v>42136</v>
      </c>
      <c r="C100" s="1">
        <f t="shared" si="11"/>
        <v>4589</v>
      </c>
      <c r="D100" s="1">
        <f t="shared" si="12"/>
        <v>1350</v>
      </c>
      <c r="E100" s="1">
        <f t="shared" si="13"/>
        <v>1630</v>
      </c>
      <c r="F100" s="1"/>
      <c r="H100" s="16">
        <f t="shared" si="8"/>
        <v>42777</v>
      </c>
      <c r="I100" s="29">
        <f t="shared" si="9"/>
        <v>10466.666666666666</v>
      </c>
      <c r="J100" s="34">
        <f t="shared" si="10"/>
        <v>82.52</v>
      </c>
      <c r="L100" s="11">
        <v>42136</v>
      </c>
      <c r="M100" s="9">
        <v>4589</v>
      </c>
      <c r="N100" s="9">
        <v>1350</v>
      </c>
      <c r="O100" s="9">
        <v>1630</v>
      </c>
      <c r="P100" s="9">
        <v>0</v>
      </c>
      <c r="R100" s="11">
        <v>42777</v>
      </c>
      <c r="S100" s="9">
        <v>10466.666666666666</v>
      </c>
      <c r="T100" s="9">
        <v>0</v>
      </c>
      <c r="U100" s="9"/>
    </row>
    <row r="101" spans="2:21" x14ac:dyDescent="0.4">
      <c r="B101" s="16">
        <f t="shared" si="7"/>
        <v>42137</v>
      </c>
      <c r="C101" s="1">
        <f t="shared" si="11"/>
        <v>4576</v>
      </c>
      <c r="D101" s="1">
        <f t="shared" si="12"/>
        <v>1350</v>
      </c>
      <c r="E101" s="1">
        <f t="shared" si="13"/>
        <v>1640</v>
      </c>
      <c r="F101" s="1"/>
      <c r="H101" s="16">
        <f t="shared" si="8"/>
        <v>42784</v>
      </c>
      <c r="I101" s="29">
        <f t="shared" si="9"/>
        <v>10600</v>
      </c>
      <c r="J101" s="34">
        <f t="shared" si="10"/>
        <v>82.52</v>
      </c>
      <c r="L101" s="11">
        <v>42137</v>
      </c>
      <c r="M101" s="9">
        <v>4576</v>
      </c>
      <c r="N101" s="9">
        <v>1350</v>
      </c>
      <c r="O101" s="9">
        <v>1640</v>
      </c>
      <c r="P101" s="9">
        <v>0</v>
      </c>
      <c r="R101" s="11">
        <v>42784</v>
      </c>
      <c r="S101" s="9">
        <v>10600</v>
      </c>
      <c r="T101" s="9">
        <v>0</v>
      </c>
      <c r="U101" s="9"/>
    </row>
    <row r="102" spans="2:21" x14ac:dyDescent="0.4">
      <c r="B102" s="16">
        <f t="shared" si="7"/>
        <v>42138</v>
      </c>
      <c r="C102" s="1">
        <f t="shared" si="11"/>
        <v>4558</v>
      </c>
      <c r="D102" s="1">
        <f t="shared" si="12"/>
        <v>1350</v>
      </c>
      <c r="E102" s="1">
        <f t="shared" si="13"/>
        <v>1640</v>
      </c>
      <c r="F102" s="1"/>
      <c r="H102" s="16">
        <f t="shared" si="8"/>
        <v>42791</v>
      </c>
      <c r="I102" s="29">
        <f t="shared" si="9"/>
        <v>10590</v>
      </c>
      <c r="J102" s="34">
        <f t="shared" si="10"/>
        <v>82.52</v>
      </c>
      <c r="L102" s="11">
        <v>42138</v>
      </c>
      <c r="M102" s="9">
        <v>4558</v>
      </c>
      <c r="N102" s="9">
        <v>1350</v>
      </c>
      <c r="O102" s="9">
        <v>1640</v>
      </c>
      <c r="P102" s="9">
        <v>0</v>
      </c>
      <c r="R102" s="11">
        <v>42791</v>
      </c>
      <c r="S102" s="9">
        <v>10590</v>
      </c>
      <c r="T102" s="9">
        <v>0</v>
      </c>
      <c r="U102" s="9"/>
    </row>
    <row r="103" spans="2:21" x14ac:dyDescent="0.4">
      <c r="B103" s="16">
        <f t="shared" si="7"/>
        <v>42139</v>
      </c>
      <c r="C103" s="1">
        <f t="shared" si="11"/>
        <v>4545</v>
      </c>
      <c r="D103" s="1">
        <f t="shared" si="12"/>
        <v>1350</v>
      </c>
      <c r="E103" s="1">
        <f t="shared" si="13"/>
        <v>1640</v>
      </c>
      <c r="F103" s="1"/>
      <c r="H103" s="16">
        <f t="shared" si="8"/>
        <v>42798</v>
      </c>
      <c r="I103" s="29">
        <f t="shared" si="9"/>
        <v>10450</v>
      </c>
      <c r="J103" s="34">
        <f t="shared" si="10"/>
        <v>82.52</v>
      </c>
      <c r="L103" s="11">
        <v>42139</v>
      </c>
      <c r="M103" s="9">
        <v>4545</v>
      </c>
      <c r="N103" s="9">
        <v>1350</v>
      </c>
      <c r="O103" s="9">
        <v>1640</v>
      </c>
      <c r="P103" s="9">
        <v>0</v>
      </c>
      <c r="R103" s="11">
        <v>42798</v>
      </c>
      <c r="S103" s="9">
        <v>10450</v>
      </c>
      <c r="T103" s="9">
        <v>0</v>
      </c>
      <c r="U103" s="9"/>
    </row>
    <row r="104" spans="2:21" x14ac:dyDescent="0.4">
      <c r="B104" s="16">
        <f t="shared" si="7"/>
        <v>42142</v>
      </c>
      <c r="C104" s="1">
        <f t="shared" si="11"/>
        <v>4527</v>
      </c>
      <c r="D104" s="1">
        <f t="shared" si="12"/>
        <v>1350</v>
      </c>
      <c r="E104" s="1">
        <f t="shared" si="13"/>
        <v>1640</v>
      </c>
      <c r="F104" s="1"/>
      <c r="H104" s="16">
        <f t="shared" si="8"/>
        <v>42805</v>
      </c>
      <c r="I104" s="29">
        <f t="shared" si="9"/>
        <v>10200</v>
      </c>
      <c r="J104" s="34">
        <f t="shared" si="10"/>
        <v>82.52</v>
      </c>
      <c r="L104" s="11">
        <v>42142</v>
      </c>
      <c r="M104" s="9">
        <v>4527</v>
      </c>
      <c r="N104" s="9">
        <v>1350</v>
      </c>
      <c r="O104" s="9">
        <v>1640</v>
      </c>
      <c r="P104" s="9">
        <v>0</v>
      </c>
      <c r="R104" s="11">
        <v>42805</v>
      </c>
      <c r="S104" s="9">
        <v>10200</v>
      </c>
      <c r="T104" s="9">
        <v>0</v>
      </c>
      <c r="U104" s="9"/>
    </row>
    <row r="105" spans="2:21" x14ac:dyDescent="0.4">
      <c r="B105" s="16">
        <f t="shared" si="7"/>
        <v>42143</v>
      </c>
      <c r="C105" s="1">
        <f t="shared" si="11"/>
        <v>4515</v>
      </c>
      <c r="D105" s="1">
        <f t="shared" si="12"/>
        <v>1350</v>
      </c>
      <c r="E105" s="1">
        <f t="shared" si="13"/>
        <v>1640</v>
      </c>
      <c r="F105" s="1"/>
      <c r="H105" s="16">
        <f t="shared" si="8"/>
        <v>42812</v>
      </c>
      <c r="I105" s="29">
        <f t="shared" si="9"/>
        <v>9830</v>
      </c>
      <c r="J105" s="34">
        <f t="shared" si="10"/>
        <v>82.52</v>
      </c>
      <c r="L105" s="11">
        <v>42143</v>
      </c>
      <c r="M105" s="9">
        <v>4515</v>
      </c>
      <c r="N105" s="9">
        <v>1350</v>
      </c>
      <c r="O105" s="9">
        <v>1640</v>
      </c>
      <c r="P105" s="9">
        <v>0</v>
      </c>
      <c r="R105" s="11">
        <v>42812</v>
      </c>
      <c r="S105" s="9">
        <v>9830</v>
      </c>
      <c r="T105" s="9">
        <v>0</v>
      </c>
      <c r="U105" s="9"/>
    </row>
    <row r="106" spans="2:21" x14ac:dyDescent="0.4">
      <c r="B106" s="16">
        <f t="shared" si="7"/>
        <v>42144</v>
      </c>
      <c r="C106" s="1">
        <f t="shared" si="11"/>
        <v>4459</v>
      </c>
      <c r="D106" s="1">
        <f t="shared" si="12"/>
        <v>1350</v>
      </c>
      <c r="E106" s="1">
        <f t="shared" si="13"/>
        <v>1660</v>
      </c>
      <c r="F106" s="1"/>
      <c r="H106" s="16">
        <f t="shared" si="8"/>
        <v>42819</v>
      </c>
      <c r="I106" s="29">
        <f t="shared" si="9"/>
        <v>9800</v>
      </c>
      <c r="J106" s="34">
        <f t="shared" si="10"/>
        <v>82.52</v>
      </c>
      <c r="L106" s="11">
        <v>42144</v>
      </c>
      <c r="M106" s="9">
        <v>4459</v>
      </c>
      <c r="N106" s="9">
        <v>1350</v>
      </c>
      <c r="O106" s="9">
        <v>1660</v>
      </c>
      <c r="P106" s="9">
        <v>0</v>
      </c>
      <c r="R106" s="11">
        <v>42819</v>
      </c>
      <c r="S106" s="9">
        <v>9800</v>
      </c>
      <c r="T106" s="9">
        <v>0</v>
      </c>
      <c r="U106" s="9"/>
    </row>
    <row r="107" spans="2:21" x14ac:dyDescent="0.4">
      <c r="B107" s="16">
        <f t="shared" si="7"/>
        <v>42145</v>
      </c>
      <c r="C107" s="1">
        <f t="shared" si="11"/>
        <v>4445</v>
      </c>
      <c r="D107" s="1">
        <f t="shared" si="12"/>
        <v>1360</v>
      </c>
      <c r="E107" s="1">
        <f t="shared" si="13"/>
        <v>1660</v>
      </c>
      <c r="F107" s="1"/>
      <c r="H107" s="16">
        <f t="shared" si="8"/>
        <v>42826</v>
      </c>
      <c r="I107" s="29">
        <f t="shared" si="9"/>
        <v>9491.6666666666661</v>
      </c>
      <c r="J107" s="34">
        <f t="shared" si="10"/>
        <v>82.52</v>
      </c>
      <c r="L107" s="11">
        <v>42145</v>
      </c>
      <c r="M107" s="9">
        <v>4445</v>
      </c>
      <c r="N107" s="9">
        <v>1360</v>
      </c>
      <c r="O107" s="9">
        <v>1660</v>
      </c>
      <c r="P107" s="9">
        <v>0</v>
      </c>
      <c r="R107" s="11">
        <v>42826</v>
      </c>
      <c r="S107" s="9">
        <v>9491.6666666666661</v>
      </c>
      <c r="T107" s="9">
        <v>0</v>
      </c>
      <c r="U107" s="9"/>
    </row>
    <row r="108" spans="2:21" x14ac:dyDescent="0.4">
      <c r="B108" s="16">
        <f t="shared" si="7"/>
        <v>42146</v>
      </c>
      <c r="C108" s="1">
        <f t="shared" si="11"/>
        <v>4450</v>
      </c>
      <c r="D108" s="1">
        <f t="shared" si="12"/>
        <v>1370</v>
      </c>
      <c r="E108" s="1">
        <f t="shared" si="13"/>
        <v>1660</v>
      </c>
      <c r="F108" s="1"/>
      <c r="H108" s="16">
        <f t="shared" si="8"/>
        <v>42833</v>
      </c>
      <c r="I108" s="29">
        <f t="shared" si="9"/>
        <v>9425</v>
      </c>
      <c r="J108" s="34">
        <f t="shared" si="10"/>
        <v>82.52</v>
      </c>
      <c r="L108" s="11">
        <v>42146</v>
      </c>
      <c r="M108" s="9">
        <v>4450</v>
      </c>
      <c r="N108" s="9">
        <v>1370</v>
      </c>
      <c r="O108" s="9">
        <v>1660</v>
      </c>
      <c r="P108" s="9">
        <v>0</v>
      </c>
      <c r="R108" s="11">
        <v>42833</v>
      </c>
      <c r="S108" s="9">
        <v>9425</v>
      </c>
      <c r="T108" s="9">
        <v>0</v>
      </c>
      <c r="U108" s="9"/>
    </row>
    <row r="109" spans="2:21" x14ac:dyDescent="0.4">
      <c r="B109" s="16">
        <f t="shared" si="7"/>
        <v>42149</v>
      </c>
      <c r="C109" s="1">
        <f t="shared" si="11"/>
        <v>4454</v>
      </c>
      <c r="D109" s="1">
        <f t="shared" si="12"/>
        <v>1370</v>
      </c>
      <c r="E109" s="1">
        <f t="shared" si="13"/>
        <v>1690</v>
      </c>
      <c r="F109" s="1"/>
      <c r="H109" s="16">
        <f t="shared" si="8"/>
        <v>42840</v>
      </c>
      <c r="I109" s="29">
        <f t="shared" si="9"/>
        <v>9500</v>
      </c>
      <c r="J109" s="34">
        <f t="shared" si="10"/>
        <v>82.52</v>
      </c>
      <c r="L109" s="11">
        <v>42149</v>
      </c>
      <c r="M109" s="9">
        <v>4454</v>
      </c>
      <c r="N109" s="9">
        <v>1370</v>
      </c>
      <c r="O109" s="9">
        <v>1690</v>
      </c>
      <c r="P109" s="9">
        <v>0</v>
      </c>
      <c r="R109" s="11">
        <v>42840</v>
      </c>
      <c r="S109" s="9">
        <v>9500</v>
      </c>
      <c r="T109" s="9">
        <v>0</v>
      </c>
      <c r="U109" s="9"/>
    </row>
    <row r="110" spans="2:21" x14ac:dyDescent="0.4">
      <c r="B110" s="16">
        <f t="shared" si="7"/>
        <v>42150</v>
      </c>
      <c r="C110" s="1">
        <f t="shared" si="11"/>
        <v>4432</v>
      </c>
      <c r="D110" s="1">
        <f t="shared" si="12"/>
        <v>1385</v>
      </c>
      <c r="E110" s="1">
        <f t="shared" si="13"/>
        <v>1720</v>
      </c>
      <c r="F110" s="1"/>
      <c r="H110" s="16">
        <f t="shared" si="8"/>
        <v>42847</v>
      </c>
      <c r="I110" s="29">
        <f t="shared" si="9"/>
        <v>9600</v>
      </c>
      <c r="J110" s="34">
        <f t="shared" si="10"/>
        <v>82.52</v>
      </c>
      <c r="L110" s="11">
        <v>42150</v>
      </c>
      <c r="M110" s="9">
        <v>4432</v>
      </c>
      <c r="N110" s="9">
        <v>1385</v>
      </c>
      <c r="O110" s="9">
        <v>1720</v>
      </c>
      <c r="P110" s="9">
        <v>0</v>
      </c>
      <c r="R110" s="11">
        <v>42847</v>
      </c>
      <c r="S110" s="9">
        <v>9600</v>
      </c>
      <c r="T110" s="9">
        <v>0</v>
      </c>
      <c r="U110" s="9"/>
    </row>
    <row r="111" spans="2:21" x14ac:dyDescent="0.4">
      <c r="B111" s="16">
        <f t="shared" si="7"/>
        <v>42151</v>
      </c>
      <c r="C111" s="1">
        <f t="shared" si="11"/>
        <v>4424</v>
      </c>
      <c r="D111" s="1">
        <f t="shared" si="12"/>
        <v>1385</v>
      </c>
      <c r="E111" s="1">
        <f t="shared" si="13"/>
        <v>1730</v>
      </c>
      <c r="F111" s="1"/>
      <c r="H111" s="16">
        <f t="shared" si="8"/>
        <v>42854</v>
      </c>
      <c r="I111" s="29">
        <f t="shared" si="9"/>
        <v>9560</v>
      </c>
      <c r="J111" s="34">
        <f t="shared" si="10"/>
        <v>82.52</v>
      </c>
      <c r="L111" s="11">
        <v>42151</v>
      </c>
      <c r="M111" s="9">
        <v>4424</v>
      </c>
      <c r="N111" s="9">
        <v>1385</v>
      </c>
      <c r="O111" s="9">
        <v>1730</v>
      </c>
      <c r="P111" s="9">
        <v>0</v>
      </c>
      <c r="R111" s="11">
        <v>42854</v>
      </c>
      <c r="S111" s="9">
        <v>9560</v>
      </c>
      <c r="T111" s="9">
        <v>0</v>
      </c>
      <c r="U111" s="9"/>
    </row>
    <row r="112" spans="2:21" x14ac:dyDescent="0.4">
      <c r="B112" s="16">
        <f t="shared" si="7"/>
        <v>42152</v>
      </c>
      <c r="C112" s="1">
        <f t="shared" si="11"/>
        <v>4400</v>
      </c>
      <c r="D112" s="1">
        <f t="shared" si="12"/>
        <v>1385</v>
      </c>
      <c r="E112" s="1">
        <f t="shared" si="13"/>
        <v>1730</v>
      </c>
      <c r="F112" s="1"/>
      <c r="H112" s="16">
        <f t="shared" si="8"/>
        <v>42861</v>
      </c>
      <c r="I112" s="29">
        <f t="shared" si="9"/>
        <v>9412.5</v>
      </c>
      <c r="J112" s="34">
        <f t="shared" si="10"/>
        <v>82.52</v>
      </c>
      <c r="L112" s="11">
        <v>42152</v>
      </c>
      <c r="M112" s="9">
        <v>4400</v>
      </c>
      <c r="N112" s="9">
        <v>1385</v>
      </c>
      <c r="O112" s="9">
        <v>1730</v>
      </c>
      <c r="P112" s="9">
        <v>0</v>
      </c>
      <c r="R112" s="11">
        <v>42861</v>
      </c>
      <c r="S112" s="9">
        <v>9412.5</v>
      </c>
      <c r="T112" s="9">
        <v>0</v>
      </c>
      <c r="U112" s="9"/>
    </row>
    <row r="113" spans="2:21" x14ac:dyDescent="0.4">
      <c r="B113" s="16">
        <f t="shared" si="7"/>
        <v>42153</v>
      </c>
      <c r="C113" s="1">
        <f t="shared" si="11"/>
        <v>4402</v>
      </c>
      <c r="D113" s="1">
        <f t="shared" si="12"/>
        <v>1410</v>
      </c>
      <c r="E113" s="1">
        <f t="shared" si="13"/>
        <v>1730</v>
      </c>
      <c r="F113" s="1"/>
      <c r="H113" s="16">
        <f t="shared" si="8"/>
        <v>42868</v>
      </c>
      <c r="I113" s="29">
        <f t="shared" si="9"/>
        <v>9210</v>
      </c>
      <c r="J113" s="34">
        <f t="shared" si="10"/>
        <v>82.52</v>
      </c>
      <c r="L113" s="11">
        <v>42153</v>
      </c>
      <c r="M113" s="9">
        <v>4402</v>
      </c>
      <c r="N113" s="9">
        <v>1410</v>
      </c>
      <c r="O113" s="9">
        <v>1730</v>
      </c>
      <c r="P113" s="9">
        <v>0</v>
      </c>
      <c r="R113" s="11">
        <v>42868</v>
      </c>
      <c r="S113" s="9">
        <v>9210</v>
      </c>
      <c r="T113" s="9">
        <v>0</v>
      </c>
      <c r="U113" s="9"/>
    </row>
    <row r="114" spans="2:21" x14ac:dyDescent="0.4">
      <c r="B114" s="16">
        <f t="shared" si="7"/>
        <v>42156</v>
      </c>
      <c r="C114" s="1">
        <f t="shared" si="11"/>
        <v>4422</v>
      </c>
      <c r="D114" s="1">
        <f t="shared" si="12"/>
        <v>1410</v>
      </c>
      <c r="E114" s="1">
        <f t="shared" si="13"/>
        <v>1730</v>
      </c>
      <c r="F114" s="1"/>
      <c r="H114" s="16">
        <f t="shared" si="8"/>
        <v>42875</v>
      </c>
      <c r="I114" s="29">
        <f t="shared" si="9"/>
        <v>9200</v>
      </c>
      <c r="J114" s="34">
        <f t="shared" si="10"/>
        <v>82.52</v>
      </c>
      <c r="L114" s="11">
        <v>42156</v>
      </c>
      <c r="M114" s="9">
        <v>4422</v>
      </c>
      <c r="N114" s="9">
        <v>1410</v>
      </c>
      <c r="O114" s="9">
        <v>1730</v>
      </c>
      <c r="P114" s="9">
        <v>0</v>
      </c>
      <c r="R114" s="11">
        <v>42875</v>
      </c>
      <c r="S114" s="9">
        <v>9200</v>
      </c>
      <c r="T114" s="9">
        <v>0</v>
      </c>
      <c r="U114" s="9"/>
    </row>
    <row r="115" spans="2:21" x14ac:dyDescent="0.4">
      <c r="B115" s="16">
        <f t="shared" si="7"/>
        <v>42157</v>
      </c>
      <c r="C115" s="1">
        <f t="shared" si="11"/>
        <v>4402</v>
      </c>
      <c r="D115" s="1">
        <f t="shared" si="12"/>
        <v>1410</v>
      </c>
      <c r="E115" s="1">
        <f t="shared" si="13"/>
        <v>1700</v>
      </c>
      <c r="F115" s="1"/>
      <c r="H115" s="16">
        <f t="shared" si="8"/>
        <v>42882</v>
      </c>
      <c r="I115" s="29">
        <f t="shared" si="9"/>
        <v>9225</v>
      </c>
      <c r="J115" s="34">
        <f t="shared" si="10"/>
        <v>82.52</v>
      </c>
      <c r="L115" s="11">
        <v>42157</v>
      </c>
      <c r="M115" s="9">
        <v>4402</v>
      </c>
      <c r="N115" s="9">
        <v>1410</v>
      </c>
      <c r="O115" s="9">
        <v>1700</v>
      </c>
      <c r="P115" s="9">
        <v>0</v>
      </c>
      <c r="R115" s="11">
        <v>42882</v>
      </c>
      <c r="S115" s="9">
        <v>9225</v>
      </c>
      <c r="T115" s="9">
        <v>0</v>
      </c>
      <c r="U115" s="9"/>
    </row>
    <row r="116" spans="2:21" x14ac:dyDescent="0.4">
      <c r="B116" s="16">
        <f t="shared" si="7"/>
        <v>42158</v>
      </c>
      <c r="C116" s="1">
        <f t="shared" si="11"/>
        <v>4416</v>
      </c>
      <c r="D116" s="1">
        <f t="shared" si="12"/>
        <v>1410</v>
      </c>
      <c r="E116" s="1">
        <f t="shared" si="13"/>
        <v>1710</v>
      </c>
      <c r="F116" s="1"/>
      <c r="H116" s="16">
        <f t="shared" si="8"/>
        <v>42889</v>
      </c>
      <c r="I116" s="29">
        <f t="shared" si="9"/>
        <v>9250</v>
      </c>
      <c r="J116" s="34">
        <f t="shared" si="10"/>
        <v>82.52</v>
      </c>
      <c r="L116" s="11">
        <v>42158</v>
      </c>
      <c r="M116" s="9">
        <v>4416</v>
      </c>
      <c r="N116" s="9">
        <v>1410</v>
      </c>
      <c r="O116" s="9">
        <v>1710</v>
      </c>
      <c r="P116" s="9">
        <v>0</v>
      </c>
      <c r="R116" s="11">
        <v>42889</v>
      </c>
      <c r="S116" s="9">
        <v>9250</v>
      </c>
      <c r="T116" s="9">
        <v>0</v>
      </c>
      <c r="U116" s="9"/>
    </row>
    <row r="117" spans="2:21" x14ac:dyDescent="0.4">
      <c r="B117" s="16">
        <f t="shared" si="7"/>
        <v>42159</v>
      </c>
      <c r="C117" s="1">
        <f t="shared" si="11"/>
        <v>4400</v>
      </c>
      <c r="D117" s="1">
        <f t="shared" si="12"/>
        <v>1410</v>
      </c>
      <c r="E117" s="1">
        <f t="shared" si="13"/>
        <v>1710</v>
      </c>
      <c r="F117" s="1"/>
      <c r="H117" s="16">
        <f t="shared" si="8"/>
        <v>42896</v>
      </c>
      <c r="I117" s="29">
        <f t="shared" si="9"/>
        <v>9250</v>
      </c>
      <c r="J117" s="34">
        <f t="shared" si="10"/>
        <v>82.52</v>
      </c>
      <c r="L117" s="11">
        <v>42159</v>
      </c>
      <c r="M117" s="9">
        <v>4400</v>
      </c>
      <c r="N117" s="9">
        <v>1410</v>
      </c>
      <c r="O117" s="9">
        <v>1710</v>
      </c>
      <c r="P117" s="9">
        <v>0</v>
      </c>
      <c r="R117" s="11">
        <v>42896</v>
      </c>
      <c r="S117" s="9">
        <v>9250</v>
      </c>
      <c r="T117" s="9">
        <v>0</v>
      </c>
      <c r="U117" s="9"/>
    </row>
    <row r="118" spans="2:21" x14ac:dyDescent="0.4">
      <c r="B118" s="16">
        <f t="shared" si="7"/>
        <v>42160</v>
      </c>
      <c r="C118" s="1">
        <f t="shared" si="11"/>
        <v>4395</v>
      </c>
      <c r="D118" s="1">
        <f t="shared" si="12"/>
        <v>1415</v>
      </c>
      <c r="E118" s="1">
        <f t="shared" si="13"/>
        <v>1710</v>
      </c>
      <c r="F118" s="1"/>
      <c r="H118" s="16">
        <f t="shared" si="8"/>
        <v>42903</v>
      </c>
      <c r="I118" s="29">
        <f t="shared" si="9"/>
        <v>9250</v>
      </c>
      <c r="J118" s="34">
        <f t="shared" si="10"/>
        <v>82.52</v>
      </c>
      <c r="L118" s="11">
        <v>42160</v>
      </c>
      <c r="M118" s="9">
        <v>4395</v>
      </c>
      <c r="N118" s="9">
        <v>1415</v>
      </c>
      <c r="O118" s="9">
        <v>1710</v>
      </c>
      <c r="P118" s="9">
        <v>0</v>
      </c>
      <c r="R118" s="11">
        <v>42903</v>
      </c>
      <c r="S118" s="9">
        <v>9250</v>
      </c>
      <c r="T118" s="9">
        <v>0</v>
      </c>
      <c r="U118" s="9"/>
    </row>
    <row r="119" spans="2:21" x14ac:dyDescent="0.4">
      <c r="B119" s="16">
        <f t="shared" si="7"/>
        <v>42161</v>
      </c>
      <c r="C119" s="1">
        <f t="shared" si="11"/>
        <v>4395</v>
      </c>
      <c r="D119" s="1">
        <f t="shared" si="12"/>
        <v>1415</v>
      </c>
      <c r="E119" s="1">
        <f t="shared" si="13"/>
        <v>1710</v>
      </c>
      <c r="F119" s="1"/>
      <c r="H119" s="16">
        <f t="shared" si="8"/>
        <v>42910</v>
      </c>
      <c r="I119" s="29">
        <f t="shared" si="9"/>
        <v>9290</v>
      </c>
      <c r="J119" s="34">
        <f t="shared" si="10"/>
        <v>82.52</v>
      </c>
      <c r="L119" s="11">
        <v>42161</v>
      </c>
      <c r="M119" s="9">
        <v>0</v>
      </c>
      <c r="N119" s="9">
        <v>1415</v>
      </c>
      <c r="O119" s="9">
        <v>0</v>
      </c>
      <c r="P119" s="9">
        <v>0</v>
      </c>
      <c r="R119" s="11">
        <v>42910</v>
      </c>
      <c r="S119" s="9">
        <v>9290</v>
      </c>
      <c r="T119" s="9">
        <v>0</v>
      </c>
      <c r="U119" s="9"/>
    </row>
    <row r="120" spans="2:21" x14ac:dyDescent="0.4">
      <c r="B120" s="16">
        <f t="shared" si="7"/>
        <v>42163</v>
      </c>
      <c r="C120" s="1">
        <f t="shared" si="11"/>
        <v>4384</v>
      </c>
      <c r="D120" s="1">
        <f t="shared" si="12"/>
        <v>1415</v>
      </c>
      <c r="E120" s="1">
        <f t="shared" si="13"/>
        <v>1750</v>
      </c>
      <c r="F120" s="1"/>
      <c r="H120" s="16">
        <f t="shared" si="8"/>
        <v>42917</v>
      </c>
      <c r="I120" s="29">
        <f t="shared" si="9"/>
        <v>9380</v>
      </c>
      <c r="J120" s="34">
        <f t="shared" si="10"/>
        <v>82.52</v>
      </c>
      <c r="L120" s="11">
        <v>42163</v>
      </c>
      <c r="M120" s="9">
        <v>4384</v>
      </c>
      <c r="N120" s="9">
        <v>1415</v>
      </c>
      <c r="O120" s="9">
        <v>1750</v>
      </c>
      <c r="P120" s="9">
        <v>0</v>
      </c>
      <c r="R120" s="11">
        <v>42917</v>
      </c>
      <c r="S120" s="9">
        <v>9380</v>
      </c>
      <c r="T120" s="9">
        <v>0</v>
      </c>
      <c r="U120" s="9"/>
    </row>
    <row r="121" spans="2:21" x14ac:dyDescent="0.4">
      <c r="B121" s="16">
        <f t="shared" si="7"/>
        <v>42164</v>
      </c>
      <c r="C121" s="1">
        <f t="shared" si="11"/>
        <v>4411</v>
      </c>
      <c r="D121" s="1">
        <f t="shared" si="12"/>
        <v>1415</v>
      </c>
      <c r="E121" s="1">
        <f t="shared" si="13"/>
        <v>1750</v>
      </c>
      <c r="F121" s="1"/>
      <c r="H121" s="16">
        <f t="shared" si="8"/>
        <v>42924</v>
      </c>
      <c r="I121" s="29">
        <f t="shared" si="9"/>
        <v>9620</v>
      </c>
      <c r="J121" s="34">
        <f t="shared" si="10"/>
        <v>82.52</v>
      </c>
      <c r="L121" s="11">
        <v>42164</v>
      </c>
      <c r="M121" s="9">
        <v>4411</v>
      </c>
      <c r="N121" s="9">
        <v>1415</v>
      </c>
      <c r="O121" s="9">
        <v>1750</v>
      </c>
      <c r="P121" s="9">
        <v>0</v>
      </c>
      <c r="R121" s="11">
        <v>42924</v>
      </c>
      <c r="S121" s="9">
        <v>9620</v>
      </c>
      <c r="T121" s="9">
        <v>0</v>
      </c>
      <c r="U121" s="9"/>
    </row>
    <row r="122" spans="2:21" x14ac:dyDescent="0.4">
      <c r="B122" s="16">
        <f t="shared" si="7"/>
        <v>42165</v>
      </c>
      <c r="C122" s="1">
        <f t="shared" si="11"/>
        <v>4424</v>
      </c>
      <c r="D122" s="1">
        <f t="shared" si="12"/>
        <v>1420</v>
      </c>
      <c r="E122" s="1">
        <f t="shared" si="13"/>
        <v>1750</v>
      </c>
      <c r="F122" s="1"/>
      <c r="H122" s="16">
        <f t="shared" si="8"/>
        <v>42931</v>
      </c>
      <c r="I122" s="29">
        <f t="shared" si="9"/>
        <v>9845</v>
      </c>
      <c r="J122" s="34">
        <f t="shared" si="10"/>
        <v>82.52</v>
      </c>
      <c r="L122" s="11">
        <v>42165</v>
      </c>
      <c r="M122" s="9">
        <v>4424</v>
      </c>
      <c r="N122" s="9">
        <v>1420</v>
      </c>
      <c r="O122" s="9">
        <v>1750</v>
      </c>
      <c r="P122" s="9">
        <v>0</v>
      </c>
      <c r="R122" s="11">
        <v>42931</v>
      </c>
      <c r="S122" s="9">
        <v>9845</v>
      </c>
      <c r="T122" s="9">
        <v>0</v>
      </c>
      <c r="U122" s="9"/>
    </row>
    <row r="123" spans="2:21" x14ac:dyDescent="0.4">
      <c r="B123" s="16">
        <f t="shared" si="7"/>
        <v>42166</v>
      </c>
      <c r="C123" s="1">
        <f t="shared" si="11"/>
        <v>4452</v>
      </c>
      <c r="D123" s="1">
        <f t="shared" si="12"/>
        <v>1420</v>
      </c>
      <c r="E123" s="1">
        <f t="shared" si="13"/>
        <v>1750</v>
      </c>
      <c r="F123" s="1"/>
      <c r="H123" s="16">
        <f t="shared" si="8"/>
        <v>42938</v>
      </c>
      <c r="I123" s="29">
        <f t="shared" si="9"/>
        <v>10025</v>
      </c>
      <c r="J123" s="34">
        <f t="shared" si="10"/>
        <v>82.52</v>
      </c>
      <c r="L123" s="11">
        <v>42166</v>
      </c>
      <c r="M123" s="9">
        <v>4452</v>
      </c>
      <c r="N123" s="9">
        <v>1420</v>
      </c>
      <c r="O123" s="9">
        <v>1750</v>
      </c>
      <c r="P123" s="9">
        <v>0</v>
      </c>
      <c r="R123" s="11">
        <v>42938</v>
      </c>
      <c r="S123" s="9">
        <v>10025</v>
      </c>
      <c r="T123" s="9">
        <v>0</v>
      </c>
      <c r="U123" s="9"/>
    </row>
    <row r="124" spans="2:21" x14ac:dyDescent="0.4">
      <c r="B124" s="16">
        <f t="shared" si="7"/>
        <v>42167</v>
      </c>
      <c r="C124" s="1">
        <f t="shared" si="11"/>
        <v>4437</v>
      </c>
      <c r="D124" s="1">
        <f t="shared" si="12"/>
        <v>1420</v>
      </c>
      <c r="E124" s="1">
        <f t="shared" si="13"/>
        <v>1750</v>
      </c>
      <c r="F124" s="1"/>
      <c r="H124" s="16">
        <f t="shared" si="8"/>
        <v>42945</v>
      </c>
      <c r="I124" s="29">
        <f t="shared" si="9"/>
        <v>10005</v>
      </c>
      <c r="J124" s="34">
        <f t="shared" si="10"/>
        <v>82.52</v>
      </c>
      <c r="L124" s="11">
        <v>42167</v>
      </c>
      <c r="M124" s="9">
        <v>4437</v>
      </c>
      <c r="N124" s="9">
        <v>1420</v>
      </c>
      <c r="O124" s="9">
        <v>1750</v>
      </c>
      <c r="P124" s="9">
        <v>0</v>
      </c>
      <c r="R124" s="11">
        <v>42945</v>
      </c>
      <c r="S124" s="9">
        <v>10005</v>
      </c>
      <c r="T124" s="9">
        <v>0</v>
      </c>
      <c r="U124" s="9"/>
    </row>
    <row r="125" spans="2:21" x14ac:dyDescent="0.4">
      <c r="B125" s="16">
        <f t="shared" si="7"/>
        <v>42170</v>
      </c>
      <c r="C125" s="1">
        <f t="shared" si="11"/>
        <v>4435</v>
      </c>
      <c r="D125" s="1">
        <f t="shared" si="12"/>
        <v>1420</v>
      </c>
      <c r="E125" s="1">
        <f t="shared" si="13"/>
        <v>1750</v>
      </c>
      <c r="F125" s="1"/>
      <c r="H125" s="16">
        <f t="shared" si="8"/>
        <v>42952</v>
      </c>
      <c r="I125" s="29">
        <f t="shared" si="9"/>
        <v>9780</v>
      </c>
      <c r="J125" s="34">
        <f t="shared" si="10"/>
        <v>82.52</v>
      </c>
      <c r="L125" s="11">
        <v>42170</v>
      </c>
      <c r="M125" s="9">
        <v>4435</v>
      </c>
      <c r="N125" s="9">
        <v>1420</v>
      </c>
      <c r="O125" s="9">
        <v>1750</v>
      </c>
      <c r="P125" s="9">
        <v>0</v>
      </c>
      <c r="R125" s="11">
        <v>42952</v>
      </c>
      <c r="S125" s="9">
        <v>9780</v>
      </c>
      <c r="T125" s="9">
        <v>0</v>
      </c>
      <c r="U125" s="9"/>
    </row>
    <row r="126" spans="2:21" x14ac:dyDescent="0.4">
      <c r="B126" s="16">
        <f t="shared" si="7"/>
        <v>42171</v>
      </c>
      <c r="C126" s="1">
        <f t="shared" si="11"/>
        <v>4447</v>
      </c>
      <c r="D126" s="1">
        <f t="shared" si="12"/>
        <v>1420</v>
      </c>
      <c r="E126" s="1">
        <f t="shared" si="13"/>
        <v>1750</v>
      </c>
      <c r="F126" s="1"/>
      <c r="H126" s="16">
        <f t="shared" si="8"/>
        <v>42959</v>
      </c>
      <c r="I126" s="29">
        <f t="shared" si="9"/>
        <v>9530</v>
      </c>
      <c r="J126" s="34">
        <f t="shared" si="10"/>
        <v>82.52</v>
      </c>
      <c r="L126" s="11">
        <v>42171</v>
      </c>
      <c r="M126" s="9">
        <v>4447</v>
      </c>
      <c r="N126" s="9">
        <v>1420</v>
      </c>
      <c r="O126" s="9">
        <v>1750</v>
      </c>
      <c r="P126" s="9">
        <v>0</v>
      </c>
      <c r="R126" s="11">
        <v>42959</v>
      </c>
      <c r="S126" s="9">
        <v>9530</v>
      </c>
      <c r="T126" s="9">
        <v>0</v>
      </c>
      <c r="U126" s="9"/>
    </row>
    <row r="127" spans="2:21" x14ac:dyDescent="0.4">
      <c r="B127" s="16">
        <f t="shared" si="7"/>
        <v>42172</v>
      </c>
      <c r="C127" s="1">
        <f t="shared" si="11"/>
        <v>4433</v>
      </c>
      <c r="D127" s="1">
        <f t="shared" si="12"/>
        <v>1415</v>
      </c>
      <c r="E127" s="1">
        <f t="shared" si="13"/>
        <v>1750</v>
      </c>
      <c r="F127" s="1"/>
      <c r="H127" s="16">
        <f t="shared" si="8"/>
        <v>42966</v>
      </c>
      <c r="I127" s="29">
        <f t="shared" si="9"/>
        <v>9500</v>
      </c>
      <c r="J127" s="34">
        <f t="shared" si="10"/>
        <v>82.52</v>
      </c>
      <c r="L127" s="11">
        <v>42172</v>
      </c>
      <c r="M127" s="9">
        <v>4433</v>
      </c>
      <c r="N127" s="9">
        <v>1415</v>
      </c>
      <c r="O127" s="9">
        <v>1750</v>
      </c>
      <c r="P127" s="9">
        <v>0</v>
      </c>
      <c r="R127" s="11">
        <v>42966</v>
      </c>
      <c r="S127" s="9">
        <v>9500</v>
      </c>
      <c r="T127" s="9">
        <v>0</v>
      </c>
      <c r="U127" s="9"/>
    </row>
    <row r="128" spans="2:21" x14ac:dyDescent="0.4">
      <c r="B128" s="16">
        <f t="shared" si="7"/>
        <v>42173</v>
      </c>
      <c r="C128" s="1">
        <f t="shared" si="11"/>
        <v>4428</v>
      </c>
      <c r="D128" s="1">
        <f t="shared" si="12"/>
        <v>1415</v>
      </c>
      <c r="E128" s="1">
        <f t="shared" si="13"/>
        <v>1750</v>
      </c>
      <c r="F128" s="1"/>
      <c r="H128" s="16">
        <f t="shared" si="8"/>
        <v>42973</v>
      </c>
      <c r="I128" s="29">
        <f t="shared" si="9"/>
        <v>9740</v>
      </c>
      <c r="J128" s="34">
        <f t="shared" si="10"/>
        <v>82.52</v>
      </c>
      <c r="L128" s="11">
        <v>42173</v>
      </c>
      <c r="M128" s="9">
        <v>4428</v>
      </c>
      <c r="N128" s="9">
        <v>1415</v>
      </c>
      <c r="O128" s="9">
        <v>1750</v>
      </c>
      <c r="P128" s="9">
        <v>0</v>
      </c>
      <c r="R128" s="11">
        <v>42973</v>
      </c>
      <c r="S128" s="9">
        <v>9740</v>
      </c>
      <c r="T128" s="9">
        <v>0</v>
      </c>
      <c r="U128" s="9"/>
    </row>
    <row r="129" spans="2:21" x14ac:dyDescent="0.4">
      <c r="B129" s="16">
        <f t="shared" si="7"/>
        <v>42174</v>
      </c>
      <c r="C129" s="1">
        <f t="shared" si="11"/>
        <v>4418</v>
      </c>
      <c r="D129" s="1">
        <f t="shared" si="12"/>
        <v>1410</v>
      </c>
      <c r="E129" s="1">
        <f t="shared" si="13"/>
        <v>1750</v>
      </c>
      <c r="F129" s="1"/>
      <c r="H129" s="16">
        <f t="shared" si="8"/>
        <v>42980</v>
      </c>
      <c r="I129" s="29">
        <f t="shared" si="9"/>
        <v>9810</v>
      </c>
      <c r="J129" s="34">
        <f t="shared" si="10"/>
        <v>82.52</v>
      </c>
      <c r="L129" s="11">
        <v>42174</v>
      </c>
      <c r="M129" s="9">
        <v>4418</v>
      </c>
      <c r="N129" s="9">
        <v>1410</v>
      </c>
      <c r="O129" s="9">
        <v>1750</v>
      </c>
      <c r="P129" s="9">
        <v>0</v>
      </c>
      <c r="R129" s="11">
        <v>42980</v>
      </c>
      <c r="S129" s="9">
        <v>9810</v>
      </c>
      <c r="T129" s="9">
        <v>0</v>
      </c>
      <c r="U129" s="9"/>
    </row>
    <row r="130" spans="2:21" x14ac:dyDescent="0.4">
      <c r="B130" s="16">
        <f t="shared" si="7"/>
        <v>42177</v>
      </c>
      <c r="C130" s="1">
        <f t="shared" si="11"/>
        <v>4418</v>
      </c>
      <c r="D130" s="1">
        <f t="shared" si="12"/>
        <v>1400</v>
      </c>
      <c r="E130" s="1">
        <f t="shared" si="13"/>
        <v>1750</v>
      </c>
      <c r="F130" s="1"/>
      <c r="H130" s="16">
        <f t="shared" si="8"/>
        <v>42987</v>
      </c>
      <c r="I130" s="29">
        <f t="shared" si="9"/>
        <v>10016</v>
      </c>
      <c r="J130" s="34">
        <f t="shared" si="10"/>
        <v>82.52</v>
      </c>
      <c r="L130" s="11">
        <v>42177</v>
      </c>
      <c r="M130" s="9">
        <v>0</v>
      </c>
      <c r="N130" s="9">
        <v>1400</v>
      </c>
      <c r="O130" s="9">
        <v>0</v>
      </c>
      <c r="P130" s="9">
        <v>0</v>
      </c>
      <c r="R130" s="11">
        <v>42987</v>
      </c>
      <c r="S130" s="9">
        <v>10016</v>
      </c>
      <c r="T130" s="9">
        <v>0</v>
      </c>
      <c r="U130" s="9"/>
    </row>
    <row r="131" spans="2:21" x14ac:dyDescent="0.4">
      <c r="B131" s="16">
        <f t="shared" si="7"/>
        <v>42178</v>
      </c>
      <c r="C131" s="1">
        <f t="shared" si="11"/>
        <v>4410</v>
      </c>
      <c r="D131" s="1">
        <f t="shared" si="12"/>
        <v>1400</v>
      </c>
      <c r="E131" s="1">
        <f t="shared" si="13"/>
        <v>1750</v>
      </c>
      <c r="F131" s="1"/>
      <c r="H131" s="16">
        <f t="shared" si="8"/>
        <v>42994</v>
      </c>
      <c r="I131" s="29">
        <f t="shared" si="9"/>
        <v>10112</v>
      </c>
      <c r="J131" s="34">
        <f t="shared" si="10"/>
        <v>82.52</v>
      </c>
      <c r="L131" s="11">
        <v>42178</v>
      </c>
      <c r="M131" s="9">
        <v>4410</v>
      </c>
      <c r="N131" s="9">
        <v>1400</v>
      </c>
      <c r="O131" s="9">
        <v>1750</v>
      </c>
      <c r="P131" s="9">
        <v>0</v>
      </c>
      <c r="R131" s="11">
        <v>42994</v>
      </c>
      <c r="S131" s="9">
        <v>10112</v>
      </c>
      <c r="T131" s="9">
        <v>0</v>
      </c>
      <c r="U131" s="9"/>
    </row>
    <row r="132" spans="2:21" x14ac:dyDescent="0.4">
      <c r="B132" s="16">
        <f t="shared" si="7"/>
        <v>42179</v>
      </c>
      <c r="C132" s="1">
        <f t="shared" si="11"/>
        <v>4414</v>
      </c>
      <c r="D132" s="1">
        <f t="shared" si="12"/>
        <v>1400</v>
      </c>
      <c r="E132" s="1">
        <f t="shared" si="13"/>
        <v>1750</v>
      </c>
      <c r="F132" s="1"/>
      <c r="H132" s="16">
        <f t="shared" si="8"/>
        <v>43001</v>
      </c>
      <c r="I132" s="29">
        <f t="shared" si="9"/>
        <v>10250</v>
      </c>
      <c r="J132" s="34">
        <f t="shared" si="10"/>
        <v>82.52</v>
      </c>
      <c r="L132" s="11">
        <v>42179</v>
      </c>
      <c r="M132" s="9">
        <v>4414</v>
      </c>
      <c r="N132" s="9">
        <v>1400</v>
      </c>
      <c r="O132" s="9">
        <v>1750</v>
      </c>
      <c r="P132" s="9">
        <v>0</v>
      </c>
      <c r="R132" s="11">
        <v>43001</v>
      </c>
      <c r="S132" s="9">
        <v>10250</v>
      </c>
      <c r="T132" s="9">
        <v>0</v>
      </c>
      <c r="U132" s="9"/>
    </row>
    <row r="133" spans="2:21" x14ac:dyDescent="0.4">
      <c r="B133" s="16">
        <f t="shared" si="7"/>
        <v>42180</v>
      </c>
      <c r="C133" s="1">
        <f t="shared" si="11"/>
        <v>4399</v>
      </c>
      <c r="D133" s="1">
        <f t="shared" si="12"/>
        <v>1400</v>
      </c>
      <c r="E133" s="1">
        <f t="shared" si="13"/>
        <v>1750</v>
      </c>
      <c r="F133" s="1"/>
      <c r="H133" s="16">
        <f t="shared" si="8"/>
        <v>43008</v>
      </c>
      <c r="I133" s="29">
        <f t="shared" si="9"/>
        <v>10250</v>
      </c>
      <c r="J133" s="34">
        <f t="shared" si="10"/>
        <v>82.52</v>
      </c>
      <c r="L133" s="11">
        <v>42180</v>
      </c>
      <c r="M133" s="9">
        <v>4399</v>
      </c>
      <c r="N133" s="9">
        <v>1400</v>
      </c>
      <c r="O133" s="9">
        <v>1750</v>
      </c>
      <c r="P133" s="9">
        <v>0</v>
      </c>
      <c r="R133" s="11">
        <v>43008</v>
      </c>
      <c r="S133" s="9">
        <v>10250</v>
      </c>
      <c r="T133" s="9">
        <v>0</v>
      </c>
      <c r="U133" s="9"/>
    </row>
    <row r="134" spans="2:21" x14ac:dyDescent="0.4">
      <c r="B134" s="16">
        <f t="shared" ref="B134:B197" si="14">L134</f>
        <v>42181</v>
      </c>
      <c r="C134" s="1">
        <f t="shared" si="11"/>
        <v>4396</v>
      </c>
      <c r="D134" s="1">
        <f t="shared" si="12"/>
        <v>1400</v>
      </c>
      <c r="E134" s="1">
        <f t="shared" si="13"/>
        <v>1750</v>
      </c>
      <c r="F134" s="1"/>
      <c r="H134" s="16">
        <f t="shared" ref="H134:H197" si="15">R134</f>
        <v>43022</v>
      </c>
      <c r="I134" s="29">
        <f t="shared" ref="I134:I197" si="16">IF(S134&lt;&gt;0,S134,I133)</f>
        <v>10160</v>
      </c>
      <c r="J134" s="34">
        <f t="shared" ref="J134:J197" si="17">IF(T134&lt;&gt;0,T134,J133)</f>
        <v>82.52</v>
      </c>
      <c r="L134" s="11">
        <v>42181</v>
      </c>
      <c r="M134" s="9">
        <v>4396</v>
      </c>
      <c r="N134" s="9">
        <v>1400</v>
      </c>
      <c r="O134" s="9">
        <v>1750</v>
      </c>
      <c r="P134" s="9">
        <v>0</v>
      </c>
      <c r="R134" s="11">
        <v>43022</v>
      </c>
      <c r="S134" s="9">
        <v>10160</v>
      </c>
      <c r="T134" s="9">
        <v>0</v>
      </c>
      <c r="U134" s="9"/>
    </row>
    <row r="135" spans="2:21" x14ac:dyDescent="0.4">
      <c r="B135" s="16">
        <f t="shared" si="14"/>
        <v>42184</v>
      </c>
      <c r="C135" s="1">
        <f t="shared" ref="C135:C198" si="18">IF(M135&lt;&gt;0,M135,C134)</f>
        <v>4403</v>
      </c>
      <c r="D135" s="1">
        <f t="shared" ref="D135:D198" si="19">IF(N135&lt;&gt;0,N135,D134)</f>
        <v>1400</v>
      </c>
      <c r="E135" s="1">
        <f t="shared" ref="E135:E198" si="20">IF(O135&lt;&gt;0,O135,E134)</f>
        <v>1750</v>
      </c>
      <c r="F135" s="1"/>
      <c r="H135" s="16">
        <f t="shared" si="15"/>
        <v>43029</v>
      </c>
      <c r="I135" s="29">
        <f t="shared" si="16"/>
        <v>10150</v>
      </c>
      <c r="J135" s="34">
        <f t="shared" si="17"/>
        <v>82.52</v>
      </c>
      <c r="L135" s="11">
        <v>42184</v>
      </c>
      <c r="M135" s="9">
        <v>4403</v>
      </c>
      <c r="N135" s="9">
        <v>1400</v>
      </c>
      <c r="O135" s="9">
        <v>1750</v>
      </c>
      <c r="P135" s="9">
        <v>0</v>
      </c>
      <c r="R135" s="11">
        <v>43029</v>
      </c>
      <c r="S135" s="9">
        <v>10150</v>
      </c>
      <c r="T135" s="9">
        <v>0</v>
      </c>
      <c r="U135" s="9"/>
    </row>
    <row r="136" spans="2:21" x14ac:dyDescent="0.4">
      <c r="B136" s="16">
        <f t="shared" si="14"/>
        <v>42185</v>
      </c>
      <c r="C136" s="1">
        <f t="shared" si="18"/>
        <v>4379</v>
      </c>
      <c r="D136" s="1">
        <f t="shared" si="19"/>
        <v>1390</v>
      </c>
      <c r="E136" s="1">
        <f t="shared" si="20"/>
        <v>1750</v>
      </c>
      <c r="F136" s="1"/>
      <c r="H136" s="16">
        <f t="shared" si="15"/>
        <v>43036</v>
      </c>
      <c r="I136" s="29">
        <f t="shared" si="16"/>
        <v>10230</v>
      </c>
      <c r="J136" s="34">
        <f t="shared" si="17"/>
        <v>82.52</v>
      </c>
      <c r="L136" s="11">
        <v>42185</v>
      </c>
      <c r="M136" s="9">
        <v>4379</v>
      </c>
      <c r="N136" s="9">
        <v>1390</v>
      </c>
      <c r="O136" s="9">
        <v>1750</v>
      </c>
      <c r="P136" s="9">
        <v>0</v>
      </c>
      <c r="R136" s="11">
        <v>43036</v>
      </c>
      <c r="S136" s="9">
        <v>10230</v>
      </c>
      <c r="T136" s="9">
        <v>0</v>
      </c>
      <c r="U136" s="9"/>
    </row>
    <row r="137" spans="2:21" x14ac:dyDescent="0.4">
      <c r="B137" s="16">
        <f t="shared" si="14"/>
        <v>42186</v>
      </c>
      <c r="C137" s="1">
        <f t="shared" si="18"/>
        <v>4365</v>
      </c>
      <c r="D137" s="1">
        <f t="shared" si="19"/>
        <v>1355</v>
      </c>
      <c r="E137" s="1">
        <f t="shared" si="20"/>
        <v>1720</v>
      </c>
      <c r="F137" s="1"/>
      <c r="H137" s="16">
        <f t="shared" si="15"/>
        <v>43043</v>
      </c>
      <c r="I137" s="29">
        <f t="shared" si="16"/>
        <v>10325</v>
      </c>
      <c r="J137" s="34">
        <f t="shared" si="17"/>
        <v>82.52</v>
      </c>
      <c r="L137" s="11">
        <v>42186</v>
      </c>
      <c r="M137" s="9">
        <v>4365</v>
      </c>
      <c r="N137" s="9">
        <v>1355</v>
      </c>
      <c r="O137" s="9">
        <v>1720</v>
      </c>
      <c r="P137" s="9">
        <v>0</v>
      </c>
      <c r="R137" s="11">
        <v>43043</v>
      </c>
      <c r="S137" s="9">
        <v>10325</v>
      </c>
      <c r="T137" s="9">
        <v>0</v>
      </c>
      <c r="U137" s="9"/>
    </row>
    <row r="138" spans="2:21" x14ac:dyDescent="0.4">
      <c r="B138" s="16">
        <f t="shared" si="14"/>
        <v>42187</v>
      </c>
      <c r="C138" s="1">
        <f t="shared" si="18"/>
        <v>4349</v>
      </c>
      <c r="D138" s="1">
        <f t="shared" si="19"/>
        <v>1330</v>
      </c>
      <c r="E138" s="1">
        <f t="shared" si="20"/>
        <v>1720</v>
      </c>
      <c r="F138" s="1"/>
      <c r="H138" s="16">
        <f t="shared" si="15"/>
        <v>43050</v>
      </c>
      <c r="I138" s="29">
        <f t="shared" si="16"/>
        <v>10480</v>
      </c>
      <c r="J138" s="34">
        <f t="shared" si="17"/>
        <v>82.52</v>
      </c>
      <c r="L138" s="11">
        <v>42187</v>
      </c>
      <c r="M138" s="9">
        <v>4349</v>
      </c>
      <c r="N138" s="9">
        <v>1330</v>
      </c>
      <c r="O138" s="9">
        <v>1720</v>
      </c>
      <c r="P138" s="9">
        <v>0</v>
      </c>
      <c r="R138" s="11">
        <v>43050</v>
      </c>
      <c r="S138" s="9">
        <v>10480</v>
      </c>
      <c r="T138" s="9">
        <v>0</v>
      </c>
      <c r="U138" s="9"/>
    </row>
    <row r="139" spans="2:21" x14ac:dyDescent="0.4">
      <c r="B139" s="16">
        <f t="shared" si="14"/>
        <v>42188</v>
      </c>
      <c r="C139" s="1">
        <f t="shared" si="18"/>
        <v>4353</v>
      </c>
      <c r="D139" s="1">
        <f t="shared" si="19"/>
        <v>1300</v>
      </c>
      <c r="E139" s="1">
        <f t="shared" si="20"/>
        <v>1720</v>
      </c>
      <c r="F139" s="1"/>
      <c r="H139" s="16">
        <f t="shared" si="15"/>
        <v>43057</v>
      </c>
      <c r="I139" s="29">
        <f t="shared" si="16"/>
        <v>10570</v>
      </c>
      <c r="J139" s="34">
        <f t="shared" si="17"/>
        <v>82.52</v>
      </c>
      <c r="L139" s="11">
        <v>42188</v>
      </c>
      <c r="M139" s="9">
        <v>4353</v>
      </c>
      <c r="N139" s="9">
        <v>1300</v>
      </c>
      <c r="O139" s="9">
        <v>1720</v>
      </c>
      <c r="P139" s="9">
        <v>0</v>
      </c>
      <c r="R139" s="11">
        <v>43057</v>
      </c>
      <c r="S139" s="9">
        <v>10570</v>
      </c>
      <c r="T139" s="9">
        <v>0</v>
      </c>
      <c r="U139" s="9"/>
    </row>
    <row r="140" spans="2:21" x14ac:dyDescent="0.4">
      <c r="B140" s="16">
        <f t="shared" si="14"/>
        <v>42191</v>
      </c>
      <c r="C140" s="1">
        <f t="shared" si="18"/>
        <v>4330</v>
      </c>
      <c r="D140" s="1">
        <f t="shared" si="19"/>
        <v>1290</v>
      </c>
      <c r="E140" s="1">
        <f t="shared" si="20"/>
        <v>1700</v>
      </c>
      <c r="F140" s="1"/>
      <c r="H140" s="16">
        <f t="shared" si="15"/>
        <v>43064</v>
      </c>
      <c r="I140" s="29">
        <f t="shared" si="16"/>
        <v>10600</v>
      </c>
      <c r="J140" s="34">
        <f t="shared" si="17"/>
        <v>82.52</v>
      </c>
      <c r="L140" s="11">
        <v>42191</v>
      </c>
      <c r="M140" s="9">
        <v>4330</v>
      </c>
      <c r="N140" s="9">
        <v>1290</v>
      </c>
      <c r="O140" s="9">
        <v>1700</v>
      </c>
      <c r="P140" s="9">
        <v>0</v>
      </c>
      <c r="R140" s="11">
        <v>43064</v>
      </c>
      <c r="S140" s="9">
        <v>10600</v>
      </c>
      <c r="T140" s="9">
        <v>0</v>
      </c>
      <c r="U140" s="9"/>
    </row>
    <row r="141" spans="2:21" x14ac:dyDescent="0.4">
      <c r="B141" s="16">
        <f t="shared" si="14"/>
        <v>42192</v>
      </c>
      <c r="C141" s="1">
        <f t="shared" si="18"/>
        <v>4288</v>
      </c>
      <c r="D141" s="1">
        <f t="shared" si="19"/>
        <v>1280</v>
      </c>
      <c r="E141" s="1">
        <f t="shared" si="20"/>
        <v>1700</v>
      </c>
      <c r="F141" s="1"/>
      <c r="H141" s="16">
        <f t="shared" si="15"/>
        <v>43071</v>
      </c>
      <c r="I141" s="29">
        <f t="shared" si="16"/>
        <v>10470</v>
      </c>
      <c r="J141" s="34">
        <f t="shared" si="17"/>
        <v>82.52</v>
      </c>
      <c r="L141" s="11">
        <v>42192</v>
      </c>
      <c r="M141" s="9">
        <v>4288</v>
      </c>
      <c r="N141" s="9">
        <v>1280</v>
      </c>
      <c r="O141" s="9">
        <v>1700</v>
      </c>
      <c r="P141" s="9">
        <v>0</v>
      </c>
      <c r="R141" s="11">
        <v>43071</v>
      </c>
      <c r="S141" s="9">
        <v>10470</v>
      </c>
      <c r="T141" s="9">
        <v>0</v>
      </c>
      <c r="U141" s="9"/>
    </row>
    <row r="142" spans="2:21" x14ac:dyDescent="0.4">
      <c r="B142" s="16">
        <f t="shared" si="14"/>
        <v>42193</v>
      </c>
      <c r="C142" s="1">
        <f t="shared" si="18"/>
        <v>4231</v>
      </c>
      <c r="D142" s="1">
        <f t="shared" si="19"/>
        <v>1270</v>
      </c>
      <c r="E142" s="1">
        <f t="shared" si="20"/>
        <v>1680</v>
      </c>
      <c r="F142" s="1"/>
      <c r="H142" s="16">
        <f t="shared" si="15"/>
        <v>43078</v>
      </c>
      <c r="I142" s="29">
        <f t="shared" si="16"/>
        <v>10370</v>
      </c>
      <c r="J142" s="34">
        <f t="shared" si="17"/>
        <v>82.52</v>
      </c>
      <c r="L142" s="11">
        <v>42193</v>
      </c>
      <c r="M142" s="9">
        <v>4231</v>
      </c>
      <c r="N142" s="9">
        <v>1270</v>
      </c>
      <c r="O142" s="9">
        <v>1680</v>
      </c>
      <c r="P142" s="9">
        <v>0</v>
      </c>
      <c r="R142" s="11">
        <v>43078</v>
      </c>
      <c r="S142" s="9">
        <v>10370</v>
      </c>
      <c r="T142" s="9">
        <v>0</v>
      </c>
      <c r="U142" s="9"/>
    </row>
    <row r="143" spans="2:21" x14ac:dyDescent="0.4">
      <c r="B143" s="16">
        <f t="shared" si="14"/>
        <v>42194</v>
      </c>
      <c r="C143" s="1">
        <f t="shared" si="18"/>
        <v>4181</v>
      </c>
      <c r="D143" s="1">
        <f t="shared" si="19"/>
        <v>1245</v>
      </c>
      <c r="E143" s="1">
        <f t="shared" si="20"/>
        <v>1680</v>
      </c>
      <c r="F143" s="1"/>
      <c r="H143" s="16">
        <f t="shared" si="15"/>
        <v>43085</v>
      </c>
      <c r="I143" s="29">
        <f t="shared" si="16"/>
        <v>10110</v>
      </c>
      <c r="J143" s="34">
        <f t="shared" si="17"/>
        <v>82.52</v>
      </c>
      <c r="L143" s="11">
        <v>42194</v>
      </c>
      <c r="M143" s="9">
        <v>4181</v>
      </c>
      <c r="N143" s="9">
        <v>1245</v>
      </c>
      <c r="O143" s="9">
        <v>1680</v>
      </c>
      <c r="P143" s="9">
        <v>0</v>
      </c>
      <c r="R143" s="11">
        <v>43085</v>
      </c>
      <c r="S143" s="9">
        <v>10110</v>
      </c>
      <c r="T143" s="9">
        <v>0</v>
      </c>
      <c r="U143" s="9"/>
    </row>
    <row r="144" spans="2:21" x14ac:dyDescent="0.4">
      <c r="B144" s="16">
        <f t="shared" si="14"/>
        <v>42195</v>
      </c>
      <c r="C144" s="1">
        <f t="shared" si="18"/>
        <v>4210</v>
      </c>
      <c r="D144" s="1">
        <f t="shared" si="19"/>
        <v>1230</v>
      </c>
      <c r="E144" s="1">
        <f t="shared" si="20"/>
        <v>1680</v>
      </c>
      <c r="F144" s="1"/>
      <c r="H144" s="16">
        <f t="shared" si="15"/>
        <v>43092</v>
      </c>
      <c r="I144" s="29">
        <f t="shared" si="16"/>
        <v>10125</v>
      </c>
      <c r="J144" s="34">
        <f t="shared" si="17"/>
        <v>82.52</v>
      </c>
      <c r="L144" s="11">
        <v>42195</v>
      </c>
      <c r="M144" s="9">
        <v>4210</v>
      </c>
      <c r="N144" s="9">
        <v>1230</v>
      </c>
      <c r="O144" s="9">
        <v>1680</v>
      </c>
      <c r="P144" s="9">
        <v>0</v>
      </c>
      <c r="R144" s="11">
        <v>43092</v>
      </c>
      <c r="S144" s="9">
        <v>10125</v>
      </c>
      <c r="T144" s="9">
        <v>0</v>
      </c>
      <c r="U144" s="9"/>
    </row>
    <row r="145" spans="2:21" x14ac:dyDescent="0.4">
      <c r="B145" s="16">
        <f t="shared" si="14"/>
        <v>42198</v>
      </c>
      <c r="C145" s="1">
        <f t="shared" si="18"/>
        <v>4204</v>
      </c>
      <c r="D145" s="1">
        <f t="shared" si="19"/>
        <v>1230</v>
      </c>
      <c r="E145" s="1">
        <f t="shared" si="20"/>
        <v>1710</v>
      </c>
      <c r="F145" s="1"/>
      <c r="H145" s="16">
        <f t="shared" si="15"/>
        <v>43099</v>
      </c>
      <c r="I145" s="29">
        <f t="shared" si="16"/>
        <v>10125</v>
      </c>
      <c r="J145" s="34">
        <f t="shared" si="17"/>
        <v>82.52</v>
      </c>
      <c r="L145" s="11">
        <v>42198</v>
      </c>
      <c r="M145" s="9">
        <v>4204</v>
      </c>
      <c r="N145" s="9">
        <v>1230</v>
      </c>
      <c r="O145" s="9">
        <v>1710</v>
      </c>
      <c r="P145" s="9">
        <v>0</v>
      </c>
      <c r="R145" s="11">
        <v>43099</v>
      </c>
      <c r="S145" s="9">
        <v>10125</v>
      </c>
      <c r="T145" s="9">
        <v>0</v>
      </c>
      <c r="U145" s="9"/>
    </row>
    <row r="146" spans="2:21" x14ac:dyDescent="0.4">
      <c r="B146" s="16">
        <f t="shared" si="14"/>
        <v>42199</v>
      </c>
      <c r="C146" s="1">
        <f t="shared" si="18"/>
        <v>4199</v>
      </c>
      <c r="D146" s="1">
        <f t="shared" si="19"/>
        <v>1205</v>
      </c>
      <c r="E146" s="1">
        <f t="shared" si="20"/>
        <v>1710</v>
      </c>
      <c r="F146" s="1"/>
      <c r="H146" s="16">
        <f t="shared" si="15"/>
        <v>43106</v>
      </c>
      <c r="I146" s="29">
        <f t="shared" si="16"/>
        <v>10212.5</v>
      </c>
      <c r="J146" s="34">
        <f t="shared" si="17"/>
        <v>82.52</v>
      </c>
      <c r="L146" s="11">
        <v>42199</v>
      </c>
      <c r="M146" s="9">
        <v>4199</v>
      </c>
      <c r="N146" s="9">
        <v>1205</v>
      </c>
      <c r="O146" s="9">
        <v>1710</v>
      </c>
      <c r="P146" s="9">
        <v>0</v>
      </c>
      <c r="R146" s="11">
        <v>43106</v>
      </c>
      <c r="S146" s="9">
        <v>10212.5</v>
      </c>
      <c r="T146" s="9">
        <v>0</v>
      </c>
      <c r="U146" s="9"/>
    </row>
    <row r="147" spans="2:21" x14ac:dyDescent="0.4">
      <c r="B147" s="16">
        <f t="shared" si="14"/>
        <v>42200</v>
      </c>
      <c r="C147" s="1">
        <f t="shared" si="18"/>
        <v>4189</v>
      </c>
      <c r="D147" s="1">
        <f t="shared" si="19"/>
        <v>1205</v>
      </c>
      <c r="E147" s="1">
        <f t="shared" si="20"/>
        <v>1710</v>
      </c>
      <c r="F147" s="1"/>
      <c r="H147" s="16">
        <f t="shared" si="15"/>
        <v>43113</v>
      </c>
      <c r="I147" s="29">
        <f t="shared" si="16"/>
        <v>10380</v>
      </c>
      <c r="J147" s="34">
        <f t="shared" si="17"/>
        <v>82.52</v>
      </c>
      <c r="L147" s="11">
        <v>42200</v>
      </c>
      <c r="M147" s="9">
        <v>4189</v>
      </c>
      <c r="N147" s="9">
        <v>1205</v>
      </c>
      <c r="O147" s="9">
        <v>1710</v>
      </c>
      <c r="P147" s="9">
        <v>0</v>
      </c>
      <c r="R147" s="11">
        <v>43113</v>
      </c>
      <c r="S147" s="9">
        <v>10380</v>
      </c>
      <c r="T147" s="9">
        <v>0</v>
      </c>
      <c r="U147" s="9"/>
    </row>
    <row r="148" spans="2:21" x14ac:dyDescent="0.4">
      <c r="B148" s="16">
        <f t="shared" si="14"/>
        <v>42201</v>
      </c>
      <c r="C148" s="1">
        <f t="shared" si="18"/>
        <v>4178</v>
      </c>
      <c r="D148" s="1">
        <f t="shared" si="19"/>
        <v>1185</v>
      </c>
      <c r="E148" s="1">
        <f t="shared" si="20"/>
        <v>1710</v>
      </c>
      <c r="F148" s="1"/>
      <c r="H148" s="16">
        <f t="shared" si="15"/>
        <v>43120</v>
      </c>
      <c r="I148" s="29">
        <f t="shared" si="16"/>
        <v>10400</v>
      </c>
      <c r="J148" s="34">
        <f t="shared" si="17"/>
        <v>82.52</v>
      </c>
      <c r="L148" s="11">
        <v>42201</v>
      </c>
      <c r="M148" s="9">
        <v>4178</v>
      </c>
      <c r="N148" s="9">
        <v>1185</v>
      </c>
      <c r="O148" s="9">
        <v>1710</v>
      </c>
      <c r="P148" s="9">
        <v>0</v>
      </c>
      <c r="R148" s="11">
        <v>43120</v>
      </c>
      <c r="S148" s="9">
        <v>10400</v>
      </c>
      <c r="T148" s="9">
        <v>0</v>
      </c>
      <c r="U148" s="9"/>
    </row>
    <row r="149" spans="2:21" x14ac:dyDescent="0.4">
      <c r="B149" s="16">
        <f t="shared" si="14"/>
        <v>42202</v>
      </c>
      <c r="C149" s="1">
        <f t="shared" si="18"/>
        <v>4178</v>
      </c>
      <c r="D149" s="1">
        <f t="shared" si="19"/>
        <v>1185</v>
      </c>
      <c r="E149" s="1">
        <f t="shared" si="20"/>
        <v>1710</v>
      </c>
      <c r="F149" s="1"/>
      <c r="H149" s="16">
        <f t="shared" si="15"/>
        <v>43127</v>
      </c>
      <c r="I149" s="29">
        <f t="shared" si="16"/>
        <v>10350</v>
      </c>
      <c r="J149" s="34">
        <f t="shared" si="17"/>
        <v>82.52</v>
      </c>
      <c r="L149" s="11">
        <v>42202</v>
      </c>
      <c r="M149" s="9">
        <v>4178</v>
      </c>
      <c r="N149" s="9">
        <v>1185</v>
      </c>
      <c r="O149" s="9">
        <v>1710</v>
      </c>
      <c r="P149" s="9">
        <v>0</v>
      </c>
      <c r="R149" s="11">
        <v>43127</v>
      </c>
      <c r="S149" s="9">
        <v>10350</v>
      </c>
      <c r="T149" s="9">
        <v>0</v>
      </c>
      <c r="U149" s="9"/>
    </row>
    <row r="150" spans="2:21" x14ac:dyDescent="0.4">
      <c r="B150" s="16">
        <f t="shared" si="14"/>
        <v>42205</v>
      </c>
      <c r="C150" s="1">
        <f t="shared" si="18"/>
        <v>4170</v>
      </c>
      <c r="D150" s="1">
        <f t="shared" si="19"/>
        <v>1180</v>
      </c>
      <c r="E150" s="1">
        <f t="shared" si="20"/>
        <v>1700</v>
      </c>
      <c r="F150" s="1"/>
      <c r="H150" s="16">
        <f t="shared" si="15"/>
        <v>43134</v>
      </c>
      <c r="I150" s="29">
        <f t="shared" si="16"/>
        <v>10200</v>
      </c>
      <c r="J150" s="34">
        <f t="shared" si="17"/>
        <v>82.52</v>
      </c>
      <c r="L150" s="11">
        <v>42205</v>
      </c>
      <c r="M150" s="9">
        <v>4170</v>
      </c>
      <c r="N150" s="9">
        <v>1180</v>
      </c>
      <c r="O150" s="9">
        <v>1700</v>
      </c>
      <c r="P150" s="9">
        <v>0</v>
      </c>
      <c r="R150" s="11">
        <v>43134</v>
      </c>
      <c r="S150" s="9">
        <v>10200</v>
      </c>
      <c r="T150" s="9">
        <v>0</v>
      </c>
      <c r="U150" s="9"/>
    </row>
    <row r="151" spans="2:21" x14ac:dyDescent="0.4">
      <c r="B151" s="16">
        <f t="shared" si="14"/>
        <v>42206</v>
      </c>
      <c r="C151" s="1">
        <f t="shared" si="18"/>
        <v>4164</v>
      </c>
      <c r="D151" s="1">
        <f t="shared" si="19"/>
        <v>1170</v>
      </c>
      <c r="E151" s="1">
        <f t="shared" si="20"/>
        <v>1700</v>
      </c>
      <c r="F151" s="1"/>
      <c r="H151" s="16">
        <f t="shared" si="15"/>
        <v>43141</v>
      </c>
      <c r="I151" s="29">
        <f t="shared" si="16"/>
        <v>10170</v>
      </c>
      <c r="J151" s="34">
        <f t="shared" si="17"/>
        <v>82.52</v>
      </c>
      <c r="L151" s="11">
        <v>42206</v>
      </c>
      <c r="M151" s="9">
        <v>4164</v>
      </c>
      <c r="N151" s="9">
        <v>1170</v>
      </c>
      <c r="O151" s="9">
        <v>1700</v>
      </c>
      <c r="P151" s="9">
        <v>0</v>
      </c>
      <c r="R151" s="11">
        <v>43141</v>
      </c>
      <c r="S151" s="9">
        <v>10170</v>
      </c>
      <c r="T151" s="9">
        <v>0</v>
      </c>
      <c r="U151" s="9"/>
    </row>
    <row r="152" spans="2:21" x14ac:dyDescent="0.4">
      <c r="B152" s="16">
        <f t="shared" si="14"/>
        <v>42207</v>
      </c>
      <c r="C152" s="1">
        <f t="shared" si="18"/>
        <v>4159</v>
      </c>
      <c r="D152" s="1">
        <f t="shared" si="19"/>
        <v>1170</v>
      </c>
      <c r="E152" s="1">
        <f t="shared" si="20"/>
        <v>1700</v>
      </c>
      <c r="F152" s="1"/>
      <c r="H152" s="16">
        <f t="shared" si="15"/>
        <v>43155</v>
      </c>
      <c r="I152" s="29">
        <f t="shared" si="16"/>
        <v>10175</v>
      </c>
      <c r="J152" s="34">
        <f t="shared" si="17"/>
        <v>82.52</v>
      </c>
      <c r="L152" s="11">
        <v>42207</v>
      </c>
      <c r="M152" s="9">
        <v>4159</v>
      </c>
      <c r="N152" s="9">
        <v>1170</v>
      </c>
      <c r="O152" s="9">
        <v>1700</v>
      </c>
      <c r="P152" s="9">
        <v>0</v>
      </c>
      <c r="R152" s="11">
        <v>43155</v>
      </c>
      <c r="S152" s="9">
        <v>10175</v>
      </c>
      <c r="T152" s="9">
        <v>0</v>
      </c>
      <c r="U152" s="9"/>
    </row>
    <row r="153" spans="2:21" x14ac:dyDescent="0.4">
      <c r="B153" s="16">
        <f t="shared" si="14"/>
        <v>42208</v>
      </c>
      <c r="C153" s="1">
        <f t="shared" si="18"/>
        <v>4138</v>
      </c>
      <c r="D153" s="1">
        <f t="shared" si="19"/>
        <v>1165</v>
      </c>
      <c r="E153" s="1">
        <f t="shared" si="20"/>
        <v>1680</v>
      </c>
      <c r="F153" s="1"/>
      <c r="H153" s="16">
        <f t="shared" si="15"/>
        <v>43162</v>
      </c>
      <c r="I153" s="29">
        <f t="shared" si="16"/>
        <v>10480</v>
      </c>
      <c r="J153" s="34">
        <f t="shared" si="17"/>
        <v>82.52</v>
      </c>
      <c r="L153" s="11">
        <v>42208</v>
      </c>
      <c r="M153" s="9">
        <v>4138</v>
      </c>
      <c r="N153" s="9">
        <v>1165</v>
      </c>
      <c r="O153" s="9">
        <v>1680</v>
      </c>
      <c r="P153" s="9">
        <v>0</v>
      </c>
      <c r="R153" s="11">
        <v>43162</v>
      </c>
      <c r="S153" s="9">
        <v>10480</v>
      </c>
      <c r="T153" s="9">
        <v>0</v>
      </c>
      <c r="U153" s="9"/>
    </row>
    <row r="154" spans="2:21" x14ac:dyDescent="0.4">
      <c r="B154" s="16">
        <f t="shared" si="14"/>
        <v>42209</v>
      </c>
      <c r="C154" s="1">
        <f t="shared" si="18"/>
        <v>4139</v>
      </c>
      <c r="D154" s="1">
        <f t="shared" si="19"/>
        <v>1175</v>
      </c>
      <c r="E154" s="1">
        <f t="shared" si="20"/>
        <v>1680</v>
      </c>
      <c r="F154" s="1"/>
      <c r="H154" s="16">
        <f t="shared" si="15"/>
        <v>43169</v>
      </c>
      <c r="I154" s="29">
        <f t="shared" si="16"/>
        <v>10480</v>
      </c>
      <c r="J154" s="34">
        <f t="shared" si="17"/>
        <v>82.52</v>
      </c>
      <c r="L154" s="11">
        <v>42209</v>
      </c>
      <c r="M154" s="9">
        <v>4139</v>
      </c>
      <c r="N154" s="9">
        <v>1175</v>
      </c>
      <c r="O154" s="9">
        <v>1680</v>
      </c>
      <c r="P154" s="9">
        <v>0</v>
      </c>
      <c r="R154" s="11">
        <v>43169</v>
      </c>
      <c r="S154" s="9">
        <v>10480</v>
      </c>
      <c r="T154" s="9">
        <v>0</v>
      </c>
      <c r="U154" s="9"/>
    </row>
    <row r="155" spans="2:21" x14ac:dyDescent="0.4">
      <c r="B155" s="16">
        <f t="shared" si="14"/>
        <v>42212</v>
      </c>
      <c r="C155" s="1">
        <f t="shared" si="18"/>
        <v>4121</v>
      </c>
      <c r="D155" s="1">
        <f t="shared" si="19"/>
        <v>1175</v>
      </c>
      <c r="E155" s="1">
        <f t="shared" si="20"/>
        <v>1680</v>
      </c>
      <c r="F155" s="1"/>
      <c r="H155" s="16">
        <f t="shared" si="15"/>
        <v>43176</v>
      </c>
      <c r="I155" s="29">
        <f t="shared" si="16"/>
        <v>10280</v>
      </c>
      <c r="J155" s="34">
        <f t="shared" si="17"/>
        <v>82.52</v>
      </c>
      <c r="L155" s="11">
        <v>42212</v>
      </c>
      <c r="M155" s="9">
        <v>4121</v>
      </c>
      <c r="N155" s="9">
        <v>1175</v>
      </c>
      <c r="O155" s="9">
        <v>1680</v>
      </c>
      <c r="P155" s="9">
        <v>0</v>
      </c>
      <c r="R155" s="11">
        <v>43176</v>
      </c>
      <c r="S155" s="9">
        <v>10280</v>
      </c>
      <c r="T155" s="9">
        <v>0</v>
      </c>
      <c r="U155" s="9"/>
    </row>
    <row r="156" spans="2:21" x14ac:dyDescent="0.4">
      <c r="B156" s="16">
        <f t="shared" si="14"/>
        <v>42213</v>
      </c>
      <c r="C156" s="1">
        <f t="shared" si="18"/>
        <v>4081</v>
      </c>
      <c r="D156" s="1">
        <f t="shared" si="19"/>
        <v>1175</v>
      </c>
      <c r="E156" s="1">
        <f t="shared" si="20"/>
        <v>1660</v>
      </c>
      <c r="F156" s="1"/>
      <c r="H156" s="16">
        <f t="shared" si="15"/>
        <v>43183</v>
      </c>
      <c r="I156" s="29">
        <f t="shared" si="16"/>
        <v>10295</v>
      </c>
      <c r="J156" s="34">
        <f t="shared" si="17"/>
        <v>82.52</v>
      </c>
      <c r="L156" s="11">
        <v>42213</v>
      </c>
      <c r="M156" s="9">
        <v>4081</v>
      </c>
      <c r="N156" s="9">
        <v>1175</v>
      </c>
      <c r="O156" s="9">
        <v>1660</v>
      </c>
      <c r="P156" s="9">
        <v>0</v>
      </c>
      <c r="R156" s="11">
        <v>43183</v>
      </c>
      <c r="S156" s="9">
        <v>10295</v>
      </c>
      <c r="T156" s="9">
        <v>0</v>
      </c>
      <c r="U156" s="9"/>
    </row>
    <row r="157" spans="2:21" x14ac:dyDescent="0.4">
      <c r="B157" s="16">
        <f t="shared" si="14"/>
        <v>42214</v>
      </c>
      <c r="C157" s="1">
        <f t="shared" si="18"/>
        <v>4087</v>
      </c>
      <c r="D157" s="1">
        <f t="shared" si="19"/>
        <v>1175</v>
      </c>
      <c r="E157" s="1">
        <f t="shared" si="20"/>
        <v>1660</v>
      </c>
      <c r="F157" s="1"/>
      <c r="H157" s="16">
        <f t="shared" si="15"/>
        <v>43190</v>
      </c>
      <c r="I157" s="29">
        <f t="shared" si="16"/>
        <v>10350</v>
      </c>
      <c r="J157" s="34">
        <f t="shared" si="17"/>
        <v>82.52</v>
      </c>
      <c r="L157" s="11">
        <v>42214</v>
      </c>
      <c r="M157" s="9">
        <v>4087</v>
      </c>
      <c r="N157" s="9">
        <v>1175</v>
      </c>
      <c r="O157" s="9">
        <v>1660</v>
      </c>
      <c r="P157" s="9">
        <v>0</v>
      </c>
      <c r="R157" s="11">
        <v>43190</v>
      </c>
      <c r="S157" s="9">
        <v>10350</v>
      </c>
      <c r="T157" s="9">
        <v>0</v>
      </c>
      <c r="U157" s="9"/>
    </row>
    <row r="158" spans="2:21" x14ac:dyDescent="0.4">
      <c r="B158" s="16">
        <f t="shared" si="14"/>
        <v>42215</v>
      </c>
      <c r="C158" s="1">
        <f t="shared" si="18"/>
        <v>4090</v>
      </c>
      <c r="D158" s="1">
        <f t="shared" si="19"/>
        <v>1140</v>
      </c>
      <c r="E158" s="1">
        <f t="shared" si="20"/>
        <v>1660</v>
      </c>
      <c r="F158" s="1"/>
      <c r="H158" s="16">
        <f t="shared" si="15"/>
        <v>43197</v>
      </c>
      <c r="I158" s="29">
        <f t="shared" si="16"/>
        <v>10416.666666666666</v>
      </c>
      <c r="J158" s="34">
        <f t="shared" si="17"/>
        <v>82.52</v>
      </c>
      <c r="L158" s="11">
        <v>42215</v>
      </c>
      <c r="M158" s="9">
        <v>4090</v>
      </c>
      <c r="N158" s="9">
        <v>1140</v>
      </c>
      <c r="O158" s="9">
        <v>1660</v>
      </c>
      <c r="P158" s="9">
        <v>0</v>
      </c>
      <c r="R158" s="11">
        <v>43197</v>
      </c>
      <c r="S158" s="9">
        <v>10416.666666666666</v>
      </c>
      <c r="T158" s="9">
        <v>0</v>
      </c>
      <c r="U158" s="9"/>
    </row>
    <row r="159" spans="2:21" x14ac:dyDescent="0.4">
      <c r="B159" s="16">
        <f t="shared" si="14"/>
        <v>42216</v>
      </c>
      <c r="C159" s="1">
        <f t="shared" si="18"/>
        <v>4082</v>
      </c>
      <c r="D159" s="1">
        <f t="shared" si="19"/>
        <v>1119</v>
      </c>
      <c r="E159" s="1">
        <f t="shared" si="20"/>
        <v>1660</v>
      </c>
      <c r="F159" s="1"/>
      <c r="H159" s="16">
        <f t="shared" si="15"/>
        <v>43204</v>
      </c>
      <c r="I159" s="29">
        <f t="shared" si="16"/>
        <v>10525</v>
      </c>
      <c r="J159" s="34">
        <f t="shared" si="17"/>
        <v>82.52</v>
      </c>
      <c r="L159" s="11">
        <v>42216</v>
      </c>
      <c r="M159" s="9">
        <v>4082</v>
      </c>
      <c r="N159" s="9">
        <v>1119</v>
      </c>
      <c r="O159" s="9">
        <v>1660</v>
      </c>
      <c r="P159" s="9">
        <v>0</v>
      </c>
      <c r="R159" s="11">
        <v>43204</v>
      </c>
      <c r="S159" s="9">
        <v>10525</v>
      </c>
      <c r="T159" s="9">
        <v>0</v>
      </c>
      <c r="U159" s="9"/>
    </row>
    <row r="160" spans="2:21" x14ac:dyDescent="0.4">
      <c r="B160" s="16">
        <f t="shared" si="14"/>
        <v>42219</v>
      </c>
      <c r="C160" s="1">
        <f t="shared" si="18"/>
        <v>4070</v>
      </c>
      <c r="D160" s="1">
        <f t="shared" si="19"/>
        <v>1119</v>
      </c>
      <c r="E160" s="1">
        <f t="shared" si="20"/>
        <v>1660</v>
      </c>
      <c r="F160" s="1"/>
      <c r="H160" s="16">
        <f t="shared" si="15"/>
        <v>43211</v>
      </c>
      <c r="I160" s="29">
        <f t="shared" si="16"/>
        <v>10720</v>
      </c>
      <c r="J160" s="34">
        <f t="shared" si="17"/>
        <v>82.52</v>
      </c>
      <c r="L160" s="11">
        <v>42219</v>
      </c>
      <c r="M160" s="9">
        <v>4070</v>
      </c>
      <c r="N160" s="9">
        <v>1119</v>
      </c>
      <c r="O160" s="9">
        <v>1660</v>
      </c>
      <c r="P160" s="9">
        <v>0</v>
      </c>
      <c r="R160" s="11">
        <v>43211</v>
      </c>
      <c r="S160" s="9">
        <v>10720</v>
      </c>
      <c r="T160" s="9">
        <v>0</v>
      </c>
      <c r="U160" s="9"/>
    </row>
    <row r="161" spans="2:21" x14ac:dyDescent="0.4">
      <c r="B161" s="16">
        <f t="shared" si="14"/>
        <v>42220</v>
      </c>
      <c r="C161" s="1">
        <f t="shared" si="18"/>
        <v>4027</v>
      </c>
      <c r="D161" s="1">
        <f t="shared" si="19"/>
        <v>1100</v>
      </c>
      <c r="E161" s="1">
        <f t="shared" si="20"/>
        <v>1640</v>
      </c>
      <c r="F161" s="1"/>
      <c r="H161" s="16">
        <f t="shared" si="15"/>
        <v>43218</v>
      </c>
      <c r="I161" s="29">
        <f t="shared" si="16"/>
        <v>10858.333333333334</v>
      </c>
      <c r="J161" s="34">
        <f t="shared" si="17"/>
        <v>82.52</v>
      </c>
      <c r="L161" s="11">
        <v>42220</v>
      </c>
      <c r="M161" s="9">
        <v>4027</v>
      </c>
      <c r="N161" s="9">
        <v>1100</v>
      </c>
      <c r="O161" s="9">
        <v>1640</v>
      </c>
      <c r="P161" s="9">
        <v>0</v>
      </c>
      <c r="R161" s="11">
        <v>43218</v>
      </c>
      <c r="S161" s="9">
        <v>10858.333333333334</v>
      </c>
      <c r="T161" s="9">
        <v>0</v>
      </c>
      <c r="U161" s="9"/>
    </row>
    <row r="162" spans="2:21" x14ac:dyDescent="0.4">
      <c r="B162" s="16">
        <f t="shared" si="14"/>
        <v>42221</v>
      </c>
      <c r="C162" s="1">
        <f t="shared" si="18"/>
        <v>4015</v>
      </c>
      <c r="D162" s="1">
        <f t="shared" si="19"/>
        <v>1090</v>
      </c>
      <c r="E162" s="1">
        <f t="shared" si="20"/>
        <v>1630</v>
      </c>
      <c r="F162" s="1"/>
      <c r="H162" s="16">
        <f t="shared" si="15"/>
        <v>43225</v>
      </c>
      <c r="I162" s="29">
        <f t="shared" si="16"/>
        <v>10875</v>
      </c>
      <c r="J162" s="34">
        <f t="shared" si="17"/>
        <v>82.52</v>
      </c>
      <c r="L162" s="11">
        <v>42221</v>
      </c>
      <c r="M162" s="9">
        <v>4015</v>
      </c>
      <c r="N162" s="9">
        <v>1090</v>
      </c>
      <c r="O162" s="9">
        <v>1630</v>
      </c>
      <c r="P162" s="9">
        <v>0</v>
      </c>
      <c r="R162" s="11">
        <v>43225</v>
      </c>
      <c r="S162" s="9">
        <v>10875</v>
      </c>
      <c r="T162" s="9">
        <v>0</v>
      </c>
      <c r="U162" s="9"/>
    </row>
    <row r="163" spans="2:21" x14ac:dyDescent="0.4">
      <c r="B163" s="16">
        <f t="shared" si="14"/>
        <v>42222</v>
      </c>
      <c r="C163" s="1">
        <f t="shared" si="18"/>
        <v>4001</v>
      </c>
      <c r="D163" s="1">
        <f t="shared" si="19"/>
        <v>1080</v>
      </c>
      <c r="E163" s="1">
        <f t="shared" si="20"/>
        <v>1630</v>
      </c>
      <c r="F163" s="1"/>
      <c r="H163" s="16">
        <f t="shared" si="15"/>
        <v>43232</v>
      </c>
      <c r="I163" s="29">
        <f t="shared" si="16"/>
        <v>10875</v>
      </c>
      <c r="J163" s="34">
        <f t="shared" si="17"/>
        <v>82.52</v>
      </c>
      <c r="L163" s="11">
        <v>42222</v>
      </c>
      <c r="M163" s="9">
        <v>4001</v>
      </c>
      <c r="N163" s="9">
        <v>1080</v>
      </c>
      <c r="O163" s="9">
        <v>1630</v>
      </c>
      <c r="P163" s="9">
        <v>0</v>
      </c>
      <c r="R163" s="11">
        <v>43232</v>
      </c>
      <c r="S163" s="9">
        <v>10875</v>
      </c>
      <c r="T163" s="9">
        <v>0</v>
      </c>
      <c r="U163" s="9"/>
    </row>
    <row r="164" spans="2:21" x14ac:dyDescent="0.4">
      <c r="B164" s="16">
        <f t="shared" si="14"/>
        <v>42223</v>
      </c>
      <c r="C164" s="1">
        <f t="shared" si="18"/>
        <v>3990</v>
      </c>
      <c r="D164" s="1">
        <f t="shared" si="19"/>
        <v>1080</v>
      </c>
      <c r="E164" s="1">
        <f t="shared" si="20"/>
        <v>1610</v>
      </c>
      <c r="F164" s="1"/>
      <c r="H164" s="16">
        <f t="shared" si="15"/>
        <v>43239</v>
      </c>
      <c r="I164" s="29">
        <f t="shared" si="16"/>
        <v>10875</v>
      </c>
      <c r="J164" s="34">
        <f t="shared" si="17"/>
        <v>82.52</v>
      </c>
      <c r="L164" s="11">
        <v>42223</v>
      </c>
      <c r="M164" s="9">
        <v>3990</v>
      </c>
      <c r="N164" s="9">
        <v>1080</v>
      </c>
      <c r="O164" s="9">
        <v>1610</v>
      </c>
      <c r="P164" s="9">
        <v>0</v>
      </c>
      <c r="R164" s="11">
        <v>43239</v>
      </c>
      <c r="S164" s="9">
        <v>10875</v>
      </c>
      <c r="T164" s="9">
        <v>0</v>
      </c>
      <c r="U164" s="9"/>
    </row>
    <row r="165" spans="2:21" x14ac:dyDescent="0.4">
      <c r="B165" s="16">
        <f t="shared" si="14"/>
        <v>42226</v>
      </c>
      <c r="C165" s="1">
        <f t="shared" si="18"/>
        <v>3976</v>
      </c>
      <c r="D165" s="1">
        <f t="shared" si="19"/>
        <v>1080</v>
      </c>
      <c r="E165" s="1">
        <f t="shared" si="20"/>
        <v>1580</v>
      </c>
      <c r="F165" s="1"/>
      <c r="H165" s="16">
        <f t="shared" si="15"/>
        <v>43246</v>
      </c>
      <c r="I165" s="29">
        <f t="shared" si="16"/>
        <v>10815</v>
      </c>
      <c r="J165" s="34">
        <f t="shared" si="17"/>
        <v>82.52</v>
      </c>
      <c r="L165" s="11">
        <v>42226</v>
      </c>
      <c r="M165" s="9">
        <v>3976</v>
      </c>
      <c r="N165" s="9">
        <v>1080</v>
      </c>
      <c r="O165" s="9">
        <v>1580</v>
      </c>
      <c r="P165" s="9">
        <v>0</v>
      </c>
      <c r="R165" s="11">
        <v>43246</v>
      </c>
      <c r="S165" s="9">
        <v>10815</v>
      </c>
      <c r="T165" s="9">
        <v>0</v>
      </c>
      <c r="U165" s="9"/>
    </row>
    <row r="166" spans="2:21" x14ac:dyDescent="0.4">
      <c r="B166" s="16">
        <f t="shared" si="14"/>
        <v>42227</v>
      </c>
      <c r="C166" s="1">
        <f t="shared" si="18"/>
        <v>3998</v>
      </c>
      <c r="D166" s="1">
        <f t="shared" si="19"/>
        <v>1075</v>
      </c>
      <c r="E166" s="1">
        <f t="shared" si="20"/>
        <v>1560</v>
      </c>
      <c r="F166" s="1"/>
      <c r="H166" s="16">
        <f t="shared" si="15"/>
        <v>43253</v>
      </c>
      <c r="I166" s="29">
        <f t="shared" si="16"/>
        <v>10720</v>
      </c>
      <c r="J166" s="34">
        <f t="shared" si="17"/>
        <v>82.52</v>
      </c>
      <c r="L166" s="11">
        <v>42227</v>
      </c>
      <c r="M166" s="9">
        <v>3998</v>
      </c>
      <c r="N166" s="9">
        <v>1075</v>
      </c>
      <c r="O166" s="9">
        <v>1560</v>
      </c>
      <c r="P166" s="9">
        <v>0</v>
      </c>
      <c r="R166" s="11">
        <v>43253</v>
      </c>
      <c r="S166" s="9">
        <v>10720</v>
      </c>
      <c r="T166" s="9">
        <v>0</v>
      </c>
      <c r="U166" s="9"/>
    </row>
    <row r="167" spans="2:21" x14ac:dyDescent="0.4">
      <c r="B167" s="16">
        <f t="shared" si="14"/>
        <v>42228</v>
      </c>
      <c r="C167" s="1">
        <f t="shared" si="18"/>
        <v>4012</v>
      </c>
      <c r="D167" s="1">
        <f t="shared" si="19"/>
        <v>979</v>
      </c>
      <c r="E167" s="1">
        <f t="shared" si="20"/>
        <v>1560</v>
      </c>
      <c r="F167" s="1"/>
      <c r="H167" s="16">
        <f t="shared" si="15"/>
        <v>43260</v>
      </c>
      <c r="I167" s="29">
        <f t="shared" si="16"/>
        <v>10650</v>
      </c>
      <c r="J167" s="34">
        <f t="shared" si="17"/>
        <v>82.52</v>
      </c>
      <c r="L167" s="11">
        <v>42228</v>
      </c>
      <c r="M167" s="9">
        <v>4012</v>
      </c>
      <c r="N167" s="9">
        <v>979</v>
      </c>
      <c r="O167" s="9">
        <v>1560</v>
      </c>
      <c r="P167" s="9">
        <v>0</v>
      </c>
      <c r="R167" s="11">
        <v>43260</v>
      </c>
      <c r="S167" s="9">
        <v>10650</v>
      </c>
      <c r="T167" s="9">
        <v>0</v>
      </c>
      <c r="U167" s="9"/>
    </row>
    <row r="168" spans="2:21" x14ac:dyDescent="0.4">
      <c r="B168" s="16">
        <f t="shared" si="14"/>
        <v>42229</v>
      </c>
      <c r="C168" s="1">
        <f t="shared" si="18"/>
        <v>4012</v>
      </c>
      <c r="D168" s="1">
        <f t="shared" si="19"/>
        <v>979</v>
      </c>
      <c r="E168" s="1">
        <f t="shared" si="20"/>
        <v>1540</v>
      </c>
      <c r="F168" s="1"/>
      <c r="H168" s="16">
        <f t="shared" si="15"/>
        <v>43267</v>
      </c>
      <c r="I168" s="29">
        <f t="shared" si="16"/>
        <v>10665</v>
      </c>
      <c r="J168" s="34">
        <f t="shared" si="17"/>
        <v>82.52</v>
      </c>
      <c r="L168" s="11">
        <v>42229</v>
      </c>
      <c r="M168" s="9">
        <v>4012</v>
      </c>
      <c r="N168" s="9">
        <v>979</v>
      </c>
      <c r="O168" s="9">
        <v>1540</v>
      </c>
      <c r="P168" s="9">
        <v>0</v>
      </c>
      <c r="R168" s="11">
        <v>43267</v>
      </c>
      <c r="S168" s="9">
        <v>10665</v>
      </c>
      <c r="T168" s="9">
        <v>0</v>
      </c>
      <c r="U168" s="9"/>
    </row>
    <row r="169" spans="2:21" x14ac:dyDescent="0.4">
      <c r="B169" s="16">
        <f t="shared" si="14"/>
        <v>42230</v>
      </c>
      <c r="C169" s="1">
        <f t="shared" si="18"/>
        <v>4027</v>
      </c>
      <c r="D169" s="1">
        <f t="shared" si="19"/>
        <v>949</v>
      </c>
      <c r="E169" s="1">
        <f t="shared" si="20"/>
        <v>1560</v>
      </c>
      <c r="F169" s="1"/>
      <c r="H169" s="16">
        <f t="shared" si="15"/>
        <v>43274</v>
      </c>
      <c r="I169" s="29">
        <f t="shared" si="16"/>
        <v>10668.75</v>
      </c>
      <c r="J169" s="34">
        <f t="shared" si="17"/>
        <v>82.52</v>
      </c>
      <c r="L169" s="11">
        <v>42230</v>
      </c>
      <c r="M169" s="9">
        <v>4027</v>
      </c>
      <c r="N169" s="9">
        <v>949</v>
      </c>
      <c r="O169" s="9">
        <v>1560</v>
      </c>
      <c r="P169" s="9">
        <v>0</v>
      </c>
      <c r="R169" s="11">
        <v>43274</v>
      </c>
      <c r="S169" s="9">
        <v>10668.75</v>
      </c>
      <c r="T169" s="9">
        <v>0</v>
      </c>
      <c r="U169" s="9"/>
    </row>
    <row r="170" spans="2:21" x14ac:dyDescent="0.4">
      <c r="B170" s="16">
        <f t="shared" si="14"/>
        <v>42233</v>
      </c>
      <c r="C170" s="1">
        <f t="shared" si="18"/>
        <v>4019</v>
      </c>
      <c r="D170" s="1">
        <f t="shared" si="19"/>
        <v>949</v>
      </c>
      <c r="E170" s="1">
        <f t="shared" si="20"/>
        <v>1560</v>
      </c>
      <c r="F170" s="1"/>
      <c r="H170" s="16">
        <f t="shared" si="15"/>
        <v>43281</v>
      </c>
      <c r="I170" s="29">
        <f t="shared" si="16"/>
        <v>10680</v>
      </c>
      <c r="J170" s="34">
        <f t="shared" si="17"/>
        <v>82.52</v>
      </c>
      <c r="L170" s="11">
        <v>42233</v>
      </c>
      <c r="M170" s="9">
        <v>4019</v>
      </c>
      <c r="N170" s="9">
        <v>949</v>
      </c>
      <c r="O170" s="9">
        <v>1560</v>
      </c>
      <c r="P170" s="9">
        <v>0</v>
      </c>
      <c r="R170" s="11">
        <v>43281</v>
      </c>
      <c r="S170" s="9">
        <v>10680</v>
      </c>
      <c r="T170" s="9">
        <v>0</v>
      </c>
      <c r="U170" s="9"/>
    </row>
    <row r="171" spans="2:21" x14ac:dyDescent="0.4">
      <c r="B171" s="16">
        <f t="shared" si="14"/>
        <v>42234</v>
      </c>
      <c r="C171" s="1">
        <f t="shared" si="18"/>
        <v>4007</v>
      </c>
      <c r="D171" s="1">
        <f t="shared" si="19"/>
        <v>949</v>
      </c>
      <c r="E171" s="1">
        <f t="shared" si="20"/>
        <v>1570</v>
      </c>
      <c r="F171" s="1"/>
      <c r="H171" s="16">
        <f t="shared" si="15"/>
        <v>43288</v>
      </c>
      <c r="I171" s="29">
        <f t="shared" si="16"/>
        <v>10790</v>
      </c>
      <c r="J171" s="34">
        <f t="shared" si="17"/>
        <v>82.52</v>
      </c>
      <c r="L171" s="11">
        <v>42234</v>
      </c>
      <c r="M171" s="9">
        <v>4007</v>
      </c>
      <c r="N171" s="9">
        <v>949</v>
      </c>
      <c r="O171" s="9">
        <v>1570</v>
      </c>
      <c r="P171" s="9">
        <v>0</v>
      </c>
      <c r="R171" s="11">
        <v>43288</v>
      </c>
      <c r="S171" s="9">
        <v>10790</v>
      </c>
      <c r="T171" s="9">
        <v>0</v>
      </c>
      <c r="U171" s="9"/>
    </row>
    <row r="172" spans="2:21" x14ac:dyDescent="0.4">
      <c r="B172" s="16">
        <f t="shared" si="14"/>
        <v>42235</v>
      </c>
      <c r="C172" s="1">
        <f t="shared" si="18"/>
        <v>3990</v>
      </c>
      <c r="D172" s="1">
        <f t="shared" si="19"/>
        <v>945</v>
      </c>
      <c r="E172" s="1">
        <f t="shared" si="20"/>
        <v>1570</v>
      </c>
      <c r="F172" s="1"/>
      <c r="H172" s="16">
        <f t="shared" si="15"/>
        <v>43295</v>
      </c>
      <c r="I172" s="29">
        <f t="shared" si="16"/>
        <v>10800</v>
      </c>
      <c r="J172" s="34">
        <f t="shared" si="17"/>
        <v>82.52</v>
      </c>
      <c r="L172" s="11">
        <v>42235</v>
      </c>
      <c r="M172" s="9">
        <v>3990</v>
      </c>
      <c r="N172" s="9">
        <v>945</v>
      </c>
      <c r="O172" s="9">
        <v>1570</v>
      </c>
      <c r="P172" s="9">
        <v>0</v>
      </c>
      <c r="R172" s="11">
        <v>43295</v>
      </c>
      <c r="S172" s="9">
        <v>10800</v>
      </c>
      <c r="T172" s="9">
        <v>0</v>
      </c>
      <c r="U172" s="9"/>
    </row>
    <row r="173" spans="2:21" x14ac:dyDescent="0.4">
      <c r="B173" s="16">
        <f t="shared" si="14"/>
        <v>42236</v>
      </c>
      <c r="C173" s="1">
        <f t="shared" si="18"/>
        <v>3973</v>
      </c>
      <c r="D173" s="1">
        <f t="shared" si="19"/>
        <v>919</v>
      </c>
      <c r="E173" s="1">
        <f t="shared" si="20"/>
        <v>1570</v>
      </c>
      <c r="F173" s="1"/>
      <c r="H173" s="16">
        <f t="shared" si="15"/>
        <v>43302</v>
      </c>
      <c r="I173" s="29">
        <f t="shared" si="16"/>
        <v>10810</v>
      </c>
      <c r="J173" s="34">
        <f t="shared" si="17"/>
        <v>82.52</v>
      </c>
      <c r="L173" s="11">
        <v>42236</v>
      </c>
      <c r="M173" s="9">
        <v>3973</v>
      </c>
      <c r="N173" s="9">
        <v>919</v>
      </c>
      <c r="O173" s="9">
        <v>1570</v>
      </c>
      <c r="P173" s="9">
        <v>0</v>
      </c>
      <c r="R173" s="11">
        <v>43302</v>
      </c>
      <c r="S173" s="9">
        <v>10810</v>
      </c>
      <c r="T173" s="9">
        <v>0</v>
      </c>
      <c r="U173" s="9"/>
    </row>
    <row r="174" spans="2:21" x14ac:dyDescent="0.4">
      <c r="B174" s="16">
        <f t="shared" si="14"/>
        <v>42237</v>
      </c>
      <c r="C174" s="1">
        <f t="shared" si="18"/>
        <v>3948</v>
      </c>
      <c r="D174" s="1">
        <f t="shared" si="19"/>
        <v>910</v>
      </c>
      <c r="E174" s="1">
        <f t="shared" si="20"/>
        <v>1580</v>
      </c>
      <c r="F174" s="1"/>
      <c r="H174" s="16">
        <f t="shared" si="15"/>
        <v>43309</v>
      </c>
      <c r="I174" s="29">
        <f t="shared" si="16"/>
        <v>10965</v>
      </c>
      <c r="J174" s="34">
        <f t="shared" si="17"/>
        <v>82.52</v>
      </c>
      <c r="L174" s="11">
        <v>42237</v>
      </c>
      <c r="M174" s="9">
        <v>3948</v>
      </c>
      <c r="N174" s="9">
        <v>910</v>
      </c>
      <c r="O174" s="9">
        <v>1580</v>
      </c>
      <c r="P174" s="9">
        <v>0</v>
      </c>
      <c r="R174" s="11">
        <v>43309</v>
      </c>
      <c r="S174" s="9">
        <v>10965</v>
      </c>
      <c r="T174" s="9">
        <v>0</v>
      </c>
      <c r="U174" s="9"/>
    </row>
    <row r="175" spans="2:21" x14ac:dyDescent="0.4">
      <c r="B175" s="16">
        <f t="shared" si="14"/>
        <v>42240</v>
      </c>
      <c r="C175" s="1">
        <f t="shared" si="18"/>
        <v>3897</v>
      </c>
      <c r="D175" s="1">
        <f t="shared" si="19"/>
        <v>904</v>
      </c>
      <c r="E175" s="1">
        <f t="shared" si="20"/>
        <v>1590</v>
      </c>
      <c r="F175" s="1"/>
      <c r="H175" s="16">
        <f t="shared" si="15"/>
        <v>43316</v>
      </c>
      <c r="I175" s="29">
        <f t="shared" si="16"/>
        <v>11300</v>
      </c>
      <c r="J175" s="34">
        <f t="shared" si="17"/>
        <v>82.52</v>
      </c>
      <c r="L175" s="11">
        <v>42240</v>
      </c>
      <c r="M175" s="9">
        <v>3897</v>
      </c>
      <c r="N175" s="9">
        <v>904</v>
      </c>
      <c r="O175" s="9">
        <v>1590</v>
      </c>
      <c r="P175" s="9">
        <v>0</v>
      </c>
      <c r="R175" s="11">
        <v>43316</v>
      </c>
      <c r="S175" s="9">
        <v>11300</v>
      </c>
      <c r="T175" s="9">
        <v>0</v>
      </c>
      <c r="U175" s="9"/>
    </row>
    <row r="176" spans="2:21" x14ac:dyDescent="0.4">
      <c r="B176" s="16">
        <f t="shared" si="14"/>
        <v>42241</v>
      </c>
      <c r="C176" s="1">
        <f t="shared" si="18"/>
        <v>3837</v>
      </c>
      <c r="D176" s="1">
        <f t="shared" si="19"/>
        <v>899</v>
      </c>
      <c r="E176" s="1">
        <f t="shared" si="20"/>
        <v>1570</v>
      </c>
      <c r="F176" s="1"/>
      <c r="H176" s="16">
        <f t="shared" si="15"/>
        <v>43323</v>
      </c>
      <c r="I176" s="29">
        <f t="shared" si="16"/>
        <v>11820</v>
      </c>
      <c r="J176" s="34">
        <f t="shared" si="17"/>
        <v>82.52</v>
      </c>
      <c r="L176" s="11">
        <v>42241</v>
      </c>
      <c r="M176" s="9">
        <v>3837</v>
      </c>
      <c r="N176" s="9">
        <v>899</v>
      </c>
      <c r="O176" s="9">
        <v>1570</v>
      </c>
      <c r="P176" s="9">
        <v>0</v>
      </c>
      <c r="R176" s="11">
        <v>43323</v>
      </c>
      <c r="S176" s="9">
        <v>11820</v>
      </c>
      <c r="T176" s="9">
        <v>0</v>
      </c>
      <c r="U176" s="9"/>
    </row>
    <row r="177" spans="2:21" x14ac:dyDescent="0.4">
      <c r="B177" s="16">
        <f t="shared" si="14"/>
        <v>42242</v>
      </c>
      <c r="C177" s="1">
        <f t="shared" si="18"/>
        <v>3827</v>
      </c>
      <c r="D177" s="1">
        <f t="shared" si="19"/>
        <v>849</v>
      </c>
      <c r="E177" s="1">
        <f t="shared" si="20"/>
        <v>1550</v>
      </c>
      <c r="F177" s="1"/>
      <c r="H177" s="16">
        <f t="shared" si="15"/>
        <v>43330</v>
      </c>
      <c r="I177" s="29">
        <f t="shared" si="16"/>
        <v>12220</v>
      </c>
      <c r="J177" s="34">
        <f t="shared" si="17"/>
        <v>82.52</v>
      </c>
      <c r="L177" s="11">
        <v>42242</v>
      </c>
      <c r="M177" s="9">
        <v>3827</v>
      </c>
      <c r="N177" s="9">
        <v>849</v>
      </c>
      <c r="O177" s="9">
        <v>1550</v>
      </c>
      <c r="P177" s="9">
        <v>0</v>
      </c>
      <c r="R177" s="11">
        <v>43330</v>
      </c>
      <c r="S177" s="9">
        <v>12220</v>
      </c>
      <c r="T177" s="9">
        <v>0</v>
      </c>
      <c r="U177" s="9"/>
    </row>
    <row r="178" spans="2:21" x14ac:dyDescent="0.4">
      <c r="B178" s="16">
        <f t="shared" si="14"/>
        <v>42243</v>
      </c>
      <c r="C178" s="1">
        <f t="shared" si="18"/>
        <v>3830</v>
      </c>
      <c r="D178" s="1">
        <f t="shared" si="19"/>
        <v>830</v>
      </c>
      <c r="E178" s="1">
        <f t="shared" si="20"/>
        <v>1550</v>
      </c>
      <c r="F178" s="1"/>
      <c r="H178" s="16">
        <f t="shared" si="15"/>
        <v>43337</v>
      </c>
      <c r="I178" s="29">
        <f t="shared" si="16"/>
        <v>12830</v>
      </c>
      <c r="J178" s="34">
        <f t="shared" si="17"/>
        <v>82.52</v>
      </c>
      <c r="L178" s="11">
        <v>42243</v>
      </c>
      <c r="M178" s="9">
        <v>3830</v>
      </c>
      <c r="N178" s="9">
        <v>830</v>
      </c>
      <c r="O178" s="9">
        <v>1550</v>
      </c>
      <c r="P178" s="9">
        <v>0</v>
      </c>
      <c r="R178" s="11">
        <v>43337</v>
      </c>
      <c r="S178" s="9">
        <v>12830</v>
      </c>
      <c r="T178" s="9">
        <v>0</v>
      </c>
      <c r="U178" s="9"/>
    </row>
    <row r="179" spans="2:21" x14ac:dyDescent="0.4">
      <c r="B179" s="16">
        <f t="shared" si="14"/>
        <v>42244</v>
      </c>
      <c r="C179" s="1">
        <f t="shared" si="18"/>
        <v>3886</v>
      </c>
      <c r="D179" s="1">
        <f t="shared" si="19"/>
        <v>820</v>
      </c>
      <c r="E179" s="1">
        <f t="shared" si="20"/>
        <v>1560</v>
      </c>
      <c r="F179" s="1"/>
      <c r="H179" s="16">
        <f t="shared" si="15"/>
        <v>43344</v>
      </c>
      <c r="I179" s="29">
        <f t="shared" si="16"/>
        <v>13300</v>
      </c>
      <c r="J179" s="34">
        <f t="shared" si="17"/>
        <v>82.52</v>
      </c>
      <c r="L179" s="11">
        <v>42244</v>
      </c>
      <c r="M179" s="9">
        <v>3886</v>
      </c>
      <c r="N179" s="9">
        <v>820</v>
      </c>
      <c r="O179" s="9">
        <v>1560</v>
      </c>
      <c r="P179" s="9">
        <v>0</v>
      </c>
      <c r="R179" s="11">
        <v>43344</v>
      </c>
      <c r="S179" s="9">
        <v>13300</v>
      </c>
      <c r="T179" s="9">
        <v>0</v>
      </c>
      <c r="U179" s="9"/>
    </row>
    <row r="180" spans="2:21" x14ac:dyDescent="0.4">
      <c r="B180" s="16">
        <f t="shared" si="14"/>
        <v>42247</v>
      </c>
      <c r="C180" s="1">
        <f t="shared" si="18"/>
        <v>3906</v>
      </c>
      <c r="D180" s="1">
        <f t="shared" si="19"/>
        <v>820</v>
      </c>
      <c r="E180" s="1">
        <f t="shared" si="20"/>
        <v>1560</v>
      </c>
      <c r="F180" s="1"/>
      <c r="H180" s="16">
        <f t="shared" si="15"/>
        <v>43351</v>
      </c>
      <c r="I180" s="29">
        <f t="shared" si="16"/>
        <v>13490</v>
      </c>
      <c r="J180" s="34">
        <f t="shared" si="17"/>
        <v>82.52</v>
      </c>
      <c r="L180" s="11">
        <v>42247</v>
      </c>
      <c r="M180" s="9">
        <v>3906</v>
      </c>
      <c r="N180" s="9">
        <v>820</v>
      </c>
      <c r="O180" s="9">
        <v>1560</v>
      </c>
      <c r="P180" s="9">
        <v>0</v>
      </c>
      <c r="R180" s="11">
        <v>43351</v>
      </c>
      <c r="S180" s="9">
        <v>13490</v>
      </c>
      <c r="T180" s="9">
        <v>0</v>
      </c>
      <c r="U180" s="9"/>
    </row>
    <row r="181" spans="2:21" x14ac:dyDescent="0.4">
      <c r="B181" s="16">
        <f t="shared" si="14"/>
        <v>42248</v>
      </c>
      <c r="C181" s="1">
        <f t="shared" si="18"/>
        <v>3909</v>
      </c>
      <c r="D181" s="1">
        <f t="shared" si="19"/>
        <v>820</v>
      </c>
      <c r="E181" s="1">
        <f t="shared" si="20"/>
        <v>1560</v>
      </c>
      <c r="F181" s="1"/>
      <c r="H181" s="16">
        <f t="shared" si="15"/>
        <v>43358</v>
      </c>
      <c r="I181" s="29">
        <f t="shared" si="16"/>
        <v>13480</v>
      </c>
      <c r="J181" s="34">
        <f t="shared" si="17"/>
        <v>82.52</v>
      </c>
      <c r="L181" s="11">
        <v>42248</v>
      </c>
      <c r="M181" s="9">
        <v>3909</v>
      </c>
      <c r="N181" s="9">
        <v>820</v>
      </c>
      <c r="O181" s="9">
        <v>1560</v>
      </c>
      <c r="P181" s="9">
        <v>0</v>
      </c>
      <c r="R181" s="11">
        <v>43358</v>
      </c>
      <c r="S181" s="9">
        <v>13480</v>
      </c>
      <c r="T181" s="9">
        <v>0</v>
      </c>
      <c r="U181" s="9"/>
    </row>
    <row r="182" spans="2:21" x14ac:dyDescent="0.4">
      <c r="B182" s="16">
        <f t="shared" si="14"/>
        <v>42249</v>
      </c>
      <c r="C182" s="1">
        <f t="shared" si="18"/>
        <v>3898</v>
      </c>
      <c r="D182" s="1">
        <f t="shared" si="19"/>
        <v>820</v>
      </c>
      <c r="E182" s="1">
        <f t="shared" si="20"/>
        <v>1570</v>
      </c>
      <c r="F182" s="1"/>
      <c r="H182" s="16">
        <f t="shared" si="15"/>
        <v>43365</v>
      </c>
      <c r="I182" s="29">
        <f t="shared" si="16"/>
        <v>12990</v>
      </c>
      <c r="J182" s="34">
        <f t="shared" si="17"/>
        <v>82.52</v>
      </c>
      <c r="L182" s="11">
        <v>42249</v>
      </c>
      <c r="M182" s="9">
        <v>3898</v>
      </c>
      <c r="N182" s="9">
        <v>820</v>
      </c>
      <c r="O182" s="9">
        <v>1570</v>
      </c>
      <c r="P182" s="9">
        <v>0</v>
      </c>
      <c r="R182" s="11">
        <v>43365</v>
      </c>
      <c r="S182" s="9">
        <v>12990</v>
      </c>
      <c r="T182" s="9">
        <v>0</v>
      </c>
      <c r="U182" s="9"/>
    </row>
    <row r="183" spans="2:21" x14ac:dyDescent="0.4">
      <c r="B183" s="16">
        <f t="shared" si="14"/>
        <v>42250</v>
      </c>
      <c r="C183" s="1">
        <f t="shared" si="18"/>
        <v>3898</v>
      </c>
      <c r="D183" s="1">
        <f t="shared" si="19"/>
        <v>810</v>
      </c>
      <c r="E183" s="1">
        <f t="shared" si="20"/>
        <v>1570</v>
      </c>
      <c r="F183" s="1"/>
      <c r="H183" s="16">
        <f t="shared" si="15"/>
        <v>43372</v>
      </c>
      <c r="I183" s="29">
        <f t="shared" si="16"/>
        <v>12650</v>
      </c>
      <c r="J183" s="34">
        <f t="shared" si="17"/>
        <v>82.52</v>
      </c>
      <c r="L183" s="11">
        <v>42250</v>
      </c>
      <c r="M183" s="9">
        <v>0</v>
      </c>
      <c r="N183" s="9">
        <v>810</v>
      </c>
      <c r="O183" s="9">
        <v>0</v>
      </c>
      <c r="P183" s="9">
        <v>0</v>
      </c>
      <c r="R183" s="11">
        <v>43372</v>
      </c>
      <c r="S183" s="9">
        <v>12650</v>
      </c>
      <c r="T183" s="9">
        <v>0</v>
      </c>
      <c r="U183" s="9"/>
    </row>
    <row r="184" spans="2:21" x14ac:dyDescent="0.4">
      <c r="B184" s="16">
        <f t="shared" si="14"/>
        <v>42251</v>
      </c>
      <c r="C184" s="1">
        <f t="shared" si="18"/>
        <v>3898</v>
      </c>
      <c r="D184" s="1">
        <f t="shared" si="19"/>
        <v>799</v>
      </c>
      <c r="E184" s="1">
        <f t="shared" si="20"/>
        <v>1570</v>
      </c>
      <c r="F184" s="1"/>
      <c r="H184" s="16">
        <f t="shared" si="15"/>
        <v>43379</v>
      </c>
      <c r="I184" s="29">
        <f t="shared" si="16"/>
        <v>12600</v>
      </c>
      <c r="J184" s="34">
        <f t="shared" si="17"/>
        <v>82.52</v>
      </c>
      <c r="L184" s="11">
        <v>42251</v>
      </c>
      <c r="M184" s="9">
        <v>0</v>
      </c>
      <c r="N184" s="9">
        <v>799</v>
      </c>
      <c r="O184" s="9">
        <v>0</v>
      </c>
      <c r="P184" s="9">
        <v>0</v>
      </c>
      <c r="R184" s="11">
        <v>43379</v>
      </c>
      <c r="S184" s="9">
        <v>12600</v>
      </c>
      <c r="T184" s="9">
        <v>0</v>
      </c>
      <c r="U184" s="9"/>
    </row>
    <row r="185" spans="2:21" x14ac:dyDescent="0.4">
      <c r="B185" s="16">
        <f t="shared" si="14"/>
        <v>42253</v>
      </c>
      <c r="C185" s="1">
        <f t="shared" si="18"/>
        <v>3910</v>
      </c>
      <c r="D185" s="1">
        <f t="shared" si="19"/>
        <v>799</v>
      </c>
      <c r="E185" s="1">
        <f t="shared" si="20"/>
        <v>1570</v>
      </c>
      <c r="F185" s="1"/>
      <c r="H185" s="16">
        <f t="shared" si="15"/>
        <v>43386</v>
      </c>
      <c r="I185" s="29">
        <f t="shared" si="16"/>
        <v>12690</v>
      </c>
      <c r="J185" s="34">
        <f t="shared" si="17"/>
        <v>82.52</v>
      </c>
      <c r="L185" s="11">
        <v>42253</v>
      </c>
      <c r="M185" s="9">
        <v>3910</v>
      </c>
      <c r="N185" s="9">
        <v>0</v>
      </c>
      <c r="O185" s="9">
        <v>1570</v>
      </c>
      <c r="P185" s="9">
        <v>0</v>
      </c>
      <c r="R185" s="11">
        <v>43386</v>
      </c>
      <c r="S185" s="9">
        <v>12690</v>
      </c>
      <c r="T185" s="9">
        <v>0</v>
      </c>
      <c r="U185" s="9"/>
    </row>
    <row r="186" spans="2:21" x14ac:dyDescent="0.4">
      <c r="B186" s="16">
        <f t="shared" si="14"/>
        <v>42254</v>
      </c>
      <c r="C186" s="1">
        <f t="shared" si="18"/>
        <v>3911</v>
      </c>
      <c r="D186" s="1">
        <f t="shared" si="19"/>
        <v>810</v>
      </c>
      <c r="E186" s="1">
        <f t="shared" si="20"/>
        <v>1540</v>
      </c>
      <c r="F186" s="1"/>
      <c r="H186" s="16">
        <f t="shared" si="15"/>
        <v>43393</v>
      </c>
      <c r="I186" s="29">
        <f t="shared" si="16"/>
        <v>12630</v>
      </c>
      <c r="J186" s="34">
        <f t="shared" si="17"/>
        <v>82.52</v>
      </c>
      <c r="L186" s="11">
        <v>42254</v>
      </c>
      <c r="M186" s="9">
        <v>3911</v>
      </c>
      <c r="N186" s="9">
        <v>810</v>
      </c>
      <c r="O186" s="9">
        <v>1540</v>
      </c>
      <c r="P186" s="9">
        <v>0</v>
      </c>
      <c r="R186" s="11">
        <v>43393</v>
      </c>
      <c r="S186" s="9">
        <v>12630</v>
      </c>
      <c r="T186" s="9">
        <v>0</v>
      </c>
      <c r="U186" s="9"/>
    </row>
    <row r="187" spans="2:21" x14ac:dyDescent="0.4">
      <c r="B187" s="16">
        <f t="shared" si="14"/>
        <v>42255</v>
      </c>
      <c r="C187" s="1">
        <f t="shared" si="18"/>
        <v>3901</v>
      </c>
      <c r="D187" s="1">
        <f t="shared" si="19"/>
        <v>810</v>
      </c>
      <c r="E187" s="1">
        <f t="shared" si="20"/>
        <v>1530</v>
      </c>
      <c r="F187" s="1"/>
      <c r="H187" s="16">
        <f t="shared" si="15"/>
        <v>43400</v>
      </c>
      <c r="I187" s="29">
        <f t="shared" si="16"/>
        <v>12250</v>
      </c>
      <c r="J187" s="34">
        <f t="shared" si="17"/>
        <v>82.52</v>
      </c>
      <c r="L187" s="11">
        <v>42255</v>
      </c>
      <c r="M187" s="9">
        <v>3901</v>
      </c>
      <c r="N187" s="9">
        <v>810</v>
      </c>
      <c r="O187" s="9">
        <v>1530</v>
      </c>
      <c r="P187" s="9">
        <v>0</v>
      </c>
      <c r="R187" s="11">
        <v>43400</v>
      </c>
      <c r="S187" s="9">
        <v>12250</v>
      </c>
      <c r="T187" s="9">
        <v>0</v>
      </c>
      <c r="U187" s="9"/>
    </row>
    <row r="188" spans="2:21" x14ac:dyDescent="0.4">
      <c r="B188" s="16">
        <f t="shared" si="14"/>
        <v>42256</v>
      </c>
      <c r="C188" s="1">
        <f t="shared" si="18"/>
        <v>3904</v>
      </c>
      <c r="D188" s="1">
        <f t="shared" si="19"/>
        <v>810</v>
      </c>
      <c r="E188" s="1">
        <f t="shared" si="20"/>
        <v>1530</v>
      </c>
      <c r="F188" s="1"/>
      <c r="H188" s="16">
        <f t="shared" si="15"/>
        <v>43407</v>
      </c>
      <c r="I188" s="29">
        <f t="shared" si="16"/>
        <v>11815</v>
      </c>
      <c r="J188" s="34">
        <f t="shared" si="17"/>
        <v>82.52</v>
      </c>
      <c r="L188" s="11">
        <v>42256</v>
      </c>
      <c r="M188" s="9">
        <v>3904</v>
      </c>
      <c r="N188" s="9">
        <v>810</v>
      </c>
      <c r="O188" s="9">
        <v>1530</v>
      </c>
      <c r="P188" s="9">
        <v>0</v>
      </c>
      <c r="R188" s="11">
        <v>43407</v>
      </c>
      <c r="S188" s="9">
        <v>11815</v>
      </c>
      <c r="T188" s="9">
        <v>0</v>
      </c>
      <c r="U188" s="9"/>
    </row>
    <row r="189" spans="2:21" x14ac:dyDescent="0.4">
      <c r="B189" s="16">
        <f t="shared" si="14"/>
        <v>42257</v>
      </c>
      <c r="C189" s="1">
        <f t="shared" si="18"/>
        <v>3899</v>
      </c>
      <c r="D189" s="1">
        <f t="shared" si="19"/>
        <v>825</v>
      </c>
      <c r="E189" s="1">
        <f t="shared" si="20"/>
        <v>1530</v>
      </c>
      <c r="F189" s="1"/>
      <c r="H189" s="16">
        <f t="shared" si="15"/>
        <v>43414</v>
      </c>
      <c r="I189" s="29">
        <f t="shared" si="16"/>
        <v>11276</v>
      </c>
      <c r="J189" s="34">
        <f t="shared" si="17"/>
        <v>82.52</v>
      </c>
      <c r="L189" s="11">
        <v>42257</v>
      </c>
      <c r="M189" s="9">
        <v>3899</v>
      </c>
      <c r="N189" s="9">
        <v>825</v>
      </c>
      <c r="O189" s="9">
        <v>1530</v>
      </c>
      <c r="P189" s="9">
        <v>0</v>
      </c>
      <c r="R189" s="11">
        <v>43414</v>
      </c>
      <c r="S189" s="9">
        <v>11276</v>
      </c>
      <c r="T189" s="9">
        <v>0</v>
      </c>
      <c r="U189" s="9"/>
    </row>
    <row r="190" spans="2:21" x14ac:dyDescent="0.4">
      <c r="B190" s="16">
        <f t="shared" si="14"/>
        <v>42258</v>
      </c>
      <c r="C190" s="1">
        <f t="shared" si="18"/>
        <v>3901</v>
      </c>
      <c r="D190" s="1">
        <f t="shared" si="19"/>
        <v>825</v>
      </c>
      <c r="E190" s="1">
        <f t="shared" si="20"/>
        <v>1510</v>
      </c>
      <c r="F190" s="1"/>
      <c r="H190" s="16">
        <f t="shared" si="15"/>
        <v>43421</v>
      </c>
      <c r="I190" s="29">
        <f t="shared" si="16"/>
        <v>10825</v>
      </c>
      <c r="J190" s="34">
        <f t="shared" si="17"/>
        <v>82.52</v>
      </c>
      <c r="L190" s="11">
        <v>42258</v>
      </c>
      <c r="M190" s="9">
        <v>3901</v>
      </c>
      <c r="N190" s="9">
        <v>825</v>
      </c>
      <c r="O190" s="9">
        <v>1510</v>
      </c>
      <c r="P190" s="9">
        <v>0</v>
      </c>
      <c r="R190" s="11">
        <v>43421</v>
      </c>
      <c r="S190" s="9">
        <v>10825</v>
      </c>
      <c r="T190" s="9">
        <v>0</v>
      </c>
      <c r="U190" s="9"/>
    </row>
    <row r="191" spans="2:21" x14ac:dyDescent="0.4">
      <c r="B191" s="16">
        <f t="shared" si="14"/>
        <v>42261</v>
      </c>
      <c r="C191" s="1">
        <f t="shared" si="18"/>
        <v>3887</v>
      </c>
      <c r="D191" s="1">
        <f t="shared" si="19"/>
        <v>825</v>
      </c>
      <c r="E191" s="1">
        <f t="shared" si="20"/>
        <v>1510</v>
      </c>
      <c r="F191" s="1"/>
      <c r="H191" s="16">
        <f t="shared" si="15"/>
        <v>43428</v>
      </c>
      <c r="I191" s="29">
        <f t="shared" si="16"/>
        <v>10747</v>
      </c>
      <c r="J191" s="34">
        <f t="shared" si="17"/>
        <v>82.52</v>
      </c>
      <c r="L191" s="11">
        <v>42261</v>
      </c>
      <c r="M191" s="9">
        <v>3887</v>
      </c>
      <c r="N191" s="9">
        <v>825</v>
      </c>
      <c r="O191" s="9">
        <v>1510</v>
      </c>
      <c r="P191" s="9">
        <v>0</v>
      </c>
      <c r="R191" s="11">
        <v>43428</v>
      </c>
      <c r="S191" s="9">
        <v>10747</v>
      </c>
      <c r="T191" s="9">
        <v>0</v>
      </c>
      <c r="U191" s="9"/>
    </row>
    <row r="192" spans="2:21" x14ac:dyDescent="0.4">
      <c r="B192" s="16">
        <f t="shared" si="14"/>
        <v>42262</v>
      </c>
      <c r="C192" s="1">
        <f t="shared" si="18"/>
        <v>3871</v>
      </c>
      <c r="D192" s="1">
        <f t="shared" si="19"/>
        <v>835</v>
      </c>
      <c r="E192" s="1">
        <f t="shared" si="20"/>
        <v>1510</v>
      </c>
      <c r="F192" s="1"/>
      <c r="H192" s="16">
        <f t="shared" si="15"/>
        <v>43435</v>
      </c>
      <c r="I192" s="29">
        <f t="shared" si="16"/>
        <v>10265</v>
      </c>
      <c r="J192" s="34">
        <f t="shared" si="17"/>
        <v>82.52</v>
      </c>
      <c r="L192" s="11">
        <v>42262</v>
      </c>
      <c r="M192" s="9">
        <v>3871</v>
      </c>
      <c r="N192" s="9">
        <v>835</v>
      </c>
      <c r="O192" s="9">
        <v>1510</v>
      </c>
      <c r="P192" s="9">
        <v>0</v>
      </c>
      <c r="R192" s="11">
        <v>43435</v>
      </c>
      <c r="S192" s="9">
        <v>10265</v>
      </c>
      <c r="T192" s="9">
        <v>0</v>
      </c>
      <c r="U192" s="9"/>
    </row>
    <row r="193" spans="2:21" x14ac:dyDescent="0.4">
      <c r="B193" s="16">
        <f t="shared" si="14"/>
        <v>42263</v>
      </c>
      <c r="C193" s="1">
        <f t="shared" si="18"/>
        <v>3859</v>
      </c>
      <c r="D193" s="1">
        <f t="shared" si="19"/>
        <v>835</v>
      </c>
      <c r="E193" s="1">
        <f t="shared" si="20"/>
        <v>1490</v>
      </c>
      <c r="F193" s="1"/>
      <c r="H193" s="16">
        <f t="shared" si="15"/>
        <v>43442</v>
      </c>
      <c r="I193" s="29">
        <f t="shared" si="16"/>
        <v>10313</v>
      </c>
      <c r="J193" s="34">
        <f t="shared" si="17"/>
        <v>82.52</v>
      </c>
      <c r="L193" s="11">
        <v>42263</v>
      </c>
      <c r="M193" s="9">
        <v>3859</v>
      </c>
      <c r="N193" s="9">
        <v>835</v>
      </c>
      <c r="O193" s="9">
        <v>1490</v>
      </c>
      <c r="P193" s="9">
        <v>0</v>
      </c>
      <c r="R193" s="11">
        <v>43442</v>
      </c>
      <c r="S193" s="9">
        <v>10313</v>
      </c>
      <c r="T193" s="9">
        <v>0</v>
      </c>
      <c r="U193" s="9"/>
    </row>
    <row r="194" spans="2:21" x14ac:dyDescent="0.4">
      <c r="B194" s="16">
        <f t="shared" si="14"/>
        <v>42264</v>
      </c>
      <c r="C194" s="1">
        <f t="shared" si="18"/>
        <v>3871</v>
      </c>
      <c r="D194" s="1">
        <f t="shared" si="19"/>
        <v>835</v>
      </c>
      <c r="E194" s="1">
        <f t="shared" si="20"/>
        <v>1490</v>
      </c>
      <c r="F194" s="1"/>
      <c r="H194" s="16">
        <f t="shared" si="15"/>
        <v>43449</v>
      </c>
      <c r="I194" s="29">
        <f t="shared" si="16"/>
        <v>10400</v>
      </c>
      <c r="J194" s="34">
        <f t="shared" si="17"/>
        <v>82.52</v>
      </c>
      <c r="L194" s="11">
        <v>42264</v>
      </c>
      <c r="M194" s="9">
        <v>3871</v>
      </c>
      <c r="N194" s="9">
        <v>835</v>
      </c>
      <c r="O194" s="9">
        <v>1490</v>
      </c>
      <c r="P194" s="9">
        <v>0</v>
      </c>
      <c r="R194" s="11">
        <v>43449</v>
      </c>
      <c r="S194" s="9">
        <v>10400</v>
      </c>
      <c r="T194" s="9">
        <v>0</v>
      </c>
      <c r="U194" s="9"/>
    </row>
    <row r="195" spans="2:21" x14ac:dyDescent="0.4">
      <c r="B195" s="16">
        <f t="shared" si="14"/>
        <v>42265</v>
      </c>
      <c r="C195" s="1">
        <f t="shared" si="18"/>
        <v>3876</v>
      </c>
      <c r="D195" s="1">
        <f t="shared" si="19"/>
        <v>850</v>
      </c>
      <c r="E195" s="1">
        <f t="shared" si="20"/>
        <v>1490</v>
      </c>
      <c r="F195" s="1"/>
      <c r="H195" s="16">
        <f t="shared" si="15"/>
        <v>43456</v>
      </c>
      <c r="I195" s="29">
        <f t="shared" si="16"/>
        <v>10475</v>
      </c>
      <c r="J195" s="34">
        <f t="shared" si="17"/>
        <v>82.52</v>
      </c>
      <c r="L195" s="11">
        <v>42265</v>
      </c>
      <c r="M195" s="9">
        <v>3876</v>
      </c>
      <c r="N195" s="9">
        <v>850</v>
      </c>
      <c r="O195" s="9">
        <v>1490</v>
      </c>
      <c r="P195" s="9">
        <v>0</v>
      </c>
      <c r="R195" s="11">
        <v>43456</v>
      </c>
      <c r="S195" s="9">
        <v>10475</v>
      </c>
      <c r="T195" s="9">
        <v>0</v>
      </c>
      <c r="U195" s="9"/>
    </row>
    <row r="196" spans="2:21" x14ac:dyDescent="0.4">
      <c r="B196" s="16">
        <f t="shared" si="14"/>
        <v>42268</v>
      </c>
      <c r="C196" s="1">
        <f t="shared" si="18"/>
        <v>3872</v>
      </c>
      <c r="D196" s="1">
        <f t="shared" si="19"/>
        <v>890</v>
      </c>
      <c r="E196" s="1">
        <f t="shared" si="20"/>
        <v>1480</v>
      </c>
      <c r="F196" s="1"/>
      <c r="H196" s="16">
        <f t="shared" si="15"/>
        <v>43463</v>
      </c>
      <c r="I196" s="29">
        <f t="shared" si="16"/>
        <v>10229.166666666666</v>
      </c>
      <c r="J196" s="34">
        <f t="shared" si="17"/>
        <v>82.52</v>
      </c>
      <c r="L196" s="11">
        <v>42268</v>
      </c>
      <c r="M196" s="9">
        <v>3872</v>
      </c>
      <c r="N196" s="9">
        <v>890</v>
      </c>
      <c r="O196" s="9">
        <v>1480</v>
      </c>
      <c r="P196" s="9">
        <v>0</v>
      </c>
      <c r="R196" s="11">
        <v>43463</v>
      </c>
      <c r="S196" s="9">
        <v>10229.166666666666</v>
      </c>
      <c r="T196" s="9">
        <v>0</v>
      </c>
      <c r="U196" s="9"/>
    </row>
    <row r="197" spans="2:21" x14ac:dyDescent="0.4">
      <c r="B197" s="16">
        <f t="shared" si="14"/>
        <v>42269</v>
      </c>
      <c r="C197" s="1">
        <f t="shared" si="18"/>
        <v>3875</v>
      </c>
      <c r="D197" s="1">
        <f t="shared" si="19"/>
        <v>880</v>
      </c>
      <c r="E197" s="1">
        <f t="shared" si="20"/>
        <v>1480</v>
      </c>
      <c r="F197" s="1"/>
      <c r="H197" s="16">
        <f t="shared" si="15"/>
        <v>43470</v>
      </c>
      <c r="I197" s="29">
        <f t="shared" si="16"/>
        <v>10100</v>
      </c>
      <c r="J197" s="34">
        <f t="shared" si="17"/>
        <v>82.52</v>
      </c>
      <c r="L197" s="11">
        <v>42269</v>
      </c>
      <c r="M197" s="9">
        <v>3875</v>
      </c>
      <c r="N197" s="9">
        <v>880</v>
      </c>
      <c r="O197" s="9">
        <v>1480</v>
      </c>
      <c r="P197" s="9">
        <v>0</v>
      </c>
      <c r="R197" s="11">
        <v>43470</v>
      </c>
      <c r="S197" s="9">
        <v>10100</v>
      </c>
      <c r="T197" s="9">
        <v>0</v>
      </c>
      <c r="U197" s="9"/>
    </row>
    <row r="198" spans="2:21" x14ac:dyDescent="0.4">
      <c r="B198" s="16">
        <f t="shared" ref="B198:B261" si="21">L198</f>
        <v>42270</v>
      </c>
      <c r="C198" s="1">
        <f t="shared" si="18"/>
        <v>3874</v>
      </c>
      <c r="D198" s="1">
        <f t="shared" si="19"/>
        <v>880</v>
      </c>
      <c r="E198" s="1">
        <f t="shared" si="20"/>
        <v>1480</v>
      </c>
      <c r="F198" s="1"/>
      <c r="H198" s="16">
        <f t="shared" ref="H198:H261" si="22">R198</f>
        <v>43477</v>
      </c>
      <c r="I198" s="29">
        <f t="shared" ref="I198:I261" si="23">IF(S198&lt;&gt;0,S198,I197)</f>
        <v>10120</v>
      </c>
      <c r="J198" s="34">
        <f t="shared" ref="J198:J261" si="24">IF(T198&lt;&gt;0,T198,J197)</f>
        <v>82.52</v>
      </c>
      <c r="L198" s="11">
        <v>42270</v>
      </c>
      <c r="M198" s="9">
        <v>3874</v>
      </c>
      <c r="N198" s="9">
        <v>880</v>
      </c>
      <c r="O198" s="9">
        <v>1480</v>
      </c>
      <c r="P198" s="9">
        <v>0</v>
      </c>
      <c r="R198" s="11">
        <v>43477</v>
      </c>
      <c r="S198" s="9">
        <v>10120</v>
      </c>
      <c r="T198" s="9">
        <v>0</v>
      </c>
      <c r="U198" s="9"/>
    </row>
    <row r="199" spans="2:21" x14ac:dyDescent="0.4">
      <c r="B199" s="16">
        <f t="shared" si="21"/>
        <v>42271</v>
      </c>
      <c r="C199" s="1">
        <f t="shared" ref="C199:C262" si="25">IF(M199&lt;&gt;0,M199,C198)</f>
        <v>3870</v>
      </c>
      <c r="D199" s="1">
        <f t="shared" ref="D199:D262" si="26">IF(N199&lt;&gt;0,N199,D198)</f>
        <v>880</v>
      </c>
      <c r="E199" s="1">
        <f t="shared" ref="E199:E262" si="27">IF(O199&lt;&gt;0,O199,E198)</f>
        <v>1480</v>
      </c>
      <c r="F199" s="1"/>
      <c r="H199" s="16">
        <f t="shared" si="22"/>
        <v>43484</v>
      </c>
      <c r="I199" s="29">
        <f t="shared" si="23"/>
        <v>10150</v>
      </c>
      <c r="J199" s="34">
        <f t="shared" si="24"/>
        <v>82.52</v>
      </c>
      <c r="L199" s="11">
        <v>42271</v>
      </c>
      <c r="M199" s="9">
        <v>3870</v>
      </c>
      <c r="N199" s="9">
        <v>880</v>
      </c>
      <c r="O199" s="9">
        <v>1480</v>
      </c>
      <c r="P199" s="9">
        <v>0</v>
      </c>
      <c r="R199" s="11">
        <v>43484</v>
      </c>
      <c r="S199" s="9">
        <v>10150</v>
      </c>
      <c r="T199" s="9">
        <v>0</v>
      </c>
      <c r="U199" s="9"/>
    </row>
    <row r="200" spans="2:21" x14ac:dyDescent="0.4">
      <c r="B200" s="16">
        <f t="shared" si="21"/>
        <v>42272</v>
      </c>
      <c r="C200" s="1">
        <f t="shared" si="25"/>
        <v>3858</v>
      </c>
      <c r="D200" s="1">
        <f t="shared" si="26"/>
        <v>880</v>
      </c>
      <c r="E200" s="1">
        <f t="shared" si="27"/>
        <v>1470</v>
      </c>
      <c r="F200" s="1"/>
      <c r="H200" s="16">
        <f t="shared" si="22"/>
        <v>43491</v>
      </c>
      <c r="I200" s="29">
        <f t="shared" si="23"/>
        <v>10340</v>
      </c>
      <c r="J200" s="34">
        <f t="shared" si="24"/>
        <v>82.52</v>
      </c>
      <c r="L200" s="11">
        <v>42272</v>
      </c>
      <c r="M200" s="9">
        <v>3858</v>
      </c>
      <c r="N200" s="9">
        <v>880</v>
      </c>
      <c r="O200" s="9">
        <v>1470</v>
      </c>
      <c r="P200" s="9">
        <v>0</v>
      </c>
      <c r="R200" s="11">
        <v>43491</v>
      </c>
      <c r="S200" s="9">
        <v>10340</v>
      </c>
      <c r="T200" s="9">
        <v>0</v>
      </c>
      <c r="U200" s="9"/>
    </row>
    <row r="201" spans="2:21" x14ac:dyDescent="0.4">
      <c r="B201" s="16">
        <f t="shared" si="21"/>
        <v>42275</v>
      </c>
      <c r="C201" s="1">
        <f t="shared" si="25"/>
        <v>3847</v>
      </c>
      <c r="D201" s="1">
        <f t="shared" si="26"/>
        <v>880</v>
      </c>
      <c r="E201" s="1">
        <f t="shared" si="27"/>
        <v>1470</v>
      </c>
      <c r="F201" s="1"/>
      <c r="H201" s="16">
        <f t="shared" si="22"/>
        <v>43498</v>
      </c>
      <c r="I201" s="29">
        <f t="shared" si="23"/>
        <v>10350</v>
      </c>
      <c r="J201" s="34">
        <f t="shared" si="24"/>
        <v>82.52</v>
      </c>
      <c r="L201" s="11">
        <v>42275</v>
      </c>
      <c r="M201" s="9">
        <v>3847</v>
      </c>
      <c r="N201" s="9">
        <v>880</v>
      </c>
      <c r="O201" s="9">
        <v>1470</v>
      </c>
      <c r="P201" s="9">
        <v>0</v>
      </c>
      <c r="R201" s="11">
        <v>43498</v>
      </c>
      <c r="S201" s="9">
        <v>10350</v>
      </c>
      <c r="T201" s="9">
        <v>0</v>
      </c>
      <c r="U201" s="9"/>
    </row>
    <row r="202" spans="2:21" x14ac:dyDescent="0.4">
      <c r="B202" s="16">
        <f t="shared" si="21"/>
        <v>42276</v>
      </c>
      <c r="C202" s="1">
        <f t="shared" si="25"/>
        <v>3824</v>
      </c>
      <c r="D202" s="1">
        <f t="shared" si="26"/>
        <v>880</v>
      </c>
      <c r="E202" s="1">
        <f t="shared" si="27"/>
        <v>1460</v>
      </c>
      <c r="F202" s="1"/>
      <c r="H202" s="16">
        <f t="shared" si="22"/>
        <v>43512</v>
      </c>
      <c r="I202" s="29">
        <f t="shared" si="23"/>
        <v>10350</v>
      </c>
      <c r="J202" s="34">
        <f t="shared" si="24"/>
        <v>82.52</v>
      </c>
      <c r="L202" s="11">
        <v>42276</v>
      </c>
      <c r="M202" s="9">
        <v>3824</v>
      </c>
      <c r="N202" s="9">
        <v>880</v>
      </c>
      <c r="O202" s="9">
        <v>1460</v>
      </c>
      <c r="P202" s="9">
        <v>0</v>
      </c>
      <c r="R202" s="11">
        <v>43512</v>
      </c>
      <c r="S202" s="9">
        <v>10350</v>
      </c>
      <c r="T202" s="9">
        <v>0</v>
      </c>
      <c r="U202" s="9"/>
    </row>
    <row r="203" spans="2:21" x14ac:dyDescent="0.4">
      <c r="B203" s="16">
        <f t="shared" si="21"/>
        <v>42277</v>
      </c>
      <c r="C203" s="1">
        <f t="shared" si="25"/>
        <v>3817</v>
      </c>
      <c r="D203" s="1">
        <f t="shared" si="26"/>
        <v>900</v>
      </c>
      <c r="E203" s="1">
        <f t="shared" si="27"/>
        <v>1460</v>
      </c>
      <c r="F203" s="1"/>
      <c r="H203" s="16">
        <f t="shared" si="22"/>
        <v>43519</v>
      </c>
      <c r="I203" s="29">
        <f t="shared" si="23"/>
        <v>10290</v>
      </c>
      <c r="J203" s="34">
        <f t="shared" si="24"/>
        <v>82.52</v>
      </c>
      <c r="L203" s="11">
        <v>42277</v>
      </c>
      <c r="M203" s="9">
        <v>3817</v>
      </c>
      <c r="N203" s="9">
        <v>900</v>
      </c>
      <c r="O203" s="9">
        <v>1460</v>
      </c>
      <c r="P203" s="9">
        <v>0</v>
      </c>
      <c r="R203" s="11">
        <v>43519</v>
      </c>
      <c r="S203" s="9">
        <v>10290</v>
      </c>
      <c r="T203" s="9">
        <v>0</v>
      </c>
      <c r="U203" s="9"/>
    </row>
    <row r="204" spans="2:21" x14ac:dyDescent="0.4">
      <c r="B204" s="16">
        <f t="shared" si="21"/>
        <v>42278</v>
      </c>
      <c r="C204" s="1">
        <f t="shared" si="25"/>
        <v>3817</v>
      </c>
      <c r="D204" s="1">
        <f t="shared" si="26"/>
        <v>900</v>
      </c>
      <c r="E204" s="1">
        <f t="shared" si="27"/>
        <v>1460</v>
      </c>
      <c r="F204" s="1"/>
      <c r="H204" s="16">
        <f t="shared" si="22"/>
        <v>43526</v>
      </c>
      <c r="I204" s="29">
        <f t="shared" si="23"/>
        <v>10190</v>
      </c>
      <c r="J204" s="34">
        <f t="shared" si="24"/>
        <v>82.52</v>
      </c>
      <c r="L204" s="11">
        <v>42278</v>
      </c>
      <c r="M204" s="9">
        <v>0</v>
      </c>
      <c r="N204" s="9">
        <v>900</v>
      </c>
      <c r="O204" s="9">
        <v>0</v>
      </c>
      <c r="P204" s="9">
        <v>0</v>
      </c>
      <c r="R204" s="11">
        <v>43526</v>
      </c>
      <c r="S204" s="9">
        <v>10190</v>
      </c>
      <c r="T204" s="9">
        <v>0</v>
      </c>
      <c r="U204" s="9"/>
    </row>
    <row r="205" spans="2:21" x14ac:dyDescent="0.4">
      <c r="B205" s="16">
        <f t="shared" si="21"/>
        <v>42279</v>
      </c>
      <c r="C205" s="1">
        <f t="shared" si="25"/>
        <v>3817</v>
      </c>
      <c r="D205" s="1">
        <f t="shared" si="26"/>
        <v>925</v>
      </c>
      <c r="E205" s="1">
        <f t="shared" si="27"/>
        <v>1460</v>
      </c>
      <c r="F205" s="1"/>
      <c r="H205" s="16">
        <f t="shared" si="22"/>
        <v>43533</v>
      </c>
      <c r="I205" s="29">
        <f t="shared" si="23"/>
        <v>10210</v>
      </c>
      <c r="J205" s="34">
        <f t="shared" si="24"/>
        <v>82.52</v>
      </c>
      <c r="L205" s="11">
        <v>42279</v>
      </c>
      <c r="M205" s="9">
        <v>0</v>
      </c>
      <c r="N205" s="9">
        <v>925</v>
      </c>
      <c r="O205" s="9">
        <v>0</v>
      </c>
      <c r="P205" s="9">
        <v>0</v>
      </c>
      <c r="R205" s="11">
        <v>43533</v>
      </c>
      <c r="S205" s="9">
        <v>10210</v>
      </c>
      <c r="T205" s="9">
        <v>0</v>
      </c>
      <c r="U205" s="9"/>
    </row>
    <row r="206" spans="2:21" x14ac:dyDescent="0.4">
      <c r="B206" s="16">
        <f t="shared" si="21"/>
        <v>42282</v>
      </c>
      <c r="C206" s="1">
        <f t="shared" si="25"/>
        <v>3817</v>
      </c>
      <c r="D206" s="1">
        <f t="shared" si="26"/>
        <v>925</v>
      </c>
      <c r="E206" s="1">
        <f t="shared" si="27"/>
        <v>1460</v>
      </c>
      <c r="F206" s="1"/>
      <c r="H206" s="16">
        <f t="shared" si="22"/>
        <v>43540</v>
      </c>
      <c r="I206" s="29">
        <f t="shared" si="23"/>
        <v>10265</v>
      </c>
      <c r="J206" s="34">
        <f t="shared" si="24"/>
        <v>82.52</v>
      </c>
      <c r="L206" s="11">
        <v>42282</v>
      </c>
      <c r="M206" s="9">
        <v>0</v>
      </c>
      <c r="N206" s="9">
        <v>925</v>
      </c>
      <c r="O206" s="9">
        <v>0</v>
      </c>
      <c r="P206" s="9">
        <v>0</v>
      </c>
      <c r="R206" s="11">
        <v>43540</v>
      </c>
      <c r="S206" s="9">
        <v>10265</v>
      </c>
      <c r="T206" s="9">
        <v>0</v>
      </c>
      <c r="U206" s="9"/>
    </row>
    <row r="207" spans="2:21" x14ac:dyDescent="0.4">
      <c r="B207" s="16">
        <f t="shared" si="21"/>
        <v>42283</v>
      </c>
      <c r="C207" s="1">
        <f t="shared" si="25"/>
        <v>3817</v>
      </c>
      <c r="D207" s="1">
        <f t="shared" si="26"/>
        <v>925</v>
      </c>
      <c r="E207" s="1">
        <f t="shared" si="27"/>
        <v>1460</v>
      </c>
      <c r="F207" s="1"/>
      <c r="H207" s="16">
        <f t="shared" si="22"/>
        <v>43547</v>
      </c>
      <c r="I207" s="29">
        <f t="shared" si="23"/>
        <v>10320</v>
      </c>
      <c r="J207" s="34">
        <f t="shared" si="24"/>
        <v>82.52</v>
      </c>
      <c r="L207" s="11">
        <v>42283</v>
      </c>
      <c r="M207" s="9">
        <v>0</v>
      </c>
      <c r="N207" s="9">
        <v>925</v>
      </c>
      <c r="O207" s="9">
        <v>0</v>
      </c>
      <c r="P207" s="9">
        <v>0</v>
      </c>
      <c r="R207" s="11">
        <v>43547</v>
      </c>
      <c r="S207" s="9">
        <v>10320</v>
      </c>
      <c r="T207" s="9">
        <v>0</v>
      </c>
      <c r="U207" s="9"/>
    </row>
    <row r="208" spans="2:21" x14ac:dyDescent="0.4">
      <c r="B208" s="16">
        <f t="shared" si="21"/>
        <v>42284</v>
      </c>
      <c r="C208" s="1">
        <f t="shared" si="25"/>
        <v>3817</v>
      </c>
      <c r="D208" s="1">
        <f t="shared" si="26"/>
        <v>925</v>
      </c>
      <c r="E208" s="1">
        <f t="shared" si="27"/>
        <v>1460</v>
      </c>
      <c r="F208" s="1"/>
      <c r="H208" s="16">
        <f t="shared" si="22"/>
        <v>43554</v>
      </c>
      <c r="I208" s="29">
        <f t="shared" si="23"/>
        <v>10350</v>
      </c>
      <c r="J208" s="34">
        <f t="shared" si="24"/>
        <v>82.52</v>
      </c>
      <c r="L208" s="11">
        <v>42284</v>
      </c>
      <c r="M208" s="9">
        <v>0</v>
      </c>
      <c r="N208" s="9">
        <v>925</v>
      </c>
      <c r="O208" s="9">
        <v>0</v>
      </c>
      <c r="P208" s="9">
        <v>0</v>
      </c>
      <c r="R208" s="11">
        <v>43554</v>
      </c>
      <c r="S208" s="9">
        <v>10350</v>
      </c>
      <c r="T208" s="9">
        <v>0</v>
      </c>
      <c r="U208" s="9"/>
    </row>
    <row r="209" spans="2:21" x14ac:dyDescent="0.4">
      <c r="B209" s="16">
        <f t="shared" si="21"/>
        <v>42285</v>
      </c>
      <c r="C209" s="1">
        <f t="shared" si="25"/>
        <v>3848</v>
      </c>
      <c r="D209" s="1">
        <f t="shared" si="26"/>
        <v>925</v>
      </c>
      <c r="E209" s="1">
        <f t="shared" si="27"/>
        <v>1460</v>
      </c>
      <c r="F209" s="1"/>
      <c r="H209" s="16">
        <f t="shared" si="22"/>
        <v>43561</v>
      </c>
      <c r="I209" s="29">
        <f t="shared" si="23"/>
        <v>10337.5</v>
      </c>
      <c r="J209" s="34">
        <f t="shared" si="24"/>
        <v>82.52</v>
      </c>
      <c r="L209" s="11">
        <v>42285</v>
      </c>
      <c r="M209" s="9">
        <v>3848</v>
      </c>
      <c r="N209" s="9">
        <v>925</v>
      </c>
      <c r="O209" s="9">
        <v>1460</v>
      </c>
      <c r="P209" s="9">
        <v>0</v>
      </c>
      <c r="R209" s="11">
        <v>43561</v>
      </c>
      <c r="S209" s="9">
        <v>10337.5</v>
      </c>
      <c r="T209" s="9">
        <v>0</v>
      </c>
      <c r="U209" s="9"/>
    </row>
    <row r="210" spans="2:21" x14ac:dyDescent="0.4">
      <c r="B210" s="16">
        <f t="shared" si="21"/>
        <v>42286</v>
      </c>
      <c r="C210" s="1">
        <f t="shared" si="25"/>
        <v>3871</v>
      </c>
      <c r="D210" s="1">
        <f t="shared" si="26"/>
        <v>935</v>
      </c>
      <c r="E210" s="1">
        <f t="shared" si="27"/>
        <v>1450</v>
      </c>
      <c r="F210" s="1"/>
      <c r="H210" s="16">
        <f t="shared" si="22"/>
        <v>43568</v>
      </c>
      <c r="I210" s="29">
        <f t="shared" si="23"/>
        <v>10420</v>
      </c>
      <c r="J210" s="34">
        <f t="shared" si="24"/>
        <v>82.52</v>
      </c>
      <c r="L210" s="11">
        <v>42286</v>
      </c>
      <c r="M210" s="9">
        <v>3871</v>
      </c>
      <c r="N210" s="9">
        <v>935</v>
      </c>
      <c r="O210" s="9">
        <v>1450</v>
      </c>
      <c r="P210" s="9">
        <v>0</v>
      </c>
      <c r="R210" s="11">
        <v>43568</v>
      </c>
      <c r="S210" s="9">
        <v>10420</v>
      </c>
      <c r="T210" s="9">
        <v>0</v>
      </c>
      <c r="U210" s="9"/>
    </row>
    <row r="211" spans="2:21" x14ac:dyDescent="0.4">
      <c r="B211" s="16">
        <f t="shared" si="21"/>
        <v>42287</v>
      </c>
      <c r="C211" s="1">
        <f t="shared" si="25"/>
        <v>3887</v>
      </c>
      <c r="D211" s="1">
        <f t="shared" si="26"/>
        <v>935</v>
      </c>
      <c r="E211" s="1">
        <f t="shared" si="27"/>
        <v>1450</v>
      </c>
      <c r="F211" s="1"/>
      <c r="H211" s="16">
        <f t="shared" si="22"/>
        <v>43575</v>
      </c>
      <c r="I211" s="29">
        <f t="shared" si="23"/>
        <v>10430</v>
      </c>
      <c r="J211" s="34">
        <f t="shared" si="24"/>
        <v>82.52</v>
      </c>
      <c r="L211" s="11">
        <v>42287</v>
      </c>
      <c r="M211" s="9">
        <v>3887</v>
      </c>
      <c r="N211" s="9">
        <v>0</v>
      </c>
      <c r="O211" s="9">
        <v>1450</v>
      </c>
      <c r="P211" s="9">
        <v>0</v>
      </c>
      <c r="R211" s="11">
        <v>43575</v>
      </c>
      <c r="S211" s="9">
        <v>10430</v>
      </c>
      <c r="T211" s="9">
        <v>0</v>
      </c>
      <c r="U211" s="9"/>
    </row>
    <row r="212" spans="2:21" x14ac:dyDescent="0.4">
      <c r="B212" s="16">
        <f t="shared" si="21"/>
        <v>42289</v>
      </c>
      <c r="C212" s="1">
        <f t="shared" si="25"/>
        <v>3890</v>
      </c>
      <c r="D212" s="1">
        <f t="shared" si="26"/>
        <v>935</v>
      </c>
      <c r="E212" s="1">
        <f t="shared" si="27"/>
        <v>1450</v>
      </c>
      <c r="F212" s="1"/>
      <c r="H212" s="16">
        <f t="shared" si="22"/>
        <v>43582</v>
      </c>
      <c r="I212" s="29">
        <f t="shared" si="23"/>
        <v>10240</v>
      </c>
      <c r="J212" s="34">
        <f t="shared" si="24"/>
        <v>82.52</v>
      </c>
      <c r="L212" s="11">
        <v>42289</v>
      </c>
      <c r="M212" s="9">
        <v>3890</v>
      </c>
      <c r="N212" s="9">
        <v>935</v>
      </c>
      <c r="O212" s="9">
        <v>1450</v>
      </c>
      <c r="P212" s="9">
        <v>0</v>
      </c>
      <c r="R212" s="11">
        <v>43582</v>
      </c>
      <c r="S212" s="9">
        <v>10240</v>
      </c>
      <c r="T212" s="9">
        <v>0</v>
      </c>
      <c r="U212" s="9"/>
    </row>
    <row r="213" spans="2:21" x14ac:dyDescent="0.4">
      <c r="B213" s="16">
        <f t="shared" si="21"/>
        <v>42290</v>
      </c>
      <c r="C213" s="1">
        <f t="shared" si="25"/>
        <v>3888</v>
      </c>
      <c r="D213" s="1">
        <f t="shared" si="26"/>
        <v>935</v>
      </c>
      <c r="E213" s="1">
        <f t="shared" si="27"/>
        <v>1450</v>
      </c>
      <c r="F213" s="1"/>
      <c r="H213" s="16">
        <f t="shared" si="22"/>
        <v>43589</v>
      </c>
      <c r="I213" s="29">
        <f t="shared" si="23"/>
        <v>10100</v>
      </c>
      <c r="J213" s="34">
        <f t="shared" si="24"/>
        <v>82.52</v>
      </c>
      <c r="L213" s="11">
        <v>42290</v>
      </c>
      <c r="M213" s="9">
        <v>3888</v>
      </c>
      <c r="N213" s="9">
        <v>935</v>
      </c>
      <c r="O213" s="9">
        <v>1450</v>
      </c>
      <c r="P213" s="9">
        <v>0</v>
      </c>
      <c r="R213" s="11">
        <v>43589</v>
      </c>
      <c r="S213" s="9">
        <v>10100</v>
      </c>
      <c r="T213" s="9">
        <v>0</v>
      </c>
      <c r="U213" s="9"/>
    </row>
    <row r="214" spans="2:21" x14ac:dyDescent="0.4">
      <c r="B214" s="16">
        <f t="shared" si="21"/>
        <v>42291</v>
      </c>
      <c r="C214" s="1">
        <f t="shared" si="25"/>
        <v>3877</v>
      </c>
      <c r="D214" s="1">
        <f t="shared" si="26"/>
        <v>935</v>
      </c>
      <c r="E214" s="1">
        <f t="shared" si="27"/>
        <v>1450</v>
      </c>
      <c r="F214" s="1"/>
      <c r="H214" s="16">
        <f t="shared" si="22"/>
        <v>43596</v>
      </c>
      <c r="I214" s="29">
        <f t="shared" si="23"/>
        <v>9987.5</v>
      </c>
      <c r="J214" s="34">
        <f t="shared" si="24"/>
        <v>82.52</v>
      </c>
      <c r="L214" s="11">
        <v>42291</v>
      </c>
      <c r="M214" s="9">
        <v>3877</v>
      </c>
      <c r="N214" s="9">
        <v>935</v>
      </c>
      <c r="O214" s="9">
        <v>1450</v>
      </c>
      <c r="P214" s="9">
        <v>0</v>
      </c>
      <c r="R214" s="11">
        <v>43596</v>
      </c>
      <c r="S214" s="9">
        <v>9987.5</v>
      </c>
      <c r="T214" s="9">
        <v>0</v>
      </c>
      <c r="U214" s="9"/>
    </row>
    <row r="215" spans="2:21" x14ac:dyDescent="0.4">
      <c r="B215" s="16">
        <f t="shared" si="21"/>
        <v>42292</v>
      </c>
      <c r="C215" s="1">
        <f t="shared" si="25"/>
        <v>3864</v>
      </c>
      <c r="D215" s="1">
        <f t="shared" si="26"/>
        <v>935</v>
      </c>
      <c r="E215" s="1">
        <f t="shared" si="27"/>
        <v>1450</v>
      </c>
      <c r="F215" s="1"/>
      <c r="H215" s="16">
        <f t="shared" si="22"/>
        <v>43603</v>
      </c>
      <c r="I215" s="29">
        <f t="shared" si="23"/>
        <v>9750</v>
      </c>
      <c r="J215" s="34">
        <f t="shared" si="24"/>
        <v>82.52</v>
      </c>
      <c r="L215" s="11">
        <v>42292</v>
      </c>
      <c r="M215" s="9">
        <v>3864</v>
      </c>
      <c r="N215" s="9">
        <v>935</v>
      </c>
      <c r="O215" s="9">
        <v>1450</v>
      </c>
      <c r="P215" s="9">
        <v>0</v>
      </c>
      <c r="R215" s="11">
        <v>43603</v>
      </c>
      <c r="S215" s="9">
        <v>9750</v>
      </c>
      <c r="T215" s="9">
        <v>0</v>
      </c>
      <c r="U215" s="9"/>
    </row>
    <row r="216" spans="2:21" x14ac:dyDescent="0.4">
      <c r="B216" s="16">
        <f t="shared" si="21"/>
        <v>42293</v>
      </c>
      <c r="C216" s="1">
        <f t="shared" si="25"/>
        <v>3849</v>
      </c>
      <c r="D216" s="1">
        <f t="shared" si="26"/>
        <v>940</v>
      </c>
      <c r="E216" s="1">
        <f t="shared" si="27"/>
        <v>1450</v>
      </c>
      <c r="F216" s="1"/>
      <c r="H216" s="16">
        <f t="shared" si="22"/>
        <v>43610</v>
      </c>
      <c r="I216" s="29">
        <f t="shared" si="23"/>
        <v>9480</v>
      </c>
      <c r="J216" s="34">
        <f t="shared" si="24"/>
        <v>82.52</v>
      </c>
      <c r="L216" s="11">
        <v>42293</v>
      </c>
      <c r="M216" s="9">
        <v>3849</v>
      </c>
      <c r="N216" s="9">
        <v>940</v>
      </c>
      <c r="O216" s="9">
        <v>1450</v>
      </c>
      <c r="P216" s="9">
        <v>0</v>
      </c>
      <c r="R216" s="11">
        <v>43610</v>
      </c>
      <c r="S216" s="9">
        <v>9480</v>
      </c>
      <c r="T216" s="9">
        <v>0</v>
      </c>
      <c r="U216" s="9"/>
    </row>
    <row r="217" spans="2:21" x14ac:dyDescent="0.4">
      <c r="B217" s="16">
        <f t="shared" si="21"/>
        <v>42296</v>
      </c>
      <c r="C217" s="1">
        <f t="shared" si="25"/>
        <v>3844</v>
      </c>
      <c r="D217" s="1">
        <f t="shared" si="26"/>
        <v>940</v>
      </c>
      <c r="E217" s="1">
        <f t="shared" si="27"/>
        <v>1450</v>
      </c>
      <c r="F217" s="1"/>
      <c r="H217" s="16">
        <f t="shared" si="22"/>
        <v>43617</v>
      </c>
      <c r="I217" s="29">
        <f t="shared" si="23"/>
        <v>9180</v>
      </c>
      <c r="J217" s="34">
        <f t="shared" si="24"/>
        <v>82.52</v>
      </c>
      <c r="L217" s="11">
        <v>42296</v>
      </c>
      <c r="M217" s="9">
        <v>3844</v>
      </c>
      <c r="N217" s="9">
        <v>940</v>
      </c>
      <c r="O217" s="9">
        <v>1450</v>
      </c>
      <c r="P217" s="9">
        <v>0</v>
      </c>
      <c r="R217" s="11">
        <v>43617</v>
      </c>
      <c r="S217" s="9">
        <v>9180</v>
      </c>
      <c r="T217" s="9">
        <v>0</v>
      </c>
      <c r="U217" s="9"/>
    </row>
    <row r="218" spans="2:21" x14ac:dyDescent="0.4">
      <c r="B218" s="16">
        <f t="shared" si="21"/>
        <v>42297</v>
      </c>
      <c r="C218" s="1">
        <f t="shared" si="25"/>
        <v>3833</v>
      </c>
      <c r="D218" s="1">
        <f t="shared" si="26"/>
        <v>960</v>
      </c>
      <c r="E218" s="1">
        <f t="shared" si="27"/>
        <v>1450</v>
      </c>
      <c r="F218" s="1"/>
      <c r="H218" s="16">
        <f t="shared" si="22"/>
        <v>43624</v>
      </c>
      <c r="I218" s="29">
        <f t="shared" si="23"/>
        <v>9037.5</v>
      </c>
      <c r="J218" s="34">
        <f t="shared" si="24"/>
        <v>82.52</v>
      </c>
      <c r="L218" s="11">
        <v>42297</v>
      </c>
      <c r="M218" s="9">
        <v>3833</v>
      </c>
      <c r="N218" s="9">
        <v>960</v>
      </c>
      <c r="O218" s="9">
        <v>1450</v>
      </c>
      <c r="P218" s="9">
        <v>0</v>
      </c>
      <c r="R218" s="11">
        <v>43624</v>
      </c>
      <c r="S218" s="9">
        <v>9037.5</v>
      </c>
      <c r="T218" s="9">
        <v>0</v>
      </c>
      <c r="U218" s="9"/>
    </row>
    <row r="219" spans="2:21" x14ac:dyDescent="0.4">
      <c r="B219" s="16">
        <f t="shared" si="21"/>
        <v>42298</v>
      </c>
      <c r="C219" s="1">
        <f t="shared" si="25"/>
        <v>3819</v>
      </c>
      <c r="D219" s="1">
        <f t="shared" si="26"/>
        <v>960</v>
      </c>
      <c r="E219" s="1">
        <f t="shared" si="27"/>
        <v>1430</v>
      </c>
      <c r="F219" s="1"/>
      <c r="H219" s="16">
        <f t="shared" si="22"/>
        <v>43631</v>
      </c>
      <c r="I219" s="29">
        <f t="shared" si="23"/>
        <v>9020</v>
      </c>
      <c r="J219" s="34">
        <f t="shared" si="24"/>
        <v>82.52</v>
      </c>
      <c r="L219" s="11">
        <v>42298</v>
      </c>
      <c r="M219" s="9">
        <v>3819</v>
      </c>
      <c r="N219" s="9">
        <v>960</v>
      </c>
      <c r="O219" s="9">
        <v>1430</v>
      </c>
      <c r="P219" s="9">
        <v>0</v>
      </c>
      <c r="R219" s="11">
        <v>43631</v>
      </c>
      <c r="S219" s="9">
        <v>9020</v>
      </c>
      <c r="T219" s="9">
        <v>0</v>
      </c>
      <c r="U219" s="9"/>
    </row>
    <row r="220" spans="2:21" x14ac:dyDescent="0.4">
      <c r="B220" s="16">
        <f t="shared" si="21"/>
        <v>42299</v>
      </c>
      <c r="C220" s="1">
        <f t="shared" si="25"/>
        <v>3813</v>
      </c>
      <c r="D220" s="1">
        <f t="shared" si="26"/>
        <v>960</v>
      </c>
      <c r="E220" s="1">
        <f t="shared" si="27"/>
        <v>1430</v>
      </c>
      <c r="F220" s="1"/>
      <c r="H220" s="16">
        <f t="shared" si="22"/>
        <v>43638</v>
      </c>
      <c r="I220" s="29">
        <f t="shared" si="23"/>
        <v>9180</v>
      </c>
      <c r="J220" s="34">
        <f t="shared" si="24"/>
        <v>82.52</v>
      </c>
      <c r="L220" s="11">
        <v>42299</v>
      </c>
      <c r="M220" s="9">
        <v>3813</v>
      </c>
      <c r="N220" s="9">
        <v>960</v>
      </c>
      <c r="O220" s="9">
        <v>1430</v>
      </c>
      <c r="P220" s="9">
        <v>0</v>
      </c>
      <c r="R220" s="11">
        <v>43638</v>
      </c>
      <c r="S220" s="9">
        <v>9180</v>
      </c>
      <c r="T220" s="9">
        <v>0</v>
      </c>
      <c r="U220" s="9"/>
    </row>
    <row r="221" spans="2:21" x14ac:dyDescent="0.4">
      <c r="B221" s="16">
        <f t="shared" si="21"/>
        <v>42300</v>
      </c>
      <c r="C221" s="1">
        <f t="shared" si="25"/>
        <v>3813</v>
      </c>
      <c r="D221" s="1">
        <f t="shared" si="26"/>
        <v>960</v>
      </c>
      <c r="E221" s="1">
        <f t="shared" si="27"/>
        <v>1430</v>
      </c>
      <c r="F221" s="1"/>
      <c r="H221" s="16">
        <f t="shared" si="22"/>
        <v>43645</v>
      </c>
      <c r="I221" s="29">
        <f t="shared" si="23"/>
        <v>9515</v>
      </c>
      <c r="J221" s="34">
        <f t="shared" si="24"/>
        <v>82.52</v>
      </c>
      <c r="L221" s="11">
        <v>42300</v>
      </c>
      <c r="M221" s="9">
        <v>3813</v>
      </c>
      <c r="N221" s="9">
        <v>960</v>
      </c>
      <c r="O221" s="9">
        <v>1430</v>
      </c>
      <c r="P221" s="9">
        <v>0</v>
      </c>
      <c r="R221" s="11">
        <v>43645</v>
      </c>
      <c r="S221" s="9">
        <v>9515</v>
      </c>
      <c r="T221" s="9">
        <v>0</v>
      </c>
      <c r="U221" s="9"/>
    </row>
    <row r="222" spans="2:21" x14ac:dyDescent="0.4">
      <c r="B222" s="16">
        <f t="shared" si="21"/>
        <v>42303</v>
      </c>
      <c r="C222" s="1">
        <f t="shared" si="25"/>
        <v>3820</v>
      </c>
      <c r="D222" s="1">
        <f t="shared" si="26"/>
        <v>1005</v>
      </c>
      <c r="E222" s="1">
        <f t="shared" si="27"/>
        <v>1440</v>
      </c>
      <c r="F222" s="1"/>
      <c r="H222" s="16">
        <f t="shared" si="22"/>
        <v>43652</v>
      </c>
      <c r="I222" s="29">
        <f t="shared" si="23"/>
        <v>10170</v>
      </c>
      <c r="J222" s="34">
        <f t="shared" si="24"/>
        <v>82.52</v>
      </c>
      <c r="L222" s="11">
        <v>42303</v>
      </c>
      <c r="M222" s="9">
        <v>3820</v>
      </c>
      <c r="N222" s="9">
        <v>1005</v>
      </c>
      <c r="O222" s="9">
        <v>1440</v>
      </c>
      <c r="P222" s="9">
        <v>0</v>
      </c>
      <c r="R222" s="11">
        <v>43652</v>
      </c>
      <c r="S222" s="9">
        <v>10170</v>
      </c>
      <c r="T222" s="9">
        <v>0</v>
      </c>
      <c r="U222" s="9"/>
    </row>
    <row r="223" spans="2:21" x14ac:dyDescent="0.4">
      <c r="B223" s="16">
        <f t="shared" si="21"/>
        <v>42304</v>
      </c>
      <c r="C223" s="1">
        <f t="shared" si="25"/>
        <v>3812</v>
      </c>
      <c r="D223" s="1">
        <f t="shared" si="26"/>
        <v>1005</v>
      </c>
      <c r="E223" s="1">
        <f t="shared" si="27"/>
        <v>1440</v>
      </c>
      <c r="F223" s="1"/>
      <c r="H223" s="16">
        <f t="shared" si="22"/>
        <v>43659</v>
      </c>
      <c r="I223" s="29">
        <f t="shared" si="23"/>
        <v>9880</v>
      </c>
      <c r="J223" s="34">
        <f t="shared" si="24"/>
        <v>82.52</v>
      </c>
      <c r="L223" s="11">
        <v>42304</v>
      </c>
      <c r="M223" s="9">
        <v>3812</v>
      </c>
      <c r="N223" s="9">
        <v>1005</v>
      </c>
      <c r="O223" s="9">
        <v>1440</v>
      </c>
      <c r="P223" s="9">
        <v>0</v>
      </c>
      <c r="R223" s="11">
        <v>43659</v>
      </c>
      <c r="S223" s="9">
        <v>9880</v>
      </c>
      <c r="T223" s="9">
        <v>0</v>
      </c>
      <c r="U223" s="9"/>
    </row>
    <row r="224" spans="2:21" x14ac:dyDescent="0.4">
      <c r="B224" s="16">
        <f t="shared" si="21"/>
        <v>42305</v>
      </c>
      <c r="C224" s="1">
        <f t="shared" si="25"/>
        <v>3797</v>
      </c>
      <c r="D224" s="1">
        <f t="shared" si="26"/>
        <v>1005</v>
      </c>
      <c r="E224" s="1">
        <f t="shared" si="27"/>
        <v>1440</v>
      </c>
      <c r="F224" s="1"/>
      <c r="H224" s="16">
        <f t="shared" si="22"/>
        <v>43666</v>
      </c>
      <c r="I224" s="29">
        <f t="shared" si="23"/>
        <v>9590</v>
      </c>
      <c r="J224" s="34">
        <f t="shared" si="24"/>
        <v>82.52</v>
      </c>
      <c r="L224" s="11">
        <v>42305</v>
      </c>
      <c r="M224" s="9">
        <v>3797</v>
      </c>
      <c r="N224" s="9">
        <v>1005</v>
      </c>
      <c r="O224" s="9">
        <v>1440</v>
      </c>
      <c r="P224" s="9">
        <v>0</v>
      </c>
      <c r="R224" s="11">
        <v>43666</v>
      </c>
      <c r="S224" s="9">
        <v>9590</v>
      </c>
      <c r="T224" s="9">
        <v>0</v>
      </c>
      <c r="U224" s="9"/>
    </row>
    <row r="225" spans="2:21" x14ac:dyDescent="0.4">
      <c r="B225" s="16">
        <f t="shared" si="21"/>
        <v>42306</v>
      </c>
      <c r="C225" s="1">
        <f t="shared" si="25"/>
        <v>3802</v>
      </c>
      <c r="D225" s="1">
        <f t="shared" si="26"/>
        <v>1000</v>
      </c>
      <c r="E225" s="1">
        <f t="shared" si="27"/>
        <v>1450</v>
      </c>
      <c r="F225" s="1"/>
      <c r="H225" s="16">
        <f t="shared" si="22"/>
        <v>43673</v>
      </c>
      <c r="I225" s="29">
        <f t="shared" si="23"/>
        <v>9245</v>
      </c>
      <c r="J225" s="34">
        <f t="shared" si="24"/>
        <v>82.52</v>
      </c>
      <c r="L225" s="11">
        <v>42306</v>
      </c>
      <c r="M225" s="9">
        <v>3802</v>
      </c>
      <c r="N225" s="9">
        <v>1000</v>
      </c>
      <c r="O225" s="9">
        <v>1450</v>
      </c>
      <c r="P225" s="9">
        <v>0</v>
      </c>
      <c r="R225" s="11">
        <v>43673</v>
      </c>
      <c r="S225" s="9">
        <v>9245</v>
      </c>
      <c r="T225" s="9">
        <v>0</v>
      </c>
      <c r="U225" s="9"/>
    </row>
    <row r="226" spans="2:21" x14ac:dyDescent="0.4">
      <c r="B226" s="16">
        <f t="shared" si="21"/>
        <v>42307</v>
      </c>
      <c r="C226" s="1">
        <f t="shared" si="25"/>
        <v>3798</v>
      </c>
      <c r="D226" s="1">
        <f t="shared" si="26"/>
        <v>1000</v>
      </c>
      <c r="E226" s="1">
        <f t="shared" si="27"/>
        <v>1450</v>
      </c>
      <c r="F226" s="1"/>
      <c r="H226" s="16">
        <f t="shared" si="22"/>
        <v>43680</v>
      </c>
      <c r="I226" s="29">
        <f t="shared" si="23"/>
        <v>9100</v>
      </c>
      <c r="J226" s="34">
        <f t="shared" si="24"/>
        <v>82.52</v>
      </c>
      <c r="L226" s="11">
        <v>42307</v>
      </c>
      <c r="M226" s="9">
        <v>3798</v>
      </c>
      <c r="N226" s="9">
        <v>1000</v>
      </c>
      <c r="O226" s="9">
        <v>1450</v>
      </c>
      <c r="P226" s="9">
        <v>0</v>
      </c>
      <c r="R226" s="11">
        <v>43680</v>
      </c>
      <c r="S226" s="9">
        <v>9100</v>
      </c>
      <c r="T226" s="9">
        <v>0</v>
      </c>
      <c r="U226" s="9"/>
    </row>
    <row r="227" spans="2:21" x14ac:dyDescent="0.4">
      <c r="B227" s="16">
        <f t="shared" si="21"/>
        <v>42310</v>
      </c>
      <c r="C227" s="1">
        <f t="shared" si="25"/>
        <v>3796</v>
      </c>
      <c r="D227" s="1">
        <f t="shared" si="26"/>
        <v>1010</v>
      </c>
      <c r="E227" s="1">
        <f t="shared" si="27"/>
        <v>1450</v>
      </c>
      <c r="F227" s="1"/>
      <c r="H227" s="16">
        <f t="shared" si="22"/>
        <v>43687</v>
      </c>
      <c r="I227" s="29">
        <f t="shared" si="23"/>
        <v>8965</v>
      </c>
      <c r="J227" s="34">
        <f t="shared" si="24"/>
        <v>82.52</v>
      </c>
      <c r="L227" s="11">
        <v>42310</v>
      </c>
      <c r="M227" s="9">
        <v>3796</v>
      </c>
      <c r="N227" s="9">
        <v>1010</v>
      </c>
      <c r="O227" s="9">
        <v>1450</v>
      </c>
      <c r="P227" s="9">
        <v>0</v>
      </c>
      <c r="R227" s="11">
        <v>43687</v>
      </c>
      <c r="S227" s="9">
        <v>8965</v>
      </c>
      <c r="T227" s="9">
        <v>0</v>
      </c>
      <c r="U227" s="9"/>
    </row>
    <row r="228" spans="2:21" x14ac:dyDescent="0.4">
      <c r="B228" s="16">
        <f t="shared" si="21"/>
        <v>42311</v>
      </c>
      <c r="C228" s="1">
        <f t="shared" si="25"/>
        <v>3799</v>
      </c>
      <c r="D228" s="1">
        <f t="shared" si="26"/>
        <v>1010</v>
      </c>
      <c r="E228" s="1">
        <f t="shared" si="27"/>
        <v>1460</v>
      </c>
      <c r="F228" s="1"/>
      <c r="H228" s="16">
        <f t="shared" si="22"/>
        <v>43694</v>
      </c>
      <c r="I228" s="29">
        <f t="shared" si="23"/>
        <v>8980</v>
      </c>
      <c r="J228" s="34">
        <f t="shared" si="24"/>
        <v>82.52</v>
      </c>
      <c r="L228" s="11">
        <v>42311</v>
      </c>
      <c r="M228" s="9">
        <v>3799</v>
      </c>
      <c r="N228" s="9">
        <v>1010</v>
      </c>
      <c r="O228" s="9">
        <v>1460</v>
      </c>
      <c r="P228" s="9">
        <v>0</v>
      </c>
      <c r="R228" s="11">
        <v>43694</v>
      </c>
      <c r="S228" s="9">
        <v>8980</v>
      </c>
      <c r="T228" s="9">
        <v>0</v>
      </c>
      <c r="U228" s="9"/>
    </row>
    <row r="229" spans="2:21" x14ac:dyDescent="0.4">
      <c r="B229" s="16">
        <f t="shared" si="21"/>
        <v>42312</v>
      </c>
      <c r="C229" s="1">
        <f t="shared" si="25"/>
        <v>3800</v>
      </c>
      <c r="D229" s="1">
        <f t="shared" si="26"/>
        <v>1010</v>
      </c>
      <c r="E229" s="1">
        <f t="shared" si="27"/>
        <v>1460</v>
      </c>
      <c r="F229" s="1"/>
      <c r="H229" s="16">
        <f t="shared" si="22"/>
        <v>43701</v>
      </c>
      <c r="I229" s="29">
        <f t="shared" si="23"/>
        <v>9065</v>
      </c>
      <c r="J229" s="34">
        <f t="shared" si="24"/>
        <v>82.52</v>
      </c>
      <c r="L229" s="11">
        <v>42312</v>
      </c>
      <c r="M229" s="9">
        <v>3800</v>
      </c>
      <c r="N229" s="9">
        <v>1010</v>
      </c>
      <c r="O229" s="9">
        <v>1460</v>
      </c>
      <c r="P229" s="9">
        <v>0</v>
      </c>
      <c r="R229" s="11">
        <v>43701</v>
      </c>
      <c r="S229" s="9">
        <v>9065</v>
      </c>
      <c r="T229" s="9">
        <v>0</v>
      </c>
      <c r="U229" s="9"/>
    </row>
    <row r="230" spans="2:21" x14ac:dyDescent="0.4">
      <c r="B230" s="16">
        <f t="shared" si="21"/>
        <v>42313</v>
      </c>
      <c r="C230" s="1">
        <f t="shared" si="25"/>
        <v>3794</v>
      </c>
      <c r="D230" s="1">
        <f t="shared" si="26"/>
        <v>1010</v>
      </c>
      <c r="E230" s="1">
        <f t="shared" si="27"/>
        <v>1460</v>
      </c>
      <c r="F230" s="1"/>
      <c r="H230" s="16">
        <f t="shared" si="22"/>
        <v>43708</v>
      </c>
      <c r="I230" s="29">
        <f t="shared" si="23"/>
        <v>9050</v>
      </c>
      <c r="J230" s="34">
        <f t="shared" si="24"/>
        <v>82.52</v>
      </c>
      <c r="L230" s="11">
        <v>42313</v>
      </c>
      <c r="M230" s="9">
        <v>3794</v>
      </c>
      <c r="N230" s="9">
        <v>1010</v>
      </c>
      <c r="O230" s="9">
        <v>1460</v>
      </c>
      <c r="P230" s="9">
        <v>0</v>
      </c>
      <c r="R230" s="11">
        <v>43708</v>
      </c>
      <c r="S230" s="9">
        <v>9050</v>
      </c>
      <c r="T230" s="9">
        <v>0</v>
      </c>
      <c r="U230" s="9"/>
    </row>
    <row r="231" spans="2:21" x14ac:dyDescent="0.4">
      <c r="B231" s="16">
        <f t="shared" si="21"/>
        <v>42314</v>
      </c>
      <c r="C231" s="1">
        <f t="shared" si="25"/>
        <v>3784</v>
      </c>
      <c r="D231" s="1">
        <f t="shared" si="26"/>
        <v>1025</v>
      </c>
      <c r="E231" s="1">
        <f t="shared" si="27"/>
        <v>1460</v>
      </c>
      <c r="F231" s="1"/>
      <c r="H231" s="16">
        <f t="shared" si="22"/>
        <v>43715</v>
      </c>
      <c r="I231" s="29">
        <f t="shared" si="23"/>
        <v>9060</v>
      </c>
      <c r="J231" s="34">
        <f t="shared" si="24"/>
        <v>82.52</v>
      </c>
      <c r="L231" s="11">
        <v>42314</v>
      </c>
      <c r="M231" s="9">
        <v>3784</v>
      </c>
      <c r="N231" s="9">
        <v>1025</v>
      </c>
      <c r="O231" s="9">
        <v>1460</v>
      </c>
      <c r="P231" s="9">
        <v>0</v>
      </c>
      <c r="R231" s="11">
        <v>43715</v>
      </c>
      <c r="S231" s="9">
        <v>9060</v>
      </c>
      <c r="T231" s="9">
        <v>0</v>
      </c>
      <c r="U231" s="9"/>
    </row>
    <row r="232" spans="2:21" x14ac:dyDescent="0.4">
      <c r="B232" s="16">
        <f t="shared" si="21"/>
        <v>42317</v>
      </c>
      <c r="C232" s="1">
        <f t="shared" si="25"/>
        <v>3783</v>
      </c>
      <c r="D232" s="1">
        <f t="shared" si="26"/>
        <v>1025</v>
      </c>
      <c r="E232" s="1">
        <f t="shared" si="27"/>
        <v>1460</v>
      </c>
      <c r="F232" s="1"/>
      <c r="H232" s="16">
        <f t="shared" si="22"/>
        <v>43722</v>
      </c>
      <c r="I232" s="29">
        <f t="shared" si="23"/>
        <v>9087.5</v>
      </c>
      <c r="J232" s="34">
        <f t="shared" si="24"/>
        <v>82.52</v>
      </c>
      <c r="L232" s="11">
        <v>42317</v>
      </c>
      <c r="M232" s="9">
        <v>3783</v>
      </c>
      <c r="N232" s="9">
        <v>1025</v>
      </c>
      <c r="O232" s="9">
        <v>1460</v>
      </c>
      <c r="P232" s="9">
        <v>0</v>
      </c>
      <c r="R232" s="11">
        <v>43722</v>
      </c>
      <c r="S232" s="9">
        <v>9087.5</v>
      </c>
      <c r="T232" s="9">
        <v>0</v>
      </c>
      <c r="U232" s="9"/>
    </row>
    <row r="233" spans="2:21" x14ac:dyDescent="0.4">
      <c r="B233" s="16">
        <f t="shared" si="21"/>
        <v>42318</v>
      </c>
      <c r="C233" s="1">
        <f t="shared" si="25"/>
        <v>3783</v>
      </c>
      <c r="D233" s="1">
        <f t="shared" si="26"/>
        <v>1025</v>
      </c>
      <c r="E233" s="1">
        <f t="shared" si="27"/>
        <v>1450</v>
      </c>
      <c r="F233" s="1"/>
      <c r="H233" s="16">
        <f t="shared" si="22"/>
        <v>43729</v>
      </c>
      <c r="I233" s="29">
        <f t="shared" si="23"/>
        <v>9280</v>
      </c>
      <c r="J233" s="34">
        <f t="shared" si="24"/>
        <v>82.52</v>
      </c>
      <c r="L233" s="11">
        <v>42318</v>
      </c>
      <c r="M233" s="9">
        <v>3783</v>
      </c>
      <c r="N233" s="9">
        <v>1025</v>
      </c>
      <c r="O233" s="9">
        <v>1450</v>
      </c>
      <c r="P233" s="9">
        <v>0</v>
      </c>
      <c r="R233" s="11">
        <v>43729</v>
      </c>
      <c r="S233" s="9">
        <v>9280</v>
      </c>
      <c r="T233" s="9">
        <v>0</v>
      </c>
      <c r="U233" s="9"/>
    </row>
    <row r="234" spans="2:21" x14ac:dyDescent="0.4">
      <c r="B234" s="16">
        <f t="shared" si="21"/>
        <v>42319</v>
      </c>
      <c r="C234" s="1">
        <f t="shared" si="25"/>
        <v>3776</v>
      </c>
      <c r="D234" s="1">
        <f t="shared" si="26"/>
        <v>1025</v>
      </c>
      <c r="E234" s="1">
        <f t="shared" si="27"/>
        <v>1440</v>
      </c>
      <c r="F234" s="1"/>
      <c r="H234" s="16">
        <f t="shared" si="22"/>
        <v>43736</v>
      </c>
      <c r="I234" s="29">
        <f t="shared" si="23"/>
        <v>9140</v>
      </c>
      <c r="J234" s="34">
        <f t="shared" si="24"/>
        <v>82.52</v>
      </c>
      <c r="L234" s="11">
        <v>42319</v>
      </c>
      <c r="M234" s="9">
        <v>3776</v>
      </c>
      <c r="N234" s="9">
        <v>1025</v>
      </c>
      <c r="O234" s="9">
        <v>1440</v>
      </c>
      <c r="P234" s="9">
        <v>0</v>
      </c>
      <c r="R234" s="11">
        <v>43736</v>
      </c>
      <c r="S234" s="9">
        <v>9140</v>
      </c>
      <c r="T234" s="9">
        <v>0</v>
      </c>
      <c r="U234" s="9"/>
    </row>
    <row r="235" spans="2:21" x14ac:dyDescent="0.4">
      <c r="B235" s="16">
        <f t="shared" si="21"/>
        <v>42320</v>
      </c>
      <c r="C235" s="1">
        <f t="shared" si="25"/>
        <v>3763</v>
      </c>
      <c r="D235" s="1">
        <f t="shared" si="26"/>
        <v>1030</v>
      </c>
      <c r="E235" s="1">
        <f t="shared" si="27"/>
        <v>1425</v>
      </c>
      <c r="F235" s="1"/>
      <c r="H235" s="16">
        <f t="shared" si="22"/>
        <v>43743</v>
      </c>
      <c r="I235" s="29">
        <f t="shared" si="23"/>
        <v>9100</v>
      </c>
      <c r="J235" s="34">
        <f t="shared" si="24"/>
        <v>82.52</v>
      </c>
      <c r="L235" s="11">
        <v>42320</v>
      </c>
      <c r="M235" s="9">
        <v>3763</v>
      </c>
      <c r="N235" s="9">
        <v>1030</v>
      </c>
      <c r="O235" s="9">
        <v>1425</v>
      </c>
      <c r="P235" s="9">
        <v>0</v>
      </c>
      <c r="R235" s="11">
        <v>43743</v>
      </c>
      <c r="S235" s="9">
        <v>9100</v>
      </c>
      <c r="T235" s="9">
        <v>0</v>
      </c>
      <c r="U235" s="9"/>
    </row>
    <row r="236" spans="2:21" x14ac:dyDescent="0.4">
      <c r="B236" s="16">
        <f t="shared" si="21"/>
        <v>42321</v>
      </c>
      <c r="C236" s="1">
        <f t="shared" si="25"/>
        <v>3753</v>
      </c>
      <c r="D236" s="1">
        <f t="shared" si="26"/>
        <v>1040</v>
      </c>
      <c r="E236" s="1">
        <f t="shared" si="27"/>
        <v>1420</v>
      </c>
      <c r="F236" s="1"/>
      <c r="H236" s="16">
        <f t="shared" si="22"/>
        <v>43750</v>
      </c>
      <c r="I236" s="29">
        <f t="shared" si="23"/>
        <v>9035</v>
      </c>
      <c r="J236" s="34">
        <f t="shared" si="24"/>
        <v>82.52</v>
      </c>
      <c r="L236" s="11">
        <v>42321</v>
      </c>
      <c r="M236" s="9">
        <v>3753</v>
      </c>
      <c r="N236" s="9">
        <v>1040</v>
      </c>
      <c r="O236" s="9">
        <v>1420</v>
      </c>
      <c r="P236" s="9">
        <v>0</v>
      </c>
      <c r="R236" s="11">
        <v>43750</v>
      </c>
      <c r="S236" s="9">
        <v>9035</v>
      </c>
      <c r="T236" s="9">
        <v>0</v>
      </c>
      <c r="U236" s="9"/>
    </row>
    <row r="237" spans="2:21" x14ac:dyDescent="0.4">
      <c r="B237" s="16">
        <f t="shared" si="21"/>
        <v>42324</v>
      </c>
      <c r="C237" s="1">
        <f t="shared" si="25"/>
        <v>3746</v>
      </c>
      <c r="D237" s="1">
        <f t="shared" si="26"/>
        <v>1040</v>
      </c>
      <c r="E237" s="1">
        <f t="shared" si="27"/>
        <v>1420</v>
      </c>
      <c r="F237" s="1"/>
      <c r="H237" s="16">
        <f t="shared" si="22"/>
        <v>43757</v>
      </c>
      <c r="I237" s="29">
        <f t="shared" si="23"/>
        <v>8950</v>
      </c>
      <c r="J237" s="34">
        <f t="shared" si="24"/>
        <v>82.52</v>
      </c>
      <c r="L237" s="11">
        <v>42324</v>
      </c>
      <c r="M237" s="9">
        <v>3746</v>
      </c>
      <c r="N237" s="9">
        <v>1040</v>
      </c>
      <c r="O237" s="9">
        <v>1420</v>
      </c>
      <c r="P237" s="9">
        <v>0</v>
      </c>
      <c r="R237" s="11">
        <v>43757</v>
      </c>
      <c r="S237" s="9">
        <v>8950</v>
      </c>
      <c r="T237" s="9">
        <v>0</v>
      </c>
      <c r="U237" s="9"/>
    </row>
    <row r="238" spans="2:21" x14ac:dyDescent="0.4">
      <c r="B238" s="16">
        <f t="shared" si="21"/>
        <v>42325</v>
      </c>
      <c r="C238" s="1">
        <f t="shared" si="25"/>
        <v>3736</v>
      </c>
      <c r="D238" s="1">
        <f t="shared" si="26"/>
        <v>1040</v>
      </c>
      <c r="E238" s="1">
        <f t="shared" si="27"/>
        <v>1400</v>
      </c>
      <c r="F238" s="1"/>
      <c r="H238" s="16">
        <f t="shared" si="22"/>
        <v>43764</v>
      </c>
      <c r="I238" s="29">
        <f t="shared" si="23"/>
        <v>8700</v>
      </c>
      <c r="J238" s="34">
        <f t="shared" si="24"/>
        <v>82.52</v>
      </c>
      <c r="L238" s="11">
        <v>42325</v>
      </c>
      <c r="M238" s="9">
        <v>3736</v>
      </c>
      <c r="N238" s="9">
        <v>1040</v>
      </c>
      <c r="O238" s="9">
        <v>1400</v>
      </c>
      <c r="P238" s="9">
        <v>0</v>
      </c>
      <c r="R238" s="11">
        <v>43764</v>
      </c>
      <c r="S238" s="9">
        <v>8700</v>
      </c>
      <c r="T238" s="9">
        <v>0</v>
      </c>
      <c r="U238" s="9"/>
    </row>
    <row r="239" spans="2:21" x14ac:dyDescent="0.4">
      <c r="B239" s="16">
        <f t="shared" si="21"/>
        <v>42326</v>
      </c>
      <c r="C239" s="1">
        <f t="shared" si="25"/>
        <v>3734</v>
      </c>
      <c r="D239" s="1">
        <f t="shared" si="26"/>
        <v>1055</v>
      </c>
      <c r="E239" s="1">
        <f t="shared" si="27"/>
        <v>1400</v>
      </c>
      <c r="F239" s="1"/>
      <c r="H239" s="16">
        <f t="shared" si="22"/>
        <v>43771</v>
      </c>
      <c r="I239" s="29">
        <f t="shared" si="23"/>
        <v>8620</v>
      </c>
      <c r="J239" s="34">
        <f t="shared" si="24"/>
        <v>82.52</v>
      </c>
      <c r="L239" s="11">
        <v>42326</v>
      </c>
      <c r="M239" s="9">
        <v>3734</v>
      </c>
      <c r="N239" s="9">
        <v>1055</v>
      </c>
      <c r="O239" s="9">
        <v>1400</v>
      </c>
      <c r="P239" s="9">
        <v>0</v>
      </c>
      <c r="R239" s="11">
        <v>43771</v>
      </c>
      <c r="S239" s="9">
        <v>8620</v>
      </c>
      <c r="T239" s="9">
        <v>0</v>
      </c>
      <c r="U239" s="9"/>
    </row>
    <row r="240" spans="2:21" x14ac:dyDescent="0.4">
      <c r="B240" s="16">
        <f t="shared" si="21"/>
        <v>42327</v>
      </c>
      <c r="C240" s="1">
        <f t="shared" si="25"/>
        <v>3730</v>
      </c>
      <c r="D240" s="1">
        <f t="shared" si="26"/>
        <v>1055</v>
      </c>
      <c r="E240" s="1">
        <f t="shared" si="27"/>
        <v>1410</v>
      </c>
      <c r="F240" s="1"/>
      <c r="H240" s="16">
        <f t="shared" si="22"/>
        <v>43778</v>
      </c>
      <c r="I240" s="29">
        <f t="shared" si="23"/>
        <v>8500</v>
      </c>
      <c r="J240" s="34">
        <f t="shared" si="24"/>
        <v>82.52</v>
      </c>
      <c r="L240" s="11">
        <v>42327</v>
      </c>
      <c r="M240" s="9">
        <v>3730</v>
      </c>
      <c r="N240" s="9">
        <v>1055</v>
      </c>
      <c r="O240" s="9">
        <v>1410</v>
      </c>
      <c r="P240" s="9">
        <v>0</v>
      </c>
      <c r="R240" s="11">
        <v>43778</v>
      </c>
      <c r="S240" s="9">
        <v>8500</v>
      </c>
      <c r="T240" s="9">
        <v>0</v>
      </c>
      <c r="U240" s="9"/>
    </row>
    <row r="241" spans="2:21" x14ac:dyDescent="0.4">
      <c r="B241" s="16">
        <f t="shared" si="21"/>
        <v>42328</v>
      </c>
      <c r="C241" s="1">
        <f t="shared" si="25"/>
        <v>3727</v>
      </c>
      <c r="D241" s="1">
        <f t="shared" si="26"/>
        <v>1055</v>
      </c>
      <c r="E241" s="1">
        <f t="shared" si="27"/>
        <v>1410</v>
      </c>
      <c r="F241" s="1"/>
      <c r="H241" s="16">
        <f t="shared" si="22"/>
        <v>43785</v>
      </c>
      <c r="I241" s="29">
        <f t="shared" si="23"/>
        <v>8460</v>
      </c>
      <c r="J241" s="34">
        <f t="shared" si="24"/>
        <v>82.52</v>
      </c>
      <c r="L241" s="11">
        <v>42328</v>
      </c>
      <c r="M241" s="9">
        <v>3727</v>
      </c>
      <c r="N241" s="9">
        <v>1055</v>
      </c>
      <c r="O241" s="9">
        <v>1410</v>
      </c>
      <c r="P241" s="9">
        <v>0</v>
      </c>
      <c r="R241" s="11">
        <v>43785</v>
      </c>
      <c r="S241" s="9">
        <v>8460</v>
      </c>
      <c r="T241" s="9">
        <v>0</v>
      </c>
      <c r="U241" s="9"/>
    </row>
    <row r="242" spans="2:21" x14ac:dyDescent="0.4">
      <c r="B242" s="16">
        <f t="shared" si="21"/>
        <v>42331</v>
      </c>
      <c r="C242" s="1">
        <f t="shared" si="25"/>
        <v>3714</v>
      </c>
      <c r="D242" s="1">
        <f t="shared" si="26"/>
        <v>1055</v>
      </c>
      <c r="E242" s="1">
        <f t="shared" si="27"/>
        <v>1410</v>
      </c>
      <c r="F242" s="1"/>
      <c r="H242" s="16">
        <f t="shared" si="22"/>
        <v>43792</v>
      </c>
      <c r="I242" s="29">
        <f t="shared" si="23"/>
        <v>8470</v>
      </c>
      <c r="J242" s="34">
        <f t="shared" si="24"/>
        <v>82.52</v>
      </c>
      <c r="L242" s="11">
        <v>42331</v>
      </c>
      <c r="M242" s="9">
        <v>3714</v>
      </c>
      <c r="N242" s="9">
        <v>1055</v>
      </c>
      <c r="O242" s="9">
        <v>1410</v>
      </c>
      <c r="P242" s="9">
        <v>0</v>
      </c>
      <c r="R242" s="11">
        <v>43792</v>
      </c>
      <c r="S242" s="9">
        <v>8470</v>
      </c>
      <c r="T242" s="9">
        <v>0</v>
      </c>
      <c r="U242" s="9"/>
    </row>
    <row r="243" spans="2:21" x14ac:dyDescent="0.4">
      <c r="B243" s="16">
        <f t="shared" si="21"/>
        <v>42332</v>
      </c>
      <c r="C243" s="1">
        <f t="shared" si="25"/>
        <v>3704</v>
      </c>
      <c r="D243" s="1">
        <f t="shared" si="26"/>
        <v>1055</v>
      </c>
      <c r="E243" s="1">
        <f t="shared" si="27"/>
        <v>1400</v>
      </c>
      <c r="F243" s="1"/>
      <c r="H243" s="16">
        <f t="shared" si="22"/>
        <v>43799</v>
      </c>
      <c r="I243" s="29">
        <f t="shared" si="23"/>
        <v>8500</v>
      </c>
      <c r="J243" s="34">
        <f t="shared" si="24"/>
        <v>82.52</v>
      </c>
      <c r="L243" s="11">
        <v>42332</v>
      </c>
      <c r="M243" s="9">
        <v>3704</v>
      </c>
      <c r="N243" s="9">
        <v>1055</v>
      </c>
      <c r="O243" s="9">
        <v>1400</v>
      </c>
      <c r="P243" s="9">
        <v>0</v>
      </c>
      <c r="R243" s="11">
        <v>43799</v>
      </c>
      <c r="S243" s="9">
        <v>8500</v>
      </c>
      <c r="T243" s="9">
        <v>0</v>
      </c>
      <c r="U243" s="9"/>
    </row>
    <row r="244" spans="2:21" x14ac:dyDescent="0.4">
      <c r="B244" s="16">
        <f t="shared" si="21"/>
        <v>42333</v>
      </c>
      <c r="C244" s="1">
        <f t="shared" si="25"/>
        <v>3704</v>
      </c>
      <c r="D244" s="1">
        <f t="shared" si="26"/>
        <v>1055</v>
      </c>
      <c r="E244" s="1">
        <f t="shared" si="27"/>
        <v>1400</v>
      </c>
      <c r="F244" s="1"/>
      <c r="H244" s="16">
        <f t="shared" si="22"/>
        <v>43806</v>
      </c>
      <c r="I244" s="29">
        <f t="shared" si="23"/>
        <v>8500</v>
      </c>
      <c r="J244" s="34">
        <f t="shared" si="24"/>
        <v>82.52</v>
      </c>
      <c r="L244" s="11">
        <v>42333</v>
      </c>
      <c r="M244" s="9">
        <v>3704</v>
      </c>
      <c r="N244" s="9">
        <v>1055</v>
      </c>
      <c r="O244" s="9">
        <v>1400</v>
      </c>
      <c r="P244" s="9">
        <v>0</v>
      </c>
      <c r="R244" s="11">
        <v>43806</v>
      </c>
      <c r="S244" s="9">
        <v>8500</v>
      </c>
      <c r="T244" s="9">
        <v>0</v>
      </c>
      <c r="U244" s="9"/>
    </row>
    <row r="245" spans="2:21" x14ac:dyDescent="0.4">
      <c r="B245" s="16">
        <f t="shared" si="21"/>
        <v>42334</v>
      </c>
      <c r="C245" s="1">
        <f t="shared" si="25"/>
        <v>3716</v>
      </c>
      <c r="D245" s="1">
        <f t="shared" si="26"/>
        <v>1055</v>
      </c>
      <c r="E245" s="1">
        <f t="shared" si="27"/>
        <v>1400</v>
      </c>
      <c r="F245" s="1"/>
      <c r="H245" s="16">
        <f t="shared" si="22"/>
        <v>43813</v>
      </c>
      <c r="I245" s="29">
        <f t="shared" si="23"/>
        <v>8505</v>
      </c>
      <c r="J245" s="34">
        <f t="shared" si="24"/>
        <v>82.52</v>
      </c>
      <c r="L245" s="11">
        <v>42334</v>
      </c>
      <c r="M245" s="9">
        <v>3716</v>
      </c>
      <c r="N245" s="9">
        <v>1055</v>
      </c>
      <c r="O245" s="9">
        <v>1400</v>
      </c>
      <c r="P245" s="9">
        <v>0</v>
      </c>
      <c r="R245" s="11">
        <v>43813</v>
      </c>
      <c r="S245" s="9">
        <v>8505</v>
      </c>
      <c r="T245" s="9">
        <v>0</v>
      </c>
      <c r="U245" s="9"/>
    </row>
    <row r="246" spans="2:21" x14ac:dyDescent="0.4">
      <c r="B246" s="16">
        <f t="shared" si="21"/>
        <v>42335</v>
      </c>
      <c r="C246" s="1">
        <f t="shared" si="25"/>
        <v>3715</v>
      </c>
      <c r="D246" s="1">
        <f t="shared" si="26"/>
        <v>1055</v>
      </c>
      <c r="E246" s="1">
        <f t="shared" si="27"/>
        <v>1400</v>
      </c>
      <c r="F246" s="1"/>
      <c r="H246" s="16">
        <f t="shared" si="22"/>
        <v>43820</v>
      </c>
      <c r="I246" s="29">
        <f t="shared" si="23"/>
        <v>8605</v>
      </c>
      <c r="J246" s="34">
        <f t="shared" si="24"/>
        <v>82.52</v>
      </c>
      <c r="L246" s="11">
        <v>42335</v>
      </c>
      <c r="M246" s="9">
        <v>3715</v>
      </c>
      <c r="N246" s="9">
        <v>1055</v>
      </c>
      <c r="O246" s="9">
        <v>1400</v>
      </c>
      <c r="P246" s="9">
        <v>0</v>
      </c>
      <c r="R246" s="11">
        <v>43820</v>
      </c>
      <c r="S246" s="9">
        <v>8605</v>
      </c>
      <c r="T246" s="9">
        <v>0</v>
      </c>
      <c r="U246" s="9"/>
    </row>
    <row r="247" spans="2:21" x14ac:dyDescent="0.4">
      <c r="B247" s="16">
        <f t="shared" si="21"/>
        <v>42338</v>
      </c>
      <c r="C247" s="1">
        <f t="shared" si="25"/>
        <v>3710</v>
      </c>
      <c r="D247" s="1">
        <f t="shared" si="26"/>
        <v>1055</v>
      </c>
      <c r="E247" s="1">
        <f t="shared" si="27"/>
        <v>1400</v>
      </c>
      <c r="F247" s="1"/>
      <c r="H247" s="16">
        <f t="shared" si="22"/>
        <v>43827</v>
      </c>
      <c r="I247" s="29">
        <f t="shared" si="23"/>
        <v>8650</v>
      </c>
      <c r="J247" s="34">
        <f t="shared" si="24"/>
        <v>82.52</v>
      </c>
      <c r="L247" s="11">
        <v>42338</v>
      </c>
      <c r="M247" s="9">
        <v>3710</v>
      </c>
      <c r="N247" s="9">
        <v>1055</v>
      </c>
      <c r="O247" s="9">
        <v>1400</v>
      </c>
      <c r="P247" s="9">
        <v>0</v>
      </c>
      <c r="R247" s="11">
        <v>43827</v>
      </c>
      <c r="S247" s="9">
        <v>8650</v>
      </c>
      <c r="T247" s="9">
        <v>0</v>
      </c>
      <c r="U247" s="9"/>
    </row>
    <row r="248" spans="2:21" x14ac:dyDescent="0.4">
      <c r="B248" s="16">
        <f t="shared" si="21"/>
        <v>42339</v>
      </c>
      <c r="C248" s="1">
        <f t="shared" si="25"/>
        <v>3711</v>
      </c>
      <c r="D248" s="1">
        <f t="shared" si="26"/>
        <v>1055</v>
      </c>
      <c r="E248" s="1">
        <f t="shared" si="27"/>
        <v>1400</v>
      </c>
      <c r="F248" s="1"/>
      <c r="H248" s="16">
        <f t="shared" si="22"/>
        <v>43834</v>
      </c>
      <c r="I248" s="29">
        <f t="shared" si="23"/>
        <v>8650</v>
      </c>
      <c r="J248" s="34">
        <f t="shared" si="24"/>
        <v>82.52</v>
      </c>
      <c r="L248" s="11">
        <v>42339</v>
      </c>
      <c r="M248" s="9">
        <v>3711</v>
      </c>
      <c r="N248" s="9">
        <v>1055</v>
      </c>
      <c r="O248" s="9">
        <v>1400</v>
      </c>
      <c r="P248" s="9">
        <v>0</v>
      </c>
      <c r="R248" s="11">
        <v>43834</v>
      </c>
      <c r="S248" s="9">
        <v>8650</v>
      </c>
      <c r="T248" s="9">
        <v>0</v>
      </c>
      <c r="U248" s="9"/>
    </row>
    <row r="249" spans="2:21" x14ac:dyDescent="0.4">
      <c r="B249" s="16">
        <f t="shared" si="21"/>
        <v>42340</v>
      </c>
      <c r="C249" s="1">
        <f t="shared" si="25"/>
        <v>3708</v>
      </c>
      <c r="D249" s="1">
        <f t="shared" si="26"/>
        <v>1060</v>
      </c>
      <c r="E249" s="1">
        <f t="shared" si="27"/>
        <v>1400</v>
      </c>
      <c r="F249" s="1"/>
      <c r="H249" s="16">
        <f t="shared" si="22"/>
        <v>43841</v>
      </c>
      <c r="I249" s="29">
        <f t="shared" si="23"/>
        <v>8730</v>
      </c>
      <c r="J249" s="34">
        <f t="shared" si="24"/>
        <v>82.52</v>
      </c>
      <c r="L249" s="11">
        <v>42340</v>
      </c>
      <c r="M249" s="9">
        <v>3708</v>
      </c>
      <c r="N249" s="9">
        <v>1060</v>
      </c>
      <c r="O249" s="9">
        <v>1400</v>
      </c>
      <c r="P249" s="9">
        <v>0</v>
      </c>
      <c r="R249" s="11">
        <v>43841</v>
      </c>
      <c r="S249" s="9">
        <v>8730</v>
      </c>
      <c r="T249" s="9">
        <v>0</v>
      </c>
      <c r="U249" s="9"/>
    </row>
    <row r="250" spans="2:21" x14ac:dyDescent="0.4">
      <c r="B250" s="16">
        <f t="shared" si="21"/>
        <v>42341</v>
      </c>
      <c r="C250" s="1">
        <f t="shared" si="25"/>
        <v>3708</v>
      </c>
      <c r="D250" s="1">
        <f t="shared" si="26"/>
        <v>1060</v>
      </c>
      <c r="E250" s="1">
        <f t="shared" si="27"/>
        <v>1380</v>
      </c>
      <c r="F250" s="1"/>
      <c r="H250" s="16">
        <f t="shared" si="22"/>
        <v>43848</v>
      </c>
      <c r="I250" s="29">
        <f t="shared" si="23"/>
        <v>8750</v>
      </c>
      <c r="J250" s="34">
        <f t="shared" si="24"/>
        <v>82.52</v>
      </c>
      <c r="L250" s="11">
        <v>42341</v>
      </c>
      <c r="M250" s="9">
        <v>0</v>
      </c>
      <c r="N250" s="9">
        <v>1060</v>
      </c>
      <c r="O250" s="9">
        <v>1380</v>
      </c>
      <c r="P250" s="9">
        <v>0</v>
      </c>
      <c r="R250" s="11">
        <v>43848</v>
      </c>
      <c r="S250" s="9">
        <v>8750</v>
      </c>
      <c r="T250" s="9">
        <v>0</v>
      </c>
      <c r="U250" s="9"/>
    </row>
    <row r="251" spans="2:21" x14ac:dyDescent="0.4">
      <c r="B251" s="16">
        <f t="shared" si="21"/>
        <v>42342</v>
      </c>
      <c r="C251" s="1">
        <f t="shared" si="25"/>
        <v>3703</v>
      </c>
      <c r="D251" s="1">
        <f t="shared" si="26"/>
        <v>1060</v>
      </c>
      <c r="E251" s="1">
        <f t="shared" si="27"/>
        <v>1380</v>
      </c>
      <c r="F251" s="1"/>
      <c r="H251" s="16">
        <f t="shared" si="22"/>
        <v>43855</v>
      </c>
      <c r="I251" s="29">
        <f t="shared" si="23"/>
        <v>8750</v>
      </c>
      <c r="J251" s="34">
        <f t="shared" si="24"/>
        <v>82.52</v>
      </c>
      <c r="L251" s="11">
        <v>42342</v>
      </c>
      <c r="M251" s="9">
        <v>3703</v>
      </c>
      <c r="N251" s="9">
        <v>1060</v>
      </c>
      <c r="O251" s="9">
        <v>1380</v>
      </c>
      <c r="P251" s="9">
        <v>0</v>
      </c>
      <c r="R251" s="11">
        <v>43855</v>
      </c>
      <c r="S251" s="9">
        <v>8750</v>
      </c>
      <c r="T251" s="9">
        <v>0</v>
      </c>
      <c r="U251" s="9"/>
    </row>
    <row r="252" spans="2:21" x14ac:dyDescent="0.4">
      <c r="B252" s="16">
        <f t="shared" si="21"/>
        <v>42345</v>
      </c>
      <c r="C252" s="1">
        <f t="shared" si="25"/>
        <v>3699</v>
      </c>
      <c r="D252" s="1">
        <f t="shared" si="26"/>
        <v>1060</v>
      </c>
      <c r="E252" s="1">
        <f t="shared" si="27"/>
        <v>1380</v>
      </c>
      <c r="F252" s="1"/>
      <c r="H252" s="16">
        <f t="shared" si="22"/>
        <v>43876</v>
      </c>
      <c r="I252" s="29">
        <f t="shared" si="23"/>
        <v>8750</v>
      </c>
      <c r="J252" s="34">
        <f t="shared" si="24"/>
        <v>82.52</v>
      </c>
      <c r="L252" s="11">
        <v>42345</v>
      </c>
      <c r="M252" s="9">
        <v>3699</v>
      </c>
      <c r="N252" s="9">
        <v>1060</v>
      </c>
      <c r="O252" s="9">
        <v>1380</v>
      </c>
      <c r="P252" s="9">
        <v>0</v>
      </c>
      <c r="R252" s="11">
        <v>43876</v>
      </c>
      <c r="S252" s="9">
        <v>8750</v>
      </c>
      <c r="T252" s="9">
        <v>0</v>
      </c>
      <c r="U252" s="9"/>
    </row>
    <row r="253" spans="2:21" x14ac:dyDescent="0.4">
      <c r="B253" s="16">
        <f t="shared" si="21"/>
        <v>42346</v>
      </c>
      <c r="C253" s="1">
        <f t="shared" si="25"/>
        <v>3683</v>
      </c>
      <c r="D253" s="1">
        <f t="shared" si="26"/>
        <v>1055</v>
      </c>
      <c r="E253" s="1">
        <f t="shared" si="27"/>
        <v>1380</v>
      </c>
      <c r="F253" s="1"/>
      <c r="H253" s="16">
        <f t="shared" si="22"/>
        <v>43883</v>
      </c>
      <c r="I253" s="29">
        <f t="shared" si="23"/>
        <v>8675</v>
      </c>
      <c r="J253" s="34">
        <f t="shared" si="24"/>
        <v>82.52</v>
      </c>
      <c r="L253" s="11">
        <v>42346</v>
      </c>
      <c r="M253" s="9">
        <v>3683</v>
      </c>
      <c r="N253" s="9">
        <v>1055</v>
      </c>
      <c r="O253" s="9">
        <v>1380</v>
      </c>
      <c r="P253" s="9">
        <v>0</v>
      </c>
      <c r="R253" s="11">
        <v>43883</v>
      </c>
      <c r="S253" s="9">
        <v>8675</v>
      </c>
      <c r="T253" s="9">
        <v>0</v>
      </c>
      <c r="U253" s="9"/>
    </row>
    <row r="254" spans="2:21" x14ac:dyDescent="0.4">
      <c r="B254" s="16">
        <f t="shared" si="21"/>
        <v>42347</v>
      </c>
      <c r="C254" s="1">
        <f t="shared" si="25"/>
        <v>3669</v>
      </c>
      <c r="D254" s="1">
        <f t="shared" si="26"/>
        <v>1055</v>
      </c>
      <c r="E254" s="1">
        <f t="shared" si="27"/>
        <v>1380</v>
      </c>
      <c r="F254" s="1"/>
      <c r="H254" s="16">
        <f t="shared" si="22"/>
        <v>43890</v>
      </c>
      <c r="I254" s="29">
        <f t="shared" si="23"/>
        <v>8520</v>
      </c>
      <c r="J254" s="34">
        <f t="shared" si="24"/>
        <v>82.52</v>
      </c>
      <c r="L254" s="11">
        <v>42347</v>
      </c>
      <c r="M254" s="9">
        <v>3669</v>
      </c>
      <c r="N254" s="9">
        <v>1055</v>
      </c>
      <c r="O254" s="9">
        <v>1380</v>
      </c>
      <c r="P254" s="9">
        <v>0</v>
      </c>
      <c r="R254" s="11">
        <v>43890</v>
      </c>
      <c r="S254" s="9">
        <v>8520</v>
      </c>
      <c r="T254" s="9">
        <v>0</v>
      </c>
      <c r="U254" s="9"/>
    </row>
    <row r="255" spans="2:21" x14ac:dyDescent="0.4">
      <c r="B255" s="16">
        <f t="shared" si="21"/>
        <v>42348</v>
      </c>
      <c r="C255" s="1">
        <f t="shared" si="25"/>
        <v>3662</v>
      </c>
      <c r="D255" s="1">
        <f t="shared" si="26"/>
        <v>1055</v>
      </c>
      <c r="E255" s="1">
        <f t="shared" si="27"/>
        <v>1380</v>
      </c>
      <c r="F255" s="1"/>
      <c r="H255" s="16">
        <f t="shared" si="22"/>
        <v>43897</v>
      </c>
      <c r="I255" s="29">
        <f t="shared" si="23"/>
        <v>8315</v>
      </c>
      <c r="J255" s="34">
        <f t="shared" si="24"/>
        <v>82.52</v>
      </c>
      <c r="L255" s="11">
        <v>42348</v>
      </c>
      <c r="M255" s="9">
        <v>3662</v>
      </c>
      <c r="N255" s="9">
        <v>1055</v>
      </c>
      <c r="O255" s="9">
        <v>1380</v>
      </c>
      <c r="P255" s="9">
        <v>0</v>
      </c>
      <c r="R255" s="11">
        <v>43897</v>
      </c>
      <c r="S255" s="9">
        <v>8315</v>
      </c>
      <c r="T255" s="9">
        <v>0</v>
      </c>
      <c r="U255" s="9"/>
    </row>
    <row r="256" spans="2:21" x14ac:dyDescent="0.4">
      <c r="B256" s="16">
        <f t="shared" si="21"/>
        <v>42349</v>
      </c>
      <c r="C256" s="1">
        <f t="shared" si="25"/>
        <v>3649</v>
      </c>
      <c r="D256" s="1">
        <f t="shared" si="26"/>
        <v>1065</v>
      </c>
      <c r="E256" s="1">
        <f t="shared" si="27"/>
        <v>1380</v>
      </c>
      <c r="F256" s="1"/>
      <c r="H256" s="16">
        <f t="shared" si="22"/>
        <v>43904</v>
      </c>
      <c r="I256" s="29">
        <f t="shared" si="23"/>
        <v>8130</v>
      </c>
      <c r="J256" s="34">
        <f t="shared" si="24"/>
        <v>82.52</v>
      </c>
      <c r="L256" s="11">
        <v>42349</v>
      </c>
      <c r="M256" s="9">
        <v>3649</v>
      </c>
      <c r="N256" s="9">
        <v>1065</v>
      </c>
      <c r="O256" s="9">
        <v>1380</v>
      </c>
      <c r="P256" s="9">
        <v>0</v>
      </c>
      <c r="R256" s="11">
        <v>43904</v>
      </c>
      <c r="S256" s="9">
        <v>8130</v>
      </c>
      <c r="T256" s="9">
        <v>0</v>
      </c>
      <c r="U256" s="9"/>
    </row>
    <row r="257" spans="2:21" x14ac:dyDescent="0.4">
      <c r="B257" s="16">
        <f t="shared" si="21"/>
        <v>42352</v>
      </c>
      <c r="C257" s="1">
        <f t="shared" si="25"/>
        <v>3642</v>
      </c>
      <c r="D257" s="1">
        <f t="shared" si="26"/>
        <v>1065</v>
      </c>
      <c r="E257" s="1">
        <f t="shared" si="27"/>
        <v>1380</v>
      </c>
      <c r="F257" s="1"/>
      <c r="H257" s="16">
        <f t="shared" si="22"/>
        <v>43911</v>
      </c>
      <c r="I257" s="29">
        <f t="shared" si="23"/>
        <v>7875</v>
      </c>
      <c r="J257" s="34">
        <f t="shared" si="24"/>
        <v>82.52</v>
      </c>
      <c r="L257" s="11">
        <v>42352</v>
      </c>
      <c r="M257" s="9">
        <v>3642</v>
      </c>
      <c r="N257" s="9">
        <v>1065</v>
      </c>
      <c r="O257" s="9">
        <v>1380</v>
      </c>
      <c r="P257" s="9">
        <v>0</v>
      </c>
      <c r="R257" s="11">
        <v>43911</v>
      </c>
      <c r="S257" s="9">
        <v>7875</v>
      </c>
      <c r="T257" s="9">
        <v>0</v>
      </c>
      <c r="U257" s="9"/>
    </row>
    <row r="258" spans="2:21" x14ac:dyDescent="0.4">
      <c r="B258" s="16">
        <f t="shared" si="21"/>
        <v>42353</v>
      </c>
      <c r="C258" s="1">
        <f t="shared" si="25"/>
        <v>3624</v>
      </c>
      <c r="D258" s="1">
        <f t="shared" si="26"/>
        <v>1065</v>
      </c>
      <c r="E258" s="1">
        <f t="shared" si="27"/>
        <v>1380</v>
      </c>
      <c r="F258" s="1"/>
      <c r="H258" s="16">
        <f t="shared" si="22"/>
        <v>43918</v>
      </c>
      <c r="I258" s="29">
        <f t="shared" si="23"/>
        <v>7245</v>
      </c>
      <c r="J258" s="34">
        <f t="shared" si="24"/>
        <v>82.52</v>
      </c>
      <c r="L258" s="11">
        <v>42353</v>
      </c>
      <c r="M258" s="9">
        <v>3624</v>
      </c>
      <c r="N258" s="9">
        <v>1065</v>
      </c>
      <c r="O258" s="9">
        <v>1380</v>
      </c>
      <c r="P258" s="9">
        <v>0</v>
      </c>
      <c r="R258" s="11">
        <v>43918</v>
      </c>
      <c r="S258" s="9">
        <v>7245</v>
      </c>
      <c r="T258" s="9">
        <v>0</v>
      </c>
      <c r="U258" s="9"/>
    </row>
    <row r="259" spans="2:21" x14ac:dyDescent="0.4">
      <c r="B259" s="16">
        <f t="shared" si="21"/>
        <v>42354</v>
      </c>
      <c r="C259" s="1">
        <f t="shared" si="25"/>
        <v>3617</v>
      </c>
      <c r="D259" s="1">
        <f t="shared" si="26"/>
        <v>1070</v>
      </c>
      <c r="E259" s="1">
        <f t="shared" si="27"/>
        <v>1380</v>
      </c>
      <c r="F259" s="1"/>
      <c r="H259" s="16">
        <f t="shared" si="22"/>
        <v>43925</v>
      </c>
      <c r="I259" s="29">
        <f t="shared" si="23"/>
        <v>6540</v>
      </c>
      <c r="J259" s="34">
        <f t="shared" si="24"/>
        <v>82.52</v>
      </c>
      <c r="L259" s="11">
        <v>42354</v>
      </c>
      <c r="M259" s="9">
        <v>3617</v>
      </c>
      <c r="N259" s="9">
        <v>1070</v>
      </c>
      <c r="O259" s="9">
        <v>1380</v>
      </c>
      <c r="P259" s="9">
        <v>0</v>
      </c>
      <c r="R259" s="11">
        <v>43925</v>
      </c>
      <c r="S259" s="9">
        <v>6540</v>
      </c>
      <c r="T259" s="9">
        <v>0</v>
      </c>
      <c r="U259" s="9"/>
    </row>
    <row r="260" spans="2:21" x14ac:dyDescent="0.4">
      <c r="B260" s="16">
        <f t="shared" si="21"/>
        <v>42355</v>
      </c>
      <c r="C260" s="1">
        <f t="shared" si="25"/>
        <v>3612</v>
      </c>
      <c r="D260" s="1">
        <f t="shared" si="26"/>
        <v>1070</v>
      </c>
      <c r="E260" s="1">
        <f t="shared" si="27"/>
        <v>1380</v>
      </c>
      <c r="F260" s="1"/>
      <c r="H260" s="16">
        <f t="shared" si="22"/>
        <v>43932</v>
      </c>
      <c r="I260" s="29">
        <f t="shared" si="23"/>
        <v>6943.75</v>
      </c>
      <c r="J260" s="34">
        <f t="shared" si="24"/>
        <v>82.52</v>
      </c>
      <c r="L260" s="11">
        <v>42355</v>
      </c>
      <c r="M260" s="9">
        <v>3612</v>
      </c>
      <c r="N260" s="9">
        <v>1070</v>
      </c>
      <c r="O260" s="9">
        <v>1380</v>
      </c>
      <c r="P260" s="9">
        <v>0</v>
      </c>
      <c r="R260" s="11">
        <v>43932</v>
      </c>
      <c r="S260" s="9">
        <v>6943.75</v>
      </c>
      <c r="T260" s="9">
        <v>0</v>
      </c>
      <c r="U260" s="9"/>
    </row>
    <row r="261" spans="2:21" x14ac:dyDescent="0.4">
      <c r="B261" s="16">
        <f t="shared" si="21"/>
        <v>42356</v>
      </c>
      <c r="C261" s="1">
        <f t="shared" si="25"/>
        <v>3595</v>
      </c>
      <c r="D261" s="1">
        <f t="shared" si="26"/>
        <v>1070</v>
      </c>
      <c r="E261" s="1">
        <f t="shared" si="27"/>
        <v>1380</v>
      </c>
      <c r="F261" s="1"/>
      <c r="H261" s="16">
        <f t="shared" si="22"/>
        <v>43939</v>
      </c>
      <c r="I261" s="29">
        <f t="shared" si="23"/>
        <v>6715</v>
      </c>
      <c r="J261" s="34">
        <f t="shared" si="24"/>
        <v>82.52</v>
      </c>
      <c r="L261" s="11">
        <v>42356</v>
      </c>
      <c r="M261" s="9">
        <v>3595</v>
      </c>
      <c r="N261" s="9">
        <v>1070</v>
      </c>
      <c r="O261" s="9">
        <v>1380</v>
      </c>
      <c r="P261" s="9">
        <v>0</v>
      </c>
      <c r="R261" s="11">
        <v>43939</v>
      </c>
      <c r="S261" s="9">
        <v>6715</v>
      </c>
      <c r="T261" s="9">
        <v>0</v>
      </c>
      <c r="U261" s="9"/>
    </row>
    <row r="262" spans="2:21" x14ac:dyDescent="0.4">
      <c r="B262" s="16">
        <f t="shared" ref="B262:B325" si="28">L262</f>
        <v>42359</v>
      </c>
      <c r="C262" s="1">
        <f t="shared" si="25"/>
        <v>3593</v>
      </c>
      <c r="D262" s="1">
        <f t="shared" si="26"/>
        <v>1070</v>
      </c>
      <c r="E262" s="1">
        <f t="shared" si="27"/>
        <v>1380</v>
      </c>
      <c r="F262" s="1"/>
      <c r="H262" s="16">
        <f t="shared" ref="H262:H325" si="29">R262</f>
        <v>43946</v>
      </c>
      <c r="I262" s="29">
        <f t="shared" ref="I262:I325" si="30">IF(S262&lt;&gt;0,S262,I261)</f>
        <v>6390</v>
      </c>
      <c r="J262" s="34">
        <f t="shared" ref="J262:J325" si="31">IF(T262&lt;&gt;0,T262,J261)</f>
        <v>82.52</v>
      </c>
      <c r="L262" s="11">
        <v>42359</v>
      </c>
      <c r="M262" s="9">
        <v>3593</v>
      </c>
      <c r="N262" s="9">
        <v>1070</v>
      </c>
      <c r="O262" s="9">
        <v>1380</v>
      </c>
      <c r="P262" s="9">
        <v>0</v>
      </c>
      <c r="R262" s="11">
        <v>43946</v>
      </c>
      <c r="S262" s="9">
        <v>6390</v>
      </c>
      <c r="T262" s="9">
        <v>0</v>
      </c>
      <c r="U262" s="9"/>
    </row>
    <row r="263" spans="2:21" x14ac:dyDescent="0.4">
      <c r="B263" s="16">
        <f t="shared" si="28"/>
        <v>42360</v>
      </c>
      <c r="C263" s="1">
        <f t="shared" ref="C263:C326" si="32">IF(M263&lt;&gt;0,M263,C262)</f>
        <v>3601</v>
      </c>
      <c r="D263" s="1">
        <f t="shared" ref="D263:D326" si="33">IF(N263&lt;&gt;0,N263,D262)</f>
        <v>1070</v>
      </c>
      <c r="E263" s="1">
        <f t="shared" ref="E263:E326" si="34">IF(O263&lt;&gt;0,O263,E262)</f>
        <v>1380</v>
      </c>
      <c r="F263" s="1"/>
      <c r="H263" s="16">
        <f t="shared" si="29"/>
        <v>43953</v>
      </c>
      <c r="I263" s="29">
        <f t="shared" si="30"/>
        <v>6420</v>
      </c>
      <c r="J263" s="34">
        <f t="shared" si="31"/>
        <v>82.52</v>
      </c>
      <c r="L263" s="11">
        <v>42360</v>
      </c>
      <c r="M263" s="9">
        <v>3601</v>
      </c>
      <c r="N263" s="9">
        <v>1070</v>
      </c>
      <c r="O263" s="9">
        <v>1380</v>
      </c>
      <c r="P263" s="9">
        <v>0</v>
      </c>
      <c r="R263" s="11">
        <v>43953</v>
      </c>
      <c r="S263" s="9">
        <v>6420</v>
      </c>
      <c r="T263" s="9">
        <v>0</v>
      </c>
      <c r="U263" s="9"/>
    </row>
    <row r="264" spans="2:21" x14ac:dyDescent="0.4">
      <c r="B264" s="16">
        <f t="shared" si="28"/>
        <v>42361</v>
      </c>
      <c r="C264" s="1">
        <f t="shared" si="32"/>
        <v>3609</v>
      </c>
      <c r="D264" s="1">
        <f t="shared" si="33"/>
        <v>1070</v>
      </c>
      <c r="E264" s="1">
        <f t="shared" si="34"/>
        <v>1380</v>
      </c>
      <c r="F264" s="1"/>
      <c r="H264" s="16">
        <f t="shared" si="29"/>
        <v>43960</v>
      </c>
      <c r="I264" s="29">
        <f t="shared" si="30"/>
        <v>6950</v>
      </c>
      <c r="J264" s="34">
        <f t="shared" si="31"/>
        <v>82.52</v>
      </c>
      <c r="L264" s="11">
        <v>42361</v>
      </c>
      <c r="M264" s="9">
        <v>3609</v>
      </c>
      <c r="N264" s="9">
        <v>1070</v>
      </c>
      <c r="O264" s="9">
        <v>1380</v>
      </c>
      <c r="P264" s="9">
        <v>0</v>
      </c>
      <c r="R264" s="11">
        <v>43960</v>
      </c>
      <c r="S264" s="9">
        <v>6950</v>
      </c>
      <c r="T264" s="9">
        <v>0</v>
      </c>
      <c r="U264" s="9"/>
    </row>
    <row r="265" spans="2:21" x14ac:dyDescent="0.4">
      <c r="B265" s="16">
        <f t="shared" si="28"/>
        <v>42362</v>
      </c>
      <c r="C265" s="1">
        <f t="shared" si="32"/>
        <v>3614</v>
      </c>
      <c r="D265" s="1">
        <f t="shared" si="33"/>
        <v>1070</v>
      </c>
      <c r="E265" s="1">
        <f t="shared" si="34"/>
        <v>1380</v>
      </c>
      <c r="F265" s="1"/>
      <c r="H265" s="16">
        <f t="shared" si="29"/>
        <v>43967</v>
      </c>
      <c r="I265" s="29">
        <f t="shared" si="30"/>
        <v>6810</v>
      </c>
      <c r="J265" s="34">
        <f t="shared" si="31"/>
        <v>82.52</v>
      </c>
      <c r="L265" s="11">
        <v>42362</v>
      </c>
      <c r="M265" s="9">
        <v>3614</v>
      </c>
      <c r="N265" s="9">
        <v>1070</v>
      </c>
      <c r="O265" s="9">
        <v>1380</v>
      </c>
      <c r="P265" s="9">
        <v>0</v>
      </c>
      <c r="R265" s="11">
        <v>43967</v>
      </c>
      <c r="S265" s="9">
        <v>6810</v>
      </c>
      <c r="T265" s="9">
        <v>0</v>
      </c>
      <c r="U265" s="9"/>
    </row>
    <row r="266" spans="2:21" x14ac:dyDescent="0.4">
      <c r="B266" s="16">
        <f t="shared" si="28"/>
        <v>42363</v>
      </c>
      <c r="C266" s="1">
        <f t="shared" si="32"/>
        <v>3628</v>
      </c>
      <c r="D266" s="1">
        <f t="shared" si="33"/>
        <v>1070</v>
      </c>
      <c r="E266" s="1">
        <f t="shared" si="34"/>
        <v>1380</v>
      </c>
      <c r="F266" s="1"/>
      <c r="H266" s="16">
        <f t="shared" si="29"/>
        <v>43974</v>
      </c>
      <c r="I266" s="29">
        <f t="shared" si="30"/>
        <v>6905</v>
      </c>
      <c r="J266" s="34">
        <f t="shared" si="31"/>
        <v>82.52</v>
      </c>
      <c r="L266" s="11">
        <v>42363</v>
      </c>
      <c r="M266" s="9">
        <v>3628</v>
      </c>
      <c r="N266" s="9">
        <v>0</v>
      </c>
      <c r="O266" s="9">
        <v>1380</v>
      </c>
      <c r="P266" s="9">
        <v>0</v>
      </c>
      <c r="R266" s="11">
        <v>43974</v>
      </c>
      <c r="S266" s="9">
        <v>6905</v>
      </c>
      <c r="T266" s="9">
        <v>0</v>
      </c>
      <c r="U266" s="9"/>
    </row>
    <row r="267" spans="2:21" x14ac:dyDescent="0.4">
      <c r="B267" s="16">
        <f t="shared" si="28"/>
        <v>42366</v>
      </c>
      <c r="C267" s="1">
        <f t="shared" si="32"/>
        <v>3639</v>
      </c>
      <c r="D267" s="1">
        <f t="shared" si="33"/>
        <v>1070</v>
      </c>
      <c r="E267" s="1">
        <f t="shared" si="34"/>
        <v>1380</v>
      </c>
      <c r="F267" s="1"/>
      <c r="H267" s="16">
        <f t="shared" si="29"/>
        <v>43981</v>
      </c>
      <c r="I267" s="29">
        <f t="shared" si="30"/>
        <v>6950</v>
      </c>
      <c r="J267" s="34">
        <f t="shared" si="31"/>
        <v>82.52</v>
      </c>
      <c r="L267" s="11">
        <v>42366</v>
      </c>
      <c r="M267" s="9">
        <v>3639</v>
      </c>
      <c r="N267" s="9">
        <v>1070</v>
      </c>
      <c r="O267" s="9">
        <v>1380</v>
      </c>
      <c r="P267" s="9">
        <v>0</v>
      </c>
      <c r="R267" s="11">
        <v>43981</v>
      </c>
      <c r="S267" s="9">
        <v>6950</v>
      </c>
      <c r="T267" s="9">
        <v>0</v>
      </c>
      <c r="U267" s="9"/>
    </row>
    <row r="268" spans="2:21" x14ac:dyDescent="0.4">
      <c r="B268" s="16">
        <f t="shared" si="28"/>
        <v>42367</v>
      </c>
      <c r="C268" s="1">
        <f t="shared" si="32"/>
        <v>3630</v>
      </c>
      <c r="D268" s="1">
        <f t="shared" si="33"/>
        <v>1075</v>
      </c>
      <c r="E268" s="1">
        <f t="shared" si="34"/>
        <v>1370</v>
      </c>
      <c r="F268" s="1"/>
      <c r="H268" s="16">
        <f t="shared" si="29"/>
        <v>43988</v>
      </c>
      <c r="I268" s="29">
        <f t="shared" si="30"/>
        <v>6970</v>
      </c>
      <c r="J268" s="34">
        <f t="shared" si="31"/>
        <v>82.52</v>
      </c>
      <c r="L268" s="11">
        <v>42367</v>
      </c>
      <c r="M268" s="9">
        <v>3630</v>
      </c>
      <c r="N268" s="9">
        <v>1075</v>
      </c>
      <c r="O268" s="9">
        <v>1370</v>
      </c>
      <c r="P268" s="9">
        <v>0</v>
      </c>
      <c r="R268" s="11">
        <v>43988</v>
      </c>
      <c r="S268" s="9">
        <v>6970</v>
      </c>
      <c r="T268" s="9">
        <v>0</v>
      </c>
      <c r="U268" s="9"/>
    </row>
    <row r="269" spans="2:21" x14ac:dyDescent="0.4">
      <c r="B269" s="16">
        <f t="shared" si="28"/>
        <v>42368</v>
      </c>
      <c r="C269" s="1">
        <f t="shared" si="32"/>
        <v>3638</v>
      </c>
      <c r="D269" s="1">
        <f t="shared" si="33"/>
        <v>1075</v>
      </c>
      <c r="E269" s="1">
        <f t="shared" si="34"/>
        <v>1370</v>
      </c>
      <c r="F269" s="1"/>
      <c r="H269" s="16">
        <f t="shared" si="29"/>
        <v>43995</v>
      </c>
      <c r="I269" s="29">
        <f t="shared" si="30"/>
        <v>7165</v>
      </c>
      <c r="J269" s="34">
        <f t="shared" si="31"/>
        <v>82.52</v>
      </c>
      <c r="L269" s="11">
        <v>42368</v>
      </c>
      <c r="M269" s="9">
        <v>3638</v>
      </c>
      <c r="N269" s="9">
        <v>1075</v>
      </c>
      <c r="O269" s="9">
        <v>1370</v>
      </c>
      <c r="P269" s="9">
        <v>0</v>
      </c>
      <c r="R269" s="11">
        <v>43995</v>
      </c>
      <c r="S269" s="9">
        <v>7165</v>
      </c>
      <c r="T269" s="9">
        <v>0</v>
      </c>
      <c r="U269" s="9"/>
    </row>
    <row r="270" spans="2:21" x14ac:dyDescent="0.4">
      <c r="B270" s="16">
        <f t="shared" si="28"/>
        <v>42369</v>
      </c>
      <c r="C270" s="1">
        <f t="shared" si="32"/>
        <v>3637</v>
      </c>
      <c r="D270" s="1">
        <f t="shared" si="33"/>
        <v>1075</v>
      </c>
      <c r="E270" s="1">
        <f t="shared" si="34"/>
        <v>1370</v>
      </c>
      <c r="F270" s="1"/>
      <c r="H270" s="16">
        <f t="shared" si="29"/>
        <v>44002</v>
      </c>
      <c r="I270" s="29">
        <f t="shared" si="30"/>
        <v>7080</v>
      </c>
      <c r="J270" s="34">
        <f t="shared" si="31"/>
        <v>82.52</v>
      </c>
      <c r="L270" s="11">
        <v>42369</v>
      </c>
      <c r="M270" s="9">
        <v>3637</v>
      </c>
      <c r="N270" s="9">
        <v>1075</v>
      </c>
      <c r="O270" s="9">
        <v>1370</v>
      </c>
      <c r="P270" s="9">
        <v>0</v>
      </c>
      <c r="R270" s="11">
        <v>44002</v>
      </c>
      <c r="S270" s="9">
        <v>7080</v>
      </c>
      <c r="T270" s="9">
        <v>0</v>
      </c>
      <c r="U270" s="9"/>
    </row>
    <row r="271" spans="2:21" x14ac:dyDescent="0.4">
      <c r="B271" s="16">
        <f t="shared" si="28"/>
        <v>42370</v>
      </c>
      <c r="C271" s="1">
        <f t="shared" si="32"/>
        <v>3637</v>
      </c>
      <c r="D271" s="1">
        <f t="shared" si="33"/>
        <v>1075</v>
      </c>
      <c r="E271" s="1">
        <f t="shared" si="34"/>
        <v>1370</v>
      </c>
      <c r="F271" s="1"/>
      <c r="H271" s="16">
        <f t="shared" si="29"/>
        <v>44009</v>
      </c>
      <c r="I271" s="29">
        <f t="shared" si="30"/>
        <v>6983.333333333333</v>
      </c>
      <c r="J271" s="34">
        <f t="shared" si="31"/>
        <v>82.52</v>
      </c>
      <c r="L271" s="11">
        <v>42370</v>
      </c>
      <c r="M271" s="9">
        <v>0</v>
      </c>
      <c r="N271" s="9">
        <v>1075</v>
      </c>
      <c r="O271" s="9">
        <v>0</v>
      </c>
      <c r="P271" s="9">
        <v>0</v>
      </c>
      <c r="R271" s="11">
        <v>44009</v>
      </c>
      <c r="S271" s="9">
        <v>6983.333333333333</v>
      </c>
      <c r="T271" s="9">
        <v>0</v>
      </c>
      <c r="U271" s="9"/>
    </row>
    <row r="272" spans="2:21" x14ac:dyDescent="0.4">
      <c r="B272" s="16">
        <f t="shared" si="28"/>
        <v>42373</v>
      </c>
      <c r="C272" s="1">
        <f t="shared" si="32"/>
        <v>3643</v>
      </c>
      <c r="D272" s="1">
        <f t="shared" si="33"/>
        <v>1075</v>
      </c>
      <c r="E272" s="1">
        <f t="shared" si="34"/>
        <v>1370</v>
      </c>
      <c r="F272" s="1"/>
      <c r="H272" s="16">
        <f t="shared" si="29"/>
        <v>44016</v>
      </c>
      <c r="I272" s="29">
        <f t="shared" si="30"/>
        <v>6716.666666666667</v>
      </c>
      <c r="J272" s="34">
        <f t="shared" si="31"/>
        <v>82.52</v>
      </c>
      <c r="L272" s="11">
        <v>42373</v>
      </c>
      <c r="M272" s="9">
        <v>3643</v>
      </c>
      <c r="N272" s="9">
        <v>1075</v>
      </c>
      <c r="O272" s="9">
        <v>1370</v>
      </c>
      <c r="P272" s="9">
        <v>0</v>
      </c>
      <c r="R272" s="11">
        <v>44016</v>
      </c>
      <c r="S272" s="9">
        <v>6716.666666666667</v>
      </c>
      <c r="T272" s="9">
        <v>0</v>
      </c>
      <c r="U272" s="9"/>
    </row>
    <row r="273" spans="2:21" x14ac:dyDescent="0.4">
      <c r="B273" s="16">
        <f t="shared" si="28"/>
        <v>42374</v>
      </c>
      <c r="C273" s="1">
        <f t="shared" si="32"/>
        <v>3648</v>
      </c>
      <c r="D273" s="1">
        <f t="shared" si="33"/>
        <v>1075</v>
      </c>
      <c r="E273" s="1">
        <f t="shared" si="34"/>
        <v>1370</v>
      </c>
      <c r="F273" s="1"/>
      <c r="H273" s="16">
        <f t="shared" si="29"/>
        <v>44023</v>
      </c>
      <c r="I273" s="29">
        <f t="shared" si="30"/>
        <v>6540</v>
      </c>
      <c r="J273" s="1">
        <f t="shared" si="31"/>
        <v>85.52</v>
      </c>
      <c r="L273" s="11">
        <v>42374</v>
      </c>
      <c r="M273" s="9">
        <v>3648</v>
      </c>
      <c r="N273" s="9">
        <v>1075</v>
      </c>
      <c r="O273" s="9">
        <v>1370</v>
      </c>
      <c r="P273" s="9">
        <v>0</v>
      </c>
      <c r="R273" s="11">
        <v>44023</v>
      </c>
      <c r="S273" s="9">
        <v>6540</v>
      </c>
      <c r="T273" s="9">
        <v>85.52</v>
      </c>
      <c r="U273" s="9"/>
    </row>
    <row r="274" spans="2:21" x14ac:dyDescent="0.4">
      <c r="B274" s="16">
        <f t="shared" si="28"/>
        <v>42375</v>
      </c>
      <c r="C274" s="1">
        <f t="shared" si="32"/>
        <v>3651</v>
      </c>
      <c r="D274" s="1">
        <f t="shared" si="33"/>
        <v>1075</v>
      </c>
      <c r="E274" s="1">
        <f t="shared" si="34"/>
        <v>1370</v>
      </c>
      <c r="F274" s="1"/>
      <c r="H274" s="16">
        <f t="shared" si="29"/>
        <v>44030</v>
      </c>
      <c r="I274" s="29">
        <f t="shared" si="30"/>
        <v>6430</v>
      </c>
      <c r="J274" s="1">
        <f t="shared" si="31"/>
        <v>85.52</v>
      </c>
      <c r="L274" s="11">
        <v>42375</v>
      </c>
      <c r="M274" s="9">
        <v>3651</v>
      </c>
      <c r="N274" s="9">
        <v>1075</v>
      </c>
      <c r="O274" s="9">
        <v>1370</v>
      </c>
      <c r="P274" s="9">
        <v>0</v>
      </c>
      <c r="R274" s="11">
        <v>44030</v>
      </c>
      <c r="S274" s="9">
        <v>6430</v>
      </c>
      <c r="T274" s="9">
        <v>0</v>
      </c>
      <c r="U274" s="9"/>
    </row>
    <row r="275" spans="2:21" x14ac:dyDescent="0.4">
      <c r="B275" s="16">
        <f t="shared" si="28"/>
        <v>42376</v>
      </c>
      <c r="C275" s="1">
        <f t="shared" si="32"/>
        <v>3633</v>
      </c>
      <c r="D275" s="1">
        <f t="shared" si="33"/>
        <v>1075</v>
      </c>
      <c r="E275" s="1">
        <f t="shared" si="34"/>
        <v>1370</v>
      </c>
      <c r="F275" s="1"/>
      <c r="H275" s="16">
        <f t="shared" si="29"/>
        <v>44037</v>
      </c>
      <c r="I275" s="29">
        <f t="shared" si="30"/>
        <v>6370</v>
      </c>
      <c r="J275" s="1">
        <f t="shared" si="31"/>
        <v>85.52</v>
      </c>
      <c r="L275" s="11">
        <v>42376</v>
      </c>
      <c r="M275" s="9">
        <v>3633</v>
      </c>
      <c r="N275" s="9">
        <v>1075</v>
      </c>
      <c r="O275" s="9">
        <v>1370</v>
      </c>
      <c r="P275" s="9">
        <v>0</v>
      </c>
      <c r="R275" s="11">
        <v>44037</v>
      </c>
      <c r="S275" s="9">
        <v>6370</v>
      </c>
      <c r="T275" s="9">
        <v>0</v>
      </c>
      <c r="U275" s="9"/>
    </row>
    <row r="276" spans="2:21" x14ac:dyDescent="0.4">
      <c r="B276" s="16">
        <f t="shared" si="28"/>
        <v>42377</v>
      </c>
      <c r="C276" s="1">
        <f t="shared" si="32"/>
        <v>3629</v>
      </c>
      <c r="D276" s="1">
        <f t="shared" si="33"/>
        <v>1075</v>
      </c>
      <c r="E276" s="1">
        <f t="shared" si="34"/>
        <v>1370</v>
      </c>
      <c r="F276" s="1"/>
      <c r="H276" s="16">
        <f t="shared" si="29"/>
        <v>44044</v>
      </c>
      <c r="I276" s="29">
        <f t="shared" si="30"/>
        <v>6375</v>
      </c>
      <c r="J276" s="1">
        <f t="shared" si="31"/>
        <v>85.52</v>
      </c>
      <c r="L276" s="11">
        <v>42377</v>
      </c>
      <c r="M276" s="9">
        <v>3629</v>
      </c>
      <c r="N276" s="9">
        <v>1075</v>
      </c>
      <c r="O276" s="9">
        <v>1370</v>
      </c>
      <c r="P276" s="9">
        <v>0</v>
      </c>
      <c r="R276" s="11">
        <v>44044</v>
      </c>
      <c r="S276" s="9">
        <v>6375</v>
      </c>
      <c r="T276" s="9">
        <v>0</v>
      </c>
      <c r="U276" s="9"/>
    </row>
    <row r="277" spans="2:21" x14ac:dyDescent="0.4">
      <c r="B277" s="16">
        <f t="shared" si="28"/>
        <v>42380</v>
      </c>
      <c r="C277" s="1">
        <f t="shared" si="32"/>
        <v>3613</v>
      </c>
      <c r="D277" s="1">
        <f t="shared" si="33"/>
        <v>1075</v>
      </c>
      <c r="E277" s="1">
        <f t="shared" si="34"/>
        <v>1370</v>
      </c>
      <c r="F277" s="1"/>
      <c r="H277" s="16">
        <f t="shared" si="29"/>
        <v>44051</v>
      </c>
      <c r="I277" s="29">
        <f t="shared" si="30"/>
        <v>6460</v>
      </c>
      <c r="J277" s="1">
        <f t="shared" si="31"/>
        <v>85.5</v>
      </c>
      <c r="L277" s="11">
        <v>42380</v>
      </c>
      <c r="M277" s="9">
        <v>3613</v>
      </c>
      <c r="N277" s="9">
        <v>1075</v>
      </c>
      <c r="O277" s="9">
        <v>1370</v>
      </c>
      <c r="P277" s="9">
        <v>0</v>
      </c>
      <c r="R277" s="11">
        <v>44051</v>
      </c>
      <c r="S277" s="9">
        <v>6460</v>
      </c>
      <c r="T277" s="9">
        <v>85.5</v>
      </c>
      <c r="U277" s="9"/>
    </row>
    <row r="278" spans="2:21" x14ac:dyDescent="0.4">
      <c r="B278" s="16">
        <f t="shared" si="28"/>
        <v>42381</v>
      </c>
      <c r="C278" s="1">
        <f t="shared" si="32"/>
        <v>3585</v>
      </c>
      <c r="D278" s="1">
        <f t="shared" si="33"/>
        <v>1075</v>
      </c>
      <c r="E278" s="1">
        <f t="shared" si="34"/>
        <v>1350</v>
      </c>
      <c r="F278" s="1"/>
      <c r="H278" s="16">
        <f t="shared" si="29"/>
        <v>44058</v>
      </c>
      <c r="I278" s="29">
        <f t="shared" si="30"/>
        <v>6590</v>
      </c>
      <c r="J278" s="1">
        <f t="shared" si="31"/>
        <v>86.29</v>
      </c>
      <c r="L278" s="11">
        <v>42381</v>
      </c>
      <c r="M278" s="9">
        <v>3585</v>
      </c>
      <c r="N278" s="9">
        <v>1075</v>
      </c>
      <c r="O278" s="9">
        <v>1350</v>
      </c>
      <c r="P278" s="9">
        <v>0</v>
      </c>
      <c r="R278" s="11">
        <v>44058</v>
      </c>
      <c r="S278" s="9">
        <v>6590</v>
      </c>
      <c r="T278" s="9">
        <v>86.29</v>
      </c>
      <c r="U278" s="9"/>
    </row>
    <row r="279" spans="2:21" x14ac:dyDescent="0.4">
      <c r="B279" s="16">
        <f t="shared" si="28"/>
        <v>42382</v>
      </c>
      <c r="C279" s="1">
        <f t="shared" si="32"/>
        <v>3564</v>
      </c>
      <c r="D279" s="1">
        <f t="shared" si="33"/>
        <v>1075</v>
      </c>
      <c r="E279" s="1">
        <f t="shared" si="34"/>
        <v>1350</v>
      </c>
      <c r="F279" s="1"/>
      <c r="H279" s="16">
        <f t="shared" si="29"/>
        <v>44065</v>
      </c>
      <c r="I279" s="29">
        <f t="shared" si="30"/>
        <v>6600</v>
      </c>
      <c r="J279" s="1">
        <f t="shared" si="31"/>
        <v>88.11</v>
      </c>
      <c r="L279" s="11">
        <v>42382</v>
      </c>
      <c r="M279" s="9">
        <v>3564</v>
      </c>
      <c r="N279" s="9">
        <v>1075</v>
      </c>
      <c r="O279" s="9">
        <v>1350</v>
      </c>
      <c r="P279" s="9">
        <v>0</v>
      </c>
      <c r="R279" s="11">
        <v>44065</v>
      </c>
      <c r="S279" s="9">
        <v>6600</v>
      </c>
      <c r="T279" s="9">
        <v>88.11</v>
      </c>
      <c r="U279" s="9"/>
    </row>
    <row r="280" spans="2:21" x14ac:dyDescent="0.4">
      <c r="B280" s="16">
        <f t="shared" si="28"/>
        <v>42383</v>
      </c>
      <c r="C280" s="1">
        <f t="shared" si="32"/>
        <v>3549</v>
      </c>
      <c r="D280" s="1">
        <f t="shared" si="33"/>
        <v>995</v>
      </c>
      <c r="E280" s="1">
        <f t="shared" si="34"/>
        <v>1320</v>
      </c>
      <c r="F280" s="1"/>
      <c r="H280" s="16">
        <f t="shared" si="29"/>
        <v>44072</v>
      </c>
      <c r="I280" s="29">
        <f t="shared" si="30"/>
        <v>6560</v>
      </c>
      <c r="J280" s="1">
        <f t="shared" si="31"/>
        <v>90.72</v>
      </c>
      <c r="L280" s="11">
        <v>42383</v>
      </c>
      <c r="M280" s="9">
        <v>3549</v>
      </c>
      <c r="N280" s="9">
        <v>995</v>
      </c>
      <c r="O280" s="9">
        <v>1320</v>
      </c>
      <c r="P280" s="9">
        <v>0</v>
      </c>
      <c r="R280" s="11">
        <v>44072</v>
      </c>
      <c r="S280" s="9">
        <v>6560</v>
      </c>
      <c r="T280" s="9">
        <v>90.72</v>
      </c>
      <c r="U280" s="9"/>
    </row>
    <row r="281" spans="2:21" x14ac:dyDescent="0.4">
      <c r="B281" s="16">
        <f t="shared" si="28"/>
        <v>42384</v>
      </c>
      <c r="C281" s="1">
        <f t="shared" si="32"/>
        <v>3548</v>
      </c>
      <c r="D281" s="1">
        <f t="shared" si="33"/>
        <v>995</v>
      </c>
      <c r="E281" s="1">
        <f t="shared" si="34"/>
        <v>1320</v>
      </c>
      <c r="F281" s="1"/>
      <c r="H281" s="16">
        <f t="shared" si="29"/>
        <v>44079</v>
      </c>
      <c r="I281" s="29">
        <f t="shared" si="30"/>
        <v>6480</v>
      </c>
      <c r="J281" s="1">
        <f t="shared" si="31"/>
        <v>90.72</v>
      </c>
      <c r="L281" s="11">
        <v>42384</v>
      </c>
      <c r="M281" s="9">
        <v>3548</v>
      </c>
      <c r="N281" s="9">
        <v>995</v>
      </c>
      <c r="O281" s="9">
        <v>1320</v>
      </c>
      <c r="P281" s="9">
        <v>0</v>
      </c>
      <c r="R281" s="11">
        <v>44079</v>
      </c>
      <c r="S281" s="9">
        <v>6480</v>
      </c>
      <c r="T281" s="9">
        <v>0</v>
      </c>
      <c r="U281" s="9"/>
    </row>
    <row r="282" spans="2:21" x14ac:dyDescent="0.4">
      <c r="B282" s="16">
        <f t="shared" si="28"/>
        <v>42387</v>
      </c>
      <c r="C282" s="1">
        <f t="shared" si="32"/>
        <v>3532</v>
      </c>
      <c r="D282" s="1">
        <f t="shared" si="33"/>
        <v>995</v>
      </c>
      <c r="E282" s="1">
        <f t="shared" si="34"/>
        <v>1320</v>
      </c>
      <c r="F282" s="1"/>
      <c r="H282" s="16">
        <f t="shared" si="29"/>
        <v>44086</v>
      </c>
      <c r="I282" s="29">
        <f t="shared" si="30"/>
        <v>6475</v>
      </c>
      <c r="J282" s="1">
        <f t="shared" si="31"/>
        <v>90.72</v>
      </c>
      <c r="L282" s="11">
        <v>42387</v>
      </c>
      <c r="M282" s="9">
        <v>3532</v>
      </c>
      <c r="N282" s="9">
        <v>995</v>
      </c>
      <c r="O282" s="9">
        <v>1320</v>
      </c>
      <c r="P282" s="9">
        <v>0</v>
      </c>
      <c r="R282" s="11">
        <v>44086</v>
      </c>
      <c r="S282" s="9">
        <v>6475</v>
      </c>
      <c r="T282" s="9">
        <v>0</v>
      </c>
      <c r="U282" s="9"/>
    </row>
    <row r="283" spans="2:21" x14ac:dyDescent="0.4">
      <c r="B283" s="16">
        <f t="shared" si="28"/>
        <v>42388</v>
      </c>
      <c r="C283" s="1">
        <f t="shared" si="32"/>
        <v>3528</v>
      </c>
      <c r="D283" s="1">
        <f t="shared" si="33"/>
        <v>990</v>
      </c>
      <c r="E283" s="1">
        <f t="shared" si="34"/>
        <v>1320</v>
      </c>
      <c r="F283" s="1"/>
      <c r="H283" s="16">
        <f t="shared" si="29"/>
        <v>44093</v>
      </c>
      <c r="I283" s="29">
        <f t="shared" si="30"/>
        <v>6415</v>
      </c>
      <c r="J283" s="1">
        <f t="shared" si="31"/>
        <v>90.72</v>
      </c>
      <c r="L283" s="11">
        <v>42388</v>
      </c>
      <c r="M283" s="9">
        <v>3528</v>
      </c>
      <c r="N283" s="9">
        <v>990</v>
      </c>
      <c r="O283" s="9">
        <v>1320</v>
      </c>
      <c r="P283" s="9">
        <v>0</v>
      </c>
      <c r="R283" s="11">
        <v>44093</v>
      </c>
      <c r="S283" s="9">
        <v>6415</v>
      </c>
      <c r="T283" s="9">
        <v>0</v>
      </c>
      <c r="U283" s="9"/>
    </row>
    <row r="284" spans="2:21" x14ac:dyDescent="0.4">
      <c r="B284" s="16">
        <f t="shared" si="28"/>
        <v>42389</v>
      </c>
      <c r="C284" s="1">
        <f t="shared" si="32"/>
        <v>3530</v>
      </c>
      <c r="D284" s="1">
        <f t="shared" si="33"/>
        <v>975</v>
      </c>
      <c r="E284" s="1">
        <f t="shared" si="34"/>
        <v>1320</v>
      </c>
      <c r="F284" s="1"/>
      <c r="H284" s="16">
        <f t="shared" si="29"/>
        <v>44100</v>
      </c>
      <c r="I284" s="29">
        <f t="shared" si="30"/>
        <v>6375</v>
      </c>
      <c r="J284" s="1">
        <f t="shared" si="31"/>
        <v>90.72</v>
      </c>
      <c r="L284" s="11">
        <v>42389</v>
      </c>
      <c r="M284" s="9">
        <v>3530</v>
      </c>
      <c r="N284" s="9">
        <v>975</v>
      </c>
      <c r="O284" s="9">
        <v>1320</v>
      </c>
      <c r="P284" s="9">
        <v>0</v>
      </c>
      <c r="R284" s="11">
        <v>44100</v>
      </c>
      <c r="S284" s="9">
        <v>6375</v>
      </c>
      <c r="T284" s="9">
        <v>0</v>
      </c>
      <c r="U284" s="9"/>
    </row>
    <row r="285" spans="2:21" x14ac:dyDescent="0.4">
      <c r="B285" s="16">
        <f t="shared" si="28"/>
        <v>42390</v>
      </c>
      <c r="C285" s="1">
        <f t="shared" si="32"/>
        <v>3521</v>
      </c>
      <c r="D285" s="1">
        <f t="shared" si="33"/>
        <v>975</v>
      </c>
      <c r="E285" s="1">
        <f t="shared" si="34"/>
        <v>1320</v>
      </c>
      <c r="F285" s="1"/>
      <c r="H285" s="16">
        <f t="shared" si="29"/>
        <v>44107</v>
      </c>
      <c r="I285" s="29">
        <f t="shared" si="30"/>
        <v>6393.75</v>
      </c>
      <c r="J285" s="1">
        <f t="shared" si="31"/>
        <v>90.72</v>
      </c>
      <c r="L285" s="11">
        <v>42390</v>
      </c>
      <c r="M285" s="9">
        <v>3521</v>
      </c>
      <c r="N285" s="9">
        <v>975</v>
      </c>
      <c r="O285" s="9">
        <v>1320</v>
      </c>
      <c r="P285" s="9">
        <v>0</v>
      </c>
      <c r="R285" s="11">
        <v>44107</v>
      </c>
      <c r="S285" s="9">
        <v>6393.75</v>
      </c>
      <c r="T285" s="9">
        <v>0</v>
      </c>
      <c r="U285" s="9"/>
    </row>
    <row r="286" spans="2:21" x14ac:dyDescent="0.4">
      <c r="B286" s="16">
        <f t="shared" si="28"/>
        <v>42391</v>
      </c>
      <c r="C286" s="1">
        <f t="shared" si="32"/>
        <v>3527</v>
      </c>
      <c r="D286" s="1">
        <f t="shared" si="33"/>
        <v>960</v>
      </c>
      <c r="E286" s="1">
        <f t="shared" si="34"/>
        <v>1320</v>
      </c>
      <c r="F286" s="1"/>
      <c r="H286" s="16">
        <f t="shared" si="29"/>
        <v>44114</v>
      </c>
      <c r="I286" s="29">
        <f t="shared" si="30"/>
        <v>6650</v>
      </c>
      <c r="J286" s="1">
        <f t="shared" si="31"/>
        <v>90.72</v>
      </c>
      <c r="L286" s="11">
        <v>42391</v>
      </c>
      <c r="M286" s="9">
        <v>3527</v>
      </c>
      <c r="N286" s="9">
        <v>960</v>
      </c>
      <c r="O286" s="9">
        <v>1320</v>
      </c>
      <c r="P286" s="9">
        <v>0</v>
      </c>
      <c r="R286" s="11">
        <v>44114</v>
      </c>
      <c r="S286" s="9">
        <v>6650</v>
      </c>
      <c r="T286" s="9">
        <v>0</v>
      </c>
      <c r="U286" s="9"/>
    </row>
    <row r="287" spans="2:21" x14ac:dyDescent="0.4">
      <c r="B287" s="16">
        <f t="shared" si="28"/>
        <v>42394</v>
      </c>
      <c r="C287" s="1">
        <f t="shared" si="32"/>
        <v>3543</v>
      </c>
      <c r="D287" s="1">
        <f t="shared" si="33"/>
        <v>960</v>
      </c>
      <c r="E287" s="1">
        <f t="shared" si="34"/>
        <v>1320</v>
      </c>
      <c r="F287" s="1"/>
      <c r="H287" s="16">
        <f t="shared" si="29"/>
        <v>44121</v>
      </c>
      <c r="I287" s="29">
        <f t="shared" si="30"/>
        <v>6815</v>
      </c>
      <c r="J287" s="1">
        <f t="shared" si="31"/>
        <v>90.72</v>
      </c>
      <c r="L287" s="11">
        <v>42394</v>
      </c>
      <c r="M287" s="9">
        <v>3543</v>
      </c>
      <c r="N287" s="9">
        <v>960</v>
      </c>
      <c r="O287" s="9">
        <v>1320</v>
      </c>
      <c r="P287" s="9">
        <v>0</v>
      </c>
      <c r="R287" s="11">
        <v>44121</v>
      </c>
      <c r="S287" s="9">
        <v>6815</v>
      </c>
      <c r="T287" s="9">
        <v>0</v>
      </c>
      <c r="U287" s="9"/>
    </row>
    <row r="288" spans="2:21" x14ac:dyDescent="0.4">
      <c r="B288" s="16">
        <f t="shared" si="28"/>
        <v>42395</v>
      </c>
      <c r="C288" s="1">
        <f t="shared" si="32"/>
        <v>3551</v>
      </c>
      <c r="D288" s="1">
        <f t="shared" si="33"/>
        <v>935</v>
      </c>
      <c r="E288" s="1">
        <f t="shared" si="34"/>
        <v>1320</v>
      </c>
      <c r="F288" s="1"/>
      <c r="H288" s="16">
        <f t="shared" si="29"/>
        <v>44128</v>
      </c>
      <c r="I288" s="29">
        <f t="shared" si="30"/>
        <v>6970</v>
      </c>
      <c r="J288" s="1">
        <f t="shared" si="31"/>
        <v>90.72</v>
      </c>
      <c r="L288" s="11">
        <v>42395</v>
      </c>
      <c r="M288" s="9">
        <v>3551</v>
      </c>
      <c r="N288" s="9">
        <v>935</v>
      </c>
      <c r="O288" s="9">
        <v>1320</v>
      </c>
      <c r="P288" s="9">
        <v>0</v>
      </c>
      <c r="R288" s="11">
        <v>44128</v>
      </c>
      <c r="S288" s="9">
        <v>6970</v>
      </c>
      <c r="T288" s="9">
        <v>0</v>
      </c>
      <c r="U288" s="9"/>
    </row>
    <row r="289" spans="2:21" x14ac:dyDescent="0.4">
      <c r="B289" s="16">
        <f t="shared" si="28"/>
        <v>42396</v>
      </c>
      <c r="C289" s="1">
        <f t="shared" si="32"/>
        <v>3556</v>
      </c>
      <c r="D289" s="1">
        <f t="shared" si="33"/>
        <v>925</v>
      </c>
      <c r="E289" s="1">
        <f t="shared" si="34"/>
        <v>1320</v>
      </c>
      <c r="F289" s="1"/>
      <c r="H289" s="16">
        <f t="shared" si="29"/>
        <v>44135</v>
      </c>
      <c r="I289" s="29">
        <f t="shared" si="30"/>
        <v>6955</v>
      </c>
      <c r="J289" s="1">
        <f t="shared" si="31"/>
        <v>90.72</v>
      </c>
      <c r="L289" s="11">
        <v>42396</v>
      </c>
      <c r="M289" s="9">
        <v>3556</v>
      </c>
      <c r="N289" s="9">
        <v>925</v>
      </c>
      <c r="O289" s="9">
        <v>1320</v>
      </c>
      <c r="P289" s="9">
        <v>0</v>
      </c>
      <c r="R289" s="11">
        <v>44135</v>
      </c>
      <c r="S289" s="9">
        <v>6955</v>
      </c>
      <c r="T289" s="9">
        <v>0</v>
      </c>
      <c r="U289" s="9"/>
    </row>
    <row r="290" spans="2:21" x14ac:dyDescent="0.4">
      <c r="B290" s="16">
        <f t="shared" si="28"/>
        <v>42397</v>
      </c>
      <c r="C290" s="1">
        <f t="shared" si="32"/>
        <v>3565</v>
      </c>
      <c r="D290" s="1">
        <f t="shared" si="33"/>
        <v>925</v>
      </c>
      <c r="E290" s="1">
        <f t="shared" si="34"/>
        <v>1320</v>
      </c>
      <c r="F290" s="1"/>
      <c r="H290" s="16">
        <f t="shared" si="29"/>
        <v>44142</v>
      </c>
      <c r="I290" s="29">
        <f t="shared" si="30"/>
        <v>6950</v>
      </c>
      <c r="J290" s="1">
        <f t="shared" si="31"/>
        <v>90.72</v>
      </c>
      <c r="L290" s="11">
        <v>42397</v>
      </c>
      <c r="M290" s="9">
        <v>3565</v>
      </c>
      <c r="N290" s="9">
        <v>925</v>
      </c>
      <c r="O290" s="9">
        <v>1320</v>
      </c>
      <c r="P290" s="9">
        <v>0</v>
      </c>
      <c r="R290" s="11">
        <v>44142</v>
      </c>
      <c r="S290" s="9">
        <v>6950</v>
      </c>
      <c r="T290" s="9">
        <v>0</v>
      </c>
      <c r="U290" s="9"/>
    </row>
    <row r="291" spans="2:21" x14ac:dyDescent="0.4">
      <c r="B291" s="16">
        <f t="shared" si="28"/>
        <v>42398</v>
      </c>
      <c r="C291" s="1">
        <f t="shared" si="32"/>
        <v>3568</v>
      </c>
      <c r="D291" s="1">
        <f t="shared" si="33"/>
        <v>925</v>
      </c>
      <c r="E291" s="1">
        <f t="shared" si="34"/>
        <v>1290</v>
      </c>
      <c r="F291" s="1"/>
      <c r="H291" s="16">
        <f t="shared" si="29"/>
        <v>44149</v>
      </c>
      <c r="I291" s="29">
        <f t="shared" si="30"/>
        <v>6815</v>
      </c>
      <c r="J291" s="1">
        <f t="shared" si="31"/>
        <v>93.73</v>
      </c>
      <c r="L291" s="11">
        <v>42398</v>
      </c>
      <c r="M291" s="9">
        <v>3568</v>
      </c>
      <c r="N291" s="9">
        <v>925</v>
      </c>
      <c r="O291" s="9">
        <v>1290</v>
      </c>
      <c r="P291" s="9">
        <v>0</v>
      </c>
      <c r="R291" s="11">
        <v>44149</v>
      </c>
      <c r="S291" s="9">
        <v>6815</v>
      </c>
      <c r="T291" s="9">
        <v>93.73</v>
      </c>
      <c r="U291" s="9"/>
    </row>
    <row r="292" spans="2:21" x14ac:dyDescent="0.4">
      <c r="B292" s="16">
        <f t="shared" si="28"/>
        <v>42401</v>
      </c>
      <c r="C292" s="1">
        <f t="shared" si="32"/>
        <v>3573</v>
      </c>
      <c r="D292" s="1">
        <f t="shared" si="33"/>
        <v>925</v>
      </c>
      <c r="E292" s="1">
        <f t="shared" si="34"/>
        <v>1280</v>
      </c>
      <c r="F292" s="1"/>
      <c r="H292" s="16">
        <f t="shared" si="29"/>
        <v>44156</v>
      </c>
      <c r="I292" s="29">
        <f t="shared" si="30"/>
        <v>6825</v>
      </c>
      <c r="J292" s="1">
        <f t="shared" si="31"/>
        <v>95.21</v>
      </c>
      <c r="L292" s="11">
        <v>42401</v>
      </c>
      <c r="M292" s="9">
        <v>3573</v>
      </c>
      <c r="N292" s="9">
        <v>925</v>
      </c>
      <c r="O292" s="9">
        <v>1280</v>
      </c>
      <c r="P292" s="9">
        <v>0</v>
      </c>
      <c r="R292" s="11">
        <v>44156</v>
      </c>
      <c r="S292" s="9">
        <v>6825</v>
      </c>
      <c r="T292" s="9">
        <v>95.21</v>
      </c>
      <c r="U292" s="9"/>
    </row>
    <row r="293" spans="2:21" x14ac:dyDescent="0.4">
      <c r="B293" s="16">
        <f t="shared" si="28"/>
        <v>42402</v>
      </c>
      <c r="C293" s="1">
        <f t="shared" si="32"/>
        <v>3571</v>
      </c>
      <c r="D293" s="1">
        <f t="shared" si="33"/>
        <v>890</v>
      </c>
      <c r="E293" s="1">
        <f t="shared" si="34"/>
        <v>1280</v>
      </c>
      <c r="F293" s="1"/>
      <c r="H293" s="16">
        <f t="shared" si="29"/>
        <v>44163</v>
      </c>
      <c r="I293" s="29">
        <f t="shared" si="30"/>
        <v>6785</v>
      </c>
      <c r="J293" s="1">
        <f t="shared" si="31"/>
        <v>97.21</v>
      </c>
      <c r="L293" s="11">
        <v>42402</v>
      </c>
      <c r="M293" s="9">
        <v>3571</v>
      </c>
      <c r="N293" s="9">
        <v>890</v>
      </c>
      <c r="O293" s="9">
        <v>1280</v>
      </c>
      <c r="P293" s="9">
        <v>0</v>
      </c>
      <c r="R293" s="11">
        <v>44163</v>
      </c>
      <c r="S293" s="9">
        <v>6785</v>
      </c>
      <c r="T293" s="9">
        <v>97.21</v>
      </c>
      <c r="U293" s="9"/>
    </row>
    <row r="294" spans="2:21" x14ac:dyDescent="0.4">
      <c r="B294" s="16">
        <f t="shared" si="28"/>
        <v>42403</v>
      </c>
      <c r="C294" s="1">
        <f t="shared" si="32"/>
        <v>3574</v>
      </c>
      <c r="D294" s="1">
        <f t="shared" si="33"/>
        <v>890</v>
      </c>
      <c r="E294" s="1">
        <f t="shared" si="34"/>
        <v>1280</v>
      </c>
      <c r="F294" s="1"/>
      <c r="H294" s="16">
        <f t="shared" si="29"/>
        <v>44170</v>
      </c>
      <c r="I294" s="29">
        <f t="shared" si="30"/>
        <v>6802</v>
      </c>
      <c r="J294" s="1">
        <f t="shared" si="31"/>
        <v>99.82</v>
      </c>
      <c r="L294" s="11">
        <v>42403</v>
      </c>
      <c r="M294" s="9">
        <v>3574</v>
      </c>
      <c r="N294" s="9">
        <v>890</v>
      </c>
      <c r="O294" s="9">
        <v>1280</v>
      </c>
      <c r="P294" s="9">
        <v>0</v>
      </c>
      <c r="R294" s="11">
        <v>44170</v>
      </c>
      <c r="S294" s="9">
        <v>6802</v>
      </c>
      <c r="T294" s="9">
        <v>99.82</v>
      </c>
      <c r="U294" s="9"/>
    </row>
    <row r="295" spans="2:21" x14ac:dyDescent="0.4">
      <c r="B295" s="16">
        <f t="shared" si="28"/>
        <v>42404</v>
      </c>
      <c r="C295" s="1">
        <f t="shared" si="32"/>
        <v>3571</v>
      </c>
      <c r="D295" s="1">
        <f t="shared" si="33"/>
        <v>890</v>
      </c>
      <c r="E295" s="1">
        <f t="shared" si="34"/>
        <v>1280</v>
      </c>
      <c r="F295" s="1"/>
      <c r="H295" s="16">
        <f t="shared" si="29"/>
        <v>44177</v>
      </c>
      <c r="I295" s="29">
        <f t="shared" si="30"/>
        <v>7030</v>
      </c>
      <c r="J295" s="1">
        <f t="shared" si="31"/>
        <v>101.01</v>
      </c>
      <c r="L295" s="11">
        <v>42404</v>
      </c>
      <c r="M295" s="9">
        <v>3571</v>
      </c>
      <c r="N295" s="9">
        <v>890</v>
      </c>
      <c r="O295" s="9">
        <v>1280</v>
      </c>
      <c r="P295" s="9">
        <v>0</v>
      </c>
      <c r="R295" s="11">
        <v>44177</v>
      </c>
      <c r="S295" s="9">
        <v>7030</v>
      </c>
      <c r="T295" s="9">
        <v>101.01</v>
      </c>
      <c r="U295" s="9"/>
    </row>
    <row r="296" spans="2:21" x14ac:dyDescent="0.4">
      <c r="B296" s="16">
        <f t="shared" si="28"/>
        <v>42405</v>
      </c>
      <c r="C296" s="1">
        <f t="shared" si="32"/>
        <v>3577</v>
      </c>
      <c r="D296" s="1">
        <f t="shared" si="33"/>
        <v>890</v>
      </c>
      <c r="E296" s="1">
        <f t="shared" si="34"/>
        <v>1280</v>
      </c>
      <c r="F296" s="1"/>
      <c r="H296" s="16">
        <f t="shared" si="29"/>
        <v>44184</v>
      </c>
      <c r="I296" s="29">
        <f t="shared" si="30"/>
        <v>7450</v>
      </c>
      <c r="J296" s="1">
        <f t="shared" si="31"/>
        <v>102.17</v>
      </c>
      <c r="L296" s="11">
        <v>42405</v>
      </c>
      <c r="M296" s="9">
        <v>3577</v>
      </c>
      <c r="N296" s="9">
        <v>890</v>
      </c>
      <c r="O296" s="9">
        <v>1280</v>
      </c>
      <c r="P296" s="9">
        <v>0</v>
      </c>
      <c r="R296" s="11">
        <v>44184</v>
      </c>
      <c r="S296" s="9">
        <v>7450</v>
      </c>
      <c r="T296" s="9">
        <v>102.17</v>
      </c>
      <c r="U296" s="9"/>
    </row>
    <row r="297" spans="2:21" x14ac:dyDescent="0.4">
      <c r="B297" s="16">
        <f t="shared" si="28"/>
        <v>42406</v>
      </c>
      <c r="C297" s="1">
        <f t="shared" si="32"/>
        <v>3577</v>
      </c>
      <c r="D297" s="1">
        <f t="shared" si="33"/>
        <v>890</v>
      </c>
      <c r="E297" s="1">
        <f t="shared" si="34"/>
        <v>1280</v>
      </c>
      <c r="F297" s="1"/>
      <c r="H297" s="16">
        <f t="shared" si="29"/>
        <v>44191</v>
      </c>
      <c r="I297" s="29">
        <f t="shared" si="30"/>
        <v>7530</v>
      </c>
      <c r="J297" s="1">
        <f t="shared" si="31"/>
        <v>103.66</v>
      </c>
      <c r="L297" s="11">
        <v>42406</v>
      </c>
      <c r="M297" s="9">
        <v>3577</v>
      </c>
      <c r="N297" s="9">
        <v>0</v>
      </c>
      <c r="O297" s="9">
        <v>1280</v>
      </c>
      <c r="P297" s="9">
        <v>0</v>
      </c>
      <c r="R297" s="11">
        <v>44191</v>
      </c>
      <c r="S297" s="9">
        <v>7530</v>
      </c>
      <c r="T297" s="9">
        <v>103.66</v>
      </c>
      <c r="U297" s="9"/>
    </row>
    <row r="298" spans="2:21" x14ac:dyDescent="0.4">
      <c r="B298" s="16">
        <f t="shared" si="28"/>
        <v>42408</v>
      </c>
      <c r="C298" s="1">
        <f t="shared" si="32"/>
        <v>3577</v>
      </c>
      <c r="D298" s="1">
        <f t="shared" si="33"/>
        <v>890</v>
      </c>
      <c r="E298" s="1">
        <f t="shared" si="34"/>
        <v>1280</v>
      </c>
      <c r="F298" s="1"/>
      <c r="H298" s="16">
        <f t="shared" si="29"/>
        <v>44198</v>
      </c>
      <c r="I298" s="29">
        <f t="shared" si="30"/>
        <v>7562.5</v>
      </c>
      <c r="J298" s="1">
        <f t="shared" si="31"/>
        <v>104.36</v>
      </c>
      <c r="L298" s="11">
        <v>42408</v>
      </c>
      <c r="M298" s="9">
        <v>0</v>
      </c>
      <c r="N298" s="9">
        <v>890</v>
      </c>
      <c r="O298" s="9">
        <v>0</v>
      </c>
      <c r="P298" s="9">
        <v>0</v>
      </c>
      <c r="R298" s="11">
        <v>44198</v>
      </c>
      <c r="S298" s="9">
        <v>7562.5</v>
      </c>
      <c r="T298" s="9">
        <v>104.36</v>
      </c>
      <c r="U298" s="9"/>
    </row>
    <row r="299" spans="2:21" x14ac:dyDescent="0.4">
      <c r="B299" s="16">
        <f t="shared" si="28"/>
        <v>42409</v>
      </c>
      <c r="C299" s="1">
        <f t="shared" si="32"/>
        <v>3577</v>
      </c>
      <c r="D299" s="1">
        <f t="shared" si="33"/>
        <v>890</v>
      </c>
      <c r="E299" s="1">
        <f t="shared" si="34"/>
        <v>1280</v>
      </c>
      <c r="F299" s="1"/>
      <c r="H299" s="16">
        <f t="shared" si="29"/>
        <v>44205</v>
      </c>
      <c r="I299" s="29">
        <f t="shared" si="30"/>
        <v>7770</v>
      </c>
      <c r="J299" s="1">
        <f t="shared" si="31"/>
        <v>104.36</v>
      </c>
      <c r="L299" s="11">
        <v>42409</v>
      </c>
      <c r="M299" s="9">
        <v>0</v>
      </c>
      <c r="N299" s="9">
        <v>890</v>
      </c>
      <c r="O299" s="9">
        <v>0</v>
      </c>
      <c r="P299" s="9">
        <v>0</v>
      </c>
      <c r="R299" s="11">
        <v>44205</v>
      </c>
      <c r="S299" s="9">
        <v>7770</v>
      </c>
      <c r="T299" s="9">
        <v>104.36</v>
      </c>
      <c r="U299" s="9"/>
    </row>
    <row r="300" spans="2:21" x14ac:dyDescent="0.4">
      <c r="B300" s="16">
        <f t="shared" si="28"/>
        <v>42410</v>
      </c>
      <c r="C300" s="1">
        <f t="shared" si="32"/>
        <v>3577</v>
      </c>
      <c r="D300" s="1">
        <f t="shared" si="33"/>
        <v>890</v>
      </c>
      <c r="E300" s="1">
        <f t="shared" si="34"/>
        <v>1280</v>
      </c>
      <c r="F300" s="1"/>
      <c r="H300" s="16">
        <f t="shared" si="29"/>
        <v>44212</v>
      </c>
      <c r="I300" s="29">
        <f t="shared" si="30"/>
        <v>7940</v>
      </c>
      <c r="J300" s="1">
        <f t="shared" si="31"/>
        <v>107.4</v>
      </c>
      <c r="L300" s="11">
        <v>42410</v>
      </c>
      <c r="M300" s="9">
        <v>0</v>
      </c>
      <c r="N300" s="9">
        <v>890</v>
      </c>
      <c r="O300" s="9">
        <v>0</v>
      </c>
      <c r="P300" s="9">
        <v>0</v>
      </c>
      <c r="R300" s="11">
        <v>44212</v>
      </c>
      <c r="S300" s="9">
        <v>7940</v>
      </c>
      <c r="T300" s="9">
        <v>107.4</v>
      </c>
      <c r="U300" s="9"/>
    </row>
    <row r="301" spans="2:21" x14ac:dyDescent="0.4">
      <c r="B301" s="16">
        <f t="shared" si="28"/>
        <v>42411</v>
      </c>
      <c r="C301" s="1">
        <f t="shared" si="32"/>
        <v>3577</v>
      </c>
      <c r="D301" s="1">
        <f t="shared" si="33"/>
        <v>890</v>
      </c>
      <c r="E301" s="1">
        <f t="shared" si="34"/>
        <v>1280</v>
      </c>
      <c r="F301" s="1"/>
      <c r="H301" s="16">
        <f t="shared" si="29"/>
        <v>44219</v>
      </c>
      <c r="I301" s="29">
        <f t="shared" si="30"/>
        <v>7955</v>
      </c>
      <c r="J301" s="1">
        <f t="shared" si="31"/>
        <v>108.07</v>
      </c>
      <c r="L301" s="11">
        <v>42411</v>
      </c>
      <c r="M301" s="9">
        <v>0</v>
      </c>
      <c r="N301" s="9">
        <v>890</v>
      </c>
      <c r="O301" s="9">
        <v>0</v>
      </c>
      <c r="P301" s="9">
        <v>0</v>
      </c>
      <c r="R301" s="11">
        <v>44219</v>
      </c>
      <c r="S301" s="9">
        <v>7955</v>
      </c>
      <c r="T301" s="9">
        <v>108.07</v>
      </c>
      <c r="U301" s="9"/>
    </row>
    <row r="302" spans="2:21" x14ac:dyDescent="0.4">
      <c r="B302" s="16">
        <f t="shared" si="28"/>
        <v>42412</v>
      </c>
      <c r="C302" s="1">
        <f t="shared" si="32"/>
        <v>3577</v>
      </c>
      <c r="D302" s="1">
        <f t="shared" si="33"/>
        <v>890</v>
      </c>
      <c r="E302" s="1">
        <f t="shared" si="34"/>
        <v>1280</v>
      </c>
      <c r="F302" s="1"/>
      <c r="H302" s="16">
        <f t="shared" si="29"/>
        <v>44226</v>
      </c>
      <c r="I302" s="29">
        <f t="shared" si="30"/>
        <v>7885</v>
      </c>
      <c r="J302" s="1">
        <f t="shared" si="31"/>
        <v>108.07</v>
      </c>
      <c r="L302" s="11">
        <v>42412</v>
      </c>
      <c r="M302" s="9">
        <v>0</v>
      </c>
      <c r="N302" s="9">
        <v>890</v>
      </c>
      <c r="O302" s="9">
        <v>0</v>
      </c>
      <c r="P302" s="9">
        <v>0</v>
      </c>
      <c r="R302" s="11">
        <v>44226</v>
      </c>
      <c r="S302" s="9">
        <v>7885</v>
      </c>
      <c r="T302" s="9">
        <v>0</v>
      </c>
      <c r="U302" s="9"/>
    </row>
    <row r="303" spans="2:21" x14ac:dyDescent="0.4">
      <c r="B303" s="16">
        <f t="shared" si="28"/>
        <v>42413</v>
      </c>
      <c r="C303" s="1">
        <f t="shared" si="32"/>
        <v>3577</v>
      </c>
      <c r="D303" s="1">
        <f t="shared" si="33"/>
        <v>890</v>
      </c>
      <c r="E303" s="1">
        <f t="shared" si="34"/>
        <v>1280</v>
      </c>
      <c r="F303" s="1"/>
      <c r="H303" s="16">
        <f t="shared" si="29"/>
        <v>44233</v>
      </c>
      <c r="I303" s="29">
        <f t="shared" si="30"/>
        <v>7990</v>
      </c>
      <c r="J303" s="1">
        <f t="shared" si="31"/>
        <v>108.38</v>
      </c>
      <c r="L303" s="11">
        <v>42413</v>
      </c>
      <c r="M303" s="9">
        <v>0</v>
      </c>
      <c r="N303" s="9">
        <v>890</v>
      </c>
      <c r="O303" s="9">
        <v>0</v>
      </c>
      <c r="P303" s="9">
        <v>0</v>
      </c>
      <c r="R303" s="11">
        <v>44233</v>
      </c>
      <c r="S303" s="9">
        <v>7990</v>
      </c>
      <c r="T303" s="9">
        <v>108.38</v>
      </c>
      <c r="U303" s="9"/>
    </row>
    <row r="304" spans="2:21" x14ac:dyDescent="0.4">
      <c r="B304" s="16">
        <f t="shared" si="28"/>
        <v>42414</v>
      </c>
      <c r="C304" s="1">
        <f t="shared" si="32"/>
        <v>3581</v>
      </c>
      <c r="D304" s="1">
        <f t="shared" si="33"/>
        <v>890</v>
      </c>
      <c r="E304" s="1">
        <f t="shared" si="34"/>
        <v>1280</v>
      </c>
      <c r="F304" s="1"/>
      <c r="H304" s="16">
        <f t="shared" si="29"/>
        <v>44240</v>
      </c>
      <c r="I304" s="29">
        <f t="shared" si="30"/>
        <v>8050</v>
      </c>
      <c r="J304" s="1">
        <f t="shared" si="31"/>
        <v>108.38</v>
      </c>
      <c r="L304" s="11">
        <v>42414</v>
      </c>
      <c r="M304" s="9">
        <v>3581</v>
      </c>
      <c r="N304" s="9">
        <v>890</v>
      </c>
      <c r="O304" s="9">
        <v>1280</v>
      </c>
      <c r="P304" s="9">
        <v>0</v>
      </c>
      <c r="R304" s="11">
        <v>44240</v>
      </c>
      <c r="S304" s="9">
        <v>8050</v>
      </c>
      <c r="T304" s="9">
        <v>0</v>
      </c>
      <c r="U304" s="9"/>
    </row>
    <row r="305" spans="2:21" x14ac:dyDescent="0.4">
      <c r="B305" s="16">
        <f t="shared" si="28"/>
        <v>42415</v>
      </c>
      <c r="C305" s="1">
        <f t="shared" si="32"/>
        <v>3591</v>
      </c>
      <c r="D305" s="1">
        <f t="shared" si="33"/>
        <v>890</v>
      </c>
      <c r="E305" s="1">
        <f t="shared" si="34"/>
        <v>1300</v>
      </c>
      <c r="F305" s="1"/>
      <c r="H305" s="16">
        <f t="shared" si="29"/>
        <v>44247</v>
      </c>
      <c r="I305" s="29">
        <f t="shared" si="30"/>
        <v>8466.6666666666661</v>
      </c>
      <c r="J305" s="1">
        <f t="shared" si="31"/>
        <v>106.69</v>
      </c>
      <c r="L305" s="11">
        <v>42415</v>
      </c>
      <c r="M305" s="9">
        <v>3591</v>
      </c>
      <c r="N305" s="9">
        <v>890</v>
      </c>
      <c r="O305" s="9">
        <v>1300</v>
      </c>
      <c r="P305" s="9">
        <v>0</v>
      </c>
      <c r="R305" s="11">
        <v>44247</v>
      </c>
      <c r="S305" s="9">
        <v>8466.6666666666661</v>
      </c>
      <c r="T305" s="9">
        <v>106.69</v>
      </c>
      <c r="U305" s="9"/>
    </row>
    <row r="306" spans="2:21" x14ac:dyDescent="0.4">
      <c r="B306" s="16">
        <f t="shared" si="28"/>
        <v>42416</v>
      </c>
      <c r="C306" s="1">
        <f t="shared" si="32"/>
        <v>3591</v>
      </c>
      <c r="D306" s="1">
        <f t="shared" si="33"/>
        <v>900</v>
      </c>
      <c r="E306" s="1">
        <f t="shared" si="34"/>
        <v>1300</v>
      </c>
      <c r="F306" s="1"/>
      <c r="H306" s="16">
        <f t="shared" si="29"/>
        <v>44254</v>
      </c>
      <c r="I306" s="29">
        <f t="shared" si="30"/>
        <v>9070</v>
      </c>
      <c r="J306" s="1">
        <f t="shared" si="31"/>
        <v>109.69</v>
      </c>
      <c r="L306" s="11">
        <v>42416</v>
      </c>
      <c r="M306" s="9">
        <v>3591</v>
      </c>
      <c r="N306" s="9">
        <v>900</v>
      </c>
      <c r="O306" s="9">
        <v>1300</v>
      </c>
      <c r="P306" s="9">
        <v>0</v>
      </c>
      <c r="R306" s="11">
        <v>44254</v>
      </c>
      <c r="S306" s="9">
        <v>9070</v>
      </c>
      <c r="T306" s="9">
        <v>109.69</v>
      </c>
      <c r="U306" s="9"/>
    </row>
    <row r="307" spans="2:21" x14ac:dyDescent="0.4">
      <c r="B307" s="16">
        <f t="shared" si="28"/>
        <v>42417</v>
      </c>
      <c r="C307" s="1">
        <f t="shared" si="32"/>
        <v>3598</v>
      </c>
      <c r="D307" s="1">
        <f t="shared" si="33"/>
        <v>900</v>
      </c>
      <c r="E307" s="1">
        <f t="shared" si="34"/>
        <v>1300</v>
      </c>
      <c r="F307" s="1"/>
      <c r="H307" s="16">
        <f t="shared" si="29"/>
        <v>44261</v>
      </c>
      <c r="I307" s="29">
        <f t="shared" si="30"/>
        <v>9400</v>
      </c>
      <c r="J307" s="1">
        <f t="shared" si="31"/>
        <v>109.83</v>
      </c>
      <c r="L307" s="11">
        <v>42417</v>
      </c>
      <c r="M307" s="9">
        <v>3598</v>
      </c>
      <c r="N307" s="9">
        <v>900</v>
      </c>
      <c r="O307" s="9">
        <v>1300</v>
      </c>
      <c r="P307" s="9">
        <v>0</v>
      </c>
      <c r="R307" s="11">
        <v>44261</v>
      </c>
      <c r="S307" s="9">
        <v>9400</v>
      </c>
      <c r="T307" s="9">
        <v>109.83</v>
      </c>
      <c r="U307" s="9"/>
    </row>
    <row r="308" spans="2:21" x14ac:dyDescent="0.4">
      <c r="B308" s="16">
        <f t="shared" si="28"/>
        <v>42418</v>
      </c>
      <c r="C308" s="1">
        <f t="shared" si="32"/>
        <v>3596</v>
      </c>
      <c r="D308" s="1">
        <f t="shared" si="33"/>
        <v>920</v>
      </c>
      <c r="E308" s="1">
        <f t="shared" si="34"/>
        <v>1300</v>
      </c>
      <c r="F308" s="1"/>
      <c r="H308" s="16">
        <f t="shared" si="29"/>
        <v>44268</v>
      </c>
      <c r="I308" s="29">
        <f t="shared" si="30"/>
        <v>9585</v>
      </c>
      <c r="J308" s="1">
        <f t="shared" si="31"/>
        <v>111.56</v>
      </c>
      <c r="L308" s="11">
        <v>42418</v>
      </c>
      <c r="M308" s="9">
        <v>3596</v>
      </c>
      <c r="N308" s="9">
        <v>920</v>
      </c>
      <c r="O308" s="9">
        <v>1300</v>
      </c>
      <c r="P308" s="9">
        <v>0</v>
      </c>
      <c r="R308" s="11">
        <v>44268</v>
      </c>
      <c r="S308" s="9">
        <v>9585</v>
      </c>
      <c r="T308" s="9">
        <v>111.56</v>
      </c>
      <c r="U308" s="9"/>
    </row>
    <row r="309" spans="2:21" x14ac:dyDescent="0.4">
      <c r="B309" s="16">
        <f t="shared" si="28"/>
        <v>42419</v>
      </c>
      <c r="C309" s="1">
        <f t="shared" si="32"/>
        <v>3597</v>
      </c>
      <c r="D309" s="1">
        <f t="shared" si="33"/>
        <v>930</v>
      </c>
      <c r="E309" s="1">
        <f t="shared" si="34"/>
        <v>1300</v>
      </c>
      <c r="F309" s="1"/>
      <c r="H309" s="16">
        <f t="shared" si="29"/>
        <v>44275</v>
      </c>
      <c r="I309" s="29">
        <f t="shared" si="30"/>
        <v>9460</v>
      </c>
      <c r="J309" s="1">
        <f t="shared" si="31"/>
        <v>114.27</v>
      </c>
      <c r="L309" s="11">
        <v>42419</v>
      </c>
      <c r="M309" s="9">
        <v>3597</v>
      </c>
      <c r="N309" s="9">
        <v>930</v>
      </c>
      <c r="O309" s="9">
        <v>1300</v>
      </c>
      <c r="P309" s="9">
        <v>0</v>
      </c>
      <c r="R309" s="11">
        <v>44275</v>
      </c>
      <c r="S309" s="9">
        <v>9460</v>
      </c>
      <c r="T309" s="9">
        <v>114.27</v>
      </c>
      <c r="U309" s="9"/>
    </row>
    <row r="310" spans="2:21" x14ac:dyDescent="0.4">
      <c r="B310" s="16">
        <f t="shared" si="28"/>
        <v>42422</v>
      </c>
      <c r="C310" s="1">
        <f t="shared" si="32"/>
        <v>3612</v>
      </c>
      <c r="D310" s="1">
        <f t="shared" si="33"/>
        <v>935</v>
      </c>
      <c r="E310" s="1">
        <f t="shared" si="34"/>
        <v>1300</v>
      </c>
      <c r="F310" s="1"/>
      <c r="H310" s="16">
        <f t="shared" si="29"/>
        <v>44282</v>
      </c>
      <c r="I310" s="29">
        <f t="shared" si="30"/>
        <v>9150</v>
      </c>
      <c r="J310" s="1">
        <f t="shared" si="31"/>
        <v>115.26</v>
      </c>
      <c r="L310" s="11">
        <v>42422</v>
      </c>
      <c r="M310" s="9">
        <v>3612</v>
      </c>
      <c r="N310" s="9">
        <v>935</v>
      </c>
      <c r="O310" s="9">
        <v>1300</v>
      </c>
      <c r="P310" s="9">
        <v>0</v>
      </c>
      <c r="R310" s="11">
        <v>44282</v>
      </c>
      <c r="S310" s="9">
        <v>9150</v>
      </c>
      <c r="T310" s="9">
        <v>115.26</v>
      </c>
      <c r="U310" s="9"/>
    </row>
    <row r="311" spans="2:21" x14ac:dyDescent="0.4">
      <c r="B311" s="16">
        <f t="shared" si="28"/>
        <v>42423</v>
      </c>
      <c r="C311" s="1">
        <f t="shared" si="32"/>
        <v>3628</v>
      </c>
      <c r="D311" s="1">
        <f t="shared" si="33"/>
        <v>960</v>
      </c>
      <c r="E311" s="1">
        <f t="shared" si="34"/>
        <v>1320</v>
      </c>
      <c r="F311" s="1"/>
      <c r="H311" s="16">
        <f t="shared" si="29"/>
        <v>44289</v>
      </c>
      <c r="I311" s="29">
        <f t="shared" si="30"/>
        <v>9150</v>
      </c>
      <c r="J311" s="1">
        <f t="shared" si="31"/>
        <v>116.56</v>
      </c>
      <c r="L311" s="11">
        <v>42423</v>
      </c>
      <c r="M311" s="9">
        <v>3628</v>
      </c>
      <c r="N311" s="9">
        <v>960</v>
      </c>
      <c r="O311" s="9">
        <v>1320</v>
      </c>
      <c r="P311" s="9">
        <v>0</v>
      </c>
      <c r="R311" s="11">
        <v>44289</v>
      </c>
      <c r="S311" s="9">
        <v>9150</v>
      </c>
      <c r="T311" s="9">
        <v>116.56</v>
      </c>
      <c r="U311" s="9"/>
    </row>
    <row r="312" spans="2:21" x14ac:dyDescent="0.4">
      <c r="B312" s="16">
        <f t="shared" si="28"/>
        <v>42424</v>
      </c>
      <c r="C312" s="1">
        <f t="shared" si="32"/>
        <v>3628</v>
      </c>
      <c r="D312" s="1">
        <f t="shared" si="33"/>
        <v>960</v>
      </c>
      <c r="E312" s="1">
        <f t="shared" si="34"/>
        <v>1320</v>
      </c>
      <c r="F312" s="1"/>
      <c r="H312" s="16">
        <f t="shared" si="29"/>
        <v>44296</v>
      </c>
      <c r="I312" s="29">
        <f t="shared" si="30"/>
        <v>9150</v>
      </c>
      <c r="J312" s="1">
        <f t="shared" si="31"/>
        <v>119.17</v>
      </c>
      <c r="L312" s="11">
        <v>42424</v>
      </c>
      <c r="M312" s="9">
        <v>3628</v>
      </c>
      <c r="N312" s="9">
        <v>960</v>
      </c>
      <c r="O312" s="9">
        <v>1320</v>
      </c>
      <c r="P312" s="9">
        <v>0</v>
      </c>
      <c r="R312" s="11">
        <v>44296</v>
      </c>
      <c r="S312" s="9">
        <v>9150</v>
      </c>
      <c r="T312" s="9">
        <v>119.17</v>
      </c>
      <c r="U312" s="9"/>
    </row>
    <row r="313" spans="2:21" x14ac:dyDescent="0.4">
      <c r="B313" s="16">
        <f t="shared" si="28"/>
        <v>42425</v>
      </c>
      <c r="C313" s="1">
        <f t="shared" si="32"/>
        <v>3631</v>
      </c>
      <c r="D313" s="1">
        <f t="shared" si="33"/>
        <v>960</v>
      </c>
      <c r="E313" s="1">
        <f t="shared" si="34"/>
        <v>1330</v>
      </c>
      <c r="F313" s="1"/>
      <c r="H313" s="16">
        <f t="shared" si="29"/>
        <v>44303</v>
      </c>
      <c r="I313" s="29">
        <f t="shared" si="30"/>
        <v>8970</v>
      </c>
      <c r="J313" s="1">
        <f t="shared" si="31"/>
        <v>120.47</v>
      </c>
      <c r="L313" s="11">
        <v>42425</v>
      </c>
      <c r="M313" s="9">
        <v>3631</v>
      </c>
      <c r="N313" s="9">
        <v>960</v>
      </c>
      <c r="O313" s="9">
        <v>1330</v>
      </c>
      <c r="P313" s="9">
        <v>0</v>
      </c>
      <c r="R313" s="11">
        <v>44303</v>
      </c>
      <c r="S313" s="9">
        <v>8970</v>
      </c>
      <c r="T313" s="9">
        <v>120.47</v>
      </c>
      <c r="U313" s="9"/>
    </row>
    <row r="314" spans="2:21" x14ac:dyDescent="0.4">
      <c r="B314" s="16">
        <f t="shared" si="28"/>
        <v>42426</v>
      </c>
      <c r="C314" s="1">
        <f t="shared" si="32"/>
        <v>3630</v>
      </c>
      <c r="D314" s="1">
        <f t="shared" si="33"/>
        <v>1000</v>
      </c>
      <c r="E314" s="1">
        <f t="shared" si="34"/>
        <v>1340</v>
      </c>
      <c r="F314" s="1"/>
      <c r="H314" s="16">
        <f t="shared" si="29"/>
        <v>44310</v>
      </c>
      <c r="I314" s="29">
        <f t="shared" si="30"/>
        <v>8945</v>
      </c>
      <c r="J314" s="1">
        <f t="shared" si="31"/>
        <v>125.16</v>
      </c>
      <c r="L314" s="11">
        <v>42426</v>
      </c>
      <c r="M314" s="9">
        <v>3630</v>
      </c>
      <c r="N314" s="9">
        <v>1000</v>
      </c>
      <c r="O314" s="9">
        <v>1340</v>
      </c>
      <c r="P314" s="9">
        <v>0</v>
      </c>
      <c r="R314" s="11">
        <v>44310</v>
      </c>
      <c r="S314" s="9">
        <v>8945</v>
      </c>
      <c r="T314" s="9">
        <v>125.16</v>
      </c>
      <c r="U314" s="9"/>
    </row>
    <row r="315" spans="2:21" x14ac:dyDescent="0.4">
      <c r="B315" s="16">
        <f t="shared" si="28"/>
        <v>42429</v>
      </c>
      <c r="C315" s="1">
        <f t="shared" si="32"/>
        <v>3654</v>
      </c>
      <c r="D315" s="1">
        <f t="shared" si="33"/>
        <v>1010</v>
      </c>
      <c r="E315" s="1">
        <f t="shared" si="34"/>
        <v>1350</v>
      </c>
      <c r="F315" s="1"/>
      <c r="H315" s="16">
        <f t="shared" si="29"/>
        <v>44317</v>
      </c>
      <c r="I315" s="29">
        <f t="shared" si="30"/>
        <v>8916.6666666666661</v>
      </c>
      <c r="J315" s="1">
        <f t="shared" si="31"/>
        <v>130.26</v>
      </c>
      <c r="L315" s="11">
        <v>42429</v>
      </c>
      <c r="M315" s="9">
        <v>3654</v>
      </c>
      <c r="N315" s="9">
        <v>1010</v>
      </c>
      <c r="O315" s="9">
        <v>1350</v>
      </c>
      <c r="P315" s="9">
        <v>0</v>
      </c>
      <c r="R315" s="11">
        <v>44317</v>
      </c>
      <c r="S315" s="9">
        <v>8916.6666666666661</v>
      </c>
      <c r="T315" s="9">
        <v>130.26</v>
      </c>
      <c r="U315" s="9"/>
    </row>
    <row r="316" spans="2:21" x14ac:dyDescent="0.4">
      <c r="B316" s="16">
        <f t="shared" si="28"/>
        <v>42430</v>
      </c>
      <c r="C316" s="1">
        <f t="shared" si="32"/>
        <v>3666</v>
      </c>
      <c r="D316" s="1">
        <f t="shared" si="33"/>
        <v>1015</v>
      </c>
      <c r="E316" s="1">
        <f t="shared" si="34"/>
        <v>1350</v>
      </c>
      <c r="F316" s="1"/>
      <c r="H316" s="16">
        <f t="shared" si="29"/>
        <v>44324</v>
      </c>
      <c r="I316" s="29">
        <f t="shared" si="30"/>
        <v>8866.6666666666661</v>
      </c>
      <c r="J316" s="1">
        <f t="shared" si="31"/>
        <v>132.47999999999999</v>
      </c>
      <c r="L316" s="11">
        <v>42430</v>
      </c>
      <c r="M316" s="9">
        <v>3666</v>
      </c>
      <c r="N316" s="9">
        <v>1015</v>
      </c>
      <c r="O316" s="9">
        <v>1350</v>
      </c>
      <c r="P316" s="9">
        <v>0</v>
      </c>
      <c r="R316" s="11">
        <v>44324</v>
      </c>
      <c r="S316" s="9">
        <v>8866.6666666666661</v>
      </c>
      <c r="T316" s="9">
        <v>132.47999999999999</v>
      </c>
      <c r="U316" s="9"/>
    </row>
    <row r="317" spans="2:21" x14ac:dyDescent="0.4">
      <c r="B317" s="16">
        <f t="shared" si="28"/>
        <v>42431</v>
      </c>
      <c r="C317" s="1">
        <f t="shared" si="32"/>
        <v>3696</v>
      </c>
      <c r="D317" s="1">
        <f t="shared" si="33"/>
        <v>1015</v>
      </c>
      <c r="E317" s="1">
        <f t="shared" si="34"/>
        <v>1350</v>
      </c>
      <c r="F317" s="1"/>
      <c r="H317" s="16">
        <f t="shared" si="29"/>
        <v>44331</v>
      </c>
      <c r="I317" s="29">
        <f t="shared" si="30"/>
        <v>8820</v>
      </c>
      <c r="J317" s="1">
        <f t="shared" si="31"/>
        <v>134.96</v>
      </c>
      <c r="L317" s="11">
        <v>42431</v>
      </c>
      <c r="M317" s="9">
        <v>3696</v>
      </c>
      <c r="N317" s="9">
        <v>1015</v>
      </c>
      <c r="O317" s="9">
        <v>1350</v>
      </c>
      <c r="P317" s="9">
        <v>0</v>
      </c>
      <c r="R317" s="11">
        <v>44331</v>
      </c>
      <c r="S317" s="9">
        <v>8820</v>
      </c>
      <c r="T317" s="9">
        <v>134.96</v>
      </c>
      <c r="U317" s="9"/>
    </row>
    <row r="318" spans="2:21" x14ac:dyDescent="0.4">
      <c r="B318" s="16">
        <f t="shared" si="28"/>
        <v>42432</v>
      </c>
      <c r="C318" s="1">
        <f t="shared" si="32"/>
        <v>3719</v>
      </c>
      <c r="D318" s="1">
        <f t="shared" si="33"/>
        <v>1015</v>
      </c>
      <c r="E318" s="1">
        <f t="shared" si="34"/>
        <v>1330</v>
      </c>
      <c r="F318" s="1"/>
      <c r="H318" s="16">
        <f t="shared" si="29"/>
        <v>44338</v>
      </c>
      <c r="I318" s="29">
        <f t="shared" si="30"/>
        <v>8805</v>
      </c>
      <c r="J318" s="1">
        <f t="shared" si="31"/>
        <v>139.49</v>
      </c>
      <c r="L318" s="11">
        <v>42432</v>
      </c>
      <c r="M318" s="9">
        <v>3719</v>
      </c>
      <c r="N318" s="9">
        <v>1015</v>
      </c>
      <c r="O318" s="9">
        <v>1330</v>
      </c>
      <c r="P318" s="9">
        <v>0</v>
      </c>
      <c r="R318" s="11">
        <v>44338</v>
      </c>
      <c r="S318" s="9">
        <v>8805</v>
      </c>
      <c r="T318" s="9">
        <v>139.49</v>
      </c>
      <c r="U318" s="9"/>
    </row>
    <row r="319" spans="2:21" x14ac:dyDescent="0.4">
      <c r="B319" s="16">
        <f t="shared" si="28"/>
        <v>42433</v>
      </c>
      <c r="C319" s="1">
        <f t="shared" si="32"/>
        <v>3746</v>
      </c>
      <c r="D319" s="1">
        <f t="shared" si="33"/>
        <v>1100</v>
      </c>
      <c r="E319" s="1">
        <f t="shared" si="34"/>
        <v>1320</v>
      </c>
      <c r="F319" s="1"/>
      <c r="H319" s="16">
        <f t="shared" si="29"/>
        <v>44345</v>
      </c>
      <c r="I319" s="29">
        <f t="shared" si="30"/>
        <v>8600</v>
      </c>
      <c r="J319" s="1">
        <f t="shared" si="31"/>
        <v>149.91999999999999</v>
      </c>
      <c r="L319" s="11">
        <v>42433</v>
      </c>
      <c r="M319" s="9">
        <v>3746</v>
      </c>
      <c r="N319" s="9">
        <v>1100</v>
      </c>
      <c r="O319" s="9">
        <v>1320</v>
      </c>
      <c r="P319" s="9">
        <v>0</v>
      </c>
      <c r="R319" s="11">
        <v>44345</v>
      </c>
      <c r="S319" s="9">
        <v>8600</v>
      </c>
      <c r="T319" s="9">
        <v>149.91999999999999</v>
      </c>
      <c r="U319" s="9"/>
    </row>
    <row r="320" spans="2:21" x14ac:dyDescent="0.4">
      <c r="B320" s="16">
        <f t="shared" si="28"/>
        <v>42436</v>
      </c>
      <c r="C320" s="1">
        <f t="shared" si="32"/>
        <v>3800</v>
      </c>
      <c r="D320" s="1">
        <f t="shared" si="33"/>
        <v>1100</v>
      </c>
      <c r="E320" s="1">
        <f t="shared" si="34"/>
        <v>1320</v>
      </c>
      <c r="F320" s="1"/>
      <c r="H320" s="16">
        <f t="shared" si="29"/>
        <v>44352</v>
      </c>
      <c r="I320" s="29">
        <f t="shared" si="30"/>
        <v>8530</v>
      </c>
      <c r="J320" s="1">
        <f t="shared" si="31"/>
        <v>153.84</v>
      </c>
      <c r="L320" s="11">
        <v>42436</v>
      </c>
      <c r="M320" s="9">
        <v>3800</v>
      </c>
      <c r="N320" s="9">
        <v>1100</v>
      </c>
      <c r="O320" s="9">
        <v>1320</v>
      </c>
      <c r="P320" s="9">
        <v>0</v>
      </c>
      <c r="R320" s="11">
        <v>44352</v>
      </c>
      <c r="S320" s="9">
        <v>8530</v>
      </c>
      <c r="T320" s="9">
        <v>153.84</v>
      </c>
      <c r="U320" s="9"/>
    </row>
    <row r="321" spans="2:21" x14ac:dyDescent="0.4">
      <c r="B321" s="16">
        <f t="shared" si="28"/>
        <v>42437</v>
      </c>
      <c r="C321" s="1">
        <f t="shared" si="32"/>
        <v>3833</v>
      </c>
      <c r="D321" s="1">
        <f t="shared" si="33"/>
        <v>1100</v>
      </c>
      <c r="E321" s="1">
        <f t="shared" si="34"/>
        <v>1320</v>
      </c>
      <c r="F321" s="1"/>
      <c r="H321" s="16">
        <f t="shared" si="29"/>
        <v>44359</v>
      </c>
      <c r="I321" s="29">
        <f t="shared" si="30"/>
        <v>8470</v>
      </c>
      <c r="J321" s="1">
        <f t="shared" si="31"/>
        <v>154.94999999999999</v>
      </c>
      <c r="L321" s="11">
        <v>42437</v>
      </c>
      <c r="M321" s="9">
        <v>3833</v>
      </c>
      <c r="N321" s="9">
        <v>1100</v>
      </c>
      <c r="O321" s="9">
        <v>1320</v>
      </c>
      <c r="P321" s="9">
        <v>0</v>
      </c>
      <c r="R321" s="11">
        <v>44359</v>
      </c>
      <c r="S321" s="9">
        <v>8470</v>
      </c>
      <c r="T321" s="9">
        <v>154.94999999999999</v>
      </c>
      <c r="U321" s="9"/>
    </row>
    <row r="322" spans="2:21" x14ac:dyDescent="0.4">
      <c r="B322" s="16">
        <f t="shared" si="28"/>
        <v>42438</v>
      </c>
      <c r="C322" s="1">
        <f t="shared" si="32"/>
        <v>3829</v>
      </c>
      <c r="D322" s="1">
        <f t="shared" si="33"/>
        <v>1100</v>
      </c>
      <c r="E322" s="1">
        <f t="shared" si="34"/>
        <v>1320</v>
      </c>
      <c r="F322" s="1"/>
      <c r="H322" s="16">
        <f t="shared" si="29"/>
        <v>44366</v>
      </c>
      <c r="I322" s="29">
        <f t="shared" si="30"/>
        <v>8475</v>
      </c>
      <c r="J322" s="1">
        <f t="shared" si="31"/>
        <v>154.94999999999999</v>
      </c>
      <c r="L322" s="11">
        <v>42438</v>
      </c>
      <c r="M322" s="9">
        <v>3829</v>
      </c>
      <c r="N322" s="9">
        <v>1100</v>
      </c>
      <c r="O322" s="9">
        <v>1320</v>
      </c>
      <c r="P322" s="9">
        <v>0</v>
      </c>
      <c r="R322" s="11">
        <v>44366</v>
      </c>
      <c r="S322" s="9">
        <v>8475</v>
      </c>
      <c r="T322" s="9">
        <v>154.94999999999999</v>
      </c>
      <c r="U322" s="9"/>
    </row>
    <row r="323" spans="2:21" x14ac:dyDescent="0.4">
      <c r="B323" s="16">
        <f t="shared" si="28"/>
        <v>42439</v>
      </c>
      <c r="C323" s="1">
        <f t="shared" si="32"/>
        <v>3843</v>
      </c>
      <c r="D323" s="1">
        <f t="shared" si="33"/>
        <v>1100</v>
      </c>
      <c r="E323" s="1">
        <f t="shared" si="34"/>
        <v>1320</v>
      </c>
      <c r="F323" s="1"/>
      <c r="H323" s="16">
        <f t="shared" si="29"/>
        <v>44373</v>
      </c>
      <c r="I323" s="29">
        <f t="shared" si="30"/>
        <v>8540</v>
      </c>
      <c r="J323" s="1">
        <f t="shared" si="31"/>
        <v>158.86000000000001</v>
      </c>
      <c r="L323" s="11">
        <v>42439</v>
      </c>
      <c r="M323" s="9">
        <v>3843</v>
      </c>
      <c r="N323" s="9">
        <v>1100</v>
      </c>
      <c r="O323" s="9">
        <v>1320</v>
      </c>
      <c r="P323" s="9">
        <v>0</v>
      </c>
      <c r="R323" s="11">
        <v>44373</v>
      </c>
      <c r="S323" s="9">
        <v>8540</v>
      </c>
      <c r="T323" s="9">
        <v>158.86000000000001</v>
      </c>
      <c r="U323" s="9"/>
    </row>
    <row r="324" spans="2:21" x14ac:dyDescent="0.4">
      <c r="B324" s="16">
        <f t="shared" si="28"/>
        <v>42440</v>
      </c>
      <c r="C324" s="1">
        <f t="shared" si="32"/>
        <v>3829</v>
      </c>
      <c r="D324" s="1">
        <f t="shared" si="33"/>
        <v>1160</v>
      </c>
      <c r="E324" s="1">
        <f t="shared" si="34"/>
        <v>1320</v>
      </c>
      <c r="F324" s="1"/>
      <c r="H324" s="16">
        <f t="shared" si="29"/>
        <v>44380</v>
      </c>
      <c r="I324" s="29">
        <f t="shared" si="30"/>
        <v>8800</v>
      </c>
      <c r="J324" s="1">
        <f t="shared" si="31"/>
        <v>158.86000000000001</v>
      </c>
      <c r="L324" s="11">
        <v>42440</v>
      </c>
      <c r="M324" s="9">
        <v>3829</v>
      </c>
      <c r="N324" s="9">
        <v>1160</v>
      </c>
      <c r="O324" s="9">
        <v>1320</v>
      </c>
      <c r="P324" s="9">
        <v>0</v>
      </c>
      <c r="R324" s="11">
        <v>44380</v>
      </c>
      <c r="S324" s="9">
        <v>8800</v>
      </c>
      <c r="T324" s="9">
        <v>158.86000000000001</v>
      </c>
      <c r="U324" s="9"/>
    </row>
    <row r="325" spans="2:21" x14ac:dyDescent="0.4">
      <c r="B325" s="16">
        <f t="shared" si="28"/>
        <v>42443</v>
      </c>
      <c r="C325" s="1">
        <f t="shared" si="32"/>
        <v>3827</v>
      </c>
      <c r="D325" s="1">
        <f t="shared" si="33"/>
        <v>1160</v>
      </c>
      <c r="E325" s="1">
        <f t="shared" si="34"/>
        <v>1320</v>
      </c>
      <c r="F325" s="1"/>
      <c r="H325" s="16">
        <f t="shared" si="29"/>
        <v>44387</v>
      </c>
      <c r="I325" s="29">
        <f t="shared" si="30"/>
        <v>9170</v>
      </c>
      <c r="J325" s="1">
        <f t="shared" si="31"/>
        <v>160.16999999999999</v>
      </c>
      <c r="L325" s="11">
        <v>42443</v>
      </c>
      <c r="M325" s="9">
        <v>3827</v>
      </c>
      <c r="N325" s="9">
        <v>1160</v>
      </c>
      <c r="O325" s="9">
        <v>1320</v>
      </c>
      <c r="P325" s="9">
        <v>0</v>
      </c>
      <c r="R325" s="11">
        <v>44387</v>
      </c>
      <c r="S325" s="9">
        <v>9170</v>
      </c>
      <c r="T325" s="9">
        <v>160.16999999999999</v>
      </c>
      <c r="U325" s="9"/>
    </row>
    <row r="326" spans="2:21" x14ac:dyDescent="0.4">
      <c r="B326" s="16">
        <f t="shared" ref="B326:B389" si="35">L326</f>
        <v>42444</v>
      </c>
      <c r="C326" s="1">
        <f t="shared" si="32"/>
        <v>3825</v>
      </c>
      <c r="D326" s="1">
        <f t="shared" si="33"/>
        <v>1180</v>
      </c>
      <c r="E326" s="1">
        <f t="shared" si="34"/>
        <v>1320</v>
      </c>
      <c r="F326" s="1"/>
      <c r="H326" s="16">
        <f t="shared" ref="H326:H389" si="36">R326</f>
        <v>44394</v>
      </c>
      <c r="I326" s="29">
        <f t="shared" ref="I326:I389" si="37">IF(S326&lt;&gt;0,S326,I325)</f>
        <v>9240</v>
      </c>
      <c r="J326" s="1">
        <f t="shared" ref="J326:J389" si="38">IF(T326&lt;&gt;0,T326,J325)</f>
        <v>165.21</v>
      </c>
      <c r="L326" s="11">
        <v>42444</v>
      </c>
      <c r="M326" s="9">
        <v>3825</v>
      </c>
      <c r="N326" s="9">
        <v>1180</v>
      </c>
      <c r="O326" s="9">
        <v>1320</v>
      </c>
      <c r="P326" s="9">
        <v>0</v>
      </c>
      <c r="R326" s="11">
        <v>44394</v>
      </c>
      <c r="S326" s="9">
        <v>9240</v>
      </c>
      <c r="T326" s="9">
        <v>165.21</v>
      </c>
      <c r="U326" s="9"/>
    </row>
    <row r="327" spans="2:21" x14ac:dyDescent="0.4">
      <c r="B327" s="16">
        <f t="shared" si="35"/>
        <v>42445</v>
      </c>
      <c r="C327" s="1">
        <f t="shared" ref="C327:C390" si="39">IF(M327&lt;&gt;0,M327,C326)</f>
        <v>3813</v>
      </c>
      <c r="D327" s="1">
        <f t="shared" ref="D327:D390" si="40">IF(N327&lt;&gt;0,N327,D326)</f>
        <v>1190</v>
      </c>
      <c r="E327" s="1">
        <f t="shared" ref="E327:E390" si="41">IF(O327&lt;&gt;0,O327,E326)</f>
        <v>1320</v>
      </c>
      <c r="F327" s="1"/>
      <c r="H327" s="16">
        <f t="shared" si="36"/>
        <v>44401</v>
      </c>
      <c r="I327" s="29">
        <f t="shared" si="37"/>
        <v>9340</v>
      </c>
      <c r="J327" s="1">
        <f t="shared" si="38"/>
        <v>165.31</v>
      </c>
      <c r="L327" s="11">
        <v>42445</v>
      </c>
      <c r="M327" s="9">
        <v>3813</v>
      </c>
      <c r="N327" s="9">
        <v>1190</v>
      </c>
      <c r="O327" s="9">
        <v>1320</v>
      </c>
      <c r="P327" s="9">
        <v>0</v>
      </c>
      <c r="R327" s="11">
        <v>44401</v>
      </c>
      <c r="S327" s="9">
        <v>9340</v>
      </c>
      <c r="T327" s="9">
        <v>165.31</v>
      </c>
      <c r="U327" s="9"/>
    </row>
    <row r="328" spans="2:21" x14ac:dyDescent="0.4">
      <c r="B328" s="16">
        <f t="shared" si="35"/>
        <v>42446</v>
      </c>
      <c r="C328" s="1">
        <f t="shared" si="39"/>
        <v>3841</v>
      </c>
      <c r="D328" s="1">
        <f t="shared" si="40"/>
        <v>1205</v>
      </c>
      <c r="E328" s="1">
        <f t="shared" si="41"/>
        <v>1320</v>
      </c>
      <c r="F328" s="1"/>
      <c r="H328" s="16">
        <f t="shared" si="36"/>
        <v>44408</v>
      </c>
      <c r="I328" s="29">
        <f t="shared" si="37"/>
        <v>9395</v>
      </c>
      <c r="J328" s="1">
        <f t="shared" si="38"/>
        <v>165.31</v>
      </c>
      <c r="L328" s="11">
        <v>42446</v>
      </c>
      <c r="M328" s="9">
        <v>3841</v>
      </c>
      <c r="N328" s="9">
        <v>1205</v>
      </c>
      <c r="O328" s="9">
        <v>1320</v>
      </c>
      <c r="P328" s="9">
        <v>0</v>
      </c>
      <c r="R328" s="11">
        <v>44408</v>
      </c>
      <c r="S328" s="9">
        <v>9395</v>
      </c>
      <c r="T328" s="9">
        <v>165.31</v>
      </c>
      <c r="U328" s="9"/>
    </row>
    <row r="329" spans="2:21" x14ac:dyDescent="0.4">
      <c r="B329" s="16">
        <f t="shared" si="35"/>
        <v>42447</v>
      </c>
      <c r="C329" s="1">
        <f t="shared" si="39"/>
        <v>3890</v>
      </c>
      <c r="D329" s="1">
        <f t="shared" si="40"/>
        <v>1205</v>
      </c>
      <c r="E329" s="1">
        <f t="shared" si="41"/>
        <v>1350</v>
      </c>
      <c r="F329" s="1"/>
      <c r="H329" s="16">
        <f t="shared" si="36"/>
        <v>44415</v>
      </c>
      <c r="I329" s="29">
        <f t="shared" si="37"/>
        <v>9345</v>
      </c>
      <c r="J329" s="1">
        <f t="shared" si="38"/>
        <v>165.49</v>
      </c>
      <c r="L329" s="11">
        <v>42447</v>
      </c>
      <c r="M329" s="9">
        <v>3890</v>
      </c>
      <c r="N329" s="9">
        <v>1205</v>
      </c>
      <c r="O329" s="9">
        <v>1350</v>
      </c>
      <c r="P329" s="9">
        <v>0</v>
      </c>
      <c r="R329" s="11">
        <v>44415</v>
      </c>
      <c r="S329" s="9">
        <v>9345</v>
      </c>
      <c r="T329" s="9">
        <v>165.49</v>
      </c>
      <c r="U329" s="9"/>
    </row>
    <row r="330" spans="2:21" x14ac:dyDescent="0.4">
      <c r="B330" s="16">
        <f t="shared" si="35"/>
        <v>42450</v>
      </c>
      <c r="C330" s="1">
        <f t="shared" si="39"/>
        <v>3901</v>
      </c>
      <c r="D330" s="1">
        <f t="shared" si="40"/>
        <v>1205</v>
      </c>
      <c r="E330" s="1">
        <f t="shared" si="41"/>
        <v>1350</v>
      </c>
      <c r="F330" s="1"/>
      <c r="H330" s="16">
        <f t="shared" si="36"/>
        <v>44422</v>
      </c>
      <c r="I330" s="29">
        <f t="shared" si="37"/>
        <v>9245</v>
      </c>
      <c r="J330" s="1">
        <f t="shared" si="38"/>
        <v>165.67</v>
      </c>
      <c r="L330" s="11">
        <v>42450</v>
      </c>
      <c r="M330" s="9">
        <v>3901</v>
      </c>
      <c r="N330" s="9">
        <v>1205</v>
      </c>
      <c r="O330" s="9">
        <v>1350</v>
      </c>
      <c r="P330" s="9">
        <v>0</v>
      </c>
      <c r="R330" s="11">
        <v>44422</v>
      </c>
      <c r="S330" s="9">
        <v>9245</v>
      </c>
      <c r="T330" s="9">
        <v>165.67</v>
      </c>
      <c r="U330" s="9"/>
    </row>
    <row r="331" spans="2:21" x14ac:dyDescent="0.4">
      <c r="B331" s="16">
        <f t="shared" si="35"/>
        <v>42451</v>
      </c>
      <c r="C331" s="1">
        <f t="shared" si="39"/>
        <v>3890</v>
      </c>
      <c r="D331" s="1">
        <f t="shared" si="40"/>
        <v>1205</v>
      </c>
      <c r="E331" s="1">
        <f t="shared" si="41"/>
        <v>1330</v>
      </c>
      <c r="F331" s="1"/>
      <c r="H331" s="16">
        <f t="shared" si="36"/>
        <v>44429</v>
      </c>
      <c r="I331" s="29">
        <f t="shared" si="37"/>
        <v>9065</v>
      </c>
      <c r="J331" s="1">
        <f t="shared" si="38"/>
        <v>166.02</v>
      </c>
      <c r="L331" s="11">
        <v>42451</v>
      </c>
      <c r="M331" s="9">
        <v>3890</v>
      </c>
      <c r="N331" s="9">
        <v>1205</v>
      </c>
      <c r="O331" s="9">
        <v>1330</v>
      </c>
      <c r="P331" s="9">
        <v>0</v>
      </c>
      <c r="R331" s="11">
        <v>44429</v>
      </c>
      <c r="S331" s="9">
        <v>9065</v>
      </c>
      <c r="T331" s="9">
        <v>166.02</v>
      </c>
      <c r="U331" s="9"/>
    </row>
    <row r="332" spans="2:21" x14ac:dyDescent="0.4">
      <c r="B332" s="16">
        <f t="shared" si="35"/>
        <v>42452</v>
      </c>
      <c r="C332" s="1">
        <f t="shared" si="39"/>
        <v>3892</v>
      </c>
      <c r="D332" s="1">
        <f t="shared" si="40"/>
        <v>1205</v>
      </c>
      <c r="E332" s="1">
        <f t="shared" si="41"/>
        <v>1330</v>
      </c>
      <c r="F332" s="1"/>
      <c r="H332" s="16">
        <f t="shared" si="36"/>
        <v>44436</v>
      </c>
      <c r="I332" s="29">
        <f t="shared" si="37"/>
        <v>8895</v>
      </c>
      <c r="J332" s="1">
        <f t="shared" si="38"/>
        <v>167.02</v>
      </c>
      <c r="L332" s="11">
        <v>42452</v>
      </c>
      <c r="M332" s="9">
        <v>3892</v>
      </c>
      <c r="N332" s="9">
        <v>1205</v>
      </c>
      <c r="O332" s="9">
        <v>1330</v>
      </c>
      <c r="P332" s="9">
        <v>0</v>
      </c>
      <c r="R332" s="11">
        <v>44436</v>
      </c>
      <c r="S332" s="9">
        <v>8895</v>
      </c>
      <c r="T332" s="9">
        <v>167.02</v>
      </c>
      <c r="U332" s="9"/>
    </row>
    <row r="333" spans="2:21" x14ac:dyDescent="0.4">
      <c r="B333" s="16">
        <f t="shared" si="35"/>
        <v>42453</v>
      </c>
      <c r="C333" s="1">
        <f t="shared" si="39"/>
        <v>3891</v>
      </c>
      <c r="D333" s="1">
        <f t="shared" si="40"/>
        <v>1205</v>
      </c>
      <c r="E333" s="1">
        <f t="shared" si="41"/>
        <v>1370</v>
      </c>
      <c r="F333" s="1"/>
      <c r="H333" s="16">
        <f t="shared" si="36"/>
        <v>44443</v>
      </c>
      <c r="I333" s="29">
        <f t="shared" si="37"/>
        <v>8670</v>
      </c>
      <c r="J333" s="1">
        <f t="shared" si="38"/>
        <v>167.73</v>
      </c>
      <c r="L333" s="11">
        <v>42453</v>
      </c>
      <c r="M333" s="9">
        <v>3891</v>
      </c>
      <c r="N333" s="9">
        <v>1205</v>
      </c>
      <c r="O333" s="9">
        <v>1370</v>
      </c>
      <c r="P333" s="9">
        <v>0</v>
      </c>
      <c r="R333" s="11">
        <v>44443</v>
      </c>
      <c r="S333" s="9">
        <v>8670</v>
      </c>
      <c r="T333" s="9">
        <v>167.73</v>
      </c>
      <c r="U333" s="9"/>
    </row>
    <row r="334" spans="2:21" x14ac:dyDescent="0.4">
      <c r="B334" s="16">
        <f t="shared" si="35"/>
        <v>42454</v>
      </c>
      <c r="C334" s="1">
        <f t="shared" si="39"/>
        <v>3903</v>
      </c>
      <c r="D334" s="1">
        <f t="shared" si="40"/>
        <v>1205</v>
      </c>
      <c r="E334" s="1">
        <f t="shared" si="41"/>
        <v>1390</v>
      </c>
      <c r="F334" s="1"/>
      <c r="H334" s="16">
        <f t="shared" si="36"/>
        <v>44450</v>
      </c>
      <c r="I334" s="29">
        <f t="shared" si="37"/>
        <v>8620</v>
      </c>
      <c r="J334" s="1">
        <f t="shared" si="38"/>
        <v>175</v>
      </c>
      <c r="L334" s="11">
        <v>42454</v>
      </c>
      <c r="M334" s="9">
        <v>3903</v>
      </c>
      <c r="N334" s="9">
        <v>1205</v>
      </c>
      <c r="O334" s="9">
        <v>1390</v>
      </c>
      <c r="P334" s="9">
        <v>0</v>
      </c>
      <c r="R334" s="11">
        <v>44450</v>
      </c>
      <c r="S334" s="9">
        <v>8620</v>
      </c>
      <c r="T334" s="9">
        <v>175</v>
      </c>
      <c r="U334" s="9"/>
    </row>
    <row r="335" spans="2:21" x14ac:dyDescent="0.4">
      <c r="B335" s="16">
        <f t="shared" si="35"/>
        <v>42457</v>
      </c>
      <c r="C335" s="1">
        <f t="shared" si="39"/>
        <v>3915</v>
      </c>
      <c r="D335" s="1">
        <f t="shared" si="40"/>
        <v>1205</v>
      </c>
      <c r="E335" s="1">
        <f t="shared" si="41"/>
        <v>1390</v>
      </c>
      <c r="F335" s="1"/>
      <c r="H335" s="16">
        <f t="shared" si="36"/>
        <v>44457</v>
      </c>
      <c r="I335" s="29">
        <f t="shared" si="37"/>
        <v>8604.1666666666661</v>
      </c>
      <c r="J335" s="1">
        <f t="shared" si="38"/>
        <v>175</v>
      </c>
      <c r="L335" s="11">
        <v>42457</v>
      </c>
      <c r="M335" s="9">
        <v>3915</v>
      </c>
      <c r="N335" s="9">
        <v>1205</v>
      </c>
      <c r="O335" s="9">
        <v>1390</v>
      </c>
      <c r="P335" s="9">
        <v>0</v>
      </c>
      <c r="R335" s="11">
        <v>44457</v>
      </c>
      <c r="S335" s="9">
        <v>8604.1666666666661</v>
      </c>
      <c r="T335" s="9">
        <v>0</v>
      </c>
      <c r="U335" s="9"/>
    </row>
    <row r="336" spans="2:21" x14ac:dyDescent="0.4">
      <c r="B336" s="16">
        <f t="shared" si="35"/>
        <v>42458</v>
      </c>
      <c r="C336" s="1">
        <f t="shared" si="39"/>
        <v>3920</v>
      </c>
      <c r="D336" s="1">
        <f t="shared" si="40"/>
        <v>1205</v>
      </c>
      <c r="E336" s="1">
        <f t="shared" si="41"/>
        <v>1400</v>
      </c>
      <c r="F336" s="1"/>
      <c r="H336" s="16">
        <f t="shared" si="36"/>
        <v>44464</v>
      </c>
      <c r="I336" s="29">
        <f t="shared" si="37"/>
        <v>8616.6666666666661</v>
      </c>
      <c r="J336" s="1">
        <f t="shared" si="38"/>
        <v>175</v>
      </c>
      <c r="L336" s="11">
        <v>42458</v>
      </c>
      <c r="M336" s="9">
        <v>3920</v>
      </c>
      <c r="N336" s="9">
        <v>1205</v>
      </c>
      <c r="O336" s="9">
        <v>1400</v>
      </c>
      <c r="P336" s="9">
        <v>0</v>
      </c>
      <c r="R336" s="11">
        <v>44464</v>
      </c>
      <c r="S336" s="9">
        <v>8616.6666666666661</v>
      </c>
      <c r="T336" s="9">
        <v>0</v>
      </c>
      <c r="U336" s="9"/>
    </row>
    <row r="337" spans="2:21" x14ac:dyDescent="0.4">
      <c r="B337" s="16">
        <f t="shared" si="35"/>
        <v>42459</v>
      </c>
      <c r="C337" s="1">
        <f t="shared" si="39"/>
        <v>3936</v>
      </c>
      <c r="D337" s="1">
        <f t="shared" si="40"/>
        <v>1205</v>
      </c>
      <c r="E337" s="1">
        <f t="shared" si="41"/>
        <v>1400</v>
      </c>
      <c r="F337" s="1"/>
      <c r="H337" s="16">
        <f t="shared" si="36"/>
        <v>44471</v>
      </c>
      <c r="I337" s="29">
        <f t="shared" si="37"/>
        <v>9105</v>
      </c>
      <c r="J337" s="1">
        <f t="shared" si="38"/>
        <v>224.61</v>
      </c>
      <c r="L337" s="11">
        <v>42459</v>
      </c>
      <c r="M337" s="9">
        <v>3936</v>
      </c>
      <c r="N337" s="9">
        <v>1205</v>
      </c>
      <c r="O337" s="9">
        <v>1400</v>
      </c>
      <c r="P337" s="9">
        <v>0</v>
      </c>
      <c r="R337" s="11">
        <v>44471</v>
      </c>
      <c r="S337" s="9">
        <v>9105</v>
      </c>
      <c r="T337" s="9">
        <v>224.61</v>
      </c>
      <c r="U337" s="9"/>
    </row>
    <row r="338" spans="2:21" x14ac:dyDescent="0.4">
      <c r="B338" s="16">
        <f t="shared" si="35"/>
        <v>42460</v>
      </c>
      <c r="C338" s="1">
        <f t="shared" si="39"/>
        <v>3929</v>
      </c>
      <c r="D338" s="1">
        <f t="shared" si="40"/>
        <v>1205</v>
      </c>
      <c r="E338" s="1">
        <f t="shared" si="41"/>
        <v>1400</v>
      </c>
      <c r="F338" s="1"/>
      <c r="H338" s="16">
        <f t="shared" si="36"/>
        <v>44478</v>
      </c>
      <c r="I338" s="29">
        <f t="shared" si="37"/>
        <v>9775</v>
      </c>
      <c r="J338" s="1">
        <f t="shared" si="38"/>
        <v>224.61</v>
      </c>
      <c r="L338" s="11">
        <v>42460</v>
      </c>
      <c r="M338" s="9">
        <v>3929</v>
      </c>
      <c r="N338" s="9">
        <v>1205</v>
      </c>
      <c r="O338" s="9">
        <v>1400</v>
      </c>
      <c r="P338" s="9">
        <v>0</v>
      </c>
      <c r="R338" s="11">
        <v>44478</v>
      </c>
      <c r="S338" s="9">
        <v>9775</v>
      </c>
      <c r="T338" s="9">
        <v>0</v>
      </c>
      <c r="U338" s="9"/>
    </row>
    <row r="339" spans="2:21" x14ac:dyDescent="0.4">
      <c r="B339" s="16">
        <f t="shared" si="35"/>
        <v>42461</v>
      </c>
      <c r="C339" s="1">
        <f t="shared" si="39"/>
        <v>3937</v>
      </c>
      <c r="D339" s="1">
        <f t="shared" si="40"/>
        <v>1205</v>
      </c>
      <c r="E339" s="1">
        <f t="shared" si="41"/>
        <v>1400</v>
      </c>
      <c r="F339" s="1"/>
      <c r="H339" s="16">
        <f t="shared" si="36"/>
        <v>44485</v>
      </c>
      <c r="I339" s="29">
        <f t="shared" si="37"/>
        <v>10455</v>
      </c>
      <c r="J339" s="1">
        <f t="shared" si="38"/>
        <v>224.61</v>
      </c>
      <c r="L339" s="11">
        <v>42461</v>
      </c>
      <c r="M339" s="9">
        <v>3937</v>
      </c>
      <c r="N339" s="9">
        <v>1205</v>
      </c>
      <c r="O339" s="9">
        <v>1400</v>
      </c>
      <c r="P339" s="9">
        <v>0</v>
      </c>
      <c r="R339" s="11">
        <v>44485</v>
      </c>
      <c r="S339" s="9">
        <v>10455</v>
      </c>
      <c r="T339" s="9">
        <v>0</v>
      </c>
      <c r="U339" s="9"/>
    </row>
    <row r="340" spans="2:21" x14ac:dyDescent="0.4">
      <c r="B340" s="16">
        <f t="shared" si="35"/>
        <v>42464</v>
      </c>
      <c r="C340" s="1">
        <f t="shared" si="39"/>
        <v>3937</v>
      </c>
      <c r="D340" s="1">
        <f t="shared" si="40"/>
        <v>1205</v>
      </c>
      <c r="E340" s="1">
        <f t="shared" si="41"/>
        <v>1400</v>
      </c>
      <c r="F340" s="1"/>
      <c r="H340" s="16">
        <f t="shared" si="36"/>
        <v>44492</v>
      </c>
      <c r="I340" s="29">
        <f t="shared" si="37"/>
        <v>10890</v>
      </c>
      <c r="J340" s="1">
        <f t="shared" si="38"/>
        <v>224.61</v>
      </c>
      <c r="L340" s="11">
        <v>42464</v>
      </c>
      <c r="M340" s="9">
        <v>0</v>
      </c>
      <c r="N340" s="9">
        <v>1205</v>
      </c>
      <c r="O340" s="9">
        <v>0</v>
      </c>
      <c r="P340" s="9">
        <v>0</v>
      </c>
      <c r="R340" s="11">
        <v>44492</v>
      </c>
      <c r="S340" s="9">
        <v>10890</v>
      </c>
      <c r="T340" s="9">
        <v>0</v>
      </c>
      <c r="U340" s="9"/>
    </row>
    <row r="341" spans="2:21" x14ac:dyDescent="0.4">
      <c r="B341" s="16">
        <f t="shared" si="35"/>
        <v>42465</v>
      </c>
      <c r="C341" s="1">
        <f t="shared" si="39"/>
        <v>3933</v>
      </c>
      <c r="D341" s="1">
        <f t="shared" si="40"/>
        <v>1200</v>
      </c>
      <c r="E341" s="1">
        <f t="shared" si="41"/>
        <v>1400</v>
      </c>
      <c r="F341" s="1"/>
      <c r="H341" s="16">
        <f t="shared" si="36"/>
        <v>44499</v>
      </c>
      <c r="I341" s="29">
        <f t="shared" si="37"/>
        <v>10690</v>
      </c>
      <c r="J341" s="1">
        <f t="shared" si="38"/>
        <v>261.36</v>
      </c>
      <c r="L341" s="11">
        <v>42465</v>
      </c>
      <c r="M341" s="9">
        <v>3933</v>
      </c>
      <c r="N341" s="9">
        <v>1200</v>
      </c>
      <c r="O341" s="9">
        <v>1400</v>
      </c>
      <c r="P341" s="9">
        <v>0</v>
      </c>
      <c r="R341" s="11">
        <v>44499</v>
      </c>
      <c r="S341" s="9">
        <v>10690</v>
      </c>
      <c r="T341" s="9">
        <v>261.36</v>
      </c>
      <c r="U341" s="9"/>
    </row>
    <row r="342" spans="2:21" x14ac:dyDescent="0.4">
      <c r="B342" s="16">
        <f t="shared" si="35"/>
        <v>42466</v>
      </c>
      <c r="C342" s="1">
        <f t="shared" si="39"/>
        <v>3924</v>
      </c>
      <c r="D342" s="1">
        <f t="shared" si="40"/>
        <v>1195</v>
      </c>
      <c r="E342" s="1">
        <f t="shared" si="41"/>
        <v>1400</v>
      </c>
      <c r="F342" s="1"/>
      <c r="H342" s="16">
        <f t="shared" si="36"/>
        <v>44506</v>
      </c>
      <c r="I342" s="29">
        <f t="shared" si="37"/>
        <v>10140</v>
      </c>
      <c r="J342" s="1">
        <f t="shared" si="38"/>
        <v>259.02999999999997</v>
      </c>
      <c r="L342" s="11">
        <v>42466</v>
      </c>
      <c r="M342" s="9">
        <v>3924</v>
      </c>
      <c r="N342" s="9">
        <v>1195</v>
      </c>
      <c r="O342" s="9">
        <v>1400</v>
      </c>
      <c r="P342" s="9">
        <v>0</v>
      </c>
      <c r="R342" s="11">
        <v>44506</v>
      </c>
      <c r="S342" s="9">
        <v>10140</v>
      </c>
      <c r="T342" s="9">
        <v>259.02999999999997</v>
      </c>
      <c r="U342" s="9"/>
    </row>
    <row r="343" spans="2:21" x14ac:dyDescent="0.4">
      <c r="B343" s="16">
        <f t="shared" si="35"/>
        <v>42467</v>
      </c>
      <c r="C343" s="1">
        <f t="shared" si="39"/>
        <v>3918</v>
      </c>
      <c r="D343" s="1">
        <f t="shared" si="40"/>
        <v>1195</v>
      </c>
      <c r="E343" s="1">
        <f t="shared" si="41"/>
        <v>1370</v>
      </c>
      <c r="F343" s="1"/>
      <c r="H343" s="16">
        <f t="shared" si="36"/>
        <v>44513</v>
      </c>
      <c r="I343" s="29">
        <f t="shared" si="37"/>
        <v>9790</v>
      </c>
      <c r="J343" s="1">
        <f t="shared" si="38"/>
        <v>259.74</v>
      </c>
      <c r="L343" s="11">
        <v>42467</v>
      </c>
      <c r="M343" s="9">
        <v>3918</v>
      </c>
      <c r="N343" s="9">
        <v>1195</v>
      </c>
      <c r="O343" s="9">
        <v>1370</v>
      </c>
      <c r="P343" s="9">
        <v>0</v>
      </c>
      <c r="R343" s="11">
        <v>44513</v>
      </c>
      <c r="S343" s="9">
        <v>9790</v>
      </c>
      <c r="T343" s="9">
        <v>259.74</v>
      </c>
      <c r="U343" s="9"/>
    </row>
    <row r="344" spans="2:21" x14ac:dyDescent="0.4">
      <c r="B344" s="16">
        <f t="shared" si="35"/>
        <v>42468</v>
      </c>
      <c r="C344" s="1">
        <f t="shared" si="39"/>
        <v>3913</v>
      </c>
      <c r="D344" s="1">
        <f t="shared" si="40"/>
        <v>1200</v>
      </c>
      <c r="E344" s="1">
        <f t="shared" si="41"/>
        <v>1360</v>
      </c>
      <c r="F344" s="1"/>
      <c r="H344" s="16">
        <f t="shared" si="36"/>
        <v>44520</v>
      </c>
      <c r="I344" s="29">
        <f t="shared" si="37"/>
        <v>9370</v>
      </c>
      <c r="J344" s="1">
        <f t="shared" si="38"/>
        <v>261.86</v>
      </c>
      <c r="L344" s="11">
        <v>42468</v>
      </c>
      <c r="M344" s="9">
        <v>3913</v>
      </c>
      <c r="N344" s="9">
        <v>1200</v>
      </c>
      <c r="O344" s="9">
        <v>1360</v>
      </c>
      <c r="P344" s="9">
        <v>0</v>
      </c>
      <c r="R344" s="11">
        <v>44520</v>
      </c>
      <c r="S344" s="9">
        <v>9370</v>
      </c>
      <c r="T344" s="9">
        <v>261.86</v>
      </c>
      <c r="U344" s="9"/>
    </row>
    <row r="345" spans="2:21" x14ac:dyDescent="0.4">
      <c r="B345" s="16">
        <f t="shared" si="35"/>
        <v>42471</v>
      </c>
      <c r="C345" s="1">
        <f t="shared" si="39"/>
        <v>3918</v>
      </c>
      <c r="D345" s="1">
        <f t="shared" si="40"/>
        <v>1200</v>
      </c>
      <c r="E345" s="1">
        <f t="shared" si="41"/>
        <v>1360</v>
      </c>
      <c r="F345" s="1"/>
      <c r="H345" s="16">
        <f t="shared" si="36"/>
        <v>44527</v>
      </c>
      <c r="I345" s="29">
        <f t="shared" si="37"/>
        <v>9025</v>
      </c>
      <c r="J345" s="1">
        <f t="shared" si="38"/>
        <v>267.29000000000002</v>
      </c>
      <c r="L345" s="11">
        <v>42471</v>
      </c>
      <c r="M345" s="9">
        <v>3918</v>
      </c>
      <c r="N345" s="9">
        <v>1200</v>
      </c>
      <c r="O345" s="9">
        <v>1360</v>
      </c>
      <c r="P345" s="9">
        <v>0</v>
      </c>
      <c r="R345" s="11">
        <v>44527</v>
      </c>
      <c r="S345" s="9">
        <v>9025</v>
      </c>
      <c r="T345" s="9">
        <v>267.29000000000002</v>
      </c>
      <c r="U345" s="9"/>
    </row>
    <row r="346" spans="2:21" x14ac:dyDescent="0.4">
      <c r="B346" s="16">
        <f t="shared" si="35"/>
        <v>42472</v>
      </c>
      <c r="C346" s="1">
        <f t="shared" si="39"/>
        <v>3904</v>
      </c>
      <c r="D346" s="1">
        <f t="shared" si="40"/>
        <v>1200</v>
      </c>
      <c r="E346" s="1">
        <f t="shared" si="41"/>
        <v>1360</v>
      </c>
      <c r="F346" s="1"/>
      <c r="H346" s="16">
        <f t="shared" si="36"/>
        <v>44534</v>
      </c>
      <c r="I346" s="29">
        <f t="shared" si="37"/>
        <v>8830</v>
      </c>
      <c r="J346" s="1">
        <f t="shared" si="38"/>
        <v>267.29000000000002</v>
      </c>
      <c r="L346" s="11">
        <v>42472</v>
      </c>
      <c r="M346" s="9">
        <v>3904</v>
      </c>
      <c r="N346" s="9">
        <v>1200</v>
      </c>
      <c r="O346" s="9">
        <v>1360</v>
      </c>
      <c r="P346" s="9">
        <v>0</v>
      </c>
      <c r="R346" s="11">
        <v>44534</v>
      </c>
      <c r="S346" s="9">
        <v>8830</v>
      </c>
      <c r="T346" s="9">
        <v>267.29000000000002</v>
      </c>
      <c r="U346" s="9"/>
    </row>
    <row r="347" spans="2:21" x14ac:dyDescent="0.4">
      <c r="B347" s="16">
        <f t="shared" si="35"/>
        <v>42473</v>
      </c>
      <c r="C347" s="1">
        <f t="shared" si="39"/>
        <v>3909</v>
      </c>
      <c r="D347" s="1">
        <f t="shared" si="40"/>
        <v>1200</v>
      </c>
      <c r="E347" s="1">
        <f t="shared" si="41"/>
        <v>1350</v>
      </c>
      <c r="F347" s="1"/>
      <c r="H347" s="16">
        <f t="shared" si="36"/>
        <v>44541</v>
      </c>
      <c r="I347" s="29">
        <f t="shared" si="37"/>
        <v>8620</v>
      </c>
      <c r="J347" s="1">
        <f t="shared" si="38"/>
        <v>267.60000000000002</v>
      </c>
      <c r="L347" s="11">
        <v>42473</v>
      </c>
      <c r="M347" s="9">
        <v>3909</v>
      </c>
      <c r="N347" s="9">
        <v>1200</v>
      </c>
      <c r="O347" s="9">
        <v>1350</v>
      </c>
      <c r="P347" s="9">
        <v>0</v>
      </c>
      <c r="R347" s="11">
        <v>44541</v>
      </c>
      <c r="S347" s="9">
        <v>8620</v>
      </c>
      <c r="T347" s="9">
        <v>267.60000000000002</v>
      </c>
      <c r="U347" s="9"/>
    </row>
    <row r="348" spans="2:21" x14ac:dyDescent="0.4">
      <c r="B348" s="16">
        <f t="shared" si="35"/>
        <v>42474</v>
      </c>
      <c r="C348" s="1">
        <f t="shared" si="39"/>
        <v>3911</v>
      </c>
      <c r="D348" s="1">
        <f t="shared" si="40"/>
        <v>1200</v>
      </c>
      <c r="E348" s="1">
        <f t="shared" si="41"/>
        <v>1350</v>
      </c>
      <c r="F348" s="1"/>
      <c r="H348" s="16">
        <f t="shared" si="36"/>
        <v>44548</v>
      </c>
      <c r="I348" s="29">
        <f t="shared" si="37"/>
        <v>8435</v>
      </c>
      <c r="J348" s="1">
        <f t="shared" si="38"/>
        <v>267.60000000000002</v>
      </c>
      <c r="L348" s="11">
        <v>42474</v>
      </c>
      <c r="M348" s="9">
        <v>3911</v>
      </c>
      <c r="N348" s="9">
        <v>1200</v>
      </c>
      <c r="O348" s="9">
        <v>1350</v>
      </c>
      <c r="P348" s="9">
        <v>0</v>
      </c>
      <c r="R348" s="11">
        <v>44548</v>
      </c>
      <c r="S348" s="9">
        <v>8435</v>
      </c>
      <c r="T348" s="9">
        <v>0</v>
      </c>
      <c r="U348" s="9"/>
    </row>
    <row r="349" spans="2:21" x14ac:dyDescent="0.4">
      <c r="B349" s="16">
        <f t="shared" si="35"/>
        <v>42475</v>
      </c>
      <c r="C349" s="1">
        <f t="shared" si="39"/>
        <v>3910</v>
      </c>
      <c r="D349" s="1">
        <f t="shared" si="40"/>
        <v>1200</v>
      </c>
      <c r="E349" s="1">
        <f t="shared" si="41"/>
        <v>1350</v>
      </c>
      <c r="F349" s="1"/>
      <c r="H349" s="16">
        <f t="shared" si="36"/>
        <v>44555</v>
      </c>
      <c r="I349" s="29">
        <f t="shared" si="37"/>
        <v>8410</v>
      </c>
      <c r="J349" s="1">
        <f t="shared" si="38"/>
        <v>267.82</v>
      </c>
      <c r="L349" s="11">
        <v>42475</v>
      </c>
      <c r="M349" s="9">
        <v>3910</v>
      </c>
      <c r="N349" s="9">
        <v>1200</v>
      </c>
      <c r="O349" s="9">
        <v>1350</v>
      </c>
      <c r="P349" s="9">
        <v>0</v>
      </c>
      <c r="R349" s="11">
        <v>44555</v>
      </c>
      <c r="S349" s="9">
        <v>8410</v>
      </c>
      <c r="T349" s="9">
        <v>267.82</v>
      </c>
      <c r="U349" s="9"/>
    </row>
    <row r="350" spans="2:21" x14ac:dyDescent="0.4">
      <c r="B350" s="16">
        <f t="shared" si="35"/>
        <v>42478</v>
      </c>
      <c r="C350" s="1">
        <f t="shared" si="39"/>
        <v>3900</v>
      </c>
      <c r="D350" s="1">
        <f t="shared" si="40"/>
        <v>1200</v>
      </c>
      <c r="E350" s="1">
        <f t="shared" si="41"/>
        <v>1370</v>
      </c>
      <c r="F350" s="1"/>
      <c r="H350" s="16">
        <f t="shared" si="36"/>
        <v>44562</v>
      </c>
      <c r="I350" s="29">
        <f t="shared" si="37"/>
        <v>8565</v>
      </c>
      <c r="J350" s="1">
        <f t="shared" si="38"/>
        <v>267.82</v>
      </c>
      <c r="L350" s="11">
        <v>42478</v>
      </c>
      <c r="M350" s="9">
        <v>3900</v>
      </c>
      <c r="N350" s="9">
        <v>1200</v>
      </c>
      <c r="O350" s="9">
        <v>1370</v>
      </c>
      <c r="P350" s="9">
        <v>0</v>
      </c>
      <c r="R350" s="11">
        <v>44562</v>
      </c>
      <c r="S350" s="9">
        <v>8565</v>
      </c>
      <c r="T350" s="9">
        <v>267.82</v>
      </c>
      <c r="U350" s="9"/>
    </row>
    <row r="351" spans="2:21" x14ac:dyDescent="0.4">
      <c r="B351" s="16">
        <f t="shared" si="35"/>
        <v>42479</v>
      </c>
      <c r="C351" s="1">
        <f t="shared" si="39"/>
        <v>3895</v>
      </c>
      <c r="D351" s="1">
        <f t="shared" si="40"/>
        <v>1200</v>
      </c>
      <c r="E351" s="1">
        <f t="shared" si="41"/>
        <v>1370</v>
      </c>
      <c r="F351" s="1"/>
      <c r="H351" s="16">
        <f t="shared" si="36"/>
        <v>44569</v>
      </c>
      <c r="I351" s="29">
        <f t="shared" si="37"/>
        <v>8781.25</v>
      </c>
      <c r="J351" s="1">
        <f t="shared" si="38"/>
        <v>261</v>
      </c>
      <c r="L351" s="11">
        <v>42479</v>
      </c>
      <c r="M351" s="9">
        <v>3895</v>
      </c>
      <c r="N351" s="9">
        <v>1200</v>
      </c>
      <c r="O351" s="9">
        <v>1370</v>
      </c>
      <c r="P351" s="9">
        <v>0</v>
      </c>
      <c r="R351" s="11">
        <v>44569</v>
      </c>
      <c r="S351" s="9">
        <v>8781.25</v>
      </c>
      <c r="T351" s="9">
        <v>261</v>
      </c>
      <c r="U351" s="9"/>
    </row>
    <row r="352" spans="2:21" x14ac:dyDescent="0.4">
      <c r="B352" s="16">
        <f t="shared" si="35"/>
        <v>42480</v>
      </c>
      <c r="C352" s="1">
        <f t="shared" si="39"/>
        <v>3877</v>
      </c>
      <c r="D352" s="1">
        <f t="shared" si="40"/>
        <v>1200</v>
      </c>
      <c r="E352" s="1">
        <f t="shared" si="41"/>
        <v>1380</v>
      </c>
      <c r="F352" s="1"/>
      <c r="H352" s="16">
        <f t="shared" si="36"/>
        <v>44576</v>
      </c>
      <c r="I352" s="29">
        <f t="shared" si="37"/>
        <v>9070</v>
      </c>
      <c r="J352" s="1">
        <f t="shared" si="38"/>
        <v>255.78</v>
      </c>
      <c r="L352" s="11">
        <v>42480</v>
      </c>
      <c r="M352" s="9">
        <v>3877</v>
      </c>
      <c r="N352" s="9">
        <v>1200</v>
      </c>
      <c r="O352" s="9">
        <v>1380</v>
      </c>
      <c r="P352" s="9">
        <v>0</v>
      </c>
      <c r="R352" s="11">
        <v>44576</v>
      </c>
      <c r="S352" s="9">
        <v>9070</v>
      </c>
      <c r="T352" s="9">
        <v>255.78</v>
      </c>
      <c r="U352" s="9"/>
    </row>
    <row r="353" spans="2:21" x14ac:dyDescent="0.4">
      <c r="B353" s="16">
        <f t="shared" si="35"/>
        <v>42481</v>
      </c>
      <c r="C353" s="1">
        <f t="shared" si="39"/>
        <v>3886</v>
      </c>
      <c r="D353" s="1">
        <f t="shared" si="40"/>
        <v>1200</v>
      </c>
      <c r="E353" s="1">
        <f t="shared" si="41"/>
        <v>1380</v>
      </c>
      <c r="F353" s="1"/>
      <c r="H353" s="16">
        <f t="shared" si="36"/>
        <v>44583</v>
      </c>
      <c r="I353" s="29">
        <f t="shared" si="37"/>
        <v>9300</v>
      </c>
      <c r="J353" s="1">
        <f t="shared" si="38"/>
        <v>255.78</v>
      </c>
      <c r="L353" s="11">
        <v>42481</v>
      </c>
      <c r="M353" s="9">
        <v>3886</v>
      </c>
      <c r="N353" s="9">
        <v>1200</v>
      </c>
      <c r="O353" s="9">
        <v>1380</v>
      </c>
      <c r="P353" s="9">
        <v>0</v>
      </c>
      <c r="R353" s="11">
        <v>44583</v>
      </c>
      <c r="S353" s="9">
        <v>9300</v>
      </c>
      <c r="T353" s="9">
        <v>255.78</v>
      </c>
      <c r="U353" s="9"/>
    </row>
    <row r="354" spans="2:21" x14ac:dyDescent="0.4">
      <c r="B354" s="16">
        <f t="shared" si="35"/>
        <v>42482</v>
      </c>
      <c r="C354" s="1">
        <f t="shared" si="39"/>
        <v>3897</v>
      </c>
      <c r="D354" s="1">
        <f t="shared" si="40"/>
        <v>1190</v>
      </c>
      <c r="E354" s="1">
        <f t="shared" si="41"/>
        <v>1400</v>
      </c>
      <c r="F354" s="1"/>
      <c r="H354" s="16">
        <f t="shared" si="36"/>
        <v>44590</v>
      </c>
      <c r="I354" s="29">
        <f t="shared" si="37"/>
        <v>9316.6666666666661</v>
      </c>
      <c r="J354" s="1">
        <f t="shared" si="38"/>
        <v>255.78</v>
      </c>
      <c r="L354" s="11">
        <v>42482</v>
      </c>
      <c r="M354" s="9">
        <v>3897</v>
      </c>
      <c r="N354" s="9">
        <v>1190</v>
      </c>
      <c r="O354" s="9">
        <v>1400</v>
      </c>
      <c r="P354" s="9">
        <v>0</v>
      </c>
      <c r="R354" s="11">
        <v>44590</v>
      </c>
      <c r="S354" s="9">
        <v>9316.6666666666661</v>
      </c>
      <c r="T354" s="9">
        <v>255.78</v>
      </c>
      <c r="U354" s="9"/>
    </row>
    <row r="355" spans="2:21" x14ac:dyDescent="0.4">
      <c r="B355" s="16">
        <f t="shared" si="35"/>
        <v>42485</v>
      </c>
      <c r="C355" s="1">
        <f t="shared" si="39"/>
        <v>3898</v>
      </c>
      <c r="D355" s="1">
        <f t="shared" si="40"/>
        <v>1190</v>
      </c>
      <c r="E355" s="1">
        <f t="shared" si="41"/>
        <v>1370</v>
      </c>
      <c r="F355" s="1"/>
      <c r="H355" s="16">
        <f t="shared" si="36"/>
        <v>44597</v>
      </c>
      <c r="I355" s="29">
        <f t="shared" si="37"/>
        <v>9350</v>
      </c>
      <c r="J355" s="1">
        <f t="shared" si="38"/>
        <v>255.78</v>
      </c>
      <c r="L355" s="11">
        <v>42485</v>
      </c>
      <c r="M355" s="9">
        <v>3898</v>
      </c>
      <c r="N355" s="9">
        <v>1190</v>
      </c>
      <c r="O355" s="9">
        <v>1370</v>
      </c>
      <c r="P355" s="9">
        <v>0</v>
      </c>
      <c r="R355" s="11">
        <v>44597</v>
      </c>
      <c r="S355" s="9">
        <v>9350</v>
      </c>
      <c r="T355" s="9">
        <v>255.78</v>
      </c>
      <c r="U355" s="9"/>
    </row>
    <row r="356" spans="2:21" x14ac:dyDescent="0.4">
      <c r="B356" s="16">
        <f t="shared" si="35"/>
        <v>42486</v>
      </c>
      <c r="C356" s="1">
        <f t="shared" si="39"/>
        <v>3904</v>
      </c>
      <c r="D356" s="1">
        <f t="shared" si="40"/>
        <v>1190</v>
      </c>
      <c r="E356" s="1">
        <f t="shared" si="41"/>
        <v>1350</v>
      </c>
      <c r="F356" s="1"/>
      <c r="H356" s="16">
        <f t="shared" si="36"/>
        <v>44604</v>
      </c>
      <c r="I356" s="29">
        <f t="shared" si="37"/>
        <v>9570</v>
      </c>
      <c r="J356" s="1">
        <f t="shared" si="38"/>
        <v>241.35</v>
      </c>
      <c r="L356" s="11">
        <v>42486</v>
      </c>
      <c r="M356" s="9">
        <v>3904</v>
      </c>
      <c r="N356" s="9">
        <v>1190</v>
      </c>
      <c r="O356" s="9">
        <v>1350</v>
      </c>
      <c r="P356" s="9">
        <v>0</v>
      </c>
      <c r="R356" s="11">
        <v>44604</v>
      </c>
      <c r="S356" s="9">
        <v>9570</v>
      </c>
      <c r="T356" s="9">
        <v>241.35</v>
      </c>
      <c r="U356" s="9"/>
    </row>
    <row r="357" spans="2:21" x14ac:dyDescent="0.4">
      <c r="B357" s="16">
        <f t="shared" si="35"/>
        <v>42487</v>
      </c>
      <c r="C357" s="1">
        <f t="shared" si="39"/>
        <v>3903</v>
      </c>
      <c r="D357" s="1">
        <f t="shared" si="40"/>
        <v>1190</v>
      </c>
      <c r="E357" s="1">
        <f t="shared" si="41"/>
        <v>1350</v>
      </c>
      <c r="F357" s="1"/>
      <c r="H357" s="16">
        <f t="shared" si="36"/>
        <v>44611</v>
      </c>
      <c r="I357" s="29">
        <f t="shared" si="37"/>
        <v>9560</v>
      </c>
      <c r="J357" s="1">
        <f t="shared" si="38"/>
        <v>241.25</v>
      </c>
      <c r="L357" s="11">
        <v>42487</v>
      </c>
      <c r="M357" s="9">
        <v>3903</v>
      </c>
      <c r="N357" s="9">
        <v>1190</v>
      </c>
      <c r="O357" s="9">
        <v>1350</v>
      </c>
      <c r="P357" s="9">
        <v>0</v>
      </c>
      <c r="R357" s="11">
        <v>44611</v>
      </c>
      <c r="S357" s="9">
        <v>9560</v>
      </c>
      <c r="T357" s="9">
        <v>241.25</v>
      </c>
      <c r="U357" s="9"/>
    </row>
    <row r="358" spans="2:21" x14ac:dyDescent="0.4">
      <c r="B358" s="16">
        <f t="shared" si="35"/>
        <v>42488</v>
      </c>
      <c r="C358" s="1">
        <f t="shared" si="39"/>
        <v>3898</v>
      </c>
      <c r="D358" s="1">
        <f t="shared" si="40"/>
        <v>1190</v>
      </c>
      <c r="E358" s="1">
        <f t="shared" si="41"/>
        <v>1350</v>
      </c>
      <c r="F358" s="1"/>
      <c r="H358" s="16">
        <f t="shared" si="36"/>
        <v>44618</v>
      </c>
      <c r="I358" s="29">
        <f t="shared" si="37"/>
        <v>9330</v>
      </c>
      <c r="J358" s="1">
        <f t="shared" si="38"/>
        <v>241.03</v>
      </c>
      <c r="L358" s="11">
        <v>42488</v>
      </c>
      <c r="M358" s="9">
        <v>3898</v>
      </c>
      <c r="N358" s="9">
        <v>1190</v>
      </c>
      <c r="O358" s="9">
        <v>1350</v>
      </c>
      <c r="P358" s="9">
        <v>0</v>
      </c>
      <c r="R358" s="11">
        <v>44618</v>
      </c>
      <c r="S358" s="9">
        <v>9330</v>
      </c>
      <c r="T358" s="9">
        <v>241.03</v>
      </c>
      <c r="U358" s="9"/>
    </row>
    <row r="359" spans="2:21" x14ac:dyDescent="0.4">
      <c r="B359" s="16">
        <f t="shared" si="35"/>
        <v>42489</v>
      </c>
      <c r="C359" s="1">
        <f t="shared" si="39"/>
        <v>3901</v>
      </c>
      <c r="D359" s="1">
        <f t="shared" si="40"/>
        <v>1190</v>
      </c>
      <c r="E359" s="1">
        <f t="shared" si="41"/>
        <v>1350</v>
      </c>
      <c r="F359" s="1"/>
      <c r="H359" s="16">
        <f t="shared" si="36"/>
        <v>44625</v>
      </c>
      <c r="I359" s="29">
        <f t="shared" si="37"/>
        <v>9500</v>
      </c>
      <c r="J359" s="1">
        <f t="shared" si="38"/>
        <v>232.89</v>
      </c>
      <c r="L359" s="11">
        <v>42489</v>
      </c>
      <c r="M359" s="9">
        <v>3901</v>
      </c>
      <c r="N359" s="9">
        <v>1190</v>
      </c>
      <c r="O359" s="9">
        <v>1350</v>
      </c>
      <c r="P359" s="9">
        <v>0</v>
      </c>
      <c r="R359" s="11">
        <v>44625</v>
      </c>
      <c r="S359" s="9">
        <v>9500</v>
      </c>
      <c r="T359" s="9">
        <v>232.89</v>
      </c>
      <c r="U359" s="9"/>
    </row>
    <row r="360" spans="2:21" x14ac:dyDescent="0.4">
      <c r="B360" s="16">
        <f t="shared" si="35"/>
        <v>42492</v>
      </c>
      <c r="C360" s="1">
        <f t="shared" si="39"/>
        <v>3901</v>
      </c>
      <c r="D360" s="1">
        <f t="shared" si="40"/>
        <v>1190</v>
      </c>
      <c r="E360" s="1">
        <f t="shared" si="41"/>
        <v>1350</v>
      </c>
      <c r="F360" s="1"/>
      <c r="H360" s="16">
        <f t="shared" si="36"/>
        <v>44632</v>
      </c>
      <c r="I360" s="29">
        <f t="shared" si="37"/>
        <v>9925</v>
      </c>
      <c r="J360" s="1">
        <f t="shared" si="38"/>
        <v>214.62</v>
      </c>
      <c r="L360" s="11">
        <v>42492</v>
      </c>
      <c r="M360" s="9">
        <v>0</v>
      </c>
      <c r="N360" s="9">
        <v>1190</v>
      </c>
      <c r="O360" s="9">
        <v>0</v>
      </c>
      <c r="P360" s="9">
        <v>0</v>
      </c>
      <c r="R360" s="11">
        <v>44632</v>
      </c>
      <c r="S360" s="9">
        <v>9925</v>
      </c>
      <c r="T360" s="9">
        <v>214.62</v>
      </c>
      <c r="U360" s="9"/>
    </row>
    <row r="361" spans="2:21" x14ac:dyDescent="0.4">
      <c r="B361" s="16">
        <f t="shared" si="35"/>
        <v>42493</v>
      </c>
      <c r="C361" s="1">
        <f t="shared" si="39"/>
        <v>3891</v>
      </c>
      <c r="D361" s="1">
        <f t="shared" si="40"/>
        <v>1190</v>
      </c>
      <c r="E361" s="1">
        <f t="shared" si="41"/>
        <v>1320</v>
      </c>
      <c r="F361" s="1"/>
      <c r="H361" s="16">
        <f t="shared" si="36"/>
        <v>44639</v>
      </c>
      <c r="I361" s="29">
        <f t="shared" si="37"/>
        <v>9730</v>
      </c>
      <c r="J361" s="1">
        <f t="shared" si="38"/>
        <v>214.62</v>
      </c>
      <c r="L361" s="11">
        <v>42493</v>
      </c>
      <c r="M361" s="9">
        <v>3891</v>
      </c>
      <c r="N361" s="9">
        <v>1190</v>
      </c>
      <c r="O361" s="9">
        <v>1320</v>
      </c>
      <c r="P361" s="9">
        <v>0</v>
      </c>
      <c r="R361" s="11">
        <v>44639</v>
      </c>
      <c r="S361" s="9">
        <v>9730</v>
      </c>
      <c r="T361" s="9">
        <v>214.62</v>
      </c>
      <c r="U361" s="9"/>
    </row>
    <row r="362" spans="2:21" x14ac:dyDescent="0.4">
      <c r="B362" s="16">
        <f t="shared" si="35"/>
        <v>42494</v>
      </c>
      <c r="C362" s="1">
        <f t="shared" si="39"/>
        <v>3870</v>
      </c>
      <c r="D362" s="1">
        <f t="shared" si="40"/>
        <v>1190</v>
      </c>
      <c r="E362" s="1">
        <f t="shared" si="41"/>
        <v>1320</v>
      </c>
      <c r="F362" s="1"/>
      <c r="H362" s="16">
        <f t="shared" si="36"/>
        <v>44646</v>
      </c>
      <c r="I362" s="29">
        <f t="shared" si="37"/>
        <v>9585</v>
      </c>
      <c r="J362" s="1">
        <f t="shared" si="38"/>
        <v>209.09</v>
      </c>
      <c r="L362" s="11">
        <v>42494</v>
      </c>
      <c r="M362" s="9">
        <v>3870</v>
      </c>
      <c r="N362" s="9">
        <v>1190</v>
      </c>
      <c r="O362" s="9">
        <v>1320</v>
      </c>
      <c r="P362" s="9">
        <v>0</v>
      </c>
      <c r="R362" s="11">
        <v>44646</v>
      </c>
      <c r="S362" s="9">
        <v>9585</v>
      </c>
      <c r="T362" s="9">
        <v>209.09</v>
      </c>
      <c r="U362" s="9"/>
    </row>
    <row r="363" spans="2:21" x14ac:dyDescent="0.4">
      <c r="B363" s="16">
        <f t="shared" si="35"/>
        <v>42495</v>
      </c>
      <c r="C363" s="1">
        <f t="shared" si="39"/>
        <v>3862</v>
      </c>
      <c r="D363" s="1">
        <f t="shared" si="40"/>
        <v>1190</v>
      </c>
      <c r="E363" s="1">
        <f t="shared" si="41"/>
        <v>1320</v>
      </c>
      <c r="F363" s="1"/>
      <c r="H363" s="16">
        <f t="shared" si="36"/>
        <v>44653</v>
      </c>
      <c r="I363" s="29">
        <f t="shared" si="37"/>
        <v>9345.8333333333339</v>
      </c>
      <c r="J363" s="1">
        <f t="shared" si="38"/>
        <v>209.09</v>
      </c>
      <c r="L363" s="11">
        <v>42495</v>
      </c>
      <c r="M363" s="9">
        <v>3862</v>
      </c>
      <c r="N363" s="9">
        <v>1190</v>
      </c>
      <c r="O363" s="9">
        <v>1320</v>
      </c>
      <c r="P363" s="9">
        <v>0</v>
      </c>
      <c r="R363" s="11">
        <v>44653</v>
      </c>
      <c r="S363" s="9">
        <v>9345.8333333333339</v>
      </c>
      <c r="T363" s="9">
        <v>209.09</v>
      </c>
      <c r="U363" s="9"/>
    </row>
    <row r="364" spans="2:21" x14ac:dyDescent="0.4">
      <c r="B364" s="16">
        <f t="shared" si="35"/>
        <v>42496</v>
      </c>
      <c r="C364" s="1">
        <f t="shared" si="39"/>
        <v>3841</v>
      </c>
      <c r="D364" s="1">
        <f t="shared" si="40"/>
        <v>1190</v>
      </c>
      <c r="E364" s="1">
        <f t="shared" si="41"/>
        <v>1320</v>
      </c>
      <c r="F364" s="1"/>
      <c r="H364" s="16">
        <f t="shared" si="36"/>
        <v>44660</v>
      </c>
      <c r="I364" s="29">
        <f t="shared" si="37"/>
        <v>9300</v>
      </c>
      <c r="J364" s="1">
        <f t="shared" si="38"/>
        <v>211.7</v>
      </c>
      <c r="L364" s="11">
        <v>42496</v>
      </c>
      <c r="M364" s="9">
        <v>3841</v>
      </c>
      <c r="N364" s="9">
        <v>1190</v>
      </c>
      <c r="O364" s="9">
        <v>1320</v>
      </c>
      <c r="P364" s="9">
        <v>0</v>
      </c>
      <c r="R364" s="11">
        <v>44660</v>
      </c>
      <c r="S364" s="9">
        <v>9300</v>
      </c>
      <c r="T364" s="9">
        <v>211.7</v>
      </c>
      <c r="U364" s="9"/>
    </row>
    <row r="365" spans="2:21" x14ac:dyDescent="0.4">
      <c r="B365" s="16">
        <f t="shared" si="35"/>
        <v>42499</v>
      </c>
      <c r="C365" s="1">
        <f t="shared" si="39"/>
        <v>3805</v>
      </c>
      <c r="D365" s="1">
        <f t="shared" si="40"/>
        <v>1190</v>
      </c>
      <c r="E365" s="1">
        <f t="shared" si="41"/>
        <v>1310</v>
      </c>
      <c r="F365" s="1"/>
      <c r="H365" s="16">
        <f t="shared" si="36"/>
        <v>44667</v>
      </c>
      <c r="I365" s="29">
        <f t="shared" si="37"/>
        <v>9190</v>
      </c>
      <c r="J365" s="1">
        <f t="shared" si="38"/>
        <v>213.99</v>
      </c>
      <c r="L365" s="11">
        <v>42499</v>
      </c>
      <c r="M365" s="9">
        <v>3805</v>
      </c>
      <c r="N365" s="9">
        <v>1190</v>
      </c>
      <c r="O365" s="9">
        <v>1310</v>
      </c>
      <c r="P365" s="9">
        <v>0</v>
      </c>
      <c r="R365" s="11">
        <v>44667</v>
      </c>
      <c r="S365" s="9">
        <v>9190</v>
      </c>
      <c r="T365" s="9">
        <v>213.99</v>
      </c>
      <c r="U365" s="9"/>
    </row>
    <row r="366" spans="2:21" x14ac:dyDescent="0.4">
      <c r="B366" s="16">
        <f t="shared" si="35"/>
        <v>42500</v>
      </c>
      <c r="C366" s="1">
        <f t="shared" si="39"/>
        <v>3781</v>
      </c>
      <c r="D366" s="1">
        <f t="shared" si="40"/>
        <v>1190</v>
      </c>
      <c r="E366" s="1">
        <f t="shared" si="41"/>
        <v>1290</v>
      </c>
      <c r="F366" s="1"/>
      <c r="H366" s="16">
        <f t="shared" si="36"/>
        <v>44674</v>
      </c>
      <c r="I366" s="29">
        <f t="shared" si="37"/>
        <v>9320</v>
      </c>
      <c r="J366" s="1">
        <f t="shared" si="38"/>
        <v>213.99</v>
      </c>
      <c r="L366" s="11">
        <v>42500</v>
      </c>
      <c r="M366" s="9">
        <v>3781</v>
      </c>
      <c r="N366" s="9">
        <v>1190</v>
      </c>
      <c r="O366" s="9">
        <v>1290</v>
      </c>
      <c r="P366" s="9">
        <v>0</v>
      </c>
      <c r="R366" s="11">
        <v>44674</v>
      </c>
      <c r="S366" s="9">
        <v>9320</v>
      </c>
      <c r="T366" s="9">
        <v>213.99</v>
      </c>
      <c r="U366" s="9"/>
    </row>
    <row r="367" spans="2:21" x14ac:dyDescent="0.4">
      <c r="B367" s="16">
        <f t="shared" si="35"/>
        <v>42501</v>
      </c>
      <c r="C367" s="1">
        <f t="shared" si="39"/>
        <v>3786</v>
      </c>
      <c r="D367" s="1">
        <f t="shared" si="40"/>
        <v>1190</v>
      </c>
      <c r="E367" s="1">
        <f t="shared" si="41"/>
        <v>1290</v>
      </c>
      <c r="F367" s="1"/>
      <c r="H367" s="16">
        <f t="shared" si="36"/>
        <v>44681</v>
      </c>
      <c r="I367" s="29">
        <f t="shared" si="37"/>
        <v>9162.5</v>
      </c>
      <c r="J367" s="1">
        <f t="shared" si="38"/>
        <v>213.67</v>
      </c>
      <c r="L367" s="11">
        <v>42501</v>
      </c>
      <c r="M367" s="9">
        <v>3786</v>
      </c>
      <c r="N367" s="9">
        <v>1190</v>
      </c>
      <c r="O367" s="9">
        <v>1290</v>
      </c>
      <c r="P367" s="9">
        <v>0</v>
      </c>
      <c r="R367" s="11">
        <v>44681</v>
      </c>
      <c r="S367" s="9">
        <v>9162.5</v>
      </c>
      <c r="T367" s="9">
        <v>213.67</v>
      </c>
      <c r="U367" s="9"/>
    </row>
    <row r="368" spans="2:21" x14ac:dyDescent="0.4">
      <c r="B368" s="16">
        <f t="shared" si="35"/>
        <v>42502</v>
      </c>
      <c r="C368" s="1">
        <f t="shared" si="39"/>
        <v>3783</v>
      </c>
      <c r="D368" s="1">
        <f t="shared" si="40"/>
        <v>1180</v>
      </c>
      <c r="E368" s="1">
        <f t="shared" si="41"/>
        <v>1290</v>
      </c>
      <c r="F368" s="1"/>
      <c r="H368" s="16">
        <f t="shared" si="36"/>
        <v>44688</v>
      </c>
      <c r="I368" s="29">
        <f t="shared" si="37"/>
        <v>9316.6666666666661</v>
      </c>
      <c r="J368" s="1">
        <f t="shared" si="38"/>
        <v>213.56</v>
      </c>
      <c r="L368" s="11">
        <v>42502</v>
      </c>
      <c r="M368" s="9">
        <v>3783</v>
      </c>
      <c r="N368" s="9">
        <v>1180</v>
      </c>
      <c r="O368" s="9">
        <v>1290</v>
      </c>
      <c r="P368" s="9">
        <v>0</v>
      </c>
      <c r="R368" s="11">
        <v>44688</v>
      </c>
      <c r="S368" s="9">
        <v>9316.6666666666661</v>
      </c>
      <c r="T368" s="9">
        <v>213.56</v>
      </c>
      <c r="U368" s="9"/>
    </row>
    <row r="369" spans="2:21" x14ac:dyDescent="0.4">
      <c r="B369" s="16">
        <f t="shared" si="35"/>
        <v>42503</v>
      </c>
      <c r="C369" s="1">
        <f t="shared" si="39"/>
        <v>3769</v>
      </c>
      <c r="D369" s="1">
        <f t="shared" si="40"/>
        <v>1180</v>
      </c>
      <c r="E369" s="1">
        <f t="shared" si="41"/>
        <v>1290</v>
      </c>
      <c r="F369" s="1"/>
      <c r="H369" s="16">
        <f t="shared" si="36"/>
        <v>44695</v>
      </c>
      <c r="I369" s="29">
        <f t="shared" si="37"/>
        <v>9385</v>
      </c>
      <c r="J369" s="1">
        <f t="shared" si="38"/>
        <v>212.88</v>
      </c>
      <c r="L369" s="11">
        <v>42503</v>
      </c>
      <c r="M369" s="9">
        <v>3769</v>
      </c>
      <c r="N369" s="9">
        <v>1180</v>
      </c>
      <c r="O369" s="9">
        <v>1290</v>
      </c>
      <c r="P369" s="9">
        <v>0</v>
      </c>
      <c r="R369" s="11">
        <v>44695</v>
      </c>
      <c r="S369" s="9">
        <v>9385</v>
      </c>
      <c r="T369" s="9">
        <v>212.88</v>
      </c>
      <c r="U369" s="9"/>
    </row>
    <row r="370" spans="2:21" x14ac:dyDescent="0.4">
      <c r="B370" s="16">
        <f t="shared" si="35"/>
        <v>42506</v>
      </c>
      <c r="C370" s="1">
        <f t="shared" si="39"/>
        <v>3767</v>
      </c>
      <c r="D370" s="1">
        <f t="shared" si="40"/>
        <v>1180</v>
      </c>
      <c r="E370" s="1">
        <f t="shared" si="41"/>
        <v>1290</v>
      </c>
      <c r="F370" s="1"/>
      <c r="H370" s="16">
        <f t="shared" si="36"/>
        <v>44702</v>
      </c>
      <c r="I370" s="29">
        <f t="shared" si="37"/>
        <v>9650</v>
      </c>
      <c r="J370" s="1">
        <f t="shared" si="38"/>
        <v>211.58</v>
      </c>
      <c r="L370" s="11">
        <v>42506</v>
      </c>
      <c r="M370" s="9">
        <v>3767</v>
      </c>
      <c r="N370" s="9">
        <v>1180</v>
      </c>
      <c r="O370" s="9">
        <v>1290</v>
      </c>
      <c r="P370" s="9">
        <v>0</v>
      </c>
      <c r="R370" s="11">
        <v>44702</v>
      </c>
      <c r="S370" s="9">
        <v>9650</v>
      </c>
      <c r="T370" s="9">
        <v>211.58</v>
      </c>
      <c r="U370" s="9"/>
    </row>
    <row r="371" spans="2:21" x14ac:dyDescent="0.4">
      <c r="B371" s="16">
        <f t="shared" si="35"/>
        <v>42507</v>
      </c>
      <c r="C371" s="1">
        <f t="shared" si="39"/>
        <v>3778</v>
      </c>
      <c r="D371" s="1">
        <f t="shared" si="40"/>
        <v>1180</v>
      </c>
      <c r="E371" s="1">
        <f t="shared" si="41"/>
        <v>1290</v>
      </c>
      <c r="F371" s="1"/>
      <c r="H371" s="16">
        <f t="shared" si="36"/>
        <v>44709</v>
      </c>
      <c r="I371" s="29">
        <f t="shared" si="37"/>
        <v>9655</v>
      </c>
      <c r="J371" s="1">
        <f t="shared" si="38"/>
        <v>210.41</v>
      </c>
      <c r="L371" s="11">
        <v>42507</v>
      </c>
      <c r="M371" s="9">
        <v>3778</v>
      </c>
      <c r="N371" s="9">
        <v>1180</v>
      </c>
      <c r="O371" s="9">
        <v>1290</v>
      </c>
      <c r="P371" s="9">
        <v>0</v>
      </c>
      <c r="R371" s="11">
        <v>44709</v>
      </c>
      <c r="S371" s="9">
        <v>9655</v>
      </c>
      <c r="T371" s="9">
        <v>210.41</v>
      </c>
      <c r="U371" s="9"/>
    </row>
    <row r="372" spans="2:21" x14ac:dyDescent="0.4">
      <c r="B372" s="16">
        <f t="shared" si="35"/>
        <v>42508</v>
      </c>
      <c r="C372" s="1">
        <f t="shared" si="39"/>
        <v>3783</v>
      </c>
      <c r="D372" s="1">
        <f t="shared" si="40"/>
        <v>1180</v>
      </c>
      <c r="E372" s="1">
        <f t="shared" si="41"/>
        <v>1290</v>
      </c>
      <c r="F372" s="1"/>
      <c r="H372" s="16">
        <f t="shared" si="36"/>
        <v>44716</v>
      </c>
      <c r="I372" s="29">
        <f t="shared" si="37"/>
        <v>9781.25</v>
      </c>
      <c r="J372" s="1">
        <f t="shared" si="38"/>
        <v>210.41</v>
      </c>
      <c r="L372" s="11">
        <v>42508</v>
      </c>
      <c r="M372" s="9">
        <v>3783</v>
      </c>
      <c r="N372" s="9">
        <v>1180</v>
      </c>
      <c r="O372" s="9">
        <v>1290</v>
      </c>
      <c r="P372" s="9">
        <v>0</v>
      </c>
      <c r="R372" s="11">
        <v>44716</v>
      </c>
      <c r="S372" s="9">
        <v>9781.25</v>
      </c>
      <c r="T372" s="9">
        <v>210.41</v>
      </c>
      <c r="U372" s="9"/>
    </row>
    <row r="373" spans="2:21" x14ac:dyDescent="0.4">
      <c r="B373" s="16">
        <f t="shared" si="35"/>
        <v>42509</v>
      </c>
      <c r="C373" s="1">
        <f t="shared" si="39"/>
        <v>3772</v>
      </c>
      <c r="D373" s="1">
        <f t="shared" si="40"/>
        <v>1180</v>
      </c>
      <c r="E373" s="1">
        <f t="shared" si="41"/>
        <v>1290</v>
      </c>
      <c r="F373" s="1"/>
      <c r="H373" s="16">
        <f t="shared" si="36"/>
        <v>44723</v>
      </c>
      <c r="I373" s="29">
        <f t="shared" si="37"/>
        <v>10265</v>
      </c>
      <c r="J373" s="1">
        <f t="shared" si="38"/>
        <v>210.41</v>
      </c>
      <c r="L373" s="11">
        <v>42509</v>
      </c>
      <c r="M373" s="9">
        <v>3772</v>
      </c>
      <c r="N373" s="9">
        <v>1180</v>
      </c>
      <c r="O373" s="9">
        <v>1290</v>
      </c>
      <c r="P373" s="9">
        <v>0</v>
      </c>
      <c r="R373" s="11">
        <v>44723</v>
      </c>
      <c r="S373" s="9">
        <v>10265</v>
      </c>
      <c r="T373" s="9">
        <v>210.41</v>
      </c>
      <c r="U373" s="9"/>
    </row>
    <row r="374" spans="2:21" x14ac:dyDescent="0.4">
      <c r="B374" s="16">
        <f t="shared" si="35"/>
        <v>42510</v>
      </c>
      <c r="C374" s="1">
        <f t="shared" si="39"/>
        <v>3762</v>
      </c>
      <c r="D374" s="1">
        <f t="shared" si="40"/>
        <v>1170</v>
      </c>
      <c r="E374" s="1">
        <f t="shared" si="41"/>
        <v>1300</v>
      </c>
      <c r="F374" s="1"/>
      <c r="H374" s="16">
        <f t="shared" si="36"/>
        <v>44730</v>
      </c>
      <c r="I374" s="29">
        <f t="shared" si="37"/>
        <v>10310</v>
      </c>
      <c r="J374" s="1">
        <f t="shared" si="38"/>
        <v>210.41</v>
      </c>
      <c r="L374" s="11">
        <v>42510</v>
      </c>
      <c r="M374" s="9">
        <v>3762</v>
      </c>
      <c r="N374" s="9">
        <v>1170</v>
      </c>
      <c r="O374" s="9">
        <v>1300</v>
      </c>
      <c r="P374" s="9">
        <v>0</v>
      </c>
      <c r="R374" s="11">
        <v>44730</v>
      </c>
      <c r="S374" s="9">
        <v>10310</v>
      </c>
      <c r="T374" s="9">
        <v>210.41</v>
      </c>
      <c r="U374" s="9"/>
    </row>
    <row r="375" spans="2:21" x14ac:dyDescent="0.4">
      <c r="B375" s="16">
        <f t="shared" si="35"/>
        <v>42513</v>
      </c>
      <c r="C375" s="1">
        <f t="shared" si="39"/>
        <v>3760</v>
      </c>
      <c r="D375" s="1">
        <f t="shared" si="40"/>
        <v>1150</v>
      </c>
      <c r="E375" s="1">
        <f t="shared" si="41"/>
        <v>1310</v>
      </c>
      <c r="F375" s="1"/>
      <c r="H375" s="16">
        <f t="shared" si="36"/>
        <v>44737</v>
      </c>
      <c r="I375" s="29">
        <f t="shared" si="37"/>
        <v>9935</v>
      </c>
      <c r="J375" s="1">
        <f t="shared" si="38"/>
        <v>208.75</v>
      </c>
      <c r="L375" s="11">
        <v>42513</v>
      </c>
      <c r="M375" s="9">
        <v>3760</v>
      </c>
      <c r="N375" s="9">
        <v>1150</v>
      </c>
      <c r="O375" s="9">
        <v>1310</v>
      </c>
      <c r="P375" s="9">
        <v>0</v>
      </c>
      <c r="R375" s="11">
        <v>44737</v>
      </c>
      <c r="S375" s="9">
        <v>9935</v>
      </c>
      <c r="T375" s="9">
        <v>208.75</v>
      </c>
      <c r="U375" s="9"/>
    </row>
    <row r="376" spans="2:21" x14ac:dyDescent="0.4">
      <c r="B376" s="16">
        <f t="shared" si="35"/>
        <v>42514</v>
      </c>
      <c r="C376" s="1">
        <f t="shared" si="39"/>
        <v>3736</v>
      </c>
      <c r="D376" s="1">
        <f t="shared" si="40"/>
        <v>1150</v>
      </c>
      <c r="E376" s="1">
        <f t="shared" si="41"/>
        <v>1310</v>
      </c>
      <c r="F376" s="1"/>
      <c r="H376" s="16">
        <f t="shared" si="36"/>
        <v>44744</v>
      </c>
      <c r="I376" s="29">
        <f t="shared" si="37"/>
        <v>9550</v>
      </c>
      <c r="J376" s="1">
        <f t="shared" si="38"/>
        <v>208.75</v>
      </c>
      <c r="L376" s="11">
        <v>42514</v>
      </c>
      <c r="M376" s="9">
        <v>3736</v>
      </c>
      <c r="N376" s="9">
        <v>1150</v>
      </c>
      <c r="O376" s="9">
        <v>1310</v>
      </c>
      <c r="P376" s="9">
        <v>0</v>
      </c>
      <c r="R376" s="11">
        <v>44744</v>
      </c>
      <c r="S376" s="9">
        <v>9550</v>
      </c>
      <c r="T376" s="9">
        <v>208.75</v>
      </c>
      <c r="U376" s="9"/>
    </row>
    <row r="377" spans="2:21" x14ac:dyDescent="0.4">
      <c r="B377" s="16">
        <f t="shared" si="35"/>
        <v>42515</v>
      </c>
      <c r="C377" s="1">
        <f t="shared" si="39"/>
        <v>3736</v>
      </c>
      <c r="D377" s="1">
        <f t="shared" si="40"/>
        <v>1120</v>
      </c>
      <c r="E377" s="1">
        <f t="shared" si="41"/>
        <v>1310</v>
      </c>
      <c r="F377" s="1"/>
      <c r="H377" s="16">
        <f t="shared" si="36"/>
        <v>44751</v>
      </c>
      <c r="I377" s="29">
        <f t="shared" si="37"/>
        <v>9355</v>
      </c>
      <c r="J377" s="1">
        <f t="shared" si="38"/>
        <v>208.43</v>
      </c>
      <c r="L377" s="11">
        <v>42515</v>
      </c>
      <c r="M377" s="9">
        <v>3736</v>
      </c>
      <c r="N377" s="9">
        <v>1120</v>
      </c>
      <c r="O377" s="9">
        <v>1310</v>
      </c>
      <c r="P377" s="9">
        <v>0</v>
      </c>
      <c r="R377" s="11">
        <v>44751</v>
      </c>
      <c r="S377" s="9">
        <v>9355</v>
      </c>
      <c r="T377" s="9">
        <v>208.43</v>
      </c>
      <c r="U377" s="9"/>
    </row>
    <row r="378" spans="2:21" x14ac:dyDescent="0.4">
      <c r="B378" s="16">
        <f t="shared" si="35"/>
        <v>42516</v>
      </c>
      <c r="C378" s="1">
        <f t="shared" si="39"/>
        <v>3723</v>
      </c>
      <c r="D378" s="1">
        <f t="shared" si="40"/>
        <v>1110</v>
      </c>
      <c r="E378" s="1">
        <f t="shared" si="41"/>
        <v>1310</v>
      </c>
      <c r="F378" s="1"/>
      <c r="H378" s="16">
        <f t="shared" si="36"/>
        <v>44758</v>
      </c>
      <c r="I378" s="29">
        <f t="shared" si="37"/>
        <v>9105</v>
      </c>
      <c r="J378" s="1">
        <f t="shared" si="38"/>
        <v>207.13</v>
      </c>
      <c r="L378" s="11">
        <v>42516</v>
      </c>
      <c r="M378" s="9">
        <v>3723</v>
      </c>
      <c r="N378" s="9">
        <v>1110</v>
      </c>
      <c r="O378" s="9">
        <v>1310</v>
      </c>
      <c r="P378" s="9">
        <v>0</v>
      </c>
      <c r="R378" s="11">
        <v>44758</v>
      </c>
      <c r="S378" s="9">
        <v>9105</v>
      </c>
      <c r="T378" s="9">
        <v>207.13</v>
      </c>
      <c r="U378" s="9"/>
    </row>
    <row r="379" spans="2:21" x14ac:dyDescent="0.4">
      <c r="B379" s="16">
        <f t="shared" si="35"/>
        <v>42517</v>
      </c>
      <c r="C379" s="1">
        <f t="shared" si="39"/>
        <v>3716</v>
      </c>
      <c r="D379" s="1">
        <f t="shared" si="40"/>
        <v>1100</v>
      </c>
      <c r="E379" s="1">
        <f t="shared" si="41"/>
        <v>1300</v>
      </c>
      <c r="F379" s="1"/>
      <c r="H379" s="16">
        <f t="shared" si="36"/>
        <v>44765</v>
      </c>
      <c r="I379" s="29">
        <f t="shared" si="37"/>
        <v>8890</v>
      </c>
      <c r="J379" s="1">
        <f t="shared" si="38"/>
        <v>207.13</v>
      </c>
      <c r="L379" s="11">
        <v>42517</v>
      </c>
      <c r="M379" s="9">
        <v>3716</v>
      </c>
      <c r="N379" s="9">
        <v>1100</v>
      </c>
      <c r="O379" s="9">
        <v>1300</v>
      </c>
      <c r="P379" s="9">
        <v>0</v>
      </c>
      <c r="R379" s="11">
        <v>44765</v>
      </c>
      <c r="S379" s="9">
        <v>8890</v>
      </c>
      <c r="T379" s="9">
        <v>207.13</v>
      </c>
      <c r="U379" s="9"/>
    </row>
    <row r="380" spans="2:21" x14ac:dyDescent="0.4">
      <c r="B380" s="16">
        <f t="shared" si="35"/>
        <v>42520</v>
      </c>
      <c r="C380" s="1">
        <f t="shared" si="39"/>
        <v>3714</v>
      </c>
      <c r="D380" s="1">
        <f t="shared" si="40"/>
        <v>1100</v>
      </c>
      <c r="E380" s="1">
        <f t="shared" si="41"/>
        <v>1300</v>
      </c>
      <c r="F380" s="1"/>
      <c r="H380" s="16">
        <f t="shared" si="36"/>
        <v>44772</v>
      </c>
      <c r="I380" s="29">
        <f t="shared" si="37"/>
        <v>9030</v>
      </c>
      <c r="J380" s="1">
        <f t="shared" si="38"/>
        <v>205.82</v>
      </c>
      <c r="L380" s="11">
        <v>42520</v>
      </c>
      <c r="M380" s="9">
        <v>3714</v>
      </c>
      <c r="N380" s="9">
        <v>1100</v>
      </c>
      <c r="O380" s="9">
        <v>1300</v>
      </c>
      <c r="P380" s="9">
        <v>0</v>
      </c>
      <c r="R380" s="11">
        <v>44772</v>
      </c>
      <c r="S380" s="9">
        <v>9030</v>
      </c>
      <c r="T380" s="9">
        <v>205.82</v>
      </c>
      <c r="U380" s="9"/>
    </row>
    <row r="381" spans="2:21" x14ac:dyDescent="0.4">
      <c r="B381" s="16">
        <f t="shared" si="35"/>
        <v>42521</v>
      </c>
      <c r="C381" s="1">
        <f t="shared" si="39"/>
        <v>3705</v>
      </c>
      <c r="D381" s="1">
        <f t="shared" si="40"/>
        <v>1090</v>
      </c>
      <c r="E381" s="1">
        <f t="shared" si="41"/>
        <v>1260</v>
      </c>
      <c r="F381" s="1"/>
      <c r="H381" s="16">
        <f t="shared" si="36"/>
        <v>44779</v>
      </c>
      <c r="I381" s="29">
        <f t="shared" si="37"/>
        <v>9095</v>
      </c>
      <c r="J381" s="1">
        <f t="shared" si="38"/>
        <v>204.52</v>
      </c>
      <c r="L381" s="11">
        <v>42521</v>
      </c>
      <c r="M381" s="9">
        <v>3705</v>
      </c>
      <c r="N381" s="9">
        <v>1090</v>
      </c>
      <c r="O381" s="9">
        <v>1260</v>
      </c>
      <c r="P381" s="9">
        <v>0</v>
      </c>
      <c r="R381" s="11">
        <v>44779</v>
      </c>
      <c r="S381" s="9">
        <v>9095</v>
      </c>
      <c r="T381" s="9">
        <v>204.52</v>
      </c>
      <c r="U381" s="9"/>
    </row>
    <row r="382" spans="2:21" x14ac:dyDescent="0.4">
      <c r="B382" s="16">
        <f t="shared" si="35"/>
        <v>42522</v>
      </c>
      <c r="C382" s="1">
        <f t="shared" si="39"/>
        <v>3730</v>
      </c>
      <c r="D382" s="1">
        <f t="shared" si="40"/>
        <v>1080</v>
      </c>
      <c r="E382" s="1">
        <f t="shared" si="41"/>
        <v>1260</v>
      </c>
      <c r="F382" s="1"/>
      <c r="H382" s="16">
        <f t="shared" si="36"/>
        <v>44786</v>
      </c>
      <c r="I382" s="29">
        <f t="shared" si="37"/>
        <v>9075</v>
      </c>
      <c r="J382" s="1">
        <f t="shared" si="38"/>
        <v>205.82</v>
      </c>
      <c r="L382" s="11">
        <v>42522</v>
      </c>
      <c r="M382" s="9">
        <v>3730</v>
      </c>
      <c r="N382" s="9">
        <v>1080</v>
      </c>
      <c r="O382" s="9">
        <v>1260</v>
      </c>
      <c r="P382" s="9">
        <v>0</v>
      </c>
      <c r="R382" s="11">
        <v>44786</v>
      </c>
      <c r="S382" s="9">
        <v>9075</v>
      </c>
      <c r="T382" s="9">
        <v>205.82</v>
      </c>
      <c r="U382" s="9"/>
    </row>
    <row r="383" spans="2:21" x14ac:dyDescent="0.4">
      <c r="B383" s="16">
        <f t="shared" si="35"/>
        <v>42523</v>
      </c>
      <c r="C383" s="1">
        <f t="shared" si="39"/>
        <v>3734</v>
      </c>
      <c r="D383" s="1">
        <f t="shared" si="40"/>
        <v>1070</v>
      </c>
      <c r="E383" s="1">
        <f t="shared" si="41"/>
        <v>1260</v>
      </c>
      <c r="F383" s="1"/>
      <c r="H383" s="16">
        <f t="shared" si="36"/>
        <v>44793</v>
      </c>
      <c r="I383" s="29">
        <f t="shared" si="37"/>
        <v>9150</v>
      </c>
      <c r="J383" s="1">
        <f t="shared" si="38"/>
        <v>200.04</v>
      </c>
      <c r="L383" s="11">
        <v>42523</v>
      </c>
      <c r="M383" s="9">
        <v>3734</v>
      </c>
      <c r="N383" s="9">
        <v>1070</v>
      </c>
      <c r="O383" s="9">
        <v>1260</v>
      </c>
      <c r="P383" s="9">
        <v>0</v>
      </c>
      <c r="R383" s="11">
        <v>44793</v>
      </c>
      <c r="S383" s="9">
        <v>9150</v>
      </c>
      <c r="T383" s="9">
        <v>200.04</v>
      </c>
      <c r="U383" s="9"/>
    </row>
    <row r="384" spans="2:21" x14ac:dyDescent="0.4">
      <c r="B384" s="16">
        <f t="shared" si="35"/>
        <v>42524</v>
      </c>
      <c r="C384" s="1">
        <f t="shared" si="39"/>
        <v>3724</v>
      </c>
      <c r="D384" s="1">
        <f t="shared" si="40"/>
        <v>1055</v>
      </c>
      <c r="E384" s="1">
        <f t="shared" si="41"/>
        <v>1260</v>
      </c>
      <c r="F384" s="1"/>
      <c r="H384" s="16">
        <f t="shared" si="36"/>
        <v>44800</v>
      </c>
      <c r="I384" s="29">
        <f t="shared" si="37"/>
        <v>9195</v>
      </c>
      <c r="J384" s="1">
        <f t="shared" si="38"/>
        <v>197.25</v>
      </c>
      <c r="L384" s="11">
        <v>42524</v>
      </c>
      <c r="M384" s="9">
        <v>3724</v>
      </c>
      <c r="N384" s="9">
        <v>1055</v>
      </c>
      <c r="O384" s="9">
        <v>1260</v>
      </c>
      <c r="P384" s="9">
        <v>0</v>
      </c>
      <c r="R384" s="11">
        <v>44800</v>
      </c>
      <c r="S384" s="9">
        <v>9195</v>
      </c>
      <c r="T384" s="9">
        <v>197.25</v>
      </c>
      <c r="U384" s="9"/>
    </row>
    <row r="385" spans="2:21" x14ac:dyDescent="0.4">
      <c r="B385" s="16">
        <f t="shared" si="35"/>
        <v>42527</v>
      </c>
      <c r="C385" s="1">
        <f t="shared" si="39"/>
        <v>3723</v>
      </c>
      <c r="D385" s="1">
        <f t="shared" si="40"/>
        <v>1055</v>
      </c>
      <c r="E385" s="1">
        <f t="shared" si="41"/>
        <v>1260</v>
      </c>
      <c r="F385" s="1"/>
      <c r="H385" s="16">
        <f t="shared" si="36"/>
        <v>44807</v>
      </c>
      <c r="I385" s="29">
        <f t="shared" si="37"/>
        <v>9205</v>
      </c>
      <c r="J385" s="1">
        <f t="shared" si="38"/>
        <v>197.25</v>
      </c>
      <c r="L385" s="11">
        <v>42527</v>
      </c>
      <c r="M385" s="9">
        <v>3723</v>
      </c>
      <c r="N385" s="9">
        <v>1055</v>
      </c>
      <c r="O385" s="9">
        <v>1260</v>
      </c>
      <c r="P385" s="9">
        <v>0</v>
      </c>
      <c r="R385" s="11">
        <v>44807</v>
      </c>
      <c r="S385" s="9">
        <v>9205</v>
      </c>
      <c r="T385" s="9">
        <v>197.25</v>
      </c>
      <c r="U385" s="9"/>
    </row>
    <row r="386" spans="2:21" x14ac:dyDescent="0.4">
      <c r="B386" s="16">
        <f t="shared" si="35"/>
        <v>42528</v>
      </c>
      <c r="C386" s="1">
        <f t="shared" si="39"/>
        <v>3725</v>
      </c>
      <c r="D386" s="1">
        <f t="shared" si="40"/>
        <v>1055</v>
      </c>
      <c r="E386" s="1">
        <f t="shared" si="41"/>
        <v>1260</v>
      </c>
      <c r="F386" s="1"/>
      <c r="H386" s="16">
        <f t="shared" si="36"/>
        <v>44814</v>
      </c>
      <c r="I386" s="29">
        <f t="shared" si="37"/>
        <v>9390</v>
      </c>
      <c r="J386" s="1">
        <f t="shared" si="38"/>
        <v>195.77</v>
      </c>
      <c r="L386" s="11">
        <v>42528</v>
      </c>
      <c r="M386" s="9">
        <v>3725</v>
      </c>
      <c r="N386" s="9">
        <v>1055</v>
      </c>
      <c r="O386" s="9">
        <v>1260</v>
      </c>
      <c r="P386" s="9">
        <v>0</v>
      </c>
      <c r="R386" s="11">
        <v>44814</v>
      </c>
      <c r="S386" s="9">
        <v>9390</v>
      </c>
      <c r="T386" s="9">
        <v>195.77</v>
      </c>
      <c r="U386" s="9"/>
    </row>
    <row r="387" spans="2:21" x14ac:dyDescent="0.4">
      <c r="B387" s="16">
        <f t="shared" si="35"/>
        <v>42529</v>
      </c>
      <c r="C387" s="1">
        <f t="shared" si="39"/>
        <v>3731</v>
      </c>
      <c r="D387" s="1">
        <f t="shared" si="40"/>
        <v>1045</v>
      </c>
      <c r="E387" s="1">
        <f t="shared" si="41"/>
        <v>1270</v>
      </c>
      <c r="F387" s="1"/>
      <c r="H387" s="16">
        <f t="shared" si="36"/>
        <v>44821</v>
      </c>
      <c r="I387" s="29">
        <f t="shared" si="37"/>
        <v>9487.5</v>
      </c>
      <c r="J387" s="1">
        <f t="shared" si="38"/>
        <v>195.77</v>
      </c>
      <c r="L387" s="11">
        <v>42529</v>
      </c>
      <c r="M387" s="9">
        <v>3731</v>
      </c>
      <c r="N387" s="9">
        <v>1045</v>
      </c>
      <c r="O387" s="9">
        <v>1270</v>
      </c>
      <c r="P387" s="9">
        <v>0</v>
      </c>
      <c r="R387" s="11">
        <v>44821</v>
      </c>
      <c r="S387" s="9">
        <v>9487.5</v>
      </c>
      <c r="T387" s="9">
        <v>195.77</v>
      </c>
      <c r="U387" s="9"/>
    </row>
    <row r="388" spans="2:21" x14ac:dyDescent="0.4">
      <c r="B388" s="16">
        <f t="shared" si="35"/>
        <v>42530</v>
      </c>
      <c r="C388" s="1">
        <f t="shared" si="39"/>
        <v>3731</v>
      </c>
      <c r="D388" s="1">
        <f t="shared" si="40"/>
        <v>1045</v>
      </c>
      <c r="E388" s="1">
        <f t="shared" si="41"/>
        <v>1270</v>
      </c>
      <c r="F388" s="1"/>
      <c r="H388" s="16">
        <f t="shared" si="36"/>
        <v>44828</v>
      </c>
      <c r="I388" s="29">
        <f t="shared" si="37"/>
        <v>9500</v>
      </c>
      <c r="J388" s="1">
        <f t="shared" si="38"/>
        <v>194.34</v>
      </c>
      <c r="L388" s="11">
        <v>42530</v>
      </c>
      <c r="M388" s="9">
        <v>0</v>
      </c>
      <c r="N388" s="9">
        <v>1045</v>
      </c>
      <c r="O388" s="9">
        <v>0</v>
      </c>
      <c r="P388" s="9">
        <v>0</v>
      </c>
      <c r="R388" s="11">
        <v>44828</v>
      </c>
      <c r="S388" s="9">
        <v>9500</v>
      </c>
      <c r="T388" s="9">
        <v>194.34</v>
      </c>
      <c r="U388" s="9"/>
    </row>
    <row r="389" spans="2:21" x14ac:dyDescent="0.4">
      <c r="B389" s="16">
        <f t="shared" si="35"/>
        <v>42531</v>
      </c>
      <c r="C389" s="1">
        <f t="shared" si="39"/>
        <v>3731</v>
      </c>
      <c r="D389" s="1">
        <f t="shared" si="40"/>
        <v>1045</v>
      </c>
      <c r="E389" s="1">
        <f t="shared" si="41"/>
        <v>1270</v>
      </c>
      <c r="F389" s="1"/>
      <c r="H389" s="16">
        <f t="shared" si="36"/>
        <v>44835</v>
      </c>
      <c r="I389" s="29">
        <f t="shared" si="37"/>
        <v>9215</v>
      </c>
      <c r="J389" s="1">
        <f t="shared" si="38"/>
        <v>192.17</v>
      </c>
      <c r="L389" s="11">
        <v>42531</v>
      </c>
      <c r="M389" s="9">
        <v>0</v>
      </c>
      <c r="N389" s="9">
        <v>1045</v>
      </c>
      <c r="O389" s="9">
        <v>0</v>
      </c>
      <c r="P389" s="9">
        <v>0</v>
      </c>
      <c r="R389" s="11">
        <v>44835</v>
      </c>
      <c r="S389" s="9">
        <v>9215</v>
      </c>
      <c r="T389" s="9">
        <v>192.17</v>
      </c>
      <c r="U389" s="9"/>
    </row>
    <row r="390" spans="2:21" x14ac:dyDescent="0.4">
      <c r="B390" s="16">
        <f t="shared" ref="B390:B453" si="42">L390</f>
        <v>42533</v>
      </c>
      <c r="C390" s="1">
        <f t="shared" si="39"/>
        <v>3739</v>
      </c>
      <c r="D390" s="1">
        <f t="shared" si="40"/>
        <v>1045</v>
      </c>
      <c r="E390" s="1">
        <f t="shared" si="41"/>
        <v>1270</v>
      </c>
      <c r="F390" s="1"/>
      <c r="H390" s="16">
        <f t="shared" ref="H390:H453" si="43">R390</f>
        <v>44842</v>
      </c>
      <c r="I390" s="29">
        <f t="shared" ref="I390:I453" si="44">IF(S390&lt;&gt;0,S390,I389)</f>
        <v>9350</v>
      </c>
      <c r="J390" s="1">
        <f t="shared" ref="J390:J453" si="45">IF(T390&lt;&gt;0,T390,J389)</f>
        <v>192.17</v>
      </c>
      <c r="L390" s="11">
        <v>42533</v>
      </c>
      <c r="M390" s="9">
        <v>3739</v>
      </c>
      <c r="N390" s="9">
        <v>0</v>
      </c>
      <c r="O390" s="9">
        <v>1270</v>
      </c>
      <c r="P390" s="9">
        <v>0</v>
      </c>
      <c r="R390" s="11">
        <v>44842</v>
      </c>
      <c r="S390" s="9">
        <v>9350</v>
      </c>
      <c r="T390" s="9">
        <v>192.17</v>
      </c>
      <c r="U390" s="9"/>
    </row>
    <row r="391" spans="2:21" x14ac:dyDescent="0.4">
      <c r="B391" s="16">
        <f t="shared" si="42"/>
        <v>42534</v>
      </c>
      <c r="C391" s="1">
        <f t="shared" ref="C391:C454" si="46">IF(M391&lt;&gt;0,M391,C390)</f>
        <v>3727</v>
      </c>
      <c r="D391" s="1">
        <f t="shared" ref="D391:D454" si="47">IF(N391&lt;&gt;0,N391,D390)</f>
        <v>1040</v>
      </c>
      <c r="E391" s="1">
        <f t="shared" ref="E391:E454" si="48">IF(O391&lt;&gt;0,O391,E390)</f>
        <v>1270</v>
      </c>
      <c r="F391" s="1"/>
      <c r="H391" s="16">
        <f t="shared" si="43"/>
        <v>44849</v>
      </c>
      <c r="I391" s="29">
        <f t="shared" si="44"/>
        <v>9291.6666666666661</v>
      </c>
      <c r="J391" s="1">
        <f t="shared" si="45"/>
        <v>189.6</v>
      </c>
      <c r="L391" s="11">
        <v>42534</v>
      </c>
      <c r="M391" s="9">
        <v>3727</v>
      </c>
      <c r="N391" s="9">
        <v>1040</v>
      </c>
      <c r="O391" s="9">
        <v>1270</v>
      </c>
      <c r="P391" s="9">
        <v>0</v>
      </c>
      <c r="R391" s="11">
        <v>44849</v>
      </c>
      <c r="S391" s="9">
        <v>9291.6666666666661</v>
      </c>
      <c r="T391" s="9">
        <v>189.6</v>
      </c>
      <c r="U391" s="9"/>
    </row>
    <row r="392" spans="2:21" x14ac:dyDescent="0.4">
      <c r="B392" s="16">
        <f t="shared" si="42"/>
        <v>42535</v>
      </c>
      <c r="C392" s="1">
        <f t="shared" si="46"/>
        <v>3729</v>
      </c>
      <c r="D392" s="1">
        <f t="shared" si="47"/>
        <v>1040</v>
      </c>
      <c r="E392" s="1">
        <f t="shared" si="48"/>
        <v>1270</v>
      </c>
      <c r="F392" s="1"/>
      <c r="H392" s="16">
        <f t="shared" si="43"/>
        <v>44856</v>
      </c>
      <c r="I392" s="29">
        <f t="shared" si="44"/>
        <v>8985</v>
      </c>
      <c r="J392" s="1">
        <f t="shared" si="45"/>
        <v>187.1</v>
      </c>
      <c r="L392" s="11">
        <v>42535</v>
      </c>
      <c r="M392" s="9">
        <v>3729</v>
      </c>
      <c r="N392" s="9">
        <v>1040</v>
      </c>
      <c r="O392" s="9">
        <v>1270</v>
      </c>
      <c r="P392" s="9">
        <v>0</v>
      </c>
      <c r="R392" s="11">
        <v>44856</v>
      </c>
      <c r="S392" s="9">
        <v>8985</v>
      </c>
      <c r="T392" s="9">
        <v>187.1</v>
      </c>
      <c r="U392" s="9"/>
    </row>
    <row r="393" spans="2:21" x14ac:dyDescent="0.4">
      <c r="B393" s="16">
        <f t="shared" si="42"/>
        <v>42536</v>
      </c>
      <c r="C393" s="1">
        <f t="shared" si="46"/>
        <v>3727</v>
      </c>
      <c r="D393" s="1">
        <f t="shared" si="47"/>
        <v>1040</v>
      </c>
      <c r="E393" s="1">
        <f t="shared" si="48"/>
        <v>1270</v>
      </c>
      <c r="F393" s="1"/>
      <c r="H393" s="16">
        <f t="shared" si="43"/>
        <v>44863</v>
      </c>
      <c r="I393" s="29">
        <f t="shared" si="44"/>
        <v>8825</v>
      </c>
      <c r="J393" s="1">
        <f t="shared" si="45"/>
        <v>183.18</v>
      </c>
      <c r="L393" s="11">
        <v>42536</v>
      </c>
      <c r="M393" s="9">
        <v>3727</v>
      </c>
      <c r="N393" s="9">
        <v>1040</v>
      </c>
      <c r="O393" s="9">
        <v>1270</v>
      </c>
      <c r="P393" s="9">
        <v>0</v>
      </c>
      <c r="R393" s="11">
        <v>44863</v>
      </c>
      <c r="S393" s="9">
        <v>8825</v>
      </c>
      <c r="T393" s="9">
        <v>183.18</v>
      </c>
      <c r="U393" s="9"/>
    </row>
    <row r="394" spans="2:21" x14ac:dyDescent="0.4">
      <c r="B394" s="16">
        <f t="shared" si="42"/>
        <v>42537</v>
      </c>
      <c r="C394" s="1">
        <f t="shared" si="46"/>
        <v>3728</v>
      </c>
      <c r="D394" s="1">
        <f t="shared" si="47"/>
        <v>1040</v>
      </c>
      <c r="E394" s="1">
        <f t="shared" si="48"/>
        <v>1270</v>
      </c>
      <c r="F394" s="1"/>
      <c r="H394" s="16">
        <f t="shared" si="43"/>
        <v>44870</v>
      </c>
      <c r="I394" s="29">
        <f t="shared" si="44"/>
        <v>8430</v>
      </c>
      <c r="J394" s="1">
        <f t="shared" si="45"/>
        <v>177.97</v>
      </c>
      <c r="L394" s="11">
        <v>42537</v>
      </c>
      <c r="M394" s="9">
        <v>3728</v>
      </c>
      <c r="N394" s="9">
        <v>1040</v>
      </c>
      <c r="O394" s="9">
        <v>1270</v>
      </c>
      <c r="P394" s="9">
        <v>0</v>
      </c>
      <c r="R394" s="11">
        <v>44870</v>
      </c>
      <c r="S394" s="9">
        <v>8430</v>
      </c>
      <c r="T394" s="9">
        <v>177.97</v>
      </c>
      <c r="U394" s="9"/>
    </row>
    <row r="395" spans="2:21" x14ac:dyDescent="0.4">
      <c r="B395" s="16">
        <f t="shared" si="42"/>
        <v>42538</v>
      </c>
      <c r="C395" s="1">
        <f t="shared" si="46"/>
        <v>3720</v>
      </c>
      <c r="D395" s="1">
        <f t="shared" si="47"/>
        <v>1050</v>
      </c>
      <c r="E395" s="1">
        <f t="shared" si="48"/>
        <v>1270</v>
      </c>
      <c r="F395" s="1"/>
      <c r="H395" s="16">
        <f t="shared" si="43"/>
        <v>44877</v>
      </c>
      <c r="I395" s="29">
        <f t="shared" si="44"/>
        <v>8385</v>
      </c>
      <c r="J395" s="1">
        <f t="shared" si="45"/>
        <v>175.36</v>
      </c>
      <c r="L395" s="11">
        <v>42538</v>
      </c>
      <c r="M395" s="9">
        <v>3720</v>
      </c>
      <c r="N395" s="9">
        <v>1050</v>
      </c>
      <c r="O395" s="9">
        <v>1270</v>
      </c>
      <c r="P395" s="9">
        <v>0</v>
      </c>
      <c r="R395" s="11">
        <v>44877</v>
      </c>
      <c r="S395" s="9">
        <v>8385</v>
      </c>
      <c r="T395" s="9">
        <v>175.36</v>
      </c>
      <c r="U395" s="9"/>
    </row>
    <row r="396" spans="2:21" x14ac:dyDescent="0.4">
      <c r="B396" s="16">
        <f t="shared" si="42"/>
        <v>42541</v>
      </c>
      <c r="C396" s="1">
        <f t="shared" si="46"/>
        <v>3723</v>
      </c>
      <c r="D396" s="1">
        <f t="shared" si="47"/>
        <v>1050</v>
      </c>
      <c r="E396" s="1">
        <f t="shared" si="48"/>
        <v>1260</v>
      </c>
      <c r="F396" s="1"/>
      <c r="H396" s="16">
        <f t="shared" si="43"/>
        <v>44884</v>
      </c>
      <c r="I396" s="29">
        <f t="shared" si="44"/>
        <v>8145</v>
      </c>
      <c r="J396" s="1">
        <f t="shared" si="45"/>
        <v>175.36</v>
      </c>
      <c r="L396" s="11">
        <v>42541</v>
      </c>
      <c r="M396" s="9">
        <v>3723</v>
      </c>
      <c r="N396" s="9">
        <v>1050</v>
      </c>
      <c r="O396" s="9">
        <v>1260</v>
      </c>
      <c r="P396" s="9">
        <v>0</v>
      </c>
      <c r="R396" s="11">
        <v>44884</v>
      </c>
      <c r="S396" s="9">
        <v>8145</v>
      </c>
      <c r="T396" s="9">
        <v>175.36</v>
      </c>
      <c r="U396" s="9"/>
    </row>
    <row r="397" spans="2:21" x14ac:dyDescent="0.4">
      <c r="B397" s="16">
        <f t="shared" si="42"/>
        <v>42542</v>
      </c>
      <c r="C397" s="1">
        <f t="shared" si="46"/>
        <v>3733</v>
      </c>
      <c r="D397" s="1">
        <f t="shared" si="47"/>
        <v>1050</v>
      </c>
      <c r="E397" s="1">
        <f t="shared" si="48"/>
        <v>1260</v>
      </c>
      <c r="F397" s="1"/>
      <c r="H397" s="16">
        <f t="shared" si="43"/>
        <v>44891</v>
      </c>
      <c r="I397" s="29">
        <f t="shared" si="44"/>
        <v>8025</v>
      </c>
      <c r="J397" s="1">
        <f t="shared" si="45"/>
        <v>175.46</v>
      </c>
      <c r="L397" s="11">
        <v>42542</v>
      </c>
      <c r="M397" s="9">
        <v>3733</v>
      </c>
      <c r="N397" s="9">
        <v>1050</v>
      </c>
      <c r="O397" s="9">
        <v>1260</v>
      </c>
      <c r="P397" s="9">
        <v>0</v>
      </c>
      <c r="R397" s="11">
        <v>44891</v>
      </c>
      <c r="S397" s="9">
        <v>8025</v>
      </c>
      <c r="T397" s="9">
        <v>175.46</v>
      </c>
      <c r="U397" s="9"/>
    </row>
    <row r="398" spans="2:21" x14ac:dyDescent="0.4">
      <c r="B398" s="16">
        <f t="shared" si="42"/>
        <v>42543</v>
      </c>
      <c r="C398" s="1">
        <f t="shared" si="46"/>
        <v>3737</v>
      </c>
      <c r="D398" s="1">
        <f t="shared" si="47"/>
        <v>1060</v>
      </c>
      <c r="E398" s="1">
        <f t="shared" si="48"/>
        <v>1260</v>
      </c>
      <c r="F398" s="1"/>
      <c r="H398" s="16">
        <f t="shared" si="43"/>
        <v>44898</v>
      </c>
      <c r="I398" s="29">
        <f t="shared" si="44"/>
        <v>7880</v>
      </c>
      <c r="J398" s="1">
        <f t="shared" si="45"/>
        <v>172.85</v>
      </c>
      <c r="L398" s="11">
        <v>42543</v>
      </c>
      <c r="M398" s="9">
        <v>3737</v>
      </c>
      <c r="N398" s="9">
        <v>1060</v>
      </c>
      <c r="O398" s="9">
        <v>1260</v>
      </c>
      <c r="P398" s="9">
        <v>0</v>
      </c>
      <c r="R398" s="11">
        <v>44898</v>
      </c>
      <c r="S398" s="9">
        <v>7880</v>
      </c>
      <c r="T398" s="9">
        <v>172.85</v>
      </c>
      <c r="U398" s="9"/>
    </row>
    <row r="399" spans="2:21" x14ac:dyDescent="0.4">
      <c r="B399" s="16">
        <f t="shared" si="42"/>
        <v>42544</v>
      </c>
      <c r="C399" s="1">
        <f t="shared" si="46"/>
        <v>3744</v>
      </c>
      <c r="D399" s="1">
        <f t="shared" si="47"/>
        <v>1060</v>
      </c>
      <c r="E399" s="1">
        <f t="shared" si="48"/>
        <v>1260</v>
      </c>
      <c r="F399" s="1"/>
      <c r="H399" s="16">
        <f t="shared" si="43"/>
        <v>44905</v>
      </c>
      <c r="I399" s="29">
        <f t="shared" si="44"/>
        <v>7950</v>
      </c>
      <c r="J399" s="1">
        <f t="shared" si="45"/>
        <v>167.64</v>
      </c>
      <c r="L399" s="11">
        <v>42544</v>
      </c>
      <c r="M399" s="9">
        <v>3744</v>
      </c>
      <c r="N399" s="9">
        <v>1060</v>
      </c>
      <c r="O399" s="9">
        <v>1260</v>
      </c>
      <c r="P399" s="9">
        <v>0</v>
      </c>
      <c r="R399" s="11">
        <v>44905</v>
      </c>
      <c r="S399" s="9">
        <v>7950</v>
      </c>
      <c r="T399" s="9">
        <v>167.64</v>
      </c>
      <c r="U399" s="9"/>
    </row>
    <row r="400" spans="2:21" x14ac:dyDescent="0.4">
      <c r="B400" s="16">
        <f t="shared" si="42"/>
        <v>42545</v>
      </c>
      <c r="C400" s="1">
        <f t="shared" si="46"/>
        <v>3767</v>
      </c>
      <c r="D400" s="1">
        <f t="shared" si="47"/>
        <v>1090</v>
      </c>
      <c r="E400" s="1">
        <f t="shared" si="48"/>
        <v>1260</v>
      </c>
      <c r="F400" s="1"/>
      <c r="H400" s="16">
        <f t="shared" si="43"/>
        <v>44912</v>
      </c>
      <c r="I400" s="29">
        <f t="shared" si="44"/>
        <v>8270</v>
      </c>
      <c r="J400" s="1">
        <f t="shared" si="45"/>
        <v>165.03</v>
      </c>
      <c r="L400" s="11">
        <v>42545</v>
      </c>
      <c r="M400" s="9">
        <v>3767</v>
      </c>
      <c r="N400" s="9">
        <v>1090</v>
      </c>
      <c r="O400" s="9">
        <v>1260</v>
      </c>
      <c r="P400" s="9">
        <v>0</v>
      </c>
      <c r="R400" s="11">
        <v>44912</v>
      </c>
      <c r="S400" s="9">
        <v>8270</v>
      </c>
      <c r="T400" s="9">
        <v>165.03</v>
      </c>
      <c r="U400" s="9"/>
    </row>
    <row r="401" spans="2:21" x14ac:dyDescent="0.4">
      <c r="B401" s="16">
        <f t="shared" si="42"/>
        <v>42548</v>
      </c>
      <c r="C401" s="1">
        <f t="shared" si="46"/>
        <v>3764</v>
      </c>
      <c r="D401" s="1">
        <f t="shared" si="47"/>
        <v>1090</v>
      </c>
      <c r="E401" s="1">
        <f t="shared" si="48"/>
        <v>1260</v>
      </c>
      <c r="F401" s="1"/>
      <c r="H401" s="16">
        <f t="shared" si="43"/>
        <v>44919</v>
      </c>
      <c r="I401" s="29">
        <f t="shared" si="44"/>
        <v>8400</v>
      </c>
      <c r="J401" s="1">
        <f t="shared" si="45"/>
        <v>170.24</v>
      </c>
      <c r="L401" s="11">
        <v>42548</v>
      </c>
      <c r="M401" s="9">
        <v>3764</v>
      </c>
      <c r="N401" s="9">
        <v>1090</v>
      </c>
      <c r="O401" s="9">
        <v>1260</v>
      </c>
      <c r="P401" s="9">
        <v>0</v>
      </c>
      <c r="R401" s="11">
        <v>44919</v>
      </c>
      <c r="S401" s="9">
        <v>8400</v>
      </c>
      <c r="T401" s="9">
        <v>170.24</v>
      </c>
      <c r="U401" s="9"/>
    </row>
    <row r="402" spans="2:21" x14ac:dyDescent="0.4">
      <c r="B402" s="16">
        <f t="shared" si="42"/>
        <v>42549</v>
      </c>
      <c r="C402" s="1">
        <f t="shared" si="46"/>
        <v>3781</v>
      </c>
      <c r="D402" s="1">
        <f t="shared" si="47"/>
        <v>1090</v>
      </c>
      <c r="E402" s="1">
        <f t="shared" si="48"/>
        <v>1260</v>
      </c>
      <c r="F402" s="1"/>
      <c r="H402" s="16">
        <f t="shared" si="43"/>
        <v>44926</v>
      </c>
      <c r="I402" s="29">
        <f t="shared" si="44"/>
        <v>8450</v>
      </c>
      <c r="J402" s="1">
        <f t="shared" si="45"/>
        <v>169.92</v>
      </c>
      <c r="L402" s="11">
        <v>42549</v>
      </c>
      <c r="M402" s="9">
        <v>3781</v>
      </c>
      <c r="N402" s="9">
        <v>1090</v>
      </c>
      <c r="O402" s="9">
        <v>1260</v>
      </c>
      <c r="P402" s="9">
        <v>0</v>
      </c>
      <c r="R402" s="11">
        <v>44926</v>
      </c>
      <c r="S402" s="9">
        <v>8450</v>
      </c>
      <c r="T402" s="9">
        <v>169.92</v>
      </c>
      <c r="U402" s="9"/>
    </row>
    <row r="403" spans="2:21" x14ac:dyDescent="0.4">
      <c r="B403" s="16">
        <f t="shared" si="42"/>
        <v>42550</v>
      </c>
      <c r="C403" s="1">
        <f t="shared" si="46"/>
        <v>3786</v>
      </c>
      <c r="D403" s="1">
        <f t="shared" si="47"/>
        <v>1095</v>
      </c>
      <c r="E403" s="1">
        <f t="shared" si="48"/>
        <v>1260</v>
      </c>
      <c r="F403" s="1"/>
      <c r="H403" s="16">
        <f t="shared" si="43"/>
        <v>44933</v>
      </c>
      <c r="I403" s="29">
        <f t="shared" si="44"/>
        <v>8631.25</v>
      </c>
      <c r="J403" s="1">
        <f t="shared" si="45"/>
        <v>162.1</v>
      </c>
      <c r="L403" s="11">
        <v>42550</v>
      </c>
      <c r="M403" s="9">
        <v>3786</v>
      </c>
      <c r="N403" s="9">
        <v>1095</v>
      </c>
      <c r="O403" s="9">
        <v>1260</v>
      </c>
      <c r="P403" s="9">
        <v>0</v>
      </c>
      <c r="R403" s="11">
        <v>44933</v>
      </c>
      <c r="S403" s="9">
        <v>8631.25</v>
      </c>
      <c r="T403" s="9">
        <v>162.1</v>
      </c>
      <c r="U403" s="9"/>
    </row>
    <row r="404" spans="2:21" x14ac:dyDescent="0.4">
      <c r="B404" s="16">
        <f t="shared" si="42"/>
        <v>42551</v>
      </c>
      <c r="C404" s="1">
        <f t="shared" si="46"/>
        <v>3793</v>
      </c>
      <c r="D404" s="1">
        <f t="shared" si="47"/>
        <v>1125</v>
      </c>
      <c r="E404" s="1">
        <f t="shared" si="48"/>
        <v>1260</v>
      </c>
      <c r="F404" s="1"/>
      <c r="H404" s="16">
        <f t="shared" si="43"/>
        <v>44940</v>
      </c>
      <c r="I404" s="29">
        <f t="shared" si="44"/>
        <v>8615</v>
      </c>
      <c r="J404" s="1">
        <f t="shared" si="45"/>
        <v>162.1</v>
      </c>
      <c r="L404" s="11">
        <v>42551</v>
      </c>
      <c r="M404" s="9">
        <v>3793</v>
      </c>
      <c r="N404" s="9">
        <v>1125</v>
      </c>
      <c r="O404" s="9">
        <v>1260</v>
      </c>
      <c r="P404" s="9">
        <v>0</v>
      </c>
      <c r="R404" s="11">
        <v>44940</v>
      </c>
      <c r="S404" s="9">
        <v>8615</v>
      </c>
      <c r="T404" s="9">
        <v>162.1</v>
      </c>
      <c r="U404" s="9"/>
    </row>
    <row r="405" spans="2:21" x14ac:dyDescent="0.4">
      <c r="B405" s="16">
        <f t="shared" si="42"/>
        <v>42552</v>
      </c>
      <c r="C405" s="1">
        <f t="shared" si="46"/>
        <v>3804</v>
      </c>
      <c r="D405" s="1">
        <f t="shared" si="47"/>
        <v>1125</v>
      </c>
      <c r="E405" s="1">
        <f t="shared" si="48"/>
        <v>1260</v>
      </c>
      <c r="F405" s="1"/>
      <c r="H405" s="16">
        <f t="shared" si="43"/>
        <v>44947</v>
      </c>
      <c r="I405" s="29">
        <f t="shared" si="44"/>
        <v>8610</v>
      </c>
      <c r="J405" s="1">
        <f t="shared" si="45"/>
        <v>162.1</v>
      </c>
      <c r="L405" s="11">
        <v>42552</v>
      </c>
      <c r="M405" s="9">
        <v>3804</v>
      </c>
      <c r="N405" s="9">
        <v>1125</v>
      </c>
      <c r="O405" s="9">
        <v>1260</v>
      </c>
      <c r="P405" s="9">
        <v>0</v>
      </c>
      <c r="R405" s="11">
        <v>44947</v>
      </c>
      <c r="S405" s="9">
        <v>8610</v>
      </c>
      <c r="T405" s="9">
        <v>0</v>
      </c>
      <c r="U405" s="9"/>
    </row>
    <row r="406" spans="2:21" x14ac:dyDescent="0.4">
      <c r="B406" s="16">
        <f t="shared" si="42"/>
        <v>42555</v>
      </c>
      <c r="C406" s="1">
        <f t="shared" si="46"/>
        <v>3831</v>
      </c>
      <c r="D406" s="1">
        <f t="shared" si="47"/>
        <v>1125</v>
      </c>
      <c r="E406" s="1">
        <f t="shared" si="48"/>
        <v>1280</v>
      </c>
      <c r="F406" s="1"/>
      <c r="H406" s="16">
        <f t="shared" si="43"/>
        <v>44954</v>
      </c>
      <c r="I406" s="29">
        <f t="shared" si="44"/>
        <v>8775</v>
      </c>
      <c r="J406" s="1">
        <f t="shared" si="45"/>
        <v>162.1</v>
      </c>
      <c r="L406" s="11">
        <v>42555</v>
      </c>
      <c r="M406" s="9">
        <v>3831</v>
      </c>
      <c r="N406" s="9">
        <v>1125</v>
      </c>
      <c r="O406" s="9">
        <v>1280</v>
      </c>
      <c r="P406" s="9">
        <v>0</v>
      </c>
      <c r="R406" s="11">
        <v>44954</v>
      </c>
      <c r="S406" s="9">
        <v>8775</v>
      </c>
      <c r="T406" s="9">
        <v>162.1</v>
      </c>
      <c r="U406" s="9"/>
    </row>
    <row r="407" spans="2:21" x14ac:dyDescent="0.4">
      <c r="B407" s="16">
        <f t="shared" si="42"/>
        <v>42556</v>
      </c>
      <c r="C407" s="1">
        <f t="shared" si="46"/>
        <v>3847</v>
      </c>
      <c r="D407" s="1">
        <f t="shared" si="47"/>
        <v>1125</v>
      </c>
      <c r="E407" s="1">
        <f t="shared" si="48"/>
        <v>1280</v>
      </c>
      <c r="F407" s="1"/>
      <c r="H407" s="16">
        <f t="shared" si="43"/>
        <v>44961</v>
      </c>
      <c r="I407" s="29">
        <f t="shared" si="44"/>
        <v>8775</v>
      </c>
      <c r="J407" s="1">
        <f t="shared" si="45"/>
        <v>160.12</v>
      </c>
      <c r="L407" s="11">
        <v>42556</v>
      </c>
      <c r="M407" s="9">
        <v>3847</v>
      </c>
      <c r="N407" s="9">
        <v>1125</v>
      </c>
      <c r="O407" s="9">
        <v>1280</v>
      </c>
      <c r="P407" s="9">
        <v>0</v>
      </c>
      <c r="R407" s="11">
        <v>44961</v>
      </c>
      <c r="S407" s="9">
        <v>8775</v>
      </c>
      <c r="T407" s="9">
        <v>160.12</v>
      </c>
      <c r="U407" s="9"/>
    </row>
    <row r="408" spans="2:21" x14ac:dyDescent="0.4">
      <c r="B408" s="16">
        <f t="shared" si="42"/>
        <v>42557</v>
      </c>
      <c r="C408" s="1">
        <f t="shared" si="46"/>
        <v>3841</v>
      </c>
      <c r="D408" s="1">
        <f t="shared" si="47"/>
        <v>1125</v>
      </c>
      <c r="E408" s="1">
        <f t="shared" si="48"/>
        <v>1280</v>
      </c>
      <c r="F408" s="1"/>
      <c r="H408" s="16">
        <f t="shared" si="43"/>
        <v>44968</v>
      </c>
      <c r="I408" s="29">
        <f t="shared" si="44"/>
        <v>8735</v>
      </c>
      <c r="J408" s="1">
        <f t="shared" si="45"/>
        <v>155.32</v>
      </c>
      <c r="L408" s="11">
        <v>42557</v>
      </c>
      <c r="M408" s="9">
        <v>3841</v>
      </c>
      <c r="N408" s="9">
        <v>1125</v>
      </c>
      <c r="O408" s="9">
        <v>1280</v>
      </c>
      <c r="P408" s="9">
        <v>0</v>
      </c>
      <c r="R408" s="11">
        <v>44968</v>
      </c>
      <c r="S408" s="9">
        <v>8735</v>
      </c>
      <c r="T408" s="9">
        <v>155.32</v>
      </c>
      <c r="U408" s="9"/>
    </row>
    <row r="409" spans="2:21" x14ac:dyDescent="0.4">
      <c r="B409" s="16">
        <f t="shared" si="42"/>
        <v>42558</v>
      </c>
      <c r="C409" s="1">
        <f t="shared" si="46"/>
        <v>3849</v>
      </c>
      <c r="D409" s="1">
        <f t="shared" si="47"/>
        <v>1125</v>
      </c>
      <c r="E409" s="1">
        <f t="shared" si="48"/>
        <v>1280</v>
      </c>
      <c r="F409" s="1"/>
      <c r="H409" s="16">
        <f t="shared" si="43"/>
        <v>44975</v>
      </c>
      <c r="I409" s="29">
        <f t="shared" si="44"/>
        <v>8675</v>
      </c>
      <c r="J409" s="1">
        <f t="shared" si="45"/>
        <v>153.44999999999999</v>
      </c>
      <c r="L409" s="11">
        <v>42558</v>
      </c>
      <c r="M409" s="9">
        <v>3849</v>
      </c>
      <c r="N409" s="9">
        <v>1125</v>
      </c>
      <c r="O409" s="9">
        <v>1280</v>
      </c>
      <c r="P409" s="9">
        <v>0</v>
      </c>
      <c r="R409" s="11">
        <v>44975</v>
      </c>
      <c r="S409" s="9">
        <v>8675</v>
      </c>
      <c r="T409" s="9">
        <v>153.44999999999999</v>
      </c>
      <c r="U409" s="9"/>
    </row>
    <row r="410" spans="2:21" x14ac:dyDescent="0.4">
      <c r="B410" s="16">
        <f t="shared" si="42"/>
        <v>42559</v>
      </c>
      <c r="C410" s="1">
        <f t="shared" si="46"/>
        <v>3842</v>
      </c>
      <c r="D410" s="1">
        <f t="shared" si="47"/>
        <v>1135</v>
      </c>
      <c r="E410" s="1">
        <f t="shared" si="48"/>
        <v>1280</v>
      </c>
      <c r="F410" s="1"/>
      <c r="H410" s="16">
        <f t="shared" si="43"/>
        <v>44982</v>
      </c>
      <c r="I410" s="29">
        <f t="shared" si="44"/>
        <v>8690</v>
      </c>
      <c r="J410" s="1">
        <f t="shared" si="45"/>
        <v>145.41999999999999</v>
      </c>
      <c r="L410" s="11">
        <v>42559</v>
      </c>
      <c r="M410" s="9">
        <v>3842</v>
      </c>
      <c r="N410" s="9">
        <v>1135</v>
      </c>
      <c r="O410" s="9">
        <v>1280</v>
      </c>
      <c r="P410" s="9">
        <v>0</v>
      </c>
      <c r="R410" s="11">
        <v>44982</v>
      </c>
      <c r="S410" s="9">
        <v>8690</v>
      </c>
      <c r="T410" s="9">
        <v>145.41999999999999</v>
      </c>
      <c r="U410" s="9"/>
    </row>
    <row r="411" spans="2:21" x14ac:dyDescent="0.4">
      <c r="B411" s="16">
        <f t="shared" si="42"/>
        <v>42562</v>
      </c>
      <c r="C411" s="1">
        <f t="shared" si="46"/>
        <v>3838</v>
      </c>
      <c r="D411" s="1">
        <f t="shared" si="47"/>
        <v>1135</v>
      </c>
      <c r="E411" s="1">
        <f t="shared" si="48"/>
        <v>1280</v>
      </c>
      <c r="F411" s="1"/>
      <c r="H411" s="16">
        <f t="shared" si="43"/>
        <v>44989</v>
      </c>
      <c r="I411" s="29">
        <f t="shared" si="44"/>
        <v>8715</v>
      </c>
      <c r="J411" s="1">
        <f t="shared" si="45"/>
        <v>140.19999999999999</v>
      </c>
      <c r="L411" s="11">
        <v>42562</v>
      </c>
      <c r="M411" s="9">
        <v>3838</v>
      </c>
      <c r="N411" s="9">
        <v>1135</v>
      </c>
      <c r="O411" s="9">
        <v>1280</v>
      </c>
      <c r="P411" s="9">
        <v>0</v>
      </c>
      <c r="R411" s="11">
        <v>44989</v>
      </c>
      <c r="S411" s="9">
        <v>8715</v>
      </c>
      <c r="T411" s="9">
        <v>140.19999999999999</v>
      </c>
      <c r="U411" s="9"/>
    </row>
    <row r="412" spans="2:21" x14ac:dyDescent="0.4">
      <c r="B412" s="16">
        <f t="shared" si="42"/>
        <v>42563</v>
      </c>
      <c r="C412" s="1">
        <f t="shared" si="46"/>
        <v>3843</v>
      </c>
      <c r="D412" s="1">
        <f t="shared" si="47"/>
        <v>1135</v>
      </c>
      <c r="E412" s="1">
        <f t="shared" si="48"/>
        <v>1290</v>
      </c>
      <c r="F412" s="1"/>
      <c r="H412" s="16">
        <f t="shared" si="43"/>
        <v>44996</v>
      </c>
      <c r="I412" s="29">
        <f t="shared" si="44"/>
        <v>8890</v>
      </c>
      <c r="J412" s="1">
        <f t="shared" si="45"/>
        <v>130.96</v>
      </c>
      <c r="L412" s="11">
        <v>42563</v>
      </c>
      <c r="M412" s="9">
        <v>3843</v>
      </c>
      <c r="N412" s="9">
        <v>1135</v>
      </c>
      <c r="O412" s="9">
        <v>1290</v>
      </c>
      <c r="P412" s="9">
        <v>0</v>
      </c>
      <c r="R412" s="11">
        <v>44996</v>
      </c>
      <c r="S412" s="9">
        <v>8890</v>
      </c>
      <c r="T412" s="9">
        <v>130.96</v>
      </c>
      <c r="U412" s="9"/>
    </row>
    <row r="413" spans="2:21" x14ac:dyDescent="0.4">
      <c r="B413" s="16">
        <f t="shared" si="42"/>
        <v>42564</v>
      </c>
      <c r="C413" s="1">
        <f t="shared" si="46"/>
        <v>3856</v>
      </c>
      <c r="D413" s="1">
        <f t="shared" si="47"/>
        <v>1135</v>
      </c>
      <c r="E413" s="1">
        <f t="shared" si="48"/>
        <v>1290</v>
      </c>
      <c r="F413" s="1"/>
      <c r="H413" s="16">
        <f t="shared" si="43"/>
        <v>45003</v>
      </c>
      <c r="I413" s="29">
        <f t="shared" si="44"/>
        <v>8740</v>
      </c>
      <c r="J413" s="1">
        <f t="shared" si="45"/>
        <v>128.22</v>
      </c>
      <c r="L413" s="11">
        <v>42564</v>
      </c>
      <c r="M413" s="9">
        <v>3856</v>
      </c>
      <c r="N413" s="9">
        <v>1135</v>
      </c>
      <c r="O413" s="9">
        <v>1290</v>
      </c>
      <c r="P413" s="9">
        <v>0</v>
      </c>
      <c r="R413" s="11">
        <v>45003</v>
      </c>
      <c r="S413" s="9">
        <v>8740</v>
      </c>
      <c r="T413" s="9">
        <v>128.22</v>
      </c>
      <c r="U413" s="9"/>
    </row>
    <row r="414" spans="2:21" x14ac:dyDescent="0.4">
      <c r="B414" s="16">
        <f t="shared" si="42"/>
        <v>42565</v>
      </c>
      <c r="C414" s="1">
        <f t="shared" si="46"/>
        <v>3855</v>
      </c>
      <c r="D414" s="1">
        <f t="shared" si="47"/>
        <v>1135</v>
      </c>
      <c r="E414" s="1">
        <f t="shared" si="48"/>
        <v>1290</v>
      </c>
      <c r="F414" s="1"/>
      <c r="H414" s="16">
        <f t="shared" si="43"/>
        <v>45010</v>
      </c>
      <c r="I414" s="29">
        <f t="shared" si="44"/>
        <v>8835</v>
      </c>
      <c r="J414" s="1">
        <f t="shared" si="45"/>
        <v>128.22</v>
      </c>
      <c r="L414" s="11">
        <v>42565</v>
      </c>
      <c r="M414" s="9">
        <v>3855</v>
      </c>
      <c r="N414" s="9">
        <v>1135</v>
      </c>
      <c r="O414" s="9">
        <v>1290</v>
      </c>
      <c r="P414" s="9">
        <v>0</v>
      </c>
      <c r="R414" s="11">
        <v>45010</v>
      </c>
      <c r="S414" s="9">
        <v>8835</v>
      </c>
      <c r="T414" s="9">
        <v>128.22</v>
      </c>
      <c r="U414" s="9"/>
    </row>
    <row r="415" spans="2:21" x14ac:dyDescent="0.4">
      <c r="B415" s="16">
        <f t="shared" si="42"/>
        <v>42566</v>
      </c>
      <c r="C415" s="1">
        <f t="shared" si="46"/>
        <v>3856</v>
      </c>
      <c r="D415" s="1">
        <f t="shared" si="47"/>
        <v>1135</v>
      </c>
      <c r="E415" s="1">
        <f t="shared" si="48"/>
        <v>1290</v>
      </c>
      <c r="F415" s="1"/>
      <c r="H415" s="16">
        <f t="shared" si="43"/>
        <v>45017</v>
      </c>
      <c r="I415" s="29">
        <f t="shared" si="44"/>
        <v>8995</v>
      </c>
      <c r="J415" s="1">
        <f t="shared" si="45"/>
        <v>128.22</v>
      </c>
      <c r="L415" s="11">
        <v>42566</v>
      </c>
      <c r="M415" s="9">
        <v>3856</v>
      </c>
      <c r="N415" s="9">
        <v>1135</v>
      </c>
      <c r="O415" s="9">
        <v>1290</v>
      </c>
      <c r="P415" s="9">
        <v>0</v>
      </c>
      <c r="R415" s="11">
        <v>45017</v>
      </c>
      <c r="S415" s="9">
        <v>8995</v>
      </c>
      <c r="T415" s="9">
        <v>128.22</v>
      </c>
      <c r="U415" s="9"/>
    </row>
    <row r="416" spans="2:21" x14ac:dyDescent="0.4">
      <c r="B416" s="16">
        <f t="shared" si="42"/>
        <v>42569</v>
      </c>
      <c r="C416" s="1">
        <f t="shared" si="46"/>
        <v>3855</v>
      </c>
      <c r="D416" s="1">
        <f t="shared" si="47"/>
        <v>1135</v>
      </c>
      <c r="E416" s="1">
        <f t="shared" si="48"/>
        <v>1290</v>
      </c>
      <c r="F416" s="1"/>
      <c r="H416" s="16">
        <f t="shared" si="43"/>
        <v>45024</v>
      </c>
      <c r="I416" s="29">
        <f t="shared" si="44"/>
        <v>9243.75</v>
      </c>
      <c r="J416" s="1">
        <f t="shared" si="45"/>
        <v>121.45</v>
      </c>
      <c r="L416" s="11">
        <v>42569</v>
      </c>
      <c r="M416" s="9">
        <v>3855</v>
      </c>
      <c r="N416" s="9">
        <v>1135</v>
      </c>
      <c r="O416" s="9">
        <v>1290</v>
      </c>
      <c r="P416" s="9">
        <v>0</v>
      </c>
      <c r="R416" s="11">
        <v>45024</v>
      </c>
      <c r="S416" s="9">
        <v>9243.75</v>
      </c>
      <c r="T416" s="9">
        <v>121.45</v>
      </c>
      <c r="U416" s="9"/>
    </row>
    <row r="417" spans="2:21" x14ac:dyDescent="0.4">
      <c r="B417" s="16">
        <f t="shared" si="42"/>
        <v>42570</v>
      </c>
      <c r="C417" s="1">
        <f t="shared" si="46"/>
        <v>3847</v>
      </c>
      <c r="D417" s="1">
        <f t="shared" si="47"/>
        <v>1135</v>
      </c>
      <c r="E417" s="1">
        <f t="shared" si="48"/>
        <v>1290</v>
      </c>
      <c r="F417" s="1"/>
      <c r="H417" s="16">
        <f t="shared" si="43"/>
        <v>45031</v>
      </c>
      <c r="I417" s="29">
        <f t="shared" si="44"/>
        <v>9110</v>
      </c>
      <c r="J417" s="1">
        <f t="shared" si="45"/>
        <v>115.99</v>
      </c>
      <c r="L417" s="11">
        <v>42570</v>
      </c>
      <c r="M417" s="9">
        <v>3847</v>
      </c>
      <c r="N417" s="9">
        <v>1135</v>
      </c>
      <c r="O417" s="9">
        <v>1290</v>
      </c>
      <c r="P417" s="9">
        <v>0</v>
      </c>
      <c r="R417" s="11">
        <v>45031</v>
      </c>
      <c r="S417" s="9">
        <v>9110</v>
      </c>
      <c r="T417" s="9">
        <v>115.99</v>
      </c>
      <c r="U417" s="9"/>
    </row>
    <row r="418" spans="2:21" x14ac:dyDescent="0.4">
      <c r="B418" s="16">
        <f t="shared" si="42"/>
        <v>42571</v>
      </c>
      <c r="C418" s="1">
        <f t="shared" si="46"/>
        <v>3840</v>
      </c>
      <c r="D418" s="1">
        <f t="shared" si="47"/>
        <v>1135</v>
      </c>
      <c r="E418" s="1">
        <f t="shared" si="48"/>
        <v>1260</v>
      </c>
      <c r="F418" s="1"/>
      <c r="H418" s="16">
        <f t="shared" si="43"/>
        <v>45038</v>
      </c>
      <c r="I418" s="29">
        <f t="shared" si="44"/>
        <v>9040</v>
      </c>
      <c r="J418" s="1">
        <f t="shared" si="45"/>
        <v>112.07</v>
      </c>
      <c r="L418" s="11">
        <v>42571</v>
      </c>
      <c r="M418" s="9">
        <v>3840</v>
      </c>
      <c r="N418" s="9">
        <v>1135</v>
      </c>
      <c r="O418" s="9">
        <v>1260</v>
      </c>
      <c r="P418" s="9">
        <v>0</v>
      </c>
      <c r="R418" s="11">
        <v>45038</v>
      </c>
      <c r="S418" s="9">
        <v>9040</v>
      </c>
      <c r="T418" s="9">
        <v>112.07</v>
      </c>
      <c r="U418" s="9"/>
    </row>
    <row r="419" spans="2:21" x14ac:dyDescent="0.4">
      <c r="B419" s="16">
        <f t="shared" si="42"/>
        <v>42572</v>
      </c>
      <c r="C419" s="1">
        <f t="shared" si="46"/>
        <v>3841</v>
      </c>
      <c r="D419" s="1">
        <f t="shared" si="47"/>
        <v>1135</v>
      </c>
      <c r="E419" s="1">
        <f t="shared" si="48"/>
        <v>1260</v>
      </c>
      <c r="F419" s="1"/>
      <c r="H419" s="16">
        <f t="shared" si="43"/>
        <v>45045</v>
      </c>
      <c r="I419" s="29">
        <f t="shared" si="44"/>
        <v>8845</v>
      </c>
      <c r="J419" s="1">
        <f t="shared" si="45"/>
        <v>110.87</v>
      </c>
      <c r="L419" s="11">
        <v>42572</v>
      </c>
      <c r="M419" s="9">
        <v>3841</v>
      </c>
      <c r="N419" s="9">
        <v>1135</v>
      </c>
      <c r="O419" s="9">
        <v>1260</v>
      </c>
      <c r="P419" s="9">
        <v>0</v>
      </c>
      <c r="R419" s="11">
        <v>45045</v>
      </c>
      <c r="S419" s="9">
        <v>8845</v>
      </c>
      <c r="T419" s="9">
        <v>110.87</v>
      </c>
      <c r="U419" s="9"/>
    </row>
    <row r="420" spans="2:21" x14ac:dyDescent="0.4">
      <c r="B420" s="16">
        <f t="shared" si="42"/>
        <v>42573</v>
      </c>
      <c r="C420" s="1">
        <f t="shared" si="46"/>
        <v>3847</v>
      </c>
      <c r="D420" s="1">
        <f t="shared" si="47"/>
        <v>1120</v>
      </c>
      <c r="E420" s="1">
        <f t="shared" si="48"/>
        <v>1260</v>
      </c>
      <c r="F420" s="1"/>
      <c r="H420" s="16">
        <f t="shared" si="43"/>
        <v>45052</v>
      </c>
      <c r="I420" s="29">
        <f t="shared" si="44"/>
        <v>8758.3333333333339</v>
      </c>
      <c r="J420" s="1">
        <f t="shared" si="45"/>
        <v>109.57</v>
      </c>
      <c r="L420" s="11">
        <v>42573</v>
      </c>
      <c r="M420" s="9">
        <v>3847</v>
      </c>
      <c r="N420" s="9">
        <v>1120</v>
      </c>
      <c r="O420" s="9">
        <v>1260</v>
      </c>
      <c r="P420" s="9">
        <v>0</v>
      </c>
      <c r="R420" s="11">
        <v>45052</v>
      </c>
      <c r="S420" s="9">
        <v>8758.3333333333339</v>
      </c>
      <c r="T420" s="9">
        <v>109.57</v>
      </c>
      <c r="U420" s="9"/>
    </row>
    <row r="421" spans="2:21" x14ac:dyDescent="0.4">
      <c r="B421" s="16">
        <f t="shared" si="42"/>
        <v>42576</v>
      </c>
      <c r="C421" s="1">
        <f t="shared" si="46"/>
        <v>3844</v>
      </c>
      <c r="D421" s="1">
        <f t="shared" si="47"/>
        <v>1120</v>
      </c>
      <c r="E421" s="1">
        <f t="shared" si="48"/>
        <v>1240</v>
      </c>
      <c r="F421" s="1"/>
      <c r="H421" s="16">
        <f t="shared" si="43"/>
        <v>45059</v>
      </c>
      <c r="I421" s="29">
        <f t="shared" si="44"/>
        <v>8720</v>
      </c>
      <c r="J421" s="1">
        <f t="shared" si="45"/>
        <v>106.96</v>
      </c>
      <c r="L421" s="11">
        <v>42576</v>
      </c>
      <c r="M421" s="9">
        <v>3844</v>
      </c>
      <c r="N421" s="9">
        <v>1120</v>
      </c>
      <c r="O421" s="9">
        <v>1240</v>
      </c>
      <c r="P421" s="9">
        <v>0</v>
      </c>
      <c r="R421" s="11">
        <v>45059</v>
      </c>
      <c r="S421" s="9">
        <v>8720</v>
      </c>
      <c r="T421" s="9">
        <v>106.96</v>
      </c>
      <c r="U421" s="9"/>
    </row>
    <row r="422" spans="2:21" x14ac:dyDescent="0.4">
      <c r="B422" s="16">
        <f t="shared" si="42"/>
        <v>42577</v>
      </c>
      <c r="C422" s="1">
        <f t="shared" si="46"/>
        <v>3830</v>
      </c>
      <c r="D422" s="1">
        <f t="shared" si="47"/>
        <v>1095</v>
      </c>
      <c r="E422" s="1">
        <f t="shared" si="48"/>
        <v>1220</v>
      </c>
      <c r="F422" s="1"/>
      <c r="H422" s="16">
        <f t="shared" si="43"/>
        <v>45066</v>
      </c>
      <c r="I422" s="29">
        <f t="shared" si="44"/>
        <v>8615</v>
      </c>
      <c r="J422" s="1">
        <f t="shared" si="45"/>
        <v>103.05</v>
      </c>
      <c r="L422" s="11">
        <v>42577</v>
      </c>
      <c r="M422" s="9">
        <v>3830</v>
      </c>
      <c r="N422" s="9">
        <v>1095</v>
      </c>
      <c r="O422" s="9">
        <v>1220</v>
      </c>
      <c r="P422" s="9">
        <v>0</v>
      </c>
      <c r="R422" s="11">
        <v>45066</v>
      </c>
      <c r="S422" s="9">
        <v>8615</v>
      </c>
      <c r="T422" s="9">
        <v>103.05</v>
      </c>
      <c r="U422" s="9"/>
    </row>
    <row r="423" spans="2:21" x14ac:dyDescent="0.4">
      <c r="B423" s="16">
        <f t="shared" si="42"/>
        <v>42578</v>
      </c>
      <c r="C423" s="1">
        <f t="shared" si="46"/>
        <v>3829</v>
      </c>
      <c r="D423" s="1">
        <f t="shared" si="47"/>
        <v>1095</v>
      </c>
      <c r="E423" s="1">
        <f t="shared" si="48"/>
        <v>1200</v>
      </c>
      <c r="F423" s="1"/>
      <c r="H423" s="16">
        <f t="shared" si="43"/>
        <v>45073</v>
      </c>
      <c r="I423" s="29">
        <f t="shared" si="44"/>
        <v>8605</v>
      </c>
      <c r="J423" s="1">
        <f t="shared" si="45"/>
        <v>101.75</v>
      </c>
      <c r="L423" s="11">
        <v>42578</v>
      </c>
      <c r="M423" s="9">
        <v>3829</v>
      </c>
      <c r="N423" s="9">
        <v>1095</v>
      </c>
      <c r="O423" s="9">
        <v>1200</v>
      </c>
      <c r="P423" s="9">
        <v>0</v>
      </c>
      <c r="R423" s="11">
        <v>45073</v>
      </c>
      <c r="S423" s="9">
        <v>8605</v>
      </c>
      <c r="T423" s="9">
        <v>101.75</v>
      </c>
      <c r="U423" s="9"/>
    </row>
    <row r="424" spans="2:21" x14ac:dyDescent="0.4">
      <c r="B424" s="16">
        <f t="shared" si="42"/>
        <v>42579</v>
      </c>
      <c r="C424" s="1">
        <f t="shared" si="46"/>
        <v>3831</v>
      </c>
      <c r="D424" s="1">
        <f t="shared" si="47"/>
        <v>1095</v>
      </c>
      <c r="E424" s="1">
        <f t="shared" si="48"/>
        <v>1180</v>
      </c>
      <c r="F424" s="1"/>
      <c r="H424" s="16">
        <f t="shared" si="43"/>
        <v>45080</v>
      </c>
      <c r="I424" s="29">
        <f t="shared" si="44"/>
        <v>8785</v>
      </c>
      <c r="J424" s="1">
        <f t="shared" si="45"/>
        <v>99.14</v>
      </c>
      <c r="L424" s="11">
        <v>42579</v>
      </c>
      <c r="M424" s="9">
        <v>3831</v>
      </c>
      <c r="N424" s="9">
        <v>1095</v>
      </c>
      <c r="O424" s="9">
        <v>1180</v>
      </c>
      <c r="P424" s="9">
        <v>0</v>
      </c>
      <c r="R424" s="11">
        <v>45080</v>
      </c>
      <c r="S424" s="9">
        <v>8785</v>
      </c>
      <c r="T424" s="9">
        <v>99.14</v>
      </c>
      <c r="U424" s="9"/>
    </row>
    <row r="425" spans="2:21" x14ac:dyDescent="0.4">
      <c r="B425" s="16">
        <f t="shared" si="42"/>
        <v>42580</v>
      </c>
      <c r="C425" s="1">
        <f t="shared" si="46"/>
        <v>3830</v>
      </c>
      <c r="D425" s="1">
        <f t="shared" si="47"/>
        <v>1095</v>
      </c>
      <c r="E425" s="1">
        <f t="shared" si="48"/>
        <v>1180</v>
      </c>
      <c r="F425" s="1"/>
      <c r="H425" s="16">
        <f t="shared" si="43"/>
        <v>45087</v>
      </c>
      <c r="I425" s="29">
        <f t="shared" si="44"/>
        <v>8900</v>
      </c>
      <c r="J425" s="1">
        <f t="shared" si="45"/>
        <v>93.88</v>
      </c>
      <c r="L425" s="11">
        <v>42580</v>
      </c>
      <c r="M425" s="9">
        <v>3830</v>
      </c>
      <c r="N425" s="9">
        <v>1095</v>
      </c>
      <c r="O425" s="9">
        <v>1180</v>
      </c>
      <c r="P425" s="9">
        <v>0</v>
      </c>
      <c r="R425" s="11">
        <v>45087</v>
      </c>
      <c r="S425" s="9">
        <v>8900</v>
      </c>
      <c r="T425" s="9">
        <v>93.88</v>
      </c>
      <c r="U425" s="9"/>
    </row>
    <row r="426" spans="2:21" x14ac:dyDescent="0.4">
      <c r="B426" s="16">
        <f t="shared" si="42"/>
        <v>42583</v>
      </c>
      <c r="C426" s="1">
        <f t="shared" si="46"/>
        <v>3816</v>
      </c>
      <c r="D426" s="1">
        <f t="shared" si="47"/>
        <v>1095</v>
      </c>
      <c r="E426" s="1">
        <f t="shared" si="48"/>
        <v>1160</v>
      </c>
      <c r="F426" s="1"/>
      <c r="H426" s="16">
        <f t="shared" si="43"/>
        <v>45094</v>
      </c>
      <c r="I426" s="29">
        <f t="shared" si="44"/>
        <v>8830</v>
      </c>
      <c r="J426" s="1">
        <f t="shared" si="45"/>
        <v>93.74</v>
      </c>
      <c r="L426" s="11">
        <v>42583</v>
      </c>
      <c r="M426" s="9">
        <v>3816</v>
      </c>
      <c r="N426" s="9">
        <v>1095</v>
      </c>
      <c r="O426" s="9">
        <v>1160</v>
      </c>
      <c r="P426" s="9">
        <v>0</v>
      </c>
      <c r="R426" s="11">
        <v>45094</v>
      </c>
      <c r="S426" s="9">
        <v>8830</v>
      </c>
      <c r="T426" s="9">
        <v>93.74</v>
      </c>
      <c r="U426" s="9"/>
    </row>
    <row r="427" spans="2:21" x14ac:dyDescent="0.4">
      <c r="B427" s="16">
        <f t="shared" si="42"/>
        <v>42584</v>
      </c>
      <c r="C427" s="1">
        <f t="shared" si="46"/>
        <v>3820</v>
      </c>
      <c r="D427" s="1">
        <f t="shared" si="47"/>
        <v>1095</v>
      </c>
      <c r="E427" s="1">
        <f t="shared" si="48"/>
        <v>1160</v>
      </c>
      <c r="F427" s="1"/>
      <c r="H427" s="16">
        <f t="shared" si="43"/>
        <v>45101</v>
      </c>
      <c r="I427" s="29">
        <f t="shared" si="44"/>
        <v>8841.6666666666661</v>
      </c>
      <c r="J427" s="1">
        <f t="shared" si="45"/>
        <v>94.31</v>
      </c>
      <c r="L427" s="11">
        <v>42584</v>
      </c>
      <c r="M427" s="9">
        <v>3820</v>
      </c>
      <c r="N427" s="9">
        <v>1095</v>
      </c>
      <c r="O427" s="9">
        <v>1160</v>
      </c>
      <c r="P427" s="9">
        <v>0</v>
      </c>
      <c r="R427" s="11">
        <v>45101</v>
      </c>
      <c r="S427" s="9">
        <v>8841.6666666666661</v>
      </c>
      <c r="T427" s="9">
        <v>94.31</v>
      </c>
      <c r="U427" s="9"/>
    </row>
    <row r="428" spans="2:21" x14ac:dyDescent="0.4">
      <c r="B428" s="16">
        <f t="shared" si="42"/>
        <v>42585</v>
      </c>
      <c r="C428" s="1">
        <f t="shared" si="46"/>
        <v>3814</v>
      </c>
      <c r="D428" s="1">
        <f t="shared" si="47"/>
        <v>1095</v>
      </c>
      <c r="E428" s="1">
        <f t="shared" si="48"/>
        <v>1170</v>
      </c>
      <c r="F428" s="1"/>
      <c r="H428" s="16">
        <f t="shared" si="43"/>
        <v>45108</v>
      </c>
      <c r="I428" s="29">
        <f t="shared" si="44"/>
        <v>8795.8333333333339</v>
      </c>
      <c r="J428" s="1">
        <f t="shared" si="45"/>
        <v>95.41</v>
      </c>
      <c r="L428" s="11">
        <v>42585</v>
      </c>
      <c r="M428" s="9">
        <v>3814</v>
      </c>
      <c r="N428" s="9">
        <v>1095</v>
      </c>
      <c r="O428" s="9">
        <v>1170</v>
      </c>
      <c r="P428" s="9">
        <v>0</v>
      </c>
      <c r="R428" s="11">
        <v>45108</v>
      </c>
      <c r="S428" s="9">
        <v>8795.8333333333339</v>
      </c>
      <c r="T428" s="9">
        <v>95.41</v>
      </c>
      <c r="U428" s="9"/>
    </row>
    <row r="429" spans="2:21" x14ac:dyDescent="0.4">
      <c r="B429" s="16">
        <f t="shared" si="42"/>
        <v>42586</v>
      </c>
      <c r="C429" s="1">
        <f t="shared" si="46"/>
        <v>3813</v>
      </c>
      <c r="D429" s="1">
        <f t="shared" si="47"/>
        <v>1095</v>
      </c>
      <c r="E429" s="1">
        <f t="shared" si="48"/>
        <v>1170</v>
      </c>
      <c r="F429" s="1"/>
      <c r="H429" s="16">
        <f t="shared" si="43"/>
        <v>45115</v>
      </c>
      <c r="I429" s="29">
        <f t="shared" si="44"/>
        <v>8820</v>
      </c>
      <c r="J429" s="1">
        <f t="shared" si="45"/>
        <v>99.06</v>
      </c>
      <c r="L429" s="11">
        <v>42586</v>
      </c>
      <c r="M429" s="9">
        <v>3813</v>
      </c>
      <c r="N429" s="9">
        <v>1095</v>
      </c>
      <c r="O429" s="9">
        <v>1170</v>
      </c>
      <c r="P429" s="9">
        <v>0</v>
      </c>
      <c r="R429" s="11">
        <v>45115</v>
      </c>
      <c r="S429" s="9">
        <v>8820</v>
      </c>
      <c r="T429" s="9">
        <v>99.06</v>
      </c>
      <c r="U429" s="9"/>
    </row>
    <row r="430" spans="2:21" x14ac:dyDescent="0.4">
      <c r="B430" s="16">
        <f t="shared" si="42"/>
        <v>42587</v>
      </c>
      <c r="C430" s="1">
        <f t="shared" si="46"/>
        <v>3816</v>
      </c>
      <c r="D430" s="1">
        <f t="shared" si="47"/>
        <v>1075</v>
      </c>
      <c r="E430" s="1">
        <f t="shared" si="48"/>
        <v>1180</v>
      </c>
      <c r="F430" s="1"/>
      <c r="H430" s="16">
        <f t="shared" si="43"/>
        <v>45122</v>
      </c>
      <c r="I430" s="29">
        <f t="shared" si="44"/>
        <v>9030</v>
      </c>
      <c r="J430" s="1">
        <f t="shared" si="45"/>
        <v>102.41</v>
      </c>
      <c r="L430" s="11">
        <v>42587</v>
      </c>
      <c r="M430" s="9">
        <v>3816</v>
      </c>
      <c r="N430" s="9">
        <v>1075</v>
      </c>
      <c r="O430" s="9">
        <v>1180</v>
      </c>
      <c r="P430" s="9">
        <v>0</v>
      </c>
      <c r="R430" s="11">
        <v>45122</v>
      </c>
      <c r="S430" s="9">
        <v>9030</v>
      </c>
      <c r="T430" s="9">
        <v>102.41</v>
      </c>
      <c r="U430" s="9"/>
    </row>
    <row r="431" spans="2:21" x14ac:dyDescent="0.4">
      <c r="B431" s="16">
        <f t="shared" si="42"/>
        <v>42590</v>
      </c>
      <c r="C431" s="1">
        <f t="shared" si="46"/>
        <v>3812</v>
      </c>
      <c r="D431" s="1">
        <f t="shared" si="47"/>
        <v>1075</v>
      </c>
      <c r="E431" s="1">
        <f t="shared" si="48"/>
        <v>1180</v>
      </c>
      <c r="F431" s="1"/>
      <c r="H431" s="16">
        <f t="shared" si="43"/>
        <v>45129</v>
      </c>
      <c r="I431" s="29">
        <f t="shared" si="44"/>
        <v>9080</v>
      </c>
      <c r="J431" s="1">
        <f t="shared" si="45"/>
        <v>110.92</v>
      </c>
      <c r="L431" s="11">
        <v>42590</v>
      </c>
      <c r="M431" s="9">
        <v>3812</v>
      </c>
      <c r="N431" s="9">
        <v>1075</v>
      </c>
      <c r="O431" s="9">
        <v>1180</v>
      </c>
      <c r="P431" s="9">
        <v>0</v>
      </c>
      <c r="R431" s="11">
        <v>45129</v>
      </c>
      <c r="S431" s="9">
        <v>9080</v>
      </c>
      <c r="T431" s="9">
        <v>110.92</v>
      </c>
      <c r="U431" s="9"/>
    </row>
    <row r="432" spans="2:21" x14ac:dyDescent="0.4">
      <c r="B432" s="16">
        <f t="shared" si="42"/>
        <v>42591</v>
      </c>
      <c r="C432" s="1">
        <f t="shared" si="46"/>
        <v>3809</v>
      </c>
      <c r="D432" s="1">
        <f t="shared" si="47"/>
        <v>1075</v>
      </c>
      <c r="E432" s="1">
        <f t="shared" si="48"/>
        <v>1160</v>
      </c>
      <c r="F432" s="1"/>
      <c r="H432" s="16">
        <f t="shared" si="43"/>
        <v>45136</v>
      </c>
      <c r="I432" s="29">
        <f t="shared" si="44"/>
        <v>9090</v>
      </c>
      <c r="J432" s="1">
        <f t="shared" si="45"/>
        <v>110.92</v>
      </c>
      <c r="L432" s="11">
        <v>42591</v>
      </c>
      <c r="M432" s="9">
        <v>3809</v>
      </c>
      <c r="N432" s="9">
        <v>1075</v>
      </c>
      <c r="O432" s="9">
        <v>1160</v>
      </c>
      <c r="P432" s="9">
        <v>0</v>
      </c>
      <c r="R432" s="11">
        <v>45136</v>
      </c>
      <c r="S432" s="9">
        <v>9090</v>
      </c>
      <c r="T432" s="9">
        <v>0</v>
      </c>
      <c r="U432" s="9"/>
    </row>
    <row r="433" spans="2:21" x14ac:dyDescent="0.4">
      <c r="B433" s="16">
        <f t="shared" si="42"/>
        <v>42592</v>
      </c>
      <c r="C433" s="1">
        <f t="shared" si="46"/>
        <v>3811</v>
      </c>
      <c r="D433" s="1">
        <f t="shared" si="47"/>
        <v>1060</v>
      </c>
      <c r="E433" s="1">
        <f t="shared" si="48"/>
        <v>1160</v>
      </c>
      <c r="F433" s="1"/>
      <c r="H433" s="16">
        <f t="shared" si="43"/>
        <v>45143</v>
      </c>
      <c r="I433" s="29">
        <f t="shared" si="44"/>
        <v>9200</v>
      </c>
      <c r="J433" s="1">
        <f t="shared" si="45"/>
        <v>110.92</v>
      </c>
      <c r="L433" s="11">
        <v>42592</v>
      </c>
      <c r="M433" s="9">
        <v>3811</v>
      </c>
      <c r="N433" s="9">
        <v>1060</v>
      </c>
      <c r="O433" s="9">
        <v>1160</v>
      </c>
      <c r="P433" s="9">
        <v>0</v>
      </c>
      <c r="R433" s="11">
        <v>45143</v>
      </c>
      <c r="S433" s="9">
        <v>9200</v>
      </c>
      <c r="T433" s="9">
        <v>0</v>
      </c>
      <c r="U433" s="9"/>
    </row>
    <row r="434" spans="2:21" x14ac:dyDescent="0.4">
      <c r="B434" s="16">
        <f t="shared" si="42"/>
        <v>42593</v>
      </c>
      <c r="C434" s="1">
        <f t="shared" si="46"/>
        <v>3816</v>
      </c>
      <c r="D434" s="1">
        <f t="shared" si="47"/>
        <v>1060</v>
      </c>
      <c r="E434" s="1">
        <f t="shared" si="48"/>
        <v>1160</v>
      </c>
      <c r="F434" s="1"/>
      <c r="H434" s="16">
        <f t="shared" si="43"/>
        <v>45150</v>
      </c>
      <c r="I434" s="29">
        <f t="shared" si="44"/>
        <v>9180</v>
      </c>
      <c r="J434" s="1">
        <f t="shared" si="45"/>
        <v>110.92</v>
      </c>
      <c r="L434" s="11">
        <v>42593</v>
      </c>
      <c r="M434" s="9">
        <v>3816</v>
      </c>
      <c r="N434" s="9">
        <v>1060</v>
      </c>
      <c r="O434" s="9">
        <v>1160</v>
      </c>
      <c r="P434" s="9">
        <v>0</v>
      </c>
      <c r="R434" s="11">
        <v>45150</v>
      </c>
      <c r="S434" s="9">
        <v>9180</v>
      </c>
      <c r="T434" s="9">
        <v>0</v>
      </c>
      <c r="U434" s="9"/>
    </row>
    <row r="435" spans="2:21" x14ac:dyDescent="0.4">
      <c r="B435" s="16">
        <f t="shared" si="42"/>
        <v>42594</v>
      </c>
      <c r="C435" s="1">
        <f t="shared" si="46"/>
        <v>3821</v>
      </c>
      <c r="D435" s="1">
        <f t="shared" si="47"/>
        <v>1100</v>
      </c>
      <c r="E435" s="1">
        <f t="shared" si="48"/>
        <v>1160</v>
      </c>
      <c r="F435" s="1"/>
      <c r="H435" s="16">
        <f t="shared" si="43"/>
        <v>45157</v>
      </c>
      <c r="I435" s="29">
        <f t="shared" si="44"/>
        <v>9130</v>
      </c>
      <c r="J435" s="1">
        <f t="shared" si="45"/>
        <v>110.92</v>
      </c>
      <c r="L435" s="11">
        <v>42594</v>
      </c>
      <c r="M435" s="9">
        <v>3821</v>
      </c>
      <c r="N435" s="9">
        <v>1100</v>
      </c>
      <c r="O435" s="9">
        <v>1160</v>
      </c>
      <c r="P435" s="9">
        <v>0</v>
      </c>
      <c r="R435" s="11">
        <v>45157</v>
      </c>
      <c r="S435" s="9">
        <v>9130</v>
      </c>
      <c r="T435" s="9">
        <v>0</v>
      </c>
      <c r="U435" s="9"/>
    </row>
    <row r="436" spans="2:21" x14ac:dyDescent="0.4">
      <c r="B436" s="16">
        <f t="shared" si="42"/>
        <v>42597</v>
      </c>
      <c r="C436" s="1">
        <f t="shared" si="46"/>
        <v>3832</v>
      </c>
      <c r="D436" s="1">
        <f t="shared" si="47"/>
        <v>1100</v>
      </c>
      <c r="E436" s="1">
        <f t="shared" si="48"/>
        <v>1160</v>
      </c>
      <c r="F436" s="1"/>
      <c r="H436" s="16">
        <f t="shared" si="43"/>
        <v>45164</v>
      </c>
      <c r="I436" s="29">
        <f t="shared" si="44"/>
        <v>9105</v>
      </c>
      <c r="J436" s="1">
        <f t="shared" si="45"/>
        <v>110.92</v>
      </c>
      <c r="L436" s="11">
        <v>42597</v>
      </c>
      <c r="M436" s="9">
        <v>3832</v>
      </c>
      <c r="N436" s="9">
        <v>1100</v>
      </c>
      <c r="O436" s="9">
        <v>1160</v>
      </c>
      <c r="P436" s="9">
        <v>0</v>
      </c>
      <c r="R436" s="11">
        <v>45164</v>
      </c>
      <c r="S436" s="9">
        <v>9105</v>
      </c>
      <c r="T436" s="9">
        <v>0</v>
      </c>
      <c r="U436" s="9"/>
    </row>
    <row r="437" spans="2:21" x14ac:dyDescent="0.4">
      <c r="B437" s="16">
        <f t="shared" si="42"/>
        <v>42598</v>
      </c>
      <c r="C437" s="1">
        <f t="shared" si="46"/>
        <v>3837</v>
      </c>
      <c r="D437" s="1">
        <f t="shared" si="47"/>
        <v>1100</v>
      </c>
      <c r="E437" s="1">
        <f t="shared" si="48"/>
        <v>1130</v>
      </c>
      <c r="F437" s="1"/>
      <c r="H437" s="16">
        <f t="shared" si="43"/>
        <v>45171</v>
      </c>
      <c r="I437" s="29">
        <f t="shared" si="44"/>
        <v>9100</v>
      </c>
      <c r="J437" s="1">
        <f t="shared" si="45"/>
        <v>110.92</v>
      </c>
      <c r="L437" s="11">
        <v>42598</v>
      </c>
      <c r="M437" s="9">
        <v>3837</v>
      </c>
      <c r="N437" s="9">
        <v>1100</v>
      </c>
      <c r="O437" s="9">
        <v>1130</v>
      </c>
      <c r="P437" s="9">
        <v>0</v>
      </c>
      <c r="R437" s="11">
        <v>45171</v>
      </c>
      <c r="S437" s="9">
        <v>9100</v>
      </c>
      <c r="T437" s="9">
        <v>0</v>
      </c>
      <c r="U437" s="9"/>
    </row>
    <row r="438" spans="2:21" x14ac:dyDescent="0.4">
      <c r="B438" s="16">
        <f t="shared" si="42"/>
        <v>42599</v>
      </c>
      <c r="C438" s="1">
        <f t="shared" si="46"/>
        <v>3849</v>
      </c>
      <c r="D438" s="1">
        <f t="shared" si="47"/>
        <v>1100</v>
      </c>
      <c r="E438" s="1">
        <f t="shared" si="48"/>
        <v>1120</v>
      </c>
      <c r="F438" s="1"/>
      <c r="H438" s="16">
        <f t="shared" si="43"/>
        <v>45178</v>
      </c>
      <c r="I438" s="29">
        <f t="shared" si="44"/>
        <v>9230</v>
      </c>
      <c r="J438" s="1">
        <f t="shared" si="45"/>
        <v>98.65</v>
      </c>
      <c r="L438" s="11">
        <v>42599</v>
      </c>
      <c r="M438" s="9">
        <v>3849</v>
      </c>
      <c r="N438" s="9">
        <v>1100</v>
      </c>
      <c r="O438" s="9">
        <v>1120</v>
      </c>
      <c r="P438" s="9">
        <v>0</v>
      </c>
      <c r="R438" s="11">
        <v>45178</v>
      </c>
      <c r="S438" s="9">
        <v>9230</v>
      </c>
      <c r="T438" s="9">
        <v>98.65</v>
      </c>
      <c r="U438" s="9"/>
    </row>
    <row r="439" spans="2:21" x14ac:dyDescent="0.4">
      <c r="B439" s="16">
        <f t="shared" si="42"/>
        <v>42600</v>
      </c>
      <c r="C439" s="1">
        <f t="shared" si="46"/>
        <v>3853</v>
      </c>
      <c r="D439" s="1">
        <f t="shared" si="47"/>
        <v>1150</v>
      </c>
      <c r="E439" s="1">
        <f t="shared" si="48"/>
        <v>1120</v>
      </c>
      <c r="F439" s="1"/>
      <c r="H439" s="16">
        <f t="shared" si="43"/>
        <v>45185</v>
      </c>
      <c r="I439" s="29">
        <f t="shared" si="44"/>
        <v>9355</v>
      </c>
      <c r="J439" s="1">
        <f t="shared" si="45"/>
        <v>98.65</v>
      </c>
      <c r="L439" s="11">
        <v>42600</v>
      </c>
      <c r="M439" s="9">
        <v>3853</v>
      </c>
      <c r="N439" s="9">
        <v>1150</v>
      </c>
      <c r="O439" s="9">
        <v>1120</v>
      </c>
      <c r="P439" s="9">
        <v>0</v>
      </c>
      <c r="R439" s="11">
        <v>45185</v>
      </c>
      <c r="S439" s="9">
        <v>9355</v>
      </c>
      <c r="T439" s="9">
        <v>0</v>
      </c>
      <c r="U439" s="9"/>
    </row>
    <row r="440" spans="2:21" x14ac:dyDescent="0.4">
      <c r="B440" s="16">
        <f t="shared" si="42"/>
        <v>42601</v>
      </c>
      <c r="C440" s="1">
        <f t="shared" si="46"/>
        <v>3861</v>
      </c>
      <c r="D440" s="1">
        <f t="shared" si="47"/>
        <v>1160</v>
      </c>
      <c r="E440" s="1">
        <f t="shared" si="48"/>
        <v>1140</v>
      </c>
      <c r="F440" s="1"/>
      <c r="H440" s="16">
        <f t="shared" si="43"/>
        <v>45192</v>
      </c>
      <c r="I440" s="29">
        <f t="shared" si="44"/>
        <v>9470</v>
      </c>
      <c r="J440" s="1">
        <f t="shared" si="45"/>
        <v>98.78</v>
      </c>
      <c r="L440" s="11">
        <v>42601</v>
      </c>
      <c r="M440" s="9">
        <v>3861</v>
      </c>
      <c r="N440" s="9">
        <v>1160</v>
      </c>
      <c r="O440" s="9">
        <v>1140</v>
      </c>
      <c r="P440" s="9">
        <v>0</v>
      </c>
      <c r="R440" s="11">
        <v>45192</v>
      </c>
      <c r="S440" s="9">
        <v>9470</v>
      </c>
      <c r="T440" s="9">
        <v>98.78</v>
      </c>
      <c r="U440" s="9"/>
    </row>
    <row r="441" spans="2:21" x14ac:dyDescent="0.4">
      <c r="B441" s="16">
        <f t="shared" si="42"/>
        <v>42604</v>
      </c>
      <c r="C441" s="1">
        <f t="shared" si="46"/>
        <v>3875</v>
      </c>
      <c r="D441" s="1">
        <f t="shared" si="47"/>
        <v>1160</v>
      </c>
      <c r="E441" s="1">
        <f t="shared" si="48"/>
        <v>1140</v>
      </c>
      <c r="F441" s="1"/>
      <c r="H441" s="16">
        <f t="shared" si="43"/>
        <v>45199</v>
      </c>
      <c r="I441" s="29">
        <f t="shared" si="44"/>
        <v>9325</v>
      </c>
      <c r="J441" s="1">
        <f t="shared" si="45"/>
        <v>99.44</v>
      </c>
      <c r="L441" s="11">
        <v>42604</v>
      </c>
      <c r="M441" s="9">
        <v>3875</v>
      </c>
      <c r="N441" s="9">
        <v>1160</v>
      </c>
      <c r="O441" s="9">
        <v>1140</v>
      </c>
      <c r="P441" s="9">
        <v>0</v>
      </c>
      <c r="R441" s="11">
        <v>45199</v>
      </c>
      <c r="S441" s="9">
        <v>9325</v>
      </c>
      <c r="T441" s="9">
        <v>99.44</v>
      </c>
      <c r="U441" s="9"/>
    </row>
    <row r="442" spans="2:21" x14ac:dyDescent="0.4">
      <c r="B442" s="16">
        <f t="shared" si="42"/>
        <v>42605</v>
      </c>
      <c r="C442" s="1">
        <f t="shared" si="46"/>
        <v>3875</v>
      </c>
      <c r="D442" s="1">
        <f t="shared" si="47"/>
        <v>1175</v>
      </c>
      <c r="E442" s="1">
        <f t="shared" si="48"/>
        <v>1160</v>
      </c>
      <c r="F442" s="1"/>
      <c r="H442" s="16">
        <f t="shared" si="43"/>
        <v>45206</v>
      </c>
      <c r="I442" s="29">
        <f t="shared" si="44"/>
        <v>9250</v>
      </c>
      <c r="J442" s="1">
        <f t="shared" si="45"/>
        <v>99.69</v>
      </c>
      <c r="L442" s="11">
        <v>42605</v>
      </c>
      <c r="M442" s="9">
        <v>3875</v>
      </c>
      <c r="N442" s="9">
        <v>1175</v>
      </c>
      <c r="O442" s="9">
        <v>1160</v>
      </c>
      <c r="P442" s="9">
        <v>0</v>
      </c>
      <c r="R442" s="11">
        <v>45206</v>
      </c>
      <c r="S442" s="9">
        <v>9250</v>
      </c>
      <c r="T442" s="9">
        <v>99.69</v>
      </c>
      <c r="U442" s="9"/>
    </row>
    <row r="443" spans="2:21" x14ac:dyDescent="0.4">
      <c r="B443" s="16">
        <f t="shared" si="42"/>
        <v>42606</v>
      </c>
      <c r="C443" s="1">
        <f t="shared" si="46"/>
        <v>3882</v>
      </c>
      <c r="D443" s="1">
        <f t="shared" si="47"/>
        <v>1180</v>
      </c>
      <c r="E443" s="1">
        <f t="shared" si="48"/>
        <v>1160</v>
      </c>
      <c r="F443" s="1"/>
      <c r="H443" s="16">
        <f t="shared" si="43"/>
        <v>45213</v>
      </c>
      <c r="I443" s="29">
        <f t="shared" si="44"/>
        <v>9000</v>
      </c>
      <c r="J443" s="1">
        <f t="shared" si="45"/>
        <v>99.69</v>
      </c>
      <c r="L443" s="11">
        <v>42606</v>
      </c>
      <c r="M443" s="9">
        <v>3882</v>
      </c>
      <c r="N443" s="9">
        <v>1180</v>
      </c>
      <c r="O443" s="9">
        <v>1160</v>
      </c>
      <c r="P443" s="9">
        <v>0</v>
      </c>
      <c r="R443" s="11">
        <v>45213</v>
      </c>
      <c r="S443" s="9">
        <v>9000</v>
      </c>
      <c r="T443" s="9">
        <v>0</v>
      </c>
      <c r="U443" s="9"/>
    </row>
    <row r="444" spans="2:21" x14ac:dyDescent="0.4">
      <c r="B444" s="16">
        <f t="shared" si="42"/>
        <v>42607</v>
      </c>
      <c r="C444" s="1">
        <f t="shared" si="46"/>
        <v>3882</v>
      </c>
      <c r="D444" s="1">
        <f t="shared" si="47"/>
        <v>1200</v>
      </c>
      <c r="E444" s="1">
        <f t="shared" si="48"/>
        <v>1160</v>
      </c>
      <c r="F444" s="1"/>
      <c r="H444" s="16">
        <f t="shared" si="43"/>
        <v>45220</v>
      </c>
      <c r="I444" s="29">
        <f t="shared" si="44"/>
        <v>8950</v>
      </c>
      <c r="J444" s="1">
        <f t="shared" si="45"/>
        <v>99.34</v>
      </c>
      <c r="L444" s="11">
        <v>42607</v>
      </c>
      <c r="M444" s="9">
        <v>3882</v>
      </c>
      <c r="N444" s="9">
        <v>1200</v>
      </c>
      <c r="O444" s="9">
        <v>1160</v>
      </c>
      <c r="P444" s="9">
        <v>0</v>
      </c>
      <c r="R444" s="11">
        <v>45220</v>
      </c>
      <c r="S444" s="9">
        <v>8950</v>
      </c>
      <c r="T444" s="9">
        <v>99.34</v>
      </c>
      <c r="U444" s="9"/>
    </row>
    <row r="445" spans="2:21" x14ac:dyDescent="0.4">
      <c r="B445" s="16">
        <f t="shared" si="42"/>
        <v>42608</v>
      </c>
      <c r="C445" s="1">
        <f t="shared" si="46"/>
        <v>3885</v>
      </c>
      <c r="D445" s="1">
        <f t="shared" si="47"/>
        <v>1195</v>
      </c>
      <c r="E445" s="1">
        <f t="shared" si="48"/>
        <v>1160</v>
      </c>
      <c r="F445" s="1"/>
      <c r="H445" s="16">
        <f t="shared" si="43"/>
        <v>45227</v>
      </c>
      <c r="I445" s="29">
        <f t="shared" si="44"/>
        <v>8800</v>
      </c>
      <c r="J445" s="1">
        <f t="shared" si="45"/>
        <v>97.26</v>
      </c>
      <c r="L445" s="11">
        <v>42608</v>
      </c>
      <c r="M445" s="9">
        <v>3885</v>
      </c>
      <c r="N445" s="9">
        <v>1195</v>
      </c>
      <c r="O445" s="9">
        <v>1160</v>
      </c>
      <c r="P445" s="9">
        <v>0</v>
      </c>
      <c r="R445" s="11">
        <v>45227</v>
      </c>
      <c r="S445" s="9">
        <v>8800</v>
      </c>
      <c r="T445" s="9">
        <v>97.26</v>
      </c>
      <c r="U445" s="9"/>
    </row>
    <row r="446" spans="2:21" x14ac:dyDescent="0.4">
      <c r="B446" s="16">
        <f t="shared" si="42"/>
        <v>42611</v>
      </c>
      <c r="C446" s="1">
        <f t="shared" si="46"/>
        <v>3902</v>
      </c>
      <c r="D446" s="1">
        <f t="shared" si="47"/>
        <v>1195</v>
      </c>
      <c r="E446" s="1">
        <f t="shared" si="48"/>
        <v>1160</v>
      </c>
      <c r="F446" s="1"/>
      <c r="H446" s="16">
        <f t="shared" si="43"/>
        <v>45234</v>
      </c>
      <c r="I446" s="29">
        <f t="shared" si="44"/>
        <v>8610</v>
      </c>
      <c r="J446" s="1">
        <f t="shared" si="45"/>
        <v>97.31</v>
      </c>
      <c r="L446" s="11">
        <v>42611</v>
      </c>
      <c r="M446" s="9">
        <v>3902</v>
      </c>
      <c r="N446" s="9">
        <v>1195</v>
      </c>
      <c r="O446" s="9">
        <v>1160</v>
      </c>
      <c r="P446" s="9">
        <v>0</v>
      </c>
      <c r="R446" s="11">
        <v>45234</v>
      </c>
      <c r="S446" s="9">
        <v>8610</v>
      </c>
      <c r="T446" s="9">
        <v>97.31</v>
      </c>
      <c r="U446" s="9"/>
    </row>
    <row r="447" spans="2:21" x14ac:dyDescent="0.4">
      <c r="B447" s="16">
        <f t="shared" si="42"/>
        <v>42612</v>
      </c>
      <c r="C447" s="1">
        <f t="shared" si="46"/>
        <v>3912</v>
      </c>
      <c r="D447" s="1">
        <f t="shared" si="47"/>
        <v>1195</v>
      </c>
      <c r="E447" s="1">
        <f t="shared" si="48"/>
        <v>1160</v>
      </c>
      <c r="F447" s="1"/>
      <c r="H447" s="16">
        <f t="shared" si="43"/>
        <v>45241</v>
      </c>
      <c r="I447" s="29">
        <f t="shared" si="44"/>
        <v>8650</v>
      </c>
      <c r="J447" s="1">
        <f t="shared" si="45"/>
        <v>95.65</v>
      </c>
      <c r="L447" s="11">
        <v>42612</v>
      </c>
      <c r="M447" s="9">
        <v>3912</v>
      </c>
      <c r="N447" s="9">
        <v>1195</v>
      </c>
      <c r="O447" s="9">
        <v>1160</v>
      </c>
      <c r="P447" s="9">
        <v>0</v>
      </c>
      <c r="R447" s="11">
        <v>45241</v>
      </c>
      <c r="S447" s="9">
        <v>8650</v>
      </c>
      <c r="T447" s="9">
        <v>95.65</v>
      </c>
      <c r="U447" s="9"/>
    </row>
    <row r="448" spans="2:21" x14ac:dyDescent="0.4">
      <c r="B448" s="16">
        <f t="shared" si="42"/>
        <v>42613</v>
      </c>
      <c r="C448" s="1">
        <f t="shared" si="46"/>
        <v>3911</v>
      </c>
      <c r="D448" s="1">
        <f t="shared" si="47"/>
        <v>1195</v>
      </c>
      <c r="E448" s="1">
        <f t="shared" si="48"/>
        <v>1160</v>
      </c>
      <c r="F448" s="1"/>
      <c r="H448" s="16">
        <f t="shared" si="43"/>
        <v>45248</v>
      </c>
      <c r="I448" s="29">
        <f t="shared" si="44"/>
        <v>8665</v>
      </c>
      <c r="J448" s="1">
        <f t="shared" si="45"/>
        <v>94.69</v>
      </c>
      <c r="L448" s="11">
        <v>42613</v>
      </c>
      <c r="M448" s="9">
        <v>3911</v>
      </c>
      <c r="N448" s="9">
        <v>1195</v>
      </c>
      <c r="O448" s="9">
        <v>1160</v>
      </c>
      <c r="P448" s="9">
        <v>0</v>
      </c>
      <c r="R448" s="11">
        <v>45248</v>
      </c>
      <c r="S448" s="9">
        <v>8665</v>
      </c>
      <c r="T448" s="9">
        <v>94.69</v>
      </c>
      <c r="U448" s="9"/>
    </row>
    <row r="449" spans="2:21" x14ac:dyDescent="0.4">
      <c r="B449" s="16">
        <f t="shared" si="42"/>
        <v>42614</v>
      </c>
      <c r="C449" s="1">
        <f t="shared" si="46"/>
        <v>3911</v>
      </c>
      <c r="D449" s="1">
        <f t="shared" si="47"/>
        <v>1195</v>
      </c>
      <c r="E449" s="1">
        <f t="shared" si="48"/>
        <v>1160</v>
      </c>
      <c r="F449" s="1"/>
      <c r="H449" s="16">
        <f t="shared" si="43"/>
        <v>45255</v>
      </c>
      <c r="I449" s="29">
        <f t="shared" si="44"/>
        <v>8800</v>
      </c>
      <c r="J449" s="1">
        <f t="shared" si="45"/>
        <v>92.99</v>
      </c>
      <c r="L449" s="11">
        <v>42614</v>
      </c>
      <c r="M449" s="9">
        <v>3911</v>
      </c>
      <c r="N449" s="9">
        <v>1195</v>
      </c>
      <c r="O449" s="9">
        <v>1160</v>
      </c>
      <c r="P449" s="9">
        <v>0</v>
      </c>
      <c r="R449" s="11">
        <v>45255</v>
      </c>
      <c r="S449" s="9">
        <v>8800</v>
      </c>
      <c r="T449" s="9">
        <v>92.99</v>
      </c>
      <c r="U449" s="9"/>
    </row>
    <row r="450" spans="2:21" x14ac:dyDescent="0.4">
      <c r="B450" s="16">
        <f t="shared" si="42"/>
        <v>42615</v>
      </c>
      <c r="C450" s="1">
        <f t="shared" si="46"/>
        <v>3913</v>
      </c>
      <c r="D450" s="1">
        <f t="shared" si="47"/>
        <v>1195</v>
      </c>
      <c r="E450" s="1">
        <f t="shared" si="48"/>
        <v>1160</v>
      </c>
      <c r="F450" s="1"/>
      <c r="H450" s="16">
        <f t="shared" si="43"/>
        <v>45262</v>
      </c>
      <c r="I450" s="29">
        <f t="shared" si="44"/>
        <v>8800</v>
      </c>
      <c r="J450" s="1">
        <f t="shared" si="45"/>
        <v>92.03</v>
      </c>
      <c r="L450" s="11">
        <v>42615</v>
      </c>
      <c r="M450" s="9">
        <v>3913</v>
      </c>
      <c r="N450" s="9">
        <v>1195</v>
      </c>
      <c r="O450" s="9">
        <v>1160</v>
      </c>
      <c r="P450" s="9">
        <v>0</v>
      </c>
      <c r="R450" s="11">
        <v>45262</v>
      </c>
      <c r="S450" s="9">
        <v>8800</v>
      </c>
      <c r="T450" s="9">
        <v>92.03</v>
      </c>
      <c r="U450" s="9"/>
    </row>
    <row r="451" spans="2:21" x14ac:dyDescent="0.4">
      <c r="B451" s="16">
        <f t="shared" si="42"/>
        <v>42618</v>
      </c>
      <c r="C451" s="1">
        <f t="shared" si="46"/>
        <v>3919</v>
      </c>
      <c r="D451" s="1">
        <f t="shared" si="47"/>
        <v>1195</v>
      </c>
      <c r="E451" s="1">
        <f t="shared" si="48"/>
        <v>1180</v>
      </c>
      <c r="F451" s="1"/>
      <c r="H451" s="16">
        <f t="shared" si="43"/>
        <v>45269</v>
      </c>
      <c r="I451" s="29">
        <f t="shared" si="44"/>
        <v>8800</v>
      </c>
      <c r="J451" s="1">
        <f t="shared" si="45"/>
        <v>90.18</v>
      </c>
      <c r="L451" s="11">
        <v>42618</v>
      </c>
      <c r="M451" s="9">
        <v>3919</v>
      </c>
      <c r="N451" s="9">
        <v>1195</v>
      </c>
      <c r="O451" s="9">
        <v>1180</v>
      </c>
      <c r="P451" s="9">
        <v>0</v>
      </c>
      <c r="R451" s="11">
        <v>45269</v>
      </c>
      <c r="S451" s="9">
        <v>8800</v>
      </c>
      <c r="T451" s="9">
        <v>90.18</v>
      </c>
      <c r="U451" s="9"/>
    </row>
    <row r="452" spans="2:21" x14ac:dyDescent="0.4">
      <c r="B452" s="16">
        <f t="shared" si="42"/>
        <v>42619</v>
      </c>
      <c r="C452" s="1">
        <f t="shared" si="46"/>
        <v>3936</v>
      </c>
      <c r="D452" s="1">
        <f t="shared" si="47"/>
        <v>1195</v>
      </c>
      <c r="E452" s="1">
        <f t="shared" si="48"/>
        <v>1190</v>
      </c>
      <c r="F452" s="1"/>
      <c r="H452" s="16">
        <f t="shared" si="43"/>
        <v>45276</v>
      </c>
      <c r="I452" s="29">
        <f t="shared" si="44"/>
        <v>8760</v>
      </c>
      <c r="J452" s="1">
        <f t="shared" si="45"/>
        <v>89.18</v>
      </c>
      <c r="L452" s="11">
        <v>42619</v>
      </c>
      <c r="M452" s="9">
        <v>3936</v>
      </c>
      <c r="N452" s="9">
        <v>1195</v>
      </c>
      <c r="O452" s="9">
        <v>1190</v>
      </c>
      <c r="P452" s="9">
        <v>0</v>
      </c>
      <c r="R452" s="11">
        <v>45276</v>
      </c>
      <c r="S452" s="9">
        <v>8760</v>
      </c>
      <c r="T452" s="9">
        <v>89.18</v>
      </c>
      <c r="U452" s="9"/>
    </row>
    <row r="453" spans="2:21" x14ac:dyDescent="0.4">
      <c r="B453" s="16">
        <f t="shared" si="42"/>
        <v>42620</v>
      </c>
      <c r="C453" s="1">
        <f t="shared" si="46"/>
        <v>3937</v>
      </c>
      <c r="D453" s="1">
        <f t="shared" si="47"/>
        <v>1195</v>
      </c>
      <c r="E453" s="1">
        <f t="shared" si="48"/>
        <v>1200</v>
      </c>
      <c r="F453" s="1"/>
      <c r="H453" s="16">
        <f t="shared" si="43"/>
        <v>45283</v>
      </c>
      <c r="I453" s="29">
        <f t="shared" si="44"/>
        <v>8790</v>
      </c>
      <c r="J453" s="1">
        <f t="shared" si="45"/>
        <v>89.01</v>
      </c>
      <c r="L453" s="11">
        <v>42620</v>
      </c>
      <c r="M453" s="9">
        <v>3937</v>
      </c>
      <c r="N453" s="9">
        <v>1195</v>
      </c>
      <c r="O453" s="9">
        <v>1200</v>
      </c>
      <c r="P453" s="9">
        <v>0</v>
      </c>
      <c r="R453" s="11">
        <v>45283</v>
      </c>
      <c r="S453" s="9">
        <v>8790</v>
      </c>
      <c r="T453" s="9">
        <v>89.01</v>
      </c>
      <c r="U453" s="9"/>
    </row>
    <row r="454" spans="2:21" x14ac:dyDescent="0.4">
      <c r="B454" s="16">
        <f t="shared" ref="B454:B517" si="49">L454</f>
        <v>42621</v>
      </c>
      <c r="C454" s="1">
        <f t="shared" si="46"/>
        <v>3945</v>
      </c>
      <c r="D454" s="1">
        <f t="shared" si="47"/>
        <v>1190</v>
      </c>
      <c r="E454" s="1">
        <f t="shared" si="48"/>
        <v>1200</v>
      </c>
      <c r="F454" s="1"/>
      <c r="H454" s="16">
        <f t="shared" ref="H454:H517" si="50">R454</f>
        <v>45290</v>
      </c>
      <c r="I454" s="29">
        <f t="shared" ref="I454:I517" si="51">IF(S454&lt;&gt;0,S454,I453)</f>
        <v>8850</v>
      </c>
      <c r="J454" s="1">
        <f t="shared" ref="J454:J517" si="52">IF(T454&lt;&gt;0,T454,J453)</f>
        <v>89.01</v>
      </c>
      <c r="L454" s="11">
        <v>42621</v>
      </c>
      <c r="M454" s="9">
        <v>3945</v>
      </c>
      <c r="N454" s="9">
        <v>1190</v>
      </c>
      <c r="O454" s="9">
        <v>1200</v>
      </c>
      <c r="P454" s="9">
        <v>0</v>
      </c>
      <c r="R454" s="11">
        <v>45290</v>
      </c>
      <c r="S454" s="9">
        <v>8850</v>
      </c>
      <c r="T454" s="9">
        <v>0</v>
      </c>
      <c r="U454" s="9"/>
    </row>
    <row r="455" spans="2:21" x14ac:dyDescent="0.4">
      <c r="B455" s="16">
        <f t="shared" si="49"/>
        <v>42622</v>
      </c>
      <c r="C455" s="1">
        <f t="shared" ref="C455:C518" si="53">IF(M455&lt;&gt;0,M455,C454)</f>
        <v>3967</v>
      </c>
      <c r="D455" s="1">
        <f t="shared" ref="D455:D518" si="54">IF(N455&lt;&gt;0,N455,D454)</f>
        <v>1190</v>
      </c>
      <c r="E455" s="1">
        <f t="shared" ref="E455:E518" si="55">IF(O455&lt;&gt;0,O455,E454)</f>
        <v>1200</v>
      </c>
      <c r="F455" s="1"/>
      <c r="H455" s="16">
        <f t="shared" si="50"/>
        <v>45297</v>
      </c>
      <c r="I455" s="29">
        <f t="shared" si="51"/>
        <v>8850</v>
      </c>
      <c r="J455" s="1">
        <f t="shared" si="52"/>
        <v>88.4</v>
      </c>
      <c r="L455" s="11">
        <v>42622</v>
      </c>
      <c r="M455" s="9">
        <v>3967</v>
      </c>
      <c r="N455" s="9">
        <v>1190</v>
      </c>
      <c r="O455" s="9">
        <v>1200</v>
      </c>
      <c r="P455" s="9">
        <v>0</v>
      </c>
      <c r="R455" s="11">
        <v>45297</v>
      </c>
      <c r="S455" s="9">
        <v>8850</v>
      </c>
      <c r="T455" s="9">
        <v>88.4</v>
      </c>
      <c r="U455" s="9"/>
    </row>
    <row r="456" spans="2:21" x14ac:dyDescent="0.4">
      <c r="B456" s="16">
        <f t="shared" si="49"/>
        <v>42625</v>
      </c>
      <c r="C456" s="1">
        <f t="shared" si="53"/>
        <v>3974</v>
      </c>
      <c r="D456" s="1">
        <f t="shared" si="54"/>
        <v>1190</v>
      </c>
      <c r="E456" s="1">
        <f t="shared" si="55"/>
        <v>1200</v>
      </c>
      <c r="F456" s="1"/>
      <c r="H456" s="16">
        <f t="shared" si="50"/>
        <v>45304</v>
      </c>
      <c r="I456" s="29">
        <f t="shared" si="51"/>
        <v>8860</v>
      </c>
      <c r="J456" s="1">
        <f t="shared" si="52"/>
        <v>88.4</v>
      </c>
      <c r="L456" s="11">
        <v>42625</v>
      </c>
      <c r="M456" s="9">
        <v>3974</v>
      </c>
      <c r="N456" s="9">
        <v>1190</v>
      </c>
      <c r="O456" s="9">
        <v>1200</v>
      </c>
      <c r="P456" s="9">
        <v>0</v>
      </c>
      <c r="R456" s="11">
        <v>45304</v>
      </c>
      <c r="S456" s="9">
        <v>8860</v>
      </c>
      <c r="T456" s="9">
        <v>88.4</v>
      </c>
      <c r="U456" s="9"/>
    </row>
    <row r="457" spans="2:21" x14ac:dyDescent="0.4">
      <c r="B457" s="16">
        <f t="shared" si="49"/>
        <v>42626</v>
      </c>
      <c r="C457" s="1">
        <f t="shared" si="53"/>
        <v>3967</v>
      </c>
      <c r="D457" s="1">
        <f t="shared" si="54"/>
        <v>1190</v>
      </c>
      <c r="E457" s="1">
        <f t="shared" si="55"/>
        <v>1180</v>
      </c>
      <c r="F457" s="1"/>
      <c r="H457" s="16">
        <f t="shared" si="50"/>
        <v>45311</v>
      </c>
      <c r="I457" s="29">
        <f t="shared" si="51"/>
        <v>8880</v>
      </c>
      <c r="J457" s="1">
        <f t="shared" si="52"/>
        <v>88.4</v>
      </c>
      <c r="L457" s="11">
        <v>42626</v>
      </c>
      <c r="M457" s="9">
        <v>3967</v>
      </c>
      <c r="N457" s="9">
        <v>1190</v>
      </c>
      <c r="O457" s="9">
        <v>1180</v>
      </c>
      <c r="P457" s="9">
        <v>0</v>
      </c>
      <c r="R457" s="11">
        <v>45311</v>
      </c>
      <c r="S457" s="9">
        <v>8880</v>
      </c>
      <c r="T457" s="9">
        <v>88.4</v>
      </c>
      <c r="U457" s="9"/>
    </row>
    <row r="458" spans="2:21" x14ac:dyDescent="0.4">
      <c r="B458" s="16">
        <f t="shared" si="49"/>
        <v>42627</v>
      </c>
      <c r="C458" s="1">
        <f t="shared" si="53"/>
        <v>3973</v>
      </c>
      <c r="D458" s="1">
        <f t="shared" si="54"/>
        <v>1190</v>
      </c>
      <c r="E458" s="1">
        <f t="shared" si="55"/>
        <v>1180</v>
      </c>
      <c r="F458" s="1"/>
      <c r="H458" s="16">
        <f t="shared" si="50"/>
        <v>45318</v>
      </c>
      <c r="I458" s="29">
        <f t="shared" si="51"/>
        <v>8970</v>
      </c>
      <c r="J458" s="1">
        <f t="shared" si="52"/>
        <v>88.35</v>
      </c>
      <c r="L458" s="11">
        <v>42627</v>
      </c>
      <c r="M458" s="9">
        <v>3973</v>
      </c>
      <c r="N458" s="9">
        <v>1190</v>
      </c>
      <c r="O458" s="9">
        <v>1180</v>
      </c>
      <c r="P458" s="9">
        <v>0</v>
      </c>
      <c r="R458" s="11">
        <v>45318</v>
      </c>
      <c r="S458" s="9">
        <v>8970</v>
      </c>
      <c r="T458" s="9">
        <v>88.35</v>
      </c>
      <c r="U458" s="9"/>
    </row>
    <row r="459" spans="2:21" x14ac:dyDescent="0.4">
      <c r="B459" s="16">
        <f t="shared" si="49"/>
        <v>42628</v>
      </c>
      <c r="C459" s="1">
        <f t="shared" si="53"/>
        <v>3973</v>
      </c>
      <c r="D459" s="1">
        <f t="shared" si="54"/>
        <v>1190</v>
      </c>
      <c r="E459" s="1">
        <f t="shared" si="55"/>
        <v>1180</v>
      </c>
      <c r="F459" s="1"/>
      <c r="H459" s="16">
        <f t="shared" si="50"/>
        <v>45325</v>
      </c>
      <c r="I459" s="29">
        <f t="shared" si="51"/>
        <v>8990</v>
      </c>
      <c r="J459" s="1">
        <f t="shared" si="52"/>
        <v>88.35</v>
      </c>
      <c r="L459" s="11">
        <v>42628</v>
      </c>
      <c r="M459" s="9">
        <v>0</v>
      </c>
      <c r="N459" s="9">
        <v>1190</v>
      </c>
      <c r="O459" s="9">
        <v>0</v>
      </c>
      <c r="P459" s="9">
        <v>0</v>
      </c>
      <c r="R459" s="11">
        <v>45325</v>
      </c>
      <c r="S459" s="9">
        <v>8990</v>
      </c>
      <c r="T459" s="9">
        <v>0</v>
      </c>
      <c r="U459" s="9"/>
    </row>
    <row r="460" spans="2:21" x14ac:dyDescent="0.4">
      <c r="B460" s="16">
        <f t="shared" si="49"/>
        <v>42629</v>
      </c>
      <c r="C460" s="1">
        <f t="shared" si="53"/>
        <v>3973</v>
      </c>
      <c r="D460" s="1">
        <f t="shared" si="54"/>
        <v>1185</v>
      </c>
      <c r="E460" s="1">
        <f t="shared" si="55"/>
        <v>1180</v>
      </c>
      <c r="F460" s="1"/>
      <c r="H460" s="16">
        <f t="shared" si="50"/>
        <v>45332</v>
      </c>
      <c r="I460" s="29">
        <f t="shared" si="51"/>
        <v>9000</v>
      </c>
      <c r="J460" s="1">
        <f t="shared" si="52"/>
        <v>88.35</v>
      </c>
      <c r="L460" s="11">
        <v>42629</v>
      </c>
      <c r="M460" s="9">
        <v>0</v>
      </c>
      <c r="N460" s="9">
        <v>1185</v>
      </c>
      <c r="O460" s="9">
        <v>0</v>
      </c>
      <c r="P460" s="9">
        <v>0</v>
      </c>
      <c r="R460" s="11">
        <v>45332</v>
      </c>
      <c r="S460" s="9">
        <v>9000</v>
      </c>
      <c r="T460" s="9">
        <v>0</v>
      </c>
      <c r="U460" s="9"/>
    </row>
    <row r="461" spans="2:21" x14ac:dyDescent="0.4">
      <c r="B461" s="16">
        <f t="shared" si="49"/>
        <v>42631</v>
      </c>
      <c r="C461" s="1">
        <f t="shared" si="53"/>
        <v>3972</v>
      </c>
      <c r="D461" s="1">
        <f t="shared" si="54"/>
        <v>1185</v>
      </c>
      <c r="E461" s="1">
        <f t="shared" si="55"/>
        <v>1180</v>
      </c>
      <c r="F461" s="1"/>
      <c r="H461" s="16">
        <f t="shared" si="50"/>
        <v>45339</v>
      </c>
      <c r="I461" s="29">
        <f t="shared" si="51"/>
        <v>9000</v>
      </c>
      <c r="J461" s="1">
        <f t="shared" si="52"/>
        <v>88.01</v>
      </c>
      <c r="L461" s="11">
        <v>42631</v>
      </c>
      <c r="M461" s="9">
        <v>3972</v>
      </c>
      <c r="N461" s="9">
        <v>0</v>
      </c>
      <c r="O461" s="9">
        <v>1180</v>
      </c>
      <c r="P461" s="9">
        <v>0</v>
      </c>
      <c r="R461" s="11">
        <v>45339</v>
      </c>
      <c r="S461" s="9">
        <v>0</v>
      </c>
      <c r="T461" s="9">
        <v>88.01</v>
      </c>
      <c r="U461" s="9"/>
    </row>
    <row r="462" spans="2:21" x14ac:dyDescent="0.4">
      <c r="B462" s="16">
        <f t="shared" si="49"/>
        <v>42632</v>
      </c>
      <c r="C462" s="1">
        <f t="shared" si="53"/>
        <v>3981</v>
      </c>
      <c r="D462" s="1">
        <f t="shared" si="54"/>
        <v>1180</v>
      </c>
      <c r="E462" s="1">
        <f t="shared" si="55"/>
        <v>1190</v>
      </c>
      <c r="F462" s="1"/>
      <c r="H462" s="16">
        <f t="shared" si="50"/>
        <v>45346</v>
      </c>
      <c r="I462" s="29">
        <f t="shared" si="51"/>
        <v>9050</v>
      </c>
      <c r="J462" s="1">
        <f t="shared" si="52"/>
        <v>88.01</v>
      </c>
      <c r="L462" s="11">
        <v>42632</v>
      </c>
      <c r="M462" s="9">
        <v>3981</v>
      </c>
      <c r="N462" s="9">
        <v>1180</v>
      </c>
      <c r="O462" s="9">
        <v>1190</v>
      </c>
      <c r="P462" s="9">
        <v>0</v>
      </c>
      <c r="R462" s="11">
        <v>45346</v>
      </c>
      <c r="S462" s="9">
        <v>9050</v>
      </c>
      <c r="T462" s="9">
        <v>0</v>
      </c>
      <c r="U462" s="9"/>
    </row>
    <row r="463" spans="2:21" x14ac:dyDescent="0.4">
      <c r="B463" s="16">
        <f t="shared" si="49"/>
        <v>42633</v>
      </c>
      <c r="C463" s="1">
        <f t="shared" si="53"/>
        <v>3993</v>
      </c>
      <c r="D463" s="1">
        <f t="shared" si="54"/>
        <v>1180</v>
      </c>
      <c r="E463" s="1">
        <f t="shared" si="55"/>
        <v>1190</v>
      </c>
      <c r="F463" s="1"/>
      <c r="H463" s="16">
        <f t="shared" si="50"/>
        <v>45353</v>
      </c>
      <c r="I463" s="29">
        <f t="shared" si="51"/>
        <v>9070</v>
      </c>
      <c r="J463" s="1">
        <f t="shared" si="52"/>
        <v>88.01</v>
      </c>
      <c r="L463" s="11">
        <v>42633</v>
      </c>
      <c r="M463" s="9">
        <v>3993</v>
      </c>
      <c r="N463" s="9">
        <v>1180</v>
      </c>
      <c r="O463" s="9">
        <v>1190</v>
      </c>
      <c r="P463" s="9">
        <v>0</v>
      </c>
      <c r="R463" s="11">
        <v>45353</v>
      </c>
      <c r="S463" s="9">
        <v>9070</v>
      </c>
      <c r="T463" s="9">
        <v>0</v>
      </c>
      <c r="U463" s="9"/>
    </row>
    <row r="464" spans="2:21" x14ac:dyDescent="0.4">
      <c r="B464" s="16">
        <f t="shared" si="49"/>
        <v>42634</v>
      </c>
      <c r="C464" s="1">
        <f t="shared" si="53"/>
        <v>4017</v>
      </c>
      <c r="D464" s="1">
        <f t="shared" si="54"/>
        <v>1180</v>
      </c>
      <c r="E464" s="1">
        <f t="shared" si="55"/>
        <v>1190</v>
      </c>
      <c r="F464" s="1"/>
      <c r="H464" s="16">
        <f t="shared" si="50"/>
        <v>45360</v>
      </c>
      <c r="I464" s="29">
        <f t="shared" si="51"/>
        <v>9075</v>
      </c>
      <c r="J464" s="1">
        <f t="shared" si="52"/>
        <v>86.89</v>
      </c>
      <c r="L464" s="11">
        <v>42634</v>
      </c>
      <c r="M464" s="9">
        <v>4017</v>
      </c>
      <c r="N464" s="9">
        <v>1180</v>
      </c>
      <c r="O464" s="9">
        <v>1190</v>
      </c>
      <c r="P464" s="9">
        <v>0</v>
      </c>
      <c r="R464" s="11">
        <v>45360</v>
      </c>
      <c r="S464" s="9">
        <v>9075</v>
      </c>
      <c r="T464" s="9">
        <v>86.89</v>
      </c>
      <c r="U464" s="9"/>
    </row>
    <row r="465" spans="2:21" x14ac:dyDescent="0.4">
      <c r="B465" s="16">
        <f t="shared" si="49"/>
        <v>42635</v>
      </c>
      <c r="C465" s="1">
        <f t="shared" si="53"/>
        <v>4041</v>
      </c>
      <c r="D465" s="1">
        <f t="shared" si="54"/>
        <v>1175</v>
      </c>
      <c r="E465" s="1">
        <f t="shared" si="55"/>
        <v>1190</v>
      </c>
      <c r="F465" s="1"/>
      <c r="H465" s="16">
        <f t="shared" si="50"/>
        <v>45367</v>
      </c>
      <c r="I465" s="29">
        <f t="shared" si="51"/>
        <v>9025</v>
      </c>
      <c r="J465" s="1">
        <f t="shared" si="52"/>
        <v>86.63</v>
      </c>
      <c r="L465" s="11">
        <v>42635</v>
      </c>
      <c r="M465" s="9">
        <v>4041</v>
      </c>
      <c r="N465" s="9">
        <v>1175</v>
      </c>
      <c r="O465" s="9">
        <v>1190</v>
      </c>
      <c r="P465" s="9">
        <v>0</v>
      </c>
      <c r="R465" s="11">
        <v>45367</v>
      </c>
      <c r="S465" s="9">
        <v>9025</v>
      </c>
      <c r="T465" s="9">
        <v>86.63</v>
      </c>
      <c r="U465" s="9"/>
    </row>
    <row r="466" spans="2:21" x14ac:dyDescent="0.4">
      <c r="B466" s="16">
        <f t="shared" si="49"/>
        <v>42636</v>
      </c>
      <c r="C466" s="1">
        <f t="shared" si="53"/>
        <v>4057</v>
      </c>
      <c r="D466" s="1">
        <f t="shared" si="54"/>
        <v>1165</v>
      </c>
      <c r="E466" s="1">
        <f t="shared" si="55"/>
        <v>1200</v>
      </c>
      <c r="F466" s="1"/>
      <c r="H466" s="16">
        <f t="shared" si="50"/>
        <v>45374</v>
      </c>
      <c r="I466" s="29">
        <f t="shared" si="51"/>
        <v>9030</v>
      </c>
      <c r="J466" s="1">
        <f t="shared" si="52"/>
        <v>86.8</v>
      </c>
      <c r="L466" s="11">
        <v>42636</v>
      </c>
      <c r="M466" s="9">
        <v>4057</v>
      </c>
      <c r="N466" s="9">
        <v>1165</v>
      </c>
      <c r="O466" s="9">
        <v>1200</v>
      </c>
      <c r="P466" s="9">
        <v>0</v>
      </c>
      <c r="R466" s="11">
        <v>45374</v>
      </c>
      <c r="S466" s="9">
        <v>9030</v>
      </c>
      <c r="T466" s="9">
        <v>86.8</v>
      </c>
      <c r="U466" s="9"/>
    </row>
    <row r="467" spans="2:21" x14ac:dyDescent="0.4">
      <c r="B467" s="16">
        <f t="shared" si="49"/>
        <v>42639</v>
      </c>
      <c r="C467" s="1">
        <f t="shared" si="53"/>
        <v>4062</v>
      </c>
      <c r="D467" s="1">
        <f t="shared" si="54"/>
        <v>1165</v>
      </c>
      <c r="E467" s="1">
        <f t="shared" si="55"/>
        <v>1200</v>
      </c>
      <c r="F467" s="1"/>
      <c r="H467" s="16">
        <f t="shared" si="50"/>
        <v>45381</v>
      </c>
      <c r="I467" s="29">
        <f t="shared" si="51"/>
        <v>8990</v>
      </c>
      <c r="J467" s="1">
        <f t="shared" si="52"/>
        <v>87.48</v>
      </c>
      <c r="L467" s="11">
        <v>42639</v>
      </c>
      <c r="M467" s="9">
        <v>4062</v>
      </c>
      <c r="N467" s="9">
        <v>1165</v>
      </c>
      <c r="O467" s="9">
        <v>1200</v>
      </c>
      <c r="P467" s="9">
        <v>0</v>
      </c>
      <c r="R467" s="11">
        <v>45381</v>
      </c>
      <c r="S467" s="9">
        <v>8990</v>
      </c>
      <c r="T467" s="9">
        <v>87.48</v>
      </c>
      <c r="U467" s="9"/>
    </row>
    <row r="468" spans="2:21" x14ac:dyDescent="0.4">
      <c r="B468" s="16">
        <f t="shared" si="49"/>
        <v>42640</v>
      </c>
      <c r="C468" s="1">
        <f t="shared" si="53"/>
        <v>4072</v>
      </c>
      <c r="D468" s="1">
        <f t="shared" si="54"/>
        <v>1155</v>
      </c>
      <c r="E468" s="1">
        <f t="shared" si="55"/>
        <v>1210</v>
      </c>
      <c r="F468" s="1"/>
      <c r="H468" s="16">
        <f t="shared" si="50"/>
        <v>45388</v>
      </c>
      <c r="I468" s="29">
        <f t="shared" si="51"/>
        <v>9016.6666666666661</v>
      </c>
      <c r="J468" s="1">
        <f t="shared" si="52"/>
        <v>87.42</v>
      </c>
      <c r="L468" s="11">
        <v>42640</v>
      </c>
      <c r="M468" s="9">
        <v>4072</v>
      </c>
      <c r="N468" s="9">
        <v>1155</v>
      </c>
      <c r="O468" s="9">
        <v>1210</v>
      </c>
      <c r="P468" s="9">
        <v>0</v>
      </c>
      <c r="R468" s="11">
        <v>45388</v>
      </c>
      <c r="S468" s="9">
        <v>9016.6666666666661</v>
      </c>
      <c r="T468" s="9">
        <v>87.42</v>
      </c>
      <c r="U468" s="9"/>
    </row>
    <row r="469" spans="2:21" x14ac:dyDescent="0.4">
      <c r="B469" s="16">
        <f t="shared" si="49"/>
        <v>42641</v>
      </c>
      <c r="C469" s="1">
        <f t="shared" si="53"/>
        <v>4074</v>
      </c>
      <c r="D469" s="1">
        <f t="shared" si="54"/>
        <v>1155</v>
      </c>
      <c r="E469" s="1">
        <f t="shared" si="55"/>
        <v>1210</v>
      </c>
      <c r="F469" s="1"/>
      <c r="H469" s="16">
        <f t="shared" si="50"/>
        <v>45395</v>
      </c>
      <c r="I469" s="29">
        <f t="shared" si="51"/>
        <v>9100</v>
      </c>
      <c r="J469" s="1">
        <f t="shared" si="52"/>
        <v>87.19</v>
      </c>
      <c r="L469" s="11">
        <v>42641</v>
      </c>
      <c r="M469" s="9">
        <v>4074</v>
      </c>
      <c r="N469" s="9">
        <v>1155</v>
      </c>
      <c r="O469" s="9">
        <v>1210</v>
      </c>
      <c r="P469" s="9">
        <v>0</v>
      </c>
      <c r="R469" s="11">
        <v>45395</v>
      </c>
      <c r="S469" s="9">
        <v>9100</v>
      </c>
      <c r="T469" s="9">
        <v>87.19</v>
      </c>
      <c r="U469" s="9"/>
    </row>
    <row r="470" spans="2:21" x14ac:dyDescent="0.4">
      <c r="B470" s="16">
        <f t="shared" si="49"/>
        <v>42642</v>
      </c>
      <c r="C470" s="1">
        <f t="shared" si="53"/>
        <v>4089</v>
      </c>
      <c r="D470" s="1">
        <f t="shared" si="54"/>
        <v>1100</v>
      </c>
      <c r="E470" s="1">
        <f t="shared" si="55"/>
        <v>1210</v>
      </c>
      <c r="F470" s="1"/>
      <c r="H470" s="16">
        <f t="shared" si="50"/>
        <v>45402</v>
      </c>
      <c r="I470" s="29">
        <f t="shared" si="51"/>
        <v>9090</v>
      </c>
      <c r="J470" s="1">
        <f t="shared" si="52"/>
        <v>87.53</v>
      </c>
      <c r="L470" s="11">
        <v>42642</v>
      </c>
      <c r="M470" s="9">
        <v>4089</v>
      </c>
      <c r="N470" s="9">
        <v>1100</v>
      </c>
      <c r="O470" s="9">
        <v>1210</v>
      </c>
      <c r="P470" s="9">
        <v>0</v>
      </c>
      <c r="R470" s="11">
        <v>45402</v>
      </c>
      <c r="S470" s="9">
        <v>9090</v>
      </c>
      <c r="T470" s="9">
        <v>87.53</v>
      </c>
      <c r="U470" s="9"/>
    </row>
    <row r="471" spans="2:21" x14ac:dyDescent="0.4">
      <c r="B471" s="16">
        <f t="shared" si="49"/>
        <v>42643</v>
      </c>
      <c r="C471" s="1">
        <f t="shared" si="53"/>
        <v>4089</v>
      </c>
      <c r="D471" s="1">
        <f t="shared" si="54"/>
        <v>1100</v>
      </c>
      <c r="E471" s="1">
        <f t="shared" si="55"/>
        <v>1200</v>
      </c>
      <c r="F471" s="1"/>
      <c r="H471" s="16">
        <f t="shared" si="50"/>
        <v>45409</v>
      </c>
      <c r="I471" s="29">
        <f t="shared" si="51"/>
        <v>9030</v>
      </c>
      <c r="J471" s="1">
        <f t="shared" si="52"/>
        <v>88.24</v>
      </c>
      <c r="L471" s="11">
        <v>42643</v>
      </c>
      <c r="M471" s="9">
        <v>4089</v>
      </c>
      <c r="N471" s="9">
        <v>1100</v>
      </c>
      <c r="O471" s="9">
        <v>1200</v>
      </c>
      <c r="P471" s="9">
        <v>0</v>
      </c>
      <c r="R471" s="11">
        <v>45409</v>
      </c>
      <c r="S471" s="9">
        <v>9030</v>
      </c>
      <c r="T471" s="9">
        <v>88.24</v>
      </c>
      <c r="U471" s="9"/>
    </row>
    <row r="472" spans="2:21" x14ac:dyDescent="0.4">
      <c r="B472" s="16">
        <f t="shared" si="49"/>
        <v>42645</v>
      </c>
      <c r="C472" s="1">
        <f t="shared" si="53"/>
        <v>4089</v>
      </c>
      <c r="D472" s="1">
        <f t="shared" si="54"/>
        <v>1098</v>
      </c>
      <c r="E472" s="1">
        <f t="shared" si="55"/>
        <v>1200</v>
      </c>
      <c r="F472" s="1"/>
      <c r="H472" s="16">
        <f t="shared" si="50"/>
        <v>45416</v>
      </c>
      <c r="I472" s="29">
        <f t="shared" si="51"/>
        <v>9000</v>
      </c>
      <c r="J472" s="1">
        <f t="shared" si="52"/>
        <v>88.24</v>
      </c>
      <c r="L472" s="11">
        <v>42645</v>
      </c>
      <c r="M472" s="9">
        <v>0</v>
      </c>
      <c r="N472" s="9">
        <v>1098</v>
      </c>
      <c r="O472" s="9">
        <v>0</v>
      </c>
      <c r="P472" s="9">
        <v>0</v>
      </c>
      <c r="R472" s="11">
        <v>45416</v>
      </c>
      <c r="S472" s="9">
        <v>9000</v>
      </c>
      <c r="T472" s="9">
        <v>88.24</v>
      </c>
      <c r="U472" s="9"/>
    </row>
    <row r="473" spans="2:21" x14ac:dyDescent="0.4">
      <c r="B473" s="16">
        <f t="shared" si="49"/>
        <v>42646</v>
      </c>
      <c r="C473" s="1">
        <f t="shared" si="53"/>
        <v>4089</v>
      </c>
      <c r="D473" s="1">
        <f t="shared" si="54"/>
        <v>1100</v>
      </c>
      <c r="E473" s="1">
        <f t="shared" si="55"/>
        <v>1200</v>
      </c>
      <c r="F473" s="1"/>
      <c r="H473" s="16">
        <f t="shared" si="50"/>
        <v>45423</v>
      </c>
      <c r="I473" s="29">
        <f t="shared" si="51"/>
        <v>9000</v>
      </c>
      <c r="J473" s="1">
        <f t="shared" si="52"/>
        <v>88.16</v>
      </c>
      <c r="L473" s="11">
        <v>42646</v>
      </c>
      <c r="M473" s="9">
        <v>0</v>
      </c>
      <c r="N473" s="9">
        <v>1100</v>
      </c>
      <c r="O473" s="9">
        <v>0</v>
      </c>
      <c r="P473" s="9">
        <v>0</v>
      </c>
      <c r="R473" s="11">
        <v>45423</v>
      </c>
      <c r="S473" s="9">
        <v>9000</v>
      </c>
      <c r="T473" s="9">
        <v>88.16</v>
      </c>
      <c r="U473" s="9"/>
    </row>
    <row r="474" spans="2:21" x14ac:dyDescent="0.4">
      <c r="B474" s="16">
        <f t="shared" si="49"/>
        <v>42647</v>
      </c>
      <c r="C474" s="1">
        <f t="shared" si="53"/>
        <v>4089</v>
      </c>
      <c r="D474" s="1">
        <f t="shared" si="54"/>
        <v>1100</v>
      </c>
      <c r="E474" s="1">
        <f t="shared" si="55"/>
        <v>1200</v>
      </c>
      <c r="F474" s="1"/>
      <c r="H474" s="16">
        <f t="shared" si="50"/>
        <v>45430</v>
      </c>
      <c r="I474" s="29">
        <f t="shared" si="51"/>
        <v>9000</v>
      </c>
      <c r="J474" s="1">
        <f t="shared" si="52"/>
        <v>88.05</v>
      </c>
      <c r="L474" s="11">
        <v>42647</v>
      </c>
      <c r="M474" s="9">
        <v>0</v>
      </c>
      <c r="N474" s="9">
        <v>1100</v>
      </c>
      <c r="O474" s="9">
        <v>0</v>
      </c>
      <c r="P474" s="9">
        <v>0</v>
      </c>
      <c r="R474" s="11">
        <v>45430</v>
      </c>
      <c r="S474" s="9">
        <v>9000</v>
      </c>
      <c r="T474" s="9">
        <v>88.05</v>
      </c>
      <c r="U474" s="9"/>
    </row>
    <row r="475" spans="2:21" x14ac:dyDescent="0.4">
      <c r="B475" s="16">
        <f t="shared" si="49"/>
        <v>42648</v>
      </c>
      <c r="C475" s="1">
        <f t="shared" si="53"/>
        <v>4089</v>
      </c>
      <c r="D475" s="1">
        <f t="shared" si="54"/>
        <v>1100</v>
      </c>
      <c r="E475" s="1">
        <f t="shared" si="55"/>
        <v>1200</v>
      </c>
      <c r="F475" s="1"/>
      <c r="H475" s="16">
        <f t="shared" si="50"/>
        <v>45437</v>
      </c>
      <c r="I475" s="29">
        <f t="shared" si="51"/>
        <v>8920</v>
      </c>
      <c r="J475" s="1">
        <f t="shared" si="52"/>
        <v>88.05</v>
      </c>
      <c r="L475" s="11">
        <v>42648</v>
      </c>
      <c r="M475" s="9">
        <v>0</v>
      </c>
      <c r="N475" s="9">
        <v>1100</v>
      </c>
      <c r="O475" s="9">
        <v>0</v>
      </c>
      <c r="P475" s="9">
        <v>0</v>
      </c>
      <c r="R475" s="11">
        <v>45437</v>
      </c>
      <c r="S475" s="9">
        <v>8920</v>
      </c>
      <c r="T475" s="9">
        <v>0</v>
      </c>
      <c r="U475" s="9"/>
    </row>
    <row r="476" spans="2:21" x14ac:dyDescent="0.4">
      <c r="B476" s="16">
        <f t="shared" si="49"/>
        <v>42649</v>
      </c>
      <c r="C476" s="1">
        <f t="shared" si="53"/>
        <v>4089</v>
      </c>
      <c r="D476" s="1">
        <f t="shared" si="54"/>
        <v>1100</v>
      </c>
      <c r="E476" s="1">
        <f t="shared" si="55"/>
        <v>1200</v>
      </c>
      <c r="F476" s="1"/>
      <c r="H476" s="16">
        <f t="shared" si="50"/>
        <v>45444</v>
      </c>
      <c r="I476" s="29">
        <f t="shared" si="51"/>
        <v>9015</v>
      </c>
      <c r="J476" s="1">
        <f t="shared" si="52"/>
        <v>88.05</v>
      </c>
      <c r="L476" s="11">
        <v>42649</v>
      </c>
      <c r="M476" s="9">
        <v>0</v>
      </c>
      <c r="N476" s="9">
        <v>1100</v>
      </c>
      <c r="O476" s="9">
        <v>0</v>
      </c>
      <c r="P476" s="9">
        <v>0</v>
      </c>
      <c r="R476" s="11">
        <v>45444</v>
      </c>
      <c r="S476" s="9">
        <v>9015</v>
      </c>
      <c r="T476" s="9">
        <v>0</v>
      </c>
      <c r="U476" s="9"/>
    </row>
    <row r="477" spans="2:21" x14ac:dyDescent="0.4">
      <c r="B477" s="16">
        <f t="shared" si="49"/>
        <v>42650</v>
      </c>
      <c r="C477" s="1">
        <f t="shared" si="53"/>
        <v>4089</v>
      </c>
      <c r="D477" s="1">
        <f t="shared" si="54"/>
        <v>1090</v>
      </c>
      <c r="E477" s="1">
        <f t="shared" si="55"/>
        <v>1200</v>
      </c>
      <c r="F477" s="1"/>
      <c r="H477" s="16">
        <f t="shared" si="50"/>
        <v>45451</v>
      </c>
      <c r="I477" s="29">
        <f t="shared" si="51"/>
        <v>9115</v>
      </c>
      <c r="J477" s="1">
        <f t="shared" si="52"/>
        <v>87.52</v>
      </c>
      <c r="L477" s="11">
        <v>42650</v>
      </c>
      <c r="M477" s="9">
        <v>0</v>
      </c>
      <c r="N477" s="9">
        <v>1090</v>
      </c>
      <c r="O477" s="9">
        <v>0</v>
      </c>
      <c r="P477" s="9">
        <v>0</v>
      </c>
      <c r="R477" s="11">
        <v>45451</v>
      </c>
      <c r="S477" s="9">
        <v>9115</v>
      </c>
      <c r="T477" s="9">
        <v>87.52</v>
      </c>
      <c r="U477" s="9"/>
    </row>
    <row r="478" spans="2:21" x14ac:dyDescent="0.4">
      <c r="B478" s="16">
        <f t="shared" si="49"/>
        <v>42651</v>
      </c>
      <c r="C478" s="1">
        <f t="shared" si="53"/>
        <v>4111</v>
      </c>
      <c r="D478" s="1">
        <f t="shared" si="54"/>
        <v>1090</v>
      </c>
      <c r="E478" s="1">
        <f t="shared" si="55"/>
        <v>1200</v>
      </c>
      <c r="F478" s="1"/>
      <c r="H478" s="16">
        <f t="shared" si="50"/>
        <v>45458</v>
      </c>
      <c r="I478" s="29">
        <f t="shared" si="51"/>
        <v>9291.6666666666661</v>
      </c>
      <c r="J478" s="1">
        <f t="shared" si="52"/>
        <v>87.19</v>
      </c>
      <c r="L478" s="11">
        <v>42651</v>
      </c>
      <c r="M478" s="9">
        <v>4111</v>
      </c>
      <c r="N478" s="9">
        <v>0</v>
      </c>
      <c r="O478" s="9">
        <v>1200</v>
      </c>
      <c r="P478" s="9">
        <v>0</v>
      </c>
      <c r="R478" s="11">
        <v>45458</v>
      </c>
      <c r="S478" s="9">
        <v>9291.6666666666661</v>
      </c>
      <c r="T478" s="9">
        <v>87.19</v>
      </c>
      <c r="U478" s="9"/>
    </row>
    <row r="479" spans="2:21" x14ac:dyDescent="0.4">
      <c r="B479" s="16">
        <f t="shared" si="49"/>
        <v>42652</v>
      </c>
      <c r="C479" s="1">
        <f t="shared" si="53"/>
        <v>4134</v>
      </c>
      <c r="D479" s="1">
        <f t="shared" si="54"/>
        <v>1083</v>
      </c>
      <c r="E479" s="1">
        <f t="shared" si="55"/>
        <v>1200</v>
      </c>
      <c r="F479" s="1"/>
      <c r="H479" s="16">
        <f t="shared" si="50"/>
        <v>45465</v>
      </c>
      <c r="I479" s="29">
        <f t="shared" si="51"/>
        <v>9340</v>
      </c>
      <c r="J479" s="1">
        <f t="shared" si="52"/>
        <v>86.33</v>
      </c>
      <c r="L479" s="11">
        <v>42652</v>
      </c>
      <c r="M479" s="9">
        <v>4134</v>
      </c>
      <c r="N479" s="9">
        <v>1083</v>
      </c>
      <c r="O479" s="9">
        <v>1200</v>
      </c>
      <c r="P479" s="9">
        <v>0</v>
      </c>
      <c r="R479" s="11">
        <v>45465</v>
      </c>
      <c r="S479" s="9">
        <v>9340</v>
      </c>
      <c r="T479" s="9">
        <v>86.33</v>
      </c>
      <c r="U479" s="9"/>
    </row>
    <row r="480" spans="2:21" x14ac:dyDescent="0.4">
      <c r="B480" s="16">
        <f t="shared" si="49"/>
        <v>42653</v>
      </c>
      <c r="C480" s="1">
        <f t="shared" si="53"/>
        <v>4178</v>
      </c>
      <c r="D480" s="1">
        <f t="shared" si="54"/>
        <v>1090</v>
      </c>
      <c r="E480" s="1">
        <f t="shared" si="55"/>
        <v>1200</v>
      </c>
      <c r="F480" s="1"/>
      <c r="H480" s="16">
        <f t="shared" si="50"/>
        <v>45472</v>
      </c>
      <c r="I480" s="29">
        <f t="shared" si="51"/>
        <v>9400</v>
      </c>
      <c r="J480" s="1">
        <f t="shared" si="52"/>
        <v>86.33</v>
      </c>
      <c r="L480" s="11">
        <v>42653</v>
      </c>
      <c r="M480" s="9">
        <v>4178</v>
      </c>
      <c r="N480" s="9">
        <v>1090</v>
      </c>
      <c r="O480" s="9">
        <v>1200</v>
      </c>
      <c r="P480" s="9">
        <v>0</v>
      </c>
      <c r="R480" s="11">
        <v>45472</v>
      </c>
      <c r="S480" s="9">
        <v>9400</v>
      </c>
      <c r="T480" s="9">
        <v>0</v>
      </c>
      <c r="U480" s="9"/>
    </row>
    <row r="481" spans="2:21" x14ac:dyDescent="0.4">
      <c r="B481" s="16">
        <f t="shared" si="49"/>
        <v>42654</v>
      </c>
      <c r="C481" s="1">
        <f t="shared" si="53"/>
        <v>4207</v>
      </c>
      <c r="D481" s="1">
        <f t="shared" si="54"/>
        <v>1085</v>
      </c>
      <c r="E481" s="1">
        <f t="shared" si="55"/>
        <v>1200</v>
      </c>
      <c r="F481" s="1"/>
      <c r="H481" s="16">
        <f t="shared" si="50"/>
        <v>45479</v>
      </c>
      <c r="I481" s="29">
        <f t="shared" si="51"/>
        <v>9410</v>
      </c>
      <c r="J481" s="1">
        <f t="shared" si="52"/>
        <v>86.33</v>
      </c>
      <c r="L481" s="11">
        <v>42654</v>
      </c>
      <c r="M481" s="9">
        <v>4207</v>
      </c>
      <c r="N481" s="9">
        <v>1085</v>
      </c>
      <c r="O481" s="9">
        <v>1200</v>
      </c>
      <c r="P481" s="9">
        <v>0</v>
      </c>
      <c r="R481" s="11">
        <v>45479</v>
      </c>
      <c r="S481" s="9">
        <v>9410</v>
      </c>
      <c r="T481" s="9">
        <v>0</v>
      </c>
      <c r="U481" s="9"/>
    </row>
    <row r="482" spans="2:21" x14ac:dyDescent="0.4">
      <c r="B482" s="16">
        <f t="shared" si="49"/>
        <v>42655</v>
      </c>
      <c r="C482" s="1">
        <f t="shared" si="53"/>
        <v>4215</v>
      </c>
      <c r="D482" s="1">
        <f t="shared" si="54"/>
        <v>1085</v>
      </c>
      <c r="E482" s="1">
        <f t="shared" si="55"/>
        <v>1200</v>
      </c>
      <c r="F482" s="1"/>
      <c r="H482" s="16">
        <f t="shared" si="50"/>
        <v>45486</v>
      </c>
      <c r="I482" s="29">
        <f t="shared" si="51"/>
        <v>9425</v>
      </c>
      <c r="J482" s="1">
        <f t="shared" si="52"/>
        <v>84.67</v>
      </c>
      <c r="L482" s="11">
        <v>42655</v>
      </c>
      <c r="M482" s="9">
        <v>4215</v>
      </c>
      <c r="N482" s="9">
        <v>1085</v>
      </c>
      <c r="O482" s="9">
        <v>1200</v>
      </c>
      <c r="P482" s="9">
        <v>0</v>
      </c>
      <c r="R482" s="11">
        <v>45486</v>
      </c>
      <c r="S482" s="9">
        <v>9425</v>
      </c>
      <c r="T482" s="9">
        <v>84.67</v>
      </c>
      <c r="U482" s="9"/>
    </row>
    <row r="483" spans="2:21" x14ac:dyDescent="0.4">
      <c r="B483" s="16">
        <f t="shared" si="49"/>
        <v>42656</v>
      </c>
      <c r="C483" s="1">
        <f t="shared" si="53"/>
        <v>4219</v>
      </c>
      <c r="D483" s="1">
        <f t="shared" si="54"/>
        <v>1085</v>
      </c>
      <c r="E483" s="1">
        <f t="shared" si="55"/>
        <v>1200</v>
      </c>
      <c r="F483" s="1"/>
      <c r="H483" s="16">
        <f t="shared" si="50"/>
        <v>45493</v>
      </c>
      <c r="I483" s="29">
        <f t="shared" si="51"/>
        <v>9425</v>
      </c>
      <c r="J483" s="1">
        <f t="shared" si="52"/>
        <v>84.6</v>
      </c>
      <c r="L483" s="11">
        <v>42656</v>
      </c>
      <c r="M483" s="9">
        <v>4219</v>
      </c>
      <c r="N483" s="9">
        <v>1085</v>
      </c>
      <c r="O483" s="9">
        <v>1200</v>
      </c>
      <c r="P483" s="9">
        <v>0</v>
      </c>
      <c r="R483" s="11">
        <v>45493</v>
      </c>
      <c r="S483" s="9">
        <v>9425</v>
      </c>
      <c r="T483" s="9">
        <v>84.6</v>
      </c>
      <c r="U483" s="9"/>
    </row>
    <row r="484" spans="2:21" x14ac:dyDescent="0.4">
      <c r="B484" s="16">
        <f t="shared" si="49"/>
        <v>42657</v>
      </c>
      <c r="C484" s="1">
        <f t="shared" si="53"/>
        <v>4232</v>
      </c>
      <c r="D484" s="1">
        <f t="shared" si="54"/>
        <v>1070</v>
      </c>
      <c r="E484" s="1">
        <f t="shared" si="55"/>
        <v>1210</v>
      </c>
      <c r="F484" s="1"/>
      <c r="H484" s="16">
        <f t="shared" si="50"/>
        <v>45500</v>
      </c>
      <c r="I484" s="29">
        <f t="shared" si="51"/>
        <v>9275</v>
      </c>
      <c r="J484" s="1">
        <f t="shared" si="52"/>
        <v>85.17</v>
      </c>
      <c r="L484" s="11">
        <v>42657</v>
      </c>
      <c r="M484" s="9">
        <v>4232</v>
      </c>
      <c r="N484" s="9">
        <v>1070</v>
      </c>
      <c r="O484" s="9">
        <v>1210</v>
      </c>
      <c r="P484" s="9">
        <v>0</v>
      </c>
      <c r="R484" s="11">
        <v>45500</v>
      </c>
      <c r="S484" s="9">
        <v>9275</v>
      </c>
      <c r="T484" s="9">
        <v>85.17</v>
      </c>
      <c r="U484" s="9"/>
    </row>
    <row r="485" spans="2:21" x14ac:dyDescent="0.4">
      <c r="B485" s="16">
        <f t="shared" si="49"/>
        <v>42659</v>
      </c>
      <c r="C485" s="1">
        <f t="shared" si="53"/>
        <v>4232</v>
      </c>
      <c r="D485" s="1">
        <f t="shared" si="54"/>
        <v>1068</v>
      </c>
      <c r="E485" s="1">
        <f t="shared" si="55"/>
        <v>1210</v>
      </c>
      <c r="F485" s="1"/>
      <c r="H485" s="16">
        <f t="shared" si="50"/>
        <v>45507</v>
      </c>
      <c r="I485" s="29">
        <f t="shared" si="51"/>
        <v>9250</v>
      </c>
      <c r="J485" s="1">
        <f t="shared" si="52"/>
        <v>84.89</v>
      </c>
      <c r="L485" s="11">
        <v>42659</v>
      </c>
      <c r="M485" s="9">
        <v>0</v>
      </c>
      <c r="N485" s="9">
        <v>1068</v>
      </c>
      <c r="O485" s="9">
        <v>0</v>
      </c>
      <c r="P485" s="9">
        <v>0</v>
      </c>
      <c r="R485" s="11">
        <v>45507</v>
      </c>
      <c r="S485" s="9">
        <v>9250</v>
      </c>
      <c r="T485" s="9">
        <v>84.89</v>
      </c>
      <c r="U485" s="9"/>
    </row>
    <row r="486" spans="2:21" x14ac:dyDescent="0.4">
      <c r="B486" s="16">
        <f t="shared" si="49"/>
        <v>42660</v>
      </c>
      <c r="C486" s="1">
        <f t="shared" si="53"/>
        <v>4243</v>
      </c>
      <c r="D486" s="1">
        <f t="shared" si="54"/>
        <v>1070</v>
      </c>
      <c r="E486" s="1">
        <f t="shared" si="55"/>
        <v>1230</v>
      </c>
      <c r="F486" s="1"/>
      <c r="H486" s="16">
        <f t="shared" si="50"/>
        <v>45514</v>
      </c>
      <c r="I486" s="29">
        <f t="shared" si="51"/>
        <v>9155</v>
      </c>
      <c r="J486" s="1">
        <f t="shared" si="52"/>
        <v>84.89</v>
      </c>
      <c r="L486" s="11">
        <v>42660</v>
      </c>
      <c r="M486" s="9">
        <v>4243</v>
      </c>
      <c r="N486" s="9">
        <v>1070</v>
      </c>
      <c r="O486" s="9">
        <v>1230</v>
      </c>
      <c r="P486" s="9">
        <v>0</v>
      </c>
      <c r="R486" s="11">
        <v>45514</v>
      </c>
      <c r="S486" s="9">
        <v>9155</v>
      </c>
      <c r="T486" s="9">
        <v>0</v>
      </c>
      <c r="U486" s="9"/>
    </row>
    <row r="487" spans="2:21" x14ac:dyDescent="0.4">
      <c r="B487" s="16">
        <f t="shared" si="49"/>
        <v>42661</v>
      </c>
      <c r="C487" s="1">
        <f t="shared" si="53"/>
        <v>4249</v>
      </c>
      <c r="D487" s="1">
        <f t="shared" si="54"/>
        <v>1070</v>
      </c>
      <c r="E487" s="1">
        <f t="shared" si="55"/>
        <v>1250</v>
      </c>
      <c r="F487" s="1"/>
      <c r="H487" s="16">
        <f t="shared" si="50"/>
        <v>45521</v>
      </c>
      <c r="I487" s="29">
        <f t="shared" si="51"/>
        <v>9035</v>
      </c>
      <c r="J487" s="1">
        <f t="shared" si="52"/>
        <v>84.02</v>
      </c>
      <c r="L487" s="11">
        <v>42661</v>
      </c>
      <c r="M487" s="9">
        <v>4249</v>
      </c>
      <c r="N487" s="9">
        <v>1070</v>
      </c>
      <c r="O487" s="9">
        <v>1250</v>
      </c>
      <c r="P487" s="9">
        <v>0</v>
      </c>
      <c r="R487" s="11">
        <v>45521</v>
      </c>
      <c r="S487" s="9">
        <v>9035</v>
      </c>
      <c r="T487" s="9">
        <v>84.02</v>
      </c>
      <c r="U487" s="9"/>
    </row>
    <row r="488" spans="2:21" x14ac:dyDescent="0.4">
      <c r="B488" s="16">
        <f t="shared" si="49"/>
        <v>42662</v>
      </c>
      <c r="C488" s="1">
        <f t="shared" si="53"/>
        <v>4263</v>
      </c>
      <c r="D488" s="1">
        <f t="shared" si="54"/>
        <v>1070</v>
      </c>
      <c r="E488" s="1">
        <f t="shared" si="55"/>
        <v>1250</v>
      </c>
      <c r="F488" s="1"/>
      <c r="H488" s="16">
        <f t="shared" si="50"/>
        <v>45528</v>
      </c>
      <c r="I488" s="29">
        <f t="shared" si="51"/>
        <v>9020</v>
      </c>
      <c r="J488" s="1">
        <f t="shared" si="52"/>
        <v>83.65</v>
      </c>
      <c r="L488" s="11">
        <v>42662</v>
      </c>
      <c r="M488" s="9">
        <v>4263</v>
      </c>
      <c r="N488" s="9">
        <v>1070</v>
      </c>
      <c r="O488" s="9">
        <v>1250</v>
      </c>
      <c r="P488" s="9">
        <v>0</v>
      </c>
      <c r="R488" s="11">
        <v>45528</v>
      </c>
      <c r="S488" s="9">
        <v>9020</v>
      </c>
      <c r="T488" s="9">
        <v>83.65</v>
      </c>
      <c r="U488" s="9"/>
    </row>
    <row r="489" spans="2:21" x14ac:dyDescent="0.4">
      <c r="B489" s="16">
        <f t="shared" si="49"/>
        <v>42663</v>
      </c>
      <c r="C489" s="1">
        <f t="shared" si="53"/>
        <v>4266</v>
      </c>
      <c r="D489" s="1">
        <f t="shared" si="54"/>
        <v>1060</v>
      </c>
      <c r="E489" s="1">
        <f t="shared" si="55"/>
        <v>1250</v>
      </c>
      <c r="F489" s="1"/>
      <c r="H489" s="16">
        <f t="shared" si="50"/>
        <v>45535</v>
      </c>
      <c r="I489" s="29">
        <f t="shared" si="51"/>
        <v>8895</v>
      </c>
      <c r="J489" s="1">
        <f t="shared" si="52"/>
        <v>84.01</v>
      </c>
      <c r="L489" s="11">
        <v>42663</v>
      </c>
      <c r="M489" s="9">
        <v>4266</v>
      </c>
      <c r="N489" s="9">
        <v>1060</v>
      </c>
      <c r="O489" s="9">
        <v>1250</v>
      </c>
      <c r="P489" s="9">
        <v>0</v>
      </c>
      <c r="R489" s="11">
        <v>45535</v>
      </c>
      <c r="S489" s="9">
        <v>8895</v>
      </c>
      <c r="T489" s="9">
        <v>84.01</v>
      </c>
      <c r="U489" s="9"/>
    </row>
    <row r="490" spans="2:21" x14ac:dyDescent="0.4">
      <c r="B490" s="16">
        <f t="shared" si="49"/>
        <v>42664</v>
      </c>
      <c r="C490" s="1">
        <f t="shared" si="53"/>
        <v>4258</v>
      </c>
      <c r="D490" s="1">
        <f t="shared" si="54"/>
        <v>1060</v>
      </c>
      <c r="E490" s="1">
        <f t="shared" si="55"/>
        <v>1250</v>
      </c>
      <c r="F490" s="1"/>
      <c r="H490" s="16">
        <f t="shared" si="50"/>
        <v>45542</v>
      </c>
      <c r="I490" s="29">
        <f t="shared" si="51"/>
        <v>8825</v>
      </c>
      <c r="J490" s="1">
        <f t="shared" si="52"/>
        <v>84.4</v>
      </c>
      <c r="L490" s="11">
        <v>42664</v>
      </c>
      <c r="M490" s="9">
        <v>4258</v>
      </c>
      <c r="N490" s="9">
        <v>1060</v>
      </c>
      <c r="O490" s="9">
        <v>1250</v>
      </c>
      <c r="P490" s="9">
        <v>0</v>
      </c>
      <c r="R490" s="11">
        <v>45542</v>
      </c>
      <c r="S490" s="9">
        <v>8825</v>
      </c>
      <c r="T490" s="9">
        <v>84.4</v>
      </c>
      <c r="U490" s="9"/>
    </row>
    <row r="491" spans="2:21" x14ac:dyDescent="0.4">
      <c r="B491" s="16">
        <f t="shared" si="49"/>
        <v>42666</v>
      </c>
      <c r="C491" s="1">
        <f t="shared" si="53"/>
        <v>4258</v>
      </c>
      <c r="D491" s="1">
        <f t="shared" si="54"/>
        <v>1060</v>
      </c>
      <c r="E491" s="1">
        <f t="shared" si="55"/>
        <v>1250</v>
      </c>
      <c r="F491" s="1"/>
      <c r="H491" s="16">
        <f t="shared" si="50"/>
        <v>45549</v>
      </c>
      <c r="I491" s="29">
        <f t="shared" si="51"/>
        <v>8616.6666666666661</v>
      </c>
      <c r="J491" s="1">
        <f t="shared" si="52"/>
        <v>84.37</v>
      </c>
      <c r="L491" s="11">
        <v>42666</v>
      </c>
      <c r="M491" s="9">
        <v>0</v>
      </c>
      <c r="N491" s="9">
        <v>1060</v>
      </c>
      <c r="O491" s="9">
        <v>0</v>
      </c>
      <c r="P491" s="9">
        <v>0</v>
      </c>
      <c r="R491" s="11">
        <v>45549</v>
      </c>
      <c r="S491" s="9">
        <v>8616.6666666666661</v>
      </c>
      <c r="T491" s="9">
        <v>84.37</v>
      </c>
      <c r="U491" s="9"/>
    </row>
    <row r="492" spans="2:21" x14ac:dyDescent="0.4">
      <c r="B492" s="16">
        <f t="shared" si="49"/>
        <v>42667</v>
      </c>
      <c r="C492" s="1">
        <f t="shared" si="53"/>
        <v>4264</v>
      </c>
      <c r="D492" s="1">
        <f t="shared" si="54"/>
        <v>1060</v>
      </c>
      <c r="E492" s="1">
        <f t="shared" si="55"/>
        <v>1250</v>
      </c>
      <c r="F492" s="1"/>
      <c r="H492" s="16">
        <f t="shared" si="50"/>
        <v>45556</v>
      </c>
      <c r="I492" s="29">
        <f t="shared" si="51"/>
        <v>8500</v>
      </c>
      <c r="J492" s="1">
        <f t="shared" si="52"/>
        <v>84.37</v>
      </c>
      <c r="L492" s="11">
        <v>42667</v>
      </c>
      <c r="M492" s="9">
        <v>4264</v>
      </c>
      <c r="N492" s="9">
        <v>1060</v>
      </c>
      <c r="O492" s="9">
        <v>1250</v>
      </c>
      <c r="P492" s="9">
        <v>0</v>
      </c>
      <c r="R492" s="11">
        <v>45556</v>
      </c>
      <c r="S492" s="9">
        <v>8500</v>
      </c>
      <c r="T492" s="9">
        <v>84.37</v>
      </c>
      <c r="U492" s="9"/>
    </row>
    <row r="493" spans="2:21" x14ac:dyDescent="0.4">
      <c r="B493" s="16">
        <f t="shared" si="49"/>
        <v>42668</v>
      </c>
      <c r="C493" s="1">
        <f t="shared" si="53"/>
        <v>4288</v>
      </c>
      <c r="D493" s="1">
        <f t="shared" si="54"/>
        <v>1060</v>
      </c>
      <c r="E493" s="1">
        <f t="shared" si="55"/>
        <v>1250</v>
      </c>
      <c r="F493" s="1"/>
      <c r="H493" s="16">
        <f t="shared" si="50"/>
        <v>45563</v>
      </c>
      <c r="I493" s="29">
        <f t="shared" si="51"/>
        <v>8470</v>
      </c>
      <c r="J493" s="1">
        <f t="shared" si="52"/>
        <v>84.3</v>
      </c>
      <c r="L493" s="11">
        <v>42668</v>
      </c>
      <c r="M493" s="9">
        <v>4288</v>
      </c>
      <c r="N493" s="9">
        <v>1060</v>
      </c>
      <c r="O493" s="9">
        <v>1250</v>
      </c>
      <c r="P493" s="9">
        <v>0</v>
      </c>
      <c r="R493" s="11">
        <v>45563</v>
      </c>
      <c r="S493" s="9">
        <v>8470</v>
      </c>
      <c r="T493" s="9">
        <v>84.3</v>
      </c>
      <c r="U493" s="9"/>
    </row>
    <row r="494" spans="2:21" x14ac:dyDescent="0.4">
      <c r="B494" s="16">
        <f t="shared" si="49"/>
        <v>42669</v>
      </c>
      <c r="C494" s="1">
        <f t="shared" si="53"/>
        <v>4308</v>
      </c>
      <c r="D494" s="1">
        <f t="shared" si="54"/>
        <v>1055</v>
      </c>
      <c r="E494" s="1">
        <f t="shared" si="55"/>
        <v>1280</v>
      </c>
      <c r="F494" s="1"/>
      <c r="H494" s="16">
        <f t="shared" si="50"/>
        <v>45570</v>
      </c>
      <c r="I494" s="29">
        <f t="shared" si="51"/>
        <v>8475</v>
      </c>
      <c r="J494" s="1">
        <f t="shared" si="52"/>
        <v>84.3</v>
      </c>
      <c r="L494" s="11">
        <v>42669</v>
      </c>
      <c r="M494" s="9">
        <v>4308</v>
      </c>
      <c r="N494" s="9">
        <v>1055</v>
      </c>
      <c r="O494" s="9">
        <v>1280</v>
      </c>
      <c r="P494" s="9">
        <v>0</v>
      </c>
      <c r="R494" s="11">
        <v>45570</v>
      </c>
      <c r="S494" s="9">
        <v>8475</v>
      </c>
      <c r="T494" s="9">
        <v>84.3</v>
      </c>
      <c r="U494" s="9"/>
    </row>
    <row r="495" spans="2:21" x14ac:dyDescent="0.4">
      <c r="B495" s="16">
        <f t="shared" si="49"/>
        <v>42670</v>
      </c>
      <c r="C495" s="1">
        <f t="shared" si="53"/>
        <v>4310</v>
      </c>
      <c r="D495" s="1">
        <f t="shared" si="54"/>
        <v>1055</v>
      </c>
      <c r="E495" s="1">
        <f t="shared" si="55"/>
        <v>1280</v>
      </c>
      <c r="F495" s="1"/>
      <c r="H495" s="16">
        <f t="shared" si="50"/>
        <v>45577</v>
      </c>
      <c r="I495" s="29">
        <f t="shared" si="51"/>
        <v>8850</v>
      </c>
      <c r="J495" s="1">
        <f t="shared" si="52"/>
        <v>84.3</v>
      </c>
      <c r="L495" s="11">
        <v>42670</v>
      </c>
      <c r="M495" s="9">
        <v>4310</v>
      </c>
      <c r="N495" s="9">
        <v>1055</v>
      </c>
      <c r="O495" s="9">
        <v>1280</v>
      </c>
      <c r="P495" s="9">
        <v>0</v>
      </c>
      <c r="R495" s="11">
        <v>45577</v>
      </c>
      <c r="S495" s="9">
        <v>8850</v>
      </c>
      <c r="T495" s="9">
        <v>84.3</v>
      </c>
      <c r="U495" s="9"/>
    </row>
    <row r="496" spans="2:21" x14ac:dyDescent="0.4">
      <c r="B496" s="16">
        <f t="shared" si="49"/>
        <v>42671</v>
      </c>
      <c r="C496" s="1">
        <f t="shared" si="53"/>
        <v>4326</v>
      </c>
      <c r="D496" s="1">
        <f t="shared" si="54"/>
        <v>1055</v>
      </c>
      <c r="E496" s="1">
        <f t="shared" si="55"/>
        <v>1300</v>
      </c>
      <c r="F496" s="1"/>
      <c r="H496" s="16">
        <f t="shared" si="50"/>
        <v>45584</v>
      </c>
      <c r="I496" s="29">
        <f t="shared" si="51"/>
        <v>8815</v>
      </c>
      <c r="J496" s="1">
        <f t="shared" si="52"/>
        <v>82.95</v>
      </c>
      <c r="L496" s="11">
        <v>42671</v>
      </c>
      <c r="M496" s="9">
        <v>4326</v>
      </c>
      <c r="N496" s="9">
        <v>0</v>
      </c>
      <c r="O496" s="9">
        <v>1300</v>
      </c>
      <c r="P496" s="9">
        <v>0</v>
      </c>
      <c r="R496" s="11">
        <v>45584</v>
      </c>
      <c r="S496" s="9">
        <v>8815</v>
      </c>
      <c r="T496" s="9">
        <v>82.95</v>
      </c>
      <c r="U496" s="9"/>
    </row>
    <row r="497" spans="2:21" x14ac:dyDescent="0.4">
      <c r="B497" s="16">
        <f t="shared" si="49"/>
        <v>42673</v>
      </c>
      <c r="C497" s="1">
        <f t="shared" si="53"/>
        <v>4326</v>
      </c>
      <c r="D497" s="1">
        <f t="shared" si="54"/>
        <v>1050</v>
      </c>
      <c r="E497" s="1">
        <f t="shared" si="55"/>
        <v>1300</v>
      </c>
      <c r="F497" s="1"/>
      <c r="H497" s="16">
        <f t="shared" si="50"/>
        <v>45591</v>
      </c>
      <c r="I497" s="29">
        <f t="shared" si="51"/>
        <v>8725</v>
      </c>
      <c r="J497" s="1">
        <f t="shared" si="52"/>
        <v>81.42</v>
      </c>
      <c r="L497" s="11">
        <v>42673</v>
      </c>
      <c r="M497" s="9">
        <v>0</v>
      </c>
      <c r="N497" s="9">
        <v>1050</v>
      </c>
      <c r="O497" s="9">
        <v>0</v>
      </c>
      <c r="P497" s="9">
        <v>0</v>
      </c>
      <c r="R497" s="11">
        <v>45591</v>
      </c>
      <c r="S497" s="9">
        <v>8725</v>
      </c>
      <c r="T497" s="9">
        <v>81.42</v>
      </c>
      <c r="U497" s="9"/>
    </row>
    <row r="498" spans="2:21" x14ac:dyDescent="0.4">
      <c r="B498" s="16">
        <f t="shared" si="49"/>
        <v>42674</v>
      </c>
      <c r="C498" s="1">
        <f t="shared" si="53"/>
        <v>4349</v>
      </c>
      <c r="D498" s="1">
        <f t="shared" si="54"/>
        <v>1035</v>
      </c>
      <c r="E498" s="1">
        <f t="shared" si="55"/>
        <v>1330</v>
      </c>
      <c r="F498" s="1"/>
      <c r="H498" s="16">
        <f t="shared" si="50"/>
        <v>45598</v>
      </c>
      <c r="I498" s="29">
        <f t="shared" si="51"/>
        <v>8575</v>
      </c>
      <c r="J498" s="1">
        <f t="shared" si="52"/>
        <v>80.099999999999994</v>
      </c>
      <c r="L498" s="11">
        <v>42674</v>
      </c>
      <c r="M498" s="9">
        <v>4349</v>
      </c>
      <c r="N498" s="9">
        <v>1035</v>
      </c>
      <c r="O498" s="9">
        <v>1330</v>
      </c>
      <c r="P498" s="9">
        <v>0</v>
      </c>
      <c r="R498" s="11">
        <v>45598</v>
      </c>
      <c r="S498" s="9">
        <v>8575</v>
      </c>
      <c r="T498" s="9">
        <v>80.099999999999994</v>
      </c>
      <c r="U498" s="9"/>
    </row>
    <row r="499" spans="2:21" x14ac:dyDescent="0.4">
      <c r="B499" s="16">
        <f t="shared" si="49"/>
        <v>42675</v>
      </c>
      <c r="C499" s="1">
        <f t="shared" si="53"/>
        <v>4375</v>
      </c>
      <c r="D499" s="1">
        <f t="shared" si="54"/>
        <v>1030</v>
      </c>
      <c r="E499" s="1">
        <f t="shared" si="55"/>
        <v>1350</v>
      </c>
      <c r="F499" s="1"/>
      <c r="H499" s="16">
        <f t="shared" si="50"/>
        <v>45605</v>
      </c>
      <c r="I499" s="29">
        <f t="shared" si="51"/>
        <v>8570</v>
      </c>
      <c r="J499" s="1">
        <f t="shared" si="52"/>
        <v>79.760000000000005</v>
      </c>
      <c r="L499" s="11">
        <v>42675</v>
      </c>
      <c r="M499" s="9">
        <v>4375</v>
      </c>
      <c r="N499" s="9">
        <v>1030</v>
      </c>
      <c r="O499" s="9">
        <v>1350</v>
      </c>
      <c r="P499" s="9">
        <v>0</v>
      </c>
      <c r="R499" s="11">
        <v>45605</v>
      </c>
      <c r="S499" s="9">
        <v>8570</v>
      </c>
      <c r="T499" s="9">
        <v>79.760000000000005</v>
      </c>
      <c r="U499" s="9"/>
    </row>
    <row r="500" spans="2:21" x14ac:dyDescent="0.4">
      <c r="B500" s="16">
        <f t="shared" si="49"/>
        <v>42676</v>
      </c>
      <c r="C500" s="1">
        <f t="shared" si="53"/>
        <v>4381</v>
      </c>
      <c r="D500" s="1">
        <f t="shared" si="54"/>
        <v>1030</v>
      </c>
      <c r="E500" s="1">
        <f t="shared" si="55"/>
        <v>1350</v>
      </c>
      <c r="F500" s="1"/>
      <c r="H500" s="16">
        <f t="shared" si="50"/>
        <v>45612</v>
      </c>
      <c r="I500" s="29">
        <f t="shared" si="51"/>
        <v>8525</v>
      </c>
      <c r="J500" s="1">
        <f t="shared" si="52"/>
        <v>79.83</v>
      </c>
      <c r="L500" s="11">
        <v>42676</v>
      </c>
      <c r="M500" s="9">
        <v>4381</v>
      </c>
      <c r="N500" s="9">
        <v>1030</v>
      </c>
      <c r="O500" s="9">
        <v>1350</v>
      </c>
      <c r="P500" s="9">
        <v>0</v>
      </c>
      <c r="R500" s="11">
        <v>45612</v>
      </c>
      <c r="S500" s="9">
        <v>8525</v>
      </c>
      <c r="T500" s="9">
        <v>79.83</v>
      </c>
      <c r="U500" s="9"/>
    </row>
    <row r="501" spans="2:21" x14ac:dyDescent="0.4">
      <c r="B501" s="16">
        <f t="shared" si="49"/>
        <v>42677</v>
      </c>
      <c r="C501" s="1">
        <f t="shared" si="53"/>
        <v>4377</v>
      </c>
      <c r="D501" s="1">
        <f t="shared" si="54"/>
        <v>1030</v>
      </c>
      <c r="E501" s="1">
        <f t="shared" si="55"/>
        <v>1360</v>
      </c>
      <c r="F501" s="1"/>
      <c r="H501" s="16">
        <f t="shared" si="50"/>
        <v>45619</v>
      </c>
      <c r="I501" s="29">
        <f t="shared" si="51"/>
        <v>8400</v>
      </c>
      <c r="J501" s="1">
        <f t="shared" si="52"/>
        <v>79.83</v>
      </c>
      <c r="L501" s="11">
        <v>42677</v>
      </c>
      <c r="M501" s="9">
        <v>4377</v>
      </c>
      <c r="N501" s="9">
        <v>1030</v>
      </c>
      <c r="O501" s="9">
        <v>1360</v>
      </c>
      <c r="P501" s="9">
        <v>0</v>
      </c>
      <c r="R501" s="11">
        <v>45619</v>
      </c>
      <c r="S501" s="9">
        <v>8400</v>
      </c>
      <c r="T501" s="9">
        <v>79.83</v>
      </c>
      <c r="U501" s="9"/>
    </row>
    <row r="502" spans="2:21" x14ac:dyDescent="0.4">
      <c r="B502" s="16">
        <f t="shared" si="49"/>
        <v>42678</v>
      </c>
      <c r="C502" s="1">
        <f t="shared" si="53"/>
        <v>4387</v>
      </c>
      <c r="D502" s="1">
        <f t="shared" si="54"/>
        <v>1030</v>
      </c>
      <c r="E502" s="1">
        <f t="shared" si="55"/>
        <v>1370</v>
      </c>
      <c r="F502" s="1"/>
      <c r="H502" s="16">
        <f t="shared" si="50"/>
        <v>45626</v>
      </c>
      <c r="I502" s="29">
        <f t="shared" si="51"/>
        <v>8300</v>
      </c>
      <c r="J502" s="1">
        <f t="shared" si="52"/>
        <v>79.31</v>
      </c>
      <c r="L502" s="11">
        <v>42678</v>
      </c>
      <c r="M502" s="9">
        <v>4387</v>
      </c>
      <c r="N502" s="9">
        <v>0</v>
      </c>
      <c r="O502" s="9">
        <v>1370</v>
      </c>
      <c r="P502" s="9">
        <v>0</v>
      </c>
      <c r="R502" s="11">
        <v>45626</v>
      </c>
      <c r="S502" s="9">
        <v>8300</v>
      </c>
      <c r="T502" s="9">
        <v>79.31</v>
      </c>
      <c r="U502" s="9"/>
    </row>
    <row r="503" spans="2:21" x14ac:dyDescent="0.4">
      <c r="B503" s="16">
        <f t="shared" si="49"/>
        <v>42680</v>
      </c>
      <c r="C503" s="1">
        <f t="shared" si="53"/>
        <v>4387</v>
      </c>
      <c r="D503" s="1">
        <f t="shared" si="54"/>
        <v>995</v>
      </c>
      <c r="E503" s="1">
        <f t="shared" si="55"/>
        <v>1370</v>
      </c>
      <c r="F503" s="1"/>
      <c r="H503" s="16">
        <f t="shared" si="50"/>
        <v>45633</v>
      </c>
      <c r="I503" s="29">
        <f t="shared" si="51"/>
        <v>8225</v>
      </c>
      <c r="J503" s="1">
        <f t="shared" si="52"/>
        <v>78.97</v>
      </c>
      <c r="L503" s="11">
        <v>42680</v>
      </c>
      <c r="M503" s="9">
        <v>0</v>
      </c>
      <c r="N503" s="9">
        <v>995</v>
      </c>
      <c r="O503" s="9">
        <v>0</v>
      </c>
      <c r="P503" s="9">
        <v>0</v>
      </c>
      <c r="R503" s="11">
        <v>45633</v>
      </c>
      <c r="S503" s="9">
        <v>8225</v>
      </c>
      <c r="T503" s="9">
        <v>78.97</v>
      </c>
      <c r="U503" s="9"/>
    </row>
    <row r="504" spans="2:21" x14ac:dyDescent="0.4">
      <c r="B504" s="16">
        <f t="shared" si="49"/>
        <v>42681</v>
      </c>
      <c r="C504" s="1">
        <f t="shared" si="53"/>
        <v>4397</v>
      </c>
      <c r="D504" s="1">
        <f t="shared" si="54"/>
        <v>995</v>
      </c>
      <c r="E504" s="1">
        <f t="shared" si="55"/>
        <v>1370</v>
      </c>
      <c r="F504" s="1"/>
      <c r="H504" s="16">
        <f t="shared" si="50"/>
        <v>45640</v>
      </c>
      <c r="I504" s="29">
        <f t="shared" si="51"/>
        <v>8135</v>
      </c>
      <c r="J504" s="1">
        <f t="shared" si="52"/>
        <v>79.83</v>
      </c>
      <c r="L504" s="11">
        <v>42681</v>
      </c>
      <c r="M504" s="9">
        <v>4397</v>
      </c>
      <c r="N504" s="9">
        <v>995</v>
      </c>
      <c r="O504" s="9">
        <v>1370</v>
      </c>
      <c r="P504" s="9">
        <v>0</v>
      </c>
      <c r="R504" s="11">
        <v>45640</v>
      </c>
      <c r="S504" s="9">
        <v>8135</v>
      </c>
      <c r="T504" s="9">
        <v>79.83</v>
      </c>
      <c r="U504" s="9"/>
    </row>
    <row r="505" spans="2:21" x14ac:dyDescent="0.4">
      <c r="B505" s="16">
        <f t="shared" si="49"/>
        <v>42682</v>
      </c>
      <c r="C505" s="1">
        <f t="shared" si="53"/>
        <v>4405</v>
      </c>
      <c r="D505" s="1">
        <f t="shared" si="54"/>
        <v>995</v>
      </c>
      <c r="E505" s="1">
        <f t="shared" si="55"/>
        <v>1390</v>
      </c>
      <c r="F505" s="1"/>
      <c r="H505" s="16">
        <f t="shared" si="50"/>
        <v>45647</v>
      </c>
      <c r="I505" s="29">
        <f t="shared" si="51"/>
        <v>8225</v>
      </c>
      <c r="J505" s="1">
        <f t="shared" si="52"/>
        <v>79.83</v>
      </c>
      <c r="L505" s="11">
        <v>42682</v>
      </c>
      <c r="M505" s="9">
        <v>4405</v>
      </c>
      <c r="N505" s="9">
        <v>995</v>
      </c>
      <c r="O505" s="9">
        <v>1390</v>
      </c>
      <c r="P505" s="9">
        <v>0</v>
      </c>
      <c r="R505" s="11">
        <v>45647</v>
      </c>
      <c r="S505" s="9">
        <v>8225</v>
      </c>
      <c r="T505" s="9">
        <v>79.83</v>
      </c>
      <c r="U505" s="9"/>
    </row>
    <row r="506" spans="2:21" x14ac:dyDescent="0.4">
      <c r="B506" s="16">
        <f t="shared" si="49"/>
        <v>42683</v>
      </c>
      <c r="C506" s="1">
        <f t="shared" si="53"/>
        <v>4438</v>
      </c>
      <c r="D506" s="1">
        <f t="shared" si="54"/>
        <v>995</v>
      </c>
      <c r="E506" s="1">
        <f t="shared" si="55"/>
        <v>1400</v>
      </c>
      <c r="F506" s="1"/>
      <c r="H506" s="16">
        <f t="shared" si="50"/>
        <v>45654</v>
      </c>
      <c r="I506" s="29">
        <f t="shared" si="51"/>
        <v>8225</v>
      </c>
      <c r="J506" s="1">
        <f t="shared" si="52"/>
        <v>79.83</v>
      </c>
      <c r="L506" s="11">
        <v>42683</v>
      </c>
      <c r="M506" s="9">
        <v>4438</v>
      </c>
      <c r="N506" s="9">
        <v>995</v>
      </c>
      <c r="O506" s="9">
        <v>1400</v>
      </c>
      <c r="P506" s="9">
        <v>0</v>
      </c>
      <c r="R506" s="11">
        <v>45654</v>
      </c>
      <c r="S506" s="9">
        <v>8225</v>
      </c>
      <c r="T506" s="9">
        <v>0</v>
      </c>
      <c r="U506" s="9"/>
    </row>
    <row r="507" spans="2:21" x14ac:dyDescent="0.4">
      <c r="B507" s="16">
        <f t="shared" si="49"/>
        <v>42684</v>
      </c>
      <c r="C507" s="1">
        <f t="shared" si="53"/>
        <v>4467</v>
      </c>
      <c r="D507" s="1">
        <f t="shared" si="54"/>
        <v>995</v>
      </c>
      <c r="E507" s="1">
        <f t="shared" si="55"/>
        <v>1400</v>
      </c>
      <c r="F507" s="1"/>
      <c r="H507" s="16">
        <f t="shared" si="50"/>
        <v>45661</v>
      </c>
      <c r="I507" s="29">
        <f t="shared" si="51"/>
        <v>8262.5</v>
      </c>
      <c r="J507" s="1">
        <f t="shared" si="52"/>
        <v>79.760000000000005</v>
      </c>
      <c r="L507" s="11">
        <v>42684</v>
      </c>
      <c r="M507" s="9">
        <v>4467</v>
      </c>
      <c r="N507" s="9">
        <v>995</v>
      </c>
      <c r="O507" s="9">
        <v>1400</v>
      </c>
      <c r="P507" s="9">
        <v>0</v>
      </c>
      <c r="R507" s="11">
        <v>45661</v>
      </c>
      <c r="S507" s="9">
        <v>8262.5</v>
      </c>
      <c r="T507" s="9">
        <v>79.760000000000005</v>
      </c>
      <c r="U507" s="9"/>
    </row>
    <row r="508" spans="2:21" x14ac:dyDescent="0.4">
      <c r="B508" s="16">
        <f t="shared" si="49"/>
        <v>42685</v>
      </c>
      <c r="C508" s="1">
        <f t="shared" si="53"/>
        <v>4520</v>
      </c>
      <c r="D508" s="1">
        <f t="shared" si="54"/>
        <v>995</v>
      </c>
      <c r="E508" s="1">
        <f t="shared" si="55"/>
        <v>1400</v>
      </c>
      <c r="F508" s="1"/>
      <c r="H508" s="16">
        <f t="shared" si="50"/>
        <v>45668</v>
      </c>
      <c r="I508" s="29">
        <f t="shared" si="51"/>
        <v>8320</v>
      </c>
      <c r="J508" s="1">
        <f t="shared" si="52"/>
        <v>79.760000000000005</v>
      </c>
      <c r="L508" s="11">
        <v>42685</v>
      </c>
      <c r="M508" s="9">
        <v>4520</v>
      </c>
      <c r="N508" s="9">
        <v>0</v>
      </c>
      <c r="O508" s="9">
        <v>1400</v>
      </c>
      <c r="P508" s="9">
        <v>0</v>
      </c>
      <c r="R508" s="11">
        <v>45668</v>
      </c>
      <c r="S508" s="9">
        <v>8320</v>
      </c>
      <c r="T508" s="9">
        <v>79.760000000000005</v>
      </c>
      <c r="U508" s="9"/>
    </row>
    <row r="509" spans="2:21" x14ac:dyDescent="0.4">
      <c r="B509" s="16">
        <f t="shared" si="49"/>
        <v>42687</v>
      </c>
      <c r="C509" s="1">
        <f t="shared" si="53"/>
        <v>4520</v>
      </c>
      <c r="D509" s="1">
        <f t="shared" si="54"/>
        <v>975</v>
      </c>
      <c r="E509" s="1">
        <f t="shared" si="55"/>
        <v>1400</v>
      </c>
      <c r="F509" s="1"/>
      <c r="H509" s="16">
        <f t="shared" si="50"/>
        <v>45675</v>
      </c>
      <c r="I509" s="29">
        <f t="shared" si="51"/>
        <v>8465</v>
      </c>
      <c r="J509" s="1">
        <f t="shared" si="52"/>
        <v>79.27</v>
      </c>
      <c r="L509" s="11">
        <v>42687</v>
      </c>
      <c r="M509" s="9">
        <v>0</v>
      </c>
      <c r="N509" s="9">
        <v>975</v>
      </c>
      <c r="O509" s="9">
        <v>0</v>
      </c>
      <c r="P509" s="9">
        <v>0</v>
      </c>
      <c r="R509" s="11">
        <v>45675</v>
      </c>
      <c r="S509" s="9">
        <v>8465</v>
      </c>
      <c r="T509" s="9">
        <v>79.27</v>
      </c>
      <c r="U509" s="9"/>
    </row>
    <row r="510" spans="2:21" x14ac:dyDescent="0.4">
      <c r="B510" s="16">
        <f t="shared" si="49"/>
        <v>42688</v>
      </c>
      <c r="C510" s="1">
        <f t="shared" si="53"/>
        <v>4538</v>
      </c>
      <c r="D510" s="1">
        <f t="shared" si="54"/>
        <v>975</v>
      </c>
      <c r="E510" s="1">
        <f t="shared" si="55"/>
        <v>1410</v>
      </c>
      <c r="F510" s="1"/>
      <c r="H510" s="16">
        <f t="shared" si="50"/>
        <v>45682</v>
      </c>
      <c r="I510" s="29">
        <f t="shared" si="51"/>
        <v>8500</v>
      </c>
      <c r="J510" s="1">
        <f t="shared" si="52"/>
        <v>79.27</v>
      </c>
      <c r="L510" s="11">
        <v>42688</v>
      </c>
      <c r="M510" s="9">
        <v>4538</v>
      </c>
      <c r="N510" s="9">
        <v>975</v>
      </c>
      <c r="O510" s="9">
        <v>1410</v>
      </c>
      <c r="P510" s="9">
        <v>0</v>
      </c>
      <c r="R510" s="11">
        <v>45682</v>
      </c>
      <c r="S510" s="9">
        <v>8500</v>
      </c>
      <c r="T510" s="9">
        <v>79.27</v>
      </c>
      <c r="U510" s="9"/>
    </row>
    <row r="511" spans="2:21" x14ac:dyDescent="0.4">
      <c r="B511" s="16">
        <f t="shared" si="49"/>
        <v>42689</v>
      </c>
      <c r="C511" s="1">
        <f t="shared" si="53"/>
        <v>4541</v>
      </c>
      <c r="D511" s="1">
        <f t="shared" si="54"/>
        <v>980</v>
      </c>
      <c r="E511" s="1">
        <f t="shared" si="55"/>
        <v>1450</v>
      </c>
      <c r="F511" s="1"/>
      <c r="H511" s="16">
        <f t="shared" si="50"/>
        <v>45689</v>
      </c>
      <c r="I511" s="29">
        <f t="shared" si="51"/>
        <v>8500</v>
      </c>
      <c r="J511" s="1">
        <f t="shared" si="52"/>
        <v>79.27</v>
      </c>
      <c r="L511" s="11">
        <v>42689</v>
      </c>
      <c r="M511" s="9">
        <v>4541</v>
      </c>
      <c r="N511" s="9">
        <v>980</v>
      </c>
      <c r="O511" s="9">
        <v>1450</v>
      </c>
      <c r="P511" s="9">
        <v>0</v>
      </c>
      <c r="R511" s="11">
        <v>45689</v>
      </c>
      <c r="S511" s="9">
        <v>8500</v>
      </c>
      <c r="T511" s="9">
        <v>0</v>
      </c>
      <c r="U511" s="9"/>
    </row>
    <row r="512" spans="2:21" x14ac:dyDescent="0.4">
      <c r="B512" s="16">
        <f t="shared" si="49"/>
        <v>42690</v>
      </c>
      <c r="C512" s="1">
        <f t="shared" si="53"/>
        <v>4548</v>
      </c>
      <c r="D512" s="1">
        <f t="shared" si="54"/>
        <v>980</v>
      </c>
      <c r="E512" s="1">
        <f t="shared" si="55"/>
        <v>1450</v>
      </c>
      <c r="F512" s="1"/>
      <c r="H512" s="16">
        <f t="shared" si="50"/>
        <v>45696</v>
      </c>
      <c r="I512" s="29">
        <f t="shared" si="51"/>
        <v>8500</v>
      </c>
      <c r="J512" s="1">
        <f t="shared" si="52"/>
        <v>78.86</v>
      </c>
      <c r="L512" s="11">
        <v>42690</v>
      </c>
      <c r="M512" s="9">
        <v>4548</v>
      </c>
      <c r="N512" s="9">
        <v>980</v>
      </c>
      <c r="O512" s="9">
        <v>1450</v>
      </c>
      <c r="P512" s="9">
        <v>0</v>
      </c>
      <c r="R512" s="11">
        <v>45696</v>
      </c>
      <c r="S512" s="9">
        <v>8500</v>
      </c>
      <c r="T512" s="9">
        <v>78.86</v>
      </c>
      <c r="U512" s="9"/>
    </row>
    <row r="513" spans="2:21" x14ac:dyDescent="0.4">
      <c r="B513" s="16">
        <f t="shared" si="49"/>
        <v>42691</v>
      </c>
      <c r="C513" s="1">
        <f t="shared" si="53"/>
        <v>4566</v>
      </c>
      <c r="D513" s="1">
        <f t="shared" si="54"/>
        <v>1000</v>
      </c>
      <c r="E513" s="1">
        <f t="shared" si="55"/>
        <v>1470</v>
      </c>
      <c r="F513" s="1"/>
      <c r="H513" s="16">
        <f t="shared" si="50"/>
        <v>45703</v>
      </c>
      <c r="I513" s="29">
        <f t="shared" si="51"/>
        <v>8500</v>
      </c>
      <c r="J513" s="1">
        <f t="shared" si="52"/>
        <v>78.86</v>
      </c>
      <c r="L513" s="11">
        <v>42691</v>
      </c>
      <c r="M513" s="9">
        <v>4566</v>
      </c>
      <c r="N513" s="9">
        <v>1000</v>
      </c>
      <c r="O513" s="9">
        <v>1470</v>
      </c>
      <c r="P513" s="9">
        <v>0</v>
      </c>
      <c r="R513" s="11">
        <v>45703</v>
      </c>
      <c r="S513" s="9">
        <v>8500</v>
      </c>
      <c r="T513" s="9">
        <v>78.86</v>
      </c>
      <c r="U513" s="9"/>
    </row>
    <row r="514" spans="2:21" x14ac:dyDescent="0.4">
      <c r="B514" s="16">
        <f t="shared" si="49"/>
        <v>42692</v>
      </c>
      <c r="C514" s="1">
        <f t="shared" si="53"/>
        <v>4571</v>
      </c>
      <c r="D514" s="1">
        <f t="shared" si="54"/>
        <v>1000</v>
      </c>
      <c r="E514" s="1">
        <f t="shared" si="55"/>
        <v>1490</v>
      </c>
      <c r="F514" s="1"/>
      <c r="H514" s="16">
        <f t="shared" si="50"/>
        <v>45710</v>
      </c>
      <c r="I514" s="29">
        <f t="shared" si="51"/>
        <v>8495</v>
      </c>
      <c r="J514" s="1">
        <f t="shared" si="52"/>
        <v>78.86</v>
      </c>
      <c r="L514" s="11">
        <v>42692</v>
      </c>
      <c r="M514" s="9">
        <v>4571</v>
      </c>
      <c r="N514" s="9">
        <v>1000</v>
      </c>
      <c r="O514" s="9">
        <v>1490</v>
      </c>
      <c r="P514" s="9">
        <v>0</v>
      </c>
      <c r="R514" s="11">
        <v>45710</v>
      </c>
      <c r="S514" s="9">
        <v>8495</v>
      </c>
      <c r="T514" s="9">
        <v>78.86</v>
      </c>
      <c r="U514" s="9"/>
    </row>
    <row r="515" spans="2:21" x14ac:dyDescent="0.4">
      <c r="B515" s="16">
        <f t="shared" si="49"/>
        <v>42695</v>
      </c>
      <c r="C515" s="1">
        <f t="shared" si="53"/>
        <v>4593</v>
      </c>
      <c r="D515" s="1">
        <f t="shared" si="54"/>
        <v>1000</v>
      </c>
      <c r="E515" s="1">
        <f t="shared" si="55"/>
        <v>1510</v>
      </c>
      <c r="F515" s="1"/>
      <c r="H515" s="16">
        <f t="shared" si="50"/>
        <v>45717</v>
      </c>
      <c r="I515" s="29">
        <f t="shared" si="51"/>
        <v>8445</v>
      </c>
      <c r="J515" s="1">
        <f t="shared" si="52"/>
        <v>78.08</v>
      </c>
      <c r="L515" s="11">
        <v>42695</v>
      </c>
      <c r="M515" s="9">
        <v>4593</v>
      </c>
      <c r="N515" s="9">
        <v>1000</v>
      </c>
      <c r="O515" s="9">
        <v>1510</v>
      </c>
      <c r="P515" s="9">
        <v>0</v>
      </c>
      <c r="R515" s="11">
        <v>45717</v>
      </c>
      <c r="S515" s="9">
        <v>8445</v>
      </c>
      <c r="T515" s="9">
        <v>78.08</v>
      </c>
      <c r="U515" s="9"/>
    </row>
    <row r="516" spans="2:21" x14ac:dyDescent="0.4">
      <c r="B516" s="16">
        <f t="shared" si="49"/>
        <v>42696</v>
      </c>
      <c r="C516" s="1">
        <f t="shared" si="53"/>
        <v>4626</v>
      </c>
      <c r="D516" s="1">
        <f t="shared" si="54"/>
        <v>1000</v>
      </c>
      <c r="E516" s="1">
        <f t="shared" si="55"/>
        <v>1510</v>
      </c>
      <c r="F516" s="1"/>
      <c r="H516" s="16">
        <f t="shared" si="50"/>
        <v>45724</v>
      </c>
      <c r="I516" s="29">
        <f t="shared" si="51"/>
        <v>8400</v>
      </c>
      <c r="J516" s="1">
        <f t="shared" si="52"/>
        <v>77.91</v>
      </c>
      <c r="L516" s="11">
        <v>42696</v>
      </c>
      <c r="M516" s="9">
        <v>4626</v>
      </c>
      <c r="N516" s="9">
        <v>1000</v>
      </c>
      <c r="O516" s="9">
        <v>1510</v>
      </c>
      <c r="P516" s="9">
        <v>0</v>
      </c>
      <c r="R516" s="11">
        <v>45724</v>
      </c>
      <c r="S516" s="9">
        <v>8400</v>
      </c>
      <c r="T516" s="9">
        <v>77.91</v>
      </c>
      <c r="U516" s="9"/>
    </row>
    <row r="517" spans="2:21" x14ac:dyDescent="0.4">
      <c r="B517" s="16">
        <f t="shared" si="49"/>
        <v>42697</v>
      </c>
      <c r="C517" s="1">
        <f t="shared" si="53"/>
        <v>4637</v>
      </c>
      <c r="D517" s="1">
        <f t="shared" si="54"/>
        <v>1000</v>
      </c>
      <c r="E517" s="1">
        <f t="shared" si="55"/>
        <v>1490</v>
      </c>
      <c r="F517" s="1"/>
      <c r="H517" s="16">
        <f t="shared" si="50"/>
        <v>45731</v>
      </c>
      <c r="I517" s="29">
        <f t="shared" si="51"/>
        <v>8350</v>
      </c>
      <c r="J517" s="1">
        <f t="shared" si="52"/>
        <v>77.95</v>
      </c>
      <c r="L517" s="11">
        <v>42697</v>
      </c>
      <c r="M517" s="9">
        <v>4637</v>
      </c>
      <c r="N517" s="9">
        <v>1000</v>
      </c>
      <c r="O517" s="9">
        <v>1490</v>
      </c>
      <c r="P517" s="9">
        <v>0</v>
      </c>
      <c r="R517" s="11">
        <v>45731</v>
      </c>
      <c r="S517" s="9">
        <v>8350</v>
      </c>
      <c r="T517" s="9">
        <v>77.95</v>
      </c>
      <c r="U517" s="9"/>
    </row>
    <row r="518" spans="2:21" x14ac:dyDescent="0.4">
      <c r="B518" s="16">
        <f t="shared" ref="B518:B581" si="56">L518</f>
        <v>42698</v>
      </c>
      <c r="C518" s="1">
        <f t="shared" si="53"/>
        <v>4657</v>
      </c>
      <c r="D518" s="1">
        <f t="shared" si="54"/>
        <v>1010</v>
      </c>
      <c r="E518" s="1">
        <f t="shared" si="55"/>
        <v>1490</v>
      </c>
      <c r="F518" s="1"/>
      <c r="H518" s="16">
        <f t="shared" ref="H518:H579" si="57">R518</f>
        <v>45738</v>
      </c>
      <c r="I518" s="29">
        <f t="shared" ref="I518:I581" si="58">IF(S518&lt;&gt;0,S518,I517)</f>
        <v>8305</v>
      </c>
      <c r="J518" s="1">
        <f t="shared" ref="J518:J581" si="59">IF(T518&lt;&gt;0,T518,J517)</f>
        <v>78.81</v>
      </c>
      <c r="L518" s="11">
        <v>42698</v>
      </c>
      <c r="M518" s="9">
        <v>4657</v>
      </c>
      <c r="N518" s="9">
        <v>1010</v>
      </c>
      <c r="O518" s="9">
        <v>1490</v>
      </c>
      <c r="P518" s="9">
        <v>0</v>
      </c>
      <c r="R518" s="11">
        <v>45738</v>
      </c>
      <c r="S518" s="9">
        <v>8305</v>
      </c>
      <c r="T518" s="9">
        <v>78.81</v>
      </c>
      <c r="U518" s="9"/>
    </row>
    <row r="519" spans="2:21" x14ac:dyDescent="0.4">
      <c r="B519" s="16">
        <f t="shared" si="56"/>
        <v>42699</v>
      </c>
      <c r="C519" s="1">
        <f t="shared" ref="C519:C582" si="60">IF(M519&lt;&gt;0,M519,C518)</f>
        <v>4660</v>
      </c>
      <c r="D519" s="1">
        <f t="shared" ref="D519:D582" si="61">IF(N519&lt;&gt;0,N519,D518)</f>
        <v>1040</v>
      </c>
      <c r="E519" s="1">
        <f t="shared" ref="E519:E582" si="62">IF(O519&lt;&gt;0,O519,E518)</f>
        <v>1490</v>
      </c>
      <c r="F519" s="1"/>
      <c r="H519" s="16">
        <f t="shared" si="57"/>
        <v>45745</v>
      </c>
      <c r="I519" s="29">
        <f t="shared" si="58"/>
        <v>8210</v>
      </c>
      <c r="J519" s="1">
        <f t="shared" si="59"/>
        <v>78.81</v>
      </c>
      <c r="L519" s="11">
        <v>42699</v>
      </c>
      <c r="M519" s="9">
        <v>4660</v>
      </c>
      <c r="N519" s="9">
        <v>1040</v>
      </c>
      <c r="O519" s="9">
        <v>1490</v>
      </c>
      <c r="P519" s="9">
        <v>0</v>
      </c>
      <c r="R519" s="11">
        <v>45745</v>
      </c>
      <c r="S519" s="9">
        <v>8210</v>
      </c>
      <c r="T519" s="9">
        <v>78.81</v>
      </c>
      <c r="U519" s="9"/>
    </row>
    <row r="520" spans="2:21" x14ac:dyDescent="0.4">
      <c r="B520" s="16">
        <f t="shared" si="56"/>
        <v>42702</v>
      </c>
      <c r="C520" s="1">
        <f t="shared" si="60"/>
        <v>4665</v>
      </c>
      <c r="D520" s="1">
        <f t="shared" si="61"/>
        <v>1040</v>
      </c>
      <c r="E520" s="1">
        <f t="shared" si="62"/>
        <v>1490</v>
      </c>
      <c r="F520" s="1"/>
      <c r="H520" s="16">
        <f t="shared" si="57"/>
        <v>45752</v>
      </c>
      <c r="I520" s="29">
        <f t="shared" si="58"/>
        <v>8175</v>
      </c>
      <c r="J520" s="1">
        <f t="shared" si="59"/>
        <v>78.87</v>
      </c>
      <c r="L520" s="11">
        <v>42702</v>
      </c>
      <c r="M520" s="9">
        <v>4665</v>
      </c>
      <c r="N520" s="9">
        <v>1040</v>
      </c>
      <c r="O520" s="9">
        <v>1490</v>
      </c>
      <c r="P520" s="9">
        <v>0</v>
      </c>
      <c r="R520" s="11">
        <v>45752</v>
      </c>
      <c r="S520" s="9">
        <v>8175</v>
      </c>
      <c r="T520" s="9">
        <v>78.87</v>
      </c>
      <c r="U520" s="9"/>
    </row>
    <row r="521" spans="2:21" x14ac:dyDescent="0.4">
      <c r="B521" s="16">
        <f t="shared" si="56"/>
        <v>42703</v>
      </c>
      <c r="C521" s="1">
        <f t="shared" si="60"/>
        <v>4682</v>
      </c>
      <c r="D521" s="1">
        <f t="shared" si="61"/>
        <v>1040</v>
      </c>
      <c r="E521" s="1">
        <f t="shared" si="62"/>
        <v>1540</v>
      </c>
      <c r="F521" s="1"/>
      <c r="H521" s="16">
        <f t="shared" si="57"/>
        <v>45759</v>
      </c>
      <c r="I521" s="29">
        <f t="shared" si="58"/>
        <v>7900</v>
      </c>
      <c r="J521" s="1">
        <f t="shared" si="59"/>
        <v>79.09</v>
      </c>
      <c r="L521" s="11">
        <v>42703</v>
      </c>
      <c r="M521" s="9">
        <v>4682</v>
      </c>
      <c r="N521" s="9">
        <v>1040</v>
      </c>
      <c r="O521" s="9">
        <v>1540</v>
      </c>
      <c r="P521" s="9">
        <v>0</v>
      </c>
      <c r="R521" s="11">
        <v>45759</v>
      </c>
      <c r="S521" s="9">
        <v>7900</v>
      </c>
      <c r="T521" s="9">
        <v>79.09</v>
      </c>
      <c r="U521" s="9"/>
    </row>
    <row r="522" spans="2:21" x14ac:dyDescent="0.4">
      <c r="B522" s="16">
        <f t="shared" si="56"/>
        <v>42704</v>
      </c>
      <c r="C522" s="1">
        <f t="shared" si="60"/>
        <v>4665</v>
      </c>
      <c r="D522" s="1">
        <f t="shared" si="61"/>
        <v>1050</v>
      </c>
      <c r="E522" s="1">
        <f t="shared" si="62"/>
        <v>1540</v>
      </c>
      <c r="F522" s="1"/>
      <c r="H522" s="16">
        <f t="shared" si="57"/>
        <v>45766</v>
      </c>
      <c r="I522" s="29">
        <f t="shared" si="58"/>
        <v>7710</v>
      </c>
      <c r="J522" s="1">
        <f t="shared" si="59"/>
        <v>78.95</v>
      </c>
      <c r="L522" s="11">
        <v>42704</v>
      </c>
      <c r="M522" s="9">
        <v>4665</v>
      </c>
      <c r="N522" s="9">
        <v>1050</v>
      </c>
      <c r="O522" s="9">
        <v>1540</v>
      </c>
      <c r="P522" s="9">
        <v>0</v>
      </c>
      <c r="R522" s="11">
        <v>45766</v>
      </c>
      <c r="S522" s="9">
        <v>7710</v>
      </c>
      <c r="T522" s="9">
        <v>78.95</v>
      </c>
      <c r="U522" s="9"/>
    </row>
    <row r="523" spans="2:21" x14ac:dyDescent="0.4">
      <c r="B523" s="16">
        <f t="shared" si="56"/>
        <v>42705</v>
      </c>
      <c r="C523" s="1">
        <f t="shared" si="60"/>
        <v>4678</v>
      </c>
      <c r="D523" s="1">
        <f t="shared" si="61"/>
        <v>1060</v>
      </c>
      <c r="E523" s="1">
        <f t="shared" si="62"/>
        <v>1530</v>
      </c>
      <c r="F523" s="1"/>
      <c r="H523" s="16">
        <f t="shared" si="57"/>
        <v>45773</v>
      </c>
      <c r="I523" s="29">
        <f t="shared" si="58"/>
        <v>7600</v>
      </c>
      <c r="J523" s="1">
        <f t="shared" si="59"/>
        <v>79.06</v>
      </c>
      <c r="L523" s="11">
        <v>42705</v>
      </c>
      <c r="M523" s="9">
        <v>4678</v>
      </c>
      <c r="N523" s="9">
        <v>1060</v>
      </c>
      <c r="O523" s="9">
        <v>1530</v>
      </c>
      <c r="P523" s="9">
        <v>0</v>
      </c>
      <c r="R523" s="11">
        <v>45773</v>
      </c>
      <c r="S523" s="9">
        <v>7600</v>
      </c>
      <c r="T523" s="9">
        <v>79.06</v>
      </c>
      <c r="U523" s="9"/>
    </row>
    <row r="524" spans="2:21" x14ac:dyDescent="0.4">
      <c r="B524" s="16">
        <f t="shared" si="56"/>
        <v>42706</v>
      </c>
      <c r="C524" s="1">
        <f t="shared" si="60"/>
        <v>4689</v>
      </c>
      <c r="D524" s="1">
        <f t="shared" si="61"/>
        <v>1060</v>
      </c>
      <c r="E524" s="1">
        <f t="shared" si="62"/>
        <v>1530</v>
      </c>
      <c r="F524" s="1"/>
      <c r="H524" s="16">
        <f t="shared" si="57"/>
        <v>45780</v>
      </c>
      <c r="I524" s="29">
        <f t="shared" si="58"/>
        <v>7681.25</v>
      </c>
      <c r="J524" s="1">
        <f t="shared" si="59"/>
        <v>78.72</v>
      </c>
      <c r="L524" s="11">
        <v>42706</v>
      </c>
      <c r="M524" s="9">
        <v>4689</v>
      </c>
      <c r="N524" s="9">
        <v>1060</v>
      </c>
      <c r="O524" s="9">
        <v>1530</v>
      </c>
      <c r="P524" s="9">
        <v>0</v>
      </c>
      <c r="R524" s="11">
        <v>45780</v>
      </c>
      <c r="S524" s="9">
        <v>7681.25</v>
      </c>
      <c r="T524" s="9">
        <v>78.72</v>
      </c>
      <c r="U524" s="9"/>
    </row>
    <row r="525" spans="2:21" x14ac:dyDescent="0.4">
      <c r="B525" s="16">
        <f t="shared" si="56"/>
        <v>42709</v>
      </c>
      <c r="C525" s="1">
        <f t="shared" si="60"/>
        <v>4732</v>
      </c>
      <c r="D525" s="1">
        <f t="shared" si="61"/>
        <v>1060</v>
      </c>
      <c r="E525" s="1">
        <f t="shared" si="62"/>
        <v>1530</v>
      </c>
      <c r="F525" s="1"/>
      <c r="H525" s="16">
        <f t="shared" si="57"/>
        <v>45787</v>
      </c>
      <c r="I525" s="29">
        <f t="shared" si="58"/>
        <v>7718.75</v>
      </c>
      <c r="J525" s="1">
        <f t="shared" si="59"/>
        <v>78.72</v>
      </c>
      <c r="L525" s="11">
        <v>42709</v>
      </c>
      <c r="M525" s="9">
        <v>4732</v>
      </c>
      <c r="N525" s="9">
        <v>1060</v>
      </c>
      <c r="O525" s="9">
        <v>1530</v>
      </c>
      <c r="P525" s="9">
        <v>0</v>
      </c>
      <c r="R525" s="11">
        <v>45787</v>
      </c>
      <c r="S525" s="9">
        <v>7718.75</v>
      </c>
      <c r="T525" s="9">
        <v>78.72</v>
      </c>
      <c r="U525" s="9"/>
    </row>
    <row r="526" spans="2:21" x14ac:dyDescent="0.4">
      <c r="B526" s="16">
        <f t="shared" si="56"/>
        <v>42710</v>
      </c>
      <c r="C526" s="1">
        <f t="shared" si="60"/>
        <v>4760</v>
      </c>
      <c r="D526" s="1">
        <f t="shared" si="61"/>
        <v>1060</v>
      </c>
      <c r="E526" s="1">
        <f t="shared" si="62"/>
        <v>1520</v>
      </c>
      <c r="F526" s="1"/>
      <c r="H526" s="16">
        <f t="shared" si="57"/>
        <v>45794</v>
      </c>
      <c r="I526" s="29">
        <f t="shared" si="58"/>
        <v>8080</v>
      </c>
      <c r="J526" s="1">
        <f t="shared" si="59"/>
        <v>79.67</v>
      </c>
      <c r="L526" s="11">
        <v>42710</v>
      </c>
      <c r="M526" s="9">
        <v>4760</v>
      </c>
      <c r="N526" s="9">
        <v>1060</v>
      </c>
      <c r="O526" s="9">
        <v>1520</v>
      </c>
      <c r="P526" s="9">
        <v>0</v>
      </c>
      <c r="R526" s="11">
        <v>45794</v>
      </c>
      <c r="S526" s="9">
        <v>8080</v>
      </c>
      <c r="T526" s="9">
        <v>79.67</v>
      </c>
      <c r="U526" s="9"/>
    </row>
    <row r="527" spans="2:21" x14ac:dyDescent="0.4">
      <c r="B527" s="16">
        <f t="shared" si="56"/>
        <v>42711</v>
      </c>
      <c r="C527" s="1">
        <f t="shared" si="60"/>
        <v>4792</v>
      </c>
      <c r="D527" s="1">
        <f t="shared" si="61"/>
        <v>1060</v>
      </c>
      <c r="E527" s="1">
        <f t="shared" si="62"/>
        <v>1520</v>
      </c>
      <c r="F527" s="1"/>
      <c r="H527" s="16">
        <f t="shared" si="57"/>
        <v>45801</v>
      </c>
      <c r="I527" s="29">
        <f t="shared" si="58"/>
        <v>8175</v>
      </c>
      <c r="J527" s="1">
        <f t="shared" si="59"/>
        <v>79.900000000000006</v>
      </c>
      <c r="L527" s="11">
        <v>42711</v>
      </c>
      <c r="M527" s="9">
        <v>4792</v>
      </c>
      <c r="N527" s="9">
        <v>1060</v>
      </c>
      <c r="O527" s="9">
        <v>1520</v>
      </c>
      <c r="P527" s="9">
        <v>0</v>
      </c>
      <c r="R527" s="11">
        <v>45801</v>
      </c>
      <c r="S527" s="9">
        <v>8175</v>
      </c>
      <c r="T527" s="9">
        <v>79.900000000000006</v>
      </c>
      <c r="U527" s="9"/>
    </row>
    <row r="528" spans="2:21" x14ac:dyDescent="0.4">
      <c r="B528" s="16">
        <f t="shared" si="56"/>
        <v>42712</v>
      </c>
      <c r="C528" s="1">
        <f t="shared" si="60"/>
        <v>4833</v>
      </c>
      <c r="D528" s="1">
        <f t="shared" si="61"/>
        <v>1100</v>
      </c>
      <c r="E528" s="1">
        <f t="shared" si="62"/>
        <v>1520</v>
      </c>
      <c r="F528" s="1"/>
      <c r="H528" s="16">
        <f t="shared" si="57"/>
        <v>45808</v>
      </c>
      <c r="I528" s="29">
        <f t="shared" si="58"/>
        <v>8175</v>
      </c>
      <c r="J528" s="1">
        <f t="shared" si="59"/>
        <v>80.239999999999995</v>
      </c>
      <c r="L528" s="11">
        <v>42712</v>
      </c>
      <c r="M528" s="9">
        <v>4833</v>
      </c>
      <c r="N528" s="9">
        <v>1100</v>
      </c>
      <c r="O528" s="9">
        <v>1520</v>
      </c>
      <c r="P528" s="9">
        <v>0</v>
      </c>
      <c r="R528" s="11">
        <v>45808</v>
      </c>
      <c r="S528" s="9">
        <v>8175</v>
      </c>
      <c r="T528" s="9">
        <v>80.239999999999995</v>
      </c>
      <c r="U528" s="9"/>
    </row>
    <row r="529" spans="2:21" x14ac:dyDescent="0.4">
      <c r="B529" s="16">
        <f t="shared" si="56"/>
        <v>42713</v>
      </c>
      <c r="C529" s="1">
        <f t="shared" si="60"/>
        <v>4845</v>
      </c>
      <c r="D529" s="1">
        <f t="shared" si="61"/>
        <v>1135</v>
      </c>
      <c r="E529" s="1">
        <f t="shared" si="62"/>
        <v>1520</v>
      </c>
      <c r="F529" s="1"/>
      <c r="H529" s="16">
        <f t="shared" si="57"/>
        <v>45815</v>
      </c>
      <c r="I529" s="29">
        <f t="shared" si="58"/>
        <v>8175</v>
      </c>
      <c r="J529" s="1">
        <f t="shared" si="59"/>
        <v>81</v>
      </c>
      <c r="L529" s="11">
        <v>42713</v>
      </c>
      <c r="M529" s="9">
        <v>4845</v>
      </c>
      <c r="N529" s="9">
        <v>1135</v>
      </c>
      <c r="O529" s="9">
        <v>1520</v>
      </c>
      <c r="P529" s="9">
        <v>0</v>
      </c>
      <c r="R529" s="11">
        <v>45815</v>
      </c>
      <c r="S529" s="9">
        <v>8175</v>
      </c>
      <c r="T529" s="9">
        <v>81</v>
      </c>
      <c r="U529" s="9"/>
    </row>
    <row r="530" spans="2:21" x14ac:dyDescent="0.4">
      <c r="B530" s="16">
        <f t="shared" si="56"/>
        <v>42716</v>
      </c>
      <c r="C530" s="1">
        <f t="shared" si="60"/>
        <v>4951</v>
      </c>
      <c r="D530" s="1">
        <f t="shared" si="61"/>
        <v>1135</v>
      </c>
      <c r="E530" s="1">
        <f t="shared" si="62"/>
        <v>1500</v>
      </c>
      <c r="F530" s="1"/>
      <c r="H530" s="16">
        <f t="shared" si="57"/>
        <v>45822</v>
      </c>
      <c r="I530" s="29">
        <f t="shared" si="58"/>
        <v>8115</v>
      </c>
      <c r="J530" s="1">
        <f t="shared" si="59"/>
        <v>81.8</v>
      </c>
      <c r="L530" s="11">
        <v>42716</v>
      </c>
      <c r="M530" s="9">
        <v>4951</v>
      </c>
      <c r="N530" s="9">
        <v>1135</v>
      </c>
      <c r="O530" s="9">
        <v>1500</v>
      </c>
      <c r="P530" s="9">
        <v>0</v>
      </c>
      <c r="R530" s="11">
        <v>45822</v>
      </c>
      <c r="S530" s="9">
        <v>8115</v>
      </c>
      <c r="T530" s="9">
        <v>81.8</v>
      </c>
      <c r="U530" s="9"/>
    </row>
    <row r="531" spans="2:21" x14ac:dyDescent="0.4">
      <c r="B531" s="16">
        <f t="shared" si="56"/>
        <v>42717</v>
      </c>
      <c r="C531" s="1">
        <f t="shared" si="60"/>
        <v>4991</v>
      </c>
      <c r="D531" s="1">
        <f t="shared" si="61"/>
        <v>1145</v>
      </c>
      <c r="E531" s="1">
        <f t="shared" si="62"/>
        <v>1490</v>
      </c>
      <c r="F531" s="1"/>
      <c r="H531" s="16">
        <f t="shared" si="57"/>
        <v>45829</v>
      </c>
      <c r="I531" s="29">
        <f t="shared" si="58"/>
        <v>8335</v>
      </c>
      <c r="J531" s="1">
        <f t="shared" si="59"/>
        <v>82.82</v>
      </c>
      <c r="L531" s="11">
        <v>42717</v>
      </c>
      <c r="M531" s="9">
        <v>4991</v>
      </c>
      <c r="N531" s="9">
        <v>1145</v>
      </c>
      <c r="O531" s="9">
        <v>1490</v>
      </c>
      <c r="P531" s="9">
        <v>0</v>
      </c>
      <c r="R531" s="11">
        <v>45829</v>
      </c>
      <c r="S531" s="9">
        <v>8335</v>
      </c>
      <c r="T531" s="9">
        <v>82.82</v>
      </c>
      <c r="U531" s="9"/>
    </row>
    <row r="532" spans="2:21" x14ac:dyDescent="0.4">
      <c r="B532" s="16">
        <f t="shared" si="56"/>
        <v>42718</v>
      </c>
      <c r="C532" s="1">
        <f t="shared" si="60"/>
        <v>4998</v>
      </c>
      <c r="D532" s="1">
        <f t="shared" si="61"/>
        <v>1145</v>
      </c>
      <c r="E532" s="1">
        <f t="shared" si="62"/>
        <v>1490</v>
      </c>
      <c r="F532" s="1"/>
      <c r="H532" s="16">
        <f t="shared" si="57"/>
        <v>45836</v>
      </c>
      <c r="I532" s="29">
        <f t="shared" si="58"/>
        <v>8425</v>
      </c>
      <c r="J532" s="1">
        <f t="shared" si="59"/>
        <v>83.17</v>
      </c>
      <c r="L532" s="11">
        <v>42718</v>
      </c>
      <c r="M532" s="9">
        <v>4998</v>
      </c>
      <c r="N532" s="9">
        <v>1145</v>
      </c>
      <c r="O532" s="9">
        <v>1490</v>
      </c>
      <c r="P532" s="9">
        <v>0</v>
      </c>
      <c r="R532" s="11">
        <v>45836</v>
      </c>
      <c r="S532" s="9">
        <v>8425</v>
      </c>
      <c r="T532" s="9">
        <v>83.17</v>
      </c>
      <c r="U532" s="9"/>
    </row>
    <row r="533" spans="2:21" x14ac:dyDescent="0.4">
      <c r="B533" s="16">
        <f t="shared" si="56"/>
        <v>42719</v>
      </c>
      <c r="C533" s="1">
        <f t="shared" si="60"/>
        <v>5005</v>
      </c>
      <c r="D533" s="1">
        <f t="shared" si="61"/>
        <v>1145</v>
      </c>
      <c r="E533" s="1">
        <f t="shared" si="62"/>
        <v>1490</v>
      </c>
      <c r="F533" s="1"/>
      <c r="H533" s="16">
        <f t="shared" si="57"/>
        <v>45843</v>
      </c>
      <c r="I533" s="29">
        <f t="shared" si="58"/>
        <v>8230</v>
      </c>
      <c r="J533" s="1">
        <f t="shared" si="59"/>
        <v>82.54</v>
      </c>
      <c r="L533" s="11">
        <v>42719</v>
      </c>
      <c r="M533" s="9">
        <v>5005</v>
      </c>
      <c r="N533" s="9">
        <v>1145</v>
      </c>
      <c r="O533" s="9">
        <v>1490</v>
      </c>
      <c r="P533" s="9">
        <v>0</v>
      </c>
      <c r="R533" s="11">
        <v>45843</v>
      </c>
      <c r="S533" s="9">
        <v>8230</v>
      </c>
      <c r="T533" s="9">
        <v>82.54</v>
      </c>
      <c r="U533" s="9"/>
    </row>
    <row r="534" spans="2:21" x14ac:dyDescent="0.4">
      <c r="B534" s="16">
        <f t="shared" si="56"/>
        <v>42720</v>
      </c>
      <c r="C534" s="1">
        <f t="shared" si="60"/>
        <v>5015</v>
      </c>
      <c r="D534" s="1">
        <f t="shared" si="61"/>
        <v>1145</v>
      </c>
      <c r="E534" s="1">
        <f t="shared" si="62"/>
        <v>1490</v>
      </c>
      <c r="F534" s="1"/>
      <c r="H534" s="16">
        <f t="shared" si="57"/>
        <v>45850</v>
      </c>
      <c r="I534" s="29">
        <f t="shared" si="58"/>
        <v>8010</v>
      </c>
      <c r="J534" s="1">
        <f t="shared" si="59"/>
        <v>82.49</v>
      </c>
      <c r="L534" s="11">
        <v>42720</v>
      </c>
      <c r="M534" s="9">
        <v>5015</v>
      </c>
      <c r="N534" s="9">
        <v>1145</v>
      </c>
      <c r="O534" s="9">
        <v>1490</v>
      </c>
      <c r="P534" s="9">
        <v>0</v>
      </c>
      <c r="R534" s="11">
        <v>45850</v>
      </c>
      <c r="S534" s="9">
        <v>8010</v>
      </c>
      <c r="T534" s="9">
        <v>82.49</v>
      </c>
      <c r="U534" s="9"/>
    </row>
    <row r="535" spans="2:21" x14ac:dyDescent="0.4">
      <c r="B535" s="16">
        <f t="shared" si="56"/>
        <v>42723</v>
      </c>
      <c r="C535" s="1">
        <f t="shared" si="60"/>
        <v>5017</v>
      </c>
      <c r="D535" s="1">
        <f t="shared" si="61"/>
        <v>1145</v>
      </c>
      <c r="E535" s="1">
        <f t="shared" si="62"/>
        <v>1520</v>
      </c>
      <c r="F535" s="1"/>
      <c r="H535" s="16">
        <f t="shared" si="57"/>
        <v>45857</v>
      </c>
      <c r="I535" s="29">
        <f t="shared" si="58"/>
        <v>7860</v>
      </c>
      <c r="J535" s="1">
        <f t="shared" si="59"/>
        <v>84.12</v>
      </c>
      <c r="L535" s="11">
        <v>42723</v>
      </c>
      <c r="M535" s="9">
        <v>5017</v>
      </c>
      <c r="N535" s="9">
        <v>1145</v>
      </c>
      <c r="O535" s="9">
        <v>1520</v>
      </c>
      <c r="P535" s="9">
        <v>0</v>
      </c>
      <c r="R535" s="11">
        <v>45857</v>
      </c>
      <c r="S535" s="9">
        <v>7860</v>
      </c>
      <c r="T535" s="9">
        <v>84.12</v>
      </c>
      <c r="U535" s="9"/>
    </row>
    <row r="536" spans="2:21" x14ac:dyDescent="0.4">
      <c r="B536" s="16">
        <f t="shared" si="56"/>
        <v>42724</v>
      </c>
      <c r="C536" s="1">
        <f t="shared" si="60"/>
        <v>4989</v>
      </c>
      <c r="D536" s="1">
        <f t="shared" si="61"/>
        <v>1145</v>
      </c>
      <c r="E536" s="1">
        <f t="shared" si="62"/>
        <v>1520</v>
      </c>
      <c r="F536" s="1"/>
      <c r="H536" s="16">
        <f t="shared" si="57"/>
        <v>45864</v>
      </c>
      <c r="I536" s="29">
        <f t="shared" si="58"/>
        <v>7850</v>
      </c>
      <c r="J536" s="1">
        <f t="shared" si="59"/>
        <v>85.85</v>
      </c>
      <c r="L536" s="11">
        <v>42724</v>
      </c>
      <c r="M536" s="9">
        <v>4989</v>
      </c>
      <c r="N536" s="9">
        <v>1145</v>
      </c>
      <c r="O536" s="9">
        <v>1520</v>
      </c>
      <c r="P536" s="9">
        <v>0</v>
      </c>
      <c r="R536" s="11">
        <v>45864</v>
      </c>
      <c r="S536" s="9">
        <v>7850</v>
      </c>
      <c r="T536" s="9">
        <v>85.85</v>
      </c>
      <c r="U536" s="9"/>
    </row>
    <row r="537" spans="2:21" x14ac:dyDescent="0.4">
      <c r="B537" s="16">
        <f t="shared" si="56"/>
        <v>42725</v>
      </c>
      <c r="C537" s="1">
        <f t="shared" si="60"/>
        <v>4990</v>
      </c>
      <c r="D537" s="1">
        <f t="shared" si="61"/>
        <v>1145</v>
      </c>
      <c r="E537" s="1">
        <f t="shared" si="62"/>
        <v>1520</v>
      </c>
      <c r="F537" s="1"/>
      <c r="H537" s="16">
        <f t="shared" si="57"/>
        <v>45871</v>
      </c>
      <c r="I537" s="29">
        <f t="shared" si="58"/>
        <v>7940</v>
      </c>
      <c r="J537" s="1">
        <f t="shared" si="59"/>
        <v>84.34</v>
      </c>
      <c r="L537" s="11">
        <v>42725</v>
      </c>
      <c r="M537" s="9">
        <v>4990</v>
      </c>
      <c r="N537" s="9">
        <v>1145</v>
      </c>
      <c r="O537" s="9">
        <v>1520</v>
      </c>
      <c r="P537" s="9">
        <v>0</v>
      </c>
      <c r="R537" s="11">
        <v>45871</v>
      </c>
      <c r="S537" s="9">
        <v>7940</v>
      </c>
      <c r="T537" s="9">
        <v>84.34</v>
      </c>
      <c r="U537" s="9"/>
    </row>
    <row r="538" spans="2:21" x14ac:dyDescent="0.4">
      <c r="B538" s="16">
        <f t="shared" si="56"/>
        <v>42726</v>
      </c>
      <c r="C538" s="1">
        <f t="shared" si="60"/>
        <v>4988</v>
      </c>
      <c r="D538" s="1">
        <f t="shared" si="61"/>
        <v>1145</v>
      </c>
      <c r="E538" s="1">
        <f t="shared" si="62"/>
        <v>1520</v>
      </c>
      <c r="F538" s="1"/>
      <c r="H538" s="16">
        <f t="shared" si="57"/>
        <v>45878</v>
      </c>
      <c r="I538" s="29">
        <f t="shared" si="58"/>
        <v>7925</v>
      </c>
      <c r="J538" s="1">
        <f t="shared" si="59"/>
        <v>84.34</v>
      </c>
      <c r="L538" s="11">
        <v>42726</v>
      </c>
      <c r="M538" s="9">
        <v>4988</v>
      </c>
      <c r="N538" s="9">
        <v>1145</v>
      </c>
      <c r="O538" s="9">
        <v>1520</v>
      </c>
      <c r="P538" s="9">
        <v>0</v>
      </c>
      <c r="R538" s="11">
        <v>45878</v>
      </c>
      <c r="S538" s="9">
        <v>7925</v>
      </c>
      <c r="T538" s="9">
        <v>84.34</v>
      </c>
      <c r="U538" s="9"/>
    </row>
    <row r="539" spans="2:21" x14ac:dyDescent="0.4">
      <c r="B539" s="16">
        <f t="shared" si="56"/>
        <v>42727</v>
      </c>
      <c r="C539" s="1">
        <f t="shared" si="60"/>
        <v>4993</v>
      </c>
      <c r="D539" s="1">
        <f t="shared" si="61"/>
        <v>1140</v>
      </c>
      <c r="E539" s="1">
        <f t="shared" si="62"/>
        <v>1550</v>
      </c>
      <c r="F539" s="1"/>
      <c r="H539" s="16">
        <f t="shared" si="57"/>
        <v>45885</v>
      </c>
      <c r="I539" s="29">
        <f t="shared" si="58"/>
        <v>7940</v>
      </c>
      <c r="J539" s="1">
        <f t="shared" si="59"/>
        <v>84.3</v>
      </c>
      <c r="L539" s="11">
        <v>42727</v>
      </c>
      <c r="M539" s="9">
        <v>4993</v>
      </c>
      <c r="N539" s="9">
        <v>1140</v>
      </c>
      <c r="O539" s="9">
        <v>1550</v>
      </c>
      <c r="P539" s="9">
        <v>0</v>
      </c>
      <c r="R539" s="11">
        <v>45885</v>
      </c>
      <c r="S539" s="9">
        <v>7940</v>
      </c>
      <c r="T539" s="9">
        <v>84.3</v>
      </c>
      <c r="U539" s="9"/>
    </row>
    <row r="540" spans="2:21" x14ac:dyDescent="0.4">
      <c r="B540" s="16">
        <f t="shared" si="56"/>
        <v>42730</v>
      </c>
      <c r="C540" s="1">
        <f t="shared" si="60"/>
        <v>4993</v>
      </c>
      <c r="D540" s="1">
        <f t="shared" si="61"/>
        <v>1140</v>
      </c>
      <c r="E540" s="1">
        <f t="shared" si="62"/>
        <v>1550</v>
      </c>
      <c r="F540" s="1"/>
      <c r="H540" s="16">
        <f t="shared" si="57"/>
        <v>45892</v>
      </c>
      <c r="I540" s="29">
        <f t="shared" si="58"/>
        <v>7960</v>
      </c>
      <c r="J540" s="1">
        <f t="shared" si="59"/>
        <v>85.91</v>
      </c>
      <c r="L540" s="11">
        <v>42730</v>
      </c>
      <c r="M540" s="9">
        <v>4993</v>
      </c>
      <c r="N540" s="9">
        <v>0</v>
      </c>
      <c r="O540" s="9">
        <v>1550</v>
      </c>
      <c r="P540" s="9">
        <v>0</v>
      </c>
      <c r="R540" s="11">
        <v>45892</v>
      </c>
      <c r="S540" s="9">
        <v>7960</v>
      </c>
      <c r="T540" s="9">
        <v>85.91</v>
      </c>
      <c r="U540" s="9"/>
    </row>
    <row r="541" spans="2:21" x14ac:dyDescent="0.4">
      <c r="B541" s="16">
        <f t="shared" si="56"/>
        <v>42731</v>
      </c>
      <c r="C541" s="1">
        <f t="shared" si="60"/>
        <v>4990</v>
      </c>
      <c r="D541" s="1">
        <f t="shared" si="61"/>
        <v>1140</v>
      </c>
      <c r="E541" s="1">
        <f t="shared" si="62"/>
        <v>1600</v>
      </c>
      <c r="F541" s="1"/>
      <c r="H541" s="16">
        <f t="shared" si="57"/>
        <v>45899</v>
      </c>
      <c r="I541" s="29">
        <f t="shared" si="58"/>
        <v>8040</v>
      </c>
      <c r="J541" s="1">
        <f t="shared" si="59"/>
        <v>85.85</v>
      </c>
      <c r="L541" s="11">
        <v>42731</v>
      </c>
      <c r="M541" s="9">
        <v>4990</v>
      </c>
      <c r="N541" s="9">
        <v>1140</v>
      </c>
      <c r="O541" s="9">
        <v>1600</v>
      </c>
      <c r="P541" s="9">
        <v>0</v>
      </c>
      <c r="R541" s="11">
        <v>45899</v>
      </c>
      <c r="S541" s="9">
        <v>8040</v>
      </c>
      <c r="T541" s="9">
        <v>85.85</v>
      </c>
      <c r="U541" s="9"/>
    </row>
    <row r="542" spans="2:21" x14ac:dyDescent="0.4">
      <c r="B542" s="16">
        <f t="shared" si="56"/>
        <v>42732</v>
      </c>
      <c r="C542" s="1">
        <f t="shared" si="60"/>
        <v>5013</v>
      </c>
      <c r="D542" s="1">
        <f t="shared" si="61"/>
        <v>1140</v>
      </c>
      <c r="E542" s="1">
        <f t="shared" si="62"/>
        <v>1650</v>
      </c>
      <c r="F542" s="1"/>
      <c r="H542" s="16">
        <f t="shared" si="57"/>
        <v>45906</v>
      </c>
      <c r="I542" s="29">
        <f t="shared" si="58"/>
        <v>8050</v>
      </c>
      <c r="J542" s="1">
        <f t="shared" si="59"/>
        <v>85.74</v>
      </c>
      <c r="L542" s="11">
        <v>42732</v>
      </c>
      <c r="M542" s="9">
        <v>5013</v>
      </c>
      <c r="N542" s="9">
        <v>1140</v>
      </c>
      <c r="O542" s="9">
        <v>1650</v>
      </c>
      <c r="P542" s="9">
        <v>0</v>
      </c>
      <c r="R542" s="11">
        <v>45906</v>
      </c>
      <c r="S542" s="9">
        <v>8050</v>
      </c>
      <c r="T542" s="9">
        <v>85.74</v>
      </c>
      <c r="U542" s="9"/>
    </row>
    <row r="543" spans="2:21" x14ac:dyDescent="0.4">
      <c r="B543" s="16">
        <f t="shared" si="56"/>
        <v>42733</v>
      </c>
      <c r="C543" s="1">
        <f t="shared" si="60"/>
        <v>5005</v>
      </c>
      <c r="D543" s="1">
        <f t="shared" si="61"/>
        <v>1140</v>
      </c>
      <c r="E543" s="1">
        <f t="shared" si="62"/>
        <v>1650</v>
      </c>
      <c r="F543" s="1"/>
      <c r="H543" s="16">
        <f t="shared" si="57"/>
        <v>45913</v>
      </c>
      <c r="I543" s="29">
        <f t="shared" si="58"/>
        <v>7965</v>
      </c>
      <c r="J543" s="1">
        <f t="shared" si="59"/>
        <v>85.99</v>
      </c>
      <c r="L543" s="11">
        <v>42733</v>
      </c>
      <c r="M543" s="9">
        <v>5005</v>
      </c>
      <c r="N543" s="9">
        <v>1140</v>
      </c>
      <c r="O543" s="9">
        <v>1650</v>
      </c>
      <c r="P543" s="9">
        <v>0</v>
      </c>
      <c r="R543" s="11">
        <v>45913</v>
      </c>
      <c r="S543" s="9">
        <v>7965</v>
      </c>
      <c r="T543" s="9">
        <v>85.99</v>
      </c>
      <c r="U543" s="9"/>
    </row>
    <row r="544" spans="2:21" x14ac:dyDescent="0.4">
      <c r="B544" s="16">
        <f t="shared" si="56"/>
        <v>42734</v>
      </c>
      <c r="C544" s="1">
        <f t="shared" si="60"/>
        <v>5024</v>
      </c>
      <c r="D544" s="1">
        <f t="shared" si="61"/>
        <v>1140</v>
      </c>
      <c r="E544" s="1">
        <f t="shared" si="62"/>
        <v>1650</v>
      </c>
      <c r="F544" s="1"/>
      <c r="H544" s="16">
        <f t="shared" si="57"/>
        <v>45920</v>
      </c>
      <c r="I544" s="29">
        <f t="shared" si="58"/>
        <v>7890</v>
      </c>
      <c r="J544" s="1">
        <f t="shared" si="59"/>
        <v>85.94</v>
      </c>
      <c r="L544" s="11">
        <v>42734</v>
      </c>
      <c r="M544" s="9">
        <v>5024</v>
      </c>
      <c r="N544" s="9">
        <v>1140</v>
      </c>
      <c r="O544" s="9">
        <v>1650</v>
      </c>
      <c r="P544" s="9">
        <v>0</v>
      </c>
      <c r="R544" s="11">
        <v>45920</v>
      </c>
      <c r="S544" s="9">
        <v>7890</v>
      </c>
      <c r="T544" s="9">
        <v>85.94</v>
      </c>
      <c r="U544" s="9"/>
    </row>
    <row r="545" spans="2:21" x14ac:dyDescent="0.4">
      <c r="B545" s="16">
        <f t="shared" si="56"/>
        <v>42738</v>
      </c>
      <c r="C545" s="1">
        <f t="shared" si="60"/>
        <v>5002</v>
      </c>
      <c r="D545" s="1">
        <f t="shared" si="61"/>
        <v>1140</v>
      </c>
      <c r="E545" s="1">
        <f t="shared" si="62"/>
        <v>1650</v>
      </c>
      <c r="F545" s="1"/>
      <c r="H545" s="16">
        <f t="shared" si="57"/>
        <v>45927</v>
      </c>
      <c r="I545" s="29">
        <f t="shared" si="58"/>
        <v>7795</v>
      </c>
      <c r="J545" s="1">
        <f t="shared" si="59"/>
        <v>85.95</v>
      </c>
      <c r="L545" s="11">
        <v>42738</v>
      </c>
      <c r="M545" s="9">
        <v>5002</v>
      </c>
      <c r="N545" s="9">
        <v>1140</v>
      </c>
      <c r="O545" s="9">
        <v>1650</v>
      </c>
      <c r="P545" s="9">
        <v>0</v>
      </c>
      <c r="R545" s="11">
        <v>45927</v>
      </c>
      <c r="S545" s="9">
        <v>7795</v>
      </c>
      <c r="T545" s="9">
        <v>85.95</v>
      </c>
      <c r="U545" s="9"/>
    </row>
    <row r="546" spans="2:21" x14ac:dyDescent="0.4">
      <c r="B546" s="16">
        <f t="shared" si="56"/>
        <v>42739</v>
      </c>
      <c r="C546" s="1">
        <f t="shared" si="60"/>
        <v>5019</v>
      </c>
      <c r="D546" s="1">
        <f t="shared" si="61"/>
        <v>1140</v>
      </c>
      <c r="E546" s="1">
        <f t="shared" si="62"/>
        <v>1670</v>
      </c>
      <c r="F546" s="1"/>
      <c r="H546" s="16">
        <f t="shared" si="57"/>
        <v>45934</v>
      </c>
      <c r="I546" s="29">
        <f t="shared" si="58"/>
        <v>7783.333333333333</v>
      </c>
      <c r="J546" s="1">
        <f t="shared" si="59"/>
        <v>85.95</v>
      </c>
      <c r="L546" s="11">
        <v>42739</v>
      </c>
      <c r="M546" s="9">
        <v>5019</v>
      </c>
      <c r="N546" s="9">
        <v>1140</v>
      </c>
      <c r="O546" s="9">
        <v>1670</v>
      </c>
      <c r="P546" s="9">
        <v>0</v>
      </c>
      <c r="R546" s="11">
        <v>45934</v>
      </c>
      <c r="S546" s="9">
        <v>7783.333333333333</v>
      </c>
      <c r="T546" s="9">
        <v>85.95</v>
      </c>
      <c r="U546" s="9"/>
    </row>
    <row r="547" spans="2:21" x14ac:dyDescent="0.4">
      <c r="B547" s="16">
        <f t="shared" si="56"/>
        <v>42740</v>
      </c>
      <c r="C547" s="1">
        <f t="shared" si="60"/>
        <v>5014</v>
      </c>
      <c r="D547" s="1">
        <f t="shared" si="61"/>
        <v>1140</v>
      </c>
      <c r="E547" s="1">
        <f t="shared" si="62"/>
        <v>1670</v>
      </c>
      <c r="F547" s="1"/>
      <c r="H547" s="16">
        <f t="shared" si="57"/>
        <v>45941</v>
      </c>
      <c r="I547" s="29">
        <f t="shared" si="58"/>
        <v>7800</v>
      </c>
      <c r="J547" s="1">
        <f t="shared" si="59"/>
        <v>85.95</v>
      </c>
      <c r="L547" s="11">
        <v>42740</v>
      </c>
      <c r="M547" s="9">
        <v>5014</v>
      </c>
      <c r="N547" s="9">
        <v>1140</v>
      </c>
      <c r="O547" s="9">
        <v>1670</v>
      </c>
      <c r="P547" s="9">
        <v>0</v>
      </c>
      <c r="R547" s="11">
        <v>45941</v>
      </c>
      <c r="S547" s="9">
        <v>7800</v>
      </c>
      <c r="T547" s="9">
        <v>85.95</v>
      </c>
      <c r="U547" s="9"/>
    </row>
    <row r="548" spans="2:21" x14ac:dyDescent="0.4">
      <c r="B548" s="16">
        <f t="shared" si="56"/>
        <v>42741</v>
      </c>
      <c r="C548" s="1">
        <f t="shared" si="60"/>
        <v>5022</v>
      </c>
      <c r="D548" s="1">
        <f t="shared" si="61"/>
        <v>1130</v>
      </c>
      <c r="E548" s="1">
        <f t="shared" si="62"/>
        <v>1670</v>
      </c>
      <c r="F548" s="1"/>
      <c r="H548" s="16">
        <f t="shared" si="57"/>
        <v>45948</v>
      </c>
      <c r="I548" s="29">
        <f t="shared" si="58"/>
        <v>7735</v>
      </c>
      <c r="J548" s="1">
        <f t="shared" si="59"/>
        <v>85.79</v>
      </c>
      <c r="L548" s="11">
        <v>42741</v>
      </c>
      <c r="M548" s="9">
        <v>5022</v>
      </c>
      <c r="N548" s="9">
        <v>1130</v>
      </c>
      <c r="O548" s="9">
        <v>1670</v>
      </c>
      <c r="P548" s="9">
        <v>0</v>
      </c>
      <c r="R548" s="11">
        <v>45948</v>
      </c>
      <c r="S548" s="9">
        <v>7735</v>
      </c>
      <c r="T548" s="9">
        <v>85.79</v>
      </c>
      <c r="U548" s="9"/>
    </row>
    <row r="549" spans="2:21" x14ac:dyDescent="0.4">
      <c r="B549" s="16">
        <f t="shared" si="56"/>
        <v>42744</v>
      </c>
      <c r="C549" s="1">
        <f t="shared" si="60"/>
        <v>5027</v>
      </c>
      <c r="D549" s="1">
        <f t="shared" si="61"/>
        <v>1130</v>
      </c>
      <c r="E549" s="1">
        <f t="shared" si="62"/>
        <v>1680</v>
      </c>
      <c r="F549" s="1"/>
      <c r="H549" s="16">
        <f t="shared" si="57"/>
        <v>45955</v>
      </c>
      <c r="I549" s="29">
        <f t="shared" si="58"/>
        <v>7680</v>
      </c>
      <c r="J549" s="1">
        <f t="shared" si="59"/>
        <v>85.65</v>
      </c>
      <c r="L549" s="11">
        <v>42744</v>
      </c>
      <c r="M549" s="9">
        <v>5027</v>
      </c>
      <c r="N549" s="9">
        <v>1130</v>
      </c>
      <c r="O549" s="9">
        <v>1680</v>
      </c>
      <c r="P549" s="9">
        <v>0</v>
      </c>
      <c r="R549" s="11">
        <v>45955</v>
      </c>
      <c r="S549" s="9">
        <v>7680</v>
      </c>
      <c r="T549" s="9">
        <v>85.65</v>
      </c>
      <c r="U549" s="9"/>
    </row>
    <row r="550" spans="2:21" x14ac:dyDescent="0.4">
      <c r="B550" s="16">
        <f t="shared" si="56"/>
        <v>42745</v>
      </c>
      <c r="C550" s="1">
        <f t="shared" si="60"/>
        <v>5047</v>
      </c>
      <c r="D550" s="1">
        <f t="shared" si="61"/>
        <v>1120</v>
      </c>
      <c r="E550" s="1">
        <f t="shared" si="62"/>
        <v>1690</v>
      </c>
      <c r="F550" s="1"/>
      <c r="H550" s="16">
        <f t="shared" si="57"/>
        <v>45962</v>
      </c>
      <c r="I550" s="29">
        <f t="shared" si="58"/>
        <v>7735</v>
      </c>
      <c r="J550" s="1">
        <f t="shared" si="59"/>
        <v>85.56</v>
      </c>
      <c r="L550" s="11">
        <v>42745</v>
      </c>
      <c r="M550" s="9">
        <v>5047</v>
      </c>
      <c r="N550" s="9">
        <v>1120</v>
      </c>
      <c r="O550" s="9">
        <v>1690</v>
      </c>
      <c r="P550" s="9">
        <v>0</v>
      </c>
      <c r="R550" s="11">
        <v>45962</v>
      </c>
      <c r="S550" s="9">
        <v>7735</v>
      </c>
      <c r="T550" s="9">
        <v>85.56</v>
      </c>
      <c r="U550" s="9"/>
    </row>
    <row r="551" spans="2:21" x14ac:dyDescent="0.4">
      <c r="B551" s="16">
        <f t="shared" si="56"/>
        <v>42746</v>
      </c>
      <c r="C551" s="1">
        <f t="shared" si="60"/>
        <v>5052</v>
      </c>
      <c r="D551" s="1">
        <f t="shared" si="61"/>
        <v>1110</v>
      </c>
      <c r="E551" s="1">
        <f t="shared" si="62"/>
        <v>1700</v>
      </c>
      <c r="F551" s="1"/>
      <c r="H551" s="16">
        <f t="shared" si="57"/>
        <v>45969</v>
      </c>
      <c r="I551" s="29">
        <f t="shared" si="58"/>
        <v>7805</v>
      </c>
      <c r="J551" s="1">
        <f t="shared" si="59"/>
        <v>85.56</v>
      </c>
      <c r="L551" s="11">
        <v>42746</v>
      </c>
      <c r="M551" s="9">
        <v>5052</v>
      </c>
      <c r="N551" s="9">
        <v>1110</v>
      </c>
      <c r="O551" s="9">
        <v>1700</v>
      </c>
      <c r="P551" s="9">
        <v>0</v>
      </c>
      <c r="R551" s="11">
        <v>45969</v>
      </c>
      <c r="S551" s="9">
        <v>7805</v>
      </c>
      <c r="T551" s="9">
        <v>85.56</v>
      </c>
      <c r="U551" s="9"/>
    </row>
    <row r="552" spans="2:21" x14ac:dyDescent="0.4">
      <c r="B552" s="16">
        <f t="shared" si="56"/>
        <v>42747</v>
      </c>
      <c r="C552" s="1">
        <f t="shared" si="60"/>
        <v>5066</v>
      </c>
      <c r="D552" s="1">
        <f t="shared" si="61"/>
        <v>1110</v>
      </c>
      <c r="E552" s="1">
        <f t="shared" si="62"/>
        <v>1710</v>
      </c>
      <c r="F552" s="1"/>
      <c r="H552" s="16">
        <f t="shared" si="57"/>
        <v>45976</v>
      </c>
      <c r="I552" s="29">
        <f t="shared" si="58"/>
        <v>7845</v>
      </c>
      <c r="J552" s="1">
        <f t="shared" si="59"/>
        <v>84.96</v>
      </c>
      <c r="L552" s="11">
        <v>42747</v>
      </c>
      <c r="M552" s="9">
        <v>5066</v>
      </c>
      <c r="N552" s="9">
        <v>1110</v>
      </c>
      <c r="O552" s="9">
        <v>1710</v>
      </c>
      <c r="P552" s="9">
        <v>0</v>
      </c>
      <c r="R552" s="11">
        <v>45976</v>
      </c>
      <c r="S552" s="9">
        <v>7845</v>
      </c>
      <c r="T552" s="9">
        <v>84.96</v>
      </c>
      <c r="U552" s="9"/>
    </row>
    <row r="553" spans="2:21" x14ac:dyDescent="0.4">
      <c r="B553" s="16">
        <f t="shared" si="56"/>
        <v>42748</v>
      </c>
      <c r="C553" s="1">
        <f t="shared" si="60"/>
        <v>5080</v>
      </c>
      <c r="D553" s="1">
        <f t="shared" si="61"/>
        <v>1110</v>
      </c>
      <c r="E553" s="1">
        <f t="shared" si="62"/>
        <v>1710</v>
      </c>
      <c r="F553" s="1"/>
      <c r="H553" s="16">
        <f t="shared" si="57"/>
        <v>45983</v>
      </c>
      <c r="I553" s="29">
        <f t="shared" si="58"/>
        <v>7875</v>
      </c>
      <c r="J553" s="1">
        <f t="shared" si="59"/>
        <v>84.45</v>
      </c>
      <c r="L553" s="11">
        <v>42748</v>
      </c>
      <c r="M553" s="9">
        <v>5080</v>
      </c>
      <c r="N553" s="9">
        <v>1110</v>
      </c>
      <c r="O553" s="9">
        <v>1710</v>
      </c>
      <c r="P553" s="9">
        <v>0</v>
      </c>
      <c r="R553" s="11">
        <v>45983</v>
      </c>
      <c r="S553" s="9">
        <v>7875</v>
      </c>
      <c r="T553" s="9">
        <v>84.45</v>
      </c>
      <c r="U553" s="9"/>
    </row>
    <row r="554" spans="2:21" x14ac:dyDescent="0.4">
      <c r="B554" s="16">
        <f t="shared" si="56"/>
        <v>42751</v>
      </c>
      <c r="C554" s="1">
        <f t="shared" si="60"/>
        <v>5111</v>
      </c>
      <c r="D554" s="1">
        <f t="shared" si="61"/>
        <v>1110</v>
      </c>
      <c r="E554" s="1">
        <f t="shared" si="62"/>
        <v>1740</v>
      </c>
      <c r="F554" s="1"/>
      <c r="H554" s="16">
        <f t="shared" si="57"/>
        <v>45990</v>
      </c>
      <c r="I554" s="29">
        <f t="shared" si="58"/>
        <v>7855</v>
      </c>
      <c r="J554" s="1">
        <f t="shared" si="59"/>
        <v>84.18</v>
      </c>
      <c r="L554" s="11">
        <v>42751</v>
      </c>
      <c r="M554" s="9">
        <v>5111</v>
      </c>
      <c r="N554" s="9">
        <v>1110</v>
      </c>
      <c r="O554" s="9">
        <v>1740</v>
      </c>
      <c r="P554" s="9">
        <v>0</v>
      </c>
      <c r="R554" s="11">
        <v>45990</v>
      </c>
      <c r="S554" s="9">
        <v>7855</v>
      </c>
      <c r="T554" s="9">
        <v>84.18</v>
      </c>
      <c r="U554" s="9"/>
    </row>
    <row r="555" spans="2:21" x14ac:dyDescent="0.4">
      <c r="B555" s="16">
        <f t="shared" si="56"/>
        <v>42752</v>
      </c>
      <c r="C555" s="1">
        <f t="shared" si="60"/>
        <v>5116</v>
      </c>
      <c r="D555" s="1">
        <f t="shared" si="61"/>
        <v>1110</v>
      </c>
      <c r="E555" s="1">
        <f t="shared" si="62"/>
        <v>1740</v>
      </c>
      <c r="F555" s="1"/>
      <c r="H555" s="16">
        <f t="shared" si="57"/>
        <v>45997</v>
      </c>
      <c r="I555" s="29">
        <f t="shared" si="58"/>
        <v>7850</v>
      </c>
      <c r="J555" s="1">
        <f t="shared" si="59"/>
        <v>84.11</v>
      </c>
      <c r="L555" s="11">
        <v>42752</v>
      </c>
      <c r="M555" s="9">
        <v>5116</v>
      </c>
      <c r="N555" s="9">
        <v>1110</v>
      </c>
      <c r="O555" s="9">
        <v>1740</v>
      </c>
      <c r="P555" s="9">
        <v>0</v>
      </c>
      <c r="R555" s="11">
        <v>45997</v>
      </c>
      <c r="S555" s="9">
        <v>7850</v>
      </c>
      <c r="T555" s="9">
        <v>84.11</v>
      </c>
      <c r="U555" s="9"/>
    </row>
    <row r="556" spans="2:21" x14ac:dyDescent="0.4">
      <c r="B556" s="16">
        <f t="shared" si="56"/>
        <v>42753</v>
      </c>
      <c r="C556" s="1">
        <f t="shared" si="60"/>
        <v>5106</v>
      </c>
      <c r="D556" s="1">
        <f t="shared" si="61"/>
        <v>1110</v>
      </c>
      <c r="E556" s="1">
        <f t="shared" si="62"/>
        <v>1740</v>
      </c>
      <c r="F556" s="1"/>
      <c r="H556" s="16">
        <f t="shared" si="57"/>
        <v>46004</v>
      </c>
      <c r="I556" s="29">
        <f t="shared" si="58"/>
        <v>7705</v>
      </c>
      <c r="J556" s="1">
        <f t="shared" si="59"/>
        <v>81.52</v>
      </c>
      <c r="L556" s="11">
        <v>42753</v>
      </c>
      <c r="M556" s="9">
        <v>5106</v>
      </c>
      <c r="N556" s="9">
        <v>1110</v>
      </c>
      <c r="O556" s="9">
        <v>1740</v>
      </c>
      <c r="P556" s="9">
        <v>0</v>
      </c>
      <c r="R556" s="11">
        <v>46004</v>
      </c>
      <c r="S556" s="9">
        <v>7705</v>
      </c>
      <c r="T556" s="9">
        <v>81.52</v>
      </c>
      <c r="U556" s="9"/>
    </row>
    <row r="557" spans="2:21" x14ac:dyDescent="0.4">
      <c r="B557" s="16">
        <f t="shared" si="56"/>
        <v>42754</v>
      </c>
      <c r="C557" s="1">
        <f t="shared" si="60"/>
        <v>5110</v>
      </c>
      <c r="D557" s="1">
        <f t="shared" si="61"/>
        <v>1110</v>
      </c>
      <c r="E557" s="1">
        <f t="shared" si="62"/>
        <v>1740</v>
      </c>
      <c r="F557" s="1"/>
      <c r="H557" s="16">
        <f t="shared" si="57"/>
        <v>46011</v>
      </c>
      <c r="I557" s="29">
        <f t="shared" si="58"/>
        <v>7650</v>
      </c>
      <c r="J557" s="1">
        <f t="shared" si="59"/>
        <v>79.569999999999993</v>
      </c>
      <c r="L557" s="11">
        <v>42754</v>
      </c>
      <c r="M557" s="9">
        <v>5110</v>
      </c>
      <c r="N557" s="9">
        <v>1110</v>
      </c>
      <c r="O557" s="9">
        <v>1740</v>
      </c>
      <c r="P557" s="9">
        <v>0</v>
      </c>
      <c r="R557" s="11">
        <v>46011</v>
      </c>
      <c r="S557" s="9">
        <v>7650</v>
      </c>
      <c r="T557" s="9">
        <v>79.569999999999993</v>
      </c>
      <c r="U557" s="9"/>
    </row>
    <row r="558" spans="2:21" x14ac:dyDescent="0.4">
      <c r="B558" s="16">
        <f t="shared" si="56"/>
        <v>42755</v>
      </c>
      <c r="C558" s="1">
        <f t="shared" si="60"/>
        <v>5120</v>
      </c>
      <c r="D558" s="1">
        <f t="shared" si="61"/>
        <v>1170</v>
      </c>
      <c r="E558" s="1">
        <f t="shared" si="62"/>
        <v>1740</v>
      </c>
      <c r="F558" s="1"/>
      <c r="H558" s="16">
        <f t="shared" si="57"/>
        <v>46018</v>
      </c>
      <c r="I558" s="29">
        <f t="shared" si="58"/>
        <v>7685</v>
      </c>
      <c r="J558" s="1">
        <f t="shared" si="59"/>
        <v>78.569999999999993</v>
      </c>
      <c r="L558" s="11">
        <v>42755</v>
      </c>
      <c r="M558" s="9">
        <v>5120</v>
      </c>
      <c r="N558" s="9">
        <v>1170</v>
      </c>
      <c r="O558" s="9">
        <v>1740</v>
      </c>
      <c r="P558" s="9">
        <v>0</v>
      </c>
      <c r="R558" s="11">
        <v>46018</v>
      </c>
      <c r="S558" s="9">
        <v>7685</v>
      </c>
      <c r="T558" s="9">
        <v>78.569999999999993</v>
      </c>
      <c r="U558" s="9"/>
    </row>
    <row r="559" spans="2:21" x14ac:dyDescent="0.4">
      <c r="B559" s="16">
        <f t="shared" si="56"/>
        <v>42757</v>
      </c>
      <c r="C559" s="1">
        <f t="shared" si="60"/>
        <v>5124</v>
      </c>
      <c r="D559" s="1">
        <f t="shared" si="61"/>
        <v>1170</v>
      </c>
      <c r="E559" s="1">
        <f t="shared" si="62"/>
        <v>1740</v>
      </c>
      <c r="F559" s="1"/>
      <c r="H559" s="16">
        <f t="shared" si="57"/>
        <v>46025</v>
      </c>
      <c r="I559" s="29">
        <f t="shared" si="58"/>
        <v>7750</v>
      </c>
      <c r="J559" s="1">
        <f t="shared" si="59"/>
        <v>77.709999999999994</v>
      </c>
      <c r="L559" s="11">
        <v>42757</v>
      </c>
      <c r="M559" s="9">
        <v>5124</v>
      </c>
      <c r="N559" s="9">
        <v>0</v>
      </c>
      <c r="O559" s="9">
        <v>1740</v>
      </c>
      <c r="P559" s="9">
        <v>0</v>
      </c>
      <c r="R559" s="11">
        <v>46025</v>
      </c>
      <c r="S559" s="9">
        <v>7750</v>
      </c>
      <c r="T559" s="9">
        <v>77.709999999999994</v>
      </c>
      <c r="U559" s="9"/>
    </row>
    <row r="560" spans="2:21" x14ac:dyDescent="0.4">
      <c r="B560" s="16">
        <f t="shared" si="56"/>
        <v>42758</v>
      </c>
      <c r="C560" s="1">
        <f t="shared" si="60"/>
        <v>5139</v>
      </c>
      <c r="D560" s="1">
        <f t="shared" si="61"/>
        <v>1170</v>
      </c>
      <c r="E560" s="1">
        <f t="shared" si="62"/>
        <v>1740</v>
      </c>
      <c r="F560" s="1"/>
      <c r="H560" s="16">
        <f t="shared" si="57"/>
        <v>46032</v>
      </c>
      <c r="I560" s="29">
        <f t="shared" si="58"/>
        <v>7750</v>
      </c>
      <c r="J560" s="1">
        <f t="shared" si="59"/>
        <v>77.349999999999994</v>
      </c>
      <c r="L560" s="11">
        <v>42758</v>
      </c>
      <c r="M560" s="9">
        <v>5139</v>
      </c>
      <c r="N560" s="9">
        <v>1170</v>
      </c>
      <c r="O560" s="9">
        <v>1740</v>
      </c>
      <c r="P560" s="9">
        <v>0</v>
      </c>
      <c r="R560" s="11">
        <v>46032</v>
      </c>
      <c r="S560" s="9">
        <v>7750</v>
      </c>
      <c r="T560" s="9">
        <v>77.349999999999994</v>
      </c>
      <c r="U560" s="9"/>
    </row>
    <row r="561" spans="2:21" x14ac:dyDescent="0.4">
      <c r="B561" s="16">
        <f t="shared" si="56"/>
        <v>42759</v>
      </c>
      <c r="C561" s="1">
        <f t="shared" si="60"/>
        <v>5146</v>
      </c>
      <c r="D561" s="1">
        <f t="shared" si="61"/>
        <v>1170</v>
      </c>
      <c r="E561" s="1">
        <f t="shared" si="62"/>
        <v>1740</v>
      </c>
      <c r="F561" s="1"/>
      <c r="H561" s="16">
        <f t="shared" si="57"/>
        <v>46039</v>
      </c>
      <c r="I561" s="29">
        <f t="shared" si="58"/>
        <v>7825</v>
      </c>
      <c r="J561" s="1">
        <f t="shared" si="59"/>
        <v>77.349999999999994</v>
      </c>
      <c r="L561" s="11">
        <v>42759</v>
      </c>
      <c r="M561" s="9">
        <v>5146</v>
      </c>
      <c r="N561" s="9">
        <v>1170</v>
      </c>
      <c r="O561" s="9">
        <v>1740</v>
      </c>
      <c r="P561" s="9">
        <v>0</v>
      </c>
      <c r="R561" s="11">
        <v>46039</v>
      </c>
      <c r="S561" s="9">
        <v>7825</v>
      </c>
      <c r="T561" s="9">
        <v>0</v>
      </c>
      <c r="U561" s="9"/>
    </row>
    <row r="562" spans="2:21" x14ac:dyDescent="0.4">
      <c r="B562" s="16">
        <f t="shared" si="56"/>
        <v>42760</v>
      </c>
      <c r="C562" s="1">
        <f t="shared" si="60"/>
        <v>5149</v>
      </c>
      <c r="D562" s="1">
        <f t="shared" si="61"/>
        <v>1170</v>
      </c>
      <c r="E562" s="1">
        <f t="shared" si="62"/>
        <v>1740</v>
      </c>
      <c r="F562" s="1"/>
      <c r="H562" s="16">
        <f t="shared" si="57"/>
        <v>46046</v>
      </c>
      <c r="I562" s="29">
        <f t="shared" si="58"/>
        <v>7880</v>
      </c>
      <c r="J562" s="1">
        <f t="shared" si="59"/>
        <v>77.349999999999994</v>
      </c>
      <c r="L562" s="11">
        <v>42760</v>
      </c>
      <c r="M562" s="9">
        <v>5149</v>
      </c>
      <c r="N562" s="9">
        <v>1170</v>
      </c>
      <c r="O562" s="9">
        <v>1740</v>
      </c>
      <c r="P562" s="9">
        <v>0</v>
      </c>
      <c r="R562" s="11">
        <v>46046</v>
      </c>
      <c r="S562" s="9">
        <v>7880</v>
      </c>
      <c r="T562" s="9">
        <v>77.349999999999994</v>
      </c>
      <c r="U562" s="9"/>
    </row>
    <row r="563" spans="2:21" x14ac:dyDescent="0.4">
      <c r="B563" s="16">
        <f t="shared" si="56"/>
        <v>42761</v>
      </c>
      <c r="C563" s="1">
        <f t="shared" si="60"/>
        <v>5152</v>
      </c>
      <c r="D563" s="1">
        <f t="shared" si="61"/>
        <v>1170</v>
      </c>
      <c r="E563" s="1">
        <f t="shared" si="62"/>
        <v>1740</v>
      </c>
      <c r="F563" s="1"/>
      <c r="H563" s="16">
        <f t="shared" si="57"/>
        <v>46053</v>
      </c>
      <c r="I563" s="29">
        <f t="shared" si="58"/>
        <v>8060</v>
      </c>
      <c r="J563" s="1">
        <f t="shared" si="59"/>
        <v>77.05</v>
      </c>
      <c r="L563" s="11">
        <v>42761</v>
      </c>
      <c r="M563" s="9">
        <v>5152</v>
      </c>
      <c r="N563" s="9">
        <v>1170</v>
      </c>
      <c r="O563" s="9">
        <v>1740</v>
      </c>
      <c r="P563" s="9">
        <v>0</v>
      </c>
      <c r="R563" s="11">
        <v>46053</v>
      </c>
      <c r="S563" s="9">
        <v>8060</v>
      </c>
      <c r="T563" s="9">
        <v>77.05</v>
      </c>
      <c r="U563" s="9"/>
    </row>
    <row r="564" spans="2:21" x14ac:dyDescent="0.4">
      <c r="B564" s="16">
        <f t="shared" si="56"/>
        <v>42762</v>
      </c>
      <c r="C564" s="1">
        <f t="shared" si="60"/>
        <v>5152</v>
      </c>
      <c r="D564" s="1">
        <f t="shared" si="61"/>
        <v>1170</v>
      </c>
      <c r="E564" s="1">
        <f t="shared" si="62"/>
        <v>1740</v>
      </c>
      <c r="F564" s="1"/>
      <c r="H564" s="16">
        <f t="shared" si="57"/>
        <v>46060</v>
      </c>
      <c r="I564" s="29">
        <f t="shared" si="58"/>
        <v>8170</v>
      </c>
      <c r="J564" s="1">
        <f t="shared" si="59"/>
        <v>76.739999999999995</v>
      </c>
      <c r="L564" s="11">
        <v>42762</v>
      </c>
      <c r="M564" s="9">
        <v>0</v>
      </c>
      <c r="N564" s="9">
        <v>1170</v>
      </c>
      <c r="O564" s="9">
        <v>0</v>
      </c>
      <c r="P564" s="9">
        <v>0</v>
      </c>
      <c r="R564" s="11">
        <v>46060</v>
      </c>
      <c r="S564" s="9">
        <v>8170</v>
      </c>
      <c r="T564" s="9">
        <v>76.739999999999995</v>
      </c>
      <c r="U564" s="9"/>
    </row>
    <row r="565" spans="2:21" x14ac:dyDescent="0.4">
      <c r="B565" s="16">
        <f t="shared" si="56"/>
        <v>42765</v>
      </c>
      <c r="C565" s="1">
        <f t="shared" si="60"/>
        <v>5152</v>
      </c>
      <c r="D565" s="1">
        <f t="shared" si="61"/>
        <v>1170</v>
      </c>
      <c r="E565" s="1">
        <f t="shared" si="62"/>
        <v>1740</v>
      </c>
      <c r="F565" s="1"/>
      <c r="H565" s="16">
        <f t="shared" si="57"/>
        <v>46067</v>
      </c>
      <c r="I565" s="29">
        <f t="shared" si="58"/>
        <v>8150</v>
      </c>
      <c r="J565" s="1">
        <f t="shared" si="59"/>
        <v>76.739999999999995</v>
      </c>
      <c r="L565" s="11">
        <v>42765</v>
      </c>
      <c r="M565" s="9">
        <v>0</v>
      </c>
      <c r="N565" s="9">
        <v>1170</v>
      </c>
      <c r="O565" s="9">
        <v>0</v>
      </c>
      <c r="P565" s="9">
        <v>0</v>
      </c>
      <c r="R565" s="11">
        <v>46067</v>
      </c>
      <c r="S565" s="9">
        <v>8150</v>
      </c>
      <c r="T565" s="9">
        <v>0</v>
      </c>
      <c r="U565" s="9"/>
    </row>
    <row r="566" spans="2:21" x14ac:dyDescent="0.4">
      <c r="B566" s="16">
        <f t="shared" si="56"/>
        <v>42766</v>
      </c>
      <c r="C566" s="1">
        <f t="shared" si="60"/>
        <v>5152</v>
      </c>
      <c r="D566" s="1">
        <f t="shared" si="61"/>
        <v>1210</v>
      </c>
      <c r="E566" s="1">
        <f t="shared" si="62"/>
        <v>1740</v>
      </c>
      <c r="F566" s="1"/>
      <c r="H566" s="16">
        <f t="shared" si="57"/>
        <v>46081</v>
      </c>
      <c r="I566" s="29">
        <f t="shared" si="58"/>
        <v>8170</v>
      </c>
      <c r="J566" s="1">
        <f t="shared" si="59"/>
        <v>77.489999999999995</v>
      </c>
      <c r="L566" s="11">
        <v>42766</v>
      </c>
      <c r="M566" s="9">
        <v>0</v>
      </c>
      <c r="N566" s="9">
        <v>1210</v>
      </c>
      <c r="O566" s="9">
        <v>0</v>
      </c>
      <c r="P566" s="9">
        <v>0</v>
      </c>
      <c r="R566" s="11">
        <v>46081</v>
      </c>
      <c r="S566" s="9">
        <v>8170</v>
      </c>
      <c r="T566" s="9">
        <v>77.489999999999995</v>
      </c>
      <c r="U566" s="9"/>
    </row>
    <row r="567" spans="2:21" x14ac:dyDescent="0.4">
      <c r="B567" s="16">
        <f t="shared" si="56"/>
        <v>42767</v>
      </c>
      <c r="C567" s="1">
        <f t="shared" si="60"/>
        <v>5152</v>
      </c>
      <c r="D567" s="1">
        <f t="shared" si="61"/>
        <v>1210</v>
      </c>
      <c r="E567" s="1">
        <f t="shared" si="62"/>
        <v>1740</v>
      </c>
      <c r="F567" s="1"/>
      <c r="H567" s="16">
        <f t="shared" si="57"/>
        <v>46088</v>
      </c>
      <c r="I567" s="29">
        <f t="shared" si="58"/>
        <v>8530</v>
      </c>
      <c r="J567" s="1">
        <f t="shared" si="59"/>
        <v>80.09</v>
      </c>
      <c r="L567" s="11">
        <v>42767</v>
      </c>
      <c r="M567" s="9">
        <v>0</v>
      </c>
      <c r="N567" s="9">
        <v>1210</v>
      </c>
      <c r="O567" s="9">
        <v>0</v>
      </c>
      <c r="P567" s="9">
        <v>0</v>
      </c>
      <c r="R567" s="11">
        <v>46088</v>
      </c>
      <c r="S567" s="9">
        <v>8530</v>
      </c>
      <c r="T567" s="9">
        <v>80.09</v>
      </c>
      <c r="U567" s="9"/>
    </row>
    <row r="568" spans="2:21" x14ac:dyDescent="0.4">
      <c r="B568" s="16">
        <f t="shared" si="56"/>
        <v>42768</v>
      </c>
      <c r="C568" s="1">
        <f t="shared" si="60"/>
        <v>5152</v>
      </c>
      <c r="D568" s="1">
        <f t="shared" si="61"/>
        <v>1210</v>
      </c>
      <c r="E568" s="1">
        <f t="shared" si="62"/>
        <v>1740</v>
      </c>
      <c r="F568" s="1"/>
      <c r="H568" s="16">
        <f t="shared" si="57"/>
        <v>46095</v>
      </c>
      <c r="I568" s="29">
        <f t="shared" si="58"/>
        <v>10560</v>
      </c>
      <c r="J568" s="1">
        <f t="shared" si="59"/>
        <v>83.19</v>
      </c>
      <c r="L568" s="11">
        <v>42768</v>
      </c>
      <c r="M568" s="9">
        <v>0</v>
      </c>
      <c r="N568" s="9">
        <v>1210</v>
      </c>
      <c r="O568" s="9">
        <v>0</v>
      </c>
      <c r="P568" s="9">
        <v>0</v>
      </c>
      <c r="R568" s="11">
        <v>46095</v>
      </c>
      <c r="S568" s="9">
        <v>10560</v>
      </c>
      <c r="T568" s="9">
        <v>83.19</v>
      </c>
      <c r="U568" s="9"/>
    </row>
    <row r="569" spans="2:21" x14ac:dyDescent="0.4">
      <c r="B569" s="16">
        <f t="shared" si="56"/>
        <v>42769</v>
      </c>
      <c r="C569" s="1">
        <f t="shared" si="60"/>
        <v>5188</v>
      </c>
      <c r="D569" s="1">
        <f t="shared" si="61"/>
        <v>1240</v>
      </c>
      <c r="E569" s="1">
        <f t="shared" si="62"/>
        <v>1742</v>
      </c>
      <c r="F569" s="1"/>
      <c r="H569" s="16">
        <f t="shared" si="57"/>
        <v>46102</v>
      </c>
      <c r="I569" s="29">
        <f t="shared" si="58"/>
        <v>10590</v>
      </c>
      <c r="J569" s="1">
        <f t="shared" si="59"/>
        <v>87.71</v>
      </c>
      <c r="L569" s="11">
        <v>42769</v>
      </c>
      <c r="M569" s="9">
        <v>5188</v>
      </c>
      <c r="N569" s="9">
        <v>1240</v>
      </c>
      <c r="O569" s="9">
        <v>1742</v>
      </c>
      <c r="P569" s="9">
        <v>0</v>
      </c>
      <c r="R569" s="11">
        <v>46102</v>
      </c>
      <c r="S569" s="9">
        <v>10590</v>
      </c>
      <c r="T569" s="9">
        <v>87.71</v>
      </c>
      <c r="U569" s="9"/>
    </row>
    <row r="570" spans="2:21" x14ac:dyDescent="0.4">
      <c r="B570" s="16">
        <f t="shared" si="56"/>
        <v>42770</v>
      </c>
      <c r="C570" s="1">
        <f t="shared" si="60"/>
        <v>5213</v>
      </c>
      <c r="D570" s="1">
        <f t="shared" si="61"/>
        <v>1240</v>
      </c>
      <c r="E570" s="1">
        <f t="shared" si="62"/>
        <v>1742</v>
      </c>
      <c r="F570" s="1"/>
      <c r="H570" s="16">
        <f t="shared" si="57"/>
        <v>46109</v>
      </c>
      <c r="I570" s="29">
        <f t="shared" si="58"/>
        <v>10420</v>
      </c>
      <c r="J570" s="1">
        <f t="shared" si="59"/>
        <v>87.86</v>
      </c>
      <c r="L570" s="11">
        <v>42770</v>
      </c>
      <c r="M570" s="9">
        <v>5213</v>
      </c>
      <c r="N570" s="9">
        <v>0</v>
      </c>
      <c r="O570" s="9">
        <v>1742</v>
      </c>
      <c r="P570" s="9">
        <v>0</v>
      </c>
      <c r="R570" s="11">
        <v>46109</v>
      </c>
      <c r="S570" s="9">
        <v>10420</v>
      </c>
      <c r="T570" s="9">
        <v>87.86</v>
      </c>
      <c r="U570" s="9"/>
    </row>
    <row r="571" spans="2:21" x14ac:dyDescent="0.4">
      <c r="B571" s="16">
        <f t="shared" si="56"/>
        <v>42772</v>
      </c>
      <c r="C571" s="1">
        <f t="shared" si="60"/>
        <v>5268</v>
      </c>
      <c r="D571" s="1">
        <f t="shared" si="61"/>
        <v>1240</v>
      </c>
      <c r="E571" s="1">
        <f t="shared" si="62"/>
        <v>1742</v>
      </c>
      <c r="F571" s="1"/>
      <c r="H571" s="16">
        <f t="shared" si="57"/>
        <v>46116</v>
      </c>
      <c r="I571" s="29">
        <f t="shared" si="58"/>
        <v>10370</v>
      </c>
      <c r="J571" s="1">
        <f t="shared" si="59"/>
        <v>91.72</v>
      </c>
      <c r="L571" s="11">
        <v>42772</v>
      </c>
      <c r="M571" s="9">
        <v>5268</v>
      </c>
      <c r="N571" s="9">
        <v>1240</v>
      </c>
      <c r="O571" s="9">
        <v>1742</v>
      </c>
      <c r="P571" s="9">
        <v>0</v>
      </c>
      <c r="R571" s="11">
        <v>46116</v>
      </c>
      <c r="S571" s="9">
        <v>10370</v>
      </c>
      <c r="T571" s="9">
        <v>91.72</v>
      </c>
      <c r="U571" s="9"/>
    </row>
    <row r="572" spans="2:21" x14ac:dyDescent="0.4">
      <c r="B572" s="16">
        <f t="shared" si="56"/>
        <v>42773</v>
      </c>
      <c r="C572" s="1">
        <f t="shared" si="60"/>
        <v>5294</v>
      </c>
      <c r="D572" s="1">
        <f t="shared" si="61"/>
        <v>1240</v>
      </c>
      <c r="E572" s="1">
        <f t="shared" si="62"/>
        <v>1750</v>
      </c>
      <c r="F572" s="1"/>
      <c r="H572" s="16">
        <f t="shared" si="57"/>
        <v>46123</v>
      </c>
      <c r="I572" s="29">
        <f t="shared" si="58"/>
        <v>10400</v>
      </c>
      <c r="J572" s="1">
        <f t="shared" si="59"/>
        <v>98.6</v>
      </c>
      <c r="L572" s="11">
        <v>42773</v>
      </c>
      <c r="M572" s="9">
        <v>5294</v>
      </c>
      <c r="N572" s="9">
        <v>1240</v>
      </c>
      <c r="O572" s="9">
        <v>1750</v>
      </c>
      <c r="P572" s="9">
        <v>0</v>
      </c>
      <c r="R572" s="11">
        <v>46123</v>
      </c>
      <c r="S572" s="9">
        <v>10400</v>
      </c>
      <c r="T572" s="9">
        <v>98.6</v>
      </c>
      <c r="U572" s="9"/>
    </row>
    <row r="573" spans="2:21" x14ac:dyDescent="0.4">
      <c r="B573" s="16">
        <f t="shared" si="56"/>
        <v>42774</v>
      </c>
      <c r="C573" s="1">
        <f t="shared" si="60"/>
        <v>5301</v>
      </c>
      <c r="D573" s="1">
        <f t="shared" si="61"/>
        <v>1270</v>
      </c>
      <c r="E573" s="1">
        <f t="shared" si="62"/>
        <v>1750</v>
      </c>
      <c r="F573" s="1"/>
      <c r="H573" s="16">
        <f t="shared" si="57"/>
        <v>46130</v>
      </c>
      <c r="I573" s="29">
        <f t="shared" si="58"/>
        <v>10270</v>
      </c>
      <c r="J573" s="1">
        <f t="shared" si="59"/>
        <v>103.71</v>
      </c>
      <c r="L573" s="11">
        <v>42774</v>
      </c>
      <c r="M573" s="9">
        <v>5301</v>
      </c>
      <c r="N573" s="9">
        <v>1270</v>
      </c>
      <c r="O573" s="9">
        <v>1750</v>
      </c>
      <c r="P573" s="9">
        <v>0</v>
      </c>
      <c r="R573" s="11">
        <v>46130</v>
      </c>
      <c r="S573" s="9">
        <v>10270</v>
      </c>
      <c r="T573" s="9">
        <v>103.71</v>
      </c>
      <c r="U573" s="9"/>
    </row>
    <row r="574" spans="2:21" x14ac:dyDescent="0.4">
      <c r="B574" s="16">
        <f t="shared" si="56"/>
        <v>42775</v>
      </c>
      <c r="C574" s="1">
        <f t="shared" si="60"/>
        <v>5287</v>
      </c>
      <c r="D574" s="1">
        <f t="shared" si="61"/>
        <v>1285</v>
      </c>
      <c r="E574" s="1">
        <f t="shared" si="62"/>
        <v>1760</v>
      </c>
      <c r="F574" s="1"/>
      <c r="H574" s="16">
        <f t="shared" si="57"/>
        <v>46137</v>
      </c>
      <c r="I574" s="29">
        <f t="shared" si="58"/>
        <v>9940</v>
      </c>
      <c r="J574" s="1">
        <f t="shared" si="59"/>
        <v>99.45</v>
      </c>
      <c r="L574" s="11">
        <v>42775</v>
      </c>
      <c r="M574" s="9">
        <v>5287</v>
      </c>
      <c r="N574" s="9">
        <v>1285</v>
      </c>
      <c r="O574" s="9">
        <v>1760</v>
      </c>
      <c r="P574" s="9">
        <v>0</v>
      </c>
      <c r="R574" s="11">
        <v>46137</v>
      </c>
      <c r="S574" s="9">
        <v>9940</v>
      </c>
      <c r="T574" s="9">
        <v>99.45</v>
      </c>
      <c r="U574" s="9"/>
    </row>
    <row r="575" spans="2:21" x14ac:dyDescent="0.4">
      <c r="B575" s="16">
        <f t="shared" si="56"/>
        <v>42776</v>
      </c>
      <c r="C575" s="1">
        <f t="shared" si="60"/>
        <v>5282</v>
      </c>
      <c r="D575" s="1">
        <f t="shared" si="61"/>
        <v>1300</v>
      </c>
      <c r="E575" s="1">
        <f t="shared" si="62"/>
        <v>1760</v>
      </c>
      <c r="F575" s="1"/>
      <c r="H575" s="16">
        <f t="shared" si="57"/>
        <v>46144</v>
      </c>
      <c r="I575" s="29">
        <f t="shared" si="58"/>
        <v>9812.5</v>
      </c>
      <c r="J575" s="1">
        <f t="shared" si="59"/>
        <v>99.45</v>
      </c>
      <c r="L575" s="11">
        <v>42776</v>
      </c>
      <c r="M575" s="9">
        <v>5282</v>
      </c>
      <c r="N575" s="9">
        <v>1300</v>
      </c>
      <c r="O575" s="9">
        <v>1760</v>
      </c>
      <c r="P575" s="9">
        <v>0</v>
      </c>
      <c r="R575" s="11">
        <v>46144</v>
      </c>
      <c r="S575" s="9">
        <v>9812.5</v>
      </c>
      <c r="T575" s="9">
        <v>0</v>
      </c>
      <c r="U575" s="9"/>
    </row>
    <row r="576" spans="2:21" x14ac:dyDescent="0.4">
      <c r="B576" s="16">
        <f t="shared" si="56"/>
        <v>42779</v>
      </c>
      <c r="C576" s="1">
        <f t="shared" si="60"/>
        <v>5303</v>
      </c>
      <c r="D576" s="1">
        <f t="shared" si="61"/>
        <v>1300</v>
      </c>
      <c r="E576" s="1">
        <f t="shared" si="62"/>
        <v>1760</v>
      </c>
      <c r="F576" s="1"/>
      <c r="H576" s="16">
        <f t="shared" si="57"/>
        <v>46151</v>
      </c>
      <c r="I576" s="29">
        <f t="shared" si="58"/>
        <v>9787.5</v>
      </c>
      <c r="J576" s="1">
        <f t="shared" si="59"/>
        <v>99.51</v>
      </c>
      <c r="L576" s="11">
        <v>42779</v>
      </c>
      <c r="M576" s="9">
        <v>5303</v>
      </c>
      <c r="N576" s="9">
        <v>1300</v>
      </c>
      <c r="O576" s="9">
        <v>1760</v>
      </c>
      <c r="P576" s="9">
        <v>0</v>
      </c>
      <c r="R576" s="11">
        <v>46151</v>
      </c>
      <c r="S576" s="9">
        <v>9787.5</v>
      </c>
      <c r="T576" s="9">
        <v>99.51</v>
      </c>
      <c r="U576" s="9"/>
    </row>
    <row r="577" spans="2:21" x14ac:dyDescent="0.4">
      <c r="B577" s="16">
        <f t="shared" si="56"/>
        <v>42780</v>
      </c>
      <c r="C577" s="1">
        <f t="shared" si="60"/>
        <v>5308</v>
      </c>
      <c r="D577" s="1">
        <f t="shared" si="61"/>
        <v>1300</v>
      </c>
      <c r="E577" s="1">
        <f t="shared" si="62"/>
        <v>1765</v>
      </c>
      <c r="F577" s="1"/>
      <c r="H577" s="16">
        <f t="shared" si="57"/>
        <v>46158</v>
      </c>
      <c r="I577" s="29">
        <f t="shared" si="58"/>
        <v>9650</v>
      </c>
      <c r="J577" s="1">
        <f t="shared" si="59"/>
        <v>98.55</v>
      </c>
      <c r="L577" s="11">
        <v>42780</v>
      </c>
      <c r="M577" s="9">
        <v>5308</v>
      </c>
      <c r="N577" s="9">
        <v>1300</v>
      </c>
      <c r="O577" s="9">
        <v>1765</v>
      </c>
      <c r="P577" s="9">
        <v>0</v>
      </c>
      <c r="R577" s="11">
        <v>46158</v>
      </c>
      <c r="S577" s="9">
        <v>9650</v>
      </c>
      <c r="T577" s="9">
        <v>98.55</v>
      </c>
      <c r="U577" s="9"/>
    </row>
    <row r="578" spans="2:21" x14ac:dyDescent="0.4">
      <c r="B578" s="16">
        <f t="shared" si="56"/>
        <v>42781</v>
      </c>
      <c r="C578" s="1">
        <f t="shared" si="60"/>
        <v>5305</v>
      </c>
      <c r="D578" s="1">
        <f t="shared" si="61"/>
        <v>1310</v>
      </c>
      <c r="E578" s="1">
        <f t="shared" si="62"/>
        <v>1765</v>
      </c>
      <c r="F578" s="1"/>
      <c r="H578" s="16">
        <f t="shared" si="57"/>
        <v>46165</v>
      </c>
      <c r="I578" s="29">
        <f t="shared" si="58"/>
        <v>9650</v>
      </c>
      <c r="J578" s="1">
        <f t="shared" si="59"/>
        <v>98.55</v>
      </c>
      <c r="L578" s="11">
        <v>42781</v>
      </c>
      <c r="M578" s="9">
        <v>5305</v>
      </c>
      <c r="N578" s="9">
        <v>1310</v>
      </c>
      <c r="O578" s="9">
        <v>1765</v>
      </c>
      <c r="P578" s="9">
        <v>0</v>
      </c>
      <c r="R578" s="11">
        <v>46165</v>
      </c>
      <c r="S578" s="9">
        <v>9650</v>
      </c>
      <c r="T578" s="9">
        <v>98.55</v>
      </c>
      <c r="U578" s="9"/>
    </row>
    <row r="579" spans="2:21" x14ac:dyDescent="0.4">
      <c r="B579" s="16">
        <f t="shared" si="56"/>
        <v>42782</v>
      </c>
      <c r="C579" s="1">
        <f t="shared" si="60"/>
        <v>5285</v>
      </c>
      <c r="D579" s="1">
        <f t="shared" si="61"/>
        <v>1310</v>
      </c>
      <c r="E579" s="1">
        <f t="shared" si="62"/>
        <v>1765</v>
      </c>
      <c r="F579" s="1"/>
      <c r="H579" s="16">
        <f t="shared" si="57"/>
        <v>46172</v>
      </c>
      <c r="I579" s="29">
        <f t="shared" si="58"/>
        <v>9485</v>
      </c>
      <c r="J579" s="1">
        <f t="shared" si="59"/>
        <v>93.45</v>
      </c>
      <c r="L579" s="11">
        <v>42782</v>
      </c>
      <c r="M579" s="9">
        <v>5285</v>
      </c>
      <c r="N579" s="9">
        <v>1310</v>
      </c>
      <c r="O579" s="9">
        <v>1765</v>
      </c>
      <c r="P579" s="9">
        <v>0</v>
      </c>
      <c r="R579" s="11">
        <v>46172</v>
      </c>
      <c r="S579" s="9">
        <v>9485</v>
      </c>
      <c r="T579" s="9">
        <v>93.45</v>
      </c>
      <c r="U579" s="9"/>
    </row>
    <row r="580" spans="2:21" x14ac:dyDescent="0.4">
      <c r="B580" s="16">
        <f t="shared" si="56"/>
        <v>42783</v>
      </c>
      <c r="C580" s="1">
        <f t="shared" si="60"/>
        <v>5269</v>
      </c>
      <c r="D580" s="1">
        <f t="shared" si="61"/>
        <v>1375</v>
      </c>
      <c r="E580" s="1">
        <f t="shared" si="62"/>
        <v>1760</v>
      </c>
      <c r="F580" s="1"/>
      <c r="H580" s="16">
        <f t="shared" ref="H580:H584" si="63">R580</f>
        <v>46179</v>
      </c>
      <c r="I580" s="29">
        <f t="shared" si="58"/>
        <v>9420</v>
      </c>
      <c r="J580" s="1">
        <f t="shared" si="59"/>
        <v>89.25</v>
      </c>
      <c r="L580" s="11">
        <v>42783</v>
      </c>
      <c r="M580" s="9">
        <v>5269</v>
      </c>
      <c r="N580" s="9">
        <v>1375</v>
      </c>
      <c r="O580" s="9">
        <v>1760</v>
      </c>
      <c r="P580" s="9">
        <v>0</v>
      </c>
      <c r="R580" s="11">
        <v>46179</v>
      </c>
      <c r="S580" s="9">
        <v>9420</v>
      </c>
      <c r="T580" s="9">
        <v>89.25</v>
      </c>
      <c r="U580" s="9"/>
    </row>
    <row r="581" spans="2:21" x14ac:dyDescent="0.4">
      <c r="B581" s="16">
        <f t="shared" si="56"/>
        <v>42786</v>
      </c>
      <c r="C581" s="1">
        <f t="shared" si="60"/>
        <v>5249</v>
      </c>
      <c r="D581" s="1">
        <f t="shared" si="61"/>
        <v>1390</v>
      </c>
      <c r="E581" s="1">
        <f t="shared" si="62"/>
        <v>1750</v>
      </c>
      <c r="F581" s="1"/>
      <c r="H581" s="16">
        <f t="shared" si="63"/>
        <v>46186</v>
      </c>
      <c r="I581" s="29">
        <f t="shared" si="58"/>
        <v>9490</v>
      </c>
      <c r="J581" s="1">
        <f t="shared" si="59"/>
        <v>86.59</v>
      </c>
      <c r="L581" s="11">
        <v>42786</v>
      </c>
      <c r="M581" s="9">
        <v>5249</v>
      </c>
      <c r="N581" s="9">
        <v>1390</v>
      </c>
      <c r="O581" s="9">
        <v>1750</v>
      </c>
      <c r="P581" s="9">
        <v>0</v>
      </c>
      <c r="R581" s="11">
        <v>46186</v>
      </c>
      <c r="S581" s="9">
        <v>9490</v>
      </c>
      <c r="T581" s="9">
        <v>86.59</v>
      </c>
      <c r="U581" s="9"/>
    </row>
    <row r="582" spans="2:21" x14ac:dyDescent="0.4">
      <c r="B582" s="16">
        <f t="shared" ref="B582:B645" si="64">L582</f>
        <v>42787</v>
      </c>
      <c r="C582" s="1">
        <f t="shared" si="60"/>
        <v>5233</v>
      </c>
      <c r="D582" s="1">
        <f t="shared" si="61"/>
        <v>1385</v>
      </c>
      <c r="E582" s="1">
        <f t="shared" si="62"/>
        <v>1750</v>
      </c>
      <c r="F582" s="1"/>
      <c r="H582" s="16">
        <f t="shared" si="63"/>
        <v>46193</v>
      </c>
      <c r="I582" s="29">
        <f t="shared" ref="I582:J592" si="65">IF(S582&lt;&gt;0,S582,I581)</f>
        <v>9350</v>
      </c>
      <c r="J582" s="1">
        <f t="shared" si="65"/>
        <v>85.74</v>
      </c>
      <c r="L582" s="11">
        <v>42787</v>
      </c>
      <c r="M582" s="9">
        <v>5233</v>
      </c>
      <c r="N582" s="9">
        <v>1385</v>
      </c>
      <c r="O582" s="9">
        <v>1750</v>
      </c>
      <c r="P582" s="9">
        <v>0</v>
      </c>
      <c r="R582" s="11">
        <v>46193</v>
      </c>
      <c r="S582" s="9">
        <v>9350</v>
      </c>
      <c r="T582" s="9">
        <v>85.74</v>
      </c>
      <c r="U582" s="9"/>
    </row>
    <row r="583" spans="2:21" x14ac:dyDescent="0.4">
      <c r="B583" s="16">
        <f t="shared" si="64"/>
        <v>42788</v>
      </c>
      <c r="C583" s="1">
        <f t="shared" ref="C583:C646" si="66">IF(M583&lt;&gt;0,M583,C582)</f>
        <v>5198</v>
      </c>
      <c r="D583" s="1">
        <f t="shared" ref="D583:D646" si="67">IF(N583&lt;&gt;0,N583,D582)</f>
        <v>1385</v>
      </c>
      <c r="E583" s="1">
        <f t="shared" ref="E583:E646" si="68">IF(O583&lt;&gt;0,O583,E582)</f>
        <v>1740</v>
      </c>
      <c r="F583" s="1"/>
      <c r="H583" s="16">
        <f t="shared" si="63"/>
        <v>46200</v>
      </c>
      <c r="I583" s="29">
        <f t="shared" si="65"/>
        <v>9250</v>
      </c>
      <c r="J583" s="1">
        <f t="shared" si="65"/>
        <v>84.55</v>
      </c>
      <c r="L583" s="11">
        <v>42788</v>
      </c>
      <c r="M583" s="9">
        <v>5198</v>
      </c>
      <c r="N583" s="9">
        <v>1385</v>
      </c>
      <c r="O583" s="9">
        <v>1740</v>
      </c>
      <c r="P583" s="9">
        <v>0</v>
      </c>
      <c r="R583" s="11">
        <v>46200</v>
      </c>
      <c r="S583" s="9">
        <v>9250</v>
      </c>
      <c r="T583" s="9">
        <v>84.55</v>
      </c>
      <c r="U583" s="9"/>
    </row>
    <row r="584" spans="2:21" x14ac:dyDescent="0.4">
      <c r="B584" s="16">
        <f t="shared" si="64"/>
        <v>42789</v>
      </c>
      <c r="C584" s="1">
        <f t="shared" si="66"/>
        <v>5173</v>
      </c>
      <c r="D584" s="1">
        <f t="shared" si="67"/>
        <v>1385</v>
      </c>
      <c r="E584" s="1">
        <f t="shared" si="68"/>
        <v>1740</v>
      </c>
      <c r="F584" s="1"/>
      <c r="H584" s="16">
        <f t="shared" si="63"/>
        <v>46207</v>
      </c>
      <c r="I584" s="29">
        <f t="shared" si="65"/>
        <v>9180</v>
      </c>
      <c r="J584" s="1">
        <f t="shared" si="65"/>
        <v>83.87</v>
      </c>
      <c r="L584" s="11">
        <v>42789</v>
      </c>
      <c r="M584" s="9">
        <v>5173</v>
      </c>
      <c r="N584" s="9">
        <v>1385</v>
      </c>
      <c r="O584" s="9">
        <v>1740</v>
      </c>
      <c r="P584" s="9">
        <v>0</v>
      </c>
      <c r="R584" s="11">
        <v>46207</v>
      </c>
      <c r="S584" s="9">
        <v>9180</v>
      </c>
      <c r="T584" s="9">
        <v>83.87</v>
      </c>
      <c r="U584" s="9"/>
    </row>
    <row r="585" spans="2:21" x14ac:dyDescent="0.4">
      <c r="B585" s="16">
        <f t="shared" si="64"/>
        <v>42790</v>
      </c>
      <c r="C585" s="1">
        <f t="shared" si="66"/>
        <v>5146</v>
      </c>
      <c r="D585" s="1">
        <f t="shared" si="67"/>
        <v>1375</v>
      </c>
      <c r="E585" s="1">
        <f t="shared" si="68"/>
        <v>1740</v>
      </c>
      <c r="F585" s="1"/>
      <c r="H585" s="16">
        <f t="shared" ref="H585:H587" si="69">R585</f>
        <v>46214</v>
      </c>
      <c r="I585" s="29">
        <f t="shared" si="65"/>
        <v>9050</v>
      </c>
      <c r="J585" s="1">
        <f t="shared" si="65"/>
        <v>82.77</v>
      </c>
      <c r="L585" s="11">
        <v>42790</v>
      </c>
      <c r="M585" s="9">
        <v>5146</v>
      </c>
      <c r="N585" s="9">
        <v>1375</v>
      </c>
      <c r="O585" s="9">
        <v>1740</v>
      </c>
      <c r="P585" s="9">
        <v>0</v>
      </c>
      <c r="R585" s="11">
        <v>46214</v>
      </c>
      <c r="S585" s="9">
        <v>9050</v>
      </c>
      <c r="T585" s="9">
        <v>82.77</v>
      </c>
      <c r="U585" s="9"/>
    </row>
    <row r="586" spans="2:21" x14ac:dyDescent="0.4">
      <c r="B586" s="16">
        <f t="shared" si="64"/>
        <v>42793</v>
      </c>
      <c r="C586" s="1">
        <f t="shared" si="66"/>
        <v>5134</v>
      </c>
      <c r="D586" s="1">
        <f t="shared" si="67"/>
        <v>1375</v>
      </c>
      <c r="E586" s="1">
        <f t="shared" si="68"/>
        <v>1740</v>
      </c>
      <c r="F586" s="1"/>
      <c r="H586" s="16">
        <f t="shared" si="69"/>
        <v>46221</v>
      </c>
      <c r="I586" s="29">
        <f t="shared" si="65"/>
        <v>9140</v>
      </c>
      <c r="J586" s="1">
        <f t="shared" si="65"/>
        <v>81.86</v>
      </c>
      <c r="L586" s="11">
        <v>42793</v>
      </c>
      <c r="M586" s="9">
        <v>5134</v>
      </c>
      <c r="N586" s="9">
        <v>1375</v>
      </c>
      <c r="O586" s="9">
        <v>1740</v>
      </c>
      <c r="P586" s="9">
        <v>0</v>
      </c>
      <c r="R586" s="11">
        <v>46221</v>
      </c>
      <c r="S586" s="9">
        <v>9140</v>
      </c>
      <c r="T586" s="9">
        <v>81.86</v>
      </c>
      <c r="U586" s="9"/>
    </row>
    <row r="587" spans="2:21" x14ac:dyDescent="0.4">
      <c r="B587" s="16">
        <f t="shared" si="64"/>
        <v>42794</v>
      </c>
      <c r="C587" s="1">
        <f t="shared" si="66"/>
        <v>5123</v>
      </c>
      <c r="D587" s="1">
        <f t="shared" si="67"/>
        <v>1375</v>
      </c>
      <c r="E587" s="1">
        <f t="shared" si="68"/>
        <v>1740</v>
      </c>
      <c r="F587" s="1"/>
      <c r="H587" s="16">
        <f t="shared" si="69"/>
        <v>46228</v>
      </c>
      <c r="I587" s="29">
        <f t="shared" si="65"/>
        <v>9400</v>
      </c>
      <c r="J587" s="1">
        <f t="shared" si="65"/>
        <v>81.86</v>
      </c>
      <c r="L587" s="11">
        <v>42794</v>
      </c>
      <c r="M587" s="9">
        <v>5123</v>
      </c>
      <c r="N587" s="9">
        <v>1375</v>
      </c>
      <c r="O587" s="9">
        <v>1740</v>
      </c>
      <c r="P587" s="9">
        <v>0</v>
      </c>
      <c r="R587" s="11">
        <v>46228</v>
      </c>
      <c r="S587" s="9">
        <v>9400</v>
      </c>
      <c r="T587" s="9">
        <v>81.86</v>
      </c>
      <c r="U587" s="9"/>
    </row>
    <row r="588" spans="2:21" x14ac:dyDescent="0.4">
      <c r="B588" s="16">
        <f t="shared" si="64"/>
        <v>42795</v>
      </c>
      <c r="C588" s="1">
        <f t="shared" si="66"/>
        <v>5100</v>
      </c>
      <c r="D588" s="1">
        <f t="shared" si="67"/>
        <v>1375</v>
      </c>
      <c r="E588" s="1">
        <f t="shared" si="68"/>
        <v>1730</v>
      </c>
      <c r="F588" s="1"/>
      <c r="H588" s="16">
        <f t="shared" ref="H588:H591" si="70">R588</f>
        <v>46235</v>
      </c>
      <c r="I588" s="29">
        <f t="shared" ref="I588:I591" si="71">IF(S588&lt;&gt;0,S588,I587)</f>
        <v>9460</v>
      </c>
      <c r="J588" s="1">
        <f t="shared" si="65"/>
        <v>80.97</v>
      </c>
      <c r="L588" s="11">
        <v>42795</v>
      </c>
      <c r="M588" s="9">
        <v>5100</v>
      </c>
      <c r="N588" s="9">
        <v>1375</v>
      </c>
      <c r="O588" s="9">
        <v>1730</v>
      </c>
      <c r="P588" s="9">
        <v>0</v>
      </c>
      <c r="R588" s="11">
        <v>46235</v>
      </c>
      <c r="S588" s="9">
        <v>9460</v>
      </c>
      <c r="T588" s="9">
        <v>80.97</v>
      </c>
      <c r="U588" s="9"/>
    </row>
    <row r="589" spans="2:21" x14ac:dyDescent="0.4">
      <c r="B589" s="16">
        <f t="shared" si="64"/>
        <v>42796</v>
      </c>
      <c r="C589" s="1">
        <f t="shared" si="66"/>
        <v>5093</v>
      </c>
      <c r="D589" s="1">
        <f t="shared" si="67"/>
        <v>1375</v>
      </c>
      <c r="E589" s="1">
        <f t="shared" si="68"/>
        <v>1725</v>
      </c>
      <c r="F589" s="1"/>
      <c r="H589" s="16">
        <f t="shared" si="70"/>
        <v>46242</v>
      </c>
      <c r="I589" s="29">
        <f t="shared" si="71"/>
        <v>9430</v>
      </c>
      <c r="J589" s="1">
        <f t="shared" si="65"/>
        <v>80.930000000000007</v>
      </c>
      <c r="L589" s="11">
        <v>42796</v>
      </c>
      <c r="M589" s="9">
        <v>5093</v>
      </c>
      <c r="N589" s="9">
        <v>1375</v>
      </c>
      <c r="O589" s="9">
        <v>1725</v>
      </c>
      <c r="P589" s="9">
        <v>0</v>
      </c>
      <c r="R589" s="11">
        <v>46242</v>
      </c>
      <c r="S589" s="9">
        <v>9430</v>
      </c>
      <c r="T589" s="9">
        <v>80.930000000000007</v>
      </c>
      <c r="U589" s="9"/>
    </row>
    <row r="590" spans="2:21" x14ac:dyDescent="0.4">
      <c r="B590" s="16">
        <f t="shared" si="64"/>
        <v>42797</v>
      </c>
      <c r="C590" s="1">
        <f t="shared" si="66"/>
        <v>5075</v>
      </c>
      <c r="D590" s="1">
        <f t="shared" si="67"/>
        <v>1315</v>
      </c>
      <c r="E590" s="1">
        <f t="shared" si="68"/>
        <v>1725</v>
      </c>
      <c r="F590" s="1"/>
      <c r="H590" s="16">
        <f t="shared" si="70"/>
        <v>46249</v>
      </c>
      <c r="I590" s="29">
        <f t="shared" si="71"/>
        <v>9400</v>
      </c>
      <c r="J590" s="1">
        <f t="shared" si="65"/>
        <v>80.930000000000007</v>
      </c>
      <c r="L590" s="11">
        <v>42797</v>
      </c>
      <c r="M590" s="9">
        <v>5075</v>
      </c>
      <c r="N590" s="9">
        <v>1315</v>
      </c>
      <c r="O590" s="9">
        <v>1725</v>
      </c>
      <c r="P590" s="9">
        <v>0</v>
      </c>
      <c r="R590" s="11">
        <v>46249</v>
      </c>
      <c r="S590" s="9">
        <v>9400</v>
      </c>
      <c r="T590" s="9">
        <v>80.930000000000007</v>
      </c>
      <c r="U590" s="9"/>
    </row>
    <row r="591" spans="2:21" x14ac:dyDescent="0.4">
      <c r="B591" s="16">
        <f t="shared" si="64"/>
        <v>42800</v>
      </c>
      <c r="C591" s="1">
        <f t="shared" si="66"/>
        <v>5055</v>
      </c>
      <c r="D591" s="1">
        <f t="shared" si="67"/>
        <v>1315</v>
      </c>
      <c r="E591" s="1">
        <f t="shared" si="68"/>
        <v>1715</v>
      </c>
      <c r="F591" s="1"/>
      <c r="H591" s="16">
        <f t="shared" si="70"/>
        <v>46256</v>
      </c>
      <c r="I591" s="29">
        <f t="shared" si="71"/>
        <v>9635</v>
      </c>
      <c r="J591" s="1">
        <f t="shared" si="65"/>
        <v>80.930000000000007</v>
      </c>
      <c r="L591" s="11">
        <v>42800</v>
      </c>
      <c r="M591" s="9">
        <v>5055</v>
      </c>
      <c r="N591" s="9">
        <v>1315</v>
      </c>
      <c r="O591" s="9">
        <v>1715</v>
      </c>
      <c r="P591" s="9">
        <v>0</v>
      </c>
      <c r="R591" s="11">
        <v>46256</v>
      </c>
      <c r="S591" s="9">
        <v>9635</v>
      </c>
      <c r="T591" s="9">
        <v>80.930000000000007</v>
      </c>
      <c r="U591" s="9"/>
    </row>
    <row r="592" spans="2:21" x14ac:dyDescent="0.4">
      <c r="B592" s="16">
        <f t="shared" si="64"/>
        <v>42801</v>
      </c>
      <c r="C592" s="1">
        <f t="shared" si="66"/>
        <v>5052</v>
      </c>
      <c r="D592" s="1">
        <f t="shared" si="67"/>
        <v>1315</v>
      </c>
      <c r="E592" s="1">
        <f t="shared" si="68"/>
        <v>1715</v>
      </c>
      <c r="F592" s="1"/>
      <c r="H592" s="16">
        <f t="shared" ref="H592:H595" si="72">R592</f>
        <v>46263</v>
      </c>
      <c r="I592" s="29">
        <f t="shared" ref="I592:I595" si="73">IF(S592&lt;&gt;0,S592,I591)</f>
        <v>9860</v>
      </c>
      <c r="J592" s="1">
        <f t="shared" si="65"/>
        <v>80.430000000000007</v>
      </c>
      <c r="L592" s="11">
        <v>42801</v>
      </c>
      <c r="M592" s="9">
        <v>5052</v>
      </c>
      <c r="N592" s="9">
        <v>1315</v>
      </c>
      <c r="O592" s="9">
        <v>1715</v>
      </c>
      <c r="P592" s="9">
        <v>0</v>
      </c>
      <c r="R592" s="11">
        <v>46263</v>
      </c>
      <c r="S592" s="9">
        <v>9860</v>
      </c>
      <c r="T592" s="9">
        <v>80.430000000000007</v>
      </c>
      <c r="U592" s="9"/>
    </row>
    <row r="593" spans="2:21" x14ac:dyDescent="0.4">
      <c r="B593" s="16">
        <f t="shared" si="64"/>
        <v>42802</v>
      </c>
      <c r="C593" s="1">
        <f t="shared" si="66"/>
        <v>5032</v>
      </c>
      <c r="D593" s="1">
        <f t="shared" si="67"/>
        <v>1315</v>
      </c>
      <c r="E593" s="1">
        <f t="shared" si="68"/>
        <v>1715</v>
      </c>
      <c r="F593" s="1"/>
      <c r="H593" s="16">
        <f t="shared" si="72"/>
        <v>46270</v>
      </c>
      <c r="I593" s="29">
        <f t="shared" si="73"/>
        <v>10060</v>
      </c>
      <c r="J593" s="1">
        <f t="shared" ref="J593:J595" si="74">IF(T593&lt;&gt;0,T593,J592)</f>
        <v>80.430000000000007</v>
      </c>
      <c r="L593" s="11">
        <v>42802</v>
      </c>
      <c r="M593" s="9">
        <v>5032</v>
      </c>
      <c r="N593" s="9">
        <v>1315</v>
      </c>
      <c r="O593" s="9">
        <v>1715</v>
      </c>
      <c r="P593" s="9">
        <v>0</v>
      </c>
      <c r="R593" s="11">
        <v>46270</v>
      </c>
      <c r="S593" s="9">
        <v>10060</v>
      </c>
      <c r="T593" s="9">
        <v>80.430000000000007</v>
      </c>
      <c r="U593" s="9"/>
    </row>
    <row r="594" spans="2:21" x14ac:dyDescent="0.4">
      <c r="B594" s="16">
        <f t="shared" si="64"/>
        <v>42803</v>
      </c>
      <c r="C594" s="1">
        <f t="shared" si="66"/>
        <v>4976</v>
      </c>
      <c r="D594" s="1">
        <f t="shared" si="67"/>
        <v>1230</v>
      </c>
      <c r="E594" s="1">
        <f t="shared" si="68"/>
        <v>1710</v>
      </c>
      <c r="F594" s="1"/>
      <c r="H594" s="16">
        <f t="shared" si="72"/>
        <v>46277</v>
      </c>
      <c r="I594" s="29">
        <f t="shared" si="73"/>
        <v>10270</v>
      </c>
      <c r="J594" s="1">
        <f t="shared" si="74"/>
        <v>80.540000000000006</v>
      </c>
      <c r="L594" s="11">
        <v>42803</v>
      </c>
      <c r="M594" s="9">
        <v>4976</v>
      </c>
      <c r="N594" s="9">
        <v>1230</v>
      </c>
      <c r="O594" s="9">
        <v>1710</v>
      </c>
      <c r="P594" s="9">
        <v>0</v>
      </c>
      <c r="R594" s="11">
        <v>46277</v>
      </c>
      <c r="S594" s="9">
        <v>10270</v>
      </c>
      <c r="T594" s="9">
        <v>80.540000000000006</v>
      </c>
      <c r="U594" s="9"/>
    </row>
    <row r="595" spans="2:21" x14ac:dyDescent="0.4">
      <c r="B595" s="16">
        <f t="shared" si="64"/>
        <v>42804</v>
      </c>
      <c r="C595" s="1">
        <f t="shared" si="66"/>
        <v>4936</v>
      </c>
      <c r="D595" s="1">
        <f t="shared" si="67"/>
        <v>1220</v>
      </c>
      <c r="E595" s="1">
        <f t="shared" si="68"/>
        <v>1710</v>
      </c>
      <c r="F595" s="1"/>
      <c r="H595" s="16">
        <f t="shared" si="72"/>
        <v>46284</v>
      </c>
      <c r="I595" s="29">
        <f t="shared" si="73"/>
        <v>10530</v>
      </c>
      <c r="J595" s="1">
        <f t="shared" si="74"/>
        <v>84.93</v>
      </c>
      <c r="L595" s="11">
        <v>42804</v>
      </c>
      <c r="M595" s="9">
        <v>4936</v>
      </c>
      <c r="N595" s="9">
        <v>1220</v>
      </c>
      <c r="O595" s="9">
        <v>1710</v>
      </c>
      <c r="P595" s="9">
        <v>0</v>
      </c>
      <c r="R595" s="11">
        <v>46284</v>
      </c>
      <c r="S595" s="9">
        <v>10530</v>
      </c>
      <c r="T595" s="9">
        <v>84.93</v>
      </c>
      <c r="U595" s="9"/>
    </row>
    <row r="596" spans="2:21" x14ac:dyDescent="0.4">
      <c r="B596" s="16">
        <f t="shared" si="64"/>
        <v>42807</v>
      </c>
      <c r="C596" s="1">
        <f t="shared" si="66"/>
        <v>4874</v>
      </c>
      <c r="D596" s="1">
        <f t="shared" si="67"/>
        <v>1210</v>
      </c>
      <c r="E596" s="1">
        <f t="shared" si="68"/>
        <v>1705</v>
      </c>
      <c r="F596" s="1"/>
      <c r="H596" s="16">
        <f t="shared" ref="H596" si="75">R596</f>
        <v>46291</v>
      </c>
      <c r="I596" s="29">
        <f t="shared" ref="I596" si="76">IF(S596&lt;&gt;0,S596,I595)</f>
        <v>10530</v>
      </c>
      <c r="J596" s="1">
        <f t="shared" ref="J596" si="77">IF(T596&lt;&gt;0,T596,J595)</f>
        <v>84.93</v>
      </c>
      <c r="L596" s="11">
        <v>42807</v>
      </c>
      <c r="M596" s="9">
        <v>4874</v>
      </c>
      <c r="N596" s="9">
        <v>1210</v>
      </c>
      <c r="O596" s="9">
        <v>1705</v>
      </c>
      <c r="P596" s="9">
        <v>0</v>
      </c>
      <c r="R596" s="11">
        <v>46291</v>
      </c>
      <c r="S596" s="9">
        <v>10530</v>
      </c>
      <c r="T596" s="9">
        <v>0</v>
      </c>
      <c r="U596" s="9"/>
    </row>
    <row r="597" spans="2:21" x14ac:dyDescent="0.4">
      <c r="B597" s="16">
        <f t="shared" si="64"/>
        <v>42808</v>
      </c>
      <c r="C597" s="1">
        <f t="shared" si="66"/>
        <v>4856</v>
      </c>
      <c r="D597" s="1">
        <f t="shared" si="67"/>
        <v>1210</v>
      </c>
      <c r="E597" s="1">
        <f t="shared" si="68"/>
        <v>1705</v>
      </c>
      <c r="F597" s="1"/>
      <c r="H597" s="16"/>
      <c r="I597" s="29"/>
      <c r="J597" s="1"/>
      <c r="L597" s="11">
        <v>42808</v>
      </c>
      <c r="M597" s="9">
        <v>4856</v>
      </c>
      <c r="N597" s="9">
        <v>1210</v>
      </c>
      <c r="O597" s="9">
        <v>1705</v>
      </c>
      <c r="P597" s="9">
        <v>0</v>
      </c>
      <c r="R597" s="11"/>
      <c r="S597" s="9"/>
      <c r="T597" s="9"/>
      <c r="U597" s="9"/>
    </row>
    <row r="598" spans="2:21" x14ac:dyDescent="0.4">
      <c r="B598" s="16">
        <f t="shared" si="64"/>
        <v>42809</v>
      </c>
      <c r="C598" s="1">
        <f t="shared" si="66"/>
        <v>4858</v>
      </c>
      <c r="D598" s="1">
        <f t="shared" si="67"/>
        <v>1210</v>
      </c>
      <c r="E598" s="1">
        <f t="shared" si="68"/>
        <v>1705</v>
      </c>
      <c r="F598" s="1"/>
      <c r="H598" s="16"/>
      <c r="I598" s="29"/>
      <c r="J598" s="1"/>
      <c r="L598" s="11">
        <v>42809</v>
      </c>
      <c r="M598" s="9">
        <v>4858</v>
      </c>
      <c r="N598" s="9">
        <v>1210</v>
      </c>
      <c r="O598" s="9">
        <v>1705</v>
      </c>
      <c r="P598" s="9">
        <v>0</v>
      </c>
      <c r="R598" s="11"/>
      <c r="S598" s="9"/>
      <c r="T598" s="9"/>
      <c r="U598" s="9"/>
    </row>
    <row r="599" spans="2:21" x14ac:dyDescent="0.4">
      <c r="B599" s="16">
        <f t="shared" si="64"/>
        <v>42810</v>
      </c>
      <c r="C599" s="1">
        <f t="shared" si="66"/>
        <v>4845</v>
      </c>
      <c r="D599" s="1">
        <f t="shared" si="67"/>
        <v>1165</v>
      </c>
      <c r="E599" s="1">
        <f t="shared" si="68"/>
        <v>1700</v>
      </c>
      <c r="F599" s="1"/>
      <c r="H599" s="16"/>
      <c r="I599" s="29"/>
      <c r="J599" s="1"/>
      <c r="L599" s="11">
        <v>42810</v>
      </c>
      <c r="M599" s="9">
        <v>4845</v>
      </c>
      <c r="N599" s="9">
        <v>1165</v>
      </c>
      <c r="O599" s="9">
        <v>1700</v>
      </c>
      <c r="P599" s="9">
        <v>0</v>
      </c>
      <c r="R599" s="11"/>
      <c r="S599" s="9"/>
      <c r="T599" s="9"/>
      <c r="U599" s="9"/>
    </row>
    <row r="600" spans="2:21" x14ac:dyDescent="0.4">
      <c r="B600" s="16">
        <f t="shared" si="64"/>
        <v>42811</v>
      </c>
      <c r="C600" s="1">
        <f t="shared" si="66"/>
        <v>4844</v>
      </c>
      <c r="D600" s="1">
        <f t="shared" si="67"/>
        <v>1155</v>
      </c>
      <c r="E600" s="1">
        <f t="shared" si="68"/>
        <v>1698</v>
      </c>
      <c r="F600" s="1"/>
      <c r="H600" s="16"/>
      <c r="I600" s="29"/>
      <c r="J600" s="1"/>
      <c r="L600" s="11">
        <v>42811</v>
      </c>
      <c r="M600" s="9">
        <v>4844</v>
      </c>
      <c r="N600" s="9">
        <v>1155</v>
      </c>
      <c r="O600" s="9">
        <v>1698</v>
      </c>
      <c r="P600" s="9">
        <v>0</v>
      </c>
      <c r="R600" s="11"/>
      <c r="S600" s="9"/>
      <c r="T600" s="9"/>
      <c r="U600" s="9"/>
    </row>
    <row r="601" spans="2:21" x14ac:dyDescent="0.4">
      <c r="B601" s="16">
        <f t="shared" si="64"/>
        <v>42814</v>
      </c>
      <c r="C601" s="1">
        <f t="shared" si="66"/>
        <v>4845</v>
      </c>
      <c r="D601" s="1">
        <f t="shared" si="67"/>
        <v>1150</v>
      </c>
      <c r="E601" s="1">
        <f t="shared" si="68"/>
        <v>1695</v>
      </c>
      <c r="F601" s="1"/>
      <c r="H601" s="16"/>
      <c r="I601" s="29"/>
      <c r="J601" s="1"/>
      <c r="L601" s="11">
        <v>42814</v>
      </c>
      <c r="M601" s="9">
        <v>4845</v>
      </c>
      <c r="N601" s="9">
        <v>1150</v>
      </c>
      <c r="O601" s="9">
        <v>1695</v>
      </c>
      <c r="P601" s="9">
        <v>0</v>
      </c>
      <c r="R601" s="11"/>
      <c r="S601" s="9"/>
      <c r="T601" s="9"/>
      <c r="U601" s="9"/>
    </row>
    <row r="602" spans="2:21" x14ac:dyDescent="0.4">
      <c r="B602" s="16">
        <f t="shared" si="64"/>
        <v>42815</v>
      </c>
      <c r="C602" s="1">
        <f t="shared" si="66"/>
        <v>4826</v>
      </c>
      <c r="D602" s="1">
        <f t="shared" si="67"/>
        <v>1150</v>
      </c>
      <c r="E602" s="1">
        <f t="shared" si="68"/>
        <v>1690</v>
      </c>
      <c r="F602" s="1"/>
      <c r="H602" s="16"/>
      <c r="I602" s="29"/>
      <c r="J602" s="1"/>
      <c r="L602" s="11">
        <v>42815</v>
      </c>
      <c r="M602" s="9">
        <v>4826</v>
      </c>
      <c r="N602" s="9">
        <v>1150</v>
      </c>
      <c r="O602" s="9">
        <v>1690</v>
      </c>
      <c r="P602" s="9">
        <v>0</v>
      </c>
      <c r="R602" s="11"/>
      <c r="S602" s="9"/>
      <c r="T602" s="9"/>
      <c r="U602" s="9"/>
    </row>
    <row r="603" spans="2:21" x14ac:dyDescent="0.4">
      <c r="B603" s="16">
        <f t="shared" si="64"/>
        <v>42816</v>
      </c>
      <c r="C603" s="1">
        <f t="shared" si="66"/>
        <v>4779</v>
      </c>
      <c r="D603" s="1">
        <f t="shared" si="67"/>
        <v>1145</v>
      </c>
      <c r="E603" s="1">
        <f t="shared" si="68"/>
        <v>1690</v>
      </c>
      <c r="F603" s="1"/>
      <c r="H603" s="16"/>
      <c r="I603" s="29"/>
      <c r="J603" s="1"/>
      <c r="L603" s="11">
        <v>42816</v>
      </c>
      <c r="M603" s="9">
        <v>4779</v>
      </c>
      <c r="N603" s="9">
        <v>1145</v>
      </c>
      <c r="O603" s="9">
        <v>1690</v>
      </c>
      <c r="P603" s="9">
        <v>0</v>
      </c>
      <c r="R603" s="11"/>
      <c r="S603" s="9"/>
      <c r="T603" s="9"/>
      <c r="U603" s="9"/>
    </row>
    <row r="604" spans="2:21" x14ac:dyDescent="0.4">
      <c r="B604" s="16">
        <f t="shared" si="64"/>
        <v>42817</v>
      </c>
      <c r="C604" s="1">
        <f t="shared" si="66"/>
        <v>4753</v>
      </c>
      <c r="D604" s="1">
        <f t="shared" si="67"/>
        <v>1140</v>
      </c>
      <c r="E604" s="1">
        <f t="shared" si="68"/>
        <v>1685</v>
      </c>
      <c r="F604" s="1"/>
      <c r="H604" s="16"/>
      <c r="I604" s="29"/>
      <c r="J604" s="1"/>
      <c r="L604" s="11">
        <v>42817</v>
      </c>
      <c r="M604" s="9">
        <v>4753</v>
      </c>
      <c r="N604" s="9">
        <v>1140</v>
      </c>
      <c r="O604" s="9">
        <v>1685</v>
      </c>
      <c r="P604" s="9">
        <v>0</v>
      </c>
      <c r="R604" s="11"/>
      <c r="S604" s="9"/>
      <c r="T604" s="9"/>
      <c r="U604" s="9"/>
    </row>
    <row r="605" spans="2:21" x14ac:dyDescent="0.4">
      <c r="B605" s="16">
        <f t="shared" si="64"/>
        <v>42818</v>
      </c>
      <c r="C605" s="1">
        <f t="shared" si="66"/>
        <v>4719</v>
      </c>
      <c r="D605" s="1">
        <f t="shared" si="67"/>
        <v>1140</v>
      </c>
      <c r="E605" s="1">
        <f t="shared" si="68"/>
        <v>1680</v>
      </c>
      <c r="F605" s="1"/>
      <c r="H605" s="16"/>
      <c r="I605" s="29"/>
      <c r="J605" s="1"/>
      <c r="L605" s="11">
        <v>42818</v>
      </c>
      <c r="M605" s="9">
        <v>4719</v>
      </c>
      <c r="N605" s="9">
        <v>1140</v>
      </c>
      <c r="O605" s="9">
        <v>1680</v>
      </c>
      <c r="P605" s="9">
        <v>0</v>
      </c>
      <c r="R605" s="11"/>
      <c r="S605" s="9"/>
      <c r="T605" s="9"/>
      <c r="U605" s="9"/>
    </row>
    <row r="606" spans="2:21" x14ac:dyDescent="0.4">
      <c r="B606" s="16">
        <f t="shared" si="64"/>
        <v>42821</v>
      </c>
      <c r="C606" s="1">
        <f t="shared" si="66"/>
        <v>4680</v>
      </c>
      <c r="D606" s="1">
        <f t="shared" si="67"/>
        <v>1140</v>
      </c>
      <c r="E606" s="1">
        <f t="shared" si="68"/>
        <v>1675</v>
      </c>
      <c r="F606" s="1"/>
      <c r="H606" s="16"/>
      <c r="I606" s="29"/>
      <c r="J606" s="1"/>
      <c r="L606" s="11">
        <v>42821</v>
      </c>
      <c r="M606" s="9">
        <v>4680</v>
      </c>
      <c r="N606" s="9">
        <v>1140</v>
      </c>
      <c r="O606" s="9">
        <v>1675</v>
      </c>
      <c r="P606" s="9">
        <v>0</v>
      </c>
      <c r="R606" s="11"/>
      <c r="S606" s="9"/>
      <c r="T606" s="9"/>
      <c r="U606" s="9"/>
    </row>
    <row r="607" spans="2:21" x14ac:dyDescent="0.4">
      <c r="B607" s="16">
        <f t="shared" si="64"/>
        <v>42822</v>
      </c>
      <c r="C607" s="1">
        <f t="shared" si="66"/>
        <v>4662</v>
      </c>
      <c r="D607" s="1">
        <f t="shared" si="67"/>
        <v>1140</v>
      </c>
      <c r="E607" s="1">
        <f t="shared" si="68"/>
        <v>1675</v>
      </c>
      <c r="F607" s="1"/>
      <c r="H607" s="16"/>
      <c r="I607" s="29"/>
      <c r="J607" s="1"/>
      <c r="L607" s="11">
        <v>42822</v>
      </c>
      <c r="M607" s="9">
        <v>4662</v>
      </c>
      <c r="N607" s="9">
        <v>1140</v>
      </c>
      <c r="O607" s="9">
        <v>1675</v>
      </c>
      <c r="P607" s="9">
        <v>0</v>
      </c>
      <c r="R607" s="11"/>
      <c r="S607" s="9"/>
      <c r="T607" s="9"/>
      <c r="U607" s="9"/>
    </row>
    <row r="608" spans="2:21" x14ac:dyDescent="0.4">
      <c r="B608" s="16">
        <f t="shared" si="64"/>
        <v>42823</v>
      </c>
      <c r="C608" s="1">
        <f t="shared" si="66"/>
        <v>4660</v>
      </c>
      <c r="D608" s="1">
        <f t="shared" si="67"/>
        <v>1140</v>
      </c>
      <c r="E608" s="1">
        <f t="shared" si="68"/>
        <v>1670</v>
      </c>
      <c r="F608" s="1"/>
      <c r="H608" s="16"/>
      <c r="I608" s="29"/>
      <c r="J608" s="1"/>
      <c r="L608" s="11">
        <v>42823</v>
      </c>
      <c r="M608" s="9">
        <v>4660</v>
      </c>
      <c r="N608" s="9">
        <v>1140</v>
      </c>
      <c r="O608" s="9">
        <v>1670</v>
      </c>
      <c r="P608" s="9">
        <v>0</v>
      </c>
      <c r="R608" s="11"/>
      <c r="S608" s="9"/>
      <c r="T608" s="9"/>
      <c r="U608" s="9"/>
    </row>
    <row r="609" spans="2:21" x14ac:dyDescent="0.4">
      <c r="B609" s="16">
        <f t="shared" si="64"/>
        <v>42824</v>
      </c>
      <c r="C609" s="1">
        <f t="shared" si="66"/>
        <v>4681</v>
      </c>
      <c r="D609" s="1">
        <f t="shared" si="67"/>
        <v>1140</v>
      </c>
      <c r="E609" s="1">
        <f t="shared" si="68"/>
        <v>1660</v>
      </c>
      <c r="F609" s="1"/>
      <c r="H609" s="16"/>
      <c r="I609" s="29"/>
      <c r="J609" s="1"/>
      <c r="L609" s="11">
        <v>42824</v>
      </c>
      <c r="M609" s="9">
        <v>4681</v>
      </c>
      <c r="N609" s="9">
        <v>1140</v>
      </c>
      <c r="O609" s="9">
        <v>1660</v>
      </c>
      <c r="P609" s="9">
        <v>0</v>
      </c>
      <c r="R609" s="11"/>
      <c r="S609" s="9"/>
      <c r="T609" s="9"/>
      <c r="U609" s="9"/>
    </row>
    <row r="610" spans="2:21" x14ac:dyDescent="0.4">
      <c r="B610" s="16">
        <f t="shared" si="64"/>
        <v>42825</v>
      </c>
      <c r="C610" s="1">
        <f t="shared" si="66"/>
        <v>4685</v>
      </c>
      <c r="D610" s="1">
        <f t="shared" si="67"/>
        <v>1140</v>
      </c>
      <c r="E610" s="1">
        <f t="shared" si="68"/>
        <v>1660</v>
      </c>
      <c r="F610" s="1"/>
      <c r="H610" s="16"/>
      <c r="I610" s="29"/>
      <c r="J610" s="1"/>
      <c r="L610" s="11">
        <v>42825</v>
      </c>
      <c r="M610" s="9">
        <v>4685</v>
      </c>
      <c r="N610" s="9">
        <v>1140</v>
      </c>
      <c r="O610" s="9">
        <v>1660</v>
      </c>
      <c r="P610" s="9">
        <v>0</v>
      </c>
      <c r="R610" s="11"/>
      <c r="S610" s="9"/>
      <c r="T610" s="9"/>
      <c r="U610" s="9"/>
    </row>
    <row r="611" spans="2:21" x14ac:dyDescent="0.4">
      <c r="B611" s="16">
        <f t="shared" si="64"/>
        <v>42826</v>
      </c>
      <c r="C611" s="1">
        <f t="shared" si="66"/>
        <v>4681</v>
      </c>
      <c r="D611" s="1">
        <f t="shared" si="67"/>
        <v>1140</v>
      </c>
      <c r="E611" s="1">
        <f t="shared" si="68"/>
        <v>1660</v>
      </c>
      <c r="F611" s="1"/>
      <c r="H611" s="16"/>
      <c r="I611" s="29"/>
      <c r="J611" s="1"/>
      <c r="L611" s="11">
        <v>42826</v>
      </c>
      <c r="M611" s="9">
        <v>4681</v>
      </c>
      <c r="N611" s="9">
        <v>0</v>
      </c>
      <c r="O611" s="9">
        <v>1660</v>
      </c>
      <c r="P611" s="9">
        <v>0</v>
      </c>
      <c r="R611" s="11"/>
      <c r="S611" s="9"/>
      <c r="T611" s="9"/>
      <c r="U611" s="9"/>
    </row>
    <row r="612" spans="2:21" x14ac:dyDescent="0.4">
      <c r="B612" s="16">
        <f t="shared" si="64"/>
        <v>42828</v>
      </c>
      <c r="C612" s="1">
        <f t="shared" si="66"/>
        <v>4681</v>
      </c>
      <c r="D612" s="1">
        <f t="shared" si="67"/>
        <v>1140</v>
      </c>
      <c r="E612" s="1">
        <f t="shared" si="68"/>
        <v>1660</v>
      </c>
      <c r="F612" s="1"/>
      <c r="H612" s="16"/>
      <c r="I612" s="29"/>
      <c r="J612" s="1"/>
      <c r="L612" s="11">
        <v>42828</v>
      </c>
      <c r="M612" s="9">
        <v>0</v>
      </c>
      <c r="N612" s="9">
        <v>1140</v>
      </c>
      <c r="O612" s="9">
        <v>0</v>
      </c>
      <c r="P612" s="9">
        <v>0</v>
      </c>
      <c r="R612" s="11"/>
      <c r="S612" s="9"/>
      <c r="T612" s="9"/>
      <c r="U612" s="9"/>
    </row>
    <row r="613" spans="2:21" x14ac:dyDescent="0.4">
      <c r="B613" s="16">
        <f t="shared" si="64"/>
        <v>42829</v>
      </c>
      <c r="C613" s="1">
        <f t="shared" si="66"/>
        <v>4681</v>
      </c>
      <c r="D613" s="1">
        <f t="shared" si="67"/>
        <v>1140</v>
      </c>
      <c r="E613" s="1">
        <f t="shared" si="68"/>
        <v>1660</v>
      </c>
      <c r="F613" s="1"/>
      <c r="H613" s="16"/>
      <c r="I613" s="29"/>
      <c r="J613" s="1"/>
      <c r="L613" s="11">
        <v>42829</v>
      </c>
      <c r="M613" s="9">
        <v>0</v>
      </c>
      <c r="N613" s="9">
        <v>1140</v>
      </c>
      <c r="O613" s="9">
        <v>0</v>
      </c>
      <c r="P613" s="9">
        <v>0</v>
      </c>
      <c r="R613" s="11"/>
      <c r="S613" s="9"/>
      <c r="T613" s="9"/>
      <c r="U613" s="9"/>
    </row>
    <row r="614" spans="2:21" x14ac:dyDescent="0.4">
      <c r="B614" s="16">
        <f t="shared" si="64"/>
        <v>42830</v>
      </c>
      <c r="C614" s="1">
        <f t="shared" si="66"/>
        <v>4680</v>
      </c>
      <c r="D614" s="1">
        <f t="shared" si="67"/>
        <v>1140</v>
      </c>
      <c r="E614" s="1">
        <f t="shared" si="68"/>
        <v>1650</v>
      </c>
      <c r="F614" s="1"/>
      <c r="H614" s="16"/>
      <c r="I614" s="29"/>
      <c r="J614" s="1"/>
      <c r="L614" s="11">
        <v>42830</v>
      </c>
      <c r="M614" s="9">
        <v>4680</v>
      </c>
      <c r="N614" s="9">
        <v>1140</v>
      </c>
      <c r="O614" s="9">
        <v>1650</v>
      </c>
      <c r="P614" s="9">
        <v>0</v>
      </c>
      <c r="R614" s="11"/>
      <c r="S614" s="9"/>
      <c r="T614" s="9"/>
      <c r="U614" s="9"/>
    </row>
    <row r="615" spans="2:21" x14ac:dyDescent="0.4">
      <c r="B615" s="16">
        <f t="shared" si="64"/>
        <v>42831</v>
      </c>
      <c r="C615" s="1">
        <f t="shared" si="66"/>
        <v>4682</v>
      </c>
      <c r="D615" s="1">
        <f t="shared" si="67"/>
        <v>1150</v>
      </c>
      <c r="E615" s="1">
        <f t="shared" si="68"/>
        <v>1650</v>
      </c>
      <c r="F615" s="1"/>
      <c r="H615" s="16"/>
      <c r="I615" s="29"/>
      <c r="J615" s="1"/>
      <c r="L615" s="11">
        <v>42831</v>
      </c>
      <c r="M615" s="9">
        <v>4682</v>
      </c>
      <c r="N615" s="9">
        <v>1150</v>
      </c>
      <c r="O615" s="9">
        <v>1650</v>
      </c>
      <c r="P615" s="9">
        <v>0</v>
      </c>
      <c r="R615" s="11"/>
      <c r="S615" s="9"/>
      <c r="T615" s="9"/>
      <c r="U615" s="9"/>
    </row>
    <row r="616" spans="2:21" x14ac:dyDescent="0.4">
      <c r="B616" s="16">
        <f t="shared" si="64"/>
        <v>42832</v>
      </c>
      <c r="C616" s="1">
        <f t="shared" si="66"/>
        <v>4684</v>
      </c>
      <c r="D616" s="1">
        <f t="shared" si="67"/>
        <v>1165</v>
      </c>
      <c r="E616" s="1">
        <f t="shared" si="68"/>
        <v>1640</v>
      </c>
      <c r="F616" s="1"/>
      <c r="H616" s="16"/>
      <c r="I616" s="29"/>
      <c r="J616" s="1"/>
      <c r="L616" s="11">
        <v>42832</v>
      </c>
      <c r="M616" s="9">
        <v>4684</v>
      </c>
      <c r="N616" s="9">
        <v>1165</v>
      </c>
      <c r="O616" s="9">
        <v>1640</v>
      </c>
      <c r="P616" s="9">
        <v>0</v>
      </c>
      <c r="R616" s="11"/>
      <c r="S616" s="9"/>
      <c r="T616" s="9"/>
      <c r="U616" s="9"/>
    </row>
    <row r="617" spans="2:21" x14ac:dyDescent="0.4">
      <c r="B617" s="16">
        <f t="shared" si="64"/>
        <v>42835</v>
      </c>
      <c r="C617" s="1">
        <f t="shared" si="66"/>
        <v>4669</v>
      </c>
      <c r="D617" s="1">
        <f t="shared" si="67"/>
        <v>1165</v>
      </c>
      <c r="E617" s="1">
        <f t="shared" si="68"/>
        <v>1630</v>
      </c>
      <c r="F617" s="1"/>
      <c r="H617" s="16"/>
      <c r="I617" s="29"/>
      <c r="J617" s="1"/>
      <c r="L617" s="11">
        <v>42835</v>
      </c>
      <c r="M617" s="9">
        <v>4669</v>
      </c>
      <c r="N617" s="9">
        <v>1165</v>
      </c>
      <c r="O617" s="9">
        <v>1630</v>
      </c>
      <c r="P617" s="9">
        <v>0</v>
      </c>
      <c r="R617" s="11"/>
      <c r="S617" s="9"/>
      <c r="T617" s="9"/>
      <c r="U617" s="9"/>
    </row>
    <row r="618" spans="2:21" x14ac:dyDescent="0.4">
      <c r="B618" s="16">
        <f t="shared" si="64"/>
        <v>42836</v>
      </c>
      <c r="C618" s="1">
        <f t="shared" si="66"/>
        <v>4660</v>
      </c>
      <c r="D618" s="1">
        <f t="shared" si="67"/>
        <v>1170</v>
      </c>
      <c r="E618" s="1">
        <f t="shared" si="68"/>
        <v>1620</v>
      </c>
      <c r="F618" s="1"/>
      <c r="H618" s="16"/>
      <c r="I618" s="29"/>
      <c r="J618" s="1"/>
      <c r="L618" s="11">
        <v>42836</v>
      </c>
      <c r="M618" s="9">
        <v>4660</v>
      </c>
      <c r="N618" s="9">
        <v>1170</v>
      </c>
      <c r="O618" s="9">
        <v>1620</v>
      </c>
      <c r="P618" s="9">
        <v>0</v>
      </c>
      <c r="R618" s="11"/>
      <c r="S618" s="9"/>
      <c r="T618" s="9"/>
      <c r="U618" s="9"/>
    </row>
    <row r="619" spans="2:21" x14ac:dyDescent="0.4">
      <c r="B619" s="16">
        <f t="shared" si="64"/>
        <v>42837</v>
      </c>
      <c r="C619" s="1">
        <f t="shared" si="66"/>
        <v>4652</v>
      </c>
      <c r="D619" s="1">
        <f t="shared" si="67"/>
        <v>1170</v>
      </c>
      <c r="E619" s="1">
        <f t="shared" si="68"/>
        <v>1620</v>
      </c>
      <c r="F619" s="1"/>
      <c r="H619" s="16"/>
      <c r="I619" s="29"/>
      <c r="J619" s="1"/>
      <c r="L619" s="11">
        <v>42837</v>
      </c>
      <c r="M619" s="9">
        <v>4652</v>
      </c>
      <c r="N619" s="9">
        <v>1170</v>
      </c>
      <c r="O619" s="9">
        <v>1620</v>
      </c>
      <c r="P619" s="9">
        <v>0</v>
      </c>
      <c r="R619" s="11"/>
      <c r="S619" s="9"/>
      <c r="T619" s="9"/>
      <c r="U619" s="9"/>
    </row>
    <row r="620" spans="2:21" x14ac:dyDescent="0.4">
      <c r="B620" s="16">
        <f t="shared" si="64"/>
        <v>42838</v>
      </c>
      <c r="C620" s="1">
        <f t="shared" si="66"/>
        <v>4631</v>
      </c>
      <c r="D620" s="1">
        <f t="shared" si="67"/>
        <v>1170</v>
      </c>
      <c r="E620" s="1">
        <f t="shared" si="68"/>
        <v>1615</v>
      </c>
      <c r="F620" s="1"/>
      <c r="H620" s="16"/>
      <c r="I620" s="29"/>
      <c r="J620" s="1"/>
      <c r="L620" s="11">
        <v>42838</v>
      </c>
      <c r="M620" s="9">
        <v>4631</v>
      </c>
      <c r="N620" s="9">
        <v>1170</v>
      </c>
      <c r="O620" s="9">
        <v>1615</v>
      </c>
      <c r="P620" s="9">
        <v>0</v>
      </c>
      <c r="R620" s="11"/>
      <c r="S620" s="9"/>
      <c r="T620" s="9"/>
      <c r="U620" s="9"/>
    </row>
    <row r="621" spans="2:21" x14ac:dyDescent="0.4">
      <c r="B621" s="16">
        <f t="shared" si="64"/>
        <v>42839</v>
      </c>
      <c r="C621" s="1">
        <f t="shared" si="66"/>
        <v>4608</v>
      </c>
      <c r="D621" s="1">
        <f t="shared" si="67"/>
        <v>1170</v>
      </c>
      <c r="E621" s="1">
        <f t="shared" si="68"/>
        <v>1610</v>
      </c>
      <c r="F621" s="1"/>
      <c r="H621" s="16"/>
      <c r="I621" s="29"/>
      <c r="J621" s="1"/>
      <c r="L621" s="11">
        <v>42839</v>
      </c>
      <c r="M621" s="9">
        <v>4608</v>
      </c>
      <c r="N621" s="9">
        <v>1170</v>
      </c>
      <c r="O621" s="9">
        <v>1610</v>
      </c>
      <c r="P621" s="9">
        <v>0</v>
      </c>
      <c r="R621" s="11"/>
      <c r="S621" s="9"/>
      <c r="T621" s="9"/>
      <c r="U621" s="9"/>
    </row>
    <row r="622" spans="2:21" x14ac:dyDescent="0.4">
      <c r="B622" s="16">
        <f t="shared" si="64"/>
        <v>42842</v>
      </c>
      <c r="C622" s="1">
        <f t="shared" si="66"/>
        <v>4569</v>
      </c>
      <c r="D622" s="1">
        <f t="shared" si="67"/>
        <v>1180</v>
      </c>
      <c r="E622" s="1">
        <f t="shared" si="68"/>
        <v>1590</v>
      </c>
      <c r="F622" s="1"/>
      <c r="H622" s="16"/>
      <c r="I622" s="29"/>
      <c r="J622" s="1"/>
      <c r="L622" s="11">
        <v>42842</v>
      </c>
      <c r="M622" s="9">
        <v>4569</v>
      </c>
      <c r="N622" s="9">
        <v>1180</v>
      </c>
      <c r="O622" s="9">
        <v>1590</v>
      </c>
      <c r="P622" s="9">
        <v>0</v>
      </c>
      <c r="R622" s="11"/>
      <c r="S622" s="9"/>
      <c r="T622" s="9"/>
      <c r="U622" s="9"/>
    </row>
    <row r="623" spans="2:21" x14ac:dyDescent="0.4">
      <c r="B623" s="16">
        <f t="shared" si="64"/>
        <v>42843</v>
      </c>
      <c r="C623" s="1">
        <f t="shared" si="66"/>
        <v>4542</v>
      </c>
      <c r="D623" s="1">
        <f t="shared" si="67"/>
        <v>1200</v>
      </c>
      <c r="E623" s="1">
        <f t="shared" si="68"/>
        <v>1580</v>
      </c>
      <c r="F623" s="1"/>
      <c r="H623" s="16"/>
      <c r="I623" s="29"/>
      <c r="J623" s="1"/>
      <c r="L623" s="11">
        <v>42843</v>
      </c>
      <c r="M623" s="9">
        <v>4542</v>
      </c>
      <c r="N623" s="9">
        <v>1200</v>
      </c>
      <c r="O623" s="9">
        <v>1580</v>
      </c>
      <c r="P623" s="9">
        <v>0</v>
      </c>
      <c r="R623" s="11"/>
      <c r="S623" s="9"/>
      <c r="T623" s="9"/>
      <c r="U623" s="9"/>
    </row>
    <row r="624" spans="2:21" x14ac:dyDescent="0.4">
      <c r="B624" s="16">
        <f t="shared" si="64"/>
        <v>42844</v>
      </c>
      <c r="C624" s="1">
        <f t="shared" si="66"/>
        <v>4533</v>
      </c>
      <c r="D624" s="1">
        <f t="shared" si="67"/>
        <v>1200</v>
      </c>
      <c r="E624" s="1">
        <f t="shared" si="68"/>
        <v>1580</v>
      </c>
      <c r="F624" s="1"/>
      <c r="H624" s="16"/>
      <c r="I624" s="29"/>
      <c r="J624" s="1"/>
      <c r="L624" s="11">
        <v>42844</v>
      </c>
      <c r="M624" s="9">
        <v>4533</v>
      </c>
      <c r="N624" s="9">
        <v>1200</v>
      </c>
      <c r="O624" s="9">
        <v>1580</v>
      </c>
      <c r="P624" s="9">
        <v>0</v>
      </c>
      <c r="R624" s="11"/>
      <c r="S624" s="9"/>
      <c r="T624" s="9"/>
      <c r="U624" s="9"/>
    </row>
    <row r="625" spans="2:21" x14ac:dyDescent="0.4">
      <c r="B625" s="16">
        <f t="shared" si="64"/>
        <v>42845</v>
      </c>
      <c r="C625" s="1">
        <f t="shared" si="66"/>
        <v>4522</v>
      </c>
      <c r="D625" s="1">
        <f t="shared" si="67"/>
        <v>1205</v>
      </c>
      <c r="E625" s="1">
        <f t="shared" si="68"/>
        <v>1580</v>
      </c>
      <c r="F625" s="1"/>
      <c r="H625" s="16"/>
      <c r="I625" s="29"/>
      <c r="J625" s="1"/>
      <c r="L625" s="11">
        <v>42845</v>
      </c>
      <c r="M625" s="9">
        <v>4522</v>
      </c>
      <c r="N625" s="9">
        <v>1205</v>
      </c>
      <c r="O625" s="9">
        <v>1580</v>
      </c>
      <c r="P625" s="9">
        <v>0</v>
      </c>
      <c r="R625" s="11"/>
      <c r="S625" s="9"/>
      <c r="T625" s="9"/>
      <c r="U625" s="9"/>
    </row>
    <row r="626" spans="2:21" x14ac:dyDescent="0.4">
      <c r="B626" s="16">
        <f t="shared" si="64"/>
        <v>42846</v>
      </c>
      <c r="C626" s="1">
        <f t="shared" si="66"/>
        <v>4513</v>
      </c>
      <c r="D626" s="1">
        <f t="shared" si="67"/>
        <v>1205</v>
      </c>
      <c r="E626" s="1">
        <f t="shared" si="68"/>
        <v>1580</v>
      </c>
      <c r="F626" s="1"/>
      <c r="H626" s="16"/>
      <c r="I626" s="29"/>
      <c r="J626" s="1"/>
      <c r="L626" s="11">
        <v>42846</v>
      </c>
      <c r="M626" s="9">
        <v>4513</v>
      </c>
      <c r="N626" s="9">
        <v>1205</v>
      </c>
      <c r="O626" s="9">
        <v>1580</v>
      </c>
      <c r="P626" s="9">
        <v>0</v>
      </c>
      <c r="R626" s="11"/>
      <c r="S626" s="9"/>
      <c r="T626" s="9"/>
      <c r="U626" s="9"/>
    </row>
    <row r="627" spans="2:21" x14ac:dyDescent="0.4">
      <c r="B627" s="16">
        <f t="shared" si="64"/>
        <v>42849</v>
      </c>
      <c r="C627" s="1">
        <f t="shared" si="66"/>
        <v>4506</v>
      </c>
      <c r="D627" s="1">
        <f t="shared" si="67"/>
        <v>1205</v>
      </c>
      <c r="E627" s="1">
        <f t="shared" si="68"/>
        <v>1585</v>
      </c>
      <c r="F627" s="1"/>
      <c r="H627" s="16"/>
      <c r="I627" s="29"/>
      <c r="J627" s="1"/>
      <c r="L627" s="11">
        <v>42849</v>
      </c>
      <c r="M627" s="9">
        <v>4506</v>
      </c>
      <c r="N627" s="9">
        <v>1205</v>
      </c>
      <c r="O627" s="9">
        <v>1585</v>
      </c>
      <c r="P627" s="9">
        <v>0</v>
      </c>
      <c r="R627" s="11"/>
      <c r="S627" s="9"/>
      <c r="T627" s="9"/>
      <c r="U627" s="9"/>
    </row>
    <row r="628" spans="2:21" x14ac:dyDescent="0.4">
      <c r="B628" s="16">
        <f t="shared" si="64"/>
        <v>42850</v>
      </c>
      <c r="C628" s="1">
        <f t="shared" si="66"/>
        <v>4496</v>
      </c>
      <c r="D628" s="1">
        <f t="shared" si="67"/>
        <v>1205</v>
      </c>
      <c r="E628" s="1">
        <f t="shared" si="68"/>
        <v>1590</v>
      </c>
      <c r="F628" s="1"/>
      <c r="H628" s="16"/>
      <c r="I628" s="29"/>
      <c r="J628" s="1"/>
      <c r="L628" s="11">
        <v>42850</v>
      </c>
      <c r="M628" s="9">
        <v>4496</v>
      </c>
      <c r="N628" s="9">
        <v>1205</v>
      </c>
      <c r="O628" s="9">
        <v>1590</v>
      </c>
      <c r="P628" s="9">
        <v>0</v>
      </c>
      <c r="R628" s="11"/>
      <c r="S628" s="9"/>
      <c r="T628" s="9"/>
      <c r="U628" s="9"/>
    </row>
    <row r="629" spans="2:21" x14ac:dyDescent="0.4">
      <c r="B629" s="16">
        <f t="shared" si="64"/>
        <v>42851</v>
      </c>
      <c r="C629" s="1">
        <f t="shared" si="66"/>
        <v>4470</v>
      </c>
      <c r="D629" s="1">
        <f t="shared" si="67"/>
        <v>1205</v>
      </c>
      <c r="E629" s="1">
        <f t="shared" si="68"/>
        <v>1610</v>
      </c>
      <c r="F629" s="1"/>
      <c r="H629" s="16"/>
      <c r="I629" s="29"/>
      <c r="J629" s="1"/>
      <c r="L629" s="11">
        <v>42851</v>
      </c>
      <c r="M629" s="9">
        <v>4470</v>
      </c>
      <c r="N629" s="9">
        <v>1205</v>
      </c>
      <c r="O629" s="9">
        <v>1610</v>
      </c>
      <c r="P629" s="9">
        <v>0</v>
      </c>
      <c r="R629" s="11"/>
      <c r="S629" s="9"/>
      <c r="T629" s="9"/>
      <c r="U629" s="9"/>
    </row>
    <row r="630" spans="2:21" x14ac:dyDescent="0.4">
      <c r="B630" s="16">
        <f t="shared" si="64"/>
        <v>42852</v>
      </c>
      <c r="C630" s="1">
        <f t="shared" si="66"/>
        <v>4465</v>
      </c>
      <c r="D630" s="1">
        <f t="shared" si="67"/>
        <v>1205</v>
      </c>
      <c r="E630" s="1">
        <f t="shared" si="68"/>
        <v>1620</v>
      </c>
      <c r="F630" s="1"/>
      <c r="H630" s="16"/>
      <c r="I630" s="29"/>
      <c r="J630" s="1"/>
      <c r="L630" s="11">
        <v>42852</v>
      </c>
      <c r="M630" s="9">
        <v>4465</v>
      </c>
      <c r="N630" s="9">
        <v>1205</v>
      </c>
      <c r="O630" s="9">
        <v>1620</v>
      </c>
      <c r="P630" s="9">
        <v>0</v>
      </c>
      <c r="R630" s="11"/>
      <c r="S630" s="9"/>
      <c r="T630" s="9"/>
      <c r="U630" s="9"/>
    </row>
    <row r="631" spans="2:21" x14ac:dyDescent="0.4">
      <c r="B631" s="16">
        <f t="shared" si="64"/>
        <v>42853</v>
      </c>
      <c r="C631" s="1">
        <f t="shared" si="66"/>
        <v>4466</v>
      </c>
      <c r="D631" s="1">
        <f t="shared" si="67"/>
        <v>1210</v>
      </c>
      <c r="E631" s="1">
        <f t="shared" si="68"/>
        <v>1620</v>
      </c>
      <c r="F631" s="1"/>
      <c r="H631" s="16"/>
      <c r="I631" s="29"/>
      <c r="J631" s="1"/>
      <c r="L631" s="11">
        <v>42853</v>
      </c>
      <c r="M631" s="9">
        <v>4466</v>
      </c>
      <c r="N631" s="9">
        <v>1210</v>
      </c>
      <c r="O631" s="9">
        <v>1620</v>
      </c>
      <c r="P631" s="9">
        <v>0</v>
      </c>
      <c r="R631" s="11"/>
      <c r="S631" s="9"/>
      <c r="T631" s="9"/>
      <c r="U631" s="9"/>
    </row>
    <row r="632" spans="2:21" x14ac:dyDescent="0.4">
      <c r="B632" s="16">
        <f t="shared" si="64"/>
        <v>42856</v>
      </c>
      <c r="C632" s="1">
        <f t="shared" si="66"/>
        <v>4466</v>
      </c>
      <c r="D632" s="1">
        <f t="shared" si="67"/>
        <v>1210</v>
      </c>
      <c r="E632" s="1">
        <f t="shared" si="68"/>
        <v>1620</v>
      </c>
      <c r="F632" s="1"/>
      <c r="H632" s="16"/>
      <c r="I632" s="29"/>
      <c r="J632" s="1"/>
      <c r="L632" s="11">
        <v>42856</v>
      </c>
      <c r="M632" s="9">
        <v>0</v>
      </c>
      <c r="N632" s="9">
        <v>1210</v>
      </c>
      <c r="O632" s="9">
        <v>0</v>
      </c>
      <c r="P632" s="9">
        <v>0</v>
      </c>
      <c r="R632" s="11"/>
      <c r="S632" s="9"/>
      <c r="T632" s="9"/>
      <c r="U632" s="9"/>
    </row>
    <row r="633" spans="2:21" x14ac:dyDescent="0.4">
      <c r="B633" s="16">
        <f t="shared" si="64"/>
        <v>42857</v>
      </c>
      <c r="C633" s="1">
        <f t="shared" si="66"/>
        <v>4466</v>
      </c>
      <c r="D633" s="1">
        <f t="shared" si="67"/>
        <v>1210</v>
      </c>
      <c r="E633" s="1">
        <f t="shared" si="68"/>
        <v>1615</v>
      </c>
      <c r="F633" s="1"/>
      <c r="H633" s="16"/>
      <c r="I633" s="29"/>
      <c r="J633" s="1"/>
      <c r="L633" s="11">
        <v>42857</v>
      </c>
      <c r="M633" s="9">
        <v>4466</v>
      </c>
      <c r="N633" s="9">
        <v>1210</v>
      </c>
      <c r="O633" s="9">
        <v>1615</v>
      </c>
      <c r="P633" s="9">
        <v>0</v>
      </c>
      <c r="R633" s="11"/>
      <c r="S633" s="9"/>
      <c r="T633" s="9"/>
      <c r="U633" s="9"/>
    </row>
    <row r="634" spans="2:21" x14ac:dyDescent="0.4">
      <c r="B634" s="16">
        <f t="shared" si="64"/>
        <v>42858</v>
      </c>
      <c r="C634" s="1">
        <f t="shared" si="66"/>
        <v>4459</v>
      </c>
      <c r="D634" s="1">
        <f t="shared" si="67"/>
        <v>1210</v>
      </c>
      <c r="E634" s="1">
        <f t="shared" si="68"/>
        <v>1610</v>
      </c>
      <c r="F634" s="1"/>
      <c r="H634" s="16"/>
      <c r="I634" s="29"/>
      <c r="J634" s="1"/>
      <c r="L634" s="11">
        <v>42858</v>
      </c>
      <c r="M634" s="9">
        <v>4459</v>
      </c>
      <c r="N634" s="9">
        <v>1210</v>
      </c>
      <c r="O634" s="9">
        <v>1610</v>
      </c>
      <c r="P634" s="9">
        <v>0</v>
      </c>
      <c r="R634" s="11"/>
      <c r="S634" s="9"/>
      <c r="T634" s="9"/>
      <c r="U634" s="9"/>
    </row>
    <row r="635" spans="2:21" x14ac:dyDescent="0.4">
      <c r="B635" s="16">
        <f t="shared" si="64"/>
        <v>42859</v>
      </c>
      <c r="C635" s="1">
        <f t="shared" si="66"/>
        <v>4439</v>
      </c>
      <c r="D635" s="1">
        <f t="shared" si="67"/>
        <v>1210</v>
      </c>
      <c r="E635" s="1">
        <f t="shared" si="68"/>
        <v>1610</v>
      </c>
      <c r="F635" s="1"/>
      <c r="H635" s="16"/>
      <c r="I635" s="29"/>
      <c r="J635" s="1"/>
      <c r="L635" s="11">
        <v>42859</v>
      </c>
      <c r="M635" s="9">
        <v>4439</v>
      </c>
      <c r="N635" s="9">
        <v>1210</v>
      </c>
      <c r="O635" s="9">
        <v>1610</v>
      </c>
      <c r="P635" s="9">
        <v>0</v>
      </c>
      <c r="R635" s="11"/>
      <c r="S635" s="9"/>
      <c r="T635" s="9"/>
      <c r="U635" s="9"/>
    </row>
    <row r="636" spans="2:21" x14ac:dyDescent="0.4">
      <c r="B636" s="16">
        <f t="shared" si="64"/>
        <v>42860</v>
      </c>
      <c r="C636" s="1">
        <f t="shared" si="66"/>
        <v>4408</v>
      </c>
      <c r="D636" s="1">
        <f t="shared" si="67"/>
        <v>1210</v>
      </c>
      <c r="E636" s="1">
        <f t="shared" si="68"/>
        <v>1610</v>
      </c>
      <c r="F636" s="1"/>
      <c r="H636" s="16"/>
      <c r="I636" s="29"/>
      <c r="J636" s="1"/>
      <c r="L636" s="11">
        <v>42860</v>
      </c>
      <c r="M636" s="9">
        <v>4408</v>
      </c>
      <c r="N636" s="9">
        <v>1210</v>
      </c>
      <c r="O636" s="9">
        <v>1610</v>
      </c>
      <c r="P636" s="9">
        <v>0</v>
      </c>
      <c r="R636" s="11"/>
      <c r="S636" s="9"/>
      <c r="T636" s="9"/>
      <c r="U636" s="9"/>
    </row>
    <row r="637" spans="2:21" x14ac:dyDescent="0.4">
      <c r="B637" s="16">
        <f t="shared" si="64"/>
        <v>42863</v>
      </c>
      <c r="C637" s="1">
        <f t="shared" si="66"/>
        <v>4384</v>
      </c>
      <c r="D637" s="1">
        <f t="shared" si="67"/>
        <v>1200</v>
      </c>
      <c r="E637" s="1">
        <f t="shared" si="68"/>
        <v>1590</v>
      </c>
      <c r="F637" s="1"/>
      <c r="H637" s="16"/>
      <c r="I637" s="29"/>
      <c r="J637" s="1"/>
      <c r="L637" s="11">
        <v>42863</v>
      </c>
      <c r="M637" s="9">
        <v>4384</v>
      </c>
      <c r="N637" s="9">
        <v>1200</v>
      </c>
      <c r="O637" s="9">
        <v>1590</v>
      </c>
      <c r="P637" s="9">
        <v>0</v>
      </c>
      <c r="R637" s="11"/>
      <c r="S637" s="9"/>
      <c r="T637" s="9"/>
      <c r="U637" s="9"/>
    </row>
    <row r="638" spans="2:21" x14ac:dyDescent="0.4">
      <c r="B638" s="16">
        <f t="shared" si="64"/>
        <v>42864</v>
      </c>
      <c r="C638" s="1">
        <f t="shared" si="66"/>
        <v>4360</v>
      </c>
      <c r="D638" s="1">
        <f t="shared" si="67"/>
        <v>1200</v>
      </c>
      <c r="E638" s="1">
        <f t="shared" si="68"/>
        <v>1590</v>
      </c>
      <c r="F638" s="1"/>
      <c r="H638" s="16"/>
      <c r="I638" s="29"/>
      <c r="J638" s="1"/>
      <c r="L638" s="11">
        <v>42864</v>
      </c>
      <c r="M638" s="9">
        <v>4360</v>
      </c>
      <c r="N638" s="9">
        <v>1200</v>
      </c>
      <c r="O638" s="9">
        <v>1590</v>
      </c>
      <c r="P638" s="9">
        <v>0</v>
      </c>
      <c r="R638" s="11"/>
      <c r="S638" s="9"/>
      <c r="T638" s="9"/>
      <c r="U638" s="9"/>
    </row>
    <row r="639" spans="2:21" x14ac:dyDescent="0.4">
      <c r="B639" s="16">
        <f t="shared" si="64"/>
        <v>42865</v>
      </c>
      <c r="C639" s="1">
        <f t="shared" si="66"/>
        <v>4335</v>
      </c>
      <c r="D639" s="1">
        <f t="shared" si="67"/>
        <v>1200</v>
      </c>
      <c r="E639" s="1">
        <f t="shared" si="68"/>
        <v>1600</v>
      </c>
      <c r="F639" s="1"/>
      <c r="H639" s="16"/>
      <c r="I639" s="29"/>
      <c r="J639" s="1"/>
      <c r="L639" s="11">
        <v>42865</v>
      </c>
      <c r="M639" s="9">
        <v>4335</v>
      </c>
      <c r="N639" s="9">
        <v>1200</v>
      </c>
      <c r="O639" s="9">
        <v>1600</v>
      </c>
      <c r="P639" s="9">
        <v>0</v>
      </c>
      <c r="R639" s="11"/>
      <c r="S639" s="9"/>
      <c r="T639" s="9"/>
      <c r="U639" s="9"/>
    </row>
    <row r="640" spans="2:21" x14ac:dyDescent="0.4">
      <c r="B640" s="16">
        <f t="shared" si="64"/>
        <v>42866</v>
      </c>
      <c r="C640" s="1">
        <f t="shared" si="66"/>
        <v>4323</v>
      </c>
      <c r="D640" s="1">
        <f t="shared" si="67"/>
        <v>1190</v>
      </c>
      <c r="E640" s="1">
        <f t="shared" si="68"/>
        <v>1620</v>
      </c>
      <c r="F640" s="1"/>
      <c r="H640" s="16"/>
      <c r="I640" s="29"/>
      <c r="J640" s="1"/>
      <c r="L640" s="11">
        <v>42866</v>
      </c>
      <c r="M640" s="9">
        <v>4323</v>
      </c>
      <c r="N640" s="9">
        <v>1190</v>
      </c>
      <c r="O640" s="9">
        <v>1620</v>
      </c>
      <c r="P640" s="9">
        <v>0</v>
      </c>
      <c r="R640" s="11"/>
      <c r="S640" s="9"/>
      <c r="T640" s="9"/>
      <c r="U640" s="9"/>
    </row>
    <row r="641" spans="2:21" x14ac:dyDescent="0.4">
      <c r="B641" s="16">
        <f t="shared" si="64"/>
        <v>42867</v>
      </c>
      <c r="C641" s="1">
        <f t="shared" si="66"/>
        <v>4325</v>
      </c>
      <c r="D641" s="1">
        <f t="shared" si="67"/>
        <v>1190</v>
      </c>
      <c r="E641" s="1">
        <f t="shared" si="68"/>
        <v>1620</v>
      </c>
      <c r="F641" s="1"/>
      <c r="H641" s="16"/>
      <c r="I641" s="29"/>
      <c r="J641" s="1"/>
      <c r="L641" s="11">
        <v>42867</v>
      </c>
      <c r="M641" s="9">
        <v>4325</v>
      </c>
      <c r="N641" s="9">
        <v>1190</v>
      </c>
      <c r="O641" s="9">
        <v>1620</v>
      </c>
      <c r="P641" s="9">
        <v>0</v>
      </c>
      <c r="R641" s="11"/>
      <c r="S641" s="9"/>
      <c r="T641" s="9"/>
      <c r="U641" s="9"/>
    </row>
    <row r="642" spans="2:21" x14ac:dyDescent="0.4">
      <c r="B642" s="16">
        <f t="shared" si="64"/>
        <v>42870</v>
      </c>
      <c r="C642" s="1">
        <f t="shared" si="66"/>
        <v>4341</v>
      </c>
      <c r="D642" s="1">
        <f t="shared" si="67"/>
        <v>1190</v>
      </c>
      <c r="E642" s="1">
        <f t="shared" si="68"/>
        <v>1620</v>
      </c>
      <c r="F642" s="1"/>
      <c r="H642" s="16"/>
      <c r="I642" s="29"/>
      <c r="J642" s="1"/>
      <c r="L642" s="11">
        <v>42870</v>
      </c>
      <c r="M642" s="9">
        <v>4341</v>
      </c>
      <c r="N642" s="9">
        <v>1190</v>
      </c>
      <c r="O642" s="9">
        <v>1620</v>
      </c>
      <c r="P642" s="9">
        <v>0</v>
      </c>
      <c r="R642" s="11"/>
      <c r="S642" s="9"/>
      <c r="T642" s="9"/>
      <c r="U642" s="9"/>
    </row>
    <row r="643" spans="2:21" x14ac:dyDescent="0.4">
      <c r="B643" s="16">
        <f t="shared" si="64"/>
        <v>42871</v>
      </c>
      <c r="C643" s="1">
        <f t="shared" si="66"/>
        <v>4366</v>
      </c>
      <c r="D643" s="1">
        <f t="shared" si="67"/>
        <v>1130</v>
      </c>
      <c r="E643" s="1">
        <f t="shared" si="68"/>
        <v>1630</v>
      </c>
      <c r="F643" s="1"/>
      <c r="H643" s="16"/>
      <c r="I643" s="29"/>
      <c r="J643" s="1"/>
      <c r="L643" s="11">
        <v>42871</v>
      </c>
      <c r="M643" s="9">
        <v>4366</v>
      </c>
      <c r="N643" s="9">
        <v>1130</v>
      </c>
      <c r="O643" s="9">
        <v>1630</v>
      </c>
      <c r="P643" s="9">
        <v>0</v>
      </c>
      <c r="R643" s="11"/>
      <c r="S643" s="9"/>
      <c r="T643" s="9"/>
      <c r="U643" s="9"/>
    </row>
    <row r="644" spans="2:21" x14ac:dyDescent="0.4">
      <c r="B644" s="16">
        <f t="shared" si="64"/>
        <v>42872</v>
      </c>
      <c r="C644" s="1">
        <f t="shared" si="66"/>
        <v>4394</v>
      </c>
      <c r="D644" s="1">
        <f t="shared" si="67"/>
        <v>1100</v>
      </c>
      <c r="E644" s="1">
        <f t="shared" si="68"/>
        <v>1630</v>
      </c>
      <c r="F644" s="1"/>
      <c r="H644" s="16"/>
      <c r="I644" s="29"/>
      <c r="J644" s="1"/>
      <c r="L644" s="11">
        <v>42872</v>
      </c>
      <c r="M644" s="9">
        <v>4394</v>
      </c>
      <c r="N644" s="9">
        <v>1100</v>
      </c>
      <c r="O644" s="9">
        <v>1630</v>
      </c>
      <c r="P644" s="9">
        <v>0</v>
      </c>
      <c r="R644" s="11"/>
      <c r="S644" s="9"/>
      <c r="T644" s="9"/>
      <c r="U644" s="9"/>
    </row>
    <row r="645" spans="2:21" x14ac:dyDescent="0.4">
      <c r="B645" s="16">
        <f t="shared" si="64"/>
        <v>42873</v>
      </c>
      <c r="C645" s="1">
        <f t="shared" si="66"/>
        <v>4398</v>
      </c>
      <c r="D645" s="1">
        <f t="shared" si="67"/>
        <v>1100</v>
      </c>
      <c r="E645" s="1">
        <f t="shared" si="68"/>
        <v>1630</v>
      </c>
      <c r="F645" s="1"/>
      <c r="H645" s="16"/>
      <c r="I645" s="29"/>
      <c r="J645" s="1"/>
      <c r="L645" s="11">
        <v>42873</v>
      </c>
      <c r="M645" s="9">
        <v>4398</v>
      </c>
      <c r="N645" s="9">
        <v>1100</v>
      </c>
      <c r="O645" s="9">
        <v>1630</v>
      </c>
      <c r="P645" s="9">
        <v>0</v>
      </c>
      <c r="R645" s="11"/>
      <c r="S645" s="9"/>
      <c r="T645" s="9"/>
      <c r="U645" s="9"/>
    </row>
    <row r="646" spans="2:21" x14ac:dyDescent="0.4">
      <c r="B646" s="16">
        <f t="shared" ref="B646:B709" si="78">L646</f>
        <v>42874</v>
      </c>
      <c r="C646" s="1">
        <f t="shared" si="66"/>
        <v>4436</v>
      </c>
      <c r="D646" s="1">
        <f t="shared" si="67"/>
        <v>1100</v>
      </c>
      <c r="E646" s="1">
        <f t="shared" si="68"/>
        <v>1640</v>
      </c>
      <c r="F646" s="1"/>
      <c r="H646" s="16"/>
      <c r="I646" s="29"/>
      <c r="J646" s="1"/>
      <c r="L646" s="11">
        <v>42874</v>
      </c>
      <c r="M646" s="9">
        <v>4436</v>
      </c>
      <c r="N646" s="9">
        <v>1100</v>
      </c>
      <c r="O646" s="9">
        <v>1640</v>
      </c>
      <c r="P646" s="9">
        <v>0</v>
      </c>
      <c r="R646" s="11"/>
      <c r="S646" s="9"/>
      <c r="T646" s="9"/>
      <c r="U646" s="9"/>
    </row>
    <row r="647" spans="2:21" x14ac:dyDescent="0.4">
      <c r="B647" s="16">
        <f t="shared" si="78"/>
        <v>42877</v>
      </c>
      <c r="C647" s="1">
        <f t="shared" ref="C647:C710" si="79">IF(M647&lt;&gt;0,M647,C646)</f>
        <v>4472</v>
      </c>
      <c r="D647" s="1">
        <f t="shared" ref="D647:D710" si="80">IF(N647&lt;&gt;0,N647,D646)</f>
        <v>1100</v>
      </c>
      <c r="E647" s="1">
        <f t="shared" ref="E647:E710" si="81">IF(O647&lt;&gt;0,O647,E646)</f>
        <v>1660</v>
      </c>
      <c r="F647" s="1"/>
      <c r="H647" s="16"/>
      <c r="I647" s="29"/>
      <c r="J647" s="1"/>
      <c r="L647" s="11">
        <v>42877</v>
      </c>
      <c r="M647" s="9">
        <v>4472</v>
      </c>
      <c r="N647" s="9">
        <v>1100</v>
      </c>
      <c r="O647" s="9">
        <v>1660</v>
      </c>
      <c r="P647" s="9">
        <v>0</v>
      </c>
      <c r="R647" s="11"/>
      <c r="S647" s="9"/>
      <c r="T647" s="9"/>
      <c r="U647" s="9"/>
    </row>
    <row r="648" spans="2:21" x14ac:dyDescent="0.4">
      <c r="B648" s="16">
        <f t="shared" si="78"/>
        <v>42878</v>
      </c>
      <c r="C648" s="1">
        <f t="shared" si="79"/>
        <v>4477</v>
      </c>
      <c r="D648" s="1">
        <f t="shared" si="80"/>
        <v>1060</v>
      </c>
      <c r="E648" s="1">
        <f t="shared" si="81"/>
        <v>1660</v>
      </c>
      <c r="F648" s="1"/>
      <c r="H648" s="16"/>
      <c r="I648" s="29"/>
      <c r="J648" s="1"/>
      <c r="L648" s="11">
        <v>42878</v>
      </c>
      <c r="M648" s="9">
        <v>4477</v>
      </c>
      <c r="N648" s="9">
        <v>1060</v>
      </c>
      <c r="O648" s="9">
        <v>1660</v>
      </c>
      <c r="P648" s="9">
        <v>0</v>
      </c>
      <c r="R648" s="11"/>
      <c r="S648" s="9"/>
      <c r="T648" s="9"/>
      <c r="U648" s="9"/>
    </row>
    <row r="649" spans="2:21" x14ac:dyDescent="0.4">
      <c r="B649" s="16">
        <f t="shared" si="78"/>
        <v>42879</v>
      </c>
      <c r="C649" s="1">
        <f t="shared" si="79"/>
        <v>4471</v>
      </c>
      <c r="D649" s="1">
        <f t="shared" si="80"/>
        <v>1060</v>
      </c>
      <c r="E649" s="1">
        <f t="shared" si="81"/>
        <v>1660</v>
      </c>
      <c r="F649" s="1"/>
      <c r="H649" s="16"/>
      <c r="I649" s="29"/>
      <c r="J649" s="1"/>
      <c r="L649" s="11">
        <v>42879</v>
      </c>
      <c r="M649" s="9">
        <v>4471</v>
      </c>
      <c r="N649" s="9">
        <v>1060</v>
      </c>
      <c r="O649" s="9">
        <v>1660</v>
      </c>
      <c r="P649" s="9">
        <v>0</v>
      </c>
      <c r="R649" s="11"/>
      <c r="S649" s="9"/>
      <c r="T649" s="9"/>
      <c r="U649" s="9"/>
    </row>
    <row r="650" spans="2:21" x14ac:dyDescent="0.4">
      <c r="B650" s="16">
        <f t="shared" si="78"/>
        <v>42880</v>
      </c>
      <c r="C650" s="1">
        <f t="shared" si="79"/>
        <v>4474</v>
      </c>
      <c r="D650" s="1">
        <f t="shared" si="80"/>
        <v>1040</v>
      </c>
      <c r="E650" s="1">
        <f t="shared" si="81"/>
        <v>1660</v>
      </c>
      <c r="F650" s="1"/>
      <c r="H650" s="16"/>
      <c r="I650" s="29"/>
      <c r="J650" s="1"/>
      <c r="L650" s="11">
        <v>42880</v>
      </c>
      <c r="M650" s="9">
        <v>4474</v>
      </c>
      <c r="N650" s="9">
        <v>1040</v>
      </c>
      <c r="O650" s="9">
        <v>1660</v>
      </c>
      <c r="P650" s="9">
        <v>0</v>
      </c>
      <c r="R650" s="11"/>
      <c r="S650" s="9"/>
      <c r="T650" s="9"/>
      <c r="U650" s="9"/>
    </row>
    <row r="651" spans="2:21" x14ac:dyDescent="0.4">
      <c r="B651" s="16">
        <f t="shared" si="78"/>
        <v>42881</v>
      </c>
      <c r="C651" s="1">
        <f t="shared" si="79"/>
        <v>4465</v>
      </c>
      <c r="D651" s="1">
        <f t="shared" si="80"/>
        <v>1030</v>
      </c>
      <c r="E651" s="1">
        <f t="shared" si="81"/>
        <v>1660</v>
      </c>
      <c r="F651" s="1"/>
      <c r="H651" s="16"/>
      <c r="I651" s="29"/>
      <c r="J651" s="1"/>
      <c r="L651" s="11">
        <v>42881</v>
      </c>
      <c r="M651" s="9">
        <v>4465</v>
      </c>
      <c r="N651" s="9">
        <v>1030</v>
      </c>
      <c r="O651" s="9">
        <v>1660</v>
      </c>
      <c r="P651" s="9">
        <v>0</v>
      </c>
      <c r="R651" s="11"/>
      <c r="S651" s="9"/>
      <c r="T651" s="9"/>
      <c r="U651" s="9"/>
    </row>
    <row r="652" spans="2:21" x14ac:dyDescent="0.4">
      <c r="B652" s="16">
        <f t="shared" si="78"/>
        <v>42882</v>
      </c>
      <c r="C652" s="1">
        <f t="shared" si="79"/>
        <v>4459</v>
      </c>
      <c r="D652" s="1">
        <f t="shared" si="80"/>
        <v>1030</v>
      </c>
      <c r="E652" s="1">
        <f t="shared" si="81"/>
        <v>1660</v>
      </c>
      <c r="F652" s="1"/>
      <c r="H652" s="16"/>
      <c r="I652" s="29"/>
      <c r="J652" s="1"/>
      <c r="L652" s="11">
        <v>42882</v>
      </c>
      <c r="M652" s="9">
        <v>4459</v>
      </c>
      <c r="N652" s="9">
        <v>0</v>
      </c>
      <c r="O652" s="9">
        <v>1660</v>
      </c>
      <c r="P652" s="9">
        <v>0</v>
      </c>
      <c r="R652" s="11"/>
      <c r="S652" s="9"/>
      <c r="T652" s="9"/>
      <c r="U652" s="9"/>
    </row>
    <row r="653" spans="2:21" x14ac:dyDescent="0.4">
      <c r="B653" s="16">
        <f t="shared" si="78"/>
        <v>42884</v>
      </c>
      <c r="C653" s="1">
        <f t="shared" si="79"/>
        <v>4459</v>
      </c>
      <c r="D653" s="1">
        <f t="shared" si="80"/>
        <v>1030</v>
      </c>
      <c r="E653" s="1">
        <f t="shared" si="81"/>
        <v>1660</v>
      </c>
      <c r="F653" s="1"/>
      <c r="H653" s="16"/>
      <c r="I653" s="29"/>
      <c r="J653" s="1"/>
      <c r="L653" s="11">
        <v>42884</v>
      </c>
      <c r="M653" s="9">
        <v>0</v>
      </c>
      <c r="N653" s="9">
        <v>1030</v>
      </c>
      <c r="O653" s="9">
        <v>0</v>
      </c>
      <c r="P653" s="9">
        <v>0</v>
      </c>
      <c r="R653" s="11"/>
      <c r="S653" s="9"/>
      <c r="T653" s="9"/>
      <c r="U653" s="9"/>
    </row>
    <row r="654" spans="2:21" x14ac:dyDescent="0.4">
      <c r="B654" s="16">
        <f t="shared" si="78"/>
        <v>42885</v>
      </c>
      <c r="C654" s="1">
        <f t="shared" si="79"/>
        <v>4459</v>
      </c>
      <c r="D654" s="1">
        <f t="shared" si="80"/>
        <v>1030</v>
      </c>
      <c r="E654" s="1">
        <f t="shared" si="81"/>
        <v>1660</v>
      </c>
      <c r="F654" s="1"/>
      <c r="H654" s="16"/>
      <c r="I654" s="29"/>
      <c r="J654" s="1"/>
      <c r="L654" s="11">
        <v>42885</v>
      </c>
      <c r="M654" s="9">
        <v>0</v>
      </c>
      <c r="N654" s="9">
        <v>1030</v>
      </c>
      <c r="O654" s="9">
        <v>0</v>
      </c>
      <c r="P654" s="9">
        <v>0</v>
      </c>
      <c r="R654" s="11"/>
      <c r="S654" s="9"/>
      <c r="T654" s="9"/>
      <c r="U654" s="9"/>
    </row>
    <row r="655" spans="2:21" x14ac:dyDescent="0.4">
      <c r="B655" s="16">
        <f t="shared" si="78"/>
        <v>42886</v>
      </c>
      <c r="C655" s="1">
        <f t="shared" si="79"/>
        <v>4474</v>
      </c>
      <c r="D655" s="1">
        <f t="shared" si="80"/>
        <v>1030</v>
      </c>
      <c r="E655" s="1">
        <f t="shared" si="81"/>
        <v>1660</v>
      </c>
      <c r="F655" s="1"/>
      <c r="H655" s="16"/>
      <c r="I655" s="29"/>
      <c r="J655" s="1"/>
      <c r="L655" s="11">
        <v>42886</v>
      </c>
      <c r="M655" s="9">
        <v>4474</v>
      </c>
      <c r="N655" s="9">
        <v>1030</v>
      </c>
      <c r="O655" s="9">
        <v>1660</v>
      </c>
      <c r="P655" s="9">
        <v>0</v>
      </c>
      <c r="R655" s="11"/>
      <c r="S655" s="9"/>
      <c r="T655" s="9"/>
      <c r="U655" s="9"/>
    </row>
    <row r="656" spans="2:21" x14ac:dyDescent="0.4">
      <c r="B656" s="16">
        <f t="shared" si="78"/>
        <v>42887</v>
      </c>
      <c r="C656" s="1">
        <f t="shared" si="79"/>
        <v>4460</v>
      </c>
      <c r="D656" s="1">
        <f t="shared" si="80"/>
        <v>1010</v>
      </c>
      <c r="E656" s="1">
        <f t="shared" si="81"/>
        <v>1670</v>
      </c>
      <c r="F656" s="1"/>
      <c r="H656" s="16"/>
      <c r="I656" s="29"/>
      <c r="J656" s="1"/>
      <c r="L656" s="11">
        <v>42887</v>
      </c>
      <c r="M656" s="9">
        <v>4460</v>
      </c>
      <c r="N656" s="9">
        <v>1010</v>
      </c>
      <c r="O656" s="9">
        <v>1670</v>
      </c>
      <c r="P656" s="9">
        <v>0</v>
      </c>
      <c r="R656" s="11"/>
      <c r="S656" s="9"/>
      <c r="T656" s="9"/>
      <c r="U656" s="9"/>
    </row>
    <row r="657" spans="2:21" x14ac:dyDescent="0.4">
      <c r="B657" s="16">
        <f t="shared" si="78"/>
        <v>42888</v>
      </c>
      <c r="C657" s="1">
        <f t="shared" si="79"/>
        <v>4449</v>
      </c>
      <c r="D657" s="1">
        <f t="shared" si="80"/>
        <v>965</v>
      </c>
      <c r="E657" s="1">
        <f t="shared" si="81"/>
        <v>1670</v>
      </c>
      <c r="F657" s="1"/>
      <c r="H657" s="16"/>
      <c r="I657" s="29"/>
      <c r="J657" s="1"/>
      <c r="L657" s="11">
        <v>42888</v>
      </c>
      <c r="M657" s="9">
        <v>4449</v>
      </c>
      <c r="N657" s="9">
        <v>965</v>
      </c>
      <c r="O657" s="9">
        <v>1670</v>
      </c>
      <c r="P657" s="9">
        <v>0</v>
      </c>
      <c r="R657" s="11"/>
      <c r="S657" s="9"/>
      <c r="T657" s="9"/>
      <c r="U657" s="9"/>
    </row>
    <row r="658" spans="2:21" x14ac:dyDescent="0.4">
      <c r="B658" s="16">
        <f t="shared" si="78"/>
        <v>42891</v>
      </c>
      <c r="C658" s="1">
        <f t="shared" si="79"/>
        <v>4436</v>
      </c>
      <c r="D658" s="1">
        <f t="shared" si="80"/>
        <v>965</v>
      </c>
      <c r="E658" s="1">
        <f t="shared" si="81"/>
        <v>1670</v>
      </c>
      <c r="F658" s="1"/>
      <c r="H658" s="16"/>
      <c r="I658" s="29"/>
      <c r="J658" s="1"/>
      <c r="L658" s="11">
        <v>42891</v>
      </c>
      <c r="M658" s="9">
        <v>4436</v>
      </c>
      <c r="N658" s="9">
        <v>965</v>
      </c>
      <c r="O658" s="9">
        <v>1670</v>
      </c>
      <c r="P658" s="9">
        <v>0</v>
      </c>
      <c r="R658" s="11"/>
      <c r="S658" s="9"/>
      <c r="T658" s="9"/>
      <c r="U658" s="9"/>
    </row>
    <row r="659" spans="2:21" x14ac:dyDescent="0.4">
      <c r="B659" s="16">
        <f t="shared" si="78"/>
        <v>42892</v>
      </c>
      <c r="C659" s="1">
        <f t="shared" si="79"/>
        <v>4434</v>
      </c>
      <c r="D659" s="1">
        <f t="shared" si="80"/>
        <v>965</v>
      </c>
      <c r="E659" s="1">
        <f t="shared" si="81"/>
        <v>1670</v>
      </c>
      <c r="F659" s="1"/>
      <c r="H659" s="16"/>
      <c r="I659" s="29"/>
      <c r="J659" s="1"/>
      <c r="L659" s="11">
        <v>42892</v>
      </c>
      <c r="M659" s="9">
        <v>4434</v>
      </c>
      <c r="N659" s="9">
        <v>965</v>
      </c>
      <c r="O659" s="9">
        <v>1670</v>
      </c>
      <c r="P659" s="9">
        <v>0</v>
      </c>
      <c r="R659" s="11"/>
      <c r="S659" s="9"/>
      <c r="T659" s="9"/>
      <c r="U659" s="9"/>
    </row>
    <row r="660" spans="2:21" x14ac:dyDescent="0.4">
      <c r="B660" s="16">
        <f t="shared" si="78"/>
        <v>42893</v>
      </c>
      <c r="C660" s="1">
        <f t="shared" si="79"/>
        <v>4432</v>
      </c>
      <c r="D660" s="1">
        <f t="shared" si="80"/>
        <v>965</v>
      </c>
      <c r="E660" s="1">
        <f t="shared" si="81"/>
        <v>1670</v>
      </c>
      <c r="F660" s="1"/>
      <c r="H660" s="16"/>
      <c r="I660" s="29"/>
      <c r="J660" s="1"/>
      <c r="L660" s="11">
        <v>42893</v>
      </c>
      <c r="M660" s="9">
        <v>4432</v>
      </c>
      <c r="N660" s="9">
        <v>965</v>
      </c>
      <c r="O660" s="9">
        <v>1670</v>
      </c>
      <c r="P660" s="9">
        <v>0</v>
      </c>
      <c r="R660" s="11"/>
      <c r="S660" s="9"/>
      <c r="T660" s="9"/>
      <c r="U660" s="9"/>
    </row>
    <row r="661" spans="2:21" x14ac:dyDescent="0.4">
      <c r="B661" s="16">
        <f t="shared" si="78"/>
        <v>42894</v>
      </c>
      <c r="C661" s="1">
        <f t="shared" si="79"/>
        <v>4433</v>
      </c>
      <c r="D661" s="1">
        <f t="shared" si="80"/>
        <v>965</v>
      </c>
      <c r="E661" s="1">
        <f t="shared" si="81"/>
        <v>1670</v>
      </c>
      <c r="F661" s="1"/>
      <c r="H661" s="16"/>
      <c r="I661" s="29"/>
      <c r="J661" s="1"/>
      <c r="L661" s="11">
        <v>42894</v>
      </c>
      <c r="M661" s="9">
        <v>4433</v>
      </c>
      <c r="N661" s="9">
        <v>965</v>
      </c>
      <c r="O661" s="9">
        <v>1670</v>
      </c>
      <c r="P661" s="9">
        <v>0</v>
      </c>
      <c r="R661" s="11"/>
      <c r="S661" s="9"/>
      <c r="T661" s="9"/>
      <c r="U661" s="9"/>
    </row>
    <row r="662" spans="2:21" x14ac:dyDescent="0.4">
      <c r="B662" s="16">
        <f t="shared" si="78"/>
        <v>42895</v>
      </c>
      <c r="C662" s="1">
        <f t="shared" si="79"/>
        <v>4435</v>
      </c>
      <c r="D662" s="1">
        <f t="shared" si="80"/>
        <v>940</v>
      </c>
      <c r="E662" s="1">
        <f t="shared" si="81"/>
        <v>1670</v>
      </c>
      <c r="F662" s="1"/>
      <c r="H662" s="16"/>
      <c r="I662" s="29"/>
      <c r="J662" s="1"/>
      <c r="L662" s="11">
        <v>42895</v>
      </c>
      <c r="M662" s="9">
        <v>4435</v>
      </c>
      <c r="N662" s="9">
        <v>940</v>
      </c>
      <c r="O662" s="9">
        <v>1670</v>
      </c>
      <c r="P662" s="9">
        <v>0</v>
      </c>
      <c r="R662" s="11"/>
      <c r="S662" s="9"/>
      <c r="T662" s="9"/>
      <c r="U662" s="9"/>
    </row>
    <row r="663" spans="2:21" x14ac:dyDescent="0.4">
      <c r="B663" s="16">
        <f t="shared" si="78"/>
        <v>42898</v>
      </c>
      <c r="C663" s="1">
        <f t="shared" si="79"/>
        <v>4446</v>
      </c>
      <c r="D663" s="1">
        <f t="shared" si="80"/>
        <v>940</v>
      </c>
      <c r="E663" s="1">
        <f t="shared" si="81"/>
        <v>1680</v>
      </c>
      <c r="F663" s="1"/>
      <c r="H663" s="16"/>
      <c r="I663" s="29"/>
      <c r="J663" s="1"/>
      <c r="L663" s="11">
        <v>42898</v>
      </c>
      <c r="M663" s="9">
        <v>4446</v>
      </c>
      <c r="N663" s="9">
        <v>940</v>
      </c>
      <c r="O663" s="9">
        <v>1680</v>
      </c>
      <c r="P663" s="9">
        <v>0</v>
      </c>
      <c r="R663" s="11"/>
      <c r="S663" s="9"/>
      <c r="T663" s="9"/>
      <c r="U663" s="9"/>
    </row>
    <row r="664" spans="2:21" x14ac:dyDescent="0.4">
      <c r="B664" s="16">
        <f t="shared" si="78"/>
        <v>42899</v>
      </c>
      <c r="C664" s="1">
        <f t="shared" si="79"/>
        <v>4459</v>
      </c>
      <c r="D664" s="1">
        <f t="shared" si="80"/>
        <v>951</v>
      </c>
      <c r="E664" s="1">
        <f t="shared" si="81"/>
        <v>1680</v>
      </c>
      <c r="F664" s="1"/>
      <c r="H664" s="16"/>
      <c r="I664" s="29"/>
      <c r="J664" s="1"/>
      <c r="L664" s="11">
        <v>42899</v>
      </c>
      <c r="M664" s="9">
        <v>4459</v>
      </c>
      <c r="N664" s="9">
        <v>951</v>
      </c>
      <c r="O664" s="9">
        <v>1680</v>
      </c>
      <c r="P664" s="9">
        <v>0</v>
      </c>
      <c r="R664" s="11"/>
      <c r="S664" s="9"/>
      <c r="T664" s="9"/>
      <c r="U664" s="9"/>
    </row>
    <row r="665" spans="2:21" x14ac:dyDescent="0.4">
      <c r="B665" s="16">
        <f t="shared" si="78"/>
        <v>42900</v>
      </c>
      <c r="C665" s="1">
        <f t="shared" si="79"/>
        <v>4457</v>
      </c>
      <c r="D665" s="1">
        <f t="shared" si="80"/>
        <v>951</v>
      </c>
      <c r="E665" s="1">
        <f t="shared" si="81"/>
        <v>1680</v>
      </c>
      <c r="F665" s="1"/>
      <c r="H665" s="16"/>
      <c r="I665" s="29"/>
      <c r="J665" s="1"/>
      <c r="L665" s="11">
        <v>42900</v>
      </c>
      <c r="M665" s="9">
        <v>4457</v>
      </c>
      <c r="N665" s="9">
        <v>951</v>
      </c>
      <c r="O665" s="9">
        <v>1680</v>
      </c>
      <c r="P665" s="9">
        <v>0</v>
      </c>
      <c r="R665" s="11"/>
      <c r="S665" s="9"/>
      <c r="T665" s="9"/>
      <c r="U665" s="9"/>
    </row>
    <row r="666" spans="2:21" x14ac:dyDescent="0.4">
      <c r="B666" s="16">
        <f t="shared" si="78"/>
        <v>42901</v>
      </c>
      <c r="C666" s="1">
        <f t="shared" si="79"/>
        <v>4452</v>
      </c>
      <c r="D666" s="1">
        <f t="shared" si="80"/>
        <v>951</v>
      </c>
      <c r="E666" s="1">
        <f t="shared" si="81"/>
        <v>1690</v>
      </c>
      <c r="F666" s="1"/>
      <c r="H666" s="16"/>
      <c r="I666" s="29"/>
      <c r="J666" s="1"/>
      <c r="L666" s="11">
        <v>42901</v>
      </c>
      <c r="M666" s="9">
        <v>4452</v>
      </c>
      <c r="N666" s="9">
        <v>951</v>
      </c>
      <c r="O666" s="9">
        <v>1690</v>
      </c>
      <c r="P666" s="9">
        <v>0</v>
      </c>
      <c r="R666" s="11"/>
      <c r="S666" s="9"/>
      <c r="T666" s="9"/>
      <c r="U666" s="9"/>
    </row>
    <row r="667" spans="2:21" x14ac:dyDescent="0.4">
      <c r="B667" s="16">
        <f t="shared" si="78"/>
        <v>42902</v>
      </c>
      <c r="C667" s="1">
        <f t="shared" si="79"/>
        <v>4455</v>
      </c>
      <c r="D667" s="1">
        <f t="shared" si="80"/>
        <v>951</v>
      </c>
      <c r="E667" s="1">
        <f t="shared" si="81"/>
        <v>1690</v>
      </c>
      <c r="F667" s="1"/>
      <c r="H667" s="16"/>
      <c r="I667" s="29"/>
      <c r="J667" s="1"/>
      <c r="L667" s="11">
        <v>42902</v>
      </c>
      <c r="M667" s="9">
        <v>4455</v>
      </c>
      <c r="N667" s="9">
        <v>951</v>
      </c>
      <c r="O667" s="9">
        <v>1690</v>
      </c>
      <c r="P667" s="9">
        <v>0</v>
      </c>
      <c r="R667" s="11"/>
      <c r="S667" s="9"/>
      <c r="T667" s="9"/>
      <c r="U667" s="9"/>
    </row>
    <row r="668" spans="2:21" x14ac:dyDescent="0.4">
      <c r="B668" s="16">
        <f t="shared" si="78"/>
        <v>42905</v>
      </c>
      <c r="C668" s="1">
        <f t="shared" si="79"/>
        <v>4455</v>
      </c>
      <c r="D668" s="1">
        <f t="shared" si="80"/>
        <v>951</v>
      </c>
      <c r="E668" s="1">
        <f t="shared" si="81"/>
        <v>1700</v>
      </c>
      <c r="F668" s="1"/>
      <c r="H668" s="16"/>
      <c r="I668" s="29"/>
      <c r="J668" s="1"/>
      <c r="L668" s="11">
        <v>42905</v>
      </c>
      <c r="M668" s="9">
        <v>4455</v>
      </c>
      <c r="N668" s="9">
        <v>951</v>
      </c>
      <c r="O668" s="9">
        <v>1700</v>
      </c>
      <c r="P668" s="9">
        <v>0</v>
      </c>
      <c r="R668" s="11"/>
      <c r="S668" s="9"/>
      <c r="T668" s="9"/>
      <c r="U668" s="9"/>
    </row>
    <row r="669" spans="2:21" x14ac:dyDescent="0.4">
      <c r="B669" s="16">
        <f t="shared" si="78"/>
        <v>42906</v>
      </c>
      <c r="C669" s="1">
        <f t="shared" si="79"/>
        <v>4449</v>
      </c>
      <c r="D669" s="1">
        <f t="shared" si="80"/>
        <v>951</v>
      </c>
      <c r="E669" s="1">
        <f t="shared" si="81"/>
        <v>1700</v>
      </c>
      <c r="F669" s="1"/>
      <c r="H669" s="16"/>
      <c r="I669" s="29"/>
      <c r="J669" s="1"/>
      <c r="L669" s="11">
        <v>42906</v>
      </c>
      <c r="M669" s="9">
        <v>4449</v>
      </c>
      <c r="N669" s="9">
        <v>951</v>
      </c>
      <c r="O669" s="9">
        <v>1700</v>
      </c>
      <c r="P669" s="9">
        <v>0</v>
      </c>
      <c r="R669" s="11"/>
      <c r="S669" s="9"/>
      <c r="T669" s="9"/>
      <c r="U669" s="9"/>
    </row>
    <row r="670" spans="2:21" x14ac:dyDescent="0.4">
      <c r="B670" s="16">
        <f t="shared" si="78"/>
        <v>42907</v>
      </c>
      <c r="C670" s="1">
        <f t="shared" si="79"/>
        <v>4447</v>
      </c>
      <c r="D670" s="1">
        <f t="shared" si="80"/>
        <v>960</v>
      </c>
      <c r="E670" s="1">
        <f t="shared" si="81"/>
        <v>1700</v>
      </c>
      <c r="F670" s="1"/>
      <c r="H670" s="16"/>
      <c r="I670" s="29"/>
      <c r="J670" s="1"/>
      <c r="L670" s="11">
        <v>42907</v>
      </c>
      <c r="M670" s="9">
        <v>4447</v>
      </c>
      <c r="N670" s="9">
        <v>960</v>
      </c>
      <c r="O670" s="9">
        <v>1700</v>
      </c>
      <c r="P670" s="9">
        <v>0</v>
      </c>
      <c r="R670" s="11"/>
      <c r="S670" s="9"/>
      <c r="T670" s="9"/>
      <c r="U670" s="9"/>
    </row>
    <row r="671" spans="2:21" x14ac:dyDescent="0.4">
      <c r="B671" s="16">
        <f t="shared" si="78"/>
        <v>42908</v>
      </c>
      <c r="C671" s="1">
        <f t="shared" si="79"/>
        <v>4441</v>
      </c>
      <c r="D671" s="1">
        <f t="shared" si="80"/>
        <v>960</v>
      </c>
      <c r="E671" s="1">
        <f t="shared" si="81"/>
        <v>1700</v>
      </c>
      <c r="F671" s="1"/>
      <c r="H671" s="16"/>
      <c r="I671" s="29"/>
      <c r="J671" s="1"/>
      <c r="L671" s="11">
        <v>42908</v>
      </c>
      <c r="M671" s="9">
        <v>4441</v>
      </c>
      <c r="N671" s="9">
        <v>960</v>
      </c>
      <c r="O671" s="9">
        <v>1700</v>
      </c>
      <c r="P671" s="9">
        <v>0</v>
      </c>
      <c r="R671" s="11"/>
      <c r="S671" s="9"/>
      <c r="T671" s="9"/>
      <c r="U671" s="9"/>
    </row>
    <row r="672" spans="2:21" x14ac:dyDescent="0.4">
      <c r="B672" s="16">
        <f t="shared" si="78"/>
        <v>42909</v>
      </c>
      <c r="C672" s="1">
        <f t="shared" si="79"/>
        <v>4427</v>
      </c>
      <c r="D672" s="1">
        <f t="shared" si="80"/>
        <v>960</v>
      </c>
      <c r="E672" s="1">
        <f t="shared" si="81"/>
        <v>1710</v>
      </c>
      <c r="F672" s="1"/>
      <c r="H672" s="16"/>
      <c r="I672" s="29"/>
      <c r="J672" s="1"/>
      <c r="L672" s="11">
        <v>42909</v>
      </c>
      <c r="M672" s="9">
        <v>4427</v>
      </c>
      <c r="N672" s="9">
        <v>960</v>
      </c>
      <c r="O672" s="9">
        <v>1710</v>
      </c>
      <c r="P672" s="9">
        <v>0</v>
      </c>
      <c r="R672" s="11"/>
      <c r="S672" s="9"/>
      <c r="T672" s="9"/>
      <c r="U672" s="9"/>
    </row>
    <row r="673" spans="2:21" x14ac:dyDescent="0.4">
      <c r="B673" s="16">
        <f t="shared" si="78"/>
        <v>42912</v>
      </c>
      <c r="C673" s="1">
        <f t="shared" si="79"/>
        <v>4427</v>
      </c>
      <c r="D673" s="1">
        <f t="shared" si="80"/>
        <v>960</v>
      </c>
      <c r="E673" s="1">
        <f t="shared" si="81"/>
        <v>1710</v>
      </c>
      <c r="F673" s="1"/>
      <c r="H673" s="16"/>
      <c r="I673" s="29"/>
      <c r="J673" s="1"/>
      <c r="L673" s="11">
        <v>42912</v>
      </c>
      <c r="M673" s="9">
        <v>4427</v>
      </c>
      <c r="N673" s="9">
        <v>960</v>
      </c>
      <c r="O673" s="9">
        <v>1710</v>
      </c>
      <c r="P673" s="9">
        <v>0</v>
      </c>
      <c r="R673" s="11"/>
      <c r="S673" s="9"/>
      <c r="T673" s="9"/>
      <c r="U673" s="9"/>
    </row>
    <row r="674" spans="2:21" x14ac:dyDescent="0.4">
      <c r="B674" s="16">
        <f t="shared" si="78"/>
        <v>42913</v>
      </c>
      <c r="C674" s="1">
        <f t="shared" si="79"/>
        <v>4426</v>
      </c>
      <c r="D674" s="1">
        <f t="shared" si="80"/>
        <v>960</v>
      </c>
      <c r="E674" s="1">
        <f t="shared" si="81"/>
        <v>1710</v>
      </c>
      <c r="F674" s="1"/>
      <c r="H674" s="16"/>
      <c r="I674" s="29"/>
      <c r="J674" s="1"/>
      <c r="L674" s="11">
        <v>42913</v>
      </c>
      <c r="M674" s="9">
        <v>4426</v>
      </c>
      <c r="N674" s="9">
        <v>960</v>
      </c>
      <c r="O674" s="9">
        <v>1710</v>
      </c>
      <c r="P674" s="9">
        <v>0</v>
      </c>
      <c r="R674" s="11"/>
      <c r="S674" s="9"/>
      <c r="T674" s="9"/>
      <c r="U674" s="9"/>
    </row>
    <row r="675" spans="2:21" x14ac:dyDescent="0.4">
      <c r="B675" s="16">
        <f t="shared" si="78"/>
        <v>42914</v>
      </c>
      <c r="C675" s="1">
        <f t="shared" si="79"/>
        <v>4433</v>
      </c>
      <c r="D675" s="1">
        <f t="shared" si="80"/>
        <v>960</v>
      </c>
      <c r="E675" s="1">
        <f t="shared" si="81"/>
        <v>1710</v>
      </c>
      <c r="F675" s="1"/>
      <c r="H675" s="16"/>
      <c r="I675" s="29"/>
      <c r="J675" s="1"/>
      <c r="L675" s="11">
        <v>42914</v>
      </c>
      <c r="M675" s="9">
        <v>4433</v>
      </c>
      <c r="N675" s="9">
        <v>960</v>
      </c>
      <c r="O675" s="9">
        <v>1710</v>
      </c>
      <c r="P675" s="9">
        <v>0</v>
      </c>
      <c r="R675" s="11"/>
      <c r="S675" s="9"/>
      <c r="T675" s="9"/>
      <c r="U675" s="9"/>
    </row>
    <row r="676" spans="2:21" x14ac:dyDescent="0.4">
      <c r="B676" s="16">
        <f t="shared" si="78"/>
        <v>42915</v>
      </c>
      <c r="C676" s="1">
        <f t="shared" si="79"/>
        <v>4435</v>
      </c>
      <c r="D676" s="1">
        <f t="shared" si="80"/>
        <v>960</v>
      </c>
      <c r="E676" s="1">
        <f t="shared" si="81"/>
        <v>1700</v>
      </c>
      <c r="F676" s="1"/>
      <c r="H676" s="16"/>
      <c r="I676" s="29"/>
      <c r="J676" s="1"/>
      <c r="L676" s="11">
        <v>42915</v>
      </c>
      <c r="M676" s="9">
        <v>4435</v>
      </c>
      <c r="N676" s="9">
        <v>960</v>
      </c>
      <c r="O676" s="9">
        <v>1700</v>
      </c>
      <c r="P676" s="9">
        <v>0</v>
      </c>
      <c r="R676" s="11"/>
      <c r="S676" s="9"/>
      <c r="T676" s="9"/>
      <c r="U676" s="9"/>
    </row>
    <row r="677" spans="2:21" x14ac:dyDescent="0.4">
      <c r="B677" s="16">
        <f t="shared" si="78"/>
        <v>42916</v>
      </c>
      <c r="C677" s="1">
        <f t="shared" si="79"/>
        <v>4444</v>
      </c>
      <c r="D677" s="1">
        <f t="shared" si="80"/>
        <v>930</v>
      </c>
      <c r="E677" s="1">
        <f t="shared" si="81"/>
        <v>1700</v>
      </c>
      <c r="F677" s="1"/>
      <c r="H677" s="16"/>
      <c r="I677" s="29"/>
      <c r="J677" s="1"/>
      <c r="L677" s="11">
        <v>42916</v>
      </c>
      <c r="M677" s="9">
        <v>4444</v>
      </c>
      <c r="N677" s="9">
        <v>930</v>
      </c>
      <c r="O677" s="9">
        <v>1700</v>
      </c>
      <c r="P677" s="9">
        <v>0</v>
      </c>
      <c r="R677" s="11"/>
      <c r="S677" s="9"/>
      <c r="T677" s="9"/>
      <c r="U677" s="9"/>
    </row>
    <row r="678" spans="2:21" x14ac:dyDescent="0.4">
      <c r="B678" s="16">
        <f t="shared" si="78"/>
        <v>42919</v>
      </c>
      <c r="C678" s="1">
        <f t="shared" si="79"/>
        <v>4451</v>
      </c>
      <c r="D678" s="1">
        <f t="shared" si="80"/>
        <v>930</v>
      </c>
      <c r="E678" s="1">
        <f t="shared" si="81"/>
        <v>1700</v>
      </c>
      <c r="F678" s="1"/>
      <c r="H678" s="16"/>
      <c r="I678" s="29"/>
      <c r="J678" s="1"/>
      <c r="L678" s="11">
        <v>42919</v>
      </c>
      <c r="M678" s="9">
        <v>4451</v>
      </c>
      <c r="N678" s="9">
        <v>930</v>
      </c>
      <c r="O678" s="9">
        <v>1700</v>
      </c>
      <c r="P678" s="9">
        <v>0</v>
      </c>
      <c r="R678" s="11"/>
      <c r="S678" s="9"/>
      <c r="T678" s="9"/>
      <c r="U678" s="9"/>
    </row>
    <row r="679" spans="2:21" x14ac:dyDescent="0.4">
      <c r="B679" s="16">
        <f t="shared" si="78"/>
        <v>42920</v>
      </c>
      <c r="C679" s="1">
        <f t="shared" si="79"/>
        <v>4460</v>
      </c>
      <c r="D679" s="1">
        <f t="shared" si="80"/>
        <v>930</v>
      </c>
      <c r="E679" s="1">
        <f t="shared" si="81"/>
        <v>1700</v>
      </c>
      <c r="F679" s="1"/>
      <c r="H679" s="16"/>
      <c r="I679" s="29"/>
      <c r="J679" s="1"/>
      <c r="L679" s="11">
        <v>42920</v>
      </c>
      <c r="M679" s="9">
        <v>4460</v>
      </c>
      <c r="N679" s="9">
        <v>930</v>
      </c>
      <c r="O679" s="9">
        <v>1700</v>
      </c>
      <c r="P679" s="9">
        <v>0</v>
      </c>
      <c r="R679" s="11"/>
      <c r="S679" s="9"/>
      <c r="T679" s="9"/>
      <c r="U679" s="9"/>
    </row>
    <row r="680" spans="2:21" x14ac:dyDescent="0.4">
      <c r="B680" s="16">
        <f t="shared" si="78"/>
        <v>42921</v>
      </c>
      <c r="C680" s="1">
        <f t="shared" si="79"/>
        <v>4463</v>
      </c>
      <c r="D680" s="1">
        <f t="shared" si="80"/>
        <v>930</v>
      </c>
      <c r="E680" s="1">
        <f t="shared" si="81"/>
        <v>1700</v>
      </c>
      <c r="F680" s="1"/>
      <c r="H680" s="16"/>
      <c r="I680" s="29"/>
      <c r="J680" s="1"/>
      <c r="L680" s="11">
        <v>42921</v>
      </c>
      <c r="M680" s="9">
        <v>4463</v>
      </c>
      <c r="N680" s="9">
        <v>930</v>
      </c>
      <c r="O680" s="9">
        <v>1700</v>
      </c>
      <c r="P680" s="9">
        <v>0</v>
      </c>
      <c r="R680" s="11"/>
      <c r="S680" s="9"/>
      <c r="T680" s="9"/>
      <c r="U680" s="9"/>
    </row>
    <row r="681" spans="2:21" x14ac:dyDescent="0.4">
      <c r="B681" s="16">
        <f t="shared" si="78"/>
        <v>42922</v>
      </c>
      <c r="C681" s="1">
        <f t="shared" si="79"/>
        <v>4472</v>
      </c>
      <c r="D681" s="1">
        <f t="shared" si="80"/>
        <v>941</v>
      </c>
      <c r="E681" s="1">
        <f t="shared" si="81"/>
        <v>1700</v>
      </c>
      <c r="F681" s="1"/>
      <c r="H681" s="16"/>
      <c r="I681" s="29"/>
      <c r="J681" s="1"/>
      <c r="L681" s="11">
        <v>42922</v>
      </c>
      <c r="M681" s="9">
        <v>4472</v>
      </c>
      <c r="N681" s="9">
        <v>941</v>
      </c>
      <c r="O681" s="9">
        <v>1700</v>
      </c>
      <c r="P681" s="9">
        <v>0</v>
      </c>
      <c r="R681" s="11"/>
      <c r="S681" s="9"/>
      <c r="T681" s="9"/>
      <c r="U681" s="9"/>
    </row>
    <row r="682" spans="2:21" x14ac:dyDescent="0.4">
      <c r="B682" s="16">
        <f t="shared" si="78"/>
        <v>42923</v>
      </c>
      <c r="C682" s="1">
        <f t="shared" si="79"/>
        <v>4487</v>
      </c>
      <c r="D682" s="1">
        <f t="shared" si="80"/>
        <v>945</v>
      </c>
      <c r="E682" s="1">
        <f t="shared" si="81"/>
        <v>1700</v>
      </c>
      <c r="F682" s="1"/>
      <c r="H682" s="16"/>
      <c r="I682" s="29"/>
      <c r="J682" s="1"/>
      <c r="L682" s="11">
        <v>42923</v>
      </c>
      <c r="M682" s="9">
        <v>4487</v>
      </c>
      <c r="N682" s="9">
        <v>945</v>
      </c>
      <c r="O682" s="9">
        <v>1700</v>
      </c>
      <c r="P682" s="9">
        <v>0</v>
      </c>
      <c r="R682" s="11"/>
      <c r="S682" s="9"/>
      <c r="T682" s="9"/>
      <c r="U682" s="9"/>
    </row>
    <row r="683" spans="2:21" x14ac:dyDescent="0.4">
      <c r="B683" s="16">
        <f t="shared" si="78"/>
        <v>42926</v>
      </c>
      <c r="C683" s="1">
        <f t="shared" si="79"/>
        <v>4500</v>
      </c>
      <c r="D683" s="1">
        <f t="shared" si="80"/>
        <v>945</v>
      </c>
      <c r="E683" s="1">
        <f t="shared" si="81"/>
        <v>1700</v>
      </c>
      <c r="F683" s="1"/>
      <c r="H683" s="16"/>
      <c r="I683" s="29"/>
      <c r="J683" s="1"/>
      <c r="L683" s="11">
        <v>42926</v>
      </c>
      <c r="M683" s="9">
        <v>4500</v>
      </c>
      <c r="N683" s="9">
        <v>945</v>
      </c>
      <c r="O683" s="9">
        <v>0</v>
      </c>
      <c r="P683" s="9">
        <v>0</v>
      </c>
      <c r="R683" s="11"/>
      <c r="S683" s="9"/>
      <c r="T683" s="9"/>
      <c r="U683" s="9"/>
    </row>
    <row r="684" spans="2:21" x14ac:dyDescent="0.4">
      <c r="B684" s="16">
        <f t="shared" si="78"/>
        <v>42927</v>
      </c>
      <c r="C684" s="1">
        <f t="shared" si="79"/>
        <v>4527</v>
      </c>
      <c r="D684" s="1">
        <f t="shared" si="80"/>
        <v>945</v>
      </c>
      <c r="E684" s="1">
        <f t="shared" si="81"/>
        <v>1700</v>
      </c>
      <c r="F684" s="1"/>
      <c r="H684" s="16"/>
      <c r="I684" s="29"/>
      <c r="J684" s="1"/>
      <c r="L684" s="11">
        <v>42927</v>
      </c>
      <c r="M684" s="9">
        <v>4527</v>
      </c>
      <c r="N684" s="9">
        <v>945</v>
      </c>
      <c r="O684" s="9">
        <v>1700</v>
      </c>
      <c r="P684" s="9">
        <v>0</v>
      </c>
      <c r="R684" s="11"/>
      <c r="S684" s="9"/>
      <c r="T684" s="9"/>
      <c r="U684" s="9"/>
    </row>
    <row r="685" spans="2:21" x14ac:dyDescent="0.4">
      <c r="B685" s="16">
        <f t="shared" si="78"/>
        <v>42928</v>
      </c>
      <c r="C685" s="1">
        <f t="shared" si="79"/>
        <v>4558</v>
      </c>
      <c r="D685" s="1">
        <f t="shared" si="80"/>
        <v>945</v>
      </c>
      <c r="E685" s="1">
        <f t="shared" si="81"/>
        <v>1700</v>
      </c>
      <c r="F685" s="1"/>
      <c r="H685" s="16"/>
      <c r="I685" s="29"/>
      <c r="J685" s="1"/>
      <c r="L685" s="11">
        <v>42928</v>
      </c>
      <c r="M685" s="9">
        <v>4558</v>
      </c>
      <c r="N685" s="9">
        <v>945</v>
      </c>
      <c r="O685" s="9">
        <v>1700</v>
      </c>
      <c r="P685" s="9">
        <v>0</v>
      </c>
      <c r="R685" s="11"/>
      <c r="S685" s="9"/>
      <c r="T685" s="9"/>
      <c r="U685" s="9"/>
    </row>
    <row r="686" spans="2:21" x14ac:dyDescent="0.4">
      <c r="B686" s="16">
        <f t="shared" si="78"/>
        <v>42929</v>
      </c>
      <c r="C686" s="1">
        <f t="shared" si="79"/>
        <v>4578</v>
      </c>
      <c r="D686" s="1">
        <f t="shared" si="80"/>
        <v>945</v>
      </c>
      <c r="E686" s="1">
        <f t="shared" si="81"/>
        <v>1700</v>
      </c>
      <c r="F686" s="1"/>
      <c r="H686" s="16"/>
      <c r="I686" s="29"/>
      <c r="J686" s="1"/>
      <c r="L686" s="11">
        <v>42929</v>
      </c>
      <c r="M686" s="9">
        <v>4578</v>
      </c>
      <c r="N686" s="9">
        <v>945</v>
      </c>
      <c r="O686" s="9">
        <v>1700</v>
      </c>
      <c r="P686" s="9">
        <v>0</v>
      </c>
      <c r="R686" s="11"/>
      <c r="S686" s="9"/>
      <c r="T686" s="9"/>
      <c r="U686" s="9"/>
    </row>
    <row r="687" spans="2:21" x14ac:dyDescent="0.4">
      <c r="B687" s="16">
        <f t="shared" si="78"/>
        <v>42930</v>
      </c>
      <c r="C687" s="1">
        <f t="shared" si="79"/>
        <v>4595</v>
      </c>
      <c r="D687" s="1">
        <f t="shared" si="80"/>
        <v>955</v>
      </c>
      <c r="E687" s="1">
        <f t="shared" si="81"/>
        <v>1700</v>
      </c>
      <c r="F687" s="1"/>
      <c r="H687" s="16"/>
      <c r="I687" s="29"/>
      <c r="J687" s="1"/>
      <c r="L687" s="11">
        <v>42930</v>
      </c>
      <c r="M687" s="9">
        <v>4595</v>
      </c>
      <c r="N687" s="9">
        <v>955</v>
      </c>
      <c r="O687" s="9">
        <v>1700</v>
      </c>
      <c r="P687" s="9">
        <v>0</v>
      </c>
      <c r="R687" s="11"/>
      <c r="S687" s="9"/>
      <c r="T687" s="9"/>
      <c r="U687" s="9"/>
    </row>
    <row r="688" spans="2:21" x14ac:dyDescent="0.4">
      <c r="B688" s="16">
        <f t="shared" si="78"/>
        <v>42933</v>
      </c>
      <c r="C688" s="1">
        <f t="shared" si="79"/>
        <v>4619</v>
      </c>
      <c r="D688" s="1">
        <f t="shared" si="80"/>
        <v>955</v>
      </c>
      <c r="E688" s="1">
        <f t="shared" si="81"/>
        <v>1690</v>
      </c>
      <c r="F688" s="1"/>
      <c r="H688" s="16"/>
      <c r="I688" s="29"/>
      <c r="J688" s="1"/>
      <c r="L688" s="11">
        <v>42933</v>
      </c>
      <c r="M688" s="9">
        <v>4619</v>
      </c>
      <c r="N688" s="9">
        <v>955</v>
      </c>
      <c r="O688" s="9">
        <v>1690</v>
      </c>
      <c r="P688" s="9">
        <v>0</v>
      </c>
      <c r="R688" s="11"/>
      <c r="S688" s="9"/>
      <c r="T688" s="9"/>
      <c r="U688" s="9"/>
    </row>
    <row r="689" spans="2:21" x14ac:dyDescent="0.4">
      <c r="B689" s="16">
        <f t="shared" si="78"/>
        <v>42934</v>
      </c>
      <c r="C689" s="1">
        <f t="shared" si="79"/>
        <v>4622</v>
      </c>
      <c r="D689" s="1">
        <f t="shared" si="80"/>
        <v>970</v>
      </c>
      <c r="E689" s="1">
        <f t="shared" si="81"/>
        <v>1690</v>
      </c>
      <c r="F689" s="1"/>
      <c r="H689" s="16"/>
      <c r="I689" s="29"/>
      <c r="J689" s="1"/>
      <c r="L689" s="11">
        <v>42934</v>
      </c>
      <c r="M689" s="9">
        <v>4622</v>
      </c>
      <c r="N689" s="9">
        <v>970</v>
      </c>
      <c r="O689" s="9">
        <v>1690</v>
      </c>
      <c r="P689" s="9">
        <v>0</v>
      </c>
      <c r="R689" s="11"/>
      <c r="S689" s="9"/>
      <c r="T689" s="9"/>
      <c r="U689" s="9"/>
    </row>
    <row r="690" spans="2:21" x14ac:dyDescent="0.4">
      <c r="B690" s="16">
        <f t="shared" si="78"/>
        <v>42935</v>
      </c>
      <c r="C690" s="1">
        <f t="shared" si="79"/>
        <v>4622</v>
      </c>
      <c r="D690" s="1">
        <f t="shared" si="80"/>
        <v>970</v>
      </c>
      <c r="E690" s="1">
        <f t="shared" si="81"/>
        <v>1680</v>
      </c>
      <c r="F690" s="1"/>
      <c r="H690" s="16"/>
      <c r="I690" s="29"/>
      <c r="J690" s="1"/>
      <c r="L690" s="11">
        <v>42935</v>
      </c>
      <c r="M690" s="9">
        <v>4622</v>
      </c>
      <c r="N690" s="9">
        <v>970</v>
      </c>
      <c r="O690" s="9">
        <v>1680</v>
      </c>
      <c r="P690" s="9">
        <v>0</v>
      </c>
      <c r="R690" s="11"/>
      <c r="S690" s="9"/>
      <c r="T690" s="9"/>
      <c r="U690" s="9"/>
    </row>
    <row r="691" spans="2:21" x14ac:dyDescent="0.4">
      <c r="B691" s="16">
        <f t="shared" si="78"/>
        <v>42936</v>
      </c>
      <c r="C691" s="1">
        <f t="shared" si="79"/>
        <v>4633</v>
      </c>
      <c r="D691" s="1">
        <f t="shared" si="80"/>
        <v>970</v>
      </c>
      <c r="E691" s="1">
        <f t="shared" si="81"/>
        <v>1680</v>
      </c>
      <c r="F691" s="1"/>
      <c r="H691" s="16"/>
      <c r="I691" s="29"/>
      <c r="J691" s="1"/>
      <c r="L691" s="11">
        <v>42936</v>
      </c>
      <c r="M691" s="9">
        <v>4633</v>
      </c>
      <c r="N691" s="9">
        <v>970</v>
      </c>
      <c r="O691" s="9">
        <v>1680</v>
      </c>
      <c r="P691" s="9">
        <v>0</v>
      </c>
      <c r="R691" s="11"/>
      <c r="S691" s="9"/>
      <c r="T691" s="9"/>
      <c r="U691" s="9"/>
    </row>
    <row r="692" spans="2:21" x14ac:dyDescent="0.4">
      <c r="B692" s="16">
        <f t="shared" si="78"/>
        <v>42937</v>
      </c>
      <c r="C692" s="1">
        <f t="shared" si="79"/>
        <v>4644</v>
      </c>
      <c r="D692" s="1">
        <f t="shared" si="80"/>
        <v>970</v>
      </c>
      <c r="E692" s="1">
        <f t="shared" si="81"/>
        <v>1680</v>
      </c>
      <c r="F692" s="1"/>
      <c r="H692" s="16"/>
      <c r="I692" s="29"/>
      <c r="J692" s="1"/>
      <c r="L692" s="11">
        <v>42937</v>
      </c>
      <c r="M692" s="9">
        <v>4644</v>
      </c>
      <c r="N692" s="9">
        <v>970</v>
      </c>
      <c r="O692" s="9">
        <v>1680</v>
      </c>
      <c r="P692" s="9">
        <v>0</v>
      </c>
      <c r="R692" s="11"/>
      <c r="S692" s="9"/>
      <c r="T692" s="9"/>
      <c r="U692" s="9"/>
    </row>
    <row r="693" spans="2:21" x14ac:dyDescent="0.4">
      <c r="B693" s="16">
        <f t="shared" si="78"/>
        <v>42940</v>
      </c>
      <c r="C693" s="1">
        <f t="shared" si="79"/>
        <v>4638</v>
      </c>
      <c r="D693" s="1">
        <f t="shared" si="80"/>
        <v>981</v>
      </c>
      <c r="E693" s="1">
        <f t="shared" si="81"/>
        <v>1660</v>
      </c>
      <c r="F693" s="1"/>
      <c r="H693" s="16"/>
      <c r="I693" s="29"/>
      <c r="J693" s="1"/>
      <c r="L693" s="11">
        <v>42940</v>
      </c>
      <c r="M693" s="9">
        <v>4638</v>
      </c>
      <c r="N693" s="9">
        <v>981</v>
      </c>
      <c r="O693" s="9">
        <v>1660</v>
      </c>
      <c r="P693" s="9">
        <v>0</v>
      </c>
      <c r="R693" s="11"/>
      <c r="S693" s="9"/>
      <c r="T693" s="9"/>
      <c r="U693" s="9"/>
    </row>
    <row r="694" spans="2:21" x14ac:dyDescent="0.4">
      <c r="B694" s="16">
        <f t="shared" si="78"/>
        <v>42941</v>
      </c>
      <c r="C694" s="1">
        <f t="shared" si="79"/>
        <v>4646</v>
      </c>
      <c r="D694" s="1">
        <f t="shared" si="80"/>
        <v>985</v>
      </c>
      <c r="E694" s="1">
        <f t="shared" si="81"/>
        <v>1650</v>
      </c>
      <c r="F694" s="1"/>
      <c r="H694" s="16"/>
      <c r="I694" s="29"/>
      <c r="J694" s="1"/>
      <c r="L694" s="11">
        <v>42941</v>
      </c>
      <c r="M694" s="9">
        <v>4646</v>
      </c>
      <c r="N694" s="9">
        <v>985</v>
      </c>
      <c r="O694" s="9">
        <v>1650</v>
      </c>
      <c r="P694" s="9">
        <v>0</v>
      </c>
      <c r="R694" s="11"/>
      <c r="S694" s="9"/>
      <c r="T694" s="9"/>
      <c r="U694" s="9"/>
    </row>
    <row r="695" spans="2:21" x14ac:dyDescent="0.4">
      <c r="B695" s="16">
        <f t="shared" si="78"/>
        <v>42942</v>
      </c>
      <c r="C695" s="1">
        <f t="shared" si="79"/>
        <v>4648</v>
      </c>
      <c r="D695" s="1">
        <f t="shared" si="80"/>
        <v>985</v>
      </c>
      <c r="E695" s="1">
        <f t="shared" si="81"/>
        <v>1650</v>
      </c>
      <c r="F695" s="1"/>
      <c r="H695" s="16"/>
      <c r="I695" s="29"/>
      <c r="J695" s="1"/>
      <c r="L695" s="11">
        <v>42942</v>
      </c>
      <c r="M695" s="9">
        <v>4648</v>
      </c>
      <c r="N695" s="9">
        <v>985</v>
      </c>
      <c r="O695" s="9">
        <v>1650</v>
      </c>
      <c r="P695" s="9">
        <v>0</v>
      </c>
      <c r="R695" s="11"/>
      <c r="S695" s="9"/>
      <c r="T695" s="9"/>
      <c r="U695" s="9"/>
    </row>
    <row r="696" spans="2:21" x14ac:dyDescent="0.4">
      <c r="B696" s="16">
        <f t="shared" si="78"/>
        <v>42943</v>
      </c>
      <c r="C696" s="1">
        <f t="shared" si="79"/>
        <v>4641</v>
      </c>
      <c r="D696" s="1">
        <f t="shared" si="80"/>
        <v>990</v>
      </c>
      <c r="E696" s="1">
        <f t="shared" si="81"/>
        <v>1650</v>
      </c>
      <c r="F696" s="1"/>
      <c r="H696" s="16"/>
      <c r="I696" s="29"/>
      <c r="J696" s="1"/>
      <c r="L696" s="11">
        <v>42943</v>
      </c>
      <c r="M696" s="9">
        <v>4641</v>
      </c>
      <c r="N696" s="9">
        <v>990</v>
      </c>
      <c r="O696" s="9">
        <v>1650</v>
      </c>
      <c r="P696" s="9">
        <v>0</v>
      </c>
      <c r="R696" s="11"/>
      <c r="S696" s="9"/>
      <c r="T696" s="9"/>
      <c r="U696" s="9"/>
    </row>
    <row r="697" spans="2:21" x14ac:dyDescent="0.4">
      <c r="B697" s="16">
        <f t="shared" si="78"/>
        <v>42944</v>
      </c>
      <c r="C697" s="1">
        <f t="shared" si="79"/>
        <v>4645</v>
      </c>
      <c r="D697" s="1">
        <f t="shared" si="80"/>
        <v>990</v>
      </c>
      <c r="E697" s="1">
        <f t="shared" si="81"/>
        <v>1640</v>
      </c>
      <c r="F697" s="1"/>
      <c r="H697" s="16"/>
      <c r="I697" s="29"/>
      <c r="J697" s="1"/>
      <c r="L697" s="11">
        <v>42944</v>
      </c>
      <c r="M697" s="9">
        <v>4645</v>
      </c>
      <c r="N697" s="9">
        <v>990</v>
      </c>
      <c r="O697" s="9">
        <v>1640</v>
      </c>
      <c r="P697" s="9">
        <v>0</v>
      </c>
      <c r="R697" s="11"/>
      <c r="S697" s="9"/>
      <c r="T697" s="9"/>
      <c r="U697" s="9"/>
    </row>
    <row r="698" spans="2:21" x14ac:dyDescent="0.4">
      <c r="B698" s="16">
        <f t="shared" si="78"/>
        <v>42947</v>
      </c>
      <c r="C698" s="1">
        <f t="shared" si="79"/>
        <v>4644</v>
      </c>
      <c r="D698" s="1">
        <f t="shared" si="80"/>
        <v>990</v>
      </c>
      <c r="E698" s="1">
        <f t="shared" si="81"/>
        <v>1640</v>
      </c>
      <c r="F698" s="1"/>
      <c r="H698" s="16"/>
      <c r="I698" s="29"/>
      <c r="J698" s="1"/>
      <c r="L698" s="11">
        <v>42947</v>
      </c>
      <c r="M698" s="9">
        <v>4644</v>
      </c>
      <c r="N698" s="9">
        <v>990</v>
      </c>
      <c r="O698" s="9">
        <v>1640</v>
      </c>
      <c r="P698" s="9">
        <v>0</v>
      </c>
      <c r="R698" s="11"/>
      <c r="S698" s="9"/>
      <c r="T698" s="9"/>
      <c r="U698" s="9"/>
    </row>
    <row r="699" spans="2:21" x14ac:dyDescent="0.4">
      <c r="B699" s="16">
        <f t="shared" si="78"/>
        <v>42948</v>
      </c>
      <c r="C699" s="1">
        <f t="shared" si="79"/>
        <v>4655</v>
      </c>
      <c r="D699" s="1">
        <f t="shared" si="80"/>
        <v>1020</v>
      </c>
      <c r="E699" s="1">
        <f t="shared" si="81"/>
        <v>1630</v>
      </c>
      <c r="F699" s="1"/>
      <c r="H699" s="16"/>
      <c r="I699" s="29"/>
      <c r="J699" s="1"/>
      <c r="L699" s="11">
        <v>42948</v>
      </c>
      <c r="M699" s="9">
        <v>4655</v>
      </c>
      <c r="N699" s="9">
        <v>1020</v>
      </c>
      <c r="O699" s="9">
        <v>1630</v>
      </c>
      <c r="P699" s="9">
        <v>0</v>
      </c>
      <c r="R699" s="11"/>
      <c r="S699" s="9"/>
      <c r="T699" s="9"/>
      <c r="U699" s="9"/>
    </row>
    <row r="700" spans="2:21" x14ac:dyDescent="0.4">
      <c r="B700" s="16">
        <f t="shared" si="78"/>
        <v>42949</v>
      </c>
      <c r="C700" s="1">
        <f t="shared" si="79"/>
        <v>4665</v>
      </c>
      <c r="D700" s="1">
        <f t="shared" si="80"/>
        <v>1050</v>
      </c>
      <c r="E700" s="1">
        <f t="shared" si="81"/>
        <v>1630</v>
      </c>
      <c r="F700" s="1"/>
      <c r="H700" s="16"/>
      <c r="I700" s="29"/>
      <c r="J700" s="1"/>
      <c r="L700" s="11">
        <v>42949</v>
      </c>
      <c r="M700" s="9">
        <v>4665</v>
      </c>
      <c r="N700" s="9">
        <v>1050</v>
      </c>
      <c r="O700" s="9">
        <v>1630</v>
      </c>
      <c r="P700" s="9">
        <v>0</v>
      </c>
      <c r="R700" s="11"/>
      <c r="S700" s="9"/>
      <c r="T700" s="9"/>
      <c r="U700" s="9"/>
    </row>
    <row r="701" spans="2:21" x14ac:dyDescent="0.4">
      <c r="B701" s="16">
        <f t="shared" si="78"/>
        <v>42950</v>
      </c>
      <c r="C701" s="1">
        <f t="shared" si="79"/>
        <v>4668</v>
      </c>
      <c r="D701" s="1">
        <f t="shared" si="80"/>
        <v>1080</v>
      </c>
      <c r="E701" s="1">
        <f t="shared" si="81"/>
        <v>1630</v>
      </c>
      <c r="F701" s="1"/>
      <c r="H701" s="16"/>
      <c r="I701" s="29"/>
      <c r="J701" s="1"/>
      <c r="L701" s="11">
        <v>42950</v>
      </c>
      <c r="M701" s="9">
        <v>4668</v>
      </c>
      <c r="N701" s="9">
        <v>1080</v>
      </c>
      <c r="O701" s="9">
        <v>1630</v>
      </c>
      <c r="P701" s="9">
        <v>0</v>
      </c>
      <c r="R701" s="11"/>
      <c r="S701" s="9"/>
      <c r="T701" s="9"/>
      <c r="U701" s="9"/>
    </row>
    <row r="702" spans="2:21" x14ac:dyDescent="0.4">
      <c r="B702" s="16">
        <f t="shared" si="78"/>
        <v>42951</v>
      </c>
      <c r="C702" s="1">
        <f t="shared" si="79"/>
        <v>4673</v>
      </c>
      <c r="D702" s="1">
        <f t="shared" si="80"/>
        <v>1090</v>
      </c>
      <c r="E702" s="1">
        <f t="shared" si="81"/>
        <v>1625</v>
      </c>
      <c r="F702" s="1"/>
      <c r="H702" s="16"/>
      <c r="I702" s="29"/>
      <c r="J702" s="1"/>
      <c r="L702" s="11">
        <v>42951</v>
      </c>
      <c r="M702" s="9">
        <v>4673</v>
      </c>
      <c r="N702" s="9">
        <v>1090</v>
      </c>
      <c r="O702" s="9">
        <v>1625</v>
      </c>
      <c r="P702" s="9">
        <v>0</v>
      </c>
      <c r="R702" s="11"/>
      <c r="S702" s="9"/>
      <c r="T702" s="9"/>
      <c r="U702" s="9"/>
    </row>
    <row r="703" spans="2:21" x14ac:dyDescent="0.4">
      <c r="B703" s="16">
        <f t="shared" si="78"/>
        <v>42954</v>
      </c>
      <c r="C703" s="1">
        <f t="shared" si="79"/>
        <v>4682</v>
      </c>
      <c r="D703" s="1">
        <f t="shared" si="80"/>
        <v>1090</v>
      </c>
      <c r="E703" s="1">
        <f t="shared" si="81"/>
        <v>1610</v>
      </c>
      <c r="F703" s="1"/>
      <c r="H703" s="16"/>
      <c r="I703" s="29"/>
      <c r="J703" s="1"/>
      <c r="L703" s="11">
        <v>42954</v>
      </c>
      <c r="M703" s="9">
        <v>4682</v>
      </c>
      <c r="N703" s="9">
        <v>1090</v>
      </c>
      <c r="O703" s="9">
        <v>1610</v>
      </c>
      <c r="P703" s="9">
        <v>0</v>
      </c>
      <c r="R703" s="11"/>
      <c r="S703" s="9"/>
      <c r="T703" s="9"/>
      <c r="U703" s="9"/>
    </row>
    <row r="704" spans="2:21" x14ac:dyDescent="0.4">
      <c r="B704" s="16">
        <f t="shared" si="78"/>
        <v>42955</v>
      </c>
      <c r="C704" s="1">
        <f t="shared" si="79"/>
        <v>4687</v>
      </c>
      <c r="D704" s="1">
        <f t="shared" si="80"/>
        <v>1105</v>
      </c>
      <c r="E704" s="1">
        <f t="shared" si="81"/>
        <v>1610</v>
      </c>
      <c r="F704" s="1"/>
      <c r="H704" s="16"/>
      <c r="I704" s="29"/>
      <c r="J704" s="1"/>
      <c r="L704" s="11">
        <v>42955</v>
      </c>
      <c r="M704" s="9">
        <v>4687</v>
      </c>
      <c r="N704" s="9">
        <v>1105</v>
      </c>
      <c r="O704" s="9">
        <v>1610</v>
      </c>
      <c r="P704" s="9">
        <v>0</v>
      </c>
      <c r="R704" s="11"/>
      <c r="S704" s="9"/>
      <c r="T704" s="9"/>
      <c r="U704" s="9"/>
    </row>
    <row r="705" spans="2:21" x14ac:dyDescent="0.4">
      <c r="B705" s="16">
        <f t="shared" si="78"/>
        <v>42956</v>
      </c>
      <c r="C705" s="1">
        <f t="shared" si="79"/>
        <v>4713</v>
      </c>
      <c r="D705" s="1">
        <f t="shared" si="80"/>
        <v>1105</v>
      </c>
      <c r="E705" s="1">
        <f t="shared" si="81"/>
        <v>1600</v>
      </c>
      <c r="F705" s="1"/>
      <c r="H705" s="16"/>
      <c r="I705" s="29"/>
      <c r="J705" s="1"/>
      <c r="L705" s="11">
        <v>42956</v>
      </c>
      <c r="M705" s="9">
        <v>4713</v>
      </c>
      <c r="N705" s="9">
        <v>1105</v>
      </c>
      <c r="O705" s="9">
        <v>1600</v>
      </c>
      <c r="P705" s="9">
        <v>0</v>
      </c>
      <c r="R705" s="11"/>
      <c r="S705" s="9"/>
      <c r="T705" s="9"/>
      <c r="U705" s="9"/>
    </row>
    <row r="706" spans="2:21" x14ac:dyDescent="0.4">
      <c r="B706" s="16">
        <f t="shared" si="78"/>
        <v>42957</v>
      </c>
      <c r="C706" s="1">
        <f t="shared" si="79"/>
        <v>4719</v>
      </c>
      <c r="D706" s="1">
        <f t="shared" si="80"/>
        <v>1115</v>
      </c>
      <c r="E706" s="1">
        <f t="shared" si="81"/>
        <v>1600</v>
      </c>
      <c r="F706" s="1"/>
      <c r="H706" s="16"/>
      <c r="I706" s="29"/>
      <c r="J706" s="1"/>
      <c r="L706" s="11">
        <v>42957</v>
      </c>
      <c r="M706" s="9">
        <v>4719</v>
      </c>
      <c r="N706" s="9">
        <v>1115</v>
      </c>
      <c r="O706" s="9">
        <v>1600</v>
      </c>
      <c r="P706" s="9">
        <v>0</v>
      </c>
      <c r="R706" s="11"/>
      <c r="S706" s="9"/>
      <c r="T706" s="9"/>
      <c r="U706" s="9"/>
    </row>
    <row r="707" spans="2:21" x14ac:dyDescent="0.4">
      <c r="B707" s="16">
        <f t="shared" si="78"/>
        <v>42958</v>
      </c>
      <c r="C707" s="1">
        <f t="shared" si="79"/>
        <v>4729</v>
      </c>
      <c r="D707" s="1">
        <f t="shared" si="80"/>
        <v>1200</v>
      </c>
      <c r="E707" s="1">
        <f t="shared" si="81"/>
        <v>1590</v>
      </c>
      <c r="F707" s="1"/>
      <c r="H707" s="16"/>
      <c r="I707" s="29"/>
      <c r="J707" s="1"/>
      <c r="L707" s="11">
        <v>42958</v>
      </c>
      <c r="M707" s="9">
        <v>4729</v>
      </c>
      <c r="N707" s="9">
        <v>1200</v>
      </c>
      <c r="O707" s="9">
        <v>1590</v>
      </c>
      <c r="P707" s="9">
        <v>0</v>
      </c>
      <c r="R707" s="11"/>
      <c r="S707" s="9"/>
      <c r="T707" s="9"/>
      <c r="U707" s="9"/>
    </row>
    <row r="708" spans="2:21" x14ac:dyDescent="0.4">
      <c r="B708" s="16">
        <f t="shared" si="78"/>
        <v>42961</v>
      </c>
      <c r="C708" s="1">
        <f t="shared" si="79"/>
        <v>4708</v>
      </c>
      <c r="D708" s="1">
        <f t="shared" si="80"/>
        <v>1200</v>
      </c>
      <c r="E708" s="1">
        <f t="shared" si="81"/>
        <v>1580</v>
      </c>
      <c r="F708" s="1"/>
      <c r="H708" s="16"/>
      <c r="I708" s="29"/>
      <c r="J708" s="1"/>
      <c r="L708" s="11">
        <v>42961</v>
      </c>
      <c r="M708" s="9">
        <v>4708</v>
      </c>
      <c r="N708" s="9">
        <v>1200</v>
      </c>
      <c r="O708" s="9">
        <v>1580</v>
      </c>
      <c r="P708" s="9">
        <v>0</v>
      </c>
      <c r="R708" s="11"/>
      <c r="S708" s="9"/>
      <c r="T708" s="9"/>
      <c r="U708" s="9"/>
    </row>
    <row r="709" spans="2:21" x14ac:dyDescent="0.4">
      <c r="B709" s="16">
        <f t="shared" si="78"/>
        <v>42962</v>
      </c>
      <c r="C709" s="1">
        <f t="shared" si="79"/>
        <v>4694</v>
      </c>
      <c r="D709" s="1">
        <f t="shared" si="80"/>
        <v>1200</v>
      </c>
      <c r="E709" s="1">
        <f t="shared" si="81"/>
        <v>1580</v>
      </c>
      <c r="F709" s="1"/>
      <c r="H709" s="16"/>
      <c r="I709" s="29"/>
      <c r="J709" s="1"/>
      <c r="L709" s="11">
        <v>42962</v>
      </c>
      <c r="M709" s="9">
        <v>4694</v>
      </c>
      <c r="N709" s="9">
        <v>1200</v>
      </c>
      <c r="O709" s="9">
        <v>1580</v>
      </c>
      <c r="P709" s="9">
        <v>0</v>
      </c>
      <c r="R709" s="11"/>
      <c r="S709" s="9"/>
      <c r="T709" s="9"/>
      <c r="U709" s="9"/>
    </row>
    <row r="710" spans="2:21" x14ac:dyDescent="0.4">
      <c r="B710" s="16">
        <f t="shared" ref="B710:B773" si="82">L710</f>
        <v>42963</v>
      </c>
      <c r="C710" s="1">
        <f t="shared" si="79"/>
        <v>4685</v>
      </c>
      <c r="D710" s="1">
        <f t="shared" si="80"/>
        <v>1250</v>
      </c>
      <c r="E710" s="1">
        <f t="shared" si="81"/>
        <v>1580</v>
      </c>
      <c r="F710" s="1"/>
      <c r="H710" s="16"/>
      <c r="I710" s="29"/>
      <c r="J710" s="1"/>
      <c r="L710" s="11">
        <v>42963</v>
      </c>
      <c r="M710" s="9">
        <v>4685</v>
      </c>
      <c r="N710" s="9">
        <v>1250</v>
      </c>
      <c r="O710" s="9">
        <v>1580</v>
      </c>
      <c r="P710" s="9">
        <v>0</v>
      </c>
      <c r="R710" s="11"/>
      <c r="S710" s="9"/>
      <c r="T710" s="9"/>
      <c r="U710" s="9"/>
    </row>
    <row r="711" spans="2:21" x14ac:dyDescent="0.4">
      <c r="B711" s="16">
        <f t="shared" si="82"/>
        <v>42964</v>
      </c>
      <c r="C711" s="1">
        <f t="shared" ref="C711:C774" si="83">IF(M711&lt;&gt;0,M711,C710)</f>
        <v>4696</v>
      </c>
      <c r="D711" s="1">
        <f t="shared" ref="D711:D774" si="84">IF(N711&lt;&gt;0,N711,D710)</f>
        <v>1250</v>
      </c>
      <c r="E711" s="1">
        <f t="shared" ref="E711:E774" si="85">IF(O711&lt;&gt;0,O711,E710)</f>
        <v>1590</v>
      </c>
      <c r="F711" s="1"/>
      <c r="H711" s="16"/>
      <c r="I711" s="29"/>
      <c r="J711" s="1"/>
      <c r="L711" s="11">
        <v>42964</v>
      </c>
      <c r="M711" s="9">
        <v>4696</v>
      </c>
      <c r="N711" s="9">
        <v>1250</v>
      </c>
      <c r="O711" s="9">
        <v>1590</v>
      </c>
      <c r="P711" s="9">
        <v>0</v>
      </c>
      <c r="R711" s="11"/>
      <c r="S711" s="9"/>
      <c r="T711" s="9"/>
      <c r="U711" s="9"/>
    </row>
    <row r="712" spans="2:21" x14ac:dyDescent="0.4">
      <c r="B712" s="16">
        <f t="shared" si="82"/>
        <v>42965</v>
      </c>
      <c r="C712" s="1">
        <f t="shared" si="83"/>
        <v>4704</v>
      </c>
      <c r="D712" s="1">
        <f t="shared" si="84"/>
        <v>1265</v>
      </c>
      <c r="E712" s="1">
        <f t="shared" si="85"/>
        <v>1590</v>
      </c>
      <c r="F712" s="1"/>
      <c r="H712" s="16"/>
      <c r="I712" s="29"/>
      <c r="J712" s="1"/>
      <c r="L712" s="11">
        <v>42965</v>
      </c>
      <c r="M712" s="9">
        <v>4704</v>
      </c>
      <c r="N712" s="9">
        <v>1265</v>
      </c>
      <c r="O712" s="9">
        <v>1590</v>
      </c>
      <c r="P712" s="9">
        <v>0</v>
      </c>
      <c r="R712" s="11"/>
      <c r="S712" s="9"/>
      <c r="T712" s="9"/>
      <c r="U712" s="9"/>
    </row>
    <row r="713" spans="2:21" x14ac:dyDescent="0.4">
      <c r="B713" s="16">
        <f t="shared" si="82"/>
        <v>42968</v>
      </c>
      <c r="C713" s="1">
        <f t="shared" si="83"/>
        <v>4726</v>
      </c>
      <c r="D713" s="1">
        <f t="shared" si="84"/>
        <v>1265</v>
      </c>
      <c r="E713" s="1">
        <f t="shared" si="85"/>
        <v>1600</v>
      </c>
      <c r="F713" s="1"/>
      <c r="H713" s="16"/>
      <c r="I713" s="29"/>
      <c r="J713" s="1"/>
      <c r="L713" s="11">
        <v>42968</v>
      </c>
      <c r="M713" s="9">
        <v>4726</v>
      </c>
      <c r="N713" s="9">
        <v>1265</v>
      </c>
      <c r="O713" s="9">
        <v>1600</v>
      </c>
      <c r="P713" s="9">
        <v>0</v>
      </c>
      <c r="R713" s="11"/>
      <c r="S713" s="9"/>
      <c r="T713" s="9"/>
      <c r="U713" s="9"/>
    </row>
    <row r="714" spans="2:21" x14ac:dyDescent="0.4">
      <c r="B714" s="16">
        <f t="shared" si="82"/>
        <v>42969</v>
      </c>
      <c r="C714" s="1">
        <f t="shared" si="83"/>
        <v>4741</v>
      </c>
      <c r="D714" s="1">
        <f t="shared" si="84"/>
        <v>1265</v>
      </c>
      <c r="E714" s="1">
        <f t="shared" si="85"/>
        <v>1605</v>
      </c>
      <c r="F714" s="1"/>
      <c r="H714" s="16"/>
      <c r="I714" s="29"/>
      <c r="J714" s="1"/>
      <c r="L714" s="11">
        <v>42969</v>
      </c>
      <c r="M714" s="9">
        <v>4741</v>
      </c>
      <c r="N714" s="9">
        <v>1265</v>
      </c>
      <c r="O714" s="9">
        <v>1605</v>
      </c>
      <c r="P714" s="9">
        <v>0</v>
      </c>
      <c r="R714" s="11"/>
      <c r="S714" s="9"/>
      <c r="T714" s="9"/>
      <c r="U714" s="9"/>
    </row>
    <row r="715" spans="2:21" x14ac:dyDescent="0.4">
      <c r="B715" s="16">
        <f t="shared" si="82"/>
        <v>42970</v>
      </c>
      <c r="C715" s="1">
        <f t="shared" si="83"/>
        <v>4742</v>
      </c>
      <c r="D715" s="1">
        <f t="shared" si="84"/>
        <v>1265</v>
      </c>
      <c r="E715" s="1">
        <f t="shared" si="85"/>
        <v>1605</v>
      </c>
      <c r="F715" s="1"/>
      <c r="H715" s="16"/>
      <c r="I715" s="29"/>
      <c r="J715" s="1"/>
      <c r="L715" s="11">
        <v>42970</v>
      </c>
      <c r="M715" s="9">
        <v>4742</v>
      </c>
      <c r="N715" s="9">
        <v>1265</v>
      </c>
      <c r="O715" s="9">
        <v>1605</v>
      </c>
      <c r="P715" s="9">
        <v>0</v>
      </c>
      <c r="R715" s="11"/>
      <c r="S715" s="9"/>
      <c r="T715" s="9"/>
      <c r="U715" s="9"/>
    </row>
    <row r="716" spans="2:21" x14ac:dyDescent="0.4">
      <c r="B716" s="16">
        <f t="shared" si="82"/>
        <v>42971</v>
      </c>
      <c r="C716" s="1">
        <f t="shared" si="83"/>
        <v>4744</v>
      </c>
      <c r="D716" s="1">
        <f t="shared" si="84"/>
        <v>1265</v>
      </c>
      <c r="E716" s="1">
        <f t="shared" si="85"/>
        <v>1610</v>
      </c>
      <c r="F716" s="1"/>
      <c r="H716" s="16"/>
      <c r="I716" s="29"/>
      <c r="J716" s="1"/>
      <c r="L716" s="11">
        <v>42971</v>
      </c>
      <c r="M716" s="9">
        <v>4744</v>
      </c>
      <c r="N716" s="9">
        <v>1265</v>
      </c>
      <c r="O716" s="9">
        <v>1610</v>
      </c>
      <c r="P716" s="9">
        <v>0</v>
      </c>
      <c r="R716" s="11"/>
      <c r="S716" s="9"/>
      <c r="T716" s="9"/>
      <c r="U716" s="9"/>
    </row>
    <row r="717" spans="2:21" x14ac:dyDescent="0.4">
      <c r="B717" s="16">
        <f t="shared" si="82"/>
        <v>42972</v>
      </c>
      <c r="C717" s="1">
        <f t="shared" si="83"/>
        <v>4769</v>
      </c>
      <c r="D717" s="1">
        <f t="shared" si="84"/>
        <v>1280</v>
      </c>
      <c r="E717" s="1">
        <f t="shared" si="85"/>
        <v>1610</v>
      </c>
      <c r="F717" s="1"/>
      <c r="H717" s="16"/>
      <c r="I717" s="29"/>
      <c r="J717" s="1"/>
      <c r="L717" s="11">
        <v>42972</v>
      </c>
      <c r="M717" s="9">
        <v>4769</v>
      </c>
      <c r="N717" s="9">
        <v>1280</v>
      </c>
      <c r="O717" s="9">
        <v>1610</v>
      </c>
      <c r="P717" s="9">
        <v>0</v>
      </c>
      <c r="R717" s="11"/>
      <c r="S717" s="9"/>
      <c r="T717" s="9"/>
      <c r="U717" s="9"/>
    </row>
    <row r="718" spans="2:21" x14ac:dyDescent="0.4">
      <c r="B718" s="16">
        <f t="shared" si="82"/>
        <v>42975</v>
      </c>
      <c r="C718" s="1">
        <f t="shared" si="83"/>
        <v>4779</v>
      </c>
      <c r="D718" s="1">
        <f t="shared" si="84"/>
        <v>1280</v>
      </c>
      <c r="E718" s="1">
        <f t="shared" si="85"/>
        <v>1610</v>
      </c>
      <c r="F718" s="1"/>
      <c r="H718" s="16"/>
      <c r="I718" s="29"/>
      <c r="J718" s="1"/>
      <c r="L718" s="11">
        <v>42975</v>
      </c>
      <c r="M718" s="9">
        <v>4779</v>
      </c>
      <c r="N718" s="9">
        <v>1280</v>
      </c>
      <c r="O718" s="9">
        <v>1610</v>
      </c>
      <c r="P718" s="9">
        <v>0</v>
      </c>
      <c r="R718" s="11"/>
      <c r="S718" s="9"/>
      <c r="T718" s="9"/>
      <c r="U718" s="9"/>
    </row>
    <row r="719" spans="2:21" x14ac:dyDescent="0.4">
      <c r="B719" s="16">
        <f t="shared" si="82"/>
        <v>42976</v>
      </c>
      <c r="C719" s="1">
        <f t="shared" si="83"/>
        <v>4816</v>
      </c>
      <c r="D719" s="1">
        <f t="shared" si="84"/>
        <v>1280</v>
      </c>
      <c r="E719" s="1">
        <f t="shared" si="85"/>
        <v>1610</v>
      </c>
      <c r="F719" s="1"/>
      <c r="H719" s="16"/>
      <c r="I719" s="29"/>
      <c r="J719" s="1"/>
      <c r="L719" s="11">
        <v>42976</v>
      </c>
      <c r="M719" s="9">
        <v>4816</v>
      </c>
      <c r="N719" s="9">
        <v>1280</v>
      </c>
      <c r="O719" s="9">
        <v>1610</v>
      </c>
      <c r="P719" s="9">
        <v>0</v>
      </c>
      <c r="R719" s="11"/>
      <c r="S719" s="9"/>
      <c r="T719" s="9"/>
      <c r="U719" s="9"/>
    </row>
    <row r="720" spans="2:21" x14ac:dyDescent="0.4">
      <c r="B720" s="16">
        <f t="shared" si="82"/>
        <v>42977</v>
      </c>
      <c r="C720" s="1">
        <f t="shared" si="83"/>
        <v>4835</v>
      </c>
      <c r="D720" s="1">
        <f t="shared" si="84"/>
        <v>1280</v>
      </c>
      <c r="E720" s="1">
        <f t="shared" si="85"/>
        <v>1605</v>
      </c>
      <c r="F720" s="1"/>
      <c r="H720" s="16"/>
      <c r="I720" s="29"/>
      <c r="J720" s="1"/>
      <c r="L720" s="11">
        <v>42977</v>
      </c>
      <c r="M720" s="9">
        <v>4835</v>
      </c>
      <c r="N720" s="9">
        <v>1280</v>
      </c>
      <c r="O720" s="9">
        <v>1605</v>
      </c>
      <c r="P720" s="9">
        <v>0</v>
      </c>
      <c r="R720" s="11"/>
      <c r="S720" s="9"/>
      <c r="T720" s="9"/>
      <c r="U720" s="9"/>
    </row>
    <row r="721" spans="2:21" x14ac:dyDescent="0.4">
      <c r="B721" s="16">
        <f t="shared" si="82"/>
        <v>42978</v>
      </c>
      <c r="C721" s="1">
        <f t="shared" si="83"/>
        <v>4856</v>
      </c>
      <c r="D721" s="1">
        <f t="shared" si="84"/>
        <v>1280</v>
      </c>
      <c r="E721" s="1">
        <f t="shared" si="85"/>
        <v>1600</v>
      </c>
      <c r="F721" s="1"/>
      <c r="H721" s="16"/>
      <c r="I721" s="29"/>
      <c r="J721" s="1"/>
      <c r="L721" s="11">
        <v>42978</v>
      </c>
      <c r="M721" s="9">
        <v>4856</v>
      </c>
      <c r="N721" s="9">
        <v>1280</v>
      </c>
      <c r="O721" s="9">
        <v>1600</v>
      </c>
      <c r="P721" s="9">
        <v>0</v>
      </c>
      <c r="R721" s="11"/>
      <c r="S721" s="9"/>
      <c r="T721" s="9"/>
      <c r="U721" s="9"/>
    </row>
    <row r="722" spans="2:21" x14ac:dyDescent="0.4">
      <c r="B722" s="16">
        <f t="shared" si="82"/>
        <v>42979</v>
      </c>
      <c r="C722" s="1">
        <f t="shared" si="83"/>
        <v>4898</v>
      </c>
      <c r="D722" s="1">
        <f t="shared" si="84"/>
        <v>1280</v>
      </c>
      <c r="E722" s="1">
        <f t="shared" si="85"/>
        <v>1600</v>
      </c>
      <c r="F722" s="1"/>
      <c r="H722" s="16"/>
      <c r="I722" s="29"/>
      <c r="J722" s="1"/>
      <c r="L722" s="11">
        <v>42979</v>
      </c>
      <c r="M722" s="9">
        <v>4898</v>
      </c>
      <c r="N722" s="9">
        <v>1280</v>
      </c>
      <c r="O722" s="9">
        <v>1600</v>
      </c>
      <c r="P722" s="9">
        <v>0</v>
      </c>
      <c r="R722" s="11"/>
      <c r="S722" s="9"/>
      <c r="T722" s="9"/>
      <c r="U722" s="9"/>
    </row>
    <row r="723" spans="2:21" x14ac:dyDescent="0.4">
      <c r="B723" s="16">
        <f t="shared" si="82"/>
        <v>42982</v>
      </c>
      <c r="C723" s="1">
        <f t="shared" si="83"/>
        <v>4983</v>
      </c>
      <c r="D723" s="1">
        <f t="shared" si="84"/>
        <v>1280</v>
      </c>
      <c r="E723" s="1">
        <f t="shared" si="85"/>
        <v>1610</v>
      </c>
      <c r="F723" s="1"/>
      <c r="H723" s="16"/>
      <c r="I723" s="29"/>
      <c r="J723" s="1"/>
      <c r="L723" s="11">
        <v>42982</v>
      </c>
      <c r="M723" s="9">
        <v>4983</v>
      </c>
      <c r="N723" s="9">
        <v>1280</v>
      </c>
      <c r="O723" s="9">
        <v>1610</v>
      </c>
      <c r="P723" s="9">
        <v>0</v>
      </c>
      <c r="R723" s="11"/>
      <c r="S723" s="9"/>
      <c r="T723" s="9"/>
      <c r="U723" s="9"/>
    </row>
    <row r="724" spans="2:21" x14ac:dyDescent="0.4">
      <c r="B724" s="16">
        <f t="shared" si="82"/>
        <v>42983</v>
      </c>
      <c r="C724" s="1">
        <f t="shared" si="83"/>
        <v>5014</v>
      </c>
      <c r="D724" s="1">
        <f t="shared" si="84"/>
        <v>1280</v>
      </c>
      <c r="E724" s="1">
        <f t="shared" si="85"/>
        <v>1610</v>
      </c>
      <c r="F724" s="1"/>
      <c r="H724" s="16"/>
      <c r="I724" s="29"/>
      <c r="J724" s="1"/>
      <c r="L724" s="11">
        <v>42983</v>
      </c>
      <c r="M724" s="9">
        <v>5014</v>
      </c>
      <c r="N724" s="9">
        <v>1280</v>
      </c>
      <c r="O724" s="9">
        <v>1610</v>
      </c>
      <c r="P724" s="9">
        <v>0</v>
      </c>
      <c r="R724" s="11"/>
      <c r="S724" s="9"/>
      <c r="T724" s="9"/>
      <c r="U724" s="9"/>
    </row>
    <row r="725" spans="2:21" x14ac:dyDescent="0.4">
      <c r="B725" s="16">
        <f t="shared" si="82"/>
        <v>42984</v>
      </c>
      <c r="C725" s="1">
        <f t="shared" si="83"/>
        <v>5028</v>
      </c>
      <c r="D725" s="1">
        <f t="shared" si="84"/>
        <v>1280</v>
      </c>
      <c r="E725" s="1">
        <f t="shared" si="85"/>
        <v>1615</v>
      </c>
      <c r="F725" s="1"/>
      <c r="H725" s="16"/>
      <c r="I725" s="29"/>
      <c r="J725" s="1"/>
      <c r="L725" s="11">
        <v>42984</v>
      </c>
      <c r="M725" s="9">
        <v>5028</v>
      </c>
      <c r="N725" s="9">
        <v>1280</v>
      </c>
      <c r="O725" s="9">
        <v>1615</v>
      </c>
      <c r="P725" s="9">
        <v>0</v>
      </c>
      <c r="R725" s="11"/>
      <c r="S725" s="9"/>
      <c r="T725" s="9"/>
      <c r="U725" s="9"/>
    </row>
    <row r="726" spans="2:21" x14ac:dyDescent="0.4">
      <c r="B726" s="16">
        <f t="shared" si="82"/>
        <v>42985</v>
      </c>
      <c r="C726" s="1">
        <f t="shared" si="83"/>
        <v>5035</v>
      </c>
      <c r="D726" s="1">
        <f t="shared" si="84"/>
        <v>1280</v>
      </c>
      <c r="E726" s="1">
        <f t="shared" si="85"/>
        <v>1615</v>
      </c>
      <c r="F726" s="1"/>
      <c r="H726" s="16"/>
      <c r="I726" s="29"/>
      <c r="J726" s="1"/>
      <c r="L726" s="11">
        <v>42985</v>
      </c>
      <c r="M726" s="9">
        <v>5035</v>
      </c>
      <c r="N726" s="9">
        <v>1280</v>
      </c>
      <c r="O726" s="9">
        <v>1615</v>
      </c>
      <c r="P726" s="9">
        <v>0</v>
      </c>
      <c r="R726" s="11"/>
      <c r="S726" s="9"/>
      <c r="T726" s="9"/>
      <c r="U726" s="9"/>
    </row>
    <row r="727" spans="2:21" x14ac:dyDescent="0.4">
      <c r="B727" s="16">
        <f t="shared" si="82"/>
        <v>42986</v>
      </c>
      <c r="C727" s="1">
        <f t="shared" si="83"/>
        <v>5041</v>
      </c>
      <c r="D727" s="1">
        <f t="shared" si="84"/>
        <v>1290</v>
      </c>
      <c r="E727" s="1">
        <f t="shared" si="85"/>
        <v>1620</v>
      </c>
      <c r="F727" s="1"/>
      <c r="H727" s="16"/>
      <c r="I727" s="29"/>
      <c r="J727" s="1"/>
      <c r="L727" s="11">
        <v>42986</v>
      </c>
      <c r="M727" s="9">
        <v>5041</v>
      </c>
      <c r="N727" s="9">
        <v>1290</v>
      </c>
      <c r="O727" s="9">
        <v>1620</v>
      </c>
      <c r="P727" s="9">
        <v>0</v>
      </c>
      <c r="R727" s="11"/>
      <c r="S727" s="9"/>
      <c r="T727" s="9"/>
      <c r="U727" s="9"/>
    </row>
    <row r="728" spans="2:21" x14ac:dyDescent="0.4">
      <c r="B728" s="16">
        <f t="shared" si="82"/>
        <v>42989</v>
      </c>
      <c r="C728" s="1">
        <f t="shared" si="83"/>
        <v>5027</v>
      </c>
      <c r="D728" s="1">
        <f t="shared" si="84"/>
        <v>1305</v>
      </c>
      <c r="E728" s="1">
        <f t="shared" si="85"/>
        <v>1620</v>
      </c>
      <c r="F728" s="1"/>
      <c r="H728" s="16"/>
      <c r="I728" s="29"/>
      <c r="J728" s="1"/>
      <c r="L728" s="11">
        <v>42989</v>
      </c>
      <c r="M728" s="9">
        <v>5027</v>
      </c>
      <c r="N728" s="9">
        <v>1305</v>
      </c>
      <c r="O728" s="9">
        <v>1620</v>
      </c>
      <c r="P728" s="9">
        <v>0</v>
      </c>
      <c r="R728" s="11"/>
      <c r="S728" s="9"/>
      <c r="T728" s="9"/>
      <c r="U728" s="9"/>
    </row>
    <row r="729" spans="2:21" x14ac:dyDescent="0.4">
      <c r="B729" s="16">
        <f t="shared" si="82"/>
        <v>42990</v>
      </c>
      <c r="C729" s="1">
        <f t="shared" si="83"/>
        <v>5056</v>
      </c>
      <c r="D729" s="1">
        <f t="shared" si="84"/>
        <v>1315</v>
      </c>
      <c r="E729" s="1">
        <f t="shared" si="85"/>
        <v>1625</v>
      </c>
      <c r="F729" s="1"/>
      <c r="H729" s="16"/>
      <c r="I729" s="29"/>
      <c r="J729" s="1"/>
      <c r="L729" s="11">
        <v>42990</v>
      </c>
      <c r="M729" s="9">
        <v>5056</v>
      </c>
      <c r="N729" s="9">
        <v>1315</v>
      </c>
      <c r="O729" s="9">
        <v>1625</v>
      </c>
      <c r="P729" s="9">
        <v>0</v>
      </c>
      <c r="R729" s="11"/>
      <c r="S729" s="9"/>
      <c r="T729" s="9"/>
      <c r="U729" s="9"/>
    </row>
    <row r="730" spans="2:21" x14ac:dyDescent="0.4">
      <c r="B730" s="16">
        <f t="shared" si="82"/>
        <v>42991</v>
      </c>
      <c r="C730" s="1">
        <f t="shared" si="83"/>
        <v>5067</v>
      </c>
      <c r="D730" s="1">
        <f t="shared" si="84"/>
        <v>1315</v>
      </c>
      <c r="E730" s="1">
        <f t="shared" si="85"/>
        <v>1635</v>
      </c>
      <c r="F730" s="1"/>
      <c r="H730" s="16"/>
      <c r="I730" s="29"/>
      <c r="J730" s="1"/>
      <c r="L730" s="11">
        <v>42991</v>
      </c>
      <c r="M730" s="9">
        <v>5067</v>
      </c>
      <c r="N730" s="9">
        <v>1315</v>
      </c>
      <c r="O730" s="9">
        <v>1635</v>
      </c>
      <c r="P730" s="9">
        <v>0</v>
      </c>
      <c r="R730" s="11"/>
      <c r="S730" s="9"/>
      <c r="T730" s="9"/>
      <c r="U730" s="9"/>
    </row>
    <row r="731" spans="2:21" x14ac:dyDescent="0.4">
      <c r="B731" s="16">
        <f t="shared" si="82"/>
        <v>42992</v>
      </c>
      <c r="C731" s="1">
        <f t="shared" si="83"/>
        <v>5055</v>
      </c>
      <c r="D731" s="1">
        <f t="shared" si="84"/>
        <v>1315</v>
      </c>
      <c r="E731" s="1">
        <f t="shared" si="85"/>
        <v>1640</v>
      </c>
      <c r="F731" s="1"/>
      <c r="H731" s="16"/>
      <c r="I731" s="29"/>
      <c r="J731" s="1"/>
      <c r="L731" s="11">
        <v>42992</v>
      </c>
      <c r="M731" s="9">
        <v>5055</v>
      </c>
      <c r="N731" s="9">
        <v>1315</v>
      </c>
      <c r="O731" s="9">
        <v>1640</v>
      </c>
      <c r="P731" s="9">
        <v>0</v>
      </c>
      <c r="R731" s="11"/>
      <c r="S731" s="9"/>
      <c r="T731" s="9"/>
      <c r="U731" s="9"/>
    </row>
    <row r="732" spans="2:21" x14ac:dyDescent="0.4">
      <c r="B732" s="16">
        <f t="shared" si="82"/>
        <v>42993</v>
      </c>
      <c r="C732" s="1">
        <f t="shared" si="83"/>
        <v>5058</v>
      </c>
      <c r="D732" s="1">
        <f t="shared" si="84"/>
        <v>1320</v>
      </c>
      <c r="E732" s="1">
        <f t="shared" si="85"/>
        <v>1640</v>
      </c>
      <c r="F732" s="1"/>
      <c r="H732" s="16"/>
      <c r="I732" s="29"/>
      <c r="J732" s="1"/>
      <c r="L732" s="11">
        <v>42993</v>
      </c>
      <c r="M732" s="9">
        <v>5058</v>
      </c>
      <c r="N732" s="9">
        <v>1320</v>
      </c>
      <c r="O732" s="9">
        <v>1640</v>
      </c>
      <c r="P732" s="9">
        <v>0</v>
      </c>
      <c r="R732" s="11"/>
      <c r="S732" s="9"/>
      <c r="T732" s="9"/>
      <c r="U732" s="9"/>
    </row>
    <row r="733" spans="2:21" x14ac:dyDescent="0.4">
      <c r="B733" s="16">
        <f t="shared" si="82"/>
        <v>42996</v>
      </c>
      <c r="C733" s="1">
        <f t="shared" si="83"/>
        <v>5043</v>
      </c>
      <c r="D733" s="1">
        <f t="shared" si="84"/>
        <v>1320</v>
      </c>
      <c r="E733" s="1">
        <f t="shared" si="85"/>
        <v>1645</v>
      </c>
      <c r="F733" s="1"/>
      <c r="H733" s="16"/>
      <c r="I733" s="29"/>
      <c r="J733" s="1"/>
      <c r="L733" s="11">
        <v>42996</v>
      </c>
      <c r="M733" s="9">
        <v>5043</v>
      </c>
      <c r="N733" s="9">
        <v>1320</v>
      </c>
      <c r="O733" s="9">
        <v>1645</v>
      </c>
      <c r="P733" s="9">
        <v>0</v>
      </c>
      <c r="R733" s="11"/>
      <c r="S733" s="9"/>
      <c r="T733" s="9"/>
      <c r="U733" s="9"/>
    </row>
    <row r="734" spans="2:21" x14ac:dyDescent="0.4">
      <c r="B734" s="16">
        <f t="shared" si="82"/>
        <v>42997</v>
      </c>
      <c r="C734" s="1">
        <f t="shared" si="83"/>
        <v>5045</v>
      </c>
      <c r="D734" s="1">
        <f t="shared" si="84"/>
        <v>1320</v>
      </c>
      <c r="E734" s="1">
        <f t="shared" si="85"/>
        <v>1665</v>
      </c>
      <c r="F734" s="1"/>
      <c r="H734" s="16"/>
      <c r="I734" s="29"/>
      <c r="J734" s="1"/>
      <c r="L734" s="11">
        <v>42997</v>
      </c>
      <c r="M734" s="9">
        <v>5045</v>
      </c>
      <c r="N734" s="9">
        <v>1320</v>
      </c>
      <c r="O734" s="9">
        <v>1665</v>
      </c>
      <c r="P734" s="9">
        <v>0</v>
      </c>
      <c r="R734" s="11"/>
      <c r="S734" s="9"/>
      <c r="T734" s="9"/>
      <c r="U734" s="9"/>
    </row>
    <row r="735" spans="2:21" x14ac:dyDescent="0.4">
      <c r="B735" s="16">
        <f t="shared" si="82"/>
        <v>42998</v>
      </c>
      <c r="C735" s="1">
        <f t="shared" si="83"/>
        <v>5042</v>
      </c>
      <c r="D735" s="1">
        <f t="shared" si="84"/>
        <v>1320</v>
      </c>
      <c r="E735" s="1">
        <f t="shared" si="85"/>
        <v>1665</v>
      </c>
      <c r="F735" s="1"/>
      <c r="H735" s="16"/>
      <c r="I735" s="29"/>
      <c r="J735" s="1"/>
      <c r="L735" s="11">
        <v>42998</v>
      </c>
      <c r="M735" s="9">
        <v>5042</v>
      </c>
      <c r="N735" s="9">
        <v>1320</v>
      </c>
      <c r="O735" s="9">
        <v>1665</v>
      </c>
      <c r="P735" s="9">
        <v>0</v>
      </c>
      <c r="R735" s="11"/>
      <c r="S735" s="9"/>
      <c r="T735" s="9"/>
      <c r="U735" s="9"/>
    </row>
    <row r="736" spans="2:21" x14ac:dyDescent="0.4">
      <c r="B736" s="16">
        <f t="shared" si="82"/>
        <v>42999</v>
      </c>
      <c r="C736" s="1">
        <f t="shared" si="83"/>
        <v>5044</v>
      </c>
      <c r="D736" s="1">
        <f t="shared" si="84"/>
        <v>1320</v>
      </c>
      <c r="E736" s="1">
        <f t="shared" si="85"/>
        <v>1700</v>
      </c>
      <c r="F736" s="1"/>
      <c r="H736" s="16"/>
      <c r="I736" s="29"/>
      <c r="J736" s="1"/>
      <c r="L736" s="11">
        <v>42999</v>
      </c>
      <c r="M736" s="9">
        <v>5044</v>
      </c>
      <c r="N736" s="9">
        <v>1320</v>
      </c>
      <c r="O736" s="9">
        <v>1700</v>
      </c>
      <c r="P736" s="9">
        <v>0</v>
      </c>
      <c r="R736" s="11"/>
      <c r="S736" s="9"/>
      <c r="T736" s="9"/>
      <c r="U736" s="9"/>
    </row>
    <row r="737" spans="2:21" x14ac:dyDescent="0.4">
      <c r="B737" s="16">
        <f t="shared" si="82"/>
        <v>43000</v>
      </c>
      <c r="C737" s="1">
        <f t="shared" si="83"/>
        <v>5006</v>
      </c>
      <c r="D737" s="1">
        <f t="shared" si="84"/>
        <v>1350</v>
      </c>
      <c r="E737" s="1">
        <f t="shared" si="85"/>
        <v>1710</v>
      </c>
      <c r="F737" s="1"/>
      <c r="H737" s="16"/>
      <c r="I737" s="29"/>
      <c r="J737" s="1"/>
      <c r="L737" s="11">
        <v>43000</v>
      </c>
      <c r="M737" s="9">
        <v>5006</v>
      </c>
      <c r="N737" s="9">
        <v>1350</v>
      </c>
      <c r="O737" s="9">
        <v>1710</v>
      </c>
      <c r="P737" s="9">
        <v>0</v>
      </c>
      <c r="R737" s="11"/>
      <c r="S737" s="9"/>
      <c r="T737" s="9"/>
      <c r="U737" s="9"/>
    </row>
    <row r="738" spans="2:21" x14ac:dyDescent="0.4">
      <c r="B738" s="16">
        <f t="shared" si="82"/>
        <v>43003</v>
      </c>
      <c r="C738" s="1">
        <f t="shared" si="83"/>
        <v>5014</v>
      </c>
      <c r="D738" s="1">
        <f t="shared" si="84"/>
        <v>1350</v>
      </c>
      <c r="E738" s="1">
        <f t="shared" si="85"/>
        <v>1720</v>
      </c>
      <c r="F738" s="1"/>
      <c r="H738" s="16"/>
      <c r="I738" s="29"/>
      <c r="J738" s="1"/>
      <c r="L738" s="11">
        <v>43003</v>
      </c>
      <c r="M738" s="9">
        <v>5014</v>
      </c>
      <c r="N738" s="9">
        <v>1350</v>
      </c>
      <c r="O738" s="9">
        <v>1720</v>
      </c>
      <c r="P738" s="9">
        <v>0</v>
      </c>
      <c r="R738" s="11"/>
      <c r="S738" s="9"/>
      <c r="T738" s="9"/>
      <c r="U738" s="9"/>
    </row>
    <row r="739" spans="2:21" x14ac:dyDescent="0.4">
      <c r="B739" s="16">
        <f t="shared" si="82"/>
        <v>43004</v>
      </c>
      <c r="C739" s="1">
        <f t="shared" si="83"/>
        <v>5038</v>
      </c>
      <c r="D739" s="1">
        <f t="shared" si="84"/>
        <v>1350</v>
      </c>
      <c r="E739" s="1">
        <f t="shared" si="85"/>
        <v>1725</v>
      </c>
      <c r="F739" s="1"/>
      <c r="H739" s="16"/>
      <c r="I739" s="29"/>
      <c r="J739" s="1"/>
      <c r="L739" s="11">
        <v>43004</v>
      </c>
      <c r="M739" s="9">
        <v>5038</v>
      </c>
      <c r="N739" s="9">
        <v>1350</v>
      </c>
      <c r="O739" s="9">
        <v>1725</v>
      </c>
      <c r="P739" s="9">
        <v>0</v>
      </c>
      <c r="R739" s="11"/>
      <c r="S739" s="9"/>
      <c r="T739" s="9"/>
      <c r="U739" s="9"/>
    </row>
    <row r="740" spans="2:21" x14ac:dyDescent="0.4">
      <c r="B740" s="16">
        <f t="shared" si="82"/>
        <v>43005</v>
      </c>
      <c r="C740" s="1">
        <f t="shared" si="83"/>
        <v>5053</v>
      </c>
      <c r="D740" s="1">
        <f t="shared" si="84"/>
        <v>1350</v>
      </c>
      <c r="E740" s="1">
        <f t="shared" si="85"/>
        <v>1725</v>
      </c>
      <c r="F740" s="1"/>
      <c r="H740" s="16"/>
      <c r="I740" s="29"/>
      <c r="J740" s="1"/>
      <c r="L740" s="11">
        <v>43005</v>
      </c>
      <c r="M740" s="9">
        <v>5053</v>
      </c>
      <c r="N740" s="9">
        <v>1350</v>
      </c>
      <c r="O740" s="9">
        <v>1725</v>
      </c>
      <c r="P740" s="9">
        <v>0</v>
      </c>
      <c r="R740" s="11"/>
      <c r="S740" s="9"/>
      <c r="T740" s="9"/>
      <c r="U740" s="9"/>
    </row>
    <row r="741" spans="2:21" x14ac:dyDescent="0.4">
      <c r="B741" s="16">
        <f t="shared" si="82"/>
        <v>43006</v>
      </c>
      <c r="C741" s="1">
        <f t="shared" si="83"/>
        <v>5036</v>
      </c>
      <c r="D741" s="1">
        <f t="shared" si="84"/>
        <v>1350</v>
      </c>
      <c r="E741" s="1">
        <f t="shared" si="85"/>
        <v>1725</v>
      </c>
      <c r="F741" s="1"/>
      <c r="H741" s="16"/>
      <c r="I741" s="29"/>
      <c r="J741" s="1"/>
      <c r="L741" s="11">
        <v>43006</v>
      </c>
      <c r="M741" s="9">
        <v>5036</v>
      </c>
      <c r="N741" s="9">
        <v>1350</v>
      </c>
      <c r="O741" s="9">
        <v>1725</v>
      </c>
      <c r="P741" s="9">
        <v>0</v>
      </c>
      <c r="R741" s="11"/>
      <c r="S741" s="9"/>
      <c r="T741" s="9"/>
      <c r="U741" s="9"/>
    </row>
    <row r="742" spans="2:21" x14ac:dyDescent="0.4">
      <c r="B742" s="16">
        <f t="shared" si="82"/>
        <v>43007</v>
      </c>
      <c r="C742" s="1">
        <f t="shared" si="83"/>
        <v>5021</v>
      </c>
      <c r="D742" s="1">
        <f t="shared" si="84"/>
        <v>1325</v>
      </c>
      <c r="E742" s="1">
        <f t="shared" si="85"/>
        <v>1730</v>
      </c>
      <c r="F742" s="1"/>
      <c r="H742" s="16"/>
      <c r="I742" s="29"/>
      <c r="J742" s="1"/>
      <c r="L742" s="11">
        <v>43007</v>
      </c>
      <c r="M742" s="9">
        <v>5021</v>
      </c>
      <c r="N742" s="9">
        <v>1325</v>
      </c>
      <c r="O742" s="9">
        <v>1730</v>
      </c>
      <c r="P742" s="9">
        <v>0</v>
      </c>
      <c r="R742" s="11"/>
      <c r="S742" s="9"/>
      <c r="T742" s="9"/>
      <c r="U742" s="9"/>
    </row>
    <row r="743" spans="2:21" x14ac:dyDescent="0.4">
      <c r="B743" s="16">
        <f t="shared" si="82"/>
        <v>43008</v>
      </c>
      <c r="C743" s="1">
        <f t="shared" si="83"/>
        <v>5024</v>
      </c>
      <c r="D743" s="1">
        <f t="shared" si="84"/>
        <v>1325</v>
      </c>
      <c r="E743" s="1">
        <f t="shared" si="85"/>
        <v>1730</v>
      </c>
      <c r="F743" s="1"/>
      <c r="H743" s="16"/>
      <c r="I743" s="29"/>
      <c r="J743" s="1"/>
      <c r="L743" s="11">
        <v>43008</v>
      </c>
      <c r="M743" s="9">
        <v>5024</v>
      </c>
      <c r="N743" s="9">
        <v>0</v>
      </c>
      <c r="O743" s="9">
        <v>1730</v>
      </c>
      <c r="P743" s="9">
        <v>0</v>
      </c>
      <c r="R743" s="11"/>
      <c r="S743" s="9"/>
      <c r="T743" s="9"/>
      <c r="U743" s="9"/>
    </row>
    <row r="744" spans="2:21" x14ac:dyDescent="0.4">
      <c r="B744" s="16">
        <f t="shared" si="82"/>
        <v>43010</v>
      </c>
      <c r="C744" s="1">
        <f t="shared" si="83"/>
        <v>5024</v>
      </c>
      <c r="D744" s="1">
        <f t="shared" si="84"/>
        <v>1325</v>
      </c>
      <c r="E744" s="1">
        <f t="shared" si="85"/>
        <v>1730</v>
      </c>
      <c r="F744" s="1"/>
      <c r="H744" s="16"/>
      <c r="I744" s="29"/>
      <c r="J744" s="1"/>
      <c r="L744" s="11">
        <v>43010</v>
      </c>
      <c r="M744" s="9">
        <v>0</v>
      </c>
      <c r="N744" s="9">
        <v>1325</v>
      </c>
      <c r="O744" s="9">
        <v>0</v>
      </c>
      <c r="P744" s="9">
        <v>0</v>
      </c>
      <c r="R744" s="11"/>
      <c r="S744" s="9"/>
      <c r="T744" s="9"/>
      <c r="U744" s="9"/>
    </row>
    <row r="745" spans="2:21" x14ac:dyDescent="0.4">
      <c r="B745" s="16">
        <f t="shared" si="82"/>
        <v>43011</v>
      </c>
      <c r="C745" s="1">
        <f t="shared" si="83"/>
        <v>5024</v>
      </c>
      <c r="D745" s="1">
        <f t="shared" si="84"/>
        <v>1300</v>
      </c>
      <c r="E745" s="1">
        <f t="shared" si="85"/>
        <v>1730</v>
      </c>
      <c r="F745" s="1"/>
      <c r="H745" s="16"/>
      <c r="I745" s="29"/>
      <c r="J745" s="1"/>
      <c r="L745" s="11">
        <v>43011</v>
      </c>
      <c r="M745" s="9">
        <v>0</v>
      </c>
      <c r="N745" s="9">
        <v>1300</v>
      </c>
      <c r="O745" s="9">
        <v>0</v>
      </c>
      <c r="P745" s="9">
        <v>0</v>
      </c>
      <c r="R745" s="11"/>
      <c r="S745" s="9"/>
      <c r="T745" s="9"/>
      <c r="U745" s="9"/>
    </row>
    <row r="746" spans="2:21" x14ac:dyDescent="0.4">
      <c r="B746" s="16">
        <f t="shared" si="82"/>
        <v>43012</v>
      </c>
      <c r="C746" s="1">
        <f t="shared" si="83"/>
        <v>5024</v>
      </c>
      <c r="D746" s="1">
        <f t="shared" si="84"/>
        <v>1300</v>
      </c>
      <c r="E746" s="1">
        <f t="shared" si="85"/>
        <v>1730</v>
      </c>
      <c r="F746" s="1"/>
      <c r="H746" s="16"/>
      <c r="I746" s="29"/>
      <c r="J746" s="1"/>
      <c r="L746" s="11">
        <v>43012</v>
      </c>
      <c r="M746" s="9">
        <v>0</v>
      </c>
      <c r="N746" s="9">
        <v>1300</v>
      </c>
      <c r="O746" s="9">
        <v>0</v>
      </c>
      <c r="P746" s="9">
        <v>0</v>
      </c>
      <c r="R746" s="11"/>
      <c r="S746" s="9"/>
      <c r="T746" s="9"/>
      <c r="U746" s="9"/>
    </row>
    <row r="747" spans="2:21" x14ac:dyDescent="0.4">
      <c r="B747" s="16">
        <f t="shared" si="82"/>
        <v>43013</v>
      </c>
      <c r="C747" s="1">
        <f t="shared" si="83"/>
        <v>5024</v>
      </c>
      <c r="D747" s="1">
        <f t="shared" si="84"/>
        <v>1295</v>
      </c>
      <c r="E747" s="1">
        <f t="shared" si="85"/>
        <v>1730</v>
      </c>
      <c r="F747" s="1"/>
      <c r="H747" s="16"/>
      <c r="I747" s="29"/>
      <c r="J747" s="1"/>
      <c r="L747" s="11">
        <v>43013</v>
      </c>
      <c r="M747" s="9">
        <v>0</v>
      </c>
      <c r="N747" s="9">
        <v>1295</v>
      </c>
      <c r="O747" s="9">
        <v>0</v>
      </c>
      <c r="P747" s="9">
        <v>0</v>
      </c>
      <c r="R747" s="11"/>
      <c r="S747" s="9"/>
      <c r="T747" s="9"/>
      <c r="U747" s="9"/>
    </row>
    <row r="748" spans="2:21" x14ac:dyDescent="0.4">
      <c r="B748" s="16">
        <f t="shared" si="82"/>
        <v>43014</v>
      </c>
      <c r="C748" s="1">
        <f t="shared" si="83"/>
        <v>5024</v>
      </c>
      <c r="D748" s="1">
        <f t="shared" si="84"/>
        <v>1295</v>
      </c>
      <c r="E748" s="1">
        <f t="shared" si="85"/>
        <v>1730</v>
      </c>
      <c r="F748" s="1"/>
      <c r="H748" s="16"/>
      <c r="I748" s="29"/>
      <c r="J748" s="1"/>
      <c r="L748" s="11">
        <v>43014</v>
      </c>
      <c r="M748" s="9">
        <v>0</v>
      </c>
      <c r="N748" s="9">
        <v>1295</v>
      </c>
      <c r="O748" s="9">
        <v>0</v>
      </c>
      <c r="P748" s="9">
        <v>0</v>
      </c>
      <c r="R748" s="11"/>
      <c r="S748" s="9"/>
      <c r="T748" s="9"/>
      <c r="U748" s="9"/>
    </row>
    <row r="749" spans="2:21" x14ac:dyDescent="0.4">
      <c r="B749" s="16">
        <f t="shared" si="82"/>
        <v>43017</v>
      </c>
      <c r="C749" s="1">
        <f t="shared" si="83"/>
        <v>5031</v>
      </c>
      <c r="D749" s="1">
        <f t="shared" si="84"/>
        <v>1295</v>
      </c>
      <c r="E749" s="1">
        <f t="shared" si="85"/>
        <v>1730</v>
      </c>
      <c r="F749" s="1"/>
      <c r="H749" s="16"/>
      <c r="I749" s="29"/>
      <c r="J749" s="1"/>
      <c r="L749" s="11">
        <v>43017</v>
      </c>
      <c r="M749" s="9">
        <v>5031</v>
      </c>
      <c r="N749" s="9">
        <v>1295</v>
      </c>
      <c r="O749" s="9">
        <v>1730</v>
      </c>
      <c r="P749" s="9">
        <v>0</v>
      </c>
      <c r="R749" s="11"/>
      <c r="S749" s="9"/>
      <c r="T749" s="9"/>
      <c r="U749" s="9"/>
    </row>
    <row r="750" spans="2:21" x14ac:dyDescent="0.4">
      <c r="B750" s="16">
        <f t="shared" si="82"/>
        <v>43018</v>
      </c>
      <c r="C750" s="1">
        <f t="shared" si="83"/>
        <v>5028</v>
      </c>
      <c r="D750" s="1">
        <f t="shared" si="84"/>
        <v>1295</v>
      </c>
      <c r="E750" s="1">
        <f t="shared" si="85"/>
        <v>1740</v>
      </c>
      <c r="F750" s="1"/>
      <c r="H750" s="16"/>
      <c r="I750" s="29"/>
      <c r="J750" s="1"/>
      <c r="L750" s="11">
        <v>43018</v>
      </c>
      <c r="M750" s="9">
        <v>5028</v>
      </c>
      <c r="N750" s="9">
        <v>1295</v>
      </c>
      <c r="O750" s="9">
        <v>1740</v>
      </c>
      <c r="P750" s="9">
        <v>0</v>
      </c>
      <c r="R750" s="11"/>
      <c r="S750" s="9"/>
      <c r="T750" s="9"/>
      <c r="U750" s="9"/>
    </row>
    <row r="751" spans="2:21" x14ac:dyDescent="0.4">
      <c r="B751" s="16">
        <f t="shared" si="82"/>
        <v>43019</v>
      </c>
      <c r="C751" s="1">
        <f t="shared" si="83"/>
        <v>5017</v>
      </c>
      <c r="D751" s="1">
        <f t="shared" si="84"/>
        <v>1295</v>
      </c>
      <c r="E751" s="1">
        <f t="shared" si="85"/>
        <v>1740</v>
      </c>
      <c r="F751" s="1"/>
      <c r="H751" s="16"/>
      <c r="I751" s="29"/>
      <c r="J751" s="1"/>
      <c r="L751" s="11">
        <v>43019</v>
      </c>
      <c r="M751" s="9">
        <v>5017</v>
      </c>
      <c r="N751" s="9">
        <v>1295</v>
      </c>
      <c r="O751" s="9">
        <v>1740</v>
      </c>
      <c r="P751" s="9">
        <v>0</v>
      </c>
      <c r="R751" s="11"/>
      <c r="S751" s="9"/>
      <c r="T751" s="9"/>
      <c r="U751" s="9"/>
    </row>
    <row r="752" spans="2:21" x14ac:dyDescent="0.4">
      <c r="B752" s="16">
        <f t="shared" si="82"/>
        <v>43020</v>
      </c>
      <c r="C752" s="1">
        <f t="shared" si="83"/>
        <v>5013</v>
      </c>
      <c r="D752" s="1">
        <f t="shared" si="84"/>
        <v>1295</v>
      </c>
      <c r="E752" s="1">
        <f t="shared" si="85"/>
        <v>1740</v>
      </c>
      <c r="F752" s="1"/>
      <c r="H752" s="16"/>
      <c r="I752" s="29"/>
      <c r="J752" s="1"/>
      <c r="L752" s="11">
        <v>43020</v>
      </c>
      <c r="M752" s="9">
        <v>5013</v>
      </c>
      <c r="N752" s="9">
        <v>1295</v>
      </c>
      <c r="O752" s="9">
        <v>1740</v>
      </c>
      <c r="P752" s="9">
        <v>0</v>
      </c>
      <c r="R752" s="11"/>
      <c r="S752" s="9"/>
      <c r="T752" s="9"/>
      <c r="U752" s="9"/>
    </row>
    <row r="753" spans="2:21" x14ac:dyDescent="0.4">
      <c r="B753" s="16">
        <f t="shared" si="82"/>
        <v>43021</v>
      </c>
      <c r="C753" s="1">
        <f t="shared" si="83"/>
        <v>5027</v>
      </c>
      <c r="D753" s="1">
        <f t="shared" si="84"/>
        <v>1295</v>
      </c>
      <c r="E753" s="1">
        <f t="shared" si="85"/>
        <v>1740</v>
      </c>
      <c r="F753" s="1"/>
      <c r="H753" s="16"/>
      <c r="I753" s="29"/>
      <c r="J753" s="1"/>
      <c r="L753" s="11">
        <v>43021</v>
      </c>
      <c r="M753" s="9">
        <v>5027</v>
      </c>
      <c r="N753" s="9">
        <v>1295</v>
      </c>
      <c r="O753" s="9">
        <v>1740</v>
      </c>
      <c r="P753" s="9">
        <v>0</v>
      </c>
      <c r="R753" s="11"/>
      <c r="S753" s="9"/>
      <c r="T753" s="9"/>
      <c r="U753" s="9"/>
    </row>
    <row r="754" spans="2:21" x14ac:dyDescent="0.4">
      <c r="B754" s="16">
        <f t="shared" si="82"/>
        <v>43024</v>
      </c>
      <c r="C754" s="1">
        <f t="shared" si="83"/>
        <v>5050</v>
      </c>
      <c r="D754" s="1">
        <f t="shared" si="84"/>
        <v>1295</v>
      </c>
      <c r="E754" s="1">
        <f t="shared" si="85"/>
        <v>1745</v>
      </c>
      <c r="F754" s="1"/>
      <c r="H754" s="16"/>
      <c r="I754" s="29"/>
      <c r="J754" s="1"/>
      <c r="L754" s="11">
        <v>43024</v>
      </c>
      <c r="M754" s="9">
        <v>5050</v>
      </c>
      <c r="N754" s="9">
        <v>1295</v>
      </c>
      <c r="O754" s="9">
        <v>1745</v>
      </c>
      <c r="P754" s="9">
        <v>0</v>
      </c>
      <c r="R754" s="11"/>
      <c r="S754" s="9"/>
      <c r="T754" s="9"/>
      <c r="U754" s="9"/>
    </row>
    <row r="755" spans="2:21" x14ac:dyDescent="0.4">
      <c r="B755" s="16">
        <f t="shared" si="82"/>
        <v>43025</v>
      </c>
      <c r="C755" s="1">
        <f t="shared" si="83"/>
        <v>5068</v>
      </c>
      <c r="D755" s="1">
        <f t="shared" si="84"/>
        <v>1295</v>
      </c>
      <c r="E755" s="1">
        <f t="shared" si="85"/>
        <v>1760</v>
      </c>
      <c r="F755" s="1"/>
      <c r="H755" s="16"/>
      <c r="I755" s="29"/>
      <c r="J755" s="1"/>
      <c r="L755" s="11">
        <v>43025</v>
      </c>
      <c r="M755" s="9">
        <v>5068</v>
      </c>
      <c r="N755" s="9">
        <v>1295</v>
      </c>
      <c r="O755" s="9">
        <v>1760</v>
      </c>
      <c r="P755" s="9">
        <v>0</v>
      </c>
      <c r="R755" s="11"/>
      <c r="S755" s="9"/>
      <c r="T755" s="9"/>
      <c r="U755" s="9"/>
    </row>
    <row r="756" spans="2:21" x14ac:dyDescent="0.4">
      <c r="B756" s="16">
        <f t="shared" si="82"/>
        <v>43026</v>
      </c>
      <c r="C756" s="1">
        <f t="shared" si="83"/>
        <v>5078</v>
      </c>
      <c r="D756" s="1">
        <f t="shared" si="84"/>
        <v>1295</v>
      </c>
      <c r="E756" s="1">
        <f t="shared" si="85"/>
        <v>1775</v>
      </c>
      <c r="F756" s="1"/>
      <c r="H756" s="16"/>
      <c r="I756" s="29"/>
      <c r="J756" s="1"/>
      <c r="L756" s="11">
        <v>43026</v>
      </c>
      <c r="M756" s="9">
        <v>5078</v>
      </c>
      <c r="N756" s="9">
        <v>1295</v>
      </c>
      <c r="O756" s="9">
        <v>1775</v>
      </c>
      <c r="P756" s="9">
        <v>0</v>
      </c>
      <c r="R756" s="11"/>
      <c r="S756" s="9"/>
      <c r="T756" s="9"/>
      <c r="U756" s="9"/>
    </row>
    <row r="757" spans="2:21" x14ac:dyDescent="0.4">
      <c r="B757" s="16">
        <f t="shared" si="82"/>
        <v>43027</v>
      </c>
      <c r="C757" s="1">
        <f t="shared" si="83"/>
        <v>5075</v>
      </c>
      <c r="D757" s="1">
        <f t="shared" si="84"/>
        <v>1295</v>
      </c>
      <c r="E757" s="1">
        <f t="shared" si="85"/>
        <v>1780</v>
      </c>
      <c r="F757" s="1"/>
      <c r="H757" s="16"/>
      <c r="I757" s="29"/>
      <c r="J757" s="1"/>
      <c r="L757" s="11">
        <v>43027</v>
      </c>
      <c r="M757" s="9">
        <v>5075</v>
      </c>
      <c r="N757" s="9">
        <v>1295</v>
      </c>
      <c r="O757" s="9">
        <v>1780</v>
      </c>
      <c r="P757" s="9">
        <v>0</v>
      </c>
      <c r="R757" s="11"/>
      <c r="S757" s="9"/>
      <c r="T757" s="9"/>
      <c r="U757" s="9"/>
    </row>
    <row r="758" spans="2:21" x14ac:dyDescent="0.4">
      <c r="B758" s="16">
        <f t="shared" si="82"/>
        <v>43028</v>
      </c>
      <c r="C758" s="1">
        <f t="shared" si="83"/>
        <v>5076</v>
      </c>
      <c r="D758" s="1">
        <f t="shared" si="84"/>
        <v>1280</v>
      </c>
      <c r="E758" s="1">
        <f t="shared" si="85"/>
        <v>1780</v>
      </c>
      <c r="F758" s="1"/>
      <c r="H758" s="16"/>
      <c r="I758" s="29"/>
      <c r="J758" s="1"/>
      <c r="L758" s="11">
        <v>43028</v>
      </c>
      <c r="M758" s="9">
        <v>5076</v>
      </c>
      <c r="N758" s="9">
        <v>1280</v>
      </c>
      <c r="O758" s="9">
        <v>1780</v>
      </c>
      <c r="P758" s="9">
        <v>0</v>
      </c>
      <c r="R758" s="11"/>
      <c r="S758" s="9"/>
      <c r="T758" s="9"/>
      <c r="U758" s="9"/>
    </row>
    <row r="759" spans="2:21" x14ac:dyDescent="0.4">
      <c r="B759" s="16">
        <f t="shared" si="82"/>
        <v>43031</v>
      </c>
      <c r="C759" s="1">
        <f t="shared" si="83"/>
        <v>5106</v>
      </c>
      <c r="D759" s="1">
        <f t="shared" si="84"/>
        <v>1280</v>
      </c>
      <c r="E759" s="1">
        <f t="shared" si="85"/>
        <v>1790</v>
      </c>
      <c r="F759" s="1"/>
      <c r="H759" s="16"/>
      <c r="I759" s="29"/>
      <c r="J759" s="1"/>
      <c r="L759" s="11">
        <v>43031</v>
      </c>
      <c r="M759" s="9">
        <v>5106</v>
      </c>
      <c r="N759" s="9">
        <v>1280</v>
      </c>
      <c r="O759" s="9">
        <v>1790</v>
      </c>
      <c r="P759" s="9">
        <v>0</v>
      </c>
      <c r="R759" s="11"/>
      <c r="S759" s="9"/>
      <c r="T759" s="9"/>
      <c r="U759" s="9"/>
    </row>
    <row r="760" spans="2:21" x14ac:dyDescent="0.4">
      <c r="B760" s="16">
        <f t="shared" si="82"/>
        <v>43032</v>
      </c>
      <c r="C760" s="1">
        <f t="shared" si="83"/>
        <v>5114</v>
      </c>
      <c r="D760" s="1">
        <f t="shared" si="84"/>
        <v>1275</v>
      </c>
      <c r="E760" s="1">
        <f t="shared" si="85"/>
        <v>1790</v>
      </c>
      <c r="F760" s="1"/>
      <c r="H760" s="16"/>
      <c r="I760" s="29"/>
      <c r="J760" s="1"/>
      <c r="L760" s="11">
        <v>43032</v>
      </c>
      <c r="M760" s="9">
        <v>5114</v>
      </c>
      <c r="N760" s="9">
        <v>1275</v>
      </c>
      <c r="O760" s="9">
        <v>1790</v>
      </c>
      <c r="P760" s="9">
        <v>0</v>
      </c>
      <c r="R760" s="11"/>
      <c r="S760" s="9"/>
      <c r="T760" s="9"/>
      <c r="U760" s="9"/>
    </row>
    <row r="761" spans="2:21" x14ac:dyDescent="0.4">
      <c r="B761" s="16">
        <f t="shared" si="82"/>
        <v>43033</v>
      </c>
      <c r="C761" s="1">
        <f t="shared" si="83"/>
        <v>5122</v>
      </c>
      <c r="D761" s="1">
        <f t="shared" si="84"/>
        <v>1275</v>
      </c>
      <c r="E761" s="1">
        <f t="shared" si="85"/>
        <v>1795</v>
      </c>
      <c r="F761" s="1"/>
      <c r="H761" s="16"/>
      <c r="I761" s="29"/>
      <c r="J761" s="1"/>
      <c r="L761" s="11">
        <v>43033</v>
      </c>
      <c r="M761" s="9">
        <v>5122</v>
      </c>
      <c r="N761" s="9">
        <v>1275</v>
      </c>
      <c r="O761" s="9">
        <v>1795</v>
      </c>
      <c r="P761" s="9">
        <v>0</v>
      </c>
      <c r="R761" s="11"/>
      <c r="S761" s="9"/>
      <c r="T761" s="9"/>
      <c r="U761" s="9"/>
    </row>
    <row r="762" spans="2:21" x14ac:dyDescent="0.4">
      <c r="B762" s="16">
        <f t="shared" si="82"/>
        <v>43034</v>
      </c>
      <c r="C762" s="1">
        <f t="shared" si="83"/>
        <v>5117</v>
      </c>
      <c r="D762" s="1">
        <f t="shared" si="84"/>
        <v>1245</v>
      </c>
      <c r="E762" s="1">
        <f t="shared" si="85"/>
        <v>1800</v>
      </c>
      <c r="F762" s="1"/>
      <c r="H762" s="16"/>
      <c r="I762" s="29"/>
      <c r="J762" s="1"/>
      <c r="L762" s="11">
        <v>43034</v>
      </c>
      <c r="M762" s="9">
        <v>5117</v>
      </c>
      <c r="N762" s="9">
        <v>1245</v>
      </c>
      <c r="O762" s="9">
        <v>1800</v>
      </c>
      <c r="P762" s="9">
        <v>0</v>
      </c>
      <c r="R762" s="11"/>
      <c r="S762" s="9"/>
      <c r="T762" s="9"/>
      <c r="U762" s="9"/>
    </row>
    <row r="763" spans="2:21" x14ac:dyDescent="0.4">
      <c r="B763" s="16">
        <f t="shared" si="82"/>
        <v>43035</v>
      </c>
      <c r="C763" s="1">
        <f t="shared" si="83"/>
        <v>5106</v>
      </c>
      <c r="D763" s="1">
        <f t="shared" si="84"/>
        <v>1240</v>
      </c>
      <c r="E763" s="1">
        <f t="shared" si="85"/>
        <v>1805</v>
      </c>
      <c r="F763" s="1"/>
      <c r="H763" s="16"/>
      <c r="I763" s="29"/>
      <c r="J763" s="1"/>
      <c r="L763" s="11">
        <v>43035</v>
      </c>
      <c r="M763" s="9">
        <v>5106</v>
      </c>
      <c r="N763" s="9">
        <v>1240</v>
      </c>
      <c r="O763" s="9">
        <v>1805</v>
      </c>
      <c r="P763" s="9">
        <v>0</v>
      </c>
      <c r="R763" s="11"/>
      <c r="S763" s="9"/>
      <c r="T763" s="9"/>
      <c r="U763" s="9"/>
    </row>
    <row r="764" spans="2:21" x14ac:dyDescent="0.4">
      <c r="B764" s="16">
        <f t="shared" si="82"/>
        <v>43038</v>
      </c>
      <c r="C764" s="1">
        <f t="shared" si="83"/>
        <v>5089</v>
      </c>
      <c r="D764" s="1">
        <f t="shared" si="84"/>
        <v>1240</v>
      </c>
      <c r="E764" s="1">
        <f t="shared" si="85"/>
        <v>1805</v>
      </c>
      <c r="F764" s="1"/>
      <c r="H764" s="16"/>
      <c r="I764" s="29"/>
      <c r="J764" s="1"/>
      <c r="L764" s="11">
        <v>43038</v>
      </c>
      <c r="M764" s="9">
        <v>5089</v>
      </c>
      <c r="N764" s="9">
        <v>1240</v>
      </c>
      <c r="O764" s="9">
        <v>1805</v>
      </c>
      <c r="P764" s="9">
        <v>0</v>
      </c>
      <c r="R764" s="11"/>
      <c r="S764" s="9"/>
      <c r="T764" s="9"/>
      <c r="U764" s="9"/>
    </row>
    <row r="765" spans="2:21" x14ac:dyDescent="0.4">
      <c r="B765" s="16">
        <f t="shared" si="82"/>
        <v>43039</v>
      </c>
      <c r="C765" s="1">
        <f t="shared" si="83"/>
        <v>5072</v>
      </c>
      <c r="D765" s="1">
        <f t="shared" si="84"/>
        <v>1240</v>
      </c>
      <c r="E765" s="1">
        <f t="shared" si="85"/>
        <v>1805</v>
      </c>
      <c r="F765" s="1"/>
      <c r="H765" s="16"/>
      <c r="I765" s="29"/>
      <c r="J765" s="1"/>
      <c r="L765" s="11">
        <v>43039</v>
      </c>
      <c r="M765" s="9">
        <v>5072</v>
      </c>
      <c r="N765" s="9">
        <v>1240</v>
      </c>
      <c r="O765" s="9">
        <v>1805</v>
      </c>
      <c r="P765" s="9">
        <v>0</v>
      </c>
      <c r="R765" s="11"/>
      <c r="S765" s="9"/>
      <c r="T765" s="9"/>
      <c r="U765" s="9"/>
    </row>
    <row r="766" spans="2:21" x14ac:dyDescent="0.4">
      <c r="B766" s="16">
        <f t="shared" si="82"/>
        <v>43040</v>
      </c>
      <c r="C766" s="1">
        <f t="shared" si="83"/>
        <v>5073</v>
      </c>
      <c r="D766" s="1">
        <f t="shared" si="84"/>
        <v>1240</v>
      </c>
      <c r="E766" s="1">
        <f t="shared" si="85"/>
        <v>1805</v>
      </c>
      <c r="F766" s="1"/>
      <c r="H766" s="16"/>
      <c r="I766" s="29"/>
      <c r="J766" s="1"/>
      <c r="L766" s="11">
        <v>43040</v>
      </c>
      <c r="M766" s="9">
        <v>5073</v>
      </c>
      <c r="N766" s="9">
        <v>1240</v>
      </c>
      <c r="O766" s="9">
        <v>1805</v>
      </c>
      <c r="P766" s="9">
        <v>0</v>
      </c>
      <c r="R766" s="11"/>
      <c r="S766" s="9"/>
      <c r="T766" s="9"/>
      <c r="U766" s="9"/>
    </row>
    <row r="767" spans="2:21" x14ac:dyDescent="0.4">
      <c r="B767" s="16">
        <f t="shared" si="82"/>
        <v>43041</v>
      </c>
      <c r="C767" s="1">
        <f t="shared" si="83"/>
        <v>5085</v>
      </c>
      <c r="D767" s="1">
        <f t="shared" si="84"/>
        <v>1240</v>
      </c>
      <c r="E767" s="1">
        <f t="shared" si="85"/>
        <v>1815</v>
      </c>
      <c r="F767" s="1"/>
      <c r="H767" s="16"/>
      <c r="I767" s="29"/>
      <c r="J767" s="1"/>
      <c r="L767" s="11">
        <v>43041</v>
      </c>
      <c r="M767" s="9">
        <v>5085</v>
      </c>
      <c r="N767" s="9">
        <v>1240</v>
      </c>
      <c r="O767" s="9">
        <v>1815</v>
      </c>
      <c r="P767" s="9">
        <v>0</v>
      </c>
      <c r="R767" s="11"/>
      <c r="S767" s="9"/>
      <c r="T767" s="9"/>
      <c r="U767" s="9"/>
    </row>
    <row r="768" spans="2:21" x14ac:dyDescent="0.4">
      <c r="B768" s="16">
        <f t="shared" si="82"/>
        <v>43042</v>
      </c>
      <c r="C768" s="1">
        <f t="shared" si="83"/>
        <v>5083</v>
      </c>
      <c r="D768" s="1">
        <f t="shared" si="84"/>
        <v>1250</v>
      </c>
      <c r="E768" s="1">
        <f t="shared" si="85"/>
        <v>1815</v>
      </c>
      <c r="F768" s="1"/>
      <c r="H768" s="16"/>
      <c r="I768" s="29"/>
      <c r="J768" s="1"/>
      <c r="L768" s="11">
        <v>43042</v>
      </c>
      <c r="M768" s="9">
        <v>5083</v>
      </c>
      <c r="N768" s="9">
        <v>1250</v>
      </c>
      <c r="O768" s="9">
        <v>1815</v>
      </c>
      <c r="P768" s="9">
        <v>0</v>
      </c>
      <c r="R768" s="11"/>
      <c r="S768" s="9"/>
      <c r="T768" s="9"/>
      <c r="U768" s="9"/>
    </row>
    <row r="769" spans="2:21" x14ac:dyDescent="0.4">
      <c r="B769" s="16">
        <f t="shared" si="82"/>
        <v>43045</v>
      </c>
      <c r="C769" s="1">
        <f t="shared" si="83"/>
        <v>5103</v>
      </c>
      <c r="D769" s="1">
        <f t="shared" si="84"/>
        <v>1250</v>
      </c>
      <c r="E769" s="1">
        <f t="shared" si="85"/>
        <v>1815</v>
      </c>
      <c r="F769" s="1"/>
      <c r="H769" s="16"/>
      <c r="I769" s="29"/>
      <c r="J769" s="1"/>
      <c r="L769" s="11">
        <v>43045</v>
      </c>
      <c r="M769" s="9">
        <v>5103</v>
      </c>
      <c r="N769" s="9">
        <v>1250</v>
      </c>
      <c r="O769" s="9">
        <v>1815</v>
      </c>
      <c r="P769" s="9">
        <v>0</v>
      </c>
      <c r="R769" s="11"/>
      <c r="S769" s="9"/>
      <c r="T769" s="9"/>
      <c r="U769" s="9"/>
    </row>
    <row r="770" spans="2:21" x14ac:dyDescent="0.4">
      <c r="B770" s="16">
        <f t="shared" si="82"/>
        <v>43046</v>
      </c>
      <c r="C770" s="1">
        <f t="shared" si="83"/>
        <v>5116</v>
      </c>
      <c r="D770" s="1">
        <f t="shared" si="84"/>
        <v>1260</v>
      </c>
      <c r="E770" s="1">
        <f t="shared" si="85"/>
        <v>1825</v>
      </c>
      <c r="F770" s="1"/>
      <c r="H770" s="16"/>
      <c r="I770" s="29"/>
      <c r="J770" s="1"/>
      <c r="L770" s="11">
        <v>43046</v>
      </c>
      <c r="M770" s="9">
        <v>5116</v>
      </c>
      <c r="N770" s="9">
        <v>1260</v>
      </c>
      <c r="O770" s="9">
        <v>1825</v>
      </c>
      <c r="P770" s="9">
        <v>0</v>
      </c>
      <c r="R770" s="11"/>
      <c r="S770" s="9"/>
      <c r="T770" s="9"/>
      <c r="U770" s="9"/>
    </row>
    <row r="771" spans="2:21" x14ac:dyDescent="0.4">
      <c r="B771" s="16">
        <f t="shared" si="82"/>
        <v>43047</v>
      </c>
      <c r="C771" s="1">
        <f t="shared" si="83"/>
        <v>5120</v>
      </c>
      <c r="D771" s="1">
        <f t="shared" si="84"/>
        <v>1290</v>
      </c>
      <c r="E771" s="1">
        <f t="shared" si="85"/>
        <v>1820</v>
      </c>
      <c r="F771" s="1"/>
      <c r="H771" s="16"/>
      <c r="I771" s="29"/>
      <c r="J771" s="1"/>
      <c r="L771" s="11">
        <v>43047</v>
      </c>
      <c r="M771" s="9">
        <v>5120</v>
      </c>
      <c r="N771" s="9">
        <v>1290</v>
      </c>
      <c r="O771" s="9">
        <v>1820</v>
      </c>
      <c r="P771" s="9">
        <v>0</v>
      </c>
      <c r="R771" s="11"/>
      <c r="S771" s="9"/>
      <c r="T771" s="9"/>
      <c r="U771" s="9"/>
    </row>
    <row r="772" spans="2:21" x14ac:dyDescent="0.4">
      <c r="B772" s="16">
        <f t="shared" si="82"/>
        <v>43048</v>
      </c>
      <c r="C772" s="1">
        <f t="shared" si="83"/>
        <v>5128</v>
      </c>
      <c r="D772" s="1">
        <f t="shared" si="84"/>
        <v>1300</v>
      </c>
      <c r="E772" s="1">
        <f t="shared" si="85"/>
        <v>1820</v>
      </c>
      <c r="F772" s="1"/>
      <c r="H772" s="16"/>
      <c r="I772" s="29"/>
      <c r="J772" s="1"/>
      <c r="L772" s="11">
        <v>43048</v>
      </c>
      <c r="M772" s="9">
        <v>5128</v>
      </c>
      <c r="N772" s="9">
        <v>1300</v>
      </c>
      <c r="O772" s="9">
        <v>1820</v>
      </c>
      <c r="P772" s="9">
        <v>0</v>
      </c>
      <c r="R772" s="11"/>
      <c r="S772" s="9"/>
      <c r="T772" s="9"/>
      <c r="U772" s="9"/>
    </row>
    <row r="773" spans="2:21" x14ac:dyDescent="0.4">
      <c r="B773" s="16">
        <f t="shared" si="82"/>
        <v>43049</v>
      </c>
      <c r="C773" s="1">
        <f t="shared" si="83"/>
        <v>5121</v>
      </c>
      <c r="D773" s="1">
        <f t="shared" si="84"/>
        <v>1300</v>
      </c>
      <c r="E773" s="1">
        <f t="shared" si="85"/>
        <v>1820</v>
      </c>
      <c r="F773" s="1"/>
      <c r="H773" s="16"/>
      <c r="I773" s="29"/>
      <c r="J773" s="1"/>
      <c r="L773" s="11">
        <v>43049</v>
      </c>
      <c r="M773" s="9">
        <v>5121</v>
      </c>
      <c r="N773" s="9">
        <v>1300</v>
      </c>
      <c r="O773" s="9">
        <v>1820</v>
      </c>
      <c r="P773" s="9">
        <v>0</v>
      </c>
      <c r="R773" s="11"/>
      <c r="S773" s="9"/>
      <c r="T773" s="9"/>
      <c r="U773" s="9"/>
    </row>
    <row r="774" spans="2:21" x14ac:dyDescent="0.4">
      <c r="B774" s="16">
        <f t="shared" ref="B774:B837" si="86">L774</f>
        <v>43052</v>
      </c>
      <c r="C774" s="1">
        <f t="shared" si="83"/>
        <v>5132</v>
      </c>
      <c r="D774" s="1">
        <f t="shared" si="84"/>
        <v>1300</v>
      </c>
      <c r="E774" s="1">
        <f t="shared" si="85"/>
        <v>1820</v>
      </c>
      <c r="F774" s="1"/>
      <c r="H774" s="16"/>
      <c r="I774" s="29"/>
      <c r="J774" s="1"/>
      <c r="L774" s="11">
        <v>43052</v>
      </c>
      <c r="M774" s="9">
        <v>5132</v>
      </c>
      <c r="N774" s="9">
        <v>1300</v>
      </c>
      <c r="O774" s="9">
        <v>1820</v>
      </c>
      <c r="P774" s="9">
        <v>0</v>
      </c>
      <c r="R774" s="11"/>
      <c r="S774" s="9"/>
      <c r="T774" s="9"/>
      <c r="U774" s="9"/>
    </row>
    <row r="775" spans="2:21" x14ac:dyDescent="0.4">
      <c r="B775" s="16">
        <f t="shared" si="86"/>
        <v>43053</v>
      </c>
      <c r="C775" s="1">
        <f t="shared" ref="C775:C838" si="87">IF(M775&lt;&gt;0,M775,C774)</f>
        <v>5154</v>
      </c>
      <c r="D775" s="1">
        <f t="shared" ref="D775:D838" si="88">IF(N775&lt;&gt;0,N775,D774)</f>
        <v>1300</v>
      </c>
      <c r="E775" s="1">
        <f t="shared" ref="E775:E838" si="89">IF(O775&lt;&gt;0,O775,E774)</f>
        <v>1820</v>
      </c>
      <c r="F775" s="1"/>
      <c r="H775" s="16"/>
      <c r="I775" s="29"/>
      <c r="J775" s="1"/>
      <c r="L775" s="11">
        <v>43053</v>
      </c>
      <c r="M775" s="9">
        <v>5154</v>
      </c>
      <c r="N775" s="9">
        <v>1300</v>
      </c>
      <c r="O775" s="9">
        <v>1820</v>
      </c>
      <c r="P775" s="9">
        <v>0</v>
      </c>
      <c r="R775" s="11"/>
      <c r="S775" s="9"/>
      <c r="T775" s="9"/>
      <c r="U775" s="9"/>
    </row>
    <row r="776" spans="2:21" x14ac:dyDescent="0.4">
      <c r="B776" s="16">
        <f t="shared" si="86"/>
        <v>43054</v>
      </c>
      <c r="C776" s="1">
        <f t="shared" si="87"/>
        <v>5140</v>
      </c>
      <c r="D776" s="1">
        <f t="shared" si="88"/>
        <v>1300</v>
      </c>
      <c r="E776" s="1">
        <f t="shared" si="89"/>
        <v>1810</v>
      </c>
      <c r="F776" s="1"/>
      <c r="H776" s="16"/>
      <c r="I776" s="29"/>
      <c r="J776" s="1"/>
      <c r="L776" s="11">
        <v>43054</v>
      </c>
      <c r="M776" s="9">
        <v>5140</v>
      </c>
      <c r="N776" s="9">
        <v>1300</v>
      </c>
      <c r="O776" s="9">
        <v>1810</v>
      </c>
      <c r="P776" s="9">
        <v>0</v>
      </c>
      <c r="R776" s="11"/>
      <c r="S776" s="9"/>
      <c r="T776" s="9"/>
      <c r="U776" s="9"/>
    </row>
    <row r="777" spans="2:21" x14ac:dyDescent="0.4">
      <c r="B777" s="16">
        <f t="shared" si="86"/>
        <v>43055</v>
      </c>
      <c r="C777" s="1">
        <f t="shared" si="87"/>
        <v>5132</v>
      </c>
      <c r="D777" s="1">
        <f t="shared" si="88"/>
        <v>1300</v>
      </c>
      <c r="E777" s="1">
        <f t="shared" si="89"/>
        <v>1810</v>
      </c>
      <c r="F777" s="1"/>
      <c r="H777" s="16"/>
      <c r="I777" s="29"/>
      <c r="J777" s="1"/>
      <c r="L777" s="11">
        <v>43055</v>
      </c>
      <c r="M777" s="9">
        <v>5132</v>
      </c>
      <c r="N777" s="9">
        <v>1300</v>
      </c>
      <c r="O777" s="9">
        <v>1810</v>
      </c>
      <c r="P777" s="9">
        <v>0</v>
      </c>
      <c r="R777" s="11"/>
      <c r="S777" s="9"/>
      <c r="T777" s="9"/>
      <c r="U777" s="9"/>
    </row>
    <row r="778" spans="2:21" x14ac:dyDescent="0.4">
      <c r="B778" s="16">
        <f t="shared" si="86"/>
        <v>43056</v>
      </c>
      <c r="C778" s="1">
        <f t="shared" si="87"/>
        <v>5135</v>
      </c>
      <c r="D778" s="1">
        <f t="shared" si="88"/>
        <v>1295</v>
      </c>
      <c r="E778" s="1">
        <f t="shared" si="89"/>
        <v>1810</v>
      </c>
      <c r="F778" s="1"/>
      <c r="H778" s="16"/>
      <c r="I778" s="29"/>
      <c r="J778" s="1"/>
      <c r="L778" s="11">
        <v>43056</v>
      </c>
      <c r="M778" s="9">
        <v>5135</v>
      </c>
      <c r="N778" s="9">
        <v>1295</v>
      </c>
      <c r="O778" s="9">
        <v>1810</v>
      </c>
      <c r="P778" s="9">
        <v>0</v>
      </c>
      <c r="R778" s="11"/>
      <c r="S778" s="9"/>
      <c r="T778" s="9"/>
      <c r="U778" s="9"/>
    </row>
    <row r="779" spans="2:21" x14ac:dyDescent="0.4">
      <c r="B779" s="16">
        <f t="shared" si="86"/>
        <v>43059</v>
      </c>
      <c r="C779" s="1">
        <f t="shared" si="87"/>
        <v>5136</v>
      </c>
      <c r="D779" s="1">
        <f t="shared" si="88"/>
        <v>1295</v>
      </c>
      <c r="E779" s="1">
        <f t="shared" si="89"/>
        <v>1805</v>
      </c>
      <c r="F779" s="1"/>
      <c r="H779" s="16"/>
      <c r="I779" s="29"/>
      <c r="J779" s="1"/>
      <c r="L779" s="11">
        <v>43059</v>
      </c>
      <c r="M779" s="9">
        <v>5136</v>
      </c>
      <c r="N779" s="9">
        <v>1295</v>
      </c>
      <c r="O779" s="9">
        <v>1805</v>
      </c>
      <c r="P779" s="9">
        <v>0</v>
      </c>
      <c r="R779" s="11"/>
      <c r="S779" s="9"/>
      <c r="T779" s="9"/>
      <c r="U779" s="9"/>
    </row>
    <row r="780" spans="2:21" x14ac:dyDescent="0.4">
      <c r="B780" s="16">
        <f t="shared" si="86"/>
        <v>43060</v>
      </c>
      <c r="C780" s="1">
        <f t="shared" si="87"/>
        <v>5159</v>
      </c>
      <c r="D780" s="1">
        <f t="shared" si="88"/>
        <v>1295</v>
      </c>
      <c r="E780" s="1">
        <f t="shared" si="89"/>
        <v>1805</v>
      </c>
      <c r="F780" s="1"/>
      <c r="H780" s="16"/>
      <c r="I780" s="29"/>
      <c r="J780" s="1"/>
      <c r="L780" s="11">
        <v>43060</v>
      </c>
      <c r="M780" s="9">
        <v>5159</v>
      </c>
      <c r="N780" s="9">
        <v>1295</v>
      </c>
      <c r="O780" s="9">
        <v>1805</v>
      </c>
      <c r="P780" s="9">
        <v>0</v>
      </c>
      <c r="R780" s="11"/>
      <c r="S780" s="9"/>
      <c r="T780" s="9"/>
      <c r="U780" s="9"/>
    </row>
    <row r="781" spans="2:21" x14ac:dyDescent="0.4">
      <c r="B781" s="16">
        <f t="shared" si="86"/>
        <v>43061</v>
      </c>
      <c r="C781" s="1">
        <f t="shared" si="87"/>
        <v>5172</v>
      </c>
      <c r="D781" s="1">
        <f t="shared" si="88"/>
        <v>1295</v>
      </c>
      <c r="E781" s="1">
        <f t="shared" si="89"/>
        <v>1800</v>
      </c>
      <c r="F781" s="1"/>
      <c r="H781" s="16"/>
      <c r="I781" s="29"/>
      <c r="J781" s="1"/>
      <c r="L781" s="11">
        <v>43061</v>
      </c>
      <c r="M781" s="9">
        <v>5172</v>
      </c>
      <c r="N781" s="9">
        <v>1295</v>
      </c>
      <c r="O781" s="9">
        <v>1800</v>
      </c>
      <c r="P781" s="9">
        <v>0</v>
      </c>
      <c r="R781" s="11"/>
      <c r="S781" s="9"/>
      <c r="T781" s="9"/>
      <c r="U781" s="9"/>
    </row>
    <row r="782" spans="2:21" x14ac:dyDescent="0.4">
      <c r="B782" s="16">
        <f t="shared" si="86"/>
        <v>43062</v>
      </c>
      <c r="C782" s="1">
        <f t="shared" si="87"/>
        <v>5186</v>
      </c>
      <c r="D782" s="1">
        <f t="shared" si="88"/>
        <v>1300</v>
      </c>
      <c r="E782" s="1">
        <f t="shared" si="89"/>
        <v>1790</v>
      </c>
      <c r="F782" s="1"/>
      <c r="H782" s="16"/>
      <c r="I782" s="29"/>
      <c r="J782" s="1"/>
      <c r="L782" s="11">
        <v>43062</v>
      </c>
      <c r="M782" s="9">
        <v>5186</v>
      </c>
      <c r="N782" s="9">
        <v>1300</v>
      </c>
      <c r="O782" s="9">
        <v>1790</v>
      </c>
      <c r="P782" s="9">
        <v>0</v>
      </c>
      <c r="R782" s="11"/>
      <c r="S782" s="9"/>
      <c r="T782" s="9"/>
      <c r="U782" s="9"/>
    </row>
    <row r="783" spans="2:21" x14ac:dyDescent="0.4">
      <c r="B783" s="16">
        <f t="shared" si="86"/>
        <v>43063</v>
      </c>
      <c r="C783" s="1">
        <f t="shared" si="87"/>
        <v>5189</v>
      </c>
      <c r="D783" s="1">
        <f t="shared" si="88"/>
        <v>1300</v>
      </c>
      <c r="E783" s="1">
        <f t="shared" si="89"/>
        <v>1790</v>
      </c>
      <c r="F783" s="1"/>
      <c r="H783" s="16"/>
      <c r="I783" s="29"/>
      <c r="J783" s="1"/>
      <c r="L783" s="11">
        <v>43063</v>
      </c>
      <c r="M783" s="9">
        <v>5189</v>
      </c>
      <c r="N783" s="9">
        <v>1300</v>
      </c>
      <c r="O783" s="9">
        <v>1790</v>
      </c>
      <c r="P783" s="9">
        <v>0</v>
      </c>
      <c r="R783" s="11"/>
      <c r="S783" s="9"/>
      <c r="T783" s="9"/>
      <c r="U783" s="9"/>
    </row>
    <row r="784" spans="2:21" x14ac:dyDescent="0.4">
      <c r="B784" s="16">
        <f t="shared" si="86"/>
        <v>43066</v>
      </c>
      <c r="C784" s="1">
        <f t="shared" si="87"/>
        <v>5193</v>
      </c>
      <c r="D784" s="1">
        <f t="shared" si="88"/>
        <v>1301</v>
      </c>
      <c r="E784" s="1">
        <f t="shared" si="89"/>
        <v>1800</v>
      </c>
      <c r="F784" s="1"/>
      <c r="H784" s="16"/>
      <c r="I784" s="29"/>
      <c r="J784" s="1"/>
      <c r="L784" s="11">
        <v>43066</v>
      </c>
      <c r="M784" s="9">
        <v>5193</v>
      </c>
      <c r="N784" s="9">
        <v>1301</v>
      </c>
      <c r="O784" s="9">
        <v>1800</v>
      </c>
      <c r="P784" s="9">
        <v>0</v>
      </c>
      <c r="R784" s="11"/>
      <c r="S784" s="9"/>
      <c r="T784" s="9"/>
      <c r="U784" s="9"/>
    </row>
    <row r="785" spans="2:21" x14ac:dyDescent="0.4">
      <c r="B785" s="16">
        <f t="shared" si="86"/>
        <v>43067</v>
      </c>
      <c r="C785" s="1">
        <f t="shared" si="87"/>
        <v>5178</v>
      </c>
      <c r="D785" s="1">
        <f t="shared" si="88"/>
        <v>1300</v>
      </c>
      <c r="E785" s="1">
        <f t="shared" si="89"/>
        <v>1800</v>
      </c>
      <c r="F785" s="1"/>
      <c r="H785" s="16"/>
      <c r="I785" s="29"/>
      <c r="J785" s="1"/>
      <c r="L785" s="11">
        <v>43067</v>
      </c>
      <c r="M785" s="9">
        <v>5178</v>
      </c>
      <c r="N785" s="9">
        <v>1300</v>
      </c>
      <c r="O785" s="9">
        <v>1800</v>
      </c>
      <c r="P785" s="9">
        <v>0</v>
      </c>
      <c r="R785" s="11"/>
      <c r="S785" s="9"/>
      <c r="T785" s="9"/>
      <c r="U785" s="9"/>
    </row>
    <row r="786" spans="2:21" x14ac:dyDescent="0.4">
      <c r="B786" s="16">
        <f t="shared" si="86"/>
        <v>43068</v>
      </c>
      <c r="C786" s="1">
        <f t="shared" si="87"/>
        <v>5184</v>
      </c>
      <c r="D786" s="1">
        <f t="shared" si="88"/>
        <v>1300</v>
      </c>
      <c r="E786" s="1">
        <f t="shared" si="89"/>
        <v>1805</v>
      </c>
      <c r="F786" s="1"/>
      <c r="H786" s="16"/>
      <c r="I786" s="29"/>
      <c r="J786" s="1"/>
      <c r="L786" s="11">
        <v>43068</v>
      </c>
      <c r="M786" s="9">
        <v>5184</v>
      </c>
      <c r="N786" s="9">
        <v>1300</v>
      </c>
      <c r="O786" s="9">
        <v>1805</v>
      </c>
      <c r="P786" s="9">
        <v>0</v>
      </c>
      <c r="R786" s="11"/>
      <c r="S786" s="9"/>
      <c r="T786" s="9"/>
      <c r="U786" s="9"/>
    </row>
    <row r="787" spans="2:21" x14ac:dyDescent="0.4">
      <c r="B787" s="16">
        <f t="shared" si="86"/>
        <v>43069</v>
      </c>
      <c r="C787" s="1">
        <f t="shared" si="87"/>
        <v>5195</v>
      </c>
      <c r="D787" s="1">
        <f t="shared" si="88"/>
        <v>1301</v>
      </c>
      <c r="E787" s="1">
        <f t="shared" si="89"/>
        <v>1805</v>
      </c>
      <c r="F787" s="1"/>
      <c r="H787" s="16"/>
      <c r="I787" s="29"/>
      <c r="J787" s="1"/>
      <c r="L787" s="11">
        <v>43069</v>
      </c>
      <c r="M787" s="9">
        <v>5195</v>
      </c>
      <c r="N787" s="9">
        <v>1301</v>
      </c>
      <c r="O787" s="9">
        <v>1805</v>
      </c>
      <c r="P787" s="9">
        <v>0</v>
      </c>
      <c r="R787" s="11"/>
      <c r="S787" s="9"/>
      <c r="T787" s="9"/>
      <c r="U787" s="9"/>
    </row>
    <row r="788" spans="2:21" x14ac:dyDescent="0.4">
      <c r="B788" s="16">
        <f t="shared" si="86"/>
        <v>43070</v>
      </c>
      <c r="C788" s="1">
        <f t="shared" si="87"/>
        <v>5177</v>
      </c>
      <c r="D788" s="1">
        <f t="shared" si="88"/>
        <v>1310</v>
      </c>
      <c r="E788" s="1">
        <f t="shared" si="89"/>
        <v>1805</v>
      </c>
      <c r="F788" s="1"/>
      <c r="H788" s="16"/>
      <c r="I788" s="29"/>
      <c r="J788" s="1"/>
      <c r="L788" s="11">
        <v>43070</v>
      </c>
      <c r="M788" s="9">
        <v>5177</v>
      </c>
      <c r="N788" s="9">
        <v>1310</v>
      </c>
      <c r="O788" s="9">
        <v>1805</v>
      </c>
      <c r="P788" s="9">
        <v>0</v>
      </c>
      <c r="R788" s="11"/>
      <c r="S788" s="9"/>
      <c r="T788" s="9"/>
      <c r="U788" s="9"/>
    </row>
    <row r="789" spans="2:21" x14ac:dyDescent="0.4">
      <c r="B789" s="16">
        <f t="shared" si="86"/>
        <v>43073</v>
      </c>
      <c r="C789" s="1">
        <f t="shared" si="87"/>
        <v>5231</v>
      </c>
      <c r="D789" s="1">
        <f t="shared" si="88"/>
        <v>1310</v>
      </c>
      <c r="E789" s="1">
        <f t="shared" si="89"/>
        <v>1805</v>
      </c>
      <c r="F789" s="1"/>
      <c r="H789" s="16"/>
      <c r="I789" s="29"/>
      <c r="J789" s="1"/>
      <c r="L789" s="11">
        <v>43073</v>
      </c>
      <c r="M789" s="9">
        <v>5231</v>
      </c>
      <c r="N789" s="9">
        <v>1310</v>
      </c>
      <c r="O789" s="9">
        <v>1805</v>
      </c>
      <c r="P789" s="9">
        <v>0</v>
      </c>
      <c r="R789" s="11"/>
      <c r="S789" s="9"/>
      <c r="T789" s="9"/>
      <c r="U789" s="9"/>
    </row>
    <row r="790" spans="2:21" x14ac:dyDescent="0.4">
      <c r="B790" s="16">
        <f t="shared" si="86"/>
        <v>43074</v>
      </c>
      <c r="C790" s="1">
        <f t="shared" si="87"/>
        <v>5250</v>
      </c>
      <c r="D790" s="1">
        <f t="shared" si="88"/>
        <v>1310</v>
      </c>
      <c r="E790" s="1">
        <f t="shared" si="89"/>
        <v>1805</v>
      </c>
      <c r="F790" s="1"/>
      <c r="H790" s="16"/>
      <c r="I790" s="29"/>
      <c r="J790" s="1"/>
      <c r="L790" s="11">
        <v>43074</v>
      </c>
      <c r="M790" s="9">
        <v>5250</v>
      </c>
      <c r="N790" s="9">
        <v>1310</v>
      </c>
      <c r="O790" s="9">
        <v>1805</v>
      </c>
      <c r="P790" s="9">
        <v>0</v>
      </c>
      <c r="R790" s="11"/>
      <c r="S790" s="9"/>
      <c r="T790" s="9"/>
      <c r="U790" s="9"/>
    </row>
    <row r="791" spans="2:21" x14ac:dyDescent="0.4">
      <c r="B791" s="16">
        <f t="shared" si="86"/>
        <v>43075</v>
      </c>
      <c r="C791" s="1">
        <f t="shared" si="87"/>
        <v>5262</v>
      </c>
      <c r="D791" s="1">
        <f t="shared" si="88"/>
        <v>1310</v>
      </c>
      <c r="E791" s="1">
        <f t="shared" si="89"/>
        <v>1805</v>
      </c>
      <c r="F791" s="1"/>
      <c r="H791" s="16"/>
      <c r="I791" s="29"/>
      <c r="J791" s="1"/>
      <c r="L791" s="11">
        <v>43075</v>
      </c>
      <c r="M791" s="9">
        <v>5262</v>
      </c>
      <c r="N791" s="9">
        <v>1310</v>
      </c>
      <c r="O791" s="9">
        <v>1805</v>
      </c>
      <c r="P791" s="9">
        <v>0</v>
      </c>
      <c r="R791" s="11"/>
      <c r="S791" s="9"/>
      <c r="T791" s="9"/>
      <c r="U791" s="9"/>
    </row>
    <row r="792" spans="2:21" x14ac:dyDescent="0.4">
      <c r="B792" s="16">
        <f t="shared" si="86"/>
        <v>43076</v>
      </c>
      <c r="C792" s="1">
        <f t="shared" si="87"/>
        <v>5258</v>
      </c>
      <c r="D792" s="1">
        <f t="shared" si="88"/>
        <v>1310</v>
      </c>
      <c r="E792" s="1">
        <f t="shared" si="89"/>
        <v>1805</v>
      </c>
      <c r="F792" s="1"/>
      <c r="H792" s="16"/>
      <c r="I792" s="29"/>
      <c r="J792" s="1"/>
      <c r="L792" s="11">
        <v>43076</v>
      </c>
      <c r="M792" s="9">
        <v>5258</v>
      </c>
      <c r="N792" s="9">
        <v>1310</v>
      </c>
      <c r="O792" s="9">
        <v>1805</v>
      </c>
      <c r="P792" s="9">
        <v>0</v>
      </c>
      <c r="R792" s="11"/>
      <c r="S792" s="9"/>
      <c r="T792" s="9"/>
      <c r="U792" s="9"/>
    </row>
    <row r="793" spans="2:21" x14ac:dyDescent="0.4">
      <c r="B793" s="16">
        <f t="shared" si="86"/>
        <v>43077</v>
      </c>
      <c r="C793" s="1">
        <f t="shared" si="87"/>
        <v>5252</v>
      </c>
      <c r="D793" s="1">
        <f t="shared" si="88"/>
        <v>1310</v>
      </c>
      <c r="E793" s="1">
        <f t="shared" si="89"/>
        <v>1805</v>
      </c>
      <c r="F793" s="1"/>
      <c r="H793" s="16"/>
      <c r="I793" s="29"/>
      <c r="J793" s="1"/>
      <c r="L793" s="11">
        <v>43077</v>
      </c>
      <c r="M793" s="9">
        <v>5252</v>
      </c>
      <c r="N793" s="9">
        <v>1310</v>
      </c>
      <c r="O793" s="9">
        <v>1805</v>
      </c>
      <c r="P793" s="9">
        <v>0</v>
      </c>
      <c r="R793" s="11"/>
      <c r="S793" s="9"/>
      <c r="T793" s="9"/>
      <c r="U793" s="9"/>
    </row>
    <row r="794" spans="2:21" x14ac:dyDescent="0.4">
      <c r="B794" s="16">
        <f t="shared" si="86"/>
        <v>43080</v>
      </c>
      <c r="C794" s="1">
        <f t="shared" si="87"/>
        <v>5249</v>
      </c>
      <c r="D794" s="1">
        <f t="shared" si="88"/>
        <v>1310</v>
      </c>
      <c r="E794" s="1">
        <f t="shared" si="89"/>
        <v>1815</v>
      </c>
      <c r="F794" s="1"/>
      <c r="H794" s="16"/>
      <c r="I794" s="29"/>
      <c r="J794" s="1"/>
      <c r="L794" s="11">
        <v>43080</v>
      </c>
      <c r="M794" s="9">
        <v>5249</v>
      </c>
      <c r="N794" s="9">
        <v>1310</v>
      </c>
      <c r="O794" s="9">
        <v>1815</v>
      </c>
      <c r="P794" s="9">
        <v>0</v>
      </c>
      <c r="R794" s="11"/>
      <c r="S794" s="9"/>
      <c r="T794" s="9"/>
      <c r="U794" s="9"/>
    </row>
    <row r="795" spans="2:21" x14ac:dyDescent="0.4">
      <c r="B795" s="16">
        <f t="shared" si="86"/>
        <v>43081</v>
      </c>
      <c r="C795" s="1">
        <f t="shared" si="87"/>
        <v>5262</v>
      </c>
      <c r="D795" s="1">
        <f t="shared" si="88"/>
        <v>1310</v>
      </c>
      <c r="E795" s="1">
        <f t="shared" si="89"/>
        <v>1870</v>
      </c>
      <c r="F795" s="1"/>
      <c r="H795" s="16"/>
      <c r="I795" s="29"/>
      <c r="J795" s="1"/>
      <c r="L795" s="11">
        <v>43081</v>
      </c>
      <c r="M795" s="9">
        <v>5262</v>
      </c>
      <c r="N795" s="9">
        <v>1310</v>
      </c>
      <c r="O795" s="9">
        <v>1870</v>
      </c>
      <c r="P795" s="9">
        <v>0</v>
      </c>
      <c r="R795" s="11"/>
      <c r="S795" s="9"/>
      <c r="T795" s="9"/>
      <c r="U795" s="9"/>
    </row>
    <row r="796" spans="2:21" x14ac:dyDescent="0.4">
      <c r="B796" s="16">
        <f t="shared" si="86"/>
        <v>43082</v>
      </c>
      <c r="C796" s="1">
        <f t="shared" si="87"/>
        <v>5267</v>
      </c>
      <c r="D796" s="1">
        <f t="shared" si="88"/>
        <v>1330</v>
      </c>
      <c r="E796" s="1">
        <f t="shared" si="89"/>
        <v>1890</v>
      </c>
      <c r="F796" s="1"/>
      <c r="H796" s="16"/>
      <c r="I796" s="29"/>
      <c r="J796" s="1"/>
      <c r="L796" s="11">
        <v>43082</v>
      </c>
      <c r="M796" s="9">
        <v>5267</v>
      </c>
      <c r="N796" s="9">
        <v>1330</v>
      </c>
      <c r="O796" s="9">
        <v>1890</v>
      </c>
      <c r="P796" s="9">
        <v>0</v>
      </c>
      <c r="R796" s="11"/>
      <c r="S796" s="9"/>
      <c r="T796" s="9"/>
      <c r="U796" s="9"/>
    </row>
    <row r="797" spans="2:21" x14ac:dyDescent="0.4">
      <c r="B797" s="16">
        <f t="shared" si="86"/>
        <v>43083</v>
      </c>
      <c r="C797" s="1">
        <f t="shared" si="87"/>
        <v>5276</v>
      </c>
      <c r="D797" s="1">
        <f t="shared" si="88"/>
        <v>1330</v>
      </c>
      <c r="E797" s="1">
        <f t="shared" si="89"/>
        <v>1890</v>
      </c>
      <c r="F797" s="1"/>
      <c r="H797" s="16"/>
      <c r="I797" s="29"/>
      <c r="J797" s="1"/>
      <c r="L797" s="11">
        <v>43083</v>
      </c>
      <c r="M797" s="9">
        <v>5276</v>
      </c>
      <c r="N797" s="9">
        <v>1330</v>
      </c>
      <c r="O797" s="9">
        <v>1890</v>
      </c>
      <c r="P797" s="9">
        <v>0</v>
      </c>
      <c r="R797" s="11"/>
      <c r="S797" s="9"/>
      <c r="T797" s="9"/>
      <c r="U797" s="9"/>
    </row>
    <row r="798" spans="2:21" x14ac:dyDescent="0.4">
      <c r="B798" s="16">
        <f t="shared" si="86"/>
        <v>43084</v>
      </c>
      <c r="C798" s="1">
        <f t="shared" si="87"/>
        <v>5263</v>
      </c>
      <c r="D798" s="1">
        <f t="shared" si="88"/>
        <v>1330</v>
      </c>
      <c r="E798" s="1">
        <f t="shared" si="89"/>
        <v>1920</v>
      </c>
      <c r="F798" s="1"/>
      <c r="H798" s="16"/>
      <c r="I798" s="29"/>
      <c r="J798" s="1"/>
      <c r="L798" s="11">
        <v>43084</v>
      </c>
      <c r="M798" s="9">
        <v>5263</v>
      </c>
      <c r="N798" s="9">
        <v>1330</v>
      </c>
      <c r="O798" s="9">
        <v>1920</v>
      </c>
      <c r="P798" s="9">
        <v>0</v>
      </c>
      <c r="R798" s="11"/>
      <c r="S798" s="9"/>
      <c r="T798" s="9"/>
      <c r="U798" s="9"/>
    </row>
    <row r="799" spans="2:21" x14ac:dyDescent="0.4">
      <c r="B799" s="16">
        <f t="shared" si="86"/>
        <v>43087</v>
      </c>
      <c r="C799" s="1">
        <f t="shared" si="87"/>
        <v>5270</v>
      </c>
      <c r="D799" s="1">
        <f t="shared" si="88"/>
        <v>1330</v>
      </c>
      <c r="E799" s="1">
        <f t="shared" si="89"/>
        <v>1930</v>
      </c>
      <c r="F799" s="1"/>
      <c r="H799" s="16"/>
      <c r="I799" s="29"/>
      <c r="J799" s="1"/>
      <c r="L799" s="11">
        <v>43087</v>
      </c>
      <c r="M799" s="9">
        <v>5270</v>
      </c>
      <c r="N799" s="9">
        <v>1330</v>
      </c>
      <c r="O799" s="9">
        <v>1930</v>
      </c>
      <c r="P799" s="9">
        <v>0</v>
      </c>
      <c r="R799" s="11"/>
      <c r="S799" s="9"/>
      <c r="T799" s="9"/>
      <c r="U799" s="9"/>
    </row>
    <row r="800" spans="2:21" x14ac:dyDescent="0.4">
      <c r="B800" s="16">
        <f t="shared" si="86"/>
        <v>43088</v>
      </c>
      <c r="C800" s="1">
        <f t="shared" si="87"/>
        <v>5263</v>
      </c>
      <c r="D800" s="1">
        <f t="shared" si="88"/>
        <v>1330</v>
      </c>
      <c r="E800" s="1">
        <f t="shared" si="89"/>
        <v>1940</v>
      </c>
      <c r="F800" s="1"/>
      <c r="H800" s="16"/>
      <c r="I800" s="29"/>
      <c r="J800" s="1"/>
      <c r="L800" s="11">
        <v>43088</v>
      </c>
      <c r="M800" s="9">
        <v>5263</v>
      </c>
      <c r="N800" s="9">
        <v>1330</v>
      </c>
      <c r="O800" s="9">
        <v>1940</v>
      </c>
      <c r="P800" s="9">
        <v>0</v>
      </c>
      <c r="R800" s="11"/>
      <c r="S800" s="9"/>
      <c r="T800" s="9"/>
      <c r="U800" s="9"/>
    </row>
    <row r="801" spans="2:21" x14ac:dyDescent="0.4">
      <c r="B801" s="16">
        <f t="shared" si="86"/>
        <v>43089</v>
      </c>
      <c r="C801" s="1">
        <f t="shared" si="87"/>
        <v>5280</v>
      </c>
      <c r="D801" s="1">
        <f t="shared" si="88"/>
        <v>1360</v>
      </c>
      <c r="E801" s="1">
        <f t="shared" si="89"/>
        <v>1960</v>
      </c>
      <c r="F801" s="1"/>
      <c r="H801" s="16"/>
      <c r="I801" s="29"/>
      <c r="J801" s="1"/>
      <c r="L801" s="11">
        <v>43089</v>
      </c>
      <c r="M801" s="9">
        <v>5280</v>
      </c>
      <c r="N801" s="9">
        <v>1360</v>
      </c>
      <c r="O801" s="9">
        <v>1960</v>
      </c>
      <c r="P801" s="9">
        <v>0</v>
      </c>
      <c r="R801" s="11"/>
      <c r="S801" s="9"/>
      <c r="T801" s="9"/>
      <c r="U801" s="9"/>
    </row>
    <row r="802" spans="2:21" x14ac:dyDescent="0.4">
      <c r="B802" s="16">
        <f t="shared" si="86"/>
        <v>43090</v>
      </c>
      <c r="C802" s="1">
        <f t="shared" si="87"/>
        <v>5296</v>
      </c>
      <c r="D802" s="1">
        <f t="shared" si="88"/>
        <v>1360</v>
      </c>
      <c r="E802" s="1">
        <f t="shared" si="89"/>
        <v>2010</v>
      </c>
      <c r="F802" s="1"/>
      <c r="H802" s="16"/>
      <c r="I802" s="29"/>
      <c r="J802" s="1"/>
      <c r="L802" s="11">
        <v>43090</v>
      </c>
      <c r="M802" s="9">
        <v>5296</v>
      </c>
      <c r="N802" s="9">
        <v>1360</v>
      </c>
      <c r="O802" s="9">
        <v>2010</v>
      </c>
      <c r="P802" s="9">
        <v>0</v>
      </c>
      <c r="R802" s="11"/>
      <c r="S802" s="9"/>
      <c r="T802" s="9"/>
      <c r="U802" s="9"/>
    </row>
    <row r="803" spans="2:21" x14ac:dyDescent="0.4">
      <c r="B803" s="16">
        <f t="shared" si="86"/>
        <v>43091</v>
      </c>
      <c r="C803" s="1">
        <f t="shared" si="87"/>
        <v>5292</v>
      </c>
      <c r="D803" s="1">
        <f t="shared" si="88"/>
        <v>1360</v>
      </c>
      <c r="E803" s="1">
        <f t="shared" si="89"/>
        <v>2050</v>
      </c>
      <c r="F803" s="1"/>
      <c r="H803" s="16"/>
      <c r="I803" s="29"/>
      <c r="J803" s="1"/>
      <c r="L803" s="11">
        <v>43091</v>
      </c>
      <c r="M803" s="9">
        <v>5292</v>
      </c>
      <c r="N803" s="9">
        <v>1360</v>
      </c>
      <c r="O803" s="9">
        <v>2050</v>
      </c>
      <c r="P803" s="9">
        <v>0</v>
      </c>
      <c r="R803" s="11"/>
      <c r="S803" s="9"/>
      <c r="T803" s="9"/>
      <c r="U803" s="9"/>
    </row>
    <row r="804" spans="2:21" x14ac:dyDescent="0.4">
      <c r="B804" s="16">
        <f t="shared" si="86"/>
        <v>43094</v>
      </c>
      <c r="C804" s="1">
        <f t="shared" si="87"/>
        <v>5287</v>
      </c>
      <c r="D804" s="1">
        <f t="shared" si="88"/>
        <v>1360</v>
      </c>
      <c r="E804" s="1">
        <f t="shared" si="89"/>
        <v>2080</v>
      </c>
      <c r="F804" s="1"/>
      <c r="H804" s="16"/>
      <c r="I804" s="29"/>
      <c r="J804" s="1"/>
      <c r="L804" s="11">
        <v>43094</v>
      </c>
      <c r="M804" s="9">
        <v>5287</v>
      </c>
      <c r="N804" s="9">
        <v>0</v>
      </c>
      <c r="O804" s="9">
        <v>2080</v>
      </c>
      <c r="P804" s="9">
        <v>0</v>
      </c>
      <c r="R804" s="11"/>
      <c r="S804" s="9"/>
      <c r="T804" s="9"/>
      <c r="U804" s="9"/>
    </row>
    <row r="805" spans="2:21" x14ac:dyDescent="0.4">
      <c r="B805" s="16">
        <f t="shared" si="86"/>
        <v>43095</v>
      </c>
      <c r="C805" s="1">
        <f t="shared" si="87"/>
        <v>5278</v>
      </c>
      <c r="D805" s="1">
        <f t="shared" si="88"/>
        <v>1360</v>
      </c>
      <c r="E805" s="1">
        <f t="shared" si="89"/>
        <v>2075</v>
      </c>
      <c r="F805" s="1"/>
      <c r="H805" s="16"/>
      <c r="I805" s="29"/>
      <c r="J805" s="1"/>
      <c r="L805" s="11">
        <v>43095</v>
      </c>
      <c r="M805" s="9">
        <v>5278</v>
      </c>
      <c r="N805" s="9">
        <v>1360</v>
      </c>
      <c r="O805" s="9">
        <v>2075</v>
      </c>
      <c r="P805" s="9">
        <v>0</v>
      </c>
      <c r="R805" s="11"/>
      <c r="S805" s="9"/>
      <c r="T805" s="9"/>
      <c r="U805" s="9"/>
    </row>
    <row r="806" spans="2:21" x14ac:dyDescent="0.4">
      <c r="B806" s="16">
        <f t="shared" si="86"/>
        <v>43096</v>
      </c>
      <c r="C806" s="1">
        <f t="shared" si="87"/>
        <v>5271</v>
      </c>
      <c r="D806" s="1">
        <f t="shared" si="88"/>
        <v>1360</v>
      </c>
      <c r="E806" s="1">
        <f t="shared" si="89"/>
        <v>2080</v>
      </c>
      <c r="F806" s="1"/>
      <c r="H806" s="16"/>
      <c r="I806" s="29"/>
      <c r="J806" s="1"/>
      <c r="L806" s="11">
        <v>43096</v>
      </c>
      <c r="M806" s="9">
        <v>5271</v>
      </c>
      <c r="N806" s="9">
        <v>1360</v>
      </c>
      <c r="O806" s="9">
        <v>2080</v>
      </c>
      <c r="P806" s="9">
        <v>0</v>
      </c>
      <c r="R806" s="11"/>
      <c r="S806" s="9"/>
      <c r="T806" s="9"/>
      <c r="U806" s="9"/>
    </row>
    <row r="807" spans="2:21" x14ac:dyDescent="0.4">
      <c r="B807" s="16">
        <f t="shared" si="86"/>
        <v>43097</v>
      </c>
      <c r="C807" s="1">
        <f t="shared" si="87"/>
        <v>5264</v>
      </c>
      <c r="D807" s="1">
        <f t="shared" si="88"/>
        <v>1380</v>
      </c>
      <c r="E807" s="1">
        <f t="shared" si="89"/>
        <v>2070</v>
      </c>
      <c r="F807" s="1"/>
      <c r="H807" s="16"/>
      <c r="I807" s="29"/>
      <c r="J807" s="1"/>
      <c r="L807" s="11">
        <v>43097</v>
      </c>
      <c r="M807" s="9">
        <v>5264</v>
      </c>
      <c r="N807" s="9">
        <v>1380</v>
      </c>
      <c r="O807" s="9">
        <v>2070</v>
      </c>
      <c r="P807" s="9">
        <v>0</v>
      </c>
      <c r="R807" s="11"/>
      <c r="S807" s="9"/>
      <c r="T807" s="9"/>
      <c r="U807" s="9"/>
    </row>
    <row r="808" spans="2:21" x14ac:dyDescent="0.4">
      <c r="B808" s="16">
        <f t="shared" si="86"/>
        <v>43098</v>
      </c>
      <c r="C808" s="1">
        <f t="shared" si="87"/>
        <v>5267</v>
      </c>
      <c r="D808" s="1">
        <f t="shared" si="88"/>
        <v>1380</v>
      </c>
      <c r="E808" s="1">
        <f t="shared" si="89"/>
        <v>2075</v>
      </c>
      <c r="F808" s="1"/>
      <c r="H808" s="16"/>
      <c r="I808" s="29"/>
      <c r="J808" s="1"/>
      <c r="L808" s="11">
        <v>43098</v>
      </c>
      <c r="M808" s="9">
        <v>5267</v>
      </c>
      <c r="N808" s="9">
        <v>1380</v>
      </c>
      <c r="O808" s="9">
        <v>2075</v>
      </c>
      <c r="P808" s="9">
        <v>0</v>
      </c>
      <c r="R808" s="11"/>
      <c r="S808" s="9"/>
      <c r="T808" s="9"/>
      <c r="U808" s="9"/>
    </row>
    <row r="809" spans="2:21" x14ac:dyDescent="0.4">
      <c r="B809" s="16">
        <f t="shared" si="86"/>
        <v>43101</v>
      </c>
      <c r="C809" s="1">
        <f t="shared" si="87"/>
        <v>5267</v>
      </c>
      <c r="D809" s="1">
        <f t="shared" si="88"/>
        <v>1380</v>
      </c>
      <c r="E809" s="1">
        <f t="shared" si="89"/>
        <v>2075</v>
      </c>
      <c r="F809" s="1"/>
      <c r="H809" s="16"/>
      <c r="I809" s="29"/>
      <c r="J809" s="1"/>
      <c r="L809" s="11">
        <v>43101</v>
      </c>
      <c r="M809" s="9">
        <v>0</v>
      </c>
      <c r="N809" s="9">
        <v>1380</v>
      </c>
      <c r="O809" s="9">
        <v>0</v>
      </c>
      <c r="P809" s="9">
        <v>0</v>
      </c>
      <c r="R809" s="11"/>
      <c r="S809" s="9"/>
      <c r="T809" s="9"/>
      <c r="U809" s="9"/>
    </row>
    <row r="810" spans="2:21" x14ac:dyDescent="0.4">
      <c r="B810" s="16">
        <f t="shared" si="86"/>
        <v>43102</v>
      </c>
      <c r="C810" s="1">
        <f t="shared" si="87"/>
        <v>5296</v>
      </c>
      <c r="D810" s="1">
        <f t="shared" si="88"/>
        <v>1380</v>
      </c>
      <c r="E810" s="1">
        <f t="shared" si="89"/>
        <v>2070</v>
      </c>
      <c r="F810" s="1"/>
      <c r="H810" s="16"/>
      <c r="I810" s="29"/>
      <c r="J810" s="1"/>
      <c r="L810" s="11">
        <v>43102</v>
      </c>
      <c r="M810" s="9">
        <v>5296</v>
      </c>
      <c r="N810" s="9">
        <v>1380</v>
      </c>
      <c r="O810" s="9">
        <v>2070</v>
      </c>
      <c r="P810" s="9">
        <v>0</v>
      </c>
      <c r="R810" s="11"/>
      <c r="S810" s="9"/>
      <c r="T810" s="9"/>
      <c r="U810" s="9"/>
    </row>
    <row r="811" spans="2:21" x14ac:dyDescent="0.4">
      <c r="B811" s="16">
        <f t="shared" si="86"/>
        <v>43103</v>
      </c>
      <c r="C811" s="1">
        <f t="shared" si="87"/>
        <v>5312</v>
      </c>
      <c r="D811" s="1">
        <f t="shared" si="88"/>
        <v>1380</v>
      </c>
      <c r="E811" s="1">
        <f t="shared" si="89"/>
        <v>2080</v>
      </c>
      <c r="F811" s="1"/>
      <c r="H811" s="16"/>
      <c r="I811" s="29"/>
      <c r="J811" s="1"/>
      <c r="L811" s="11">
        <v>43103</v>
      </c>
      <c r="M811" s="9">
        <v>5312</v>
      </c>
      <c r="N811" s="9">
        <v>1380</v>
      </c>
      <c r="O811" s="9">
        <v>2080</v>
      </c>
      <c r="P811" s="9">
        <v>0</v>
      </c>
      <c r="R811" s="11"/>
      <c r="S811" s="9"/>
      <c r="T811" s="9"/>
      <c r="U811" s="9"/>
    </row>
    <row r="812" spans="2:21" x14ac:dyDescent="0.4">
      <c r="B812" s="16">
        <f t="shared" si="86"/>
        <v>43104</v>
      </c>
      <c r="C812" s="1">
        <f t="shared" si="87"/>
        <v>5312</v>
      </c>
      <c r="D812" s="1">
        <f t="shared" si="88"/>
        <v>1400</v>
      </c>
      <c r="E812" s="1">
        <f t="shared" si="89"/>
        <v>2080</v>
      </c>
      <c r="F812" s="1"/>
      <c r="H812" s="16"/>
      <c r="I812" s="29"/>
      <c r="J812" s="1"/>
      <c r="L812" s="11">
        <v>43104</v>
      </c>
      <c r="M812" s="9">
        <v>5312</v>
      </c>
      <c r="N812" s="9">
        <v>1400</v>
      </c>
      <c r="O812" s="9">
        <v>2080</v>
      </c>
      <c r="P812" s="9">
        <v>0</v>
      </c>
      <c r="R812" s="11"/>
      <c r="S812" s="9"/>
      <c r="T812" s="9"/>
      <c r="U812" s="9"/>
    </row>
    <row r="813" spans="2:21" x14ac:dyDescent="0.4">
      <c r="B813" s="16">
        <f t="shared" si="86"/>
        <v>43105</v>
      </c>
      <c r="C813" s="1">
        <f t="shared" si="87"/>
        <v>5321</v>
      </c>
      <c r="D813" s="1">
        <f t="shared" si="88"/>
        <v>1405</v>
      </c>
      <c r="E813" s="1">
        <f t="shared" si="89"/>
        <v>2080</v>
      </c>
      <c r="F813" s="1"/>
      <c r="H813" s="16"/>
      <c r="I813" s="29"/>
      <c r="J813" s="1"/>
      <c r="L813" s="11">
        <v>43105</v>
      </c>
      <c r="M813" s="9">
        <v>5321</v>
      </c>
      <c r="N813" s="9">
        <v>1405</v>
      </c>
      <c r="O813" s="9">
        <v>2080</v>
      </c>
      <c r="P813" s="9">
        <v>0</v>
      </c>
      <c r="R813" s="11"/>
      <c r="S813" s="9"/>
      <c r="T813" s="9"/>
      <c r="U813" s="9"/>
    </row>
    <row r="814" spans="2:21" x14ac:dyDescent="0.4">
      <c r="B814" s="16">
        <f t="shared" si="86"/>
        <v>43108</v>
      </c>
      <c r="C814" s="1">
        <f t="shared" si="87"/>
        <v>5351</v>
      </c>
      <c r="D814" s="1">
        <f t="shared" si="88"/>
        <v>1405</v>
      </c>
      <c r="E814" s="1">
        <f t="shared" si="89"/>
        <v>2070</v>
      </c>
      <c r="F814" s="1"/>
      <c r="H814" s="16"/>
      <c r="I814" s="29"/>
      <c r="J814" s="1"/>
      <c r="L814" s="11">
        <v>43108</v>
      </c>
      <c r="M814" s="9">
        <v>5351</v>
      </c>
      <c r="N814" s="9">
        <v>1405</v>
      </c>
      <c r="O814" s="9">
        <v>2070</v>
      </c>
      <c r="P814" s="9">
        <v>0</v>
      </c>
      <c r="R814" s="11"/>
      <c r="S814" s="9"/>
      <c r="T814" s="9"/>
      <c r="U814" s="9"/>
    </row>
    <row r="815" spans="2:21" x14ac:dyDescent="0.4">
      <c r="B815" s="16">
        <f t="shared" si="86"/>
        <v>43109</v>
      </c>
      <c r="C815" s="1">
        <f t="shared" si="87"/>
        <v>5351</v>
      </c>
      <c r="D815" s="1">
        <f t="shared" si="88"/>
        <v>1405</v>
      </c>
      <c r="E815" s="1">
        <f t="shared" si="89"/>
        <v>2065</v>
      </c>
      <c r="F815" s="1"/>
      <c r="H815" s="16"/>
      <c r="I815" s="29"/>
      <c r="J815" s="1"/>
      <c r="L815" s="11">
        <v>43109</v>
      </c>
      <c r="M815" s="9">
        <v>5351</v>
      </c>
      <c r="N815" s="9">
        <v>1405</v>
      </c>
      <c r="O815" s="9">
        <v>2065</v>
      </c>
      <c r="P815" s="9">
        <v>0</v>
      </c>
      <c r="R815" s="11"/>
      <c r="S815" s="9"/>
      <c r="T815" s="9"/>
      <c r="U815" s="9"/>
    </row>
    <row r="816" spans="2:21" x14ac:dyDescent="0.4">
      <c r="B816" s="16">
        <f t="shared" si="86"/>
        <v>43110</v>
      </c>
      <c r="C816" s="1">
        <f t="shared" si="87"/>
        <v>5357</v>
      </c>
      <c r="D816" s="1">
        <f t="shared" si="88"/>
        <v>1420</v>
      </c>
      <c r="E816" s="1">
        <f t="shared" si="89"/>
        <v>2065</v>
      </c>
      <c r="F816" s="1"/>
      <c r="H816" s="16"/>
      <c r="I816" s="29"/>
      <c r="J816" s="1"/>
      <c r="L816" s="11">
        <v>43110</v>
      </c>
      <c r="M816" s="9">
        <v>5357</v>
      </c>
      <c r="N816" s="9">
        <v>1420</v>
      </c>
      <c r="O816" s="9">
        <v>2065</v>
      </c>
      <c r="P816" s="9">
        <v>0</v>
      </c>
      <c r="R816" s="11"/>
      <c r="S816" s="9"/>
      <c r="T816" s="9"/>
      <c r="U816" s="9"/>
    </row>
    <row r="817" spans="2:21" x14ac:dyDescent="0.4">
      <c r="B817" s="16">
        <f t="shared" si="86"/>
        <v>43111</v>
      </c>
      <c r="C817" s="1">
        <f t="shared" si="87"/>
        <v>5352</v>
      </c>
      <c r="D817" s="1">
        <f t="shared" si="88"/>
        <v>1420</v>
      </c>
      <c r="E817" s="1">
        <f t="shared" si="89"/>
        <v>2065</v>
      </c>
      <c r="F817" s="1"/>
      <c r="H817" s="16"/>
      <c r="I817" s="29"/>
      <c r="J817" s="1"/>
      <c r="L817" s="11">
        <v>43111</v>
      </c>
      <c r="M817" s="9">
        <v>5352</v>
      </c>
      <c r="N817" s="9">
        <v>1420</v>
      </c>
      <c r="O817" s="9">
        <v>2065</v>
      </c>
      <c r="P817" s="9">
        <v>0</v>
      </c>
      <c r="R817" s="11"/>
      <c r="S817" s="9"/>
      <c r="T817" s="9"/>
      <c r="U817" s="9"/>
    </row>
    <row r="818" spans="2:21" x14ac:dyDescent="0.4">
      <c r="B818" s="16">
        <f t="shared" si="86"/>
        <v>43112</v>
      </c>
      <c r="C818" s="1">
        <f t="shared" si="87"/>
        <v>5360</v>
      </c>
      <c r="D818" s="1">
        <f t="shared" si="88"/>
        <v>1380</v>
      </c>
      <c r="E818" s="1">
        <f t="shared" si="89"/>
        <v>2065</v>
      </c>
      <c r="F818" s="1"/>
      <c r="H818" s="16"/>
      <c r="I818" s="29"/>
      <c r="J818" s="1"/>
      <c r="L818" s="11">
        <v>43112</v>
      </c>
      <c r="M818" s="9">
        <v>5360</v>
      </c>
      <c r="N818" s="9">
        <v>1380</v>
      </c>
      <c r="O818" s="9">
        <v>2065</v>
      </c>
      <c r="P818" s="9">
        <v>0</v>
      </c>
      <c r="R818" s="11"/>
      <c r="S818" s="9"/>
      <c r="T818" s="9"/>
      <c r="U818" s="9"/>
    </row>
    <row r="819" spans="2:21" x14ac:dyDescent="0.4">
      <c r="B819" s="16">
        <f t="shared" si="86"/>
        <v>43115</v>
      </c>
      <c r="C819" s="1">
        <f t="shared" si="87"/>
        <v>5359</v>
      </c>
      <c r="D819" s="1">
        <f t="shared" si="88"/>
        <v>1380</v>
      </c>
      <c r="E819" s="1">
        <f t="shared" si="89"/>
        <v>2065</v>
      </c>
      <c r="F819" s="1"/>
      <c r="H819" s="16"/>
      <c r="I819" s="29"/>
      <c r="J819" s="1"/>
      <c r="L819" s="11">
        <v>43115</v>
      </c>
      <c r="M819" s="9">
        <v>5359</v>
      </c>
      <c r="N819" s="9">
        <v>1380</v>
      </c>
      <c r="O819" s="9">
        <v>2065</v>
      </c>
      <c r="P819" s="9">
        <v>0</v>
      </c>
      <c r="R819" s="11"/>
      <c r="S819" s="9"/>
      <c r="T819" s="9"/>
      <c r="U819" s="9"/>
    </row>
    <row r="820" spans="2:21" x14ac:dyDescent="0.4">
      <c r="B820" s="16">
        <f t="shared" si="86"/>
        <v>43116</v>
      </c>
      <c r="C820" s="1">
        <f t="shared" si="87"/>
        <v>5347</v>
      </c>
      <c r="D820" s="1">
        <f t="shared" si="88"/>
        <v>1380</v>
      </c>
      <c r="E820" s="1">
        <f t="shared" si="89"/>
        <v>2060</v>
      </c>
      <c r="F820" s="1"/>
      <c r="H820" s="16"/>
      <c r="I820" s="29"/>
      <c r="J820" s="1"/>
      <c r="L820" s="11">
        <v>43116</v>
      </c>
      <c r="M820" s="9">
        <v>5347</v>
      </c>
      <c r="N820" s="9">
        <v>1380</v>
      </c>
      <c r="O820" s="9">
        <v>2060</v>
      </c>
      <c r="P820" s="9">
        <v>0</v>
      </c>
      <c r="R820" s="11"/>
      <c r="S820" s="9"/>
      <c r="T820" s="9"/>
      <c r="U820" s="9"/>
    </row>
    <row r="821" spans="2:21" x14ac:dyDescent="0.4">
      <c r="B821" s="16">
        <f t="shared" si="86"/>
        <v>43117</v>
      </c>
      <c r="C821" s="1">
        <f t="shared" si="87"/>
        <v>5322</v>
      </c>
      <c r="D821" s="1">
        <f t="shared" si="88"/>
        <v>1380</v>
      </c>
      <c r="E821" s="1">
        <f t="shared" si="89"/>
        <v>2050</v>
      </c>
      <c r="F821" s="1"/>
      <c r="H821" s="16"/>
      <c r="I821" s="29"/>
      <c r="J821" s="1"/>
      <c r="L821" s="11">
        <v>43117</v>
      </c>
      <c r="M821" s="9">
        <v>5322</v>
      </c>
      <c r="N821" s="9">
        <v>1380</v>
      </c>
      <c r="O821" s="9">
        <v>2050</v>
      </c>
      <c r="P821" s="9">
        <v>0</v>
      </c>
      <c r="R821" s="11"/>
      <c r="S821" s="9"/>
      <c r="T821" s="9"/>
      <c r="U821" s="9"/>
    </row>
    <row r="822" spans="2:21" x14ac:dyDescent="0.4">
      <c r="B822" s="16">
        <f t="shared" si="86"/>
        <v>43118</v>
      </c>
      <c r="C822" s="1">
        <f t="shared" si="87"/>
        <v>5315</v>
      </c>
      <c r="D822" s="1">
        <f t="shared" si="88"/>
        <v>1380</v>
      </c>
      <c r="E822" s="1">
        <f t="shared" si="89"/>
        <v>2050</v>
      </c>
      <c r="F822" s="1"/>
      <c r="H822" s="16"/>
      <c r="I822" s="29"/>
      <c r="J822" s="1"/>
      <c r="L822" s="11">
        <v>43118</v>
      </c>
      <c r="M822" s="9">
        <v>5315</v>
      </c>
      <c r="N822" s="9">
        <v>1380</v>
      </c>
      <c r="O822" s="9">
        <v>2050</v>
      </c>
      <c r="P822" s="9">
        <v>0</v>
      </c>
      <c r="R822" s="11"/>
      <c r="S822" s="9"/>
      <c r="T822" s="9"/>
      <c r="U822" s="9"/>
    </row>
    <row r="823" spans="2:21" x14ac:dyDescent="0.4">
      <c r="B823" s="16">
        <f t="shared" si="86"/>
        <v>43119</v>
      </c>
      <c r="C823" s="1">
        <f t="shared" si="87"/>
        <v>5303</v>
      </c>
      <c r="D823" s="1">
        <f t="shared" si="88"/>
        <v>1380</v>
      </c>
      <c r="E823" s="1">
        <f t="shared" si="89"/>
        <v>2050</v>
      </c>
      <c r="F823" s="1"/>
      <c r="H823" s="16"/>
      <c r="I823" s="29"/>
      <c r="J823" s="1"/>
      <c r="L823" s="11">
        <v>43119</v>
      </c>
      <c r="M823" s="9">
        <v>5303</v>
      </c>
      <c r="N823" s="9">
        <v>1380</v>
      </c>
      <c r="O823" s="9">
        <v>2050</v>
      </c>
      <c r="P823" s="9">
        <v>0</v>
      </c>
      <c r="R823" s="11"/>
      <c r="S823" s="9"/>
      <c r="T823" s="9"/>
      <c r="U823" s="9"/>
    </row>
    <row r="824" spans="2:21" x14ac:dyDescent="0.4">
      <c r="B824" s="16">
        <f t="shared" si="86"/>
        <v>43122</v>
      </c>
      <c r="C824" s="1">
        <f t="shared" si="87"/>
        <v>5304</v>
      </c>
      <c r="D824" s="1">
        <f t="shared" si="88"/>
        <v>1380</v>
      </c>
      <c r="E824" s="1">
        <f t="shared" si="89"/>
        <v>2030</v>
      </c>
      <c r="F824" s="1"/>
      <c r="H824" s="16"/>
      <c r="I824" s="29"/>
      <c r="J824" s="1"/>
      <c r="L824" s="11">
        <v>43122</v>
      </c>
      <c r="M824" s="9">
        <v>5304</v>
      </c>
      <c r="N824" s="9">
        <v>1380</v>
      </c>
      <c r="O824" s="9">
        <v>2030</v>
      </c>
      <c r="P824" s="9">
        <v>0</v>
      </c>
      <c r="R824" s="11"/>
      <c r="S824" s="9"/>
      <c r="T824" s="9"/>
      <c r="U824" s="9"/>
    </row>
    <row r="825" spans="2:21" x14ac:dyDescent="0.4">
      <c r="B825" s="16">
        <f t="shared" si="86"/>
        <v>43123</v>
      </c>
      <c r="C825" s="1">
        <f t="shared" si="87"/>
        <v>5301</v>
      </c>
      <c r="D825" s="1">
        <f t="shared" si="88"/>
        <v>1360</v>
      </c>
      <c r="E825" s="1">
        <f t="shared" si="89"/>
        <v>2030</v>
      </c>
      <c r="F825" s="1"/>
      <c r="H825" s="16"/>
      <c r="I825" s="29"/>
      <c r="J825" s="1"/>
      <c r="L825" s="11">
        <v>43123</v>
      </c>
      <c r="M825" s="9">
        <v>5301</v>
      </c>
      <c r="N825" s="9">
        <v>1360</v>
      </c>
      <c r="O825" s="9">
        <v>2030</v>
      </c>
      <c r="P825" s="9">
        <v>0</v>
      </c>
      <c r="R825" s="11"/>
      <c r="S825" s="9"/>
      <c r="T825" s="9"/>
      <c r="U825" s="9"/>
    </row>
    <row r="826" spans="2:21" x14ac:dyDescent="0.4">
      <c r="B826" s="16">
        <f t="shared" si="86"/>
        <v>43124</v>
      </c>
      <c r="C826" s="1">
        <f t="shared" si="87"/>
        <v>5304</v>
      </c>
      <c r="D826" s="1">
        <f t="shared" si="88"/>
        <v>1360</v>
      </c>
      <c r="E826" s="1">
        <f t="shared" si="89"/>
        <v>2030</v>
      </c>
      <c r="F826" s="1"/>
      <c r="H826" s="16"/>
      <c r="I826" s="29"/>
      <c r="J826" s="1"/>
      <c r="L826" s="11">
        <v>43124</v>
      </c>
      <c r="M826" s="9">
        <v>5304</v>
      </c>
      <c r="N826" s="9">
        <v>1360</v>
      </c>
      <c r="O826" s="9">
        <v>2030</v>
      </c>
      <c r="P826" s="9">
        <v>0</v>
      </c>
      <c r="R826" s="11"/>
      <c r="S826" s="9"/>
      <c r="T826" s="9"/>
      <c r="U826" s="9"/>
    </row>
    <row r="827" spans="2:21" x14ac:dyDescent="0.4">
      <c r="B827" s="16">
        <f t="shared" si="86"/>
        <v>43125</v>
      </c>
      <c r="C827" s="1">
        <f t="shared" si="87"/>
        <v>5314</v>
      </c>
      <c r="D827" s="1">
        <f t="shared" si="88"/>
        <v>1360</v>
      </c>
      <c r="E827" s="1">
        <f t="shared" si="89"/>
        <v>2030</v>
      </c>
      <c r="F827" s="1"/>
      <c r="H827" s="16"/>
      <c r="I827" s="29"/>
      <c r="J827" s="1"/>
      <c r="L827" s="11">
        <v>43125</v>
      </c>
      <c r="M827" s="9">
        <v>5314</v>
      </c>
      <c r="N827" s="9">
        <v>1360</v>
      </c>
      <c r="O827" s="9">
        <v>2030</v>
      </c>
      <c r="P827" s="9">
        <v>0</v>
      </c>
      <c r="R827" s="11"/>
      <c r="S827" s="9"/>
      <c r="T827" s="9"/>
      <c r="U827" s="9"/>
    </row>
    <row r="828" spans="2:21" x14ac:dyDescent="0.4">
      <c r="B828" s="16">
        <f t="shared" si="86"/>
        <v>43126</v>
      </c>
      <c r="C828" s="1">
        <f t="shared" si="87"/>
        <v>5313</v>
      </c>
      <c r="D828" s="1">
        <f t="shared" si="88"/>
        <v>1330</v>
      </c>
      <c r="E828" s="1">
        <f t="shared" si="89"/>
        <v>2030</v>
      </c>
      <c r="F828" s="1"/>
      <c r="H828" s="16"/>
      <c r="I828" s="29"/>
      <c r="J828" s="1"/>
      <c r="L828" s="11">
        <v>43126</v>
      </c>
      <c r="M828" s="9">
        <v>5313</v>
      </c>
      <c r="N828" s="9">
        <v>1330</v>
      </c>
      <c r="O828" s="9">
        <v>2030</v>
      </c>
      <c r="P828" s="9">
        <v>0</v>
      </c>
      <c r="R828" s="11"/>
      <c r="S828" s="9"/>
      <c r="T828" s="9"/>
      <c r="U828" s="9"/>
    </row>
    <row r="829" spans="2:21" x14ac:dyDescent="0.4">
      <c r="B829" s="16">
        <f t="shared" si="86"/>
        <v>43129</v>
      </c>
      <c r="C829" s="1">
        <f t="shared" si="87"/>
        <v>5321</v>
      </c>
      <c r="D829" s="1">
        <f t="shared" si="88"/>
        <v>1330</v>
      </c>
      <c r="E829" s="1">
        <f t="shared" si="89"/>
        <v>2025</v>
      </c>
      <c r="F829" s="1"/>
      <c r="H829" s="16"/>
      <c r="I829" s="29"/>
      <c r="J829" s="1"/>
      <c r="L829" s="11">
        <v>43129</v>
      </c>
      <c r="M829" s="9">
        <v>5321</v>
      </c>
      <c r="N829" s="9">
        <v>1330</v>
      </c>
      <c r="O829" s="9">
        <v>2025</v>
      </c>
      <c r="P829" s="9">
        <v>0</v>
      </c>
      <c r="R829" s="11"/>
      <c r="S829" s="9"/>
      <c r="T829" s="9"/>
      <c r="U829" s="9"/>
    </row>
    <row r="830" spans="2:21" x14ac:dyDescent="0.4">
      <c r="B830" s="16">
        <f t="shared" si="86"/>
        <v>43130</v>
      </c>
      <c r="C830" s="1">
        <f t="shared" si="87"/>
        <v>5317</v>
      </c>
      <c r="D830" s="1">
        <f t="shared" si="88"/>
        <v>1330</v>
      </c>
      <c r="E830" s="1">
        <f t="shared" si="89"/>
        <v>2025</v>
      </c>
      <c r="F830" s="1"/>
      <c r="H830" s="16"/>
      <c r="I830" s="29"/>
      <c r="J830" s="1"/>
      <c r="L830" s="11">
        <v>43130</v>
      </c>
      <c r="M830" s="9">
        <v>5317</v>
      </c>
      <c r="N830" s="9">
        <v>1330</v>
      </c>
      <c r="O830" s="9">
        <v>2025</v>
      </c>
      <c r="P830" s="9">
        <v>0</v>
      </c>
      <c r="R830" s="11"/>
      <c r="S830" s="9"/>
      <c r="T830" s="9"/>
      <c r="U830" s="9"/>
    </row>
    <row r="831" spans="2:21" x14ac:dyDescent="0.4">
      <c r="B831" s="16">
        <f t="shared" si="86"/>
        <v>43131</v>
      </c>
      <c r="C831" s="1">
        <f t="shared" si="87"/>
        <v>5304</v>
      </c>
      <c r="D831" s="1">
        <f t="shared" si="88"/>
        <v>1330</v>
      </c>
      <c r="E831" s="1">
        <f t="shared" si="89"/>
        <v>2025</v>
      </c>
      <c r="F831" s="1"/>
      <c r="H831" s="16"/>
      <c r="I831" s="29"/>
      <c r="J831" s="1"/>
      <c r="L831" s="11">
        <v>43131</v>
      </c>
      <c r="M831" s="9">
        <v>5304</v>
      </c>
      <c r="N831" s="9">
        <v>1330</v>
      </c>
      <c r="O831" s="9">
        <v>2025</v>
      </c>
      <c r="P831" s="9">
        <v>0</v>
      </c>
      <c r="R831" s="11"/>
      <c r="S831" s="9"/>
      <c r="T831" s="9"/>
      <c r="U831" s="9"/>
    </row>
    <row r="832" spans="2:21" x14ac:dyDescent="0.4">
      <c r="B832" s="16">
        <f t="shared" si="86"/>
        <v>43132</v>
      </c>
      <c r="C832" s="1">
        <f t="shared" si="87"/>
        <v>5302</v>
      </c>
      <c r="D832" s="1">
        <f t="shared" si="88"/>
        <v>1320</v>
      </c>
      <c r="E832" s="1">
        <f t="shared" si="89"/>
        <v>2025</v>
      </c>
      <c r="F832" s="1"/>
      <c r="H832" s="16"/>
      <c r="I832" s="29"/>
      <c r="J832" s="1"/>
      <c r="L832" s="11">
        <v>43132</v>
      </c>
      <c r="M832" s="9">
        <v>5302</v>
      </c>
      <c r="N832" s="9">
        <v>1320</v>
      </c>
      <c r="O832" s="9">
        <v>2025</v>
      </c>
      <c r="P832" s="9">
        <v>0</v>
      </c>
      <c r="R832" s="11"/>
      <c r="S832" s="9"/>
      <c r="T832" s="9"/>
      <c r="U832" s="9"/>
    </row>
    <row r="833" spans="2:21" x14ac:dyDescent="0.4">
      <c r="B833" s="16">
        <f t="shared" si="86"/>
        <v>43133</v>
      </c>
      <c r="C833" s="1">
        <f t="shared" si="87"/>
        <v>5301</v>
      </c>
      <c r="D833" s="1">
        <f t="shared" si="88"/>
        <v>1320</v>
      </c>
      <c r="E833" s="1">
        <f t="shared" si="89"/>
        <v>2025</v>
      </c>
      <c r="F833" s="1"/>
      <c r="H833" s="16"/>
      <c r="I833" s="29"/>
      <c r="J833" s="1"/>
      <c r="L833" s="11">
        <v>43133</v>
      </c>
      <c r="M833" s="9">
        <v>5301</v>
      </c>
      <c r="N833" s="9">
        <v>1320</v>
      </c>
      <c r="O833" s="9">
        <v>2025</v>
      </c>
      <c r="P833" s="9">
        <v>0</v>
      </c>
      <c r="R833" s="11"/>
      <c r="S833" s="9"/>
      <c r="T833" s="9"/>
      <c r="U833" s="9"/>
    </row>
    <row r="834" spans="2:21" x14ac:dyDescent="0.4">
      <c r="B834" s="16">
        <f t="shared" si="86"/>
        <v>43136</v>
      </c>
      <c r="C834" s="1">
        <f t="shared" si="87"/>
        <v>5304</v>
      </c>
      <c r="D834" s="1">
        <f t="shared" si="88"/>
        <v>1320</v>
      </c>
      <c r="E834" s="1">
        <f t="shared" si="89"/>
        <v>2025</v>
      </c>
      <c r="F834" s="1"/>
      <c r="H834" s="16"/>
      <c r="I834" s="29"/>
      <c r="J834" s="1"/>
      <c r="L834" s="11">
        <v>43136</v>
      </c>
      <c r="M834" s="9">
        <v>5304</v>
      </c>
      <c r="N834" s="9">
        <v>1320</v>
      </c>
      <c r="O834" s="9">
        <v>2025</v>
      </c>
      <c r="P834" s="9">
        <v>0</v>
      </c>
      <c r="R834" s="11"/>
      <c r="S834" s="9"/>
      <c r="T834" s="9"/>
      <c r="U834" s="9"/>
    </row>
    <row r="835" spans="2:21" x14ac:dyDescent="0.4">
      <c r="B835" s="16">
        <f t="shared" si="86"/>
        <v>43137</v>
      </c>
      <c r="C835" s="1">
        <f t="shared" si="87"/>
        <v>5299</v>
      </c>
      <c r="D835" s="1">
        <f t="shared" si="88"/>
        <v>1320</v>
      </c>
      <c r="E835" s="1">
        <f t="shared" si="89"/>
        <v>2025</v>
      </c>
      <c r="F835" s="1"/>
      <c r="H835" s="16"/>
      <c r="I835" s="29"/>
      <c r="J835" s="1"/>
      <c r="L835" s="11">
        <v>43137</v>
      </c>
      <c r="M835" s="9">
        <v>5299</v>
      </c>
      <c r="N835" s="9">
        <v>1320</v>
      </c>
      <c r="O835" s="9">
        <v>2025</v>
      </c>
      <c r="P835" s="9">
        <v>0</v>
      </c>
      <c r="R835" s="11"/>
      <c r="S835" s="9"/>
      <c r="T835" s="9"/>
      <c r="U835" s="9"/>
    </row>
    <row r="836" spans="2:21" x14ac:dyDescent="0.4">
      <c r="B836" s="16">
        <f t="shared" si="86"/>
        <v>43138</v>
      </c>
      <c r="C836" s="1">
        <f t="shared" si="87"/>
        <v>5286</v>
      </c>
      <c r="D836" s="1">
        <f t="shared" si="88"/>
        <v>1315</v>
      </c>
      <c r="E836" s="1">
        <f t="shared" si="89"/>
        <v>2025</v>
      </c>
      <c r="F836" s="1"/>
      <c r="H836" s="16"/>
      <c r="I836" s="29"/>
      <c r="J836" s="1"/>
      <c r="L836" s="11">
        <v>43138</v>
      </c>
      <c r="M836" s="9">
        <v>5286</v>
      </c>
      <c r="N836" s="9">
        <v>1315</v>
      </c>
      <c r="O836" s="9">
        <v>2025</v>
      </c>
      <c r="P836" s="9">
        <v>0</v>
      </c>
      <c r="R836" s="11"/>
      <c r="S836" s="9"/>
      <c r="T836" s="9"/>
      <c r="U836" s="9"/>
    </row>
    <row r="837" spans="2:21" x14ac:dyDescent="0.4">
      <c r="B837" s="16">
        <f t="shared" si="86"/>
        <v>43139</v>
      </c>
      <c r="C837" s="1">
        <f t="shared" si="87"/>
        <v>5268</v>
      </c>
      <c r="D837" s="1">
        <f t="shared" si="88"/>
        <v>1315</v>
      </c>
      <c r="E837" s="1">
        <f t="shared" si="89"/>
        <v>2025</v>
      </c>
      <c r="F837" s="1"/>
      <c r="H837" s="16"/>
      <c r="I837" s="29"/>
      <c r="J837" s="1"/>
      <c r="L837" s="11">
        <v>43139</v>
      </c>
      <c r="M837" s="9">
        <v>5268</v>
      </c>
      <c r="N837" s="9">
        <v>1315</v>
      </c>
      <c r="O837" s="9">
        <v>2025</v>
      </c>
      <c r="P837" s="9">
        <v>0</v>
      </c>
      <c r="R837" s="11"/>
      <c r="S837" s="9"/>
      <c r="T837" s="9"/>
      <c r="U837" s="9"/>
    </row>
    <row r="838" spans="2:21" x14ac:dyDescent="0.4">
      <c r="B838" s="16">
        <f t="shared" ref="B838:B901" si="90">L838</f>
        <v>43140</v>
      </c>
      <c r="C838" s="1">
        <f t="shared" si="87"/>
        <v>5258</v>
      </c>
      <c r="D838" s="1">
        <f t="shared" si="88"/>
        <v>1300</v>
      </c>
      <c r="E838" s="1">
        <f t="shared" si="89"/>
        <v>2020</v>
      </c>
      <c r="F838" s="1"/>
      <c r="H838" s="16"/>
      <c r="I838" s="29"/>
      <c r="J838" s="1"/>
      <c r="L838" s="11">
        <v>43140</v>
      </c>
      <c r="M838" s="9">
        <v>5258</v>
      </c>
      <c r="N838" s="9">
        <v>1300</v>
      </c>
      <c r="O838" s="9">
        <v>2020</v>
      </c>
      <c r="P838" s="9">
        <v>0</v>
      </c>
      <c r="R838" s="11"/>
      <c r="S838" s="9"/>
      <c r="T838" s="9"/>
      <c r="U838" s="9"/>
    </row>
    <row r="839" spans="2:21" x14ac:dyDescent="0.4">
      <c r="B839" s="16">
        <f t="shared" si="90"/>
        <v>43142</v>
      </c>
      <c r="C839" s="1">
        <f t="shared" ref="C839:C902" si="91">IF(M839&lt;&gt;0,M839,C838)</f>
        <v>5247</v>
      </c>
      <c r="D839" s="1">
        <f t="shared" ref="D839:D902" si="92">IF(N839&lt;&gt;0,N839,D838)</f>
        <v>1300</v>
      </c>
      <c r="E839" s="1">
        <f t="shared" ref="E839:E902" si="93">IF(O839&lt;&gt;0,O839,E838)</f>
        <v>2020</v>
      </c>
      <c r="F839" s="1"/>
      <c r="H839" s="16"/>
      <c r="I839" s="29"/>
      <c r="J839" s="1"/>
      <c r="L839" s="11">
        <v>43142</v>
      </c>
      <c r="M839" s="9">
        <v>5247</v>
      </c>
      <c r="N839" s="9">
        <v>0</v>
      </c>
      <c r="O839" s="9">
        <v>2020</v>
      </c>
      <c r="P839" s="9">
        <v>0</v>
      </c>
      <c r="R839" s="11"/>
      <c r="S839" s="9"/>
      <c r="T839" s="9"/>
      <c r="U839" s="9"/>
    </row>
    <row r="840" spans="2:21" x14ac:dyDescent="0.4">
      <c r="B840" s="16">
        <f t="shared" si="90"/>
        <v>43143</v>
      </c>
      <c r="C840" s="1">
        <f t="shared" si="91"/>
        <v>5242</v>
      </c>
      <c r="D840" s="1">
        <f t="shared" si="92"/>
        <v>1290</v>
      </c>
      <c r="E840" s="1">
        <f t="shared" si="93"/>
        <v>2030</v>
      </c>
      <c r="F840" s="1"/>
      <c r="H840" s="16"/>
      <c r="I840" s="29"/>
      <c r="J840" s="1"/>
      <c r="L840" s="11">
        <v>43143</v>
      </c>
      <c r="M840" s="9">
        <v>5242</v>
      </c>
      <c r="N840" s="9">
        <v>1290</v>
      </c>
      <c r="O840" s="9">
        <v>2030</v>
      </c>
      <c r="P840" s="9">
        <v>0</v>
      </c>
      <c r="R840" s="11"/>
      <c r="S840" s="9"/>
      <c r="T840" s="9"/>
      <c r="U840" s="9"/>
    </row>
    <row r="841" spans="2:21" x14ac:dyDescent="0.4">
      <c r="B841" s="16">
        <f t="shared" si="90"/>
        <v>43144</v>
      </c>
      <c r="C841" s="1">
        <f t="shared" si="91"/>
        <v>5242</v>
      </c>
      <c r="D841" s="1">
        <f t="shared" si="92"/>
        <v>1290</v>
      </c>
      <c r="E841" s="1">
        <f t="shared" si="93"/>
        <v>2030</v>
      </c>
      <c r="F841" s="1"/>
      <c r="H841" s="16"/>
      <c r="I841" s="29"/>
      <c r="J841" s="1"/>
      <c r="L841" s="11">
        <v>43144</v>
      </c>
      <c r="M841" s="9">
        <v>5242</v>
      </c>
      <c r="N841" s="9">
        <v>1290</v>
      </c>
      <c r="O841" s="9">
        <v>2030</v>
      </c>
      <c r="P841" s="9">
        <v>0</v>
      </c>
      <c r="R841" s="11"/>
      <c r="S841" s="9"/>
      <c r="T841" s="9"/>
      <c r="U841" s="9"/>
    </row>
    <row r="842" spans="2:21" x14ac:dyDescent="0.4">
      <c r="B842" s="16">
        <f t="shared" si="90"/>
        <v>43145</v>
      </c>
      <c r="C842" s="1">
        <f t="shared" si="91"/>
        <v>5236</v>
      </c>
      <c r="D842" s="1">
        <f t="shared" si="92"/>
        <v>1290</v>
      </c>
      <c r="E842" s="1">
        <f t="shared" si="93"/>
        <v>2030</v>
      </c>
      <c r="F842" s="1"/>
      <c r="H842" s="16"/>
      <c r="I842" s="29"/>
      <c r="J842" s="1"/>
      <c r="L842" s="11">
        <v>43145</v>
      </c>
      <c r="M842" s="9">
        <v>5236</v>
      </c>
      <c r="N842" s="9">
        <v>1290</v>
      </c>
      <c r="O842" s="9">
        <v>2030</v>
      </c>
      <c r="P842" s="9">
        <v>0</v>
      </c>
      <c r="R842" s="11"/>
      <c r="S842" s="9"/>
      <c r="T842" s="9"/>
      <c r="U842" s="9"/>
    </row>
    <row r="843" spans="2:21" x14ac:dyDescent="0.4">
      <c r="B843" s="16">
        <f t="shared" si="90"/>
        <v>43146</v>
      </c>
      <c r="C843" s="1">
        <f t="shared" si="91"/>
        <v>5236</v>
      </c>
      <c r="D843" s="1">
        <f t="shared" si="92"/>
        <v>1290</v>
      </c>
      <c r="E843" s="1">
        <f t="shared" si="93"/>
        <v>2030</v>
      </c>
      <c r="F843" s="1"/>
      <c r="H843" s="16"/>
      <c r="I843" s="29"/>
      <c r="J843" s="1"/>
      <c r="L843" s="11">
        <v>43146</v>
      </c>
      <c r="M843" s="9">
        <v>0</v>
      </c>
      <c r="N843" s="9">
        <v>1290</v>
      </c>
      <c r="O843" s="9">
        <v>0</v>
      </c>
      <c r="P843" s="9">
        <v>0</v>
      </c>
      <c r="R843" s="11"/>
      <c r="S843" s="9"/>
      <c r="T843" s="9"/>
      <c r="U843" s="9"/>
    </row>
    <row r="844" spans="2:21" x14ac:dyDescent="0.4">
      <c r="B844" s="16">
        <f t="shared" si="90"/>
        <v>43147</v>
      </c>
      <c r="C844" s="1">
        <f t="shared" si="91"/>
        <v>5236</v>
      </c>
      <c r="D844" s="1">
        <f t="shared" si="92"/>
        <v>1290</v>
      </c>
      <c r="E844" s="1">
        <f t="shared" si="93"/>
        <v>2030</v>
      </c>
      <c r="F844" s="1"/>
      <c r="H844" s="16"/>
      <c r="I844" s="29"/>
      <c r="J844" s="1"/>
      <c r="L844" s="11">
        <v>43147</v>
      </c>
      <c r="M844" s="9">
        <v>0</v>
      </c>
      <c r="N844" s="9">
        <v>1290</v>
      </c>
      <c r="O844" s="9">
        <v>0</v>
      </c>
      <c r="P844" s="9">
        <v>0</v>
      </c>
      <c r="R844" s="11"/>
      <c r="S844" s="9"/>
      <c r="T844" s="9"/>
      <c r="U844" s="9"/>
    </row>
    <row r="845" spans="2:21" x14ac:dyDescent="0.4">
      <c r="B845" s="16">
        <f t="shared" si="90"/>
        <v>43150</v>
      </c>
      <c r="C845" s="1">
        <f t="shared" si="91"/>
        <v>5236</v>
      </c>
      <c r="D845" s="1">
        <f t="shared" si="92"/>
        <v>1290</v>
      </c>
      <c r="E845" s="1">
        <f t="shared" si="93"/>
        <v>2030</v>
      </c>
      <c r="F845" s="1"/>
      <c r="H845" s="16"/>
      <c r="I845" s="29"/>
      <c r="J845" s="1"/>
      <c r="L845" s="11">
        <v>43150</v>
      </c>
      <c r="M845" s="9">
        <v>0</v>
      </c>
      <c r="N845" s="9">
        <v>1290</v>
      </c>
      <c r="O845" s="9">
        <v>0</v>
      </c>
      <c r="P845" s="9">
        <v>0</v>
      </c>
      <c r="R845" s="11"/>
      <c r="S845" s="9"/>
      <c r="T845" s="9"/>
      <c r="U845" s="9"/>
    </row>
    <row r="846" spans="2:21" x14ac:dyDescent="0.4">
      <c r="B846" s="16">
        <f t="shared" si="90"/>
        <v>43151</v>
      </c>
      <c r="C846" s="1">
        <f t="shared" si="91"/>
        <v>5236</v>
      </c>
      <c r="D846" s="1">
        <f t="shared" si="92"/>
        <v>1290</v>
      </c>
      <c r="E846" s="1">
        <f t="shared" si="93"/>
        <v>2030</v>
      </c>
      <c r="F846" s="1"/>
      <c r="H846" s="16"/>
      <c r="I846" s="29"/>
      <c r="J846" s="1"/>
      <c r="L846" s="11">
        <v>43151</v>
      </c>
      <c r="M846" s="9">
        <v>0</v>
      </c>
      <c r="N846" s="9">
        <v>1290</v>
      </c>
      <c r="O846" s="9">
        <v>0</v>
      </c>
      <c r="P846" s="9">
        <v>0</v>
      </c>
      <c r="R846" s="11"/>
      <c r="S846" s="9"/>
      <c r="T846" s="9"/>
      <c r="U846" s="9"/>
    </row>
    <row r="847" spans="2:21" x14ac:dyDescent="0.4">
      <c r="B847" s="16">
        <f t="shared" si="90"/>
        <v>43152</v>
      </c>
      <c r="C847" s="1">
        <f t="shared" si="91"/>
        <v>5236</v>
      </c>
      <c r="D847" s="1">
        <f t="shared" si="92"/>
        <v>1290</v>
      </c>
      <c r="E847" s="1">
        <f t="shared" si="93"/>
        <v>2030</v>
      </c>
      <c r="F847" s="1"/>
      <c r="H847" s="16"/>
      <c r="I847" s="29"/>
      <c r="J847" s="1"/>
      <c r="L847" s="11">
        <v>43152</v>
      </c>
      <c r="M847" s="9">
        <v>0</v>
      </c>
      <c r="N847" s="9">
        <v>1290</v>
      </c>
      <c r="O847" s="9">
        <v>0</v>
      </c>
      <c r="P847" s="9">
        <v>0</v>
      </c>
      <c r="R847" s="11"/>
      <c r="S847" s="9"/>
      <c r="T847" s="9"/>
      <c r="U847" s="9"/>
    </row>
    <row r="848" spans="2:21" x14ac:dyDescent="0.4">
      <c r="B848" s="16">
        <f t="shared" si="90"/>
        <v>43153</v>
      </c>
      <c r="C848" s="1">
        <f t="shared" si="91"/>
        <v>5223</v>
      </c>
      <c r="D848" s="1">
        <f t="shared" si="92"/>
        <v>1285</v>
      </c>
      <c r="E848" s="1">
        <f t="shared" si="93"/>
        <v>2030</v>
      </c>
      <c r="F848" s="1"/>
      <c r="H848" s="16"/>
      <c r="I848" s="29"/>
      <c r="J848" s="1"/>
      <c r="L848" s="11">
        <v>43153</v>
      </c>
      <c r="M848" s="9">
        <v>5223</v>
      </c>
      <c r="N848" s="9">
        <v>1285</v>
      </c>
      <c r="O848" s="9">
        <v>2030</v>
      </c>
      <c r="P848" s="9">
        <v>0</v>
      </c>
      <c r="R848" s="11"/>
      <c r="S848" s="9"/>
      <c r="T848" s="9"/>
      <c r="U848" s="9"/>
    </row>
    <row r="849" spans="2:21" x14ac:dyDescent="0.4">
      <c r="B849" s="16">
        <f t="shared" si="90"/>
        <v>43154</v>
      </c>
      <c r="C849" s="1">
        <f t="shared" si="91"/>
        <v>5247</v>
      </c>
      <c r="D849" s="1">
        <f t="shared" si="92"/>
        <v>1230</v>
      </c>
      <c r="E849" s="1">
        <f t="shared" si="93"/>
        <v>2020</v>
      </c>
      <c r="F849" s="1"/>
      <c r="H849" s="16"/>
      <c r="I849" s="29"/>
      <c r="J849" s="1"/>
      <c r="L849" s="11">
        <v>43154</v>
      </c>
      <c r="M849" s="9">
        <v>5247</v>
      </c>
      <c r="N849" s="9">
        <v>1230</v>
      </c>
      <c r="O849" s="9">
        <v>2020</v>
      </c>
      <c r="P849" s="9">
        <v>0</v>
      </c>
      <c r="R849" s="11"/>
      <c r="S849" s="9"/>
      <c r="T849" s="9"/>
      <c r="U849" s="9"/>
    </row>
    <row r="850" spans="2:21" x14ac:dyDescent="0.4">
      <c r="B850" s="16">
        <f t="shared" si="90"/>
        <v>43155</v>
      </c>
      <c r="C850" s="1">
        <f t="shared" si="91"/>
        <v>5257</v>
      </c>
      <c r="D850" s="1">
        <f t="shared" si="92"/>
        <v>1230</v>
      </c>
      <c r="E850" s="1">
        <f t="shared" si="93"/>
        <v>2030</v>
      </c>
      <c r="F850" s="1"/>
      <c r="H850" s="16"/>
      <c r="I850" s="29"/>
      <c r="J850" s="1"/>
      <c r="L850" s="11">
        <v>43155</v>
      </c>
      <c r="M850" s="9">
        <v>5257</v>
      </c>
      <c r="N850" s="9">
        <v>0</v>
      </c>
      <c r="O850" s="9">
        <v>2030</v>
      </c>
      <c r="P850" s="9">
        <v>0</v>
      </c>
      <c r="R850" s="11"/>
      <c r="S850" s="9"/>
      <c r="T850" s="9"/>
      <c r="U850" s="9"/>
    </row>
    <row r="851" spans="2:21" x14ac:dyDescent="0.4">
      <c r="B851" s="16">
        <f t="shared" si="90"/>
        <v>43157</v>
      </c>
      <c r="C851" s="1">
        <f t="shared" si="91"/>
        <v>5258</v>
      </c>
      <c r="D851" s="1">
        <f t="shared" si="92"/>
        <v>1230</v>
      </c>
      <c r="E851" s="1">
        <f t="shared" si="93"/>
        <v>2040</v>
      </c>
      <c r="F851" s="1"/>
      <c r="H851" s="16"/>
      <c r="I851" s="29"/>
      <c r="J851" s="1"/>
      <c r="L851" s="11">
        <v>43157</v>
      </c>
      <c r="M851" s="9">
        <v>5258</v>
      </c>
      <c r="N851" s="9">
        <v>1230</v>
      </c>
      <c r="O851" s="9">
        <v>2040</v>
      </c>
      <c r="P851" s="9">
        <v>0</v>
      </c>
      <c r="R851" s="11"/>
      <c r="S851" s="9"/>
      <c r="T851" s="9"/>
      <c r="U851" s="9"/>
    </row>
    <row r="852" spans="2:21" x14ac:dyDescent="0.4">
      <c r="B852" s="16">
        <f t="shared" si="90"/>
        <v>43158</v>
      </c>
      <c r="C852" s="1">
        <f t="shared" si="91"/>
        <v>5239</v>
      </c>
      <c r="D852" s="1">
        <f t="shared" si="92"/>
        <v>1230</v>
      </c>
      <c r="E852" s="1">
        <f t="shared" si="93"/>
        <v>2040</v>
      </c>
      <c r="F852" s="1"/>
      <c r="H852" s="16"/>
      <c r="I852" s="29"/>
      <c r="J852" s="1"/>
      <c r="L852" s="11">
        <v>43158</v>
      </c>
      <c r="M852" s="9">
        <v>5239</v>
      </c>
      <c r="N852" s="9">
        <v>1230</v>
      </c>
      <c r="O852" s="9">
        <v>2040</v>
      </c>
      <c r="P852" s="9">
        <v>0</v>
      </c>
      <c r="R852" s="11"/>
      <c r="S852" s="9"/>
      <c r="T852" s="9"/>
      <c r="U852" s="9"/>
    </row>
    <row r="853" spans="2:21" x14ac:dyDescent="0.4">
      <c r="B853" s="16">
        <f t="shared" si="90"/>
        <v>43159</v>
      </c>
      <c r="C853" s="1">
        <f t="shared" si="91"/>
        <v>5238</v>
      </c>
      <c r="D853" s="1">
        <f t="shared" si="92"/>
        <v>1250</v>
      </c>
      <c r="E853" s="1">
        <f t="shared" si="93"/>
        <v>2045</v>
      </c>
      <c r="F853" s="1"/>
      <c r="H853" s="16"/>
      <c r="I853" s="29"/>
      <c r="J853" s="1"/>
      <c r="L853" s="11">
        <v>43159</v>
      </c>
      <c r="M853" s="9">
        <v>5238</v>
      </c>
      <c r="N853" s="9">
        <v>1250</v>
      </c>
      <c r="O853" s="9">
        <v>2045</v>
      </c>
      <c r="P853" s="9">
        <v>0</v>
      </c>
      <c r="R853" s="11"/>
      <c r="S853" s="9"/>
      <c r="T853" s="9"/>
      <c r="U853" s="9"/>
    </row>
    <row r="854" spans="2:21" x14ac:dyDescent="0.4">
      <c r="B854" s="16">
        <f t="shared" si="90"/>
        <v>43160</v>
      </c>
      <c r="C854" s="1">
        <f t="shared" si="91"/>
        <v>5233</v>
      </c>
      <c r="D854" s="1">
        <f t="shared" si="92"/>
        <v>1250</v>
      </c>
      <c r="E854" s="1">
        <f t="shared" si="93"/>
        <v>2045</v>
      </c>
      <c r="F854" s="1"/>
      <c r="H854" s="16"/>
      <c r="I854" s="29"/>
      <c r="J854" s="1"/>
      <c r="L854" s="11">
        <v>43160</v>
      </c>
      <c r="M854" s="9">
        <v>5233</v>
      </c>
      <c r="N854" s="9">
        <v>1250</v>
      </c>
      <c r="O854" s="9">
        <v>2045</v>
      </c>
      <c r="P854" s="9">
        <v>0</v>
      </c>
      <c r="R854" s="11"/>
      <c r="S854" s="9"/>
      <c r="T854" s="9"/>
      <c r="U854" s="9"/>
    </row>
    <row r="855" spans="2:21" x14ac:dyDescent="0.4">
      <c r="B855" s="16">
        <f t="shared" si="90"/>
        <v>43161</v>
      </c>
      <c r="C855" s="1">
        <f t="shared" si="91"/>
        <v>5234</v>
      </c>
      <c r="D855" s="1">
        <f t="shared" si="92"/>
        <v>1240</v>
      </c>
      <c r="E855" s="1">
        <f t="shared" si="93"/>
        <v>2040</v>
      </c>
      <c r="F855" s="1"/>
      <c r="H855" s="16"/>
      <c r="I855" s="29"/>
      <c r="J855" s="1"/>
      <c r="L855" s="11">
        <v>43161</v>
      </c>
      <c r="M855" s="9">
        <v>5234</v>
      </c>
      <c r="N855" s="9">
        <v>1240</v>
      </c>
      <c r="O855" s="9">
        <v>2040</v>
      </c>
      <c r="P855" s="9">
        <v>0</v>
      </c>
      <c r="R855" s="11"/>
      <c r="S855" s="9"/>
      <c r="T855" s="9"/>
      <c r="U855" s="9"/>
    </row>
    <row r="856" spans="2:21" x14ac:dyDescent="0.4">
      <c r="B856" s="16">
        <f t="shared" si="90"/>
        <v>43164</v>
      </c>
      <c r="C856" s="1">
        <f t="shared" si="91"/>
        <v>5217</v>
      </c>
      <c r="D856" s="1">
        <f t="shared" si="92"/>
        <v>1240</v>
      </c>
      <c r="E856" s="1">
        <f t="shared" si="93"/>
        <v>2040</v>
      </c>
      <c r="F856" s="1"/>
      <c r="H856" s="16"/>
      <c r="I856" s="29"/>
      <c r="J856" s="1"/>
      <c r="L856" s="11">
        <v>43164</v>
      </c>
      <c r="M856" s="9">
        <v>5217</v>
      </c>
      <c r="N856" s="9">
        <v>1240</v>
      </c>
      <c r="O856" s="9">
        <v>2040</v>
      </c>
      <c r="P856" s="9">
        <v>0</v>
      </c>
      <c r="R856" s="11"/>
      <c r="S856" s="9"/>
      <c r="T856" s="9"/>
      <c r="U856" s="9"/>
    </row>
    <row r="857" spans="2:21" x14ac:dyDescent="0.4">
      <c r="B857" s="16">
        <f t="shared" si="90"/>
        <v>43165</v>
      </c>
      <c r="C857" s="1">
        <f t="shared" si="91"/>
        <v>5203</v>
      </c>
      <c r="D857" s="1">
        <f t="shared" si="92"/>
        <v>1270</v>
      </c>
      <c r="E857" s="1">
        <f t="shared" si="93"/>
        <v>2030</v>
      </c>
      <c r="F857" s="1"/>
      <c r="H857" s="16"/>
      <c r="I857" s="29"/>
      <c r="J857" s="1"/>
      <c r="L857" s="11">
        <v>43165</v>
      </c>
      <c r="M857" s="9">
        <v>5203</v>
      </c>
      <c r="N857" s="9">
        <v>1270</v>
      </c>
      <c r="O857" s="9">
        <v>2030</v>
      </c>
      <c r="P857" s="9">
        <v>0</v>
      </c>
      <c r="R857" s="11"/>
      <c r="S857" s="9"/>
      <c r="T857" s="9"/>
      <c r="U857" s="9"/>
    </row>
    <row r="858" spans="2:21" x14ac:dyDescent="0.4">
      <c r="B858" s="16">
        <f t="shared" si="90"/>
        <v>43166</v>
      </c>
      <c r="C858" s="1">
        <f t="shared" si="91"/>
        <v>5192</v>
      </c>
      <c r="D858" s="1">
        <f t="shared" si="92"/>
        <v>1300</v>
      </c>
      <c r="E858" s="1">
        <f t="shared" si="93"/>
        <v>2025</v>
      </c>
      <c r="F858" s="1"/>
      <c r="H858" s="16"/>
      <c r="I858" s="29"/>
      <c r="J858" s="1"/>
      <c r="L858" s="11">
        <v>43166</v>
      </c>
      <c r="M858" s="9">
        <v>5192</v>
      </c>
      <c r="N858" s="9">
        <v>1300</v>
      </c>
      <c r="O858" s="9">
        <v>2025</v>
      </c>
      <c r="P858" s="9">
        <v>0</v>
      </c>
      <c r="R858" s="11"/>
      <c r="S858" s="9"/>
      <c r="T858" s="9"/>
      <c r="U858" s="9"/>
    </row>
    <row r="859" spans="2:21" x14ac:dyDescent="0.4">
      <c r="B859" s="16">
        <f t="shared" si="90"/>
        <v>43167</v>
      </c>
      <c r="C859" s="1">
        <f t="shared" si="91"/>
        <v>5149</v>
      </c>
      <c r="D859" s="1">
        <f t="shared" si="92"/>
        <v>1310</v>
      </c>
      <c r="E859" s="1">
        <f t="shared" si="93"/>
        <v>2010</v>
      </c>
      <c r="F859" s="1"/>
      <c r="H859" s="16"/>
      <c r="I859" s="29"/>
      <c r="J859" s="1"/>
      <c r="L859" s="11">
        <v>43167</v>
      </c>
      <c r="M859" s="9">
        <v>5149</v>
      </c>
      <c r="N859" s="9">
        <v>1310</v>
      </c>
      <c r="O859" s="9">
        <v>2010</v>
      </c>
      <c r="P859" s="9">
        <v>0</v>
      </c>
      <c r="R859" s="11"/>
      <c r="S859" s="9"/>
      <c r="T859" s="9"/>
      <c r="U859" s="9"/>
    </row>
    <row r="860" spans="2:21" x14ac:dyDescent="0.4">
      <c r="B860" s="16">
        <f t="shared" si="90"/>
        <v>43168</v>
      </c>
      <c r="C860" s="1">
        <f t="shared" si="91"/>
        <v>5126</v>
      </c>
      <c r="D860" s="1">
        <f t="shared" si="92"/>
        <v>1310</v>
      </c>
      <c r="E860" s="1">
        <f t="shared" si="93"/>
        <v>2010</v>
      </c>
      <c r="F860" s="1"/>
      <c r="H860" s="16"/>
      <c r="I860" s="29"/>
      <c r="J860" s="1"/>
      <c r="L860" s="11">
        <v>43168</v>
      </c>
      <c r="M860" s="9">
        <v>5126</v>
      </c>
      <c r="N860" s="9">
        <v>1310</v>
      </c>
      <c r="O860" s="9">
        <v>2010</v>
      </c>
      <c r="P860" s="9">
        <v>0</v>
      </c>
      <c r="R860" s="11"/>
      <c r="S860" s="9"/>
      <c r="T860" s="9"/>
      <c r="U860" s="9"/>
    </row>
    <row r="861" spans="2:21" x14ac:dyDescent="0.4">
      <c r="B861" s="16">
        <f t="shared" si="90"/>
        <v>43171</v>
      </c>
      <c r="C861" s="1">
        <f t="shared" si="91"/>
        <v>5110</v>
      </c>
      <c r="D861" s="1">
        <f t="shared" si="92"/>
        <v>1310</v>
      </c>
      <c r="E861" s="1">
        <f t="shared" si="93"/>
        <v>2010</v>
      </c>
      <c r="F861" s="1"/>
      <c r="H861" s="16"/>
      <c r="I861" s="29"/>
      <c r="J861" s="1"/>
      <c r="L861" s="11">
        <v>43171</v>
      </c>
      <c r="M861" s="9">
        <v>5110</v>
      </c>
      <c r="N861" s="9">
        <v>1310</v>
      </c>
      <c r="O861" s="9">
        <v>2010</v>
      </c>
      <c r="P861" s="9">
        <v>0</v>
      </c>
      <c r="R861" s="11"/>
      <c r="S861" s="9"/>
      <c r="T861" s="9"/>
      <c r="U861" s="9"/>
    </row>
    <row r="862" spans="2:21" x14ac:dyDescent="0.4">
      <c r="B862" s="16">
        <f t="shared" si="90"/>
        <v>43172</v>
      </c>
      <c r="C862" s="1">
        <f t="shared" si="91"/>
        <v>5107</v>
      </c>
      <c r="D862" s="1">
        <f t="shared" si="92"/>
        <v>1335</v>
      </c>
      <c r="E862" s="1">
        <f t="shared" si="93"/>
        <v>2020</v>
      </c>
      <c r="F862" s="1"/>
      <c r="H862" s="16"/>
      <c r="I862" s="29"/>
      <c r="J862" s="1"/>
      <c r="L862" s="11">
        <v>43172</v>
      </c>
      <c r="M862" s="9">
        <v>5107</v>
      </c>
      <c r="N862" s="9">
        <v>1335</v>
      </c>
      <c r="O862" s="9">
        <v>2020</v>
      </c>
      <c r="P862" s="9">
        <v>0</v>
      </c>
      <c r="R862" s="11"/>
      <c r="S862" s="9"/>
      <c r="T862" s="9"/>
      <c r="U862" s="9"/>
    </row>
    <row r="863" spans="2:21" x14ac:dyDescent="0.4">
      <c r="B863" s="16">
        <f t="shared" si="90"/>
        <v>43173</v>
      </c>
      <c r="C863" s="1">
        <f t="shared" si="91"/>
        <v>5111</v>
      </c>
      <c r="D863" s="1">
        <f t="shared" si="92"/>
        <v>1335</v>
      </c>
      <c r="E863" s="1">
        <f t="shared" si="93"/>
        <v>2010</v>
      </c>
      <c r="F863" s="1"/>
      <c r="H863" s="16"/>
      <c r="I863" s="29"/>
      <c r="J863" s="1"/>
      <c r="L863" s="11">
        <v>43173</v>
      </c>
      <c r="M863" s="9">
        <v>5111</v>
      </c>
      <c r="N863" s="9">
        <v>1335</v>
      </c>
      <c r="O863" s="9">
        <v>2010</v>
      </c>
      <c r="P863" s="9">
        <v>0</v>
      </c>
      <c r="R863" s="11"/>
      <c r="S863" s="9"/>
      <c r="T863" s="9"/>
      <c r="U863" s="9"/>
    </row>
    <row r="864" spans="2:21" x14ac:dyDescent="0.4">
      <c r="B864" s="16">
        <f t="shared" si="90"/>
        <v>43174</v>
      </c>
      <c r="C864" s="1">
        <f t="shared" si="91"/>
        <v>5096</v>
      </c>
      <c r="D864" s="1">
        <f t="shared" si="92"/>
        <v>1335</v>
      </c>
      <c r="E864" s="1">
        <f t="shared" si="93"/>
        <v>2010</v>
      </c>
      <c r="F864" s="1"/>
      <c r="H864" s="16"/>
      <c r="I864" s="29"/>
      <c r="J864" s="1"/>
      <c r="L864" s="11">
        <v>43174</v>
      </c>
      <c r="M864" s="9">
        <v>5096</v>
      </c>
      <c r="N864" s="9">
        <v>1335</v>
      </c>
      <c r="O864" s="9">
        <v>2010</v>
      </c>
      <c r="P864" s="9">
        <v>0</v>
      </c>
      <c r="R864" s="11"/>
      <c r="S864" s="9"/>
      <c r="T864" s="9"/>
      <c r="U864" s="9"/>
    </row>
    <row r="865" spans="2:21" x14ac:dyDescent="0.4">
      <c r="B865" s="16">
        <f t="shared" si="90"/>
        <v>43175</v>
      </c>
      <c r="C865" s="1">
        <f t="shared" si="91"/>
        <v>5059</v>
      </c>
      <c r="D865" s="1">
        <f t="shared" si="92"/>
        <v>1380</v>
      </c>
      <c r="E865" s="1">
        <f t="shared" si="93"/>
        <v>2010</v>
      </c>
      <c r="F865" s="1"/>
      <c r="H865" s="16"/>
      <c r="I865" s="29"/>
      <c r="J865" s="1"/>
      <c r="L865" s="11">
        <v>43175</v>
      </c>
      <c r="M865" s="9">
        <v>5059</v>
      </c>
      <c r="N865" s="9">
        <v>1380</v>
      </c>
      <c r="O865" s="9">
        <v>2010</v>
      </c>
      <c r="P865" s="9">
        <v>0</v>
      </c>
      <c r="R865" s="11"/>
      <c r="S865" s="9"/>
      <c r="T865" s="9"/>
      <c r="U865" s="9"/>
    </row>
    <row r="866" spans="2:21" x14ac:dyDescent="0.4">
      <c r="B866" s="16">
        <f t="shared" si="90"/>
        <v>43178</v>
      </c>
      <c r="C866" s="1">
        <f t="shared" si="91"/>
        <v>5059</v>
      </c>
      <c r="D866" s="1">
        <f t="shared" si="92"/>
        <v>1380</v>
      </c>
      <c r="E866" s="1">
        <f t="shared" si="93"/>
        <v>2000</v>
      </c>
      <c r="F866" s="1"/>
      <c r="H866" s="16"/>
      <c r="I866" s="29"/>
      <c r="J866" s="1"/>
      <c r="L866" s="11">
        <v>43178</v>
      </c>
      <c r="M866" s="9">
        <v>5059</v>
      </c>
      <c r="N866" s="9">
        <v>1380</v>
      </c>
      <c r="O866" s="9">
        <v>2000</v>
      </c>
      <c r="P866" s="9">
        <v>0</v>
      </c>
      <c r="R866" s="11"/>
      <c r="S866" s="9"/>
      <c r="T866" s="9"/>
      <c r="U866" s="9"/>
    </row>
    <row r="867" spans="2:21" x14ac:dyDescent="0.4">
      <c r="B867" s="16">
        <f t="shared" si="90"/>
        <v>43179</v>
      </c>
      <c r="C867" s="1">
        <f t="shared" si="91"/>
        <v>5045</v>
      </c>
      <c r="D867" s="1">
        <f t="shared" si="92"/>
        <v>1380</v>
      </c>
      <c r="E867" s="1">
        <f t="shared" si="93"/>
        <v>1990</v>
      </c>
      <c r="F867" s="1"/>
      <c r="H867" s="16"/>
      <c r="I867" s="29"/>
      <c r="J867" s="1"/>
      <c r="L867" s="11">
        <v>43179</v>
      </c>
      <c r="M867" s="9">
        <v>5045</v>
      </c>
      <c r="N867" s="9">
        <v>1380</v>
      </c>
      <c r="O867" s="9">
        <v>1990</v>
      </c>
      <c r="P867" s="9">
        <v>0</v>
      </c>
      <c r="R867" s="11"/>
      <c r="S867" s="9"/>
      <c r="T867" s="9"/>
      <c r="U867" s="9"/>
    </row>
    <row r="868" spans="2:21" x14ac:dyDescent="0.4">
      <c r="B868" s="16">
        <f t="shared" si="90"/>
        <v>43180</v>
      </c>
      <c r="C868" s="1">
        <f t="shared" si="91"/>
        <v>5037</v>
      </c>
      <c r="D868" s="1">
        <f t="shared" si="92"/>
        <v>1380</v>
      </c>
      <c r="E868" s="1">
        <f t="shared" si="93"/>
        <v>1980</v>
      </c>
      <c r="F868" s="1"/>
      <c r="H868" s="16"/>
      <c r="I868" s="29"/>
      <c r="J868" s="1"/>
      <c r="L868" s="11">
        <v>43180</v>
      </c>
      <c r="M868" s="9">
        <v>5037</v>
      </c>
      <c r="N868" s="9">
        <v>1380</v>
      </c>
      <c r="O868" s="9">
        <v>1980</v>
      </c>
      <c r="P868" s="9">
        <v>0</v>
      </c>
      <c r="R868" s="11"/>
      <c r="S868" s="9"/>
      <c r="T868" s="9"/>
      <c r="U868" s="9"/>
    </row>
    <row r="869" spans="2:21" x14ac:dyDescent="0.4">
      <c r="B869" s="16">
        <f t="shared" si="90"/>
        <v>43181</v>
      </c>
      <c r="C869" s="1">
        <f t="shared" si="91"/>
        <v>5045</v>
      </c>
      <c r="D869" s="1">
        <f t="shared" si="92"/>
        <v>1380</v>
      </c>
      <c r="E869" s="1">
        <f t="shared" si="93"/>
        <v>1980</v>
      </c>
      <c r="F869" s="1"/>
      <c r="H869" s="16"/>
      <c r="I869" s="29"/>
      <c r="J869" s="1"/>
      <c r="L869" s="11">
        <v>43181</v>
      </c>
      <c r="M869" s="9">
        <v>5045</v>
      </c>
      <c r="N869" s="9">
        <v>1380</v>
      </c>
      <c r="O869" s="9">
        <v>1980</v>
      </c>
      <c r="P869" s="9">
        <v>0</v>
      </c>
      <c r="R869" s="11"/>
      <c r="S869" s="9"/>
      <c r="T869" s="9"/>
      <c r="U869" s="9"/>
    </row>
    <row r="870" spans="2:21" x14ac:dyDescent="0.4">
      <c r="B870" s="16">
        <f t="shared" si="90"/>
        <v>43182</v>
      </c>
      <c r="C870" s="1">
        <f t="shared" si="91"/>
        <v>5036</v>
      </c>
      <c r="D870" s="1">
        <f t="shared" si="92"/>
        <v>1385</v>
      </c>
      <c r="E870" s="1">
        <f t="shared" si="93"/>
        <v>1970</v>
      </c>
      <c r="F870" s="1"/>
      <c r="H870" s="16"/>
      <c r="I870" s="29"/>
      <c r="J870" s="1"/>
      <c r="L870" s="11">
        <v>43182</v>
      </c>
      <c r="M870" s="9">
        <v>5036</v>
      </c>
      <c r="N870" s="9">
        <v>1385</v>
      </c>
      <c r="O870" s="9">
        <v>1970</v>
      </c>
      <c r="P870" s="9">
        <v>0</v>
      </c>
      <c r="R870" s="11"/>
      <c r="S870" s="9"/>
      <c r="T870" s="9"/>
      <c r="U870" s="9"/>
    </row>
    <row r="871" spans="2:21" x14ac:dyDescent="0.4">
      <c r="B871" s="16">
        <f t="shared" si="90"/>
        <v>43185</v>
      </c>
      <c r="C871" s="1">
        <f t="shared" si="91"/>
        <v>5032</v>
      </c>
      <c r="D871" s="1">
        <f t="shared" si="92"/>
        <v>1385</v>
      </c>
      <c r="E871" s="1">
        <f t="shared" si="93"/>
        <v>1960</v>
      </c>
      <c r="F871" s="1"/>
      <c r="H871" s="16"/>
      <c r="I871" s="29"/>
      <c r="J871" s="1"/>
      <c r="L871" s="11">
        <v>43185</v>
      </c>
      <c r="M871" s="9">
        <v>5032</v>
      </c>
      <c r="N871" s="9">
        <v>1385</v>
      </c>
      <c r="O871" s="9">
        <v>1960</v>
      </c>
      <c r="P871" s="9">
        <v>0</v>
      </c>
      <c r="R871" s="11"/>
      <c r="S871" s="9"/>
      <c r="T871" s="9"/>
      <c r="U871" s="9"/>
    </row>
    <row r="872" spans="2:21" x14ac:dyDescent="0.4">
      <c r="B872" s="16">
        <f t="shared" si="90"/>
        <v>43186</v>
      </c>
      <c r="C872" s="1">
        <f t="shared" si="91"/>
        <v>5019</v>
      </c>
      <c r="D872" s="1">
        <f t="shared" si="92"/>
        <v>1385</v>
      </c>
      <c r="E872" s="1">
        <f t="shared" si="93"/>
        <v>1950</v>
      </c>
      <c r="F872" s="1"/>
      <c r="H872" s="16"/>
      <c r="I872" s="29"/>
      <c r="J872" s="1"/>
      <c r="L872" s="11">
        <v>43186</v>
      </c>
      <c r="M872" s="9">
        <v>5019</v>
      </c>
      <c r="N872" s="9">
        <v>1385</v>
      </c>
      <c r="O872" s="9">
        <v>1950</v>
      </c>
      <c r="P872" s="9">
        <v>0</v>
      </c>
      <c r="R872" s="11"/>
      <c r="S872" s="9"/>
      <c r="T872" s="9"/>
      <c r="U872" s="9"/>
    </row>
    <row r="873" spans="2:21" x14ac:dyDescent="0.4">
      <c r="B873" s="16">
        <f t="shared" si="90"/>
        <v>43187</v>
      </c>
      <c r="C873" s="1">
        <f t="shared" si="91"/>
        <v>5018</v>
      </c>
      <c r="D873" s="1">
        <f t="shared" si="92"/>
        <v>1385</v>
      </c>
      <c r="E873" s="1">
        <f t="shared" si="93"/>
        <v>1950</v>
      </c>
      <c r="F873" s="1"/>
      <c r="H873" s="16"/>
      <c r="I873" s="29"/>
      <c r="J873" s="1"/>
      <c r="L873" s="11">
        <v>43187</v>
      </c>
      <c r="M873" s="9">
        <v>5018</v>
      </c>
      <c r="N873" s="9">
        <v>1385</v>
      </c>
      <c r="O873" s="9">
        <v>1950</v>
      </c>
      <c r="P873" s="9">
        <v>0</v>
      </c>
      <c r="R873" s="11"/>
      <c r="S873" s="9"/>
      <c r="T873" s="9"/>
      <c r="U873" s="9"/>
    </row>
    <row r="874" spans="2:21" x14ac:dyDescent="0.4">
      <c r="B874" s="16">
        <f t="shared" si="90"/>
        <v>43188</v>
      </c>
      <c r="C874" s="1">
        <f t="shared" si="91"/>
        <v>5012</v>
      </c>
      <c r="D874" s="1">
        <f t="shared" si="92"/>
        <v>1385</v>
      </c>
      <c r="E874" s="1">
        <f t="shared" si="93"/>
        <v>1950</v>
      </c>
      <c r="F874" s="1"/>
      <c r="H874" s="16"/>
      <c r="I874" s="29"/>
      <c r="J874" s="1"/>
      <c r="L874" s="11">
        <v>43188</v>
      </c>
      <c r="M874" s="9">
        <v>5012</v>
      </c>
      <c r="N874" s="9">
        <v>1385</v>
      </c>
      <c r="O874" s="9">
        <v>1950</v>
      </c>
      <c r="P874" s="9">
        <v>0</v>
      </c>
      <c r="R874" s="11"/>
      <c r="S874" s="9"/>
      <c r="T874" s="9"/>
      <c r="U874" s="9"/>
    </row>
    <row r="875" spans="2:21" x14ac:dyDescent="0.4">
      <c r="B875" s="16">
        <f t="shared" si="90"/>
        <v>43189</v>
      </c>
      <c r="C875" s="1">
        <f t="shared" si="91"/>
        <v>5015</v>
      </c>
      <c r="D875" s="1">
        <f t="shared" si="92"/>
        <v>1385</v>
      </c>
      <c r="E875" s="1">
        <f t="shared" si="93"/>
        <v>1945</v>
      </c>
      <c r="F875" s="1"/>
      <c r="H875" s="16"/>
      <c r="I875" s="29"/>
      <c r="J875" s="1"/>
      <c r="L875" s="11">
        <v>43189</v>
      </c>
      <c r="M875" s="9">
        <v>5015</v>
      </c>
      <c r="N875" s="9">
        <v>0</v>
      </c>
      <c r="O875" s="9">
        <v>1945</v>
      </c>
      <c r="P875" s="9">
        <v>0</v>
      </c>
      <c r="R875" s="11"/>
      <c r="S875" s="9"/>
      <c r="T875" s="9"/>
      <c r="U875" s="9"/>
    </row>
    <row r="876" spans="2:21" x14ac:dyDescent="0.4">
      <c r="B876" s="16">
        <f t="shared" si="90"/>
        <v>43192</v>
      </c>
      <c r="C876" s="1">
        <f t="shared" si="91"/>
        <v>5022</v>
      </c>
      <c r="D876" s="1">
        <f t="shared" si="92"/>
        <v>1385</v>
      </c>
      <c r="E876" s="1">
        <f t="shared" si="93"/>
        <v>1940</v>
      </c>
      <c r="F876" s="1"/>
      <c r="H876" s="16"/>
      <c r="I876" s="29"/>
      <c r="J876" s="1"/>
      <c r="L876" s="11">
        <v>43192</v>
      </c>
      <c r="M876" s="9">
        <v>5022</v>
      </c>
      <c r="N876" s="9">
        <v>1385</v>
      </c>
      <c r="O876" s="9">
        <v>1940</v>
      </c>
      <c r="P876" s="9">
        <v>0</v>
      </c>
      <c r="R876" s="11"/>
      <c r="S876" s="9"/>
      <c r="T876" s="9"/>
      <c r="U876" s="9"/>
    </row>
    <row r="877" spans="2:21" x14ac:dyDescent="0.4">
      <c r="B877" s="16">
        <f t="shared" si="90"/>
        <v>43193</v>
      </c>
      <c r="C877" s="1">
        <f t="shared" si="91"/>
        <v>5023</v>
      </c>
      <c r="D877" s="1">
        <f t="shared" si="92"/>
        <v>1380</v>
      </c>
      <c r="E877" s="1">
        <f t="shared" si="93"/>
        <v>1940</v>
      </c>
      <c r="F877" s="1"/>
      <c r="H877" s="16"/>
      <c r="I877" s="29"/>
      <c r="J877" s="1"/>
      <c r="L877" s="11">
        <v>43193</v>
      </c>
      <c r="M877" s="9">
        <v>5023</v>
      </c>
      <c r="N877" s="9">
        <v>1380</v>
      </c>
      <c r="O877" s="9">
        <v>1940</v>
      </c>
      <c r="P877" s="9">
        <v>0</v>
      </c>
      <c r="R877" s="11"/>
      <c r="S877" s="9"/>
      <c r="T877" s="9"/>
      <c r="U877" s="9"/>
    </row>
    <row r="878" spans="2:21" x14ac:dyDescent="0.4">
      <c r="B878" s="16">
        <f t="shared" si="90"/>
        <v>43194</v>
      </c>
      <c r="C878" s="1">
        <f t="shared" si="91"/>
        <v>5009</v>
      </c>
      <c r="D878" s="1">
        <f t="shared" si="92"/>
        <v>1365</v>
      </c>
      <c r="E878" s="1">
        <f t="shared" si="93"/>
        <v>1935</v>
      </c>
      <c r="F878" s="1"/>
      <c r="H878" s="16"/>
      <c r="I878" s="29"/>
      <c r="J878" s="1"/>
      <c r="L878" s="11">
        <v>43194</v>
      </c>
      <c r="M878" s="9">
        <v>5009</v>
      </c>
      <c r="N878" s="9">
        <v>1365</v>
      </c>
      <c r="O878" s="9">
        <v>1935</v>
      </c>
      <c r="P878" s="9">
        <v>0</v>
      </c>
      <c r="R878" s="11"/>
      <c r="S878" s="9"/>
      <c r="T878" s="9"/>
      <c r="U878" s="9"/>
    </row>
    <row r="879" spans="2:21" x14ac:dyDescent="0.4">
      <c r="B879" s="16">
        <f t="shared" si="90"/>
        <v>43195</v>
      </c>
      <c r="C879" s="1">
        <f t="shared" si="91"/>
        <v>5009</v>
      </c>
      <c r="D879" s="1">
        <f t="shared" si="92"/>
        <v>1360</v>
      </c>
      <c r="E879" s="1">
        <f t="shared" si="93"/>
        <v>1935</v>
      </c>
      <c r="F879" s="1"/>
      <c r="H879" s="16"/>
      <c r="I879" s="29"/>
      <c r="J879" s="1"/>
      <c r="L879" s="11">
        <v>43195</v>
      </c>
      <c r="M879" s="9">
        <v>0</v>
      </c>
      <c r="N879" s="9">
        <v>1360</v>
      </c>
      <c r="O879" s="9">
        <v>0</v>
      </c>
      <c r="P879" s="9">
        <v>0</v>
      </c>
      <c r="R879" s="11"/>
      <c r="S879" s="9"/>
      <c r="T879" s="9"/>
      <c r="U879" s="9"/>
    </row>
    <row r="880" spans="2:21" x14ac:dyDescent="0.4">
      <c r="B880" s="16">
        <f t="shared" si="90"/>
        <v>43196</v>
      </c>
      <c r="C880" s="1">
        <f t="shared" si="91"/>
        <v>5009</v>
      </c>
      <c r="D880" s="1">
        <f t="shared" si="92"/>
        <v>1345</v>
      </c>
      <c r="E880" s="1">
        <f t="shared" si="93"/>
        <v>1935</v>
      </c>
      <c r="F880" s="1"/>
      <c r="H880" s="16"/>
      <c r="I880" s="29"/>
      <c r="J880" s="1"/>
      <c r="L880" s="11">
        <v>43196</v>
      </c>
      <c r="M880" s="9">
        <v>0</v>
      </c>
      <c r="N880" s="9">
        <v>1345</v>
      </c>
      <c r="O880" s="9">
        <v>0</v>
      </c>
      <c r="P880" s="9">
        <v>0</v>
      </c>
      <c r="R880" s="11"/>
      <c r="S880" s="9"/>
      <c r="T880" s="9"/>
      <c r="U880" s="9"/>
    </row>
    <row r="881" spans="2:21" x14ac:dyDescent="0.4">
      <c r="B881" s="16">
        <f t="shared" si="90"/>
        <v>43198</v>
      </c>
      <c r="C881" s="1">
        <f t="shared" si="91"/>
        <v>5007</v>
      </c>
      <c r="D881" s="1">
        <f t="shared" si="92"/>
        <v>1345</v>
      </c>
      <c r="E881" s="1">
        <f t="shared" si="93"/>
        <v>1935</v>
      </c>
      <c r="F881" s="1"/>
      <c r="H881" s="16"/>
      <c r="I881" s="29"/>
      <c r="J881" s="1"/>
      <c r="L881" s="11">
        <v>43198</v>
      </c>
      <c r="M881" s="9">
        <v>5007</v>
      </c>
      <c r="N881" s="9">
        <v>0</v>
      </c>
      <c r="O881" s="9">
        <v>1935</v>
      </c>
      <c r="P881" s="9">
        <v>0</v>
      </c>
      <c r="R881" s="11"/>
      <c r="S881" s="9"/>
      <c r="T881" s="9"/>
      <c r="U881" s="9"/>
    </row>
    <row r="882" spans="2:21" x14ac:dyDescent="0.4">
      <c r="B882" s="16">
        <f t="shared" si="90"/>
        <v>43199</v>
      </c>
      <c r="C882" s="1">
        <f t="shared" si="91"/>
        <v>5032</v>
      </c>
      <c r="D882" s="1">
        <f t="shared" si="92"/>
        <v>1345</v>
      </c>
      <c r="E882" s="1">
        <f t="shared" si="93"/>
        <v>1940</v>
      </c>
      <c r="F882" s="1"/>
      <c r="H882" s="16"/>
      <c r="I882" s="29"/>
      <c r="J882" s="1"/>
      <c r="L882" s="11">
        <v>43199</v>
      </c>
      <c r="M882" s="9">
        <v>5032</v>
      </c>
      <c r="N882" s="9">
        <v>1345</v>
      </c>
      <c r="O882" s="9">
        <v>1940</v>
      </c>
      <c r="P882" s="9">
        <v>0</v>
      </c>
      <c r="R882" s="11"/>
      <c r="S882" s="9"/>
      <c r="T882" s="9"/>
      <c r="U882" s="9"/>
    </row>
    <row r="883" spans="2:21" x14ac:dyDescent="0.4">
      <c r="B883" s="16">
        <f t="shared" si="90"/>
        <v>43200</v>
      </c>
      <c r="C883" s="1">
        <f t="shared" si="91"/>
        <v>5047</v>
      </c>
      <c r="D883" s="1">
        <f t="shared" si="92"/>
        <v>1345</v>
      </c>
      <c r="E883" s="1">
        <f t="shared" si="93"/>
        <v>1940</v>
      </c>
      <c r="F883" s="1"/>
      <c r="H883" s="16"/>
      <c r="I883" s="29"/>
      <c r="J883" s="1"/>
      <c r="L883" s="11">
        <v>43200</v>
      </c>
      <c r="M883" s="9">
        <v>5047</v>
      </c>
      <c r="N883" s="9">
        <v>1345</v>
      </c>
      <c r="O883" s="9">
        <v>1940</v>
      </c>
      <c r="P883" s="9">
        <v>0</v>
      </c>
      <c r="R883" s="11"/>
      <c r="S883" s="9"/>
      <c r="T883" s="9"/>
      <c r="U883" s="9"/>
    </row>
    <row r="884" spans="2:21" x14ac:dyDescent="0.4">
      <c r="B884" s="16">
        <f t="shared" si="90"/>
        <v>43201</v>
      </c>
      <c r="C884" s="1">
        <f t="shared" si="91"/>
        <v>5059</v>
      </c>
      <c r="D884" s="1">
        <f t="shared" si="92"/>
        <v>1360</v>
      </c>
      <c r="E884" s="1">
        <f t="shared" si="93"/>
        <v>1940</v>
      </c>
      <c r="F884" s="1"/>
      <c r="H884" s="16"/>
      <c r="I884" s="29"/>
      <c r="J884" s="1"/>
      <c r="L884" s="11">
        <v>43201</v>
      </c>
      <c r="M884" s="9">
        <v>5059</v>
      </c>
      <c r="N884" s="9">
        <v>1360</v>
      </c>
      <c r="O884" s="9">
        <v>1940</v>
      </c>
      <c r="P884" s="9">
        <v>0</v>
      </c>
      <c r="R884" s="11"/>
      <c r="S884" s="9"/>
      <c r="T884" s="9"/>
      <c r="U884" s="9"/>
    </row>
    <row r="885" spans="2:21" x14ac:dyDescent="0.4">
      <c r="B885" s="16">
        <f t="shared" si="90"/>
        <v>43202</v>
      </c>
      <c r="C885" s="1">
        <f t="shared" si="91"/>
        <v>5065</v>
      </c>
      <c r="D885" s="1">
        <f t="shared" si="92"/>
        <v>1360</v>
      </c>
      <c r="E885" s="1">
        <f t="shared" si="93"/>
        <v>1930</v>
      </c>
      <c r="F885" s="1"/>
      <c r="H885" s="16"/>
      <c r="I885" s="29"/>
      <c r="J885" s="1"/>
      <c r="L885" s="11">
        <v>43202</v>
      </c>
      <c r="M885" s="9">
        <v>5065</v>
      </c>
      <c r="N885" s="9">
        <v>1360</v>
      </c>
      <c r="O885" s="9">
        <v>1930</v>
      </c>
      <c r="P885" s="9">
        <v>0</v>
      </c>
      <c r="R885" s="11"/>
      <c r="S885" s="9"/>
      <c r="T885" s="9"/>
      <c r="U885" s="9"/>
    </row>
    <row r="886" spans="2:21" x14ac:dyDescent="0.4">
      <c r="B886" s="16">
        <f t="shared" si="90"/>
        <v>43203</v>
      </c>
      <c r="C886" s="1">
        <f t="shared" si="91"/>
        <v>5072</v>
      </c>
      <c r="D886" s="1">
        <f t="shared" si="92"/>
        <v>1375</v>
      </c>
      <c r="E886" s="1">
        <f t="shared" si="93"/>
        <v>1930</v>
      </c>
      <c r="F886" s="1"/>
      <c r="H886" s="16"/>
      <c r="I886" s="29"/>
      <c r="J886" s="1"/>
      <c r="L886" s="11">
        <v>43203</v>
      </c>
      <c r="M886" s="9">
        <v>5072</v>
      </c>
      <c r="N886" s="9">
        <v>1375</v>
      </c>
      <c r="O886" s="9">
        <v>1930</v>
      </c>
      <c r="P886" s="9">
        <v>0</v>
      </c>
      <c r="R886" s="11"/>
      <c r="S886" s="9"/>
      <c r="T886" s="9"/>
      <c r="U886" s="9"/>
    </row>
    <row r="887" spans="2:21" x14ac:dyDescent="0.4">
      <c r="B887" s="16">
        <f t="shared" si="90"/>
        <v>43206</v>
      </c>
      <c r="C887" s="1">
        <f t="shared" si="91"/>
        <v>5100</v>
      </c>
      <c r="D887" s="1">
        <f t="shared" si="92"/>
        <v>1360</v>
      </c>
      <c r="E887" s="1">
        <f t="shared" si="93"/>
        <v>1940</v>
      </c>
      <c r="F887" s="1"/>
      <c r="H887" s="16"/>
      <c r="I887" s="29"/>
      <c r="J887" s="1"/>
      <c r="L887" s="11">
        <v>43206</v>
      </c>
      <c r="M887" s="9">
        <v>5100</v>
      </c>
      <c r="N887" s="9">
        <v>1360</v>
      </c>
      <c r="O887" s="9">
        <v>1940</v>
      </c>
      <c r="P887" s="9">
        <v>0</v>
      </c>
      <c r="R887" s="11"/>
      <c r="S887" s="9"/>
      <c r="T887" s="9"/>
      <c r="U887" s="9"/>
    </row>
    <row r="888" spans="2:21" x14ac:dyDescent="0.4">
      <c r="B888" s="16">
        <f t="shared" si="90"/>
        <v>43207</v>
      </c>
      <c r="C888" s="1">
        <f t="shared" si="91"/>
        <v>5122</v>
      </c>
      <c r="D888" s="1">
        <f t="shared" si="92"/>
        <v>1360</v>
      </c>
      <c r="E888" s="1">
        <f t="shared" si="93"/>
        <v>1950</v>
      </c>
      <c r="F888" s="1"/>
      <c r="H888" s="16"/>
      <c r="I888" s="29"/>
      <c r="J888" s="1"/>
      <c r="L888" s="11">
        <v>43207</v>
      </c>
      <c r="M888" s="9">
        <v>5122</v>
      </c>
      <c r="N888" s="9">
        <v>1360</v>
      </c>
      <c r="O888" s="9">
        <v>1950</v>
      </c>
      <c r="P888" s="9">
        <v>0</v>
      </c>
      <c r="R888" s="11"/>
      <c r="S888" s="9"/>
      <c r="T888" s="9"/>
      <c r="U888" s="9"/>
    </row>
    <row r="889" spans="2:21" x14ac:dyDescent="0.4">
      <c r="B889" s="16">
        <f t="shared" si="90"/>
        <v>43208</v>
      </c>
      <c r="C889" s="1">
        <f t="shared" si="91"/>
        <v>5133</v>
      </c>
      <c r="D889" s="1">
        <f t="shared" si="92"/>
        <v>1360</v>
      </c>
      <c r="E889" s="1">
        <f t="shared" si="93"/>
        <v>1960</v>
      </c>
      <c r="F889" s="1"/>
      <c r="H889" s="16"/>
      <c r="I889" s="29"/>
      <c r="J889" s="1"/>
      <c r="L889" s="11">
        <v>43208</v>
      </c>
      <c r="M889" s="9">
        <v>5133</v>
      </c>
      <c r="N889" s="9">
        <v>1360</v>
      </c>
      <c r="O889" s="9">
        <v>1960</v>
      </c>
      <c r="P889" s="9">
        <v>0</v>
      </c>
      <c r="R889" s="11"/>
      <c r="S889" s="9"/>
      <c r="T889" s="9"/>
      <c r="U889" s="9"/>
    </row>
    <row r="890" spans="2:21" x14ac:dyDescent="0.4">
      <c r="B890" s="16">
        <f t="shared" si="90"/>
        <v>43209</v>
      </c>
      <c r="C890" s="1">
        <f t="shared" si="91"/>
        <v>5145</v>
      </c>
      <c r="D890" s="1">
        <f t="shared" si="92"/>
        <v>1360</v>
      </c>
      <c r="E890" s="1">
        <f t="shared" si="93"/>
        <v>1960</v>
      </c>
      <c r="F890" s="1"/>
      <c r="H890" s="16"/>
      <c r="I890" s="29"/>
      <c r="J890" s="1"/>
      <c r="L890" s="11">
        <v>43209</v>
      </c>
      <c r="M890" s="9">
        <v>5145</v>
      </c>
      <c r="N890" s="9">
        <v>1360</v>
      </c>
      <c r="O890" s="9">
        <v>1960</v>
      </c>
      <c r="P890" s="9">
        <v>0</v>
      </c>
      <c r="R890" s="11"/>
      <c r="S890" s="9"/>
      <c r="T890" s="9"/>
      <c r="U890" s="9"/>
    </row>
    <row r="891" spans="2:21" x14ac:dyDescent="0.4">
      <c r="B891" s="16">
        <f t="shared" si="90"/>
        <v>43210</v>
      </c>
      <c r="C891" s="1">
        <f t="shared" si="91"/>
        <v>5133</v>
      </c>
      <c r="D891" s="1">
        <f t="shared" si="92"/>
        <v>1340</v>
      </c>
      <c r="E891" s="1">
        <f t="shared" si="93"/>
        <v>1970</v>
      </c>
      <c r="F891" s="1"/>
      <c r="H891" s="16"/>
      <c r="I891" s="29"/>
      <c r="J891" s="1"/>
      <c r="L891" s="11">
        <v>43210</v>
      </c>
      <c r="M891" s="9">
        <v>5133</v>
      </c>
      <c r="N891" s="9">
        <v>1340</v>
      </c>
      <c r="O891" s="9">
        <v>1970</v>
      </c>
      <c r="P891" s="9">
        <v>0</v>
      </c>
      <c r="R891" s="11"/>
      <c r="S891" s="9"/>
      <c r="T891" s="9"/>
      <c r="U891" s="9"/>
    </row>
    <row r="892" spans="2:21" x14ac:dyDescent="0.4">
      <c r="B892" s="16">
        <f t="shared" si="90"/>
        <v>43213</v>
      </c>
      <c r="C892" s="1">
        <f t="shared" si="91"/>
        <v>5127</v>
      </c>
      <c r="D892" s="1">
        <f t="shared" si="92"/>
        <v>1340</v>
      </c>
      <c r="E892" s="1">
        <f t="shared" si="93"/>
        <v>1980</v>
      </c>
      <c r="F892" s="1"/>
      <c r="H892" s="16"/>
      <c r="I892" s="29"/>
      <c r="J892" s="1"/>
      <c r="L892" s="11">
        <v>43213</v>
      </c>
      <c r="M892" s="9">
        <v>5127</v>
      </c>
      <c r="N892" s="9">
        <v>1340</v>
      </c>
      <c r="O892" s="9">
        <v>1980</v>
      </c>
      <c r="P892" s="9">
        <v>0</v>
      </c>
      <c r="R892" s="11"/>
      <c r="S892" s="9"/>
      <c r="T892" s="9"/>
      <c r="U892" s="9"/>
    </row>
    <row r="893" spans="2:21" x14ac:dyDescent="0.4">
      <c r="B893" s="16">
        <f t="shared" si="90"/>
        <v>43214</v>
      </c>
      <c r="C893" s="1">
        <f t="shared" si="91"/>
        <v>5136</v>
      </c>
      <c r="D893" s="1">
        <f t="shared" si="92"/>
        <v>1335</v>
      </c>
      <c r="E893" s="1">
        <f t="shared" si="93"/>
        <v>1980</v>
      </c>
      <c r="F893" s="1"/>
      <c r="H893" s="16"/>
      <c r="I893" s="29"/>
      <c r="J893" s="1"/>
      <c r="L893" s="11">
        <v>43214</v>
      </c>
      <c r="M893" s="9">
        <v>5136</v>
      </c>
      <c r="N893" s="9">
        <v>1335</v>
      </c>
      <c r="O893" s="9">
        <v>1980</v>
      </c>
      <c r="P893" s="9">
        <v>0</v>
      </c>
      <c r="R893" s="11"/>
      <c r="S893" s="9"/>
      <c r="T893" s="9"/>
      <c r="U893" s="9"/>
    </row>
    <row r="894" spans="2:21" x14ac:dyDescent="0.4">
      <c r="B894" s="16">
        <f t="shared" si="90"/>
        <v>43215</v>
      </c>
      <c r="C894" s="1">
        <f t="shared" si="91"/>
        <v>5142</v>
      </c>
      <c r="D894" s="1">
        <f t="shared" si="92"/>
        <v>1310</v>
      </c>
      <c r="E894" s="1">
        <f t="shared" si="93"/>
        <v>1980</v>
      </c>
      <c r="F894" s="1"/>
      <c r="H894" s="16"/>
      <c r="I894" s="29"/>
      <c r="J894" s="1"/>
      <c r="L894" s="11">
        <v>43215</v>
      </c>
      <c r="M894" s="9">
        <v>5142</v>
      </c>
      <c r="N894" s="9">
        <v>1310</v>
      </c>
      <c r="O894" s="9">
        <v>1980</v>
      </c>
      <c r="P894" s="9">
        <v>0</v>
      </c>
      <c r="R894" s="11"/>
      <c r="S894" s="9"/>
      <c r="T894" s="9"/>
      <c r="U894" s="9"/>
    </row>
    <row r="895" spans="2:21" x14ac:dyDescent="0.4">
      <c r="B895" s="16">
        <f t="shared" si="90"/>
        <v>43216</v>
      </c>
      <c r="C895" s="1">
        <f t="shared" si="91"/>
        <v>5138</v>
      </c>
      <c r="D895" s="1">
        <f t="shared" si="92"/>
        <v>1310</v>
      </c>
      <c r="E895" s="1">
        <f t="shared" si="93"/>
        <v>1985</v>
      </c>
      <c r="F895" s="1"/>
      <c r="H895" s="16"/>
      <c r="I895" s="29"/>
      <c r="J895" s="1"/>
      <c r="L895" s="11">
        <v>43216</v>
      </c>
      <c r="M895" s="9">
        <v>5138</v>
      </c>
      <c r="N895" s="9">
        <v>1310</v>
      </c>
      <c r="O895" s="9">
        <v>1985</v>
      </c>
      <c r="P895" s="9">
        <v>0</v>
      </c>
      <c r="R895" s="11"/>
      <c r="S895" s="9"/>
      <c r="T895" s="9"/>
      <c r="U895" s="9"/>
    </row>
    <row r="896" spans="2:21" x14ac:dyDescent="0.4">
      <c r="B896" s="16">
        <f t="shared" si="90"/>
        <v>43217</v>
      </c>
      <c r="C896" s="1">
        <f t="shared" si="91"/>
        <v>5139</v>
      </c>
      <c r="D896" s="1">
        <f t="shared" si="92"/>
        <v>1285</v>
      </c>
      <c r="E896" s="1">
        <f t="shared" si="93"/>
        <v>1985</v>
      </c>
      <c r="F896" s="1"/>
      <c r="H896" s="16"/>
      <c r="I896" s="29"/>
      <c r="J896" s="1"/>
      <c r="L896" s="11">
        <v>43217</v>
      </c>
      <c r="M896" s="9">
        <v>5139</v>
      </c>
      <c r="N896" s="9">
        <v>1285</v>
      </c>
      <c r="O896" s="9">
        <v>1985</v>
      </c>
      <c r="P896" s="9">
        <v>0</v>
      </c>
      <c r="R896" s="11"/>
      <c r="S896" s="9"/>
      <c r="T896" s="9"/>
      <c r="U896" s="9"/>
    </row>
    <row r="897" spans="2:21" x14ac:dyDescent="0.4">
      <c r="B897" s="16">
        <f t="shared" si="90"/>
        <v>43218</v>
      </c>
      <c r="C897" s="1">
        <f t="shared" si="91"/>
        <v>5152</v>
      </c>
      <c r="D897" s="1">
        <f t="shared" si="92"/>
        <v>1285</v>
      </c>
      <c r="E897" s="1">
        <f t="shared" si="93"/>
        <v>1985</v>
      </c>
      <c r="F897" s="1"/>
      <c r="H897" s="16"/>
      <c r="I897" s="29"/>
      <c r="J897" s="1"/>
      <c r="L897" s="11">
        <v>43218</v>
      </c>
      <c r="M897" s="9">
        <v>5152</v>
      </c>
      <c r="N897" s="9">
        <v>0</v>
      </c>
      <c r="O897" s="9">
        <v>1985</v>
      </c>
      <c r="P897" s="9">
        <v>0</v>
      </c>
      <c r="R897" s="11"/>
      <c r="S897" s="9"/>
      <c r="T897" s="9"/>
      <c r="U897" s="9"/>
    </row>
    <row r="898" spans="2:21" x14ac:dyDescent="0.4">
      <c r="B898" s="16">
        <f t="shared" si="90"/>
        <v>43220</v>
      </c>
      <c r="C898" s="1">
        <f t="shared" si="91"/>
        <v>5152</v>
      </c>
      <c r="D898" s="1">
        <f t="shared" si="92"/>
        <v>1285</v>
      </c>
      <c r="E898" s="1">
        <f t="shared" si="93"/>
        <v>1985</v>
      </c>
      <c r="F898" s="1"/>
      <c r="H898" s="16"/>
      <c r="I898" s="29"/>
      <c r="J898" s="1"/>
      <c r="L898" s="11">
        <v>43220</v>
      </c>
      <c r="M898" s="9">
        <v>0</v>
      </c>
      <c r="N898" s="9">
        <v>1285</v>
      </c>
      <c r="O898" s="9">
        <v>0</v>
      </c>
      <c r="P898" s="9">
        <v>0</v>
      </c>
      <c r="R898" s="11"/>
      <c r="S898" s="9"/>
      <c r="T898" s="9"/>
      <c r="U898" s="9"/>
    </row>
    <row r="899" spans="2:21" x14ac:dyDescent="0.4">
      <c r="B899" s="16">
        <f t="shared" si="90"/>
        <v>43221</v>
      </c>
      <c r="C899" s="1">
        <f t="shared" si="91"/>
        <v>5152</v>
      </c>
      <c r="D899" s="1">
        <f t="shared" si="92"/>
        <v>1285</v>
      </c>
      <c r="E899" s="1">
        <f t="shared" si="93"/>
        <v>1985</v>
      </c>
      <c r="F899" s="1"/>
      <c r="H899" s="16"/>
      <c r="I899" s="29"/>
      <c r="J899" s="1"/>
      <c r="L899" s="11">
        <v>43221</v>
      </c>
      <c r="M899" s="9">
        <v>0</v>
      </c>
      <c r="N899" s="9">
        <v>1285</v>
      </c>
      <c r="O899" s="9">
        <v>0</v>
      </c>
      <c r="P899" s="9">
        <v>0</v>
      </c>
      <c r="R899" s="11"/>
      <c r="S899" s="9"/>
      <c r="T899" s="9"/>
      <c r="U899" s="9"/>
    </row>
    <row r="900" spans="2:21" x14ac:dyDescent="0.4">
      <c r="B900" s="16">
        <f t="shared" si="90"/>
        <v>43222</v>
      </c>
      <c r="C900" s="1">
        <f t="shared" si="91"/>
        <v>5179</v>
      </c>
      <c r="D900" s="1">
        <f t="shared" si="92"/>
        <v>1260</v>
      </c>
      <c r="E900" s="1">
        <f t="shared" si="93"/>
        <v>1990</v>
      </c>
      <c r="F900" s="1"/>
      <c r="H900" s="16"/>
      <c r="I900" s="29"/>
      <c r="J900" s="1"/>
      <c r="L900" s="11">
        <v>43222</v>
      </c>
      <c r="M900" s="9">
        <v>5179</v>
      </c>
      <c r="N900" s="9">
        <v>1260</v>
      </c>
      <c r="O900" s="9">
        <v>1990</v>
      </c>
      <c r="P900" s="9">
        <v>0</v>
      </c>
      <c r="R900" s="11"/>
      <c r="S900" s="9"/>
      <c r="T900" s="9"/>
      <c r="U900" s="9"/>
    </row>
    <row r="901" spans="2:21" x14ac:dyDescent="0.4">
      <c r="B901" s="16">
        <f t="shared" si="90"/>
        <v>43223</v>
      </c>
      <c r="C901" s="1">
        <f t="shared" si="91"/>
        <v>5178</v>
      </c>
      <c r="D901" s="1">
        <f t="shared" si="92"/>
        <v>1260</v>
      </c>
      <c r="E901" s="1">
        <f t="shared" si="93"/>
        <v>1995</v>
      </c>
      <c r="F901" s="1"/>
      <c r="H901" s="16"/>
      <c r="I901" s="29"/>
      <c r="J901" s="1"/>
      <c r="L901" s="11">
        <v>43223</v>
      </c>
      <c r="M901" s="9">
        <v>5178</v>
      </c>
      <c r="N901" s="9">
        <v>1260</v>
      </c>
      <c r="O901" s="9">
        <v>1995</v>
      </c>
      <c r="P901" s="9">
        <v>0</v>
      </c>
      <c r="R901" s="11"/>
      <c r="S901" s="9"/>
      <c r="T901" s="9"/>
      <c r="U901" s="9"/>
    </row>
    <row r="902" spans="2:21" x14ac:dyDescent="0.4">
      <c r="B902" s="16">
        <f t="shared" ref="B902:B965" si="94">L902</f>
        <v>43224</v>
      </c>
      <c r="C902" s="1">
        <f t="shared" si="91"/>
        <v>5180</v>
      </c>
      <c r="D902" s="1">
        <f t="shared" si="92"/>
        <v>1260</v>
      </c>
      <c r="E902" s="1">
        <f t="shared" si="93"/>
        <v>2000</v>
      </c>
      <c r="F902" s="1"/>
      <c r="H902" s="16"/>
      <c r="I902" s="29"/>
      <c r="J902" s="1"/>
      <c r="L902" s="11">
        <v>43224</v>
      </c>
      <c r="M902" s="9">
        <v>5180</v>
      </c>
      <c r="N902" s="9">
        <v>1260</v>
      </c>
      <c r="O902" s="9">
        <v>2000</v>
      </c>
      <c r="P902" s="9">
        <v>0</v>
      </c>
      <c r="R902" s="11"/>
      <c r="S902" s="9"/>
      <c r="T902" s="9"/>
      <c r="U902" s="9"/>
    </row>
    <row r="903" spans="2:21" x14ac:dyDescent="0.4">
      <c r="B903" s="16">
        <f t="shared" si="94"/>
        <v>43227</v>
      </c>
      <c r="C903" s="1">
        <f t="shared" ref="C903:C966" si="95">IF(M903&lt;&gt;0,M903,C902)</f>
        <v>5213</v>
      </c>
      <c r="D903" s="1">
        <f t="shared" ref="D903:D966" si="96">IF(N903&lt;&gt;0,N903,D902)</f>
        <v>1260</v>
      </c>
      <c r="E903" s="1">
        <f t="shared" ref="E903:E966" si="97">IF(O903&lt;&gt;0,O903,E902)</f>
        <v>2000</v>
      </c>
      <c r="F903" s="1"/>
      <c r="H903" s="16"/>
      <c r="I903" s="29"/>
      <c r="J903" s="1"/>
      <c r="L903" s="11">
        <v>43227</v>
      </c>
      <c r="M903" s="9">
        <v>5213</v>
      </c>
      <c r="N903" s="9">
        <v>1260</v>
      </c>
      <c r="O903" s="9">
        <v>2000</v>
      </c>
      <c r="P903" s="9">
        <v>0</v>
      </c>
      <c r="R903" s="11"/>
      <c r="S903" s="9"/>
      <c r="T903" s="9"/>
      <c r="U903" s="9"/>
    </row>
    <row r="904" spans="2:21" x14ac:dyDescent="0.4">
      <c r="B904" s="16">
        <f t="shared" si="94"/>
        <v>43228</v>
      </c>
      <c r="C904" s="1">
        <f t="shared" si="95"/>
        <v>5227</v>
      </c>
      <c r="D904" s="1">
        <f t="shared" si="96"/>
        <v>1260</v>
      </c>
      <c r="E904" s="1">
        <f t="shared" si="97"/>
        <v>2010</v>
      </c>
      <c r="F904" s="1"/>
      <c r="H904" s="16"/>
      <c r="I904" s="29"/>
      <c r="J904" s="1"/>
      <c r="L904" s="11">
        <v>43228</v>
      </c>
      <c r="M904" s="9">
        <v>5227</v>
      </c>
      <c r="N904" s="9">
        <v>1260</v>
      </c>
      <c r="O904" s="9">
        <v>2010</v>
      </c>
      <c r="P904" s="9">
        <v>0</v>
      </c>
      <c r="R904" s="11"/>
      <c r="S904" s="9"/>
      <c r="T904" s="9"/>
      <c r="U904" s="9"/>
    </row>
    <row r="905" spans="2:21" x14ac:dyDescent="0.4">
      <c r="B905" s="16">
        <f t="shared" si="94"/>
        <v>43229</v>
      </c>
      <c r="C905" s="1">
        <f t="shared" si="95"/>
        <v>5238</v>
      </c>
      <c r="D905" s="1">
        <f t="shared" si="96"/>
        <v>1260</v>
      </c>
      <c r="E905" s="1">
        <f t="shared" si="97"/>
        <v>2020</v>
      </c>
      <c r="F905" s="1"/>
      <c r="H905" s="16"/>
      <c r="I905" s="29"/>
      <c r="J905" s="1"/>
      <c r="L905" s="11">
        <v>43229</v>
      </c>
      <c r="M905" s="9">
        <v>5238</v>
      </c>
      <c r="N905" s="9">
        <v>1260</v>
      </c>
      <c r="O905" s="9">
        <v>2020</v>
      </c>
      <c r="P905" s="9">
        <v>0</v>
      </c>
      <c r="R905" s="11"/>
      <c r="S905" s="9"/>
      <c r="T905" s="9"/>
      <c r="U905" s="9"/>
    </row>
    <row r="906" spans="2:21" x14ac:dyDescent="0.4">
      <c r="B906" s="16">
        <f t="shared" si="94"/>
        <v>43230</v>
      </c>
      <c r="C906" s="1">
        <f t="shared" si="95"/>
        <v>5231</v>
      </c>
      <c r="D906" s="1">
        <f t="shared" si="96"/>
        <v>1260</v>
      </c>
      <c r="E906" s="1">
        <f t="shared" si="97"/>
        <v>2030</v>
      </c>
      <c r="F906" s="1"/>
      <c r="H906" s="16"/>
      <c r="I906" s="29"/>
      <c r="J906" s="1"/>
      <c r="L906" s="11">
        <v>43230</v>
      </c>
      <c r="M906" s="9">
        <v>5231</v>
      </c>
      <c r="N906" s="9">
        <v>1260</v>
      </c>
      <c r="O906" s="9">
        <v>2030</v>
      </c>
      <c r="P906" s="9">
        <v>0</v>
      </c>
      <c r="R906" s="11"/>
      <c r="S906" s="9"/>
      <c r="T906" s="9"/>
      <c r="U906" s="9"/>
    </row>
    <row r="907" spans="2:21" x14ac:dyDescent="0.4">
      <c r="B907" s="16">
        <f t="shared" si="94"/>
        <v>43231</v>
      </c>
      <c r="C907" s="1">
        <f t="shared" si="95"/>
        <v>5240</v>
      </c>
      <c r="D907" s="1">
        <f t="shared" si="96"/>
        <v>1250</v>
      </c>
      <c r="E907" s="1">
        <f t="shared" si="97"/>
        <v>2030</v>
      </c>
      <c r="F907" s="1"/>
      <c r="H907" s="16"/>
      <c r="I907" s="29"/>
      <c r="J907" s="1"/>
      <c r="L907" s="11">
        <v>43231</v>
      </c>
      <c r="M907" s="9">
        <v>5240</v>
      </c>
      <c r="N907" s="9">
        <v>1250</v>
      </c>
      <c r="O907" s="9">
        <v>2030</v>
      </c>
      <c r="P907" s="9">
        <v>0</v>
      </c>
      <c r="R907" s="11"/>
      <c r="S907" s="9"/>
      <c r="T907" s="9"/>
      <c r="U907" s="9"/>
    </row>
    <row r="908" spans="2:21" x14ac:dyDescent="0.4">
      <c r="B908" s="16">
        <f t="shared" si="94"/>
        <v>43234</v>
      </c>
      <c r="C908" s="1">
        <f t="shared" si="95"/>
        <v>5237</v>
      </c>
      <c r="D908" s="1">
        <f t="shared" si="96"/>
        <v>1250</v>
      </c>
      <c r="E908" s="1">
        <f t="shared" si="97"/>
        <v>2030</v>
      </c>
      <c r="F908" s="1"/>
      <c r="H908" s="16"/>
      <c r="I908" s="29"/>
      <c r="J908" s="1"/>
      <c r="L908" s="11">
        <v>43234</v>
      </c>
      <c r="M908" s="9">
        <v>5237</v>
      </c>
      <c r="N908" s="9">
        <v>1250</v>
      </c>
      <c r="O908" s="9">
        <v>2030</v>
      </c>
      <c r="P908" s="9">
        <v>0</v>
      </c>
      <c r="R908" s="11"/>
      <c r="S908" s="9"/>
      <c r="T908" s="9"/>
      <c r="U908" s="9"/>
    </row>
    <row r="909" spans="2:21" x14ac:dyDescent="0.4">
      <c r="B909" s="16">
        <f t="shared" si="94"/>
        <v>43235</v>
      </c>
      <c r="C909" s="1">
        <f t="shared" si="95"/>
        <v>5252</v>
      </c>
      <c r="D909" s="1">
        <f t="shared" si="96"/>
        <v>1250</v>
      </c>
      <c r="E909" s="1">
        <f t="shared" si="97"/>
        <v>2035</v>
      </c>
      <c r="F909" s="1"/>
      <c r="H909" s="16"/>
      <c r="I909" s="29"/>
      <c r="J909" s="1"/>
      <c r="L909" s="11">
        <v>43235</v>
      </c>
      <c r="M909" s="9">
        <v>5252</v>
      </c>
      <c r="N909" s="9">
        <v>1250</v>
      </c>
      <c r="O909" s="9">
        <v>2035</v>
      </c>
      <c r="P909" s="9">
        <v>0</v>
      </c>
      <c r="R909" s="11"/>
      <c r="S909" s="9"/>
      <c r="T909" s="9"/>
      <c r="U909" s="9"/>
    </row>
    <row r="910" spans="2:21" x14ac:dyDescent="0.4">
      <c r="B910" s="16">
        <f t="shared" si="94"/>
        <v>43236</v>
      </c>
      <c r="C910" s="1">
        <f t="shared" si="95"/>
        <v>5269</v>
      </c>
      <c r="D910" s="1">
        <f t="shared" si="96"/>
        <v>1250</v>
      </c>
      <c r="E910" s="1">
        <f t="shared" si="97"/>
        <v>2035</v>
      </c>
      <c r="F910" s="1"/>
      <c r="H910" s="16"/>
      <c r="I910" s="29"/>
      <c r="J910" s="1"/>
      <c r="L910" s="11">
        <v>43236</v>
      </c>
      <c r="M910" s="9">
        <v>5269</v>
      </c>
      <c r="N910" s="9">
        <v>1250</v>
      </c>
      <c r="O910" s="9">
        <v>2035</v>
      </c>
      <c r="P910" s="9">
        <v>0</v>
      </c>
      <c r="R910" s="11"/>
      <c r="S910" s="9"/>
      <c r="T910" s="9"/>
      <c r="U910" s="9"/>
    </row>
    <row r="911" spans="2:21" x14ac:dyDescent="0.4">
      <c r="B911" s="16">
        <f t="shared" si="94"/>
        <v>43237</v>
      </c>
      <c r="C911" s="1">
        <f t="shared" si="95"/>
        <v>5249</v>
      </c>
      <c r="D911" s="1">
        <f t="shared" si="96"/>
        <v>1250</v>
      </c>
      <c r="E911" s="1">
        <f t="shared" si="97"/>
        <v>2035</v>
      </c>
      <c r="F911" s="1"/>
      <c r="H911" s="16"/>
      <c r="I911" s="29"/>
      <c r="J911" s="1"/>
      <c r="L911" s="11">
        <v>43237</v>
      </c>
      <c r="M911" s="9">
        <v>5249</v>
      </c>
      <c r="N911" s="9">
        <v>1250</v>
      </c>
      <c r="O911" s="9">
        <v>2035</v>
      </c>
      <c r="P911" s="9">
        <v>0</v>
      </c>
      <c r="R911" s="11"/>
      <c r="S911" s="9"/>
      <c r="T911" s="9"/>
      <c r="U911" s="9"/>
    </row>
    <row r="912" spans="2:21" x14ac:dyDescent="0.4">
      <c r="B912" s="16">
        <f t="shared" si="94"/>
        <v>43238</v>
      </c>
      <c r="C912" s="1">
        <f t="shared" si="95"/>
        <v>5233</v>
      </c>
      <c r="D912" s="1">
        <f t="shared" si="96"/>
        <v>1250</v>
      </c>
      <c r="E912" s="1">
        <f t="shared" si="97"/>
        <v>2040</v>
      </c>
      <c r="F912" s="1"/>
      <c r="H912" s="16"/>
      <c r="I912" s="29"/>
      <c r="J912" s="1"/>
      <c r="L912" s="11">
        <v>43238</v>
      </c>
      <c r="M912" s="9">
        <v>5233</v>
      </c>
      <c r="N912" s="9">
        <v>1250</v>
      </c>
      <c r="O912" s="9">
        <v>2040</v>
      </c>
      <c r="P912" s="9">
        <v>0</v>
      </c>
      <c r="R912" s="11"/>
      <c r="S912" s="9"/>
      <c r="T912" s="9"/>
      <c r="U912" s="9"/>
    </row>
    <row r="913" spans="2:21" x14ac:dyDescent="0.4">
      <c r="B913" s="16">
        <f t="shared" si="94"/>
        <v>43241</v>
      </c>
      <c r="C913" s="1">
        <f t="shared" si="95"/>
        <v>5225</v>
      </c>
      <c r="D913" s="1">
        <f t="shared" si="96"/>
        <v>1260</v>
      </c>
      <c r="E913" s="1">
        <f t="shared" si="97"/>
        <v>2050</v>
      </c>
      <c r="F913" s="1"/>
      <c r="H913" s="16"/>
      <c r="I913" s="29"/>
      <c r="J913" s="1"/>
      <c r="L913" s="11">
        <v>43241</v>
      </c>
      <c r="M913" s="9">
        <v>5225</v>
      </c>
      <c r="N913" s="9">
        <v>1260</v>
      </c>
      <c r="O913" s="9">
        <v>2050</v>
      </c>
      <c r="P913" s="9">
        <v>0</v>
      </c>
      <c r="R913" s="11"/>
      <c r="S913" s="9"/>
      <c r="T913" s="9"/>
      <c r="U913" s="9"/>
    </row>
    <row r="914" spans="2:21" x14ac:dyDescent="0.4">
      <c r="B914" s="16">
        <f t="shared" si="94"/>
        <v>43242</v>
      </c>
      <c r="C914" s="1">
        <f t="shared" si="95"/>
        <v>5220</v>
      </c>
      <c r="D914" s="1">
        <f t="shared" si="96"/>
        <v>1270</v>
      </c>
      <c r="E914" s="1">
        <f t="shared" si="97"/>
        <v>2055</v>
      </c>
      <c r="F914" s="1"/>
      <c r="H914" s="16"/>
      <c r="I914" s="29"/>
      <c r="J914" s="1"/>
      <c r="L914" s="11">
        <v>43242</v>
      </c>
      <c r="M914" s="9">
        <v>5220</v>
      </c>
      <c r="N914" s="9">
        <v>1270</v>
      </c>
      <c r="O914" s="9">
        <v>2055</v>
      </c>
      <c r="P914" s="9">
        <v>0</v>
      </c>
      <c r="R914" s="11"/>
      <c r="S914" s="9"/>
      <c r="T914" s="9"/>
      <c r="U914" s="9"/>
    </row>
    <row r="915" spans="2:21" x14ac:dyDescent="0.4">
      <c r="B915" s="16">
        <f t="shared" si="94"/>
        <v>43243</v>
      </c>
      <c r="C915" s="1">
        <f t="shared" si="95"/>
        <v>5205</v>
      </c>
      <c r="D915" s="1">
        <f t="shared" si="96"/>
        <v>1270</v>
      </c>
      <c r="E915" s="1">
        <f t="shared" si="97"/>
        <v>2055</v>
      </c>
      <c r="F915" s="1"/>
      <c r="H915" s="16"/>
      <c r="I915" s="29"/>
      <c r="J915" s="1"/>
      <c r="L915" s="11">
        <v>43243</v>
      </c>
      <c r="M915" s="9">
        <v>5205</v>
      </c>
      <c r="N915" s="9">
        <v>1270</v>
      </c>
      <c r="O915" s="9">
        <v>2055</v>
      </c>
      <c r="P915" s="9">
        <v>0</v>
      </c>
      <c r="R915" s="11"/>
      <c r="S915" s="9"/>
      <c r="T915" s="9"/>
      <c r="U915" s="9"/>
    </row>
    <row r="916" spans="2:21" x14ac:dyDescent="0.4">
      <c r="B916" s="16">
        <f t="shared" si="94"/>
        <v>43244</v>
      </c>
      <c r="C916" s="1">
        <f t="shared" si="95"/>
        <v>5203</v>
      </c>
      <c r="D916" s="1">
        <f t="shared" si="96"/>
        <v>1300</v>
      </c>
      <c r="E916" s="1">
        <f t="shared" si="97"/>
        <v>2060</v>
      </c>
      <c r="F916" s="1"/>
      <c r="H916" s="16"/>
      <c r="I916" s="29"/>
      <c r="J916" s="1"/>
      <c r="L916" s="11">
        <v>43244</v>
      </c>
      <c r="M916" s="9">
        <v>5203</v>
      </c>
      <c r="N916" s="9">
        <v>1300</v>
      </c>
      <c r="O916" s="9">
        <v>2060</v>
      </c>
      <c r="P916" s="9">
        <v>0</v>
      </c>
      <c r="R916" s="11"/>
      <c r="S916" s="9"/>
      <c r="T916" s="9"/>
      <c r="U916" s="9"/>
    </row>
    <row r="917" spans="2:21" x14ac:dyDescent="0.4">
      <c r="B917" s="16">
        <f t="shared" si="94"/>
        <v>43245</v>
      </c>
      <c r="C917" s="1">
        <f t="shared" si="95"/>
        <v>5190</v>
      </c>
      <c r="D917" s="1">
        <f t="shared" si="96"/>
        <v>1340</v>
      </c>
      <c r="E917" s="1">
        <f t="shared" si="97"/>
        <v>2060</v>
      </c>
      <c r="F917" s="1"/>
      <c r="H917" s="16"/>
      <c r="I917" s="29"/>
      <c r="J917" s="1"/>
      <c r="L917" s="11">
        <v>43245</v>
      </c>
      <c r="M917" s="9">
        <v>5190</v>
      </c>
      <c r="N917" s="9">
        <v>1340</v>
      </c>
      <c r="O917" s="9">
        <v>2060</v>
      </c>
      <c r="P917" s="9">
        <v>0</v>
      </c>
      <c r="R917" s="11"/>
      <c r="S917" s="9"/>
      <c r="T917" s="9"/>
      <c r="U917" s="9"/>
    </row>
    <row r="918" spans="2:21" x14ac:dyDescent="0.4">
      <c r="B918" s="16">
        <f t="shared" si="94"/>
        <v>43248</v>
      </c>
      <c r="C918" s="1">
        <f t="shared" si="95"/>
        <v>5176</v>
      </c>
      <c r="D918" s="1">
        <f t="shared" si="96"/>
        <v>1340</v>
      </c>
      <c r="E918" s="1">
        <f t="shared" si="97"/>
        <v>2050</v>
      </c>
      <c r="F918" s="1"/>
      <c r="H918" s="16"/>
      <c r="I918" s="29"/>
      <c r="J918" s="1"/>
      <c r="L918" s="11">
        <v>43248</v>
      </c>
      <c r="M918" s="9">
        <v>5176</v>
      </c>
      <c r="N918" s="9">
        <v>1340</v>
      </c>
      <c r="O918" s="9">
        <v>2050</v>
      </c>
      <c r="P918" s="9">
        <v>0</v>
      </c>
      <c r="R918" s="11"/>
      <c r="S918" s="9"/>
      <c r="T918" s="9"/>
      <c r="U918" s="9"/>
    </row>
    <row r="919" spans="2:21" x14ac:dyDescent="0.4">
      <c r="B919" s="16">
        <f t="shared" si="94"/>
        <v>43249</v>
      </c>
      <c r="C919" s="1">
        <f t="shared" si="95"/>
        <v>5171</v>
      </c>
      <c r="D919" s="1">
        <f t="shared" si="96"/>
        <v>1340</v>
      </c>
      <c r="E919" s="1">
        <f t="shared" si="97"/>
        <v>2045</v>
      </c>
      <c r="F919" s="1"/>
      <c r="H919" s="16"/>
      <c r="I919" s="29"/>
      <c r="J919" s="1"/>
      <c r="L919" s="11">
        <v>43249</v>
      </c>
      <c r="M919" s="9">
        <v>5171</v>
      </c>
      <c r="N919" s="9">
        <v>1340</v>
      </c>
      <c r="O919" s="9">
        <v>2045</v>
      </c>
      <c r="P919" s="9">
        <v>0</v>
      </c>
      <c r="R919" s="11"/>
      <c r="S919" s="9"/>
      <c r="T919" s="9"/>
      <c r="U919" s="9"/>
    </row>
    <row r="920" spans="2:21" x14ac:dyDescent="0.4">
      <c r="B920" s="16">
        <f t="shared" si="94"/>
        <v>43250</v>
      </c>
      <c r="C920" s="1">
        <f t="shared" si="95"/>
        <v>5166</v>
      </c>
      <c r="D920" s="1">
        <f t="shared" si="96"/>
        <v>1340</v>
      </c>
      <c r="E920" s="1">
        <f t="shared" si="97"/>
        <v>2045</v>
      </c>
      <c r="F920" s="1"/>
      <c r="H920" s="16"/>
      <c r="I920" s="29"/>
      <c r="J920" s="1"/>
      <c r="L920" s="11">
        <v>43250</v>
      </c>
      <c r="M920" s="9">
        <v>5166</v>
      </c>
      <c r="N920" s="9">
        <v>1340</v>
      </c>
      <c r="O920" s="9">
        <v>2045</v>
      </c>
      <c r="P920" s="9">
        <v>0</v>
      </c>
      <c r="R920" s="11"/>
      <c r="S920" s="9"/>
      <c r="T920" s="9"/>
      <c r="U920" s="9"/>
    </row>
    <row r="921" spans="2:21" x14ac:dyDescent="0.4">
      <c r="B921" s="16">
        <f t="shared" si="94"/>
        <v>43251</v>
      </c>
      <c r="C921" s="1">
        <f t="shared" si="95"/>
        <v>5174</v>
      </c>
      <c r="D921" s="1">
        <f t="shared" si="96"/>
        <v>1340</v>
      </c>
      <c r="E921" s="1">
        <f t="shared" si="97"/>
        <v>2045</v>
      </c>
      <c r="F921" s="1"/>
      <c r="H921" s="16"/>
      <c r="I921" s="29"/>
      <c r="J921" s="1"/>
      <c r="L921" s="11">
        <v>43251</v>
      </c>
      <c r="M921" s="9">
        <v>5174</v>
      </c>
      <c r="N921" s="9">
        <v>1340</v>
      </c>
      <c r="O921" s="9">
        <v>2045</v>
      </c>
      <c r="P921" s="9">
        <v>0</v>
      </c>
      <c r="R921" s="11"/>
      <c r="S921" s="9"/>
      <c r="T921" s="9"/>
      <c r="U921" s="9"/>
    </row>
    <row r="922" spans="2:21" x14ac:dyDescent="0.4">
      <c r="B922" s="16">
        <f t="shared" si="94"/>
        <v>43252</v>
      </c>
      <c r="C922" s="1">
        <f t="shared" si="95"/>
        <v>5185</v>
      </c>
      <c r="D922" s="1">
        <f t="shared" si="96"/>
        <v>1335</v>
      </c>
      <c r="E922" s="1">
        <f t="shared" si="97"/>
        <v>2040</v>
      </c>
      <c r="F922" s="1"/>
      <c r="H922" s="16"/>
      <c r="I922" s="29"/>
      <c r="J922" s="1"/>
      <c r="L922" s="11">
        <v>43252</v>
      </c>
      <c r="M922" s="9">
        <v>5185</v>
      </c>
      <c r="N922" s="9">
        <v>1335</v>
      </c>
      <c r="O922" s="9">
        <v>2040</v>
      </c>
      <c r="P922" s="9">
        <v>0</v>
      </c>
      <c r="R922" s="11"/>
      <c r="S922" s="9"/>
      <c r="T922" s="9"/>
      <c r="U922" s="9"/>
    </row>
    <row r="923" spans="2:21" x14ac:dyDescent="0.4">
      <c r="B923" s="16">
        <f t="shared" si="94"/>
        <v>43255</v>
      </c>
      <c r="C923" s="1">
        <f t="shared" si="95"/>
        <v>5207</v>
      </c>
      <c r="D923" s="1">
        <f t="shared" si="96"/>
        <v>1335</v>
      </c>
      <c r="E923" s="1">
        <f t="shared" si="97"/>
        <v>2045</v>
      </c>
      <c r="F923" s="1"/>
      <c r="H923" s="16"/>
      <c r="I923" s="29"/>
      <c r="J923" s="1"/>
      <c r="L923" s="11">
        <v>43255</v>
      </c>
      <c r="M923" s="9">
        <v>5207</v>
      </c>
      <c r="N923" s="9">
        <v>1335</v>
      </c>
      <c r="O923" s="9">
        <v>2045</v>
      </c>
      <c r="P923" s="9">
        <v>0</v>
      </c>
      <c r="R923" s="11"/>
      <c r="S923" s="9"/>
      <c r="T923" s="9"/>
      <c r="U923" s="9"/>
    </row>
    <row r="924" spans="2:21" x14ac:dyDescent="0.4">
      <c r="B924" s="16">
        <f t="shared" si="94"/>
        <v>43256</v>
      </c>
      <c r="C924" s="1">
        <f t="shared" si="95"/>
        <v>5181</v>
      </c>
      <c r="D924" s="1">
        <f t="shared" si="96"/>
        <v>1335</v>
      </c>
      <c r="E924" s="1">
        <f t="shared" si="97"/>
        <v>2050</v>
      </c>
      <c r="F924" s="1"/>
      <c r="H924" s="16"/>
      <c r="I924" s="29"/>
      <c r="J924" s="1"/>
      <c r="L924" s="11">
        <v>43256</v>
      </c>
      <c r="M924" s="9">
        <v>5181</v>
      </c>
      <c r="N924" s="9">
        <v>1335</v>
      </c>
      <c r="O924" s="9">
        <v>2050</v>
      </c>
      <c r="P924" s="9">
        <v>0</v>
      </c>
      <c r="R924" s="11"/>
      <c r="S924" s="9"/>
      <c r="T924" s="9"/>
      <c r="U924" s="9"/>
    </row>
    <row r="925" spans="2:21" x14ac:dyDescent="0.4">
      <c r="B925" s="16">
        <f t="shared" si="94"/>
        <v>43257</v>
      </c>
      <c r="C925" s="1">
        <f t="shared" si="95"/>
        <v>5176</v>
      </c>
      <c r="D925" s="1">
        <f t="shared" si="96"/>
        <v>1350</v>
      </c>
      <c r="E925" s="1">
        <f t="shared" si="97"/>
        <v>2060</v>
      </c>
      <c r="F925" s="1"/>
      <c r="H925" s="16"/>
      <c r="I925" s="29"/>
      <c r="J925" s="1"/>
      <c r="L925" s="11">
        <v>43257</v>
      </c>
      <c r="M925" s="9">
        <v>5176</v>
      </c>
      <c r="N925" s="9">
        <v>1350</v>
      </c>
      <c r="O925" s="9">
        <v>2060</v>
      </c>
      <c r="P925" s="9">
        <v>0</v>
      </c>
      <c r="R925" s="11"/>
      <c r="S925" s="9"/>
      <c r="T925" s="9"/>
      <c r="U925" s="9"/>
    </row>
    <row r="926" spans="2:21" x14ac:dyDescent="0.4">
      <c r="B926" s="16">
        <f t="shared" si="94"/>
        <v>43258</v>
      </c>
      <c r="C926" s="1">
        <f t="shared" si="95"/>
        <v>5169</v>
      </c>
      <c r="D926" s="1">
        <f t="shared" si="96"/>
        <v>1350</v>
      </c>
      <c r="E926" s="1">
        <f t="shared" si="97"/>
        <v>2060</v>
      </c>
      <c r="F926" s="1"/>
      <c r="H926" s="16"/>
      <c r="I926" s="29"/>
      <c r="J926" s="1"/>
      <c r="L926" s="11">
        <v>43258</v>
      </c>
      <c r="M926" s="9">
        <v>5169</v>
      </c>
      <c r="N926" s="9">
        <v>1350</v>
      </c>
      <c r="O926" s="9">
        <v>2060</v>
      </c>
      <c r="P926" s="9">
        <v>0</v>
      </c>
      <c r="R926" s="11"/>
      <c r="S926" s="9"/>
      <c r="T926" s="9"/>
      <c r="U926" s="9"/>
    </row>
    <row r="927" spans="2:21" x14ac:dyDescent="0.4">
      <c r="B927" s="16">
        <f t="shared" si="94"/>
        <v>43259</v>
      </c>
      <c r="C927" s="1">
        <f t="shared" si="95"/>
        <v>5167</v>
      </c>
      <c r="D927" s="1">
        <f t="shared" si="96"/>
        <v>1350</v>
      </c>
      <c r="E927" s="1">
        <f t="shared" si="97"/>
        <v>2060</v>
      </c>
      <c r="F927" s="1"/>
      <c r="H927" s="16"/>
      <c r="I927" s="29"/>
      <c r="J927" s="1"/>
      <c r="L927" s="11">
        <v>43259</v>
      </c>
      <c r="M927" s="9">
        <v>5167</v>
      </c>
      <c r="N927" s="9">
        <v>1350</v>
      </c>
      <c r="O927" s="9">
        <v>2060</v>
      </c>
      <c r="P927" s="9">
        <v>0</v>
      </c>
      <c r="R927" s="11"/>
      <c r="S927" s="9"/>
      <c r="T927" s="9"/>
      <c r="U927" s="9"/>
    </row>
    <row r="928" spans="2:21" x14ac:dyDescent="0.4">
      <c r="B928" s="16">
        <f t="shared" si="94"/>
        <v>43262</v>
      </c>
      <c r="C928" s="1">
        <f t="shared" si="95"/>
        <v>5168</v>
      </c>
      <c r="D928" s="1">
        <f t="shared" si="96"/>
        <v>1350</v>
      </c>
      <c r="E928" s="1">
        <f t="shared" si="97"/>
        <v>2060</v>
      </c>
      <c r="F928" s="1"/>
      <c r="H928" s="16"/>
      <c r="I928" s="29"/>
      <c r="J928" s="1"/>
      <c r="L928" s="11">
        <v>43262</v>
      </c>
      <c r="M928" s="9">
        <v>5168</v>
      </c>
      <c r="N928" s="9">
        <v>1350</v>
      </c>
      <c r="O928" s="9">
        <v>2060</v>
      </c>
      <c r="P928" s="9">
        <v>0</v>
      </c>
      <c r="R928" s="11"/>
      <c r="S928" s="9"/>
      <c r="T928" s="9"/>
      <c r="U928" s="9"/>
    </row>
    <row r="929" spans="2:21" x14ac:dyDescent="0.4">
      <c r="B929" s="16">
        <f t="shared" si="94"/>
        <v>43263</v>
      </c>
      <c r="C929" s="1">
        <f t="shared" si="95"/>
        <v>5175</v>
      </c>
      <c r="D929" s="1">
        <f t="shared" si="96"/>
        <v>1350</v>
      </c>
      <c r="E929" s="1">
        <f t="shared" si="97"/>
        <v>2060</v>
      </c>
      <c r="F929" s="1"/>
      <c r="H929" s="16"/>
      <c r="I929" s="29"/>
      <c r="J929" s="1"/>
      <c r="L929" s="11">
        <v>43263</v>
      </c>
      <c r="M929" s="9">
        <v>5175</v>
      </c>
      <c r="N929" s="9">
        <v>1350</v>
      </c>
      <c r="O929" s="9">
        <v>2060</v>
      </c>
      <c r="P929" s="9">
        <v>0</v>
      </c>
      <c r="R929" s="11"/>
      <c r="S929" s="9"/>
      <c r="T929" s="9"/>
      <c r="U929" s="9"/>
    </row>
    <row r="930" spans="2:21" x14ac:dyDescent="0.4">
      <c r="B930" s="16">
        <f t="shared" si="94"/>
        <v>43264</v>
      </c>
      <c r="C930" s="1">
        <f t="shared" si="95"/>
        <v>5172</v>
      </c>
      <c r="D930" s="1">
        <f t="shared" si="96"/>
        <v>1355</v>
      </c>
      <c r="E930" s="1">
        <f t="shared" si="97"/>
        <v>2060</v>
      </c>
      <c r="F930" s="1"/>
      <c r="H930" s="16"/>
      <c r="I930" s="29"/>
      <c r="J930" s="1"/>
      <c r="L930" s="11">
        <v>43264</v>
      </c>
      <c r="M930" s="9">
        <v>5172</v>
      </c>
      <c r="N930" s="9">
        <v>1355</v>
      </c>
      <c r="O930" s="9">
        <v>2060</v>
      </c>
      <c r="P930" s="9">
        <v>0</v>
      </c>
      <c r="R930" s="11"/>
      <c r="S930" s="9"/>
      <c r="T930" s="9"/>
      <c r="U930" s="9"/>
    </row>
    <row r="931" spans="2:21" x14ac:dyDescent="0.4">
      <c r="B931" s="16">
        <f t="shared" si="94"/>
        <v>43265</v>
      </c>
      <c r="C931" s="1">
        <f t="shared" si="95"/>
        <v>5156</v>
      </c>
      <c r="D931" s="1">
        <f t="shared" si="96"/>
        <v>1375</v>
      </c>
      <c r="E931" s="1">
        <f t="shared" si="97"/>
        <v>2060</v>
      </c>
      <c r="F931" s="1"/>
      <c r="H931" s="16"/>
      <c r="I931" s="29"/>
      <c r="J931" s="1"/>
      <c r="L931" s="11">
        <v>43265</v>
      </c>
      <c r="M931" s="9">
        <v>5156</v>
      </c>
      <c r="N931" s="9">
        <v>1375</v>
      </c>
      <c r="O931" s="9">
        <v>2060</v>
      </c>
      <c r="P931" s="9">
        <v>0</v>
      </c>
      <c r="R931" s="11"/>
      <c r="S931" s="9"/>
      <c r="T931" s="9"/>
      <c r="U931" s="9"/>
    </row>
    <row r="932" spans="2:21" x14ac:dyDescent="0.4">
      <c r="B932" s="16">
        <f t="shared" si="94"/>
        <v>43266</v>
      </c>
      <c r="C932" s="1">
        <f t="shared" si="95"/>
        <v>5151</v>
      </c>
      <c r="D932" s="1">
        <f t="shared" si="96"/>
        <v>1375</v>
      </c>
      <c r="E932" s="1">
        <f t="shared" si="97"/>
        <v>2060</v>
      </c>
      <c r="F932" s="1"/>
      <c r="H932" s="16"/>
      <c r="I932" s="29"/>
      <c r="J932" s="1"/>
      <c r="L932" s="11">
        <v>43266</v>
      </c>
      <c r="M932" s="9">
        <v>5151</v>
      </c>
      <c r="N932" s="9">
        <v>1375</v>
      </c>
      <c r="O932" s="9">
        <v>2060</v>
      </c>
      <c r="P932" s="9">
        <v>0</v>
      </c>
      <c r="R932" s="11"/>
      <c r="S932" s="9"/>
      <c r="T932" s="9"/>
      <c r="U932" s="9"/>
    </row>
    <row r="933" spans="2:21" x14ac:dyDescent="0.4">
      <c r="B933" s="16">
        <f t="shared" si="94"/>
        <v>43269</v>
      </c>
      <c r="C933" s="1">
        <f t="shared" si="95"/>
        <v>5151</v>
      </c>
      <c r="D933" s="1">
        <f t="shared" si="96"/>
        <v>1375</v>
      </c>
      <c r="E933" s="1">
        <f t="shared" si="97"/>
        <v>2060</v>
      </c>
      <c r="F933" s="1"/>
      <c r="H933" s="16"/>
      <c r="I933" s="29"/>
      <c r="J933" s="1"/>
      <c r="L933" s="11">
        <v>43269</v>
      </c>
      <c r="M933" s="9">
        <v>0</v>
      </c>
      <c r="N933" s="9">
        <v>1375</v>
      </c>
      <c r="O933" s="9">
        <v>0</v>
      </c>
      <c r="P933" s="9">
        <v>0</v>
      </c>
      <c r="R933" s="11"/>
      <c r="S933" s="9"/>
      <c r="T933" s="9"/>
      <c r="U933" s="9"/>
    </row>
    <row r="934" spans="2:21" x14ac:dyDescent="0.4">
      <c r="B934" s="16">
        <f t="shared" si="94"/>
        <v>43270</v>
      </c>
      <c r="C934" s="1">
        <f t="shared" si="95"/>
        <v>5116</v>
      </c>
      <c r="D934" s="1">
        <f t="shared" si="96"/>
        <v>1375</v>
      </c>
      <c r="E934" s="1">
        <f t="shared" si="97"/>
        <v>2060</v>
      </c>
      <c r="F934" s="1"/>
      <c r="H934" s="16"/>
      <c r="I934" s="29"/>
      <c r="J934" s="1"/>
      <c r="L934" s="11">
        <v>43270</v>
      </c>
      <c r="M934" s="9">
        <v>5116</v>
      </c>
      <c r="N934" s="9">
        <v>1375</v>
      </c>
      <c r="O934" s="9">
        <v>2060</v>
      </c>
      <c r="P934" s="9">
        <v>0</v>
      </c>
      <c r="R934" s="11"/>
      <c r="S934" s="9"/>
      <c r="T934" s="9"/>
      <c r="U934" s="9"/>
    </row>
    <row r="935" spans="2:21" x14ac:dyDescent="0.4">
      <c r="B935" s="16">
        <f t="shared" si="94"/>
        <v>43271</v>
      </c>
      <c r="C935" s="1">
        <f t="shared" si="95"/>
        <v>5088</v>
      </c>
      <c r="D935" s="1">
        <f t="shared" si="96"/>
        <v>1375</v>
      </c>
      <c r="E935" s="1">
        <f t="shared" si="97"/>
        <v>2055</v>
      </c>
      <c r="F935" s="1"/>
      <c r="H935" s="16"/>
      <c r="I935" s="29"/>
      <c r="J935" s="1"/>
      <c r="L935" s="11">
        <v>43271</v>
      </c>
      <c r="M935" s="9">
        <v>5088</v>
      </c>
      <c r="N935" s="9">
        <v>1375</v>
      </c>
      <c r="O935" s="9">
        <v>2055</v>
      </c>
      <c r="P935" s="9">
        <v>0</v>
      </c>
      <c r="R935" s="11"/>
      <c r="S935" s="9"/>
      <c r="T935" s="9"/>
      <c r="U935" s="9"/>
    </row>
    <row r="936" spans="2:21" x14ac:dyDescent="0.4">
      <c r="B936" s="16">
        <f t="shared" si="94"/>
        <v>43272</v>
      </c>
      <c r="C936" s="1">
        <f t="shared" si="95"/>
        <v>5075</v>
      </c>
      <c r="D936" s="1">
        <f t="shared" si="96"/>
        <v>1375</v>
      </c>
      <c r="E936" s="1">
        <f t="shared" si="97"/>
        <v>2060</v>
      </c>
      <c r="F936" s="1"/>
      <c r="H936" s="16"/>
      <c r="I936" s="29"/>
      <c r="J936" s="1"/>
      <c r="L936" s="11">
        <v>43272</v>
      </c>
      <c r="M936" s="9">
        <v>5075</v>
      </c>
      <c r="N936" s="9">
        <v>1375</v>
      </c>
      <c r="O936" s="9">
        <v>2060</v>
      </c>
      <c r="P936" s="9">
        <v>0</v>
      </c>
      <c r="R936" s="11"/>
      <c r="S936" s="9"/>
      <c r="T936" s="9"/>
      <c r="U936" s="9"/>
    </row>
    <row r="937" spans="2:21" x14ac:dyDescent="0.4">
      <c r="B937" s="16">
        <f t="shared" si="94"/>
        <v>43273</v>
      </c>
      <c r="C937" s="1">
        <f t="shared" si="95"/>
        <v>5058</v>
      </c>
      <c r="D937" s="1">
        <f t="shared" si="96"/>
        <v>1375</v>
      </c>
      <c r="E937" s="1">
        <f t="shared" si="97"/>
        <v>2060</v>
      </c>
      <c r="F937" s="1"/>
      <c r="H937" s="16"/>
      <c r="I937" s="29"/>
      <c r="J937" s="1"/>
      <c r="L937" s="11">
        <v>43273</v>
      </c>
      <c r="M937" s="9">
        <v>5058</v>
      </c>
      <c r="N937" s="9">
        <v>1375</v>
      </c>
      <c r="O937" s="9">
        <v>2060</v>
      </c>
      <c r="P937" s="9">
        <v>0</v>
      </c>
      <c r="R937" s="11"/>
      <c r="S937" s="9"/>
      <c r="T937" s="9"/>
      <c r="U937" s="9"/>
    </row>
    <row r="938" spans="2:21" x14ac:dyDescent="0.4">
      <c r="B938" s="16">
        <f t="shared" si="94"/>
        <v>43276</v>
      </c>
      <c r="C938" s="1">
        <f t="shared" si="95"/>
        <v>5049</v>
      </c>
      <c r="D938" s="1">
        <f t="shared" si="96"/>
        <v>1375</v>
      </c>
      <c r="E938" s="1">
        <f t="shared" si="97"/>
        <v>2060</v>
      </c>
      <c r="F938" s="1"/>
      <c r="H938" s="16"/>
      <c r="I938" s="29"/>
      <c r="J938" s="1"/>
      <c r="L938" s="11">
        <v>43276</v>
      </c>
      <c r="M938" s="9">
        <v>5049</v>
      </c>
      <c r="N938" s="9">
        <v>1375</v>
      </c>
      <c r="O938" s="9">
        <v>2060</v>
      </c>
      <c r="P938" s="9">
        <v>0</v>
      </c>
      <c r="R938" s="11"/>
      <c r="S938" s="9"/>
      <c r="T938" s="9"/>
      <c r="U938" s="9"/>
    </row>
    <row r="939" spans="2:21" x14ac:dyDescent="0.4">
      <c r="B939" s="16">
        <f t="shared" si="94"/>
        <v>43277</v>
      </c>
      <c r="C939" s="1">
        <f t="shared" si="95"/>
        <v>5040</v>
      </c>
      <c r="D939" s="1">
        <f t="shared" si="96"/>
        <v>1375</v>
      </c>
      <c r="E939" s="1">
        <f t="shared" si="97"/>
        <v>2055</v>
      </c>
      <c r="F939" s="1"/>
      <c r="H939" s="16"/>
      <c r="I939" s="29"/>
      <c r="J939" s="1"/>
      <c r="L939" s="11">
        <v>43277</v>
      </c>
      <c r="M939" s="9">
        <v>5040</v>
      </c>
      <c r="N939" s="9">
        <v>1375</v>
      </c>
      <c r="O939" s="9">
        <v>2055</v>
      </c>
      <c r="P939" s="9">
        <v>0</v>
      </c>
      <c r="R939" s="11"/>
      <c r="S939" s="9"/>
      <c r="T939" s="9"/>
      <c r="U939" s="9"/>
    </row>
    <row r="940" spans="2:21" x14ac:dyDescent="0.4">
      <c r="B940" s="16">
        <f t="shared" si="94"/>
        <v>43278</v>
      </c>
      <c r="C940" s="1">
        <f t="shared" si="95"/>
        <v>5054</v>
      </c>
      <c r="D940" s="1">
        <f t="shared" si="96"/>
        <v>1375</v>
      </c>
      <c r="E940" s="1">
        <f t="shared" si="97"/>
        <v>2055</v>
      </c>
      <c r="F940" s="1"/>
      <c r="H940" s="16"/>
      <c r="I940" s="29"/>
      <c r="J940" s="1"/>
      <c r="L940" s="11">
        <v>43278</v>
      </c>
      <c r="M940" s="9">
        <v>5054</v>
      </c>
      <c r="N940" s="9">
        <v>1375</v>
      </c>
      <c r="O940" s="9">
        <v>2055</v>
      </c>
      <c r="P940" s="9">
        <v>0</v>
      </c>
      <c r="R940" s="11"/>
      <c r="S940" s="9"/>
      <c r="T940" s="9"/>
      <c r="U940" s="9"/>
    </row>
    <row r="941" spans="2:21" x14ac:dyDescent="0.4">
      <c r="B941" s="16">
        <f t="shared" si="94"/>
        <v>43279</v>
      </c>
      <c r="C941" s="1">
        <f t="shared" si="95"/>
        <v>5081</v>
      </c>
      <c r="D941" s="1">
        <f t="shared" si="96"/>
        <v>1375</v>
      </c>
      <c r="E941" s="1">
        <f t="shared" si="97"/>
        <v>2055</v>
      </c>
      <c r="F941" s="1"/>
      <c r="H941" s="16"/>
      <c r="I941" s="29"/>
      <c r="J941" s="1"/>
      <c r="L941" s="11">
        <v>43279</v>
      </c>
      <c r="M941" s="9">
        <v>5081</v>
      </c>
      <c r="N941" s="9">
        <v>1375</v>
      </c>
      <c r="O941" s="9">
        <v>2055</v>
      </c>
      <c r="P941" s="9">
        <v>0</v>
      </c>
      <c r="R941" s="11"/>
      <c r="S941" s="9"/>
      <c r="T941" s="9"/>
      <c r="U941" s="9"/>
    </row>
    <row r="942" spans="2:21" x14ac:dyDescent="0.4">
      <c r="B942" s="16">
        <f t="shared" si="94"/>
        <v>43280</v>
      </c>
      <c r="C942" s="1">
        <f t="shared" si="95"/>
        <v>5074</v>
      </c>
      <c r="D942" s="1">
        <f t="shared" si="96"/>
        <v>1375</v>
      </c>
      <c r="E942" s="1">
        <f t="shared" si="97"/>
        <v>2055</v>
      </c>
      <c r="F942" s="1"/>
      <c r="H942" s="16"/>
      <c r="I942" s="29"/>
      <c r="J942" s="1"/>
      <c r="L942" s="11">
        <v>43280</v>
      </c>
      <c r="M942" s="9">
        <v>5074</v>
      </c>
      <c r="N942" s="9">
        <v>1375</v>
      </c>
      <c r="O942" s="9">
        <v>2055</v>
      </c>
      <c r="P942" s="9">
        <v>0</v>
      </c>
      <c r="R942" s="11"/>
      <c r="S942" s="9"/>
      <c r="T942" s="9"/>
      <c r="U942" s="9"/>
    </row>
    <row r="943" spans="2:21" x14ac:dyDescent="0.4">
      <c r="B943" s="16">
        <f t="shared" si="94"/>
        <v>43283</v>
      </c>
      <c r="C943" s="1">
        <f t="shared" si="95"/>
        <v>5078</v>
      </c>
      <c r="D943" s="1">
        <f t="shared" si="96"/>
        <v>1385</v>
      </c>
      <c r="E943" s="1">
        <f t="shared" si="97"/>
        <v>2055</v>
      </c>
      <c r="F943" s="1"/>
      <c r="H943" s="16"/>
      <c r="I943" s="29"/>
      <c r="J943" s="1"/>
      <c r="L943" s="11">
        <v>43283</v>
      </c>
      <c r="M943" s="9">
        <v>5078</v>
      </c>
      <c r="N943" s="9">
        <v>1385</v>
      </c>
      <c r="O943" s="9">
        <v>2055</v>
      </c>
      <c r="P943" s="9">
        <v>0</v>
      </c>
      <c r="R943" s="11"/>
      <c r="S943" s="9"/>
      <c r="T943" s="9"/>
      <c r="U943" s="9"/>
    </row>
    <row r="944" spans="2:21" x14ac:dyDescent="0.4">
      <c r="B944" s="16">
        <f t="shared" si="94"/>
        <v>43284</v>
      </c>
      <c r="C944" s="1">
        <f t="shared" si="95"/>
        <v>5097</v>
      </c>
      <c r="D944" s="1">
        <f t="shared" si="96"/>
        <v>1395</v>
      </c>
      <c r="E944" s="1">
        <f t="shared" si="97"/>
        <v>2050</v>
      </c>
      <c r="F944" s="1"/>
      <c r="H944" s="16"/>
      <c r="I944" s="29"/>
      <c r="J944" s="1"/>
      <c r="L944" s="11">
        <v>43284</v>
      </c>
      <c r="M944" s="9">
        <v>5097</v>
      </c>
      <c r="N944" s="9">
        <v>1395</v>
      </c>
      <c r="O944" s="9">
        <v>2050</v>
      </c>
      <c r="P944" s="9">
        <v>0</v>
      </c>
      <c r="R944" s="11"/>
      <c r="S944" s="9"/>
      <c r="T944" s="9"/>
      <c r="U944" s="9"/>
    </row>
    <row r="945" spans="2:21" x14ac:dyDescent="0.4">
      <c r="B945" s="16">
        <f t="shared" si="94"/>
        <v>43285</v>
      </c>
      <c r="C945" s="1">
        <f t="shared" si="95"/>
        <v>5110</v>
      </c>
      <c r="D945" s="1">
        <f t="shared" si="96"/>
        <v>1395</v>
      </c>
      <c r="E945" s="1">
        <f t="shared" si="97"/>
        <v>2040</v>
      </c>
      <c r="F945" s="1"/>
      <c r="H945" s="16"/>
      <c r="I945" s="29"/>
      <c r="J945" s="1"/>
      <c r="L945" s="11">
        <v>43285</v>
      </c>
      <c r="M945" s="9">
        <v>5110</v>
      </c>
      <c r="N945" s="9">
        <v>1395</v>
      </c>
      <c r="O945" s="9">
        <v>2040</v>
      </c>
      <c r="P945" s="9">
        <v>0</v>
      </c>
      <c r="R945" s="11"/>
      <c r="S945" s="9"/>
      <c r="T945" s="9"/>
      <c r="U945" s="9"/>
    </row>
    <row r="946" spans="2:21" x14ac:dyDescent="0.4">
      <c r="B946" s="16">
        <f t="shared" si="94"/>
        <v>43286</v>
      </c>
      <c r="C946" s="1">
        <f t="shared" si="95"/>
        <v>5121</v>
      </c>
      <c r="D946" s="1">
        <f t="shared" si="96"/>
        <v>1390</v>
      </c>
      <c r="E946" s="1">
        <f t="shared" si="97"/>
        <v>2040</v>
      </c>
      <c r="F946" s="1"/>
      <c r="H946" s="16"/>
      <c r="I946" s="29"/>
      <c r="J946" s="1"/>
      <c r="L946" s="11">
        <v>43286</v>
      </c>
      <c r="M946" s="9">
        <v>5121</v>
      </c>
      <c r="N946" s="9">
        <v>1390</v>
      </c>
      <c r="O946" s="9">
        <v>2040</v>
      </c>
      <c r="P946" s="9">
        <v>0</v>
      </c>
      <c r="R946" s="11"/>
      <c r="S946" s="9"/>
      <c r="T946" s="9"/>
      <c r="U946" s="9"/>
    </row>
    <row r="947" spans="2:21" x14ac:dyDescent="0.4">
      <c r="B947" s="16">
        <f t="shared" si="94"/>
        <v>43287</v>
      </c>
      <c r="C947" s="1">
        <f t="shared" si="95"/>
        <v>5120</v>
      </c>
      <c r="D947" s="1">
        <f t="shared" si="96"/>
        <v>1390</v>
      </c>
      <c r="E947" s="1">
        <f t="shared" si="97"/>
        <v>2035</v>
      </c>
      <c r="F947" s="1"/>
      <c r="H947" s="16"/>
      <c r="I947" s="29"/>
      <c r="J947" s="1"/>
      <c r="L947" s="11">
        <v>43287</v>
      </c>
      <c r="M947" s="9">
        <v>5120</v>
      </c>
      <c r="N947" s="9">
        <v>1390</v>
      </c>
      <c r="O947" s="9">
        <v>2035</v>
      </c>
      <c r="P947" s="9">
        <v>0</v>
      </c>
      <c r="R947" s="11"/>
      <c r="S947" s="9"/>
      <c r="T947" s="9"/>
      <c r="U947" s="9"/>
    </row>
    <row r="948" spans="2:21" x14ac:dyDescent="0.4">
      <c r="B948" s="16">
        <f t="shared" si="94"/>
        <v>43290</v>
      </c>
      <c r="C948" s="1">
        <f t="shared" si="95"/>
        <v>5125</v>
      </c>
      <c r="D948" s="1">
        <f t="shared" si="96"/>
        <v>1390</v>
      </c>
      <c r="E948" s="1">
        <f t="shared" si="97"/>
        <v>2030</v>
      </c>
      <c r="F948" s="1"/>
      <c r="H948" s="16"/>
      <c r="I948" s="29"/>
      <c r="J948" s="1"/>
      <c r="L948" s="11">
        <v>43290</v>
      </c>
      <c r="M948" s="9">
        <v>5125</v>
      </c>
      <c r="N948" s="9">
        <v>1390</v>
      </c>
      <c r="O948" s="9">
        <v>2030</v>
      </c>
      <c r="P948" s="9">
        <v>0</v>
      </c>
      <c r="R948" s="11"/>
      <c r="S948" s="9"/>
      <c r="T948" s="9"/>
      <c r="U948" s="9"/>
    </row>
    <row r="949" spans="2:21" x14ac:dyDescent="0.4">
      <c r="B949" s="16">
        <f t="shared" si="94"/>
        <v>43291</v>
      </c>
      <c r="C949" s="1">
        <f t="shared" si="95"/>
        <v>5133</v>
      </c>
      <c r="D949" s="1">
        <f t="shared" si="96"/>
        <v>1390</v>
      </c>
      <c r="E949" s="1">
        <f t="shared" si="97"/>
        <v>2035</v>
      </c>
      <c r="F949" s="1"/>
      <c r="H949" s="16"/>
      <c r="I949" s="29"/>
      <c r="J949" s="1"/>
      <c r="L949" s="11">
        <v>43291</v>
      </c>
      <c r="M949" s="9">
        <v>5133</v>
      </c>
      <c r="N949" s="9">
        <v>1390</v>
      </c>
      <c r="O949" s="9">
        <v>2035</v>
      </c>
      <c r="P949" s="9">
        <v>0</v>
      </c>
      <c r="R949" s="11"/>
      <c r="S949" s="9"/>
      <c r="T949" s="9"/>
      <c r="U949" s="9"/>
    </row>
    <row r="950" spans="2:21" x14ac:dyDescent="0.4">
      <c r="B950" s="16">
        <f t="shared" si="94"/>
        <v>43292</v>
      </c>
      <c r="C950" s="1">
        <f t="shared" si="95"/>
        <v>5139</v>
      </c>
      <c r="D950" s="1">
        <f t="shared" si="96"/>
        <v>1390</v>
      </c>
      <c r="E950" s="1">
        <f t="shared" si="97"/>
        <v>2025</v>
      </c>
      <c r="F950" s="1"/>
      <c r="H950" s="16"/>
      <c r="I950" s="29"/>
      <c r="J950" s="1"/>
      <c r="L950" s="11">
        <v>43292</v>
      </c>
      <c r="M950" s="9">
        <v>5139</v>
      </c>
      <c r="N950" s="9">
        <v>1390</v>
      </c>
      <c r="O950" s="9">
        <v>2025</v>
      </c>
      <c r="P950" s="9">
        <v>0</v>
      </c>
      <c r="R950" s="11"/>
      <c r="S950" s="9"/>
      <c r="T950" s="9"/>
      <c r="U950" s="9"/>
    </row>
    <row r="951" spans="2:21" x14ac:dyDescent="0.4">
      <c r="B951" s="16">
        <f t="shared" si="94"/>
        <v>43293</v>
      </c>
      <c r="C951" s="1">
        <f t="shared" si="95"/>
        <v>5141</v>
      </c>
      <c r="D951" s="1">
        <f t="shared" si="96"/>
        <v>1400</v>
      </c>
      <c r="E951" s="1">
        <f t="shared" si="97"/>
        <v>2025</v>
      </c>
      <c r="F951" s="1"/>
      <c r="H951" s="16"/>
      <c r="I951" s="29"/>
      <c r="J951" s="1"/>
      <c r="L951" s="11">
        <v>43293</v>
      </c>
      <c r="M951" s="9">
        <v>5141</v>
      </c>
      <c r="N951" s="9">
        <v>1400</v>
      </c>
      <c r="O951" s="9">
        <v>2025</v>
      </c>
      <c r="P951" s="9">
        <v>0</v>
      </c>
      <c r="R951" s="11"/>
      <c r="S951" s="9"/>
      <c r="T951" s="9"/>
      <c r="U951" s="9"/>
    </row>
    <row r="952" spans="2:21" x14ac:dyDescent="0.4">
      <c r="B952" s="16">
        <f t="shared" si="94"/>
        <v>43294</v>
      </c>
      <c r="C952" s="1">
        <f t="shared" si="95"/>
        <v>5144</v>
      </c>
      <c r="D952" s="1">
        <f t="shared" si="96"/>
        <v>1410</v>
      </c>
      <c r="E952" s="1">
        <f t="shared" si="97"/>
        <v>2025</v>
      </c>
      <c r="F952" s="1"/>
      <c r="H952" s="16"/>
      <c r="I952" s="29"/>
      <c r="J952" s="1"/>
      <c r="L952" s="11">
        <v>43294</v>
      </c>
      <c r="M952" s="9">
        <v>5144</v>
      </c>
      <c r="N952" s="9">
        <v>1410</v>
      </c>
      <c r="O952" s="9">
        <v>2025</v>
      </c>
      <c r="P952" s="9">
        <v>0</v>
      </c>
      <c r="R952" s="11"/>
      <c r="S952" s="9"/>
      <c r="T952" s="9"/>
      <c r="U952" s="9"/>
    </row>
    <row r="953" spans="2:21" x14ac:dyDescent="0.4">
      <c r="B953" s="16">
        <f t="shared" si="94"/>
        <v>43297</v>
      </c>
      <c r="C953" s="1">
        <f t="shared" si="95"/>
        <v>5151</v>
      </c>
      <c r="D953" s="1">
        <f t="shared" si="96"/>
        <v>1410</v>
      </c>
      <c r="E953" s="1">
        <f t="shared" si="97"/>
        <v>2010</v>
      </c>
      <c r="F953" s="1"/>
      <c r="H953" s="16"/>
      <c r="I953" s="29"/>
      <c r="J953" s="1"/>
      <c r="L953" s="11">
        <v>43297</v>
      </c>
      <c r="M953" s="9">
        <v>5151</v>
      </c>
      <c r="N953" s="9">
        <v>1410</v>
      </c>
      <c r="O953" s="9">
        <v>2010</v>
      </c>
      <c r="P953" s="9">
        <v>0</v>
      </c>
      <c r="R953" s="11"/>
      <c r="S953" s="9"/>
      <c r="T953" s="9"/>
      <c r="U953" s="9"/>
    </row>
    <row r="954" spans="2:21" x14ac:dyDescent="0.4">
      <c r="B954" s="16">
        <f t="shared" si="94"/>
        <v>43298</v>
      </c>
      <c r="C954" s="1">
        <f t="shared" si="95"/>
        <v>5143</v>
      </c>
      <c r="D954" s="1">
        <f t="shared" si="96"/>
        <v>1410</v>
      </c>
      <c r="E954" s="1">
        <f t="shared" si="97"/>
        <v>1985</v>
      </c>
      <c r="F954" s="1"/>
      <c r="H954" s="16"/>
      <c r="I954" s="29"/>
      <c r="J954" s="1"/>
      <c r="L954" s="11">
        <v>43298</v>
      </c>
      <c r="M954" s="9">
        <v>5143</v>
      </c>
      <c r="N954" s="9">
        <v>1410</v>
      </c>
      <c r="O954" s="9">
        <v>1985</v>
      </c>
      <c r="P954" s="9">
        <v>0</v>
      </c>
      <c r="R954" s="11"/>
      <c r="S954" s="9"/>
      <c r="T954" s="9"/>
      <c r="U954" s="9"/>
    </row>
    <row r="955" spans="2:21" x14ac:dyDescent="0.4">
      <c r="B955" s="16">
        <f t="shared" si="94"/>
        <v>43299</v>
      </c>
      <c r="C955" s="1">
        <f t="shared" si="95"/>
        <v>5129</v>
      </c>
      <c r="D955" s="1">
        <f t="shared" si="96"/>
        <v>1400</v>
      </c>
      <c r="E955" s="1">
        <f t="shared" si="97"/>
        <v>1965</v>
      </c>
      <c r="F955" s="1"/>
      <c r="H955" s="16"/>
      <c r="I955" s="29"/>
      <c r="J955" s="1"/>
      <c r="L955" s="11">
        <v>43299</v>
      </c>
      <c r="M955" s="9">
        <v>5129</v>
      </c>
      <c r="N955" s="9">
        <v>1400</v>
      </c>
      <c r="O955" s="9">
        <v>1965</v>
      </c>
      <c r="P955" s="9">
        <v>0</v>
      </c>
      <c r="R955" s="11"/>
      <c r="S955" s="9"/>
      <c r="T955" s="9"/>
      <c r="U955" s="9"/>
    </row>
    <row r="956" spans="2:21" x14ac:dyDescent="0.4">
      <c r="B956" s="16">
        <f t="shared" si="94"/>
        <v>43300</v>
      </c>
      <c r="C956" s="1">
        <f t="shared" si="95"/>
        <v>5133</v>
      </c>
      <c r="D956" s="1">
        <f t="shared" si="96"/>
        <v>1400</v>
      </c>
      <c r="E956" s="1">
        <f t="shared" si="97"/>
        <v>1965</v>
      </c>
      <c r="F956" s="1"/>
      <c r="H956" s="16"/>
      <c r="I956" s="29"/>
      <c r="J956" s="1"/>
      <c r="L956" s="11">
        <v>43300</v>
      </c>
      <c r="M956" s="9">
        <v>5133</v>
      </c>
      <c r="N956" s="9">
        <v>1400</v>
      </c>
      <c r="O956" s="9">
        <v>1965</v>
      </c>
      <c r="P956" s="9">
        <v>0</v>
      </c>
      <c r="R956" s="11"/>
      <c r="S956" s="9"/>
      <c r="T956" s="9"/>
      <c r="U956" s="9"/>
    </row>
    <row r="957" spans="2:21" x14ac:dyDescent="0.4">
      <c r="B957" s="16">
        <f t="shared" si="94"/>
        <v>43301</v>
      </c>
      <c r="C957" s="1">
        <f t="shared" si="95"/>
        <v>5143</v>
      </c>
      <c r="D957" s="1">
        <f t="shared" si="96"/>
        <v>1380</v>
      </c>
      <c r="E957" s="1">
        <f t="shared" si="97"/>
        <v>1960</v>
      </c>
      <c r="F957" s="1"/>
      <c r="H957" s="16"/>
      <c r="I957" s="29"/>
      <c r="J957" s="1"/>
      <c r="L957" s="11">
        <v>43301</v>
      </c>
      <c r="M957" s="9">
        <v>5143</v>
      </c>
      <c r="N957" s="9">
        <v>1380</v>
      </c>
      <c r="O957" s="9">
        <v>1960</v>
      </c>
      <c r="P957" s="9">
        <v>0</v>
      </c>
      <c r="R957" s="11"/>
      <c r="S957" s="9"/>
      <c r="T957" s="9"/>
      <c r="U957" s="9"/>
    </row>
    <row r="958" spans="2:21" x14ac:dyDescent="0.4">
      <c r="B958" s="16">
        <f t="shared" si="94"/>
        <v>43304</v>
      </c>
      <c r="C958" s="1">
        <f t="shared" si="95"/>
        <v>5165</v>
      </c>
      <c r="D958" s="1">
        <f t="shared" si="96"/>
        <v>1380</v>
      </c>
      <c r="E958" s="1">
        <f t="shared" si="97"/>
        <v>1940</v>
      </c>
      <c r="F958" s="1"/>
      <c r="H958" s="16"/>
      <c r="I958" s="29"/>
      <c r="J958" s="1"/>
      <c r="L958" s="11">
        <v>43304</v>
      </c>
      <c r="M958" s="9">
        <v>5165</v>
      </c>
      <c r="N958" s="9">
        <v>1380</v>
      </c>
      <c r="O958" s="9">
        <v>1940</v>
      </c>
      <c r="P958" s="9">
        <v>0</v>
      </c>
      <c r="R958" s="11"/>
      <c r="S958" s="9"/>
      <c r="T958" s="9"/>
      <c r="U958" s="9"/>
    </row>
    <row r="959" spans="2:21" x14ac:dyDescent="0.4">
      <c r="B959" s="16">
        <f t="shared" si="94"/>
        <v>43305</v>
      </c>
      <c r="C959" s="1">
        <f t="shared" si="95"/>
        <v>5178</v>
      </c>
      <c r="D959" s="1">
        <f t="shared" si="96"/>
        <v>1365</v>
      </c>
      <c r="E959" s="1">
        <f t="shared" si="97"/>
        <v>1930</v>
      </c>
      <c r="F959" s="1"/>
      <c r="H959" s="16"/>
      <c r="I959" s="29"/>
      <c r="J959" s="1"/>
      <c r="L959" s="11">
        <v>43305</v>
      </c>
      <c r="M959" s="9">
        <v>5178</v>
      </c>
      <c r="N959" s="9">
        <v>1365</v>
      </c>
      <c r="O959" s="9">
        <v>1930</v>
      </c>
      <c r="P959" s="9">
        <v>0</v>
      </c>
      <c r="R959" s="11"/>
      <c r="S959" s="9"/>
      <c r="T959" s="9"/>
      <c r="U959" s="9"/>
    </row>
    <row r="960" spans="2:21" x14ac:dyDescent="0.4">
      <c r="B960" s="16">
        <f t="shared" si="94"/>
        <v>43306</v>
      </c>
      <c r="C960" s="1">
        <f t="shared" si="95"/>
        <v>5182</v>
      </c>
      <c r="D960" s="1">
        <f t="shared" si="96"/>
        <v>1365</v>
      </c>
      <c r="E960" s="1">
        <f t="shared" si="97"/>
        <v>1925</v>
      </c>
      <c r="F960" s="1"/>
      <c r="H960" s="16"/>
      <c r="I960" s="29"/>
      <c r="J960" s="1"/>
      <c r="L960" s="11">
        <v>43306</v>
      </c>
      <c r="M960" s="9">
        <v>5182</v>
      </c>
      <c r="N960" s="9">
        <v>1365</v>
      </c>
      <c r="O960" s="9">
        <v>1925</v>
      </c>
      <c r="P960" s="9">
        <v>0</v>
      </c>
      <c r="R960" s="11"/>
      <c r="S960" s="9"/>
      <c r="T960" s="9"/>
      <c r="U960" s="9"/>
    </row>
    <row r="961" spans="2:21" x14ac:dyDescent="0.4">
      <c r="B961" s="16">
        <f t="shared" si="94"/>
        <v>43307</v>
      </c>
      <c r="C961" s="1">
        <f t="shared" si="95"/>
        <v>5193</v>
      </c>
      <c r="D961" s="1">
        <f t="shared" si="96"/>
        <v>1360</v>
      </c>
      <c r="E961" s="1">
        <f t="shared" si="97"/>
        <v>1917</v>
      </c>
      <c r="F961" s="1"/>
      <c r="H961" s="16"/>
      <c r="I961" s="29"/>
      <c r="J961" s="1"/>
      <c r="L961" s="11">
        <v>43307</v>
      </c>
      <c r="M961" s="9">
        <v>5193</v>
      </c>
      <c r="N961" s="9">
        <v>1360</v>
      </c>
      <c r="O961" s="9">
        <v>1917</v>
      </c>
      <c r="P961" s="9">
        <v>0</v>
      </c>
      <c r="R961" s="11"/>
      <c r="S961" s="9"/>
      <c r="T961" s="9"/>
      <c r="U961" s="9"/>
    </row>
    <row r="962" spans="2:21" x14ac:dyDescent="0.4">
      <c r="B962" s="16">
        <f t="shared" si="94"/>
        <v>43308</v>
      </c>
      <c r="C962" s="1">
        <f t="shared" si="95"/>
        <v>5199</v>
      </c>
      <c r="D962" s="1">
        <f t="shared" si="96"/>
        <v>1360</v>
      </c>
      <c r="E962" s="1">
        <f t="shared" si="97"/>
        <v>1915</v>
      </c>
      <c r="F962" s="1"/>
      <c r="H962" s="16"/>
      <c r="I962" s="29"/>
      <c r="J962" s="1"/>
      <c r="L962" s="11">
        <v>43308</v>
      </c>
      <c r="M962" s="9">
        <v>5199</v>
      </c>
      <c r="N962" s="9">
        <v>1360</v>
      </c>
      <c r="O962" s="9">
        <v>1915</v>
      </c>
      <c r="P962" s="9">
        <v>0</v>
      </c>
      <c r="R962" s="11"/>
      <c r="S962" s="9"/>
      <c r="T962" s="9"/>
      <c r="U962" s="9"/>
    </row>
    <row r="963" spans="2:21" x14ac:dyDescent="0.4">
      <c r="B963" s="16">
        <f t="shared" si="94"/>
        <v>43311</v>
      </c>
      <c r="C963" s="1">
        <f t="shared" si="95"/>
        <v>5223</v>
      </c>
      <c r="D963" s="1">
        <f t="shared" si="96"/>
        <v>1350</v>
      </c>
      <c r="E963" s="1">
        <f t="shared" si="97"/>
        <v>1905</v>
      </c>
      <c r="F963" s="1"/>
      <c r="H963" s="16"/>
      <c r="I963" s="29"/>
      <c r="J963" s="1"/>
      <c r="L963" s="11">
        <v>43311</v>
      </c>
      <c r="M963" s="9">
        <v>5223</v>
      </c>
      <c r="N963" s="9">
        <v>1350</v>
      </c>
      <c r="O963" s="9">
        <v>1905</v>
      </c>
      <c r="P963" s="9">
        <v>0</v>
      </c>
      <c r="R963" s="11"/>
      <c r="S963" s="9"/>
      <c r="T963" s="9"/>
      <c r="U963" s="9"/>
    </row>
    <row r="964" spans="2:21" x14ac:dyDescent="0.4">
      <c r="B964" s="16">
        <f t="shared" si="94"/>
        <v>43312</v>
      </c>
      <c r="C964" s="1">
        <f t="shared" si="95"/>
        <v>5275</v>
      </c>
      <c r="D964" s="1">
        <f t="shared" si="96"/>
        <v>1350</v>
      </c>
      <c r="E964" s="1">
        <f t="shared" si="97"/>
        <v>1900</v>
      </c>
      <c r="F964" s="1"/>
      <c r="H964" s="16"/>
      <c r="I964" s="29"/>
      <c r="J964" s="1"/>
      <c r="L964" s="11">
        <v>43312</v>
      </c>
      <c r="M964" s="9">
        <v>5275</v>
      </c>
      <c r="N964" s="9">
        <v>1350</v>
      </c>
      <c r="O964" s="9">
        <v>1900</v>
      </c>
      <c r="P964" s="9">
        <v>0</v>
      </c>
      <c r="R964" s="11"/>
      <c r="S964" s="9"/>
      <c r="T964" s="9"/>
      <c r="U964" s="9"/>
    </row>
    <row r="965" spans="2:21" x14ac:dyDescent="0.4">
      <c r="B965" s="16">
        <f t="shared" si="94"/>
        <v>43313</v>
      </c>
      <c r="C965" s="1">
        <f t="shared" si="95"/>
        <v>5283</v>
      </c>
      <c r="D965" s="1">
        <f t="shared" si="96"/>
        <v>1350</v>
      </c>
      <c r="E965" s="1">
        <f t="shared" si="97"/>
        <v>1900</v>
      </c>
      <c r="F965" s="1"/>
      <c r="H965" s="16"/>
      <c r="I965" s="29"/>
      <c r="J965" s="1"/>
      <c r="L965" s="11">
        <v>43313</v>
      </c>
      <c r="M965" s="9">
        <v>5283</v>
      </c>
      <c r="N965" s="9">
        <v>1350</v>
      </c>
      <c r="O965" s="9">
        <v>1900</v>
      </c>
      <c r="P965" s="9">
        <v>0</v>
      </c>
      <c r="R965" s="11"/>
      <c r="S965" s="9"/>
      <c r="T965" s="9"/>
      <c r="U965" s="9"/>
    </row>
    <row r="966" spans="2:21" x14ac:dyDescent="0.4">
      <c r="B966" s="16">
        <f t="shared" ref="B966:B1029" si="98">L966</f>
        <v>43314</v>
      </c>
      <c r="C966" s="1">
        <f t="shared" si="95"/>
        <v>5297</v>
      </c>
      <c r="D966" s="1">
        <f t="shared" si="96"/>
        <v>1350</v>
      </c>
      <c r="E966" s="1">
        <f t="shared" si="97"/>
        <v>1900</v>
      </c>
      <c r="F966" s="1"/>
      <c r="H966" s="16"/>
      <c r="I966" s="29"/>
      <c r="J966" s="1"/>
      <c r="L966" s="11">
        <v>43314</v>
      </c>
      <c r="M966" s="9">
        <v>5297</v>
      </c>
      <c r="N966" s="9">
        <v>1350</v>
      </c>
      <c r="O966" s="9">
        <v>1900</v>
      </c>
      <c r="P966" s="9">
        <v>0</v>
      </c>
      <c r="R966" s="11"/>
      <c r="S966" s="9"/>
      <c r="T966" s="9"/>
      <c r="U966" s="9"/>
    </row>
    <row r="967" spans="2:21" x14ac:dyDescent="0.4">
      <c r="B967" s="16">
        <f t="shared" si="98"/>
        <v>43315</v>
      </c>
      <c r="C967" s="1">
        <f t="shared" ref="C967:C1030" si="99">IF(M967&lt;&gt;0,M967,C966)</f>
        <v>5356</v>
      </c>
      <c r="D967" s="1">
        <f t="shared" ref="D967:D1030" si="100">IF(N967&lt;&gt;0,N967,D966)</f>
        <v>1360</v>
      </c>
      <c r="E967" s="1">
        <f t="shared" ref="E967:E1030" si="101">IF(O967&lt;&gt;0,O967,E966)</f>
        <v>1900</v>
      </c>
      <c r="F967" s="1"/>
      <c r="H967" s="16"/>
      <c r="I967" s="29"/>
      <c r="J967" s="1"/>
      <c r="L967" s="11">
        <v>43315</v>
      </c>
      <c r="M967" s="9">
        <v>5356</v>
      </c>
      <c r="N967" s="9">
        <v>1360</v>
      </c>
      <c r="O967" s="9">
        <v>1900</v>
      </c>
      <c r="P967" s="9">
        <v>0</v>
      </c>
      <c r="R967" s="11"/>
      <c r="S967" s="9"/>
      <c r="T967" s="9"/>
      <c r="U967" s="9"/>
    </row>
    <row r="968" spans="2:21" x14ac:dyDescent="0.4">
      <c r="B968" s="16">
        <f t="shared" si="98"/>
        <v>43318</v>
      </c>
      <c r="C968" s="1">
        <f t="shared" si="99"/>
        <v>5424</v>
      </c>
      <c r="D968" s="1">
        <f t="shared" si="100"/>
        <v>1360</v>
      </c>
      <c r="E968" s="1">
        <f t="shared" si="101"/>
        <v>1905</v>
      </c>
      <c r="F968" s="1"/>
      <c r="H968" s="16"/>
      <c r="I968" s="29"/>
      <c r="J968" s="1"/>
      <c r="L968" s="11">
        <v>43318</v>
      </c>
      <c r="M968" s="9">
        <v>5424</v>
      </c>
      <c r="N968" s="9">
        <v>1360</v>
      </c>
      <c r="O968" s="9">
        <v>1905</v>
      </c>
      <c r="P968" s="9">
        <v>0</v>
      </c>
      <c r="R968" s="11"/>
      <c r="S968" s="9"/>
      <c r="T968" s="9"/>
      <c r="U968" s="9"/>
    </row>
    <row r="969" spans="2:21" x14ac:dyDescent="0.4">
      <c r="B969" s="16">
        <f t="shared" si="98"/>
        <v>43319</v>
      </c>
      <c r="C969" s="1">
        <f t="shared" si="99"/>
        <v>5442</v>
      </c>
      <c r="D969" s="1">
        <f t="shared" si="100"/>
        <v>1380</v>
      </c>
      <c r="E969" s="1">
        <f t="shared" si="101"/>
        <v>1905</v>
      </c>
      <c r="F969" s="1"/>
      <c r="H969" s="16"/>
      <c r="I969" s="29"/>
      <c r="J969" s="1"/>
      <c r="L969" s="11">
        <v>43319</v>
      </c>
      <c r="M969" s="9">
        <v>5442</v>
      </c>
      <c r="N969" s="9">
        <v>1380</v>
      </c>
      <c r="O969" s="9">
        <v>1905</v>
      </c>
      <c r="P969" s="9">
        <v>0</v>
      </c>
      <c r="R969" s="11"/>
      <c r="S969" s="9"/>
      <c r="T969" s="9"/>
      <c r="U969" s="9"/>
    </row>
    <row r="970" spans="2:21" x14ac:dyDescent="0.4">
      <c r="B970" s="16">
        <f t="shared" si="98"/>
        <v>43320</v>
      </c>
      <c r="C970" s="1">
        <f t="shared" si="99"/>
        <v>5463</v>
      </c>
      <c r="D970" s="1">
        <f t="shared" si="100"/>
        <v>1400</v>
      </c>
      <c r="E970" s="1">
        <f t="shared" si="101"/>
        <v>1900</v>
      </c>
      <c r="F970" s="1"/>
      <c r="H970" s="16"/>
      <c r="I970" s="29"/>
      <c r="J970" s="1"/>
      <c r="L970" s="11">
        <v>43320</v>
      </c>
      <c r="M970" s="9">
        <v>5463</v>
      </c>
      <c r="N970" s="9">
        <v>1400</v>
      </c>
      <c r="O970" s="9">
        <v>1900</v>
      </c>
      <c r="P970" s="9">
        <v>0</v>
      </c>
      <c r="R970" s="11"/>
      <c r="S970" s="9"/>
      <c r="T970" s="9"/>
      <c r="U970" s="9"/>
    </row>
    <row r="971" spans="2:21" x14ac:dyDescent="0.4">
      <c r="B971" s="16">
        <f t="shared" si="98"/>
        <v>43321</v>
      </c>
      <c r="C971" s="1">
        <f t="shared" si="99"/>
        <v>5466</v>
      </c>
      <c r="D971" s="1">
        <f t="shared" si="100"/>
        <v>1400</v>
      </c>
      <c r="E971" s="1">
        <f t="shared" si="101"/>
        <v>1900</v>
      </c>
      <c r="F971" s="1"/>
      <c r="H971" s="16"/>
      <c r="I971" s="29"/>
      <c r="J971" s="1"/>
      <c r="L971" s="11">
        <v>43321</v>
      </c>
      <c r="M971" s="9">
        <v>5466</v>
      </c>
      <c r="N971" s="9">
        <v>1400</v>
      </c>
      <c r="O971" s="9">
        <v>1900</v>
      </c>
      <c r="P971" s="9">
        <v>0</v>
      </c>
      <c r="R971" s="11"/>
      <c r="S971" s="9"/>
      <c r="T971" s="9"/>
      <c r="U971" s="9"/>
    </row>
    <row r="972" spans="2:21" x14ac:dyDescent="0.4">
      <c r="B972" s="16">
        <f t="shared" si="98"/>
        <v>43322</v>
      </c>
      <c r="C972" s="1">
        <f t="shared" si="99"/>
        <v>5467</v>
      </c>
      <c r="D972" s="1">
        <f t="shared" si="100"/>
        <v>1400</v>
      </c>
      <c r="E972" s="1">
        <f t="shared" si="101"/>
        <v>1910</v>
      </c>
      <c r="F972" s="1"/>
      <c r="H972" s="16"/>
      <c r="I972" s="29"/>
      <c r="J972" s="1"/>
      <c r="L972" s="11">
        <v>43322</v>
      </c>
      <c r="M972" s="9">
        <v>5467</v>
      </c>
      <c r="N972" s="9">
        <v>1400</v>
      </c>
      <c r="O972" s="9">
        <v>1910</v>
      </c>
      <c r="P972" s="9">
        <v>0</v>
      </c>
      <c r="R972" s="11"/>
      <c r="S972" s="9"/>
      <c r="T972" s="9"/>
      <c r="U972" s="9"/>
    </row>
    <row r="973" spans="2:21" x14ac:dyDescent="0.4">
      <c r="B973" s="16">
        <f t="shared" si="98"/>
        <v>43325</v>
      </c>
      <c r="C973" s="1">
        <f t="shared" si="99"/>
        <v>5485</v>
      </c>
      <c r="D973" s="1">
        <f t="shared" si="100"/>
        <v>1401</v>
      </c>
      <c r="E973" s="1">
        <f t="shared" si="101"/>
        <v>1920</v>
      </c>
      <c r="F973" s="1"/>
      <c r="H973" s="16"/>
      <c r="I973" s="29"/>
      <c r="J973" s="1"/>
      <c r="L973" s="11">
        <v>43325</v>
      </c>
      <c r="M973" s="9">
        <v>5485</v>
      </c>
      <c r="N973" s="9">
        <v>1401</v>
      </c>
      <c r="O973" s="9">
        <v>1920</v>
      </c>
      <c r="P973" s="9">
        <v>0</v>
      </c>
      <c r="R973" s="11"/>
      <c r="S973" s="9"/>
      <c r="T973" s="9"/>
      <c r="U973" s="9"/>
    </row>
    <row r="974" spans="2:21" x14ac:dyDescent="0.4">
      <c r="B974" s="16">
        <f t="shared" si="98"/>
        <v>43326</v>
      </c>
      <c r="C974" s="1">
        <f t="shared" si="99"/>
        <v>5512</v>
      </c>
      <c r="D974" s="1">
        <f t="shared" si="100"/>
        <v>1401</v>
      </c>
      <c r="E974" s="1">
        <f t="shared" si="101"/>
        <v>1925</v>
      </c>
      <c r="F974" s="1"/>
      <c r="H974" s="16"/>
      <c r="I974" s="29"/>
      <c r="J974" s="1"/>
      <c r="L974" s="11">
        <v>43326</v>
      </c>
      <c r="M974" s="9">
        <v>5512</v>
      </c>
      <c r="N974" s="9">
        <v>1401</v>
      </c>
      <c r="O974" s="9">
        <v>1925</v>
      </c>
      <c r="P974" s="9">
        <v>0</v>
      </c>
      <c r="R974" s="11"/>
      <c r="S974" s="9"/>
      <c r="T974" s="9"/>
      <c r="U974" s="9"/>
    </row>
    <row r="975" spans="2:21" x14ac:dyDescent="0.4">
      <c r="B975" s="16">
        <f t="shared" si="98"/>
        <v>43327</v>
      </c>
      <c r="C975" s="1">
        <f t="shared" si="99"/>
        <v>5520</v>
      </c>
      <c r="D975" s="1">
        <f t="shared" si="100"/>
        <v>1401</v>
      </c>
      <c r="E975" s="1">
        <f t="shared" si="101"/>
        <v>1940</v>
      </c>
      <c r="F975" s="1"/>
      <c r="H975" s="16"/>
      <c r="I975" s="29"/>
      <c r="J975" s="1"/>
      <c r="L975" s="11">
        <v>43327</v>
      </c>
      <c r="M975" s="9">
        <v>5520</v>
      </c>
      <c r="N975" s="9">
        <v>1401</v>
      </c>
      <c r="O975" s="9">
        <v>1940</v>
      </c>
      <c r="P975" s="9">
        <v>0</v>
      </c>
      <c r="R975" s="11"/>
      <c r="S975" s="9"/>
      <c r="T975" s="9"/>
      <c r="U975" s="9"/>
    </row>
    <row r="976" spans="2:21" x14ac:dyDescent="0.4">
      <c r="B976" s="16">
        <f t="shared" si="98"/>
        <v>43328</v>
      </c>
      <c r="C976" s="1">
        <f t="shared" si="99"/>
        <v>5541</v>
      </c>
      <c r="D976" s="1">
        <f t="shared" si="100"/>
        <v>1401</v>
      </c>
      <c r="E976" s="1">
        <f t="shared" si="101"/>
        <v>1945</v>
      </c>
      <c r="F976" s="1"/>
      <c r="H976" s="16"/>
      <c r="I976" s="29"/>
      <c r="J976" s="1"/>
      <c r="L976" s="11">
        <v>43328</v>
      </c>
      <c r="M976" s="9">
        <v>5541</v>
      </c>
      <c r="N976" s="9">
        <v>1401</v>
      </c>
      <c r="O976" s="9">
        <v>1945</v>
      </c>
      <c r="P976" s="9">
        <v>0</v>
      </c>
      <c r="R976" s="11"/>
      <c r="S976" s="9"/>
      <c r="T976" s="9"/>
      <c r="U976" s="9"/>
    </row>
    <row r="977" spans="2:21" x14ac:dyDescent="0.4">
      <c r="B977" s="16">
        <f t="shared" si="98"/>
        <v>43329</v>
      </c>
      <c r="C977" s="1">
        <f t="shared" si="99"/>
        <v>5560</v>
      </c>
      <c r="D977" s="1">
        <f t="shared" si="100"/>
        <v>1401</v>
      </c>
      <c r="E977" s="1">
        <f t="shared" si="101"/>
        <v>1955</v>
      </c>
      <c r="F977" s="1"/>
      <c r="H977" s="16"/>
      <c r="I977" s="29"/>
      <c r="J977" s="1"/>
      <c r="L977" s="11">
        <v>43329</v>
      </c>
      <c r="M977" s="9">
        <v>5560</v>
      </c>
      <c r="N977" s="9">
        <v>1401</v>
      </c>
      <c r="O977" s="9">
        <v>1955</v>
      </c>
      <c r="P977" s="9">
        <v>0</v>
      </c>
      <c r="R977" s="11"/>
      <c r="S977" s="9"/>
      <c r="T977" s="9"/>
      <c r="U977" s="9"/>
    </row>
    <row r="978" spans="2:21" x14ac:dyDescent="0.4">
      <c r="B978" s="16">
        <f t="shared" si="98"/>
        <v>43332</v>
      </c>
      <c r="C978" s="1">
        <f t="shared" si="99"/>
        <v>5590</v>
      </c>
      <c r="D978" s="1">
        <f t="shared" si="100"/>
        <v>1401</v>
      </c>
      <c r="E978" s="1">
        <f t="shared" si="101"/>
        <v>1960</v>
      </c>
      <c r="F978" s="1"/>
      <c r="H978" s="16"/>
      <c r="I978" s="29"/>
      <c r="J978" s="1"/>
      <c r="L978" s="11">
        <v>43332</v>
      </c>
      <c r="M978" s="9">
        <v>5590</v>
      </c>
      <c r="N978" s="9">
        <v>1401</v>
      </c>
      <c r="O978" s="9">
        <v>1960</v>
      </c>
      <c r="P978" s="9">
        <v>0</v>
      </c>
      <c r="R978" s="11"/>
      <c r="S978" s="9"/>
      <c r="T978" s="9"/>
      <c r="U978" s="9"/>
    </row>
    <row r="979" spans="2:21" x14ac:dyDescent="0.4">
      <c r="B979" s="16">
        <f t="shared" si="98"/>
        <v>43333</v>
      </c>
      <c r="C979" s="1">
        <f t="shared" si="99"/>
        <v>5624</v>
      </c>
      <c r="D979" s="1">
        <f t="shared" si="100"/>
        <v>1401</v>
      </c>
      <c r="E979" s="1">
        <f t="shared" si="101"/>
        <v>1970</v>
      </c>
      <c r="F979" s="1"/>
      <c r="H979" s="16"/>
      <c r="I979" s="29"/>
      <c r="J979" s="1"/>
      <c r="L979" s="11">
        <v>43333</v>
      </c>
      <c r="M979" s="9">
        <v>5624</v>
      </c>
      <c r="N979" s="9">
        <v>1401</v>
      </c>
      <c r="O979" s="9">
        <v>1970</v>
      </c>
      <c r="P979" s="9">
        <v>0</v>
      </c>
      <c r="R979" s="11"/>
      <c r="S979" s="9"/>
      <c r="T979" s="9"/>
      <c r="U979" s="9"/>
    </row>
    <row r="980" spans="2:21" x14ac:dyDescent="0.4">
      <c r="B980" s="16">
        <f t="shared" si="98"/>
        <v>43334</v>
      </c>
      <c r="C980" s="1">
        <f t="shared" si="99"/>
        <v>5652</v>
      </c>
      <c r="D980" s="1">
        <f t="shared" si="100"/>
        <v>1401</v>
      </c>
      <c r="E980" s="1">
        <f t="shared" si="101"/>
        <v>1975</v>
      </c>
      <c r="F980" s="1"/>
      <c r="H980" s="16"/>
      <c r="I980" s="29"/>
      <c r="J980" s="1"/>
      <c r="L980" s="11">
        <v>43334</v>
      </c>
      <c r="M980" s="9">
        <v>5652</v>
      </c>
      <c r="N980" s="9">
        <v>1401</v>
      </c>
      <c r="O980" s="9">
        <v>1975</v>
      </c>
      <c r="P980" s="9">
        <v>0</v>
      </c>
      <c r="R980" s="11"/>
      <c r="S980" s="9"/>
      <c r="T980" s="9"/>
      <c r="U980" s="9"/>
    </row>
    <row r="981" spans="2:21" x14ac:dyDescent="0.4">
      <c r="B981" s="16">
        <f t="shared" si="98"/>
        <v>43335</v>
      </c>
      <c r="C981" s="1">
        <f t="shared" si="99"/>
        <v>5660</v>
      </c>
      <c r="D981" s="1">
        <f t="shared" si="100"/>
        <v>1401</v>
      </c>
      <c r="E981" s="1">
        <f t="shared" si="101"/>
        <v>1975</v>
      </c>
      <c r="F981" s="1"/>
      <c r="H981" s="16"/>
      <c r="I981" s="29"/>
      <c r="J981" s="1"/>
      <c r="L981" s="11">
        <v>43335</v>
      </c>
      <c r="M981" s="9">
        <v>5660</v>
      </c>
      <c r="N981" s="9">
        <v>1401</v>
      </c>
      <c r="O981" s="9">
        <v>1975</v>
      </c>
      <c r="P981" s="9">
        <v>0</v>
      </c>
      <c r="R981" s="11"/>
      <c r="S981" s="9"/>
      <c r="T981" s="9"/>
      <c r="U981" s="9"/>
    </row>
    <row r="982" spans="2:21" x14ac:dyDescent="0.4">
      <c r="B982" s="16">
        <f t="shared" si="98"/>
        <v>43336</v>
      </c>
      <c r="C982" s="1">
        <f t="shared" si="99"/>
        <v>5670</v>
      </c>
      <c r="D982" s="1">
        <f t="shared" si="100"/>
        <v>1396</v>
      </c>
      <c r="E982" s="1">
        <f t="shared" si="101"/>
        <v>1970</v>
      </c>
      <c r="F982" s="1"/>
      <c r="H982" s="16"/>
      <c r="I982" s="29"/>
      <c r="J982" s="1"/>
      <c r="L982" s="11">
        <v>43336</v>
      </c>
      <c r="M982" s="9">
        <v>5670</v>
      </c>
      <c r="N982" s="9">
        <v>1396</v>
      </c>
      <c r="O982" s="9">
        <v>1970</v>
      </c>
      <c r="P982" s="9">
        <v>0</v>
      </c>
      <c r="R982" s="11"/>
      <c r="S982" s="9"/>
      <c r="T982" s="9"/>
      <c r="U982" s="9"/>
    </row>
    <row r="983" spans="2:21" x14ac:dyDescent="0.4">
      <c r="B983" s="16">
        <f t="shared" si="98"/>
        <v>43339</v>
      </c>
      <c r="C983" s="1">
        <f t="shared" si="99"/>
        <v>5693</v>
      </c>
      <c r="D983" s="1">
        <f t="shared" si="100"/>
        <v>1396</v>
      </c>
      <c r="E983" s="1">
        <f t="shared" si="101"/>
        <v>1960</v>
      </c>
      <c r="F983" s="1"/>
      <c r="H983" s="16"/>
      <c r="I983" s="29"/>
      <c r="J983" s="1"/>
      <c r="L983" s="11">
        <v>43339</v>
      </c>
      <c r="M983" s="9">
        <v>5693</v>
      </c>
      <c r="N983" s="9">
        <v>1396</v>
      </c>
      <c r="O983" s="9">
        <v>1960</v>
      </c>
      <c r="P983" s="9">
        <v>0</v>
      </c>
      <c r="R983" s="11"/>
      <c r="S983" s="9"/>
      <c r="T983" s="9"/>
      <c r="U983" s="9"/>
    </row>
    <row r="984" spans="2:21" x14ac:dyDescent="0.4">
      <c r="B984" s="16">
        <f t="shared" si="98"/>
        <v>43340</v>
      </c>
      <c r="C984" s="1">
        <f t="shared" si="99"/>
        <v>5717</v>
      </c>
      <c r="D984" s="1">
        <f t="shared" si="100"/>
        <v>1396</v>
      </c>
      <c r="E984" s="1">
        <f t="shared" si="101"/>
        <v>1960</v>
      </c>
      <c r="F984" s="1"/>
      <c r="H984" s="16"/>
      <c r="I984" s="29"/>
      <c r="J984" s="1"/>
      <c r="L984" s="11">
        <v>43340</v>
      </c>
      <c r="M984" s="9">
        <v>5717</v>
      </c>
      <c r="N984" s="9">
        <v>1396</v>
      </c>
      <c r="O984" s="9">
        <v>1960</v>
      </c>
      <c r="P984" s="9">
        <v>0</v>
      </c>
      <c r="R984" s="11"/>
      <c r="S984" s="9"/>
      <c r="T984" s="9"/>
      <c r="U984" s="9"/>
    </row>
    <row r="985" spans="2:21" x14ac:dyDescent="0.4">
      <c r="B985" s="16">
        <f t="shared" si="98"/>
        <v>43341</v>
      </c>
      <c r="C985" s="1">
        <f t="shared" si="99"/>
        <v>5749</v>
      </c>
      <c r="D985" s="1">
        <f t="shared" si="100"/>
        <v>1396</v>
      </c>
      <c r="E985" s="1">
        <f t="shared" si="101"/>
        <v>1960</v>
      </c>
      <c r="F985" s="1"/>
      <c r="H985" s="16"/>
      <c r="I985" s="29"/>
      <c r="J985" s="1"/>
      <c r="L985" s="11">
        <v>43341</v>
      </c>
      <c r="M985" s="9">
        <v>5749</v>
      </c>
      <c r="N985" s="9">
        <v>1396</v>
      </c>
      <c r="O985" s="9">
        <v>1960</v>
      </c>
      <c r="P985" s="9">
        <v>0</v>
      </c>
      <c r="R985" s="11"/>
      <c r="S985" s="9"/>
      <c r="T985" s="9"/>
      <c r="U985" s="9"/>
    </row>
    <row r="986" spans="2:21" x14ac:dyDescent="0.4">
      <c r="B986" s="16">
        <f t="shared" si="98"/>
        <v>43342</v>
      </c>
      <c r="C986" s="1">
        <f t="shared" si="99"/>
        <v>5764</v>
      </c>
      <c r="D986" s="1">
        <f t="shared" si="100"/>
        <v>1366</v>
      </c>
      <c r="E986" s="1">
        <f t="shared" si="101"/>
        <v>1960</v>
      </c>
      <c r="F986" s="1"/>
      <c r="H986" s="16"/>
      <c r="I986" s="29"/>
      <c r="J986" s="1"/>
      <c r="L986" s="11">
        <v>43342</v>
      </c>
      <c r="M986" s="9">
        <v>5764</v>
      </c>
      <c r="N986" s="9">
        <v>1366</v>
      </c>
      <c r="O986" s="9">
        <v>1960</v>
      </c>
      <c r="P986" s="9">
        <v>0</v>
      </c>
      <c r="R986" s="11"/>
      <c r="S986" s="9"/>
      <c r="T986" s="9"/>
      <c r="U986" s="9"/>
    </row>
    <row r="987" spans="2:21" x14ac:dyDescent="0.4">
      <c r="B987" s="16">
        <f t="shared" si="98"/>
        <v>43343</v>
      </c>
      <c r="C987" s="1">
        <f t="shared" si="99"/>
        <v>5785</v>
      </c>
      <c r="D987" s="1">
        <f t="shared" si="100"/>
        <v>1346</v>
      </c>
      <c r="E987" s="1">
        <f t="shared" si="101"/>
        <v>1965</v>
      </c>
      <c r="F987" s="1"/>
      <c r="H987" s="16"/>
      <c r="I987" s="29"/>
      <c r="J987" s="1"/>
      <c r="L987" s="11">
        <v>43343</v>
      </c>
      <c r="M987" s="9">
        <v>5785</v>
      </c>
      <c r="N987" s="9">
        <v>1346</v>
      </c>
      <c r="O987" s="9">
        <v>1965</v>
      </c>
      <c r="P987" s="9">
        <v>0</v>
      </c>
      <c r="R987" s="11"/>
      <c r="S987" s="9"/>
      <c r="T987" s="9"/>
      <c r="U987" s="9"/>
    </row>
    <row r="988" spans="2:21" x14ac:dyDescent="0.4">
      <c r="B988" s="16">
        <f t="shared" si="98"/>
        <v>43346</v>
      </c>
      <c r="C988" s="1">
        <f t="shared" si="99"/>
        <v>5796</v>
      </c>
      <c r="D988" s="1">
        <f t="shared" si="100"/>
        <v>1336</v>
      </c>
      <c r="E988" s="1">
        <f t="shared" si="101"/>
        <v>1970</v>
      </c>
      <c r="F988" s="1"/>
      <c r="H988" s="16"/>
      <c r="I988" s="29"/>
      <c r="J988" s="1"/>
      <c r="L988" s="11">
        <v>43346</v>
      </c>
      <c r="M988" s="9">
        <v>5796</v>
      </c>
      <c r="N988" s="9">
        <v>1336</v>
      </c>
      <c r="O988" s="9">
        <v>1970</v>
      </c>
      <c r="P988" s="9">
        <v>0</v>
      </c>
      <c r="R988" s="11"/>
      <c r="S988" s="9"/>
      <c r="T988" s="9"/>
      <c r="U988" s="9"/>
    </row>
    <row r="989" spans="2:21" x14ac:dyDescent="0.4">
      <c r="B989" s="16">
        <f t="shared" si="98"/>
        <v>43347</v>
      </c>
      <c r="C989" s="1">
        <f t="shared" si="99"/>
        <v>5802</v>
      </c>
      <c r="D989" s="1">
        <f t="shared" si="100"/>
        <v>1336</v>
      </c>
      <c r="E989" s="1">
        <f t="shared" si="101"/>
        <v>1980</v>
      </c>
      <c r="F989" s="1"/>
      <c r="H989" s="16"/>
      <c r="I989" s="29"/>
      <c r="J989" s="1"/>
      <c r="L989" s="11">
        <v>43347</v>
      </c>
      <c r="M989" s="9">
        <v>5802</v>
      </c>
      <c r="N989" s="9">
        <v>1336</v>
      </c>
      <c r="O989" s="9">
        <v>1980</v>
      </c>
      <c r="P989" s="9">
        <v>0</v>
      </c>
      <c r="R989" s="11"/>
      <c r="S989" s="9"/>
      <c r="T989" s="9"/>
      <c r="U989" s="9"/>
    </row>
    <row r="990" spans="2:21" x14ac:dyDescent="0.4">
      <c r="B990" s="16">
        <f t="shared" si="98"/>
        <v>43348</v>
      </c>
      <c r="C990" s="1">
        <f t="shared" si="99"/>
        <v>5801</v>
      </c>
      <c r="D990" s="1">
        <f t="shared" si="100"/>
        <v>1336</v>
      </c>
      <c r="E990" s="1">
        <f t="shared" si="101"/>
        <v>1980</v>
      </c>
      <c r="F990" s="1"/>
      <c r="H990" s="16"/>
      <c r="I990" s="29"/>
      <c r="J990" s="1"/>
      <c r="L990" s="11">
        <v>43348</v>
      </c>
      <c r="M990" s="9">
        <v>5801</v>
      </c>
      <c r="N990" s="9">
        <v>1336</v>
      </c>
      <c r="O990" s="9">
        <v>1980</v>
      </c>
      <c r="P990" s="9">
        <v>0</v>
      </c>
      <c r="R990" s="11"/>
      <c r="S990" s="9"/>
      <c r="T990" s="9"/>
      <c r="U990" s="9"/>
    </row>
    <row r="991" spans="2:21" x14ac:dyDescent="0.4">
      <c r="B991" s="16">
        <f t="shared" si="98"/>
        <v>43349</v>
      </c>
      <c r="C991" s="1">
        <f t="shared" si="99"/>
        <v>5797</v>
      </c>
      <c r="D991" s="1">
        <f t="shared" si="100"/>
        <v>1331</v>
      </c>
      <c r="E991" s="1">
        <f t="shared" si="101"/>
        <v>2000</v>
      </c>
      <c r="F991" s="1"/>
      <c r="H991" s="16"/>
      <c r="I991" s="29"/>
      <c r="J991" s="1"/>
      <c r="L991" s="11">
        <v>43349</v>
      </c>
      <c r="M991" s="9">
        <v>5797</v>
      </c>
      <c r="N991" s="9">
        <v>1331</v>
      </c>
      <c r="O991" s="9">
        <v>2000</v>
      </c>
      <c r="P991" s="9">
        <v>0</v>
      </c>
      <c r="R991" s="11"/>
      <c r="S991" s="9"/>
      <c r="T991" s="9"/>
      <c r="U991" s="9"/>
    </row>
    <row r="992" spans="2:21" x14ac:dyDescent="0.4">
      <c r="B992" s="16">
        <f t="shared" si="98"/>
        <v>43350</v>
      </c>
      <c r="C992" s="1">
        <f t="shared" si="99"/>
        <v>5800</v>
      </c>
      <c r="D992" s="1">
        <f t="shared" si="100"/>
        <v>1321</v>
      </c>
      <c r="E992" s="1">
        <f t="shared" si="101"/>
        <v>2005</v>
      </c>
      <c r="F992" s="1"/>
      <c r="H992" s="16"/>
      <c r="I992" s="29"/>
      <c r="J992" s="1"/>
      <c r="L992" s="11">
        <v>43350</v>
      </c>
      <c r="M992" s="9">
        <v>5800</v>
      </c>
      <c r="N992" s="9">
        <v>1321</v>
      </c>
      <c r="O992" s="9">
        <v>2005</v>
      </c>
      <c r="P992" s="9">
        <v>0</v>
      </c>
      <c r="R992" s="11"/>
      <c r="S992" s="9"/>
      <c r="T992" s="9"/>
      <c r="U992" s="9"/>
    </row>
    <row r="993" spans="2:21" x14ac:dyDescent="0.4">
      <c r="B993" s="16">
        <f t="shared" si="98"/>
        <v>43353</v>
      </c>
      <c r="C993" s="1">
        <f t="shared" si="99"/>
        <v>5799</v>
      </c>
      <c r="D993" s="1">
        <f t="shared" si="100"/>
        <v>1321</v>
      </c>
      <c r="E993" s="1">
        <f t="shared" si="101"/>
        <v>2010</v>
      </c>
      <c r="F993" s="1"/>
      <c r="H993" s="16"/>
      <c r="I993" s="29"/>
      <c r="J993" s="1"/>
      <c r="L993" s="11">
        <v>43353</v>
      </c>
      <c r="M993" s="9">
        <v>5799</v>
      </c>
      <c r="N993" s="9">
        <v>1321</v>
      </c>
      <c r="O993" s="9">
        <v>2010</v>
      </c>
      <c r="P993" s="9">
        <v>0</v>
      </c>
      <c r="R993" s="11"/>
      <c r="S993" s="9"/>
      <c r="T993" s="9"/>
      <c r="U993" s="9"/>
    </row>
    <row r="994" spans="2:21" x14ac:dyDescent="0.4">
      <c r="B994" s="16">
        <f t="shared" si="98"/>
        <v>43354</v>
      </c>
      <c r="C994" s="1">
        <f t="shared" si="99"/>
        <v>5794</v>
      </c>
      <c r="D994" s="1">
        <f t="shared" si="100"/>
        <v>1321</v>
      </c>
      <c r="E994" s="1">
        <f t="shared" si="101"/>
        <v>2020</v>
      </c>
      <c r="F994" s="1"/>
      <c r="H994" s="16"/>
      <c r="I994" s="29"/>
      <c r="J994" s="1"/>
      <c r="L994" s="11">
        <v>43354</v>
      </c>
      <c r="M994" s="9">
        <v>5794</v>
      </c>
      <c r="N994" s="9">
        <v>1321</v>
      </c>
      <c r="O994" s="9">
        <v>2020</v>
      </c>
      <c r="P994" s="9">
        <v>0</v>
      </c>
      <c r="R994" s="11"/>
      <c r="S994" s="9"/>
      <c r="T994" s="9"/>
      <c r="U994" s="9"/>
    </row>
    <row r="995" spans="2:21" x14ac:dyDescent="0.4">
      <c r="B995" s="16">
        <f t="shared" si="98"/>
        <v>43355</v>
      </c>
      <c r="C995" s="1">
        <f t="shared" si="99"/>
        <v>5783</v>
      </c>
      <c r="D995" s="1">
        <f t="shared" si="100"/>
        <v>1321</v>
      </c>
      <c r="E995" s="1">
        <f t="shared" si="101"/>
        <v>2035</v>
      </c>
      <c r="F995" s="1"/>
      <c r="H995" s="16"/>
      <c r="I995" s="29"/>
      <c r="J995" s="1"/>
      <c r="L995" s="11">
        <v>43355</v>
      </c>
      <c r="M995" s="9">
        <v>5783</v>
      </c>
      <c r="N995" s="9">
        <v>1321</v>
      </c>
      <c r="O995" s="9">
        <v>2035</v>
      </c>
      <c r="P995" s="9">
        <v>0</v>
      </c>
      <c r="R995" s="11"/>
      <c r="S995" s="9"/>
      <c r="T995" s="9"/>
      <c r="U995" s="9"/>
    </row>
    <row r="996" spans="2:21" x14ac:dyDescent="0.4">
      <c r="B996" s="16">
        <f t="shared" si="98"/>
        <v>43356</v>
      </c>
      <c r="C996" s="1">
        <f t="shared" si="99"/>
        <v>5790</v>
      </c>
      <c r="D996" s="1">
        <f t="shared" si="100"/>
        <v>1301</v>
      </c>
      <c r="E996" s="1">
        <f t="shared" si="101"/>
        <v>2050</v>
      </c>
      <c r="F996" s="1"/>
      <c r="H996" s="16"/>
      <c r="I996" s="29"/>
      <c r="J996" s="1"/>
      <c r="L996" s="11">
        <v>43356</v>
      </c>
      <c r="M996" s="9">
        <v>5790</v>
      </c>
      <c r="N996" s="9">
        <v>1301</v>
      </c>
      <c r="O996" s="9">
        <v>2050</v>
      </c>
      <c r="P996" s="9">
        <v>0</v>
      </c>
      <c r="R996" s="11"/>
      <c r="S996" s="9"/>
      <c r="T996" s="9"/>
      <c r="U996" s="9"/>
    </row>
    <row r="997" spans="2:21" x14ac:dyDescent="0.4">
      <c r="B997" s="16">
        <f t="shared" si="98"/>
        <v>43357</v>
      </c>
      <c r="C997" s="1">
        <f t="shared" si="99"/>
        <v>5791</v>
      </c>
      <c r="D997" s="1">
        <f t="shared" si="100"/>
        <v>1301</v>
      </c>
      <c r="E997" s="1">
        <f t="shared" si="101"/>
        <v>2050</v>
      </c>
      <c r="F997" s="1"/>
      <c r="H997" s="16"/>
      <c r="I997" s="29"/>
      <c r="J997" s="1"/>
      <c r="L997" s="11">
        <v>43357</v>
      </c>
      <c r="M997" s="9">
        <v>5791</v>
      </c>
      <c r="N997" s="9">
        <v>1301</v>
      </c>
      <c r="O997" s="9">
        <v>2050</v>
      </c>
      <c r="P997" s="9">
        <v>0</v>
      </c>
      <c r="R997" s="11"/>
      <c r="S997" s="9"/>
      <c r="T997" s="9"/>
      <c r="U997" s="9"/>
    </row>
    <row r="998" spans="2:21" x14ac:dyDescent="0.4">
      <c r="B998" s="16">
        <f t="shared" si="98"/>
        <v>43360</v>
      </c>
      <c r="C998" s="1">
        <f t="shared" si="99"/>
        <v>5773</v>
      </c>
      <c r="D998" s="1">
        <f t="shared" si="100"/>
        <v>1271</v>
      </c>
      <c r="E998" s="1">
        <f t="shared" si="101"/>
        <v>2060</v>
      </c>
      <c r="F998" s="1"/>
      <c r="H998" s="16"/>
      <c r="I998" s="29"/>
      <c r="J998" s="1"/>
      <c r="L998" s="11">
        <v>43360</v>
      </c>
      <c r="M998" s="9">
        <v>5773</v>
      </c>
      <c r="N998" s="9">
        <v>1271</v>
      </c>
      <c r="O998" s="9">
        <v>2060</v>
      </c>
      <c r="P998" s="9">
        <v>0</v>
      </c>
      <c r="R998" s="11"/>
      <c r="S998" s="9"/>
      <c r="T998" s="9"/>
      <c r="U998" s="9"/>
    </row>
    <row r="999" spans="2:21" x14ac:dyDescent="0.4">
      <c r="B999" s="16">
        <f t="shared" si="98"/>
        <v>43361</v>
      </c>
      <c r="C999" s="1">
        <f t="shared" si="99"/>
        <v>5719</v>
      </c>
      <c r="D999" s="1">
        <f t="shared" si="100"/>
        <v>1271</v>
      </c>
      <c r="E999" s="1">
        <f t="shared" si="101"/>
        <v>2065</v>
      </c>
      <c r="F999" s="1"/>
      <c r="H999" s="16"/>
      <c r="I999" s="1"/>
      <c r="J999" s="1"/>
      <c r="L999" s="11">
        <v>43361</v>
      </c>
      <c r="M999" s="9">
        <v>5719</v>
      </c>
      <c r="N999" s="9">
        <v>1271</v>
      </c>
      <c r="O999" s="9">
        <v>2065</v>
      </c>
      <c r="P999" s="9">
        <v>0</v>
      </c>
      <c r="R999" s="11"/>
      <c r="S999" s="9"/>
      <c r="T999" s="9"/>
      <c r="U999" s="9"/>
    </row>
    <row r="1000" spans="2:21" x14ac:dyDescent="0.4">
      <c r="B1000" s="16">
        <f t="shared" si="98"/>
        <v>43362</v>
      </c>
      <c r="C1000" s="1">
        <f t="shared" si="99"/>
        <v>5656</v>
      </c>
      <c r="D1000" s="1">
        <f t="shared" si="100"/>
        <v>1241</v>
      </c>
      <c r="E1000" s="1">
        <f t="shared" si="101"/>
        <v>2070</v>
      </c>
      <c r="F1000" s="1"/>
      <c r="L1000" s="11">
        <v>43362</v>
      </c>
      <c r="M1000" s="9">
        <v>5656</v>
      </c>
      <c r="N1000" s="9">
        <v>1241</v>
      </c>
      <c r="O1000" s="9">
        <v>2070</v>
      </c>
      <c r="P1000" s="9">
        <v>0</v>
      </c>
      <c r="R1000" s="11"/>
      <c r="S1000" s="9"/>
      <c r="T1000" s="9"/>
      <c r="U1000" s="9"/>
    </row>
    <row r="1001" spans="2:21" x14ac:dyDescent="0.4">
      <c r="B1001" s="16">
        <f t="shared" si="98"/>
        <v>43363</v>
      </c>
      <c r="C1001" s="1">
        <f t="shared" si="99"/>
        <v>5611</v>
      </c>
      <c r="D1001" s="1">
        <f t="shared" si="100"/>
        <v>1286</v>
      </c>
      <c r="E1001" s="1">
        <f t="shared" si="101"/>
        <v>2075</v>
      </c>
      <c r="F1001" s="1"/>
      <c r="L1001" s="11">
        <v>43363</v>
      </c>
      <c r="M1001" s="9">
        <v>5611</v>
      </c>
      <c r="N1001" s="9">
        <v>1286</v>
      </c>
      <c r="O1001" s="9">
        <v>2075</v>
      </c>
      <c r="P1001" s="9">
        <v>0</v>
      </c>
      <c r="R1001" s="11"/>
      <c r="S1001" s="9"/>
      <c r="T1001" s="9"/>
      <c r="U1001" s="9"/>
    </row>
    <row r="1002" spans="2:21" x14ac:dyDescent="0.4">
      <c r="B1002" s="16">
        <f t="shared" si="98"/>
        <v>43364</v>
      </c>
      <c r="C1002" s="1">
        <f t="shared" si="99"/>
        <v>5608</v>
      </c>
      <c r="D1002" s="1">
        <f t="shared" si="100"/>
        <v>1301</v>
      </c>
      <c r="E1002" s="1">
        <f t="shared" si="101"/>
        <v>2075</v>
      </c>
      <c r="F1002" s="1"/>
      <c r="L1002" s="11">
        <v>43364</v>
      </c>
      <c r="M1002" s="9">
        <v>5608</v>
      </c>
      <c r="N1002" s="9">
        <v>1301</v>
      </c>
      <c r="O1002" s="9">
        <v>2075</v>
      </c>
      <c r="P1002" s="9">
        <v>0</v>
      </c>
      <c r="R1002" s="11"/>
      <c r="S1002" s="9"/>
      <c r="T1002" s="9"/>
      <c r="U1002" s="9"/>
    </row>
    <row r="1003" spans="2:21" x14ac:dyDescent="0.4">
      <c r="B1003" s="16">
        <f t="shared" si="98"/>
        <v>43367</v>
      </c>
      <c r="C1003" s="1">
        <f t="shared" si="99"/>
        <v>5608</v>
      </c>
      <c r="D1003" s="1">
        <f t="shared" si="100"/>
        <v>1301</v>
      </c>
      <c r="E1003" s="1">
        <f t="shared" si="101"/>
        <v>2075</v>
      </c>
      <c r="F1003" s="1"/>
      <c r="L1003" s="11">
        <v>43367</v>
      </c>
      <c r="M1003" s="9">
        <v>0</v>
      </c>
      <c r="N1003" s="9">
        <v>1301</v>
      </c>
      <c r="O1003" s="9">
        <v>0</v>
      </c>
      <c r="P1003" s="9">
        <v>0</v>
      </c>
      <c r="R1003" s="11"/>
      <c r="S1003" s="9"/>
      <c r="T1003" s="9"/>
      <c r="U1003" s="9"/>
    </row>
    <row r="1004" spans="2:21" x14ac:dyDescent="0.4">
      <c r="B1004" s="16">
        <f t="shared" si="98"/>
        <v>43368</v>
      </c>
      <c r="C1004" s="1">
        <f t="shared" si="99"/>
        <v>5617</v>
      </c>
      <c r="D1004" s="1">
        <f t="shared" si="100"/>
        <v>1301</v>
      </c>
      <c r="E1004" s="1">
        <f t="shared" si="101"/>
        <v>2075</v>
      </c>
      <c r="F1004" s="1"/>
      <c r="L1004" s="11">
        <v>43368</v>
      </c>
      <c r="M1004" s="9">
        <v>5617</v>
      </c>
      <c r="N1004" s="9">
        <v>1301</v>
      </c>
      <c r="O1004" s="9">
        <v>2075</v>
      </c>
      <c r="P1004" s="9">
        <v>0</v>
      </c>
      <c r="R1004" s="11"/>
      <c r="S1004" s="9"/>
      <c r="T1004" s="9"/>
      <c r="U1004" s="9"/>
    </row>
    <row r="1005" spans="2:21" x14ac:dyDescent="0.4">
      <c r="B1005" s="16">
        <f t="shared" si="98"/>
        <v>43369</v>
      </c>
      <c r="C1005" s="1">
        <f t="shared" si="99"/>
        <v>5628</v>
      </c>
      <c r="D1005" s="1">
        <f t="shared" si="100"/>
        <v>1301</v>
      </c>
      <c r="E1005" s="1">
        <f t="shared" si="101"/>
        <v>2075</v>
      </c>
      <c r="F1005" s="1"/>
      <c r="L1005" s="11">
        <v>43369</v>
      </c>
      <c r="M1005" s="9">
        <v>5628</v>
      </c>
      <c r="N1005" s="9">
        <v>1301</v>
      </c>
      <c r="O1005" s="9">
        <v>2075</v>
      </c>
      <c r="P1005" s="9">
        <v>0</v>
      </c>
      <c r="R1005" s="11"/>
      <c r="S1005" s="9"/>
      <c r="T1005" s="9"/>
      <c r="U1005" s="9"/>
    </row>
    <row r="1006" spans="2:21" x14ac:dyDescent="0.4">
      <c r="B1006" s="16">
        <f t="shared" si="98"/>
        <v>43370</v>
      </c>
      <c r="C1006" s="1">
        <f t="shared" si="99"/>
        <v>5626</v>
      </c>
      <c r="D1006" s="1">
        <f t="shared" si="100"/>
        <v>1281</v>
      </c>
      <c r="E1006" s="1">
        <f t="shared" si="101"/>
        <v>2075</v>
      </c>
      <c r="F1006" s="1"/>
      <c r="L1006" s="11">
        <v>43370</v>
      </c>
      <c r="M1006" s="9">
        <v>5626</v>
      </c>
      <c r="N1006" s="9">
        <v>1281</v>
      </c>
      <c r="O1006" s="9">
        <v>2075</v>
      </c>
      <c r="P1006" s="9">
        <v>0</v>
      </c>
      <c r="R1006" s="11"/>
      <c r="S1006" s="9"/>
      <c r="T1006" s="9"/>
      <c r="U1006" s="9"/>
    </row>
    <row r="1007" spans="2:21" x14ac:dyDescent="0.4">
      <c r="B1007" s="16">
        <f t="shared" si="98"/>
        <v>43371</v>
      </c>
      <c r="C1007" s="1">
        <f t="shared" si="99"/>
        <v>5640</v>
      </c>
      <c r="D1007" s="1">
        <f t="shared" si="100"/>
        <v>1231</v>
      </c>
      <c r="E1007" s="1">
        <f t="shared" si="101"/>
        <v>2075</v>
      </c>
      <c r="F1007" s="1"/>
      <c r="L1007" s="11">
        <v>43371</v>
      </c>
      <c r="M1007" s="9">
        <v>5640</v>
      </c>
      <c r="N1007" s="9">
        <v>1231</v>
      </c>
      <c r="O1007" s="9">
        <v>2075</v>
      </c>
      <c r="P1007" s="9">
        <v>0</v>
      </c>
      <c r="R1007" s="11"/>
      <c r="S1007" s="9"/>
      <c r="T1007" s="9"/>
      <c r="U1007" s="9"/>
    </row>
    <row r="1008" spans="2:21" x14ac:dyDescent="0.4">
      <c r="B1008" s="16">
        <f t="shared" si="98"/>
        <v>43372</v>
      </c>
      <c r="C1008" s="1">
        <f t="shared" si="99"/>
        <v>5640</v>
      </c>
      <c r="D1008" s="1">
        <f t="shared" si="100"/>
        <v>1231</v>
      </c>
      <c r="E1008" s="1">
        <f t="shared" si="101"/>
        <v>2075</v>
      </c>
      <c r="F1008" s="1"/>
      <c r="L1008" s="11">
        <v>43372</v>
      </c>
      <c r="M1008" s="9">
        <v>5640</v>
      </c>
      <c r="N1008" s="9">
        <v>0</v>
      </c>
      <c r="O1008" s="9">
        <v>2075</v>
      </c>
      <c r="P1008" s="9">
        <v>0</v>
      </c>
      <c r="R1008" s="11"/>
      <c r="S1008" s="9"/>
      <c r="T1008" s="9"/>
      <c r="U1008" s="9"/>
    </row>
    <row r="1009" spans="2:21" x14ac:dyDescent="0.4">
      <c r="B1009" s="16">
        <f t="shared" si="98"/>
        <v>43373</v>
      </c>
      <c r="C1009" s="1">
        <f t="shared" si="99"/>
        <v>5644</v>
      </c>
      <c r="D1009" s="1">
        <f t="shared" si="100"/>
        <v>1231</v>
      </c>
      <c r="E1009" s="1">
        <f t="shared" si="101"/>
        <v>2075</v>
      </c>
      <c r="F1009" s="1"/>
      <c r="L1009" s="11">
        <v>43373</v>
      </c>
      <c r="M1009" s="9">
        <v>5644</v>
      </c>
      <c r="N1009" s="9">
        <v>0</v>
      </c>
      <c r="O1009" s="9">
        <v>2075</v>
      </c>
      <c r="P1009" s="9">
        <v>0</v>
      </c>
      <c r="R1009" s="11"/>
      <c r="S1009" s="9"/>
      <c r="T1009" s="9"/>
      <c r="U1009" s="9"/>
    </row>
    <row r="1010" spans="2:21" x14ac:dyDescent="0.4">
      <c r="B1010" s="16">
        <f t="shared" si="98"/>
        <v>43374</v>
      </c>
      <c r="C1010" s="1">
        <f t="shared" si="99"/>
        <v>5644</v>
      </c>
      <c r="D1010" s="1">
        <f t="shared" si="100"/>
        <v>1221</v>
      </c>
      <c r="E1010" s="1">
        <f t="shared" si="101"/>
        <v>2075</v>
      </c>
      <c r="F1010" s="1"/>
      <c r="L1010" s="11">
        <v>43374</v>
      </c>
      <c r="M1010" s="9">
        <v>0</v>
      </c>
      <c r="N1010" s="9">
        <v>1221</v>
      </c>
      <c r="O1010" s="9">
        <v>0</v>
      </c>
      <c r="P1010" s="9">
        <v>0</v>
      </c>
      <c r="R1010" s="11"/>
      <c r="S1010" s="9"/>
      <c r="T1010" s="9"/>
      <c r="U1010" s="9"/>
    </row>
    <row r="1011" spans="2:21" x14ac:dyDescent="0.4">
      <c r="B1011" s="16">
        <f t="shared" si="98"/>
        <v>43375</v>
      </c>
      <c r="C1011" s="1">
        <f t="shared" si="99"/>
        <v>5644</v>
      </c>
      <c r="D1011" s="1">
        <f t="shared" si="100"/>
        <v>1221</v>
      </c>
      <c r="E1011" s="1">
        <f t="shared" si="101"/>
        <v>2075</v>
      </c>
      <c r="F1011" s="1"/>
      <c r="L1011" s="11">
        <v>43375</v>
      </c>
      <c r="M1011" s="9">
        <v>0</v>
      </c>
      <c r="N1011" s="9">
        <v>1221</v>
      </c>
      <c r="O1011" s="9">
        <v>0</v>
      </c>
      <c r="P1011" s="9">
        <v>0</v>
      </c>
      <c r="R1011" s="11"/>
      <c r="S1011" s="9"/>
      <c r="T1011" s="9"/>
      <c r="U1011" s="9"/>
    </row>
    <row r="1012" spans="2:21" x14ac:dyDescent="0.4">
      <c r="B1012" s="16">
        <f t="shared" si="98"/>
        <v>43376</v>
      </c>
      <c r="C1012" s="1">
        <f t="shared" si="99"/>
        <v>5644</v>
      </c>
      <c r="D1012" s="1">
        <f t="shared" si="100"/>
        <v>1221</v>
      </c>
      <c r="E1012" s="1">
        <f t="shared" si="101"/>
        <v>2075</v>
      </c>
      <c r="F1012" s="1"/>
      <c r="L1012" s="11">
        <v>43376</v>
      </c>
      <c r="M1012" s="9">
        <v>0</v>
      </c>
      <c r="N1012" s="9">
        <v>1221</v>
      </c>
      <c r="O1012" s="9">
        <v>0</v>
      </c>
      <c r="P1012" s="9">
        <v>0</v>
      </c>
      <c r="R1012" s="11"/>
      <c r="S1012" s="9"/>
      <c r="T1012" s="9"/>
      <c r="U1012" s="9"/>
    </row>
    <row r="1013" spans="2:21" x14ac:dyDescent="0.4">
      <c r="B1013" s="16">
        <f t="shared" si="98"/>
        <v>43377</v>
      </c>
      <c r="C1013" s="1">
        <f t="shared" si="99"/>
        <v>5644</v>
      </c>
      <c r="D1013" s="1">
        <f t="shared" si="100"/>
        <v>1201</v>
      </c>
      <c r="E1013" s="1">
        <f t="shared" si="101"/>
        <v>2075</v>
      </c>
      <c r="F1013" s="1"/>
      <c r="L1013" s="11">
        <v>43377</v>
      </c>
      <c r="M1013" s="9">
        <v>0</v>
      </c>
      <c r="N1013" s="9">
        <v>1201</v>
      </c>
      <c r="O1013" s="9">
        <v>0</v>
      </c>
      <c r="P1013" s="9">
        <v>0</v>
      </c>
      <c r="R1013" s="11"/>
      <c r="S1013" s="9"/>
      <c r="T1013" s="9"/>
      <c r="U1013" s="9"/>
    </row>
    <row r="1014" spans="2:21" x14ac:dyDescent="0.4">
      <c r="B1014" s="16">
        <f t="shared" si="98"/>
        <v>43378</v>
      </c>
      <c r="C1014" s="1">
        <f t="shared" si="99"/>
        <v>5644</v>
      </c>
      <c r="D1014" s="1">
        <f t="shared" si="100"/>
        <v>1181</v>
      </c>
      <c r="E1014" s="1">
        <f t="shared" si="101"/>
        <v>2075</v>
      </c>
      <c r="F1014" s="1"/>
      <c r="L1014" s="11">
        <v>43378</v>
      </c>
      <c r="M1014" s="9">
        <v>0</v>
      </c>
      <c r="N1014" s="9">
        <v>1181</v>
      </c>
      <c r="O1014" s="9">
        <v>0</v>
      </c>
      <c r="P1014" s="9">
        <v>0</v>
      </c>
      <c r="R1014" s="11"/>
      <c r="S1014" s="9"/>
      <c r="T1014" s="9"/>
      <c r="U1014" s="9"/>
    </row>
    <row r="1015" spans="2:21" x14ac:dyDescent="0.4">
      <c r="B1015" s="16">
        <f t="shared" si="98"/>
        <v>43381</v>
      </c>
      <c r="C1015" s="1">
        <f t="shared" si="99"/>
        <v>5676</v>
      </c>
      <c r="D1015" s="1">
        <f t="shared" si="100"/>
        <v>1181</v>
      </c>
      <c r="E1015" s="1">
        <f t="shared" si="101"/>
        <v>2115</v>
      </c>
      <c r="F1015" s="1"/>
      <c r="L1015" s="11">
        <v>43381</v>
      </c>
      <c r="M1015" s="9">
        <v>5676</v>
      </c>
      <c r="N1015" s="9">
        <v>1181</v>
      </c>
      <c r="O1015" s="9">
        <v>2115</v>
      </c>
      <c r="P1015" s="9">
        <v>0</v>
      </c>
      <c r="R1015" s="11"/>
      <c r="S1015" s="9"/>
      <c r="T1015" s="9"/>
      <c r="U1015" s="9"/>
    </row>
    <row r="1016" spans="2:21" x14ac:dyDescent="0.4">
      <c r="B1016" s="16">
        <f t="shared" si="98"/>
        <v>43382</v>
      </c>
      <c r="C1016" s="1">
        <f t="shared" si="99"/>
        <v>5715</v>
      </c>
      <c r="D1016" s="1">
        <f t="shared" si="100"/>
        <v>1161</v>
      </c>
      <c r="E1016" s="1">
        <f t="shared" si="101"/>
        <v>2205</v>
      </c>
      <c r="F1016" s="1"/>
      <c r="L1016" s="11">
        <v>43382</v>
      </c>
      <c r="M1016" s="9">
        <v>5715</v>
      </c>
      <c r="N1016" s="9">
        <v>1161</v>
      </c>
      <c r="O1016" s="9">
        <v>2205</v>
      </c>
      <c r="P1016" s="9">
        <v>0</v>
      </c>
      <c r="R1016" s="11"/>
      <c r="S1016" s="9"/>
      <c r="T1016" s="9"/>
      <c r="U1016" s="9"/>
    </row>
    <row r="1017" spans="2:21" x14ac:dyDescent="0.4">
      <c r="B1017" s="16">
        <f t="shared" si="98"/>
        <v>43383</v>
      </c>
      <c r="C1017" s="1">
        <f t="shared" si="99"/>
        <v>5739</v>
      </c>
      <c r="D1017" s="1">
        <f t="shared" si="100"/>
        <v>1161</v>
      </c>
      <c r="E1017" s="1">
        <f t="shared" si="101"/>
        <v>2215</v>
      </c>
      <c r="F1017" s="1"/>
      <c r="L1017" s="11">
        <v>43383</v>
      </c>
      <c r="M1017" s="9">
        <v>5739</v>
      </c>
      <c r="N1017" s="9">
        <v>1161</v>
      </c>
      <c r="O1017" s="9">
        <v>2215</v>
      </c>
      <c r="P1017" s="9">
        <v>0</v>
      </c>
      <c r="R1017" s="11"/>
      <c r="S1017" s="9"/>
      <c r="T1017" s="9"/>
      <c r="U1017" s="9"/>
    </row>
    <row r="1018" spans="2:21" x14ac:dyDescent="0.4">
      <c r="B1018" s="16">
        <f t="shared" si="98"/>
        <v>43384</v>
      </c>
      <c r="C1018" s="1">
        <f t="shared" si="99"/>
        <v>5736</v>
      </c>
      <c r="D1018" s="1">
        <f t="shared" si="100"/>
        <v>1141</v>
      </c>
      <c r="E1018" s="1">
        <f t="shared" si="101"/>
        <v>2215</v>
      </c>
      <c r="F1018" s="1"/>
      <c r="L1018" s="11">
        <v>43384</v>
      </c>
      <c r="M1018" s="9">
        <v>5736</v>
      </c>
      <c r="N1018" s="9">
        <v>1141</v>
      </c>
      <c r="O1018" s="9">
        <v>2215</v>
      </c>
      <c r="P1018" s="9">
        <v>0</v>
      </c>
      <c r="R1018" s="11"/>
      <c r="S1018" s="9"/>
      <c r="T1018" s="9"/>
      <c r="U1018" s="9"/>
    </row>
    <row r="1019" spans="2:21" x14ac:dyDescent="0.4">
      <c r="B1019" s="16">
        <f t="shared" si="98"/>
        <v>43385</v>
      </c>
      <c r="C1019" s="1">
        <f t="shared" si="99"/>
        <v>5727</v>
      </c>
      <c r="D1019" s="1">
        <f t="shared" si="100"/>
        <v>1121</v>
      </c>
      <c r="E1019" s="1">
        <f t="shared" si="101"/>
        <v>2210</v>
      </c>
      <c r="F1019" s="1"/>
      <c r="L1019" s="11">
        <v>43385</v>
      </c>
      <c r="M1019" s="9">
        <v>5727</v>
      </c>
      <c r="N1019" s="9">
        <v>1121</v>
      </c>
      <c r="O1019" s="9">
        <v>2210</v>
      </c>
      <c r="P1019" s="9">
        <v>0</v>
      </c>
      <c r="R1019" s="11"/>
      <c r="S1019" s="9"/>
      <c r="T1019" s="9"/>
      <c r="U1019" s="9"/>
    </row>
    <row r="1020" spans="2:21" x14ac:dyDescent="0.4">
      <c r="B1020" s="16">
        <f t="shared" si="98"/>
        <v>43388</v>
      </c>
      <c r="C1020" s="1">
        <f t="shared" si="99"/>
        <v>5720</v>
      </c>
      <c r="D1020" s="1">
        <f t="shared" si="100"/>
        <v>1121</v>
      </c>
      <c r="E1020" s="1">
        <f t="shared" si="101"/>
        <v>2195</v>
      </c>
      <c r="F1020" s="1"/>
      <c r="L1020" s="11">
        <v>43388</v>
      </c>
      <c r="M1020" s="9">
        <v>5720</v>
      </c>
      <c r="N1020" s="9">
        <v>1121</v>
      </c>
      <c r="O1020" s="9">
        <v>2195</v>
      </c>
      <c r="P1020" s="9">
        <v>0</v>
      </c>
      <c r="R1020" s="11"/>
      <c r="S1020" s="9"/>
      <c r="T1020" s="9"/>
      <c r="U1020" s="9"/>
    </row>
    <row r="1021" spans="2:21" x14ac:dyDescent="0.4">
      <c r="B1021" s="16">
        <f t="shared" si="98"/>
        <v>43389</v>
      </c>
      <c r="C1021" s="1">
        <f t="shared" si="99"/>
        <v>5687</v>
      </c>
      <c r="D1021" s="1">
        <f t="shared" si="100"/>
        <v>1101</v>
      </c>
      <c r="E1021" s="1">
        <f t="shared" si="101"/>
        <v>2190</v>
      </c>
      <c r="F1021" s="1"/>
      <c r="L1021" s="11">
        <v>43389</v>
      </c>
      <c r="M1021" s="9">
        <v>5687</v>
      </c>
      <c r="N1021" s="9">
        <v>1101</v>
      </c>
      <c r="O1021" s="9">
        <v>2190</v>
      </c>
      <c r="P1021" s="9">
        <v>0</v>
      </c>
      <c r="R1021" s="11"/>
      <c r="S1021" s="9"/>
      <c r="T1021" s="9"/>
      <c r="U1021" s="9"/>
    </row>
    <row r="1022" spans="2:21" x14ac:dyDescent="0.4">
      <c r="B1022" s="16">
        <f t="shared" si="98"/>
        <v>43390</v>
      </c>
      <c r="C1022" s="1">
        <f t="shared" si="99"/>
        <v>5657</v>
      </c>
      <c r="D1022" s="1">
        <f t="shared" si="100"/>
        <v>1101</v>
      </c>
      <c r="E1022" s="1">
        <f t="shared" si="101"/>
        <v>2190</v>
      </c>
      <c r="F1022" s="1"/>
      <c r="L1022" s="11">
        <v>43390</v>
      </c>
      <c r="M1022" s="9">
        <v>5657</v>
      </c>
      <c r="N1022" s="9">
        <v>1101</v>
      </c>
      <c r="O1022" s="9">
        <v>2190</v>
      </c>
      <c r="P1022" s="9">
        <v>0</v>
      </c>
      <c r="R1022" s="11"/>
      <c r="S1022" s="9"/>
      <c r="T1022" s="9"/>
      <c r="U1022" s="9"/>
    </row>
    <row r="1023" spans="2:21" x14ac:dyDescent="0.4">
      <c r="B1023" s="16">
        <f t="shared" si="98"/>
        <v>43391</v>
      </c>
      <c r="C1023" s="1">
        <f t="shared" si="99"/>
        <v>5630</v>
      </c>
      <c r="D1023" s="1">
        <f t="shared" si="100"/>
        <v>1101</v>
      </c>
      <c r="E1023" s="1">
        <f t="shared" si="101"/>
        <v>2190</v>
      </c>
      <c r="F1023" s="1"/>
      <c r="L1023" s="11">
        <v>43391</v>
      </c>
      <c r="M1023" s="9">
        <v>5630</v>
      </c>
      <c r="N1023" s="9">
        <v>1101</v>
      </c>
      <c r="O1023" s="9">
        <v>2190</v>
      </c>
      <c r="P1023" s="9">
        <v>0</v>
      </c>
      <c r="R1023" s="11"/>
      <c r="S1023" s="9"/>
      <c r="T1023" s="9"/>
      <c r="U1023" s="9"/>
    </row>
    <row r="1024" spans="2:21" x14ac:dyDescent="0.4">
      <c r="B1024" s="16">
        <f t="shared" si="98"/>
        <v>43392</v>
      </c>
      <c r="C1024" s="1">
        <f t="shared" si="99"/>
        <v>5596</v>
      </c>
      <c r="D1024" s="1">
        <f t="shared" si="100"/>
        <v>1091</v>
      </c>
      <c r="E1024" s="1">
        <f t="shared" si="101"/>
        <v>2185</v>
      </c>
      <c r="F1024" s="1"/>
      <c r="L1024" s="11">
        <v>43392</v>
      </c>
      <c r="M1024" s="9">
        <v>5596</v>
      </c>
      <c r="N1024" s="9">
        <v>1091</v>
      </c>
      <c r="O1024" s="9">
        <v>2185</v>
      </c>
      <c r="P1024" s="9">
        <v>0</v>
      </c>
      <c r="R1024" s="11"/>
      <c r="S1024" s="9"/>
      <c r="T1024" s="9"/>
      <c r="U1024" s="9"/>
    </row>
    <row r="1025" spans="2:21" x14ac:dyDescent="0.4">
      <c r="B1025" s="16">
        <f t="shared" si="98"/>
        <v>43395</v>
      </c>
      <c r="C1025" s="1">
        <f t="shared" si="99"/>
        <v>5579</v>
      </c>
      <c r="D1025" s="1">
        <f t="shared" si="100"/>
        <v>1071</v>
      </c>
      <c r="E1025" s="1">
        <f t="shared" si="101"/>
        <v>2185</v>
      </c>
      <c r="F1025" s="1"/>
      <c r="L1025" s="11">
        <v>43395</v>
      </c>
      <c r="M1025" s="9">
        <v>5579</v>
      </c>
      <c r="N1025" s="9">
        <v>1071</v>
      </c>
      <c r="O1025" s="9">
        <v>2185</v>
      </c>
      <c r="P1025" s="9">
        <v>0</v>
      </c>
      <c r="R1025" s="11"/>
      <c r="S1025" s="9"/>
      <c r="T1025" s="9"/>
      <c r="U1025" s="9"/>
    </row>
    <row r="1026" spans="2:21" x14ac:dyDescent="0.4">
      <c r="B1026" s="16">
        <f t="shared" si="98"/>
        <v>43396</v>
      </c>
      <c r="C1026" s="1">
        <f t="shared" si="99"/>
        <v>5565</v>
      </c>
      <c r="D1026" s="1">
        <f t="shared" si="100"/>
        <v>1071</v>
      </c>
      <c r="E1026" s="1">
        <f t="shared" si="101"/>
        <v>2200</v>
      </c>
      <c r="F1026" s="1"/>
      <c r="L1026" s="11">
        <v>43396</v>
      </c>
      <c r="M1026" s="9">
        <v>5565</v>
      </c>
      <c r="N1026" s="9">
        <v>1071</v>
      </c>
      <c r="O1026" s="9">
        <v>2200</v>
      </c>
      <c r="P1026" s="9">
        <v>0</v>
      </c>
      <c r="R1026" s="11"/>
      <c r="S1026" s="9"/>
      <c r="T1026" s="9"/>
      <c r="U1026" s="9"/>
    </row>
    <row r="1027" spans="2:21" x14ac:dyDescent="0.4">
      <c r="B1027" s="16">
        <f t="shared" si="98"/>
        <v>43397</v>
      </c>
      <c r="C1027" s="1">
        <f t="shared" si="99"/>
        <v>5543</v>
      </c>
      <c r="D1027" s="1">
        <f t="shared" si="100"/>
        <v>1071</v>
      </c>
      <c r="E1027" s="1">
        <f t="shared" si="101"/>
        <v>2200</v>
      </c>
      <c r="F1027" s="1"/>
      <c r="L1027" s="11">
        <v>43397</v>
      </c>
      <c r="M1027" s="9">
        <v>5543</v>
      </c>
      <c r="N1027" s="9">
        <v>1071</v>
      </c>
      <c r="O1027" s="9">
        <v>2200</v>
      </c>
      <c r="P1027" s="9">
        <v>0</v>
      </c>
      <c r="R1027" s="11"/>
      <c r="S1027" s="9"/>
      <c r="T1027" s="9"/>
      <c r="U1027" s="9"/>
    </row>
    <row r="1028" spans="2:21" x14ac:dyDescent="0.4">
      <c r="B1028" s="16">
        <f t="shared" si="98"/>
        <v>43398</v>
      </c>
      <c r="C1028" s="1">
        <f t="shared" si="99"/>
        <v>5495</v>
      </c>
      <c r="D1028" s="1">
        <f t="shared" si="100"/>
        <v>1031</v>
      </c>
      <c r="E1028" s="1">
        <f t="shared" si="101"/>
        <v>2190</v>
      </c>
      <c r="F1028" s="1"/>
      <c r="L1028" s="11">
        <v>43398</v>
      </c>
      <c r="M1028" s="9">
        <v>5495</v>
      </c>
      <c r="N1028" s="9">
        <v>1031</v>
      </c>
      <c r="O1028" s="9">
        <v>2190</v>
      </c>
      <c r="P1028" s="9">
        <v>0</v>
      </c>
      <c r="R1028" s="11"/>
      <c r="S1028" s="9"/>
      <c r="T1028" s="9"/>
      <c r="U1028" s="9"/>
    </row>
    <row r="1029" spans="2:21" x14ac:dyDescent="0.4">
      <c r="B1029" s="16">
        <f t="shared" si="98"/>
        <v>43399</v>
      </c>
      <c r="C1029" s="1">
        <f t="shared" si="99"/>
        <v>5483</v>
      </c>
      <c r="D1029" s="1">
        <f t="shared" si="100"/>
        <v>991</v>
      </c>
      <c r="E1029" s="1">
        <f t="shared" si="101"/>
        <v>2180</v>
      </c>
      <c r="F1029" s="1"/>
      <c r="L1029" s="11">
        <v>43399</v>
      </c>
      <c r="M1029" s="9">
        <v>5483</v>
      </c>
      <c r="N1029" s="9">
        <v>991</v>
      </c>
      <c r="O1029" s="9">
        <v>2180</v>
      </c>
      <c r="P1029" s="9">
        <v>0</v>
      </c>
      <c r="R1029" s="11"/>
      <c r="S1029" s="9"/>
      <c r="T1029" s="9"/>
      <c r="U1029" s="9"/>
    </row>
    <row r="1030" spans="2:21" x14ac:dyDescent="0.4">
      <c r="B1030" s="16">
        <f t="shared" ref="B1030:B1093" si="102">L1030</f>
        <v>43402</v>
      </c>
      <c r="C1030" s="1">
        <f t="shared" si="99"/>
        <v>5432</v>
      </c>
      <c r="D1030" s="1">
        <f t="shared" si="100"/>
        <v>991</v>
      </c>
      <c r="E1030" s="1">
        <f t="shared" si="101"/>
        <v>2170</v>
      </c>
      <c r="F1030" s="1"/>
      <c r="L1030" s="11">
        <v>43402</v>
      </c>
      <c r="M1030" s="9">
        <v>5432</v>
      </c>
      <c r="N1030" s="9">
        <v>991</v>
      </c>
      <c r="O1030" s="9">
        <v>2170</v>
      </c>
      <c r="P1030" s="9">
        <v>0</v>
      </c>
      <c r="R1030" s="11"/>
      <c r="S1030" s="9"/>
      <c r="T1030" s="9"/>
      <c r="U1030" s="9"/>
    </row>
    <row r="1031" spans="2:21" x14ac:dyDescent="0.4">
      <c r="B1031" s="16">
        <f t="shared" si="102"/>
        <v>43403</v>
      </c>
      <c r="C1031" s="1">
        <f t="shared" ref="C1031:C1094" si="103">IF(M1031&lt;&gt;0,M1031,C1030)</f>
        <v>5437</v>
      </c>
      <c r="D1031" s="1">
        <f t="shared" ref="D1031:D1094" si="104">IF(N1031&lt;&gt;0,N1031,D1030)</f>
        <v>931</v>
      </c>
      <c r="E1031" s="1">
        <f t="shared" ref="E1031:E1094" si="105">IF(O1031&lt;&gt;0,O1031,E1030)</f>
        <v>2165</v>
      </c>
      <c r="F1031" s="1"/>
      <c r="L1031" s="11">
        <v>43403</v>
      </c>
      <c r="M1031" s="9">
        <v>5437</v>
      </c>
      <c r="N1031" s="9">
        <v>931</v>
      </c>
      <c r="O1031" s="9">
        <v>2165</v>
      </c>
      <c r="P1031" s="9">
        <v>0</v>
      </c>
      <c r="R1031" s="11"/>
      <c r="S1031" s="9"/>
      <c r="T1031" s="9"/>
      <c r="U1031" s="9"/>
    </row>
    <row r="1032" spans="2:21" x14ac:dyDescent="0.4">
      <c r="B1032" s="16">
        <f t="shared" si="102"/>
        <v>43404</v>
      </c>
      <c r="C1032" s="1">
        <f t="shared" si="103"/>
        <v>5431</v>
      </c>
      <c r="D1032" s="1">
        <f t="shared" si="104"/>
        <v>931</v>
      </c>
      <c r="E1032" s="1">
        <f t="shared" si="105"/>
        <v>2165</v>
      </c>
      <c r="F1032" s="1"/>
      <c r="L1032" s="11">
        <v>43404</v>
      </c>
      <c r="M1032" s="9">
        <v>5431</v>
      </c>
      <c r="N1032" s="9">
        <v>931</v>
      </c>
      <c r="O1032" s="9">
        <v>2165</v>
      </c>
      <c r="P1032" s="9">
        <v>0</v>
      </c>
      <c r="R1032" s="11"/>
      <c r="S1032" s="9"/>
      <c r="T1032" s="9"/>
      <c r="U1032" s="9"/>
    </row>
    <row r="1033" spans="2:21" x14ac:dyDescent="0.4">
      <c r="B1033" s="16">
        <f t="shared" si="102"/>
        <v>43405</v>
      </c>
      <c r="C1033" s="1">
        <f t="shared" si="103"/>
        <v>5392</v>
      </c>
      <c r="D1033" s="1">
        <f t="shared" si="104"/>
        <v>921</v>
      </c>
      <c r="E1033" s="1">
        <f t="shared" si="105"/>
        <v>2165</v>
      </c>
      <c r="F1033" s="1"/>
      <c r="L1033" s="11">
        <v>43405</v>
      </c>
      <c r="M1033" s="9">
        <v>5392</v>
      </c>
      <c r="N1033" s="9">
        <v>921</v>
      </c>
      <c r="O1033" s="9">
        <v>2165</v>
      </c>
      <c r="P1033" s="9">
        <v>0</v>
      </c>
      <c r="R1033" s="11"/>
      <c r="S1033" s="9"/>
      <c r="T1033" s="9"/>
      <c r="U1033" s="9"/>
    </row>
    <row r="1034" spans="2:21" x14ac:dyDescent="0.4">
      <c r="B1034" s="16">
        <f t="shared" si="102"/>
        <v>43406</v>
      </c>
      <c r="C1034" s="1">
        <f t="shared" si="103"/>
        <v>5360</v>
      </c>
      <c r="D1034" s="1">
        <f t="shared" si="104"/>
        <v>921</v>
      </c>
      <c r="E1034" s="1">
        <f t="shared" si="105"/>
        <v>2165</v>
      </c>
      <c r="F1034" s="1"/>
      <c r="L1034" s="11">
        <v>43406</v>
      </c>
      <c r="M1034" s="9">
        <v>5360</v>
      </c>
      <c r="N1034" s="9">
        <v>921</v>
      </c>
      <c r="O1034" s="9">
        <v>2165</v>
      </c>
      <c r="P1034" s="9">
        <v>0</v>
      </c>
      <c r="R1034" s="11"/>
      <c r="S1034" s="9"/>
      <c r="T1034" s="9"/>
      <c r="U1034" s="9"/>
    </row>
    <row r="1035" spans="2:21" x14ac:dyDescent="0.4">
      <c r="B1035" s="16">
        <f t="shared" si="102"/>
        <v>43409</v>
      </c>
      <c r="C1035" s="1">
        <f t="shared" si="103"/>
        <v>5339</v>
      </c>
      <c r="D1035" s="1">
        <f t="shared" si="104"/>
        <v>921</v>
      </c>
      <c r="E1035" s="1">
        <f t="shared" si="105"/>
        <v>2160</v>
      </c>
      <c r="F1035" s="1"/>
      <c r="L1035" s="11">
        <v>43409</v>
      </c>
      <c r="M1035" s="9">
        <v>5339</v>
      </c>
      <c r="N1035" s="9">
        <v>921</v>
      </c>
      <c r="O1035" s="9">
        <v>2160</v>
      </c>
      <c r="P1035" s="9">
        <v>0</v>
      </c>
      <c r="R1035" s="11"/>
      <c r="S1035" s="9"/>
      <c r="T1035" s="9"/>
      <c r="U1035" s="9"/>
    </row>
    <row r="1036" spans="2:21" x14ac:dyDescent="0.4">
      <c r="B1036" s="16">
        <f t="shared" si="102"/>
        <v>43410</v>
      </c>
      <c r="C1036" s="1">
        <f t="shared" si="103"/>
        <v>5309</v>
      </c>
      <c r="D1036" s="1">
        <f t="shared" si="104"/>
        <v>921</v>
      </c>
      <c r="E1036" s="1">
        <f t="shared" si="105"/>
        <v>2150</v>
      </c>
      <c r="F1036" s="1"/>
      <c r="L1036" s="11">
        <v>43410</v>
      </c>
      <c r="M1036" s="9">
        <v>5309</v>
      </c>
      <c r="N1036" s="9">
        <v>921</v>
      </c>
      <c r="O1036" s="9">
        <v>2150</v>
      </c>
      <c r="P1036" s="9">
        <v>0</v>
      </c>
      <c r="R1036" s="11"/>
      <c r="S1036" s="9"/>
      <c r="T1036" s="9"/>
      <c r="U1036" s="9"/>
    </row>
    <row r="1037" spans="2:21" x14ac:dyDescent="0.4">
      <c r="B1037" s="16">
        <f t="shared" si="102"/>
        <v>43411</v>
      </c>
      <c r="C1037" s="1">
        <f t="shared" si="103"/>
        <v>5238</v>
      </c>
      <c r="D1037" s="1">
        <f t="shared" si="104"/>
        <v>921</v>
      </c>
      <c r="E1037" s="1">
        <f t="shared" si="105"/>
        <v>2140</v>
      </c>
      <c r="F1037" s="1"/>
      <c r="L1037" s="11">
        <v>43411</v>
      </c>
      <c r="M1037" s="9">
        <v>5238</v>
      </c>
      <c r="N1037" s="9">
        <v>921</v>
      </c>
      <c r="O1037" s="9">
        <v>2140</v>
      </c>
      <c r="P1037" s="9">
        <v>0</v>
      </c>
      <c r="R1037" s="11"/>
      <c r="S1037" s="9"/>
      <c r="T1037" s="9"/>
      <c r="U1037" s="9"/>
    </row>
    <row r="1038" spans="2:21" x14ac:dyDescent="0.4">
      <c r="B1038" s="16">
        <f t="shared" si="102"/>
        <v>43412</v>
      </c>
      <c r="C1038" s="1">
        <f t="shared" si="103"/>
        <v>5215</v>
      </c>
      <c r="D1038" s="1">
        <f t="shared" si="104"/>
        <v>921</v>
      </c>
      <c r="E1038" s="1">
        <f t="shared" si="105"/>
        <v>2140</v>
      </c>
      <c r="F1038" s="1"/>
      <c r="L1038" s="11">
        <v>43412</v>
      </c>
      <c r="M1038" s="9">
        <v>5215</v>
      </c>
      <c r="N1038" s="9">
        <v>921</v>
      </c>
      <c r="O1038" s="9">
        <v>2140</v>
      </c>
      <c r="P1038" s="9">
        <v>0</v>
      </c>
      <c r="R1038" s="11"/>
      <c r="S1038" s="9"/>
      <c r="T1038" s="9"/>
      <c r="U1038" s="9"/>
    </row>
    <row r="1039" spans="2:21" x14ac:dyDescent="0.4">
      <c r="B1039" s="16">
        <f t="shared" si="102"/>
        <v>43413</v>
      </c>
      <c r="C1039" s="1">
        <f t="shared" si="103"/>
        <v>5159</v>
      </c>
      <c r="D1039" s="1">
        <f t="shared" si="104"/>
        <v>941</v>
      </c>
      <c r="E1039" s="1">
        <f t="shared" si="105"/>
        <v>2140</v>
      </c>
      <c r="F1039" s="1"/>
      <c r="L1039" s="11">
        <v>43413</v>
      </c>
      <c r="M1039" s="9">
        <v>5159</v>
      </c>
      <c r="N1039" s="9">
        <v>941</v>
      </c>
      <c r="O1039" s="9">
        <v>2140</v>
      </c>
      <c r="P1039" s="9">
        <v>0</v>
      </c>
      <c r="R1039" s="11"/>
      <c r="S1039" s="9"/>
      <c r="T1039" s="9"/>
      <c r="U1039" s="9"/>
    </row>
    <row r="1040" spans="2:21" x14ac:dyDescent="0.4">
      <c r="B1040" s="16">
        <f t="shared" si="102"/>
        <v>43416</v>
      </c>
      <c r="C1040" s="1">
        <f t="shared" si="103"/>
        <v>5128</v>
      </c>
      <c r="D1040" s="1">
        <f t="shared" si="104"/>
        <v>941</v>
      </c>
      <c r="E1040" s="1">
        <f t="shared" si="105"/>
        <v>2130</v>
      </c>
      <c r="F1040" s="1"/>
      <c r="L1040" s="11">
        <v>43416</v>
      </c>
      <c r="M1040" s="9">
        <v>5128</v>
      </c>
      <c r="N1040" s="9">
        <v>941</v>
      </c>
      <c r="O1040" s="9">
        <v>2130</v>
      </c>
      <c r="P1040" s="9">
        <v>0</v>
      </c>
      <c r="R1040" s="11"/>
      <c r="S1040" s="9"/>
      <c r="T1040" s="9"/>
      <c r="U1040" s="9"/>
    </row>
    <row r="1041" spans="2:21" x14ac:dyDescent="0.4">
      <c r="B1041" s="16">
        <f t="shared" si="102"/>
        <v>43417</v>
      </c>
      <c r="C1041" s="1">
        <f t="shared" si="103"/>
        <v>5096</v>
      </c>
      <c r="D1041" s="1">
        <f t="shared" si="104"/>
        <v>951</v>
      </c>
      <c r="E1041" s="1">
        <f t="shared" si="105"/>
        <v>2120</v>
      </c>
      <c r="F1041" s="1"/>
      <c r="L1041" s="11">
        <v>43417</v>
      </c>
      <c r="M1041" s="9">
        <v>5096</v>
      </c>
      <c r="N1041" s="9">
        <v>951</v>
      </c>
      <c r="O1041" s="9">
        <v>2120</v>
      </c>
      <c r="P1041" s="9">
        <v>0</v>
      </c>
      <c r="R1041" s="11"/>
      <c r="S1041" s="9"/>
      <c r="T1041" s="9"/>
      <c r="U1041" s="9"/>
    </row>
    <row r="1042" spans="2:21" x14ac:dyDescent="0.4">
      <c r="B1042" s="16">
        <f t="shared" si="102"/>
        <v>43418</v>
      </c>
      <c r="C1042" s="1">
        <f t="shared" si="103"/>
        <v>5031</v>
      </c>
      <c r="D1042" s="1">
        <f t="shared" si="104"/>
        <v>971</v>
      </c>
      <c r="E1042" s="1">
        <f t="shared" si="105"/>
        <v>2120</v>
      </c>
      <c r="F1042" s="1"/>
      <c r="L1042" s="11">
        <v>43418</v>
      </c>
      <c r="M1042" s="9">
        <v>5031</v>
      </c>
      <c r="N1042" s="9">
        <v>971</v>
      </c>
      <c r="O1042" s="9">
        <v>2120</v>
      </c>
      <c r="P1042" s="9">
        <v>0</v>
      </c>
      <c r="R1042" s="11"/>
      <c r="S1042" s="9"/>
      <c r="T1042" s="9"/>
      <c r="U1042" s="9"/>
    </row>
    <row r="1043" spans="2:21" x14ac:dyDescent="0.4">
      <c r="B1043" s="16">
        <f t="shared" si="102"/>
        <v>43419</v>
      </c>
      <c r="C1043" s="1">
        <f t="shared" si="103"/>
        <v>5014</v>
      </c>
      <c r="D1043" s="1">
        <f t="shared" si="104"/>
        <v>1001</v>
      </c>
      <c r="E1043" s="1">
        <f t="shared" si="105"/>
        <v>2120</v>
      </c>
      <c r="F1043" s="1"/>
      <c r="L1043" s="11">
        <v>43419</v>
      </c>
      <c r="M1043" s="9">
        <v>5014</v>
      </c>
      <c r="N1043" s="9">
        <v>1001</v>
      </c>
      <c r="O1043" s="9">
        <v>2120</v>
      </c>
      <c r="P1043" s="9">
        <v>0</v>
      </c>
      <c r="R1043" s="11"/>
      <c r="S1043" s="9"/>
      <c r="T1043" s="9"/>
      <c r="U1043" s="9"/>
    </row>
    <row r="1044" spans="2:21" x14ac:dyDescent="0.4">
      <c r="B1044" s="16">
        <f t="shared" si="102"/>
        <v>43420</v>
      </c>
      <c r="C1044" s="1">
        <f t="shared" si="103"/>
        <v>5016</v>
      </c>
      <c r="D1044" s="1">
        <f t="shared" si="104"/>
        <v>1031</v>
      </c>
      <c r="E1044" s="1">
        <f t="shared" si="105"/>
        <v>2120</v>
      </c>
      <c r="F1044" s="1"/>
      <c r="L1044" s="11">
        <v>43420</v>
      </c>
      <c r="M1044" s="9">
        <v>5016</v>
      </c>
      <c r="N1044" s="9">
        <v>1031</v>
      </c>
      <c r="O1044" s="9">
        <v>2120</v>
      </c>
      <c r="P1044" s="9">
        <v>0</v>
      </c>
      <c r="R1044" s="11"/>
      <c r="S1044" s="9"/>
      <c r="T1044" s="9"/>
      <c r="U1044" s="9"/>
    </row>
    <row r="1045" spans="2:21" x14ac:dyDescent="0.4">
      <c r="B1045" s="16">
        <f t="shared" si="102"/>
        <v>43423</v>
      </c>
      <c r="C1045" s="1">
        <f t="shared" si="103"/>
        <v>5009</v>
      </c>
      <c r="D1045" s="1">
        <f t="shared" si="104"/>
        <v>1041</v>
      </c>
      <c r="E1045" s="1">
        <f t="shared" si="105"/>
        <v>2100</v>
      </c>
      <c r="F1045" s="1"/>
      <c r="L1045" s="11">
        <v>43423</v>
      </c>
      <c r="M1045" s="9">
        <v>5009</v>
      </c>
      <c r="N1045" s="9">
        <v>1041</v>
      </c>
      <c r="O1045" s="9">
        <v>2100</v>
      </c>
      <c r="P1045" s="9">
        <v>0</v>
      </c>
      <c r="R1045" s="11"/>
      <c r="S1045" s="9"/>
      <c r="T1045" s="9"/>
      <c r="U1045" s="9"/>
    </row>
    <row r="1046" spans="2:21" x14ac:dyDescent="0.4">
      <c r="B1046" s="16">
        <f t="shared" si="102"/>
        <v>43424</v>
      </c>
      <c r="C1046" s="1">
        <f t="shared" si="103"/>
        <v>4983</v>
      </c>
      <c r="D1046" s="1">
        <f t="shared" si="104"/>
        <v>1051</v>
      </c>
      <c r="E1046" s="1">
        <f t="shared" si="105"/>
        <v>2100</v>
      </c>
      <c r="F1046" s="1"/>
      <c r="L1046" s="11">
        <v>43424</v>
      </c>
      <c r="M1046" s="9">
        <v>4983</v>
      </c>
      <c r="N1046" s="9">
        <v>1051</v>
      </c>
      <c r="O1046" s="9">
        <v>2100</v>
      </c>
      <c r="P1046" s="9">
        <v>0</v>
      </c>
      <c r="R1046" s="11"/>
      <c r="S1046" s="9"/>
      <c r="T1046" s="9"/>
      <c r="U1046" s="9"/>
    </row>
    <row r="1047" spans="2:21" x14ac:dyDescent="0.4">
      <c r="B1047" s="16">
        <f t="shared" si="102"/>
        <v>43425</v>
      </c>
      <c r="C1047" s="1">
        <f t="shared" si="103"/>
        <v>4937</v>
      </c>
      <c r="D1047" s="1">
        <f t="shared" si="104"/>
        <v>1051</v>
      </c>
      <c r="E1047" s="1">
        <f t="shared" si="105"/>
        <v>2110</v>
      </c>
      <c r="F1047" s="1"/>
      <c r="L1047" s="11">
        <v>43425</v>
      </c>
      <c r="M1047" s="9">
        <v>4937</v>
      </c>
      <c r="N1047" s="9">
        <v>1051</v>
      </c>
      <c r="O1047" s="9">
        <v>2110</v>
      </c>
      <c r="P1047" s="9">
        <v>0</v>
      </c>
      <c r="R1047" s="11"/>
      <c r="S1047" s="9"/>
      <c r="T1047" s="9"/>
      <c r="U1047" s="9"/>
    </row>
    <row r="1048" spans="2:21" x14ac:dyDescent="0.4">
      <c r="B1048" s="16">
        <f t="shared" si="102"/>
        <v>43426</v>
      </c>
      <c r="C1048" s="1">
        <f t="shared" si="103"/>
        <v>4897</v>
      </c>
      <c r="D1048" s="1">
        <f t="shared" si="104"/>
        <v>1051</v>
      </c>
      <c r="E1048" s="1">
        <f t="shared" si="105"/>
        <v>2120</v>
      </c>
      <c r="F1048" s="1"/>
      <c r="L1048" s="11">
        <v>43426</v>
      </c>
      <c r="M1048" s="9">
        <v>4897</v>
      </c>
      <c r="N1048" s="9">
        <v>1051</v>
      </c>
      <c r="O1048" s="9">
        <v>2120</v>
      </c>
      <c r="P1048" s="9">
        <v>0</v>
      </c>
      <c r="R1048" s="11"/>
      <c r="S1048" s="9"/>
      <c r="T1048" s="9"/>
      <c r="U1048" s="9"/>
    </row>
    <row r="1049" spans="2:21" x14ac:dyDescent="0.4">
      <c r="B1049" s="16">
        <f t="shared" si="102"/>
        <v>43427</v>
      </c>
      <c r="C1049" s="1">
        <f t="shared" si="103"/>
        <v>4869</v>
      </c>
      <c r="D1049" s="1">
        <f t="shared" si="104"/>
        <v>1041</v>
      </c>
      <c r="E1049" s="1">
        <f t="shared" si="105"/>
        <v>2120</v>
      </c>
      <c r="F1049" s="1"/>
      <c r="L1049" s="11">
        <v>43427</v>
      </c>
      <c r="M1049" s="9">
        <v>4869</v>
      </c>
      <c r="N1049" s="9">
        <v>1041</v>
      </c>
      <c r="O1049" s="9">
        <v>2120</v>
      </c>
      <c r="P1049" s="9">
        <v>0</v>
      </c>
      <c r="R1049" s="11"/>
      <c r="S1049" s="9"/>
      <c r="T1049" s="9"/>
      <c r="U1049" s="9"/>
    </row>
    <row r="1050" spans="2:21" x14ac:dyDescent="0.4">
      <c r="B1050" s="16">
        <f t="shared" si="102"/>
        <v>43430</v>
      </c>
      <c r="C1050" s="1">
        <f t="shared" si="103"/>
        <v>4797</v>
      </c>
      <c r="D1050" s="1">
        <f t="shared" si="104"/>
        <v>1011</v>
      </c>
      <c r="E1050" s="1">
        <f t="shared" si="105"/>
        <v>2100</v>
      </c>
      <c r="F1050" s="1"/>
      <c r="L1050" s="11">
        <v>43430</v>
      </c>
      <c r="M1050" s="9">
        <v>4797</v>
      </c>
      <c r="N1050" s="9">
        <v>1011</v>
      </c>
      <c r="O1050" s="9">
        <v>2100</v>
      </c>
      <c r="P1050" s="9">
        <v>0</v>
      </c>
      <c r="R1050" s="11"/>
      <c r="S1050" s="9"/>
      <c r="T1050" s="9"/>
      <c r="U1050" s="9"/>
    </row>
    <row r="1051" spans="2:21" x14ac:dyDescent="0.4">
      <c r="B1051" s="16">
        <f t="shared" si="102"/>
        <v>43431</v>
      </c>
      <c r="C1051" s="1">
        <f t="shared" si="103"/>
        <v>4772</v>
      </c>
      <c r="D1051" s="1">
        <f t="shared" si="104"/>
        <v>1011</v>
      </c>
      <c r="E1051" s="1">
        <f t="shared" si="105"/>
        <v>2090</v>
      </c>
      <c r="F1051" s="1"/>
      <c r="L1051" s="11">
        <v>43431</v>
      </c>
      <c r="M1051" s="9">
        <v>4772</v>
      </c>
      <c r="N1051" s="9">
        <v>1011</v>
      </c>
      <c r="O1051" s="9">
        <v>2090</v>
      </c>
      <c r="P1051" s="9">
        <v>0</v>
      </c>
      <c r="R1051" s="11"/>
      <c r="S1051" s="9"/>
      <c r="T1051" s="9"/>
      <c r="U1051" s="9"/>
    </row>
    <row r="1052" spans="2:21" x14ac:dyDescent="0.4">
      <c r="B1052" s="16">
        <f t="shared" si="102"/>
        <v>43432</v>
      </c>
      <c r="C1052" s="1">
        <f t="shared" si="103"/>
        <v>4760</v>
      </c>
      <c r="D1052" s="1">
        <f t="shared" si="104"/>
        <v>1011</v>
      </c>
      <c r="E1052" s="1">
        <f t="shared" si="105"/>
        <v>2060</v>
      </c>
      <c r="F1052" s="1"/>
      <c r="L1052" s="11">
        <v>43432</v>
      </c>
      <c r="M1052" s="9">
        <v>4760</v>
      </c>
      <c r="N1052" s="9">
        <v>1011</v>
      </c>
      <c r="O1052" s="9">
        <v>2060</v>
      </c>
      <c r="P1052" s="9">
        <v>0</v>
      </c>
      <c r="R1052" s="11"/>
      <c r="S1052" s="9"/>
      <c r="T1052" s="9"/>
      <c r="U1052" s="9"/>
    </row>
    <row r="1053" spans="2:21" x14ac:dyDescent="0.4">
      <c r="B1053" s="16">
        <f t="shared" si="102"/>
        <v>43433</v>
      </c>
      <c r="C1053" s="1">
        <f t="shared" si="103"/>
        <v>4747</v>
      </c>
      <c r="D1053" s="1">
        <f t="shared" si="104"/>
        <v>1001</v>
      </c>
      <c r="E1053" s="1">
        <f t="shared" si="105"/>
        <v>2050</v>
      </c>
      <c r="F1053" s="1"/>
      <c r="L1053" s="11">
        <v>43433</v>
      </c>
      <c r="M1053" s="9">
        <v>4747</v>
      </c>
      <c r="N1053" s="9">
        <v>1001</v>
      </c>
      <c r="O1053" s="9">
        <v>2050</v>
      </c>
      <c r="P1053" s="9">
        <v>0</v>
      </c>
      <c r="R1053" s="11"/>
      <c r="S1053" s="9"/>
      <c r="T1053" s="9"/>
      <c r="U1053" s="9"/>
    </row>
    <row r="1054" spans="2:21" x14ac:dyDescent="0.4">
      <c r="B1054" s="16">
        <f t="shared" si="102"/>
        <v>43434</v>
      </c>
      <c r="C1054" s="1">
        <f t="shared" si="103"/>
        <v>4721</v>
      </c>
      <c r="D1054" s="1">
        <f t="shared" si="104"/>
        <v>951</v>
      </c>
      <c r="E1054" s="1">
        <f t="shared" si="105"/>
        <v>2030</v>
      </c>
      <c r="F1054" s="1"/>
      <c r="L1054" s="11">
        <v>43434</v>
      </c>
      <c r="M1054" s="9">
        <v>4721</v>
      </c>
      <c r="N1054" s="9">
        <v>951</v>
      </c>
      <c r="O1054" s="9">
        <v>2030</v>
      </c>
      <c r="P1054" s="9">
        <v>0</v>
      </c>
      <c r="R1054" s="11"/>
      <c r="S1054" s="9"/>
      <c r="T1054" s="9"/>
      <c r="U1054" s="9"/>
    </row>
    <row r="1055" spans="2:21" x14ac:dyDescent="0.4">
      <c r="B1055" s="16">
        <f t="shared" si="102"/>
        <v>43437</v>
      </c>
      <c r="C1055" s="1">
        <f t="shared" si="103"/>
        <v>4719</v>
      </c>
      <c r="D1055" s="1">
        <f t="shared" si="104"/>
        <v>941</v>
      </c>
      <c r="E1055" s="1">
        <f t="shared" si="105"/>
        <v>2010</v>
      </c>
      <c r="F1055" s="1"/>
      <c r="L1055" s="11">
        <v>43437</v>
      </c>
      <c r="M1055" s="9">
        <v>4719</v>
      </c>
      <c r="N1055" s="9">
        <v>941</v>
      </c>
      <c r="O1055" s="9">
        <v>2010</v>
      </c>
      <c r="P1055" s="9">
        <v>0</v>
      </c>
      <c r="R1055" s="11"/>
      <c r="S1055" s="9"/>
      <c r="T1055" s="9"/>
      <c r="U1055" s="9"/>
    </row>
    <row r="1056" spans="2:21" x14ac:dyDescent="0.4">
      <c r="B1056" s="16">
        <f t="shared" si="102"/>
        <v>43438</v>
      </c>
      <c r="C1056" s="1">
        <f t="shared" si="103"/>
        <v>4754</v>
      </c>
      <c r="D1056" s="1">
        <f t="shared" si="104"/>
        <v>921</v>
      </c>
      <c r="E1056" s="1">
        <f t="shared" si="105"/>
        <v>2010</v>
      </c>
      <c r="F1056" s="1"/>
      <c r="L1056" s="11">
        <v>43438</v>
      </c>
      <c r="M1056" s="9">
        <v>4754</v>
      </c>
      <c r="N1056" s="9">
        <v>921</v>
      </c>
      <c r="O1056" s="9">
        <v>2010</v>
      </c>
      <c r="P1056" s="9">
        <v>0</v>
      </c>
      <c r="R1056" s="11"/>
      <c r="S1056" s="9"/>
      <c r="T1056" s="9"/>
      <c r="U1056" s="9"/>
    </row>
    <row r="1057" spans="2:21" x14ac:dyDescent="0.4">
      <c r="B1057" s="16">
        <f t="shared" si="102"/>
        <v>43439</v>
      </c>
      <c r="C1057" s="1">
        <f t="shared" si="103"/>
        <v>4774</v>
      </c>
      <c r="D1057" s="1">
        <f t="shared" si="104"/>
        <v>881</v>
      </c>
      <c r="E1057" s="1">
        <f t="shared" si="105"/>
        <v>2010</v>
      </c>
      <c r="F1057" s="1"/>
      <c r="L1057" s="11">
        <v>43439</v>
      </c>
      <c r="M1057" s="9">
        <v>4774</v>
      </c>
      <c r="N1057" s="9">
        <v>881</v>
      </c>
      <c r="O1057" s="9">
        <v>2010</v>
      </c>
      <c r="P1057" s="9">
        <v>0</v>
      </c>
      <c r="R1057" s="11"/>
      <c r="S1057" s="9"/>
      <c r="T1057" s="9"/>
      <c r="U1057" s="9"/>
    </row>
    <row r="1058" spans="2:21" x14ac:dyDescent="0.4">
      <c r="B1058" s="16">
        <f t="shared" si="102"/>
        <v>43440</v>
      </c>
      <c r="C1058" s="1">
        <f t="shared" si="103"/>
        <v>4807</v>
      </c>
      <c r="D1058" s="1">
        <f t="shared" si="104"/>
        <v>861</v>
      </c>
      <c r="E1058" s="1">
        <f t="shared" si="105"/>
        <v>2010</v>
      </c>
      <c r="F1058" s="1"/>
      <c r="L1058" s="11">
        <v>43440</v>
      </c>
      <c r="M1058" s="9">
        <v>4807</v>
      </c>
      <c r="N1058" s="9">
        <v>861</v>
      </c>
      <c r="O1058" s="9">
        <v>2010</v>
      </c>
      <c r="P1058" s="9">
        <v>0</v>
      </c>
      <c r="R1058" s="11"/>
      <c r="S1058" s="9"/>
      <c r="T1058" s="9"/>
      <c r="U1058" s="9"/>
    </row>
    <row r="1059" spans="2:21" x14ac:dyDescent="0.4">
      <c r="B1059" s="16">
        <f t="shared" si="102"/>
        <v>43441</v>
      </c>
      <c r="C1059" s="1">
        <f t="shared" si="103"/>
        <v>4837</v>
      </c>
      <c r="D1059" s="1">
        <f t="shared" si="104"/>
        <v>841</v>
      </c>
      <c r="E1059" s="1">
        <f t="shared" si="105"/>
        <v>2005</v>
      </c>
      <c r="F1059" s="1"/>
      <c r="L1059" s="11">
        <v>43441</v>
      </c>
      <c r="M1059" s="9">
        <v>4837</v>
      </c>
      <c r="N1059" s="9">
        <v>841</v>
      </c>
      <c r="O1059" s="9">
        <v>2005</v>
      </c>
      <c r="P1059" s="9">
        <v>0</v>
      </c>
      <c r="R1059" s="11"/>
      <c r="S1059" s="9"/>
      <c r="T1059" s="9"/>
      <c r="U1059" s="9"/>
    </row>
    <row r="1060" spans="2:21" x14ac:dyDescent="0.4">
      <c r="B1060" s="16">
        <f t="shared" si="102"/>
        <v>43444</v>
      </c>
      <c r="C1060" s="1">
        <f t="shared" si="103"/>
        <v>4833</v>
      </c>
      <c r="D1060" s="1">
        <f t="shared" si="104"/>
        <v>841</v>
      </c>
      <c r="E1060" s="1">
        <f t="shared" si="105"/>
        <v>1990</v>
      </c>
      <c r="F1060" s="1"/>
      <c r="L1060" s="11">
        <v>43444</v>
      </c>
      <c r="M1060" s="9">
        <v>4833</v>
      </c>
      <c r="N1060" s="9">
        <v>841</v>
      </c>
      <c r="O1060" s="9">
        <v>1990</v>
      </c>
      <c r="P1060" s="9">
        <v>0</v>
      </c>
      <c r="R1060" s="11"/>
      <c r="S1060" s="9"/>
      <c r="T1060" s="9"/>
      <c r="U1060" s="9"/>
    </row>
    <row r="1061" spans="2:21" x14ac:dyDescent="0.4">
      <c r="B1061" s="16">
        <f t="shared" si="102"/>
        <v>43445</v>
      </c>
      <c r="C1061" s="1">
        <f t="shared" si="103"/>
        <v>4815</v>
      </c>
      <c r="D1061" s="1">
        <f t="shared" si="104"/>
        <v>851</v>
      </c>
      <c r="E1061" s="1">
        <f t="shared" si="105"/>
        <v>1990</v>
      </c>
      <c r="F1061" s="1"/>
      <c r="L1061" s="11">
        <v>43445</v>
      </c>
      <c r="M1061" s="9">
        <v>4815</v>
      </c>
      <c r="N1061" s="9">
        <v>851</v>
      </c>
      <c r="O1061" s="9">
        <v>1990</v>
      </c>
      <c r="P1061" s="9">
        <v>0</v>
      </c>
      <c r="R1061" s="11"/>
      <c r="S1061" s="9"/>
      <c r="T1061" s="9"/>
      <c r="U1061" s="9"/>
    </row>
    <row r="1062" spans="2:21" x14ac:dyDescent="0.4">
      <c r="B1062" s="16">
        <f t="shared" si="102"/>
        <v>43446</v>
      </c>
      <c r="C1062" s="1">
        <f t="shared" si="103"/>
        <v>4794</v>
      </c>
      <c r="D1062" s="1">
        <f t="shared" si="104"/>
        <v>851</v>
      </c>
      <c r="E1062" s="1">
        <f t="shared" si="105"/>
        <v>1980</v>
      </c>
      <c r="F1062" s="1"/>
      <c r="L1062" s="11">
        <v>43446</v>
      </c>
      <c r="M1062" s="9">
        <v>4794</v>
      </c>
      <c r="N1062" s="9">
        <v>851</v>
      </c>
      <c r="O1062" s="9">
        <v>1980</v>
      </c>
      <c r="P1062" s="9">
        <v>0</v>
      </c>
      <c r="R1062" s="11"/>
      <c r="S1062" s="9"/>
      <c r="T1062" s="9"/>
      <c r="U1062" s="9"/>
    </row>
    <row r="1063" spans="2:21" x14ac:dyDescent="0.4">
      <c r="B1063" s="16">
        <f t="shared" si="102"/>
        <v>43447</v>
      </c>
      <c r="C1063" s="1">
        <f t="shared" si="103"/>
        <v>4802</v>
      </c>
      <c r="D1063" s="1">
        <f t="shared" si="104"/>
        <v>851</v>
      </c>
      <c r="E1063" s="1">
        <f t="shared" si="105"/>
        <v>1980</v>
      </c>
      <c r="F1063" s="1"/>
      <c r="L1063" s="11">
        <v>43447</v>
      </c>
      <c r="M1063" s="9">
        <v>4802</v>
      </c>
      <c r="N1063" s="9">
        <v>851</v>
      </c>
      <c r="O1063" s="9">
        <v>1980</v>
      </c>
      <c r="P1063" s="9">
        <v>0</v>
      </c>
      <c r="R1063" s="11"/>
      <c r="S1063" s="9"/>
      <c r="T1063" s="9"/>
      <c r="U1063" s="9"/>
    </row>
    <row r="1064" spans="2:21" x14ac:dyDescent="0.4">
      <c r="B1064" s="16">
        <f t="shared" si="102"/>
        <v>43448</v>
      </c>
      <c r="C1064" s="1">
        <f t="shared" si="103"/>
        <v>4816</v>
      </c>
      <c r="D1064" s="1">
        <f t="shared" si="104"/>
        <v>871</v>
      </c>
      <c r="E1064" s="1">
        <f t="shared" si="105"/>
        <v>1980</v>
      </c>
      <c r="F1064" s="1"/>
      <c r="L1064" s="11">
        <v>43448</v>
      </c>
      <c r="M1064" s="9">
        <v>4816</v>
      </c>
      <c r="N1064" s="9">
        <v>871</v>
      </c>
      <c r="O1064" s="9">
        <v>1980</v>
      </c>
      <c r="P1064" s="9">
        <v>0</v>
      </c>
      <c r="R1064" s="11"/>
      <c r="S1064" s="9"/>
      <c r="T1064" s="9"/>
      <c r="U1064" s="9"/>
    </row>
    <row r="1065" spans="2:21" x14ac:dyDescent="0.4">
      <c r="B1065" s="16">
        <f t="shared" si="102"/>
        <v>43451</v>
      </c>
      <c r="C1065" s="1">
        <f t="shared" si="103"/>
        <v>4825</v>
      </c>
      <c r="D1065" s="1">
        <f t="shared" si="104"/>
        <v>871</v>
      </c>
      <c r="E1065" s="1">
        <f t="shared" si="105"/>
        <v>2010</v>
      </c>
      <c r="F1065" s="1"/>
      <c r="L1065" s="11">
        <v>43451</v>
      </c>
      <c r="M1065" s="9">
        <v>4825</v>
      </c>
      <c r="N1065" s="9">
        <v>871</v>
      </c>
      <c r="O1065" s="9">
        <v>2010</v>
      </c>
      <c r="P1065" s="9">
        <v>0</v>
      </c>
      <c r="R1065" s="11"/>
      <c r="S1065" s="9"/>
      <c r="T1065" s="9"/>
      <c r="U1065" s="9"/>
    </row>
    <row r="1066" spans="2:21" x14ac:dyDescent="0.4">
      <c r="B1066" s="16">
        <f t="shared" si="102"/>
        <v>43452</v>
      </c>
      <c r="C1066" s="1">
        <f t="shared" si="103"/>
        <v>4828</v>
      </c>
      <c r="D1066" s="1">
        <f t="shared" si="104"/>
        <v>911</v>
      </c>
      <c r="E1066" s="1">
        <f t="shared" si="105"/>
        <v>2030</v>
      </c>
      <c r="F1066" s="1"/>
      <c r="L1066" s="11">
        <v>43452</v>
      </c>
      <c r="M1066" s="9">
        <v>4828</v>
      </c>
      <c r="N1066" s="9">
        <v>911</v>
      </c>
      <c r="O1066" s="9">
        <v>2030</v>
      </c>
      <c r="P1066" s="9">
        <v>0</v>
      </c>
      <c r="R1066" s="11"/>
      <c r="S1066" s="9"/>
      <c r="T1066" s="9"/>
      <c r="U1066" s="9"/>
    </row>
    <row r="1067" spans="2:21" x14ac:dyDescent="0.4">
      <c r="B1067" s="16">
        <f t="shared" si="102"/>
        <v>43453</v>
      </c>
      <c r="C1067" s="1">
        <f t="shared" si="103"/>
        <v>4808</v>
      </c>
      <c r="D1067" s="1">
        <f t="shared" si="104"/>
        <v>931</v>
      </c>
      <c r="E1067" s="1">
        <f t="shared" si="105"/>
        <v>2030</v>
      </c>
      <c r="F1067" s="1"/>
      <c r="L1067" s="11">
        <v>43453</v>
      </c>
      <c r="M1067" s="9">
        <v>4808</v>
      </c>
      <c r="N1067" s="9">
        <v>931</v>
      </c>
      <c r="O1067" s="9">
        <v>2030</v>
      </c>
      <c r="P1067" s="9">
        <v>0</v>
      </c>
      <c r="R1067" s="11"/>
      <c r="S1067" s="9"/>
      <c r="T1067" s="9"/>
      <c r="U1067" s="9"/>
    </row>
    <row r="1068" spans="2:21" x14ac:dyDescent="0.4">
      <c r="B1068" s="16">
        <f t="shared" si="102"/>
        <v>43454</v>
      </c>
      <c r="C1068" s="1">
        <f t="shared" si="103"/>
        <v>4796</v>
      </c>
      <c r="D1068" s="1">
        <f t="shared" si="104"/>
        <v>941</v>
      </c>
      <c r="E1068" s="1">
        <f t="shared" si="105"/>
        <v>2030</v>
      </c>
      <c r="F1068" s="1"/>
      <c r="L1068" s="11">
        <v>43454</v>
      </c>
      <c r="M1068" s="9">
        <v>4796</v>
      </c>
      <c r="N1068" s="9">
        <v>941</v>
      </c>
      <c r="O1068" s="9">
        <v>2030</v>
      </c>
      <c r="P1068" s="9">
        <v>0</v>
      </c>
      <c r="R1068" s="11"/>
      <c r="S1068" s="9"/>
      <c r="T1068" s="9"/>
      <c r="U1068" s="9"/>
    </row>
    <row r="1069" spans="2:21" x14ac:dyDescent="0.4">
      <c r="B1069" s="16">
        <f t="shared" si="102"/>
        <v>43455</v>
      </c>
      <c r="C1069" s="1">
        <f t="shared" si="103"/>
        <v>4779</v>
      </c>
      <c r="D1069" s="1">
        <f t="shared" si="104"/>
        <v>941</v>
      </c>
      <c r="E1069" s="1">
        <f t="shared" si="105"/>
        <v>2030</v>
      </c>
      <c r="F1069" s="1"/>
      <c r="L1069" s="11">
        <v>43455</v>
      </c>
      <c r="M1069" s="9">
        <v>4779</v>
      </c>
      <c r="N1069" s="9">
        <v>941</v>
      </c>
      <c r="O1069" s="9">
        <v>2030</v>
      </c>
      <c r="P1069" s="9">
        <v>0</v>
      </c>
      <c r="R1069" s="11"/>
      <c r="S1069" s="9"/>
      <c r="T1069" s="9"/>
      <c r="U1069" s="9"/>
    </row>
    <row r="1070" spans="2:21" x14ac:dyDescent="0.4">
      <c r="B1070" s="16">
        <f t="shared" si="102"/>
        <v>43458</v>
      </c>
      <c r="C1070" s="1">
        <f t="shared" si="103"/>
        <v>4745</v>
      </c>
      <c r="D1070" s="1">
        <f t="shared" si="104"/>
        <v>941</v>
      </c>
      <c r="E1070" s="1">
        <f t="shared" si="105"/>
        <v>2010</v>
      </c>
      <c r="F1070" s="1"/>
      <c r="L1070" s="11">
        <v>43458</v>
      </c>
      <c r="M1070" s="9">
        <v>4745</v>
      </c>
      <c r="N1070" s="9">
        <v>0</v>
      </c>
      <c r="O1070" s="9">
        <v>2010</v>
      </c>
      <c r="P1070" s="9">
        <v>0</v>
      </c>
      <c r="R1070" s="11"/>
      <c r="S1070" s="9"/>
      <c r="T1070" s="9"/>
      <c r="U1070" s="9"/>
    </row>
    <row r="1071" spans="2:21" x14ac:dyDescent="0.4">
      <c r="B1071" s="16">
        <f t="shared" si="102"/>
        <v>43459</v>
      </c>
      <c r="C1071" s="1">
        <f t="shared" si="103"/>
        <v>4704</v>
      </c>
      <c r="D1071" s="1">
        <f t="shared" si="104"/>
        <v>941</v>
      </c>
      <c r="E1071" s="1">
        <f t="shared" si="105"/>
        <v>2010</v>
      </c>
      <c r="F1071" s="1"/>
      <c r="L1071" s="11">
        <v>43459</v>
      </c>
      <c r="M1071" s="9">
        <v>4704</v>
      </c>
      <c r="N1071" s="9">
        <v>0</v>
      </c>
      <c r="O1071" s="9">
        <v>2010</v>
      </c>
      <c r="P1071" s="9">
        <v>0</v>
      </c>
      <c r="R1071" s="11"/>
      <c r="S1071" s="9"/>
      <c r="T1071" s="9"/>
      <c r="U1071" s="9"/>
    </row>
    <row r="1072" spans="2:21" x14ac:dyDescent="0.4">
      <c r="B1072" s="16">
        <f t="shared" si="102"/>
        <v>43460</v>
      </c>
      <c r="C1072" s="1">
        <f t="shared" si="103"/>
        <v>4692</v>
      </c>
      <c r="D1072" s="1">
        <f t="shared" si="104"/>
        <v>941</v>
      </c>
      <c r="E1072" s="1">
        <f t="shared" si="105"/>
        <v>2020</v>
      </c>
      <c r="F1072" s="1"/>
      <c r="L1072" s="11">
        <v>43460</v>
      </c>
      <c r="M1072" s="9">
        <v>4692</v>
      </c>
      <c r="N1072" s="9">
        <v>941</v>
      </c>
      <c r="O1072" s="9">
        <v>2020</v>
      </c>
      <c r="P1072" s="9">
        <v>0</v>
      </c>
      <c r="R1072" s="11"/>
      <c r="S1072" s="9"/>
      <c r="T1072" s="9"/>
      <c r="U1072" s="9"/>
    </row>
    <row r="1073" spans="2:21" x14ac:dyDescent="0.4">
      <c r="B1073" s="16">
        <f t="shared" si="102"/>
        <v>43461</v>
      </c>
      <c r="C1073" s="1">
        <f t="shared" si="103"/>
        <v>4659</v>
      </c>
      <c r="D1073" s="1">
        <f t="shared" si="104"/>
        <v>931</v>
      </c>
      <c r="E1073" s="1">
        <f t="shared" si="105"/>
        <v>2010</v>
      </c>
      <c r="F1073" s="1"/>
      <c r="L1073" s="11">
        <v>43461</v>
      </c>
      <c r="M1073" s="9">
        <v>4659</v>
      </c>
      <c r="N1073" s="9">
        <v>931</v>
      </c>
      <c r="O1073" s="9">
        <v>2010</v>
      </c>
      <c r="P1073" s="9">
        <v>0</v>
      </c>
      <c r="R1073" s="11"/>
      <c r="S1073" s="9"/>
      <c r="T1073" s="9"/>
      <c r="U1073" s="9"/>
    </row>
    <row r="1074" spans="2:21" x14ac:dyDescent="0.4">
      <c r="B1074" s="16">
        <f t="shared" si="102"/>
        <v>43462</v>
      </c>
      <c r="C1074" s="1">
        <f t="shared" si="103"/>
        <v>4643</v>
      </c>
      <c r="D1074" s="1">
        <f t="shared" si="104"/>
        <v>931</v>
      </c>
      <c r="E1074" s="1">
        <f t="shared" si="105"/>
        <v>2010</v>
      </c>
      <c r="F1074" s="1"/>
      <c r="L1074" s="11">
        <v>43462</v>
      </c>
      <c r="M1074" s="9">
        <v>4643</v>
      </c>
      <c r="N1074" s="9">
        <v>931</v>
      </c>
      <c r="O1074" s="9">
        <v>2010</v>
      </c>
      <c r="P1074" s="9">
        <v>0</v>
      </c>
      <c r="R1074" s="11"/>
      <c r="S1074" s="9"/>
      <c r="T1074" s="9"/>
      <c r="U1074" s="9"/>
    </row>
    <row r="1075" spans="2:21" x14ac:dyDescent="0.4">
      <c r="B1075" s="16">
        <f t="shared" si="102"/>
        <v>43463</v>
      </c>
      <c r="C1075" s="1">
        <f t="shared" si="103"/>
        <v>4637</v>
      </c>
      <c r="D1075" s="1">
        <f t="shared" si="104"/>
        <v>931</v>
      </c>
      <c r="E1075" s="1">
        <f t="shared" si="105"/>
        <v>2010</v>
      </c>
      <c r="F1075" s="1"/>
      <c r="L1075" s="11">
        <v>43463</v>
      </c>
      <c r="M1075" s="9">
        <v>4637</v>
      </c>
      <c r="N1075" s="9">
        <v>0</v>
      </c>
      <c r="O1075" s="9">
        <v>2010</v>
      </c>
      <c r="P1075" s="9">
        <v>0</v>
      </c>
      <c r="R1075" s="11"/>
      <c r="S1075" s="9"/>
      <c r="T1075" s="9"/>
      <c r="U1075" s="9"/>
    </row>
    <row r="1076" spans="2:21" x14ac:dyDescent="0.4">
      <c r="B1076" s="16">
        <f t="shared" si="102"/>
        <v>43467</v>
      </c>
      <c r="C1076" s="1">
        <f t="shared" si="103"/>
        <v>4611</v>
      </c>
      <c r="D1076" s="1">
        <f t="shared" si="104"/>
        <v>931</v>
      </c>
      <c r="E1076" s="1">
        <f t="shared" si="105"/>
        <v>1970</v>
      </c>
      <c r="F1076" s="1"/>
      <c r="L1076" s="11">
        <v>43467</v>
      </c>
      <c r="M1076" s="9">
        <v>4611</v>
      </c>
      <c r="N1076" s="9">
        <v>931</v>
      </c>
      <c r="O1076" s="9">
        <v>1970</v>
      </c>
      <c r="P1076" s="9">
        <v>0</v>
      </c>
      <c r="R1076" s="11"/>
      <c r="S1076" s="9"/>
      <c r="T1076" s="9"/>
      <c r="U1076" s="9"/>
    </row>
    <row r="1077" spans="2:21" x14ac:dyDescent="0.4">
      <c r="B1077" s="16">
        <f t="shared" si="102"/>
        <v>43468</v>
      </c>
      <c r="C1077" s="1">
        <f t="shared" si="103"/>
        <v>4601</v>
      </c>
      <c r="D1077" s="1">
        <f t="shared" si="104"/>
        <v>901</v>
      </c>
      <c r="E1077" s="1">
        <f t="shared" si="105"/>
        <v>1960</v>
      </c>
      <c r="F1077" s="1"/>
      <c r="L1077" s="11">
        <v>43468</v>
      </c>
      <c r="M1077" s="9">
        <v>4601</v>
      </c>
      <c r="N1077" s="9">
        <v>901</v>
      </c>
      <c r="O1077" s="9">
        <v>1960</v>
      </c>
      <c r="P1077" s="9">
        <v>0</v>
      </c>
      <c r="R1077" s="11"/>
      <c r="S1077" s="9"/>
      <c r="T1077" s="9"/>
      <c r="U1077" s="9"/>
    </row>
    <row r="1078" spans="2:21" x14ac:dyDescent="0.4">
      <c r="B1078" s="16">
        <f t="shared" si="102"/>
        <v>43469</v>
      </c>
      <c r="C1078" s="1">
        <f t="shared" si="103"/>
        <v>4607</v>
      </c>
      <c r="D1078" s="1">
        <f t="shared" si="104"/>
        <v>871</v>
      </c>
      <c r="E1078" s="1">
        <f t="shared" si="105"/>
        <v>1940</v>
      </c>
      <c r="F1078" s="1"/>
      <c r="L1078" s="11">
        <v>43469</v>
      </c>
      <c r="M1078" s="9">
        <v>4607</v>
      </c>
      <c r="N1078" s="9">
        <v>871</v>
      </c>
      <c r="O1078" s="9">
        <v>1940</v>
      </c>
      <c r="P1078" s="9">
        <v>0</v>
      </c>
      <c r="R1078" s="11"/>
      <c r="S1078" s="9"/>
      <c r="T1078" s="9"/>
      <c r="U1078" s="9"/>
    </row>
    <row r="1079" spans="2:21" x14ac:dyDescent="0.4">
      <c r="B1079" s="16">
        <f t="shared" si="102"/>
        <v>43472</v>
      </c>
      <c r="C1079" s="1">
        <f t="shared" si="103"/>
        <v>4624</v>
      </c>
      <c r="D1079" s="1">
        <f t="shared" si="104"/>
        <v>871</v>
      </c>
      <c r="E1079" s="1">
        <f t="shared" si="105"/>
        <v>1930</v>
      </c>
      <c r="F1079" s="1"/>
      <c r="L1079" s="11">
        <v>43472</v>
      </c>
      <c r="M1079" s="9">
        <v>4624</v>
      </c>
      <c r="N1079" s="9">
        <v>871</v>
      </c>
      <c r="O1079" s="9">
        <v>1930</v>
      </c>
      <c r="P1079" s="9">
        <v>0</v>
      </c>
      <c r="R1079" s="11"/>
      <c r="S1079" s="9"/>
      <c r="T1079" s="9"/>
      <c r="U1079" s="9"/>
    </row>
    <row r="1080" spans="2:21" x14ac:dyDescent="0.4">
      <c r="B1080" s="16">
        <f t="shared" si="102"/>
        <v>43473</v>
      </c>
      <c r="C1080" s="1">
        <f t="shared" si="103"/>
        <v>4628</v>
      </c>
      <c r="D1080" s="1">
        <f t="shared" si="104"/>
        <v>871</v>
      </c>
      <c r="E1080" s="1">
        <f t="shared" si="105"/>
        <v>1920</v>
      </c>
      <c r="F1080" s="1"/>
      <c r="L1080" s="11">
        <v>43473</v>
      </c>
      <c r="M1080" s="9">
        <v>4628</v>
      </c>
      <c r="N1080" s="9">
        <v>871</v>
      </c>
      <c r="O1080" s="9">
        <v>1920</v>
      </c>
      <c r="P1080" s="9">
        <v>0</v>
      </c>
      <c r="R1080" s="11"/>
      <c r="S1080" s="9"/>
      <c r="T1080" s="9"/>
      <c r="U1080" s="9"/>
    </row>
    <row r="1081" spans="2:21" x14ac:dyDescent="0.4">
      <c r="B1081" s="16">
        <f t="shared" si="102"/>
        <v>43474</v>
      </c>
      <c r="C1081" s="1">
        <f t="shared" si="103"/>
        <v>4639</v>
      </c>
      <c r="D1081" s="1">
        <f t="shared" si="104"/>
        <v>871</v>
      </c>
      <c r="E1081" s="1">
        <f t="shared" si="105"/>
        <v>1910</v>
      </c>
      <c r="F1081" s="1"/>
      <c r="L1081" s="11">
        <v>43474</v>
      </c>
      <c r="M1081" s="9">
        <v>4639</v>
      </c>
      <c r="N1081" s="9">
        <v>871</v>
      </c>
      <c r="O1081" s="9">
        <v>1910</v>
      </c>
      <c r="P1081" s="9">
        <v>0</v>
      </c>
      <c r="R1081" s="11"/>
      <c r="S1081" s="9"/>
      <c r="T1081" s="9"/>
      <c r="U1081" s="9"/>
    </row>
    <row r="1082" spans="2:21" x14ac:dyDescent="0.4">
      <c r="B1082" s="16">
        <f t="shared" si="102"/>
        <v>43475</v>
      </c>
      <c r="C1082" s="1">
        <f t="shared" si="103"/>
        <v>4657</v>
      </c>
      <c r="D1082" s="1">
        <f t="shared" si="104"/>
        <v>871</v>
      </c>
      <c r="E1082" s="1">
        <f t="shared" si="105"/>
        <v>1910</v>
      </c>
      <c r="F1082" s="1"/>
      <c r="L1082" s="11">
        <v>43475</v>
      </c>
      <c r="M1082" s="9">
        <v>4657</v>
      </c>
      <c r="N1082" s="9">
        <v>871</v>
      </c>
      <c r="O1082" s="9">
        <v>1910</v>
      </c>
      <c r="P1082" s="9">
        <v>0</v>
      </c>
      <c r="R1082" s="11"/>
      <c r="S1082" s="9"/>
      <c r="T1082" s="9"/>
      <c r="U1082" s="9"/>
    </row>
    <row r="1083" spans="2:21" x14ac:dyDescent="0.4">
      <c r="B1083" s="16">
        <f t="shared" si="102"/>
        <v>43476</v>
      </c>
      <c r="C1083" s="1">
        <f t="shared" si="103"/>
        <v>4656</v>
      </c>
      <c r="D1083" s="1">
        <f t="shared" si="104"/>
        <v>871</v>
      </c>
      <c r="E1083" s="1">
        <f t="shared" si="105"/>
        <v>1930</v>
      </c>
      <c r="F1083" s="1"/>
      <c r="L1083" s="11">
        <v>43476</v>
      </c>
      <c r="M1083" s="9">
        <v>4656</v>
      </c>
      <c r="N1083" s="9">
        <v>871</v>
      </c>
      <c r="O1083" s="9">
        <v>1930</v>
      </c>
      <c r="P1083" s="9">
        <v>0</v>
      </c>
      <c r="R1083" s="11"/>
      <c r="S1083" s="9"/>
      <c r="T1083" s="9"/>
      <c r="U1083" s="9"/>
    </row>
    <row r="1084" spans="2:21" x14ac:dyDescent="0.4">
      <c r="B1084" s="16">
        <f t="shared" si="102"/>
        <v>43479</v>
      </c>
      <c r="C1084" s="1">
        <f t="shared" si="103"/>
        <v>4659</v>
      </c>
      <c r="D1084" s="1">
        <f t="shared" si="104"/>
        <v>881</v>
      </c>
      <c r="E1084" s="1">
        <f t="shared" si="105"/>
        <v>1940</v>
      </c>
      <c r="F1084" s="1"/>
      <c r="L1084" s="11">
        <v>43479</v>
      </c>
      <c r="M1084" s="9">
        <v>4659</v>
      </c>
      <c r="N1084" s="9">
        <v>881</v>
      </c>
      <c r="O1084" s="9">
        <v>1940</v>
      </c>
      <c r="P1084" s="9">
        <v>0</v>
      </c>
      <c r="R1084" s="11"/>
      <c r="S1084" s="9"/>
      <c r="T1084" s="9"/>
      <c r="U1084" s="9"/>
    </row>
    <row r="1085" spans="2:21" x14ac:dyDescent="0.4">
      <c r="B1085" s="16">
        <f t="shared" si="102"/>
        <v>43480</v>
      </c>
      <c r="C1085" s="1">
        <f t="shared" si="103"/>
        <v>4661</v>
      </c>
      <c r="D1085" s="1">
        <f t="shared" si="104"/>
        <v>881</v>
      </c>
      <c r="E1085" s="1">
        <f t="shared" si="105"/>
        <v>1930</v>
      </c>
      <c r="F1085" s="1"/>
      <c r="L1085" s="11">
        <v>43480</v>
      </c>
      <c r="M1085" s="9">
        <v>4661</v>
      </c>
      <c r="N1085" s="9">
        <v>881</v>
      </c>
      <c r="O1085" s="9">
        <v>1930</v>
      </c>
      <c r="P1085" s="9">
        <v>0</v>
      </c>
      <c r="R1085" s="11"/>
      <c r="S1085" s="9"/>
      <c r="T1085" s="9"/>
      <c r="U1085" s="9"/>
    </row>
    <row r="1086" spans="2:21" x14ac:dyDescent="0.4">
      <c r="B1086" s="16">
        <f t="shared" si="102"/>
        <v>43481</v>
      </c>
      <c r="C1086" s="1">
        <f t="shared" si="103"/>
        <v>4661</v>
      </c>
      <c r="D1086" s="1">
        <f t="shared" si="104"/>
        <v>901</v>
      </c>
      <c r="E1086" s="1">
        <f t="shared" si="105"/>
        <v>1930</v>
      </c>
      <c r="F1086" s="1"/>
      <c r="L1086" s="11">
        <v>43481</v>
      </c>
      <c r="M1086" s="9">
        <v>4661</v>
      </c>
      <c r="N1086" s="9">
        <v>901</v>
      </c>
      <c r="O1086" s="9">
        <v>1930</v>
      </c>
      <c r="P1086" s="9">
        <v>0</v>
      </c>
      <c r="R1086" s="11"/>
      <c r="S1086" s="9"/>
      <c r="T1086" s="9"/>
      <c r="U1086" s="9"/>
    </row>
    <row r="1087" spans="2:21" x14ac:dyDescent="0.4">
      <c r="B1087" s="16">
        <f t="shared" si="102"/>
        <v>43482</v>
      </c>
      <c r="C1087" s="1">
        <f t="shared" si="103"/>
        <v>4650</v>
      </c>
      <c r="D1087" s="1">
        <f t="shared" si="104"/>
        <v>911</v>
      </c>
      <c r="E1087" s="1">
        <f t="shared" si="105"/>
        <v>1930</v>
      </c>
      <c r="F1087" s="1"/>
      <c r="L1087" s="11">
        <v>43482</v>
      </c>
      <c r="M1087" s="9">
        <v>4650</v>
      </c>
      <c r="N1087" s="9">
        <v>911</v>
      </c>
      <c r="O1087" s="9">
        <v>1930</v>
      </c>
      <c r="P1087" s="9">
        <v>0</v>
      </c>
      <c r="R1087" s="11"/>
      <c r="S1087" s="9"/>
      <c r="T1087" s="9"/>
      <c r="U1087" s="9"/>
    </row>
    <row r="1088" spans="2:21" x14ac:dyDescent="0.4">
      <c r="B1088" s="16">
        <f t="shared" si="102"/>
        <v>43483</v>
      </c>
      <c r="C1088" s="1">
        <f t="shared" si="103"/>
        <v>4643</v>
      </c>
      <c r="D1088" s="1">
        <f t="shared" si="104"/>
        <v>956</v>
      </c>
      <c r="E1088" s="1">
        <f t="shared" si="105"/>
        <v>1930</v>
      </c>
      <c r="F1088" s="1"/>
      <c r="L1088" s="11">
        <v>43483</v>
      </c>
      <c r="M1088" s="9">
        <v>4643</v>
      </c>
      <c r="N1088" s="9">
        <v>956</v>
      </c>
      <c r="O1088" s="9">
        <v>1930</v>
      </c>
      <c r="P1088" s="9">
        <v>0</v>
      </c>
      <c r="R1088" s="11"/>
      <c r="S1088" s="9"/>
      <c r="T1088" s="9"/>
      <c r="U1088" s="9"/>
    </row>
    <row r="1089" spans="2:21" x14ac:dyDescent="0.4">
      <c r="B1089" s="16">
        <f t="shared" si="102"/>
        <v>43486</v>
      </c>
      <c r="C1089" s="1">
        <f t="shared" si="103"/>
        <v>4662</v>
      </c>
      <c r="D1089" s="1">
        <f t="shared" si="104"/>
        <v>956</v>
      </c>
      <c r="E1089" s="1">
        <f t="shared" si="105"/>
        <v>1920</v>
      </c>
      <c r="F1089" s="1"/>
      <c r="L1089" s="11">
        <v>43486</v>
      </c>
      <c r="M1089" s="9">
        <v>4662</v>
      </c>
      <c r="N1089" s="9">
        <v>956</v>
      </c>
      <c r="O1089" s="9">
        <v>1920</v>
      </c>
      <c r="P1089" s="9">
        <v>0</v>
      </c>
      <c r="R1089" s="11"/>
      <c r="S1089" s="9"/>
      <c r="T1089" s="9"/>
      <c r="U1089" s="9"/>
    </row>
    <row r="1090" spans="2:21" x14ac:dyDescent="0.4">
      <c r="B1090" s="16">
        <f t="shared" si="102"/>
        <v>43487</v>
      </c>
      <c r="C1090" s="1">
        <f t="shared" si="103"/>
        <v>4677</v>
      </c>
      <c r="D1090" s="1">
        <f t="shared" si="104"/>
        <v>956</v>
      </c>
      <c r="E1090" s="1">
        <f t="shared" si="105"/>
        <v>1920</v>
      </c>
      <c r="F1090" s="1"/>
      <c r="L1090" s="11">
        <v>43487</v>
      </c>
      <c r="M1090" s="9">
        <v>4677</v>
      </c>
      <c r="N1090" s="9">
        <v>956</v>
      </c>
      <c r="O1090" s="9">
        <v>1920</v>
      </c>
      <c r="P1090" s="9">
        <v>0</v>
      </c>
      <c r="R1090" s="11"/>
      <c r="S1090" s="9"/>
      <c r="T1090" s="9"/>
      <c r="U1090" s="9"/>
    </row>
    <row r="1091" spans="2:21" x14ac:dyDescent="0.4">
      <c r="B1091" s="16">
        <f t="shared" si="102"/>
        <v>43488</v>
      </c>
      <c r="C1091" s="1">
        <f t="shared" si="103"/>
        <v>4669</v>
      </c>
      <c r="D1091" s="1">
        <f t="shared" si="104"/>
        <v>1001</v>
      </c>
      <c r="E1091" s="1">
        <f t="shared" si="105"/>
        <v>1910</v>
      </c>
      <c r="F1091" s="1"/>
      <c r="L1091" s="11">
        <v>43488</v>
      </c>
      <c r="M1091" s="9">
        <v>4669</v>
      </c>
      <c r="N1091" s="9">
        <v>1001</v>
      </c>
      <c r="O1091" s="9">
        <v>1910</v>
      </c>
      <c r="P1091" s="9">
        <v>0</v>
      </c>
      <c r="R1091" s="11"/>
      <c r="S1091" s="9"/>
      <c r="T1091" s="9"/>
      <c r="U1091" s="9"/>
    </row>
    <row r="1092" spans="2:21" x14ac:dyDescent="0.4">
      <c r="B1092" s="16">
        <f t="shared" si="102"/>
        <v>43489</v>
      </c>
      <c r="C1092" s="1">
        <f t="shared" si="103"/>
        <v>4660</v>
      </c>
      <c r="D1092" s="1">
        <f t="shared" si="104"/>
        <v>1041</v>
      </c>
      <c r="E1092" s="1">
        <f t="shared" si="105"/>
        <v>1910</v>
      </c>
      <c r="F1092" s="1"/>
      <c r="L1092" s="11">
        <v>43489</v>
      </c>
      <c r="M1092" s="9">
        <v>4660</v>
      </c>
      <c r="N1092" s="9">
        <v>1041</v>
      </c>
      <c r="O1092" s="9">
        <v>1910</v>
      </c>
      <c r="P1092" s="9">
        <v>0</v>
      </c>
      <c r="R1092" s="11"/>
      <c r="S1092" s="9"/>
      <c r="T1092" s="9"/>
      <c r="U1092" s="9"/>
    </row>
    <row r="1093" spans="2:21" x14ac:dyDescent="0.4">
      <c r="B1093" s="16">
        <f t="shared" si="102"/>
        <v>43490</v>
      </c>
      <c r="C1093" s="1">
        <f t="shared" si="103"/>
        <v>4668</v>
      </c>
      <c r="D1093" s="1">
        <f t="shared" si="104"/>
        <v>1041</v>
      </c>
      <c r="E1093" s="1">
        <f t="shared" si="105"/>
        <v>1910</v>
      </c>
      <c r="F1093" s="1"/>
      <c r="L1093" s="11">
        <v>43490</v>
      </c>
      <c r="M1093" s="9">
        <v>4668</v>
      </c>
      <c r="N1093" s="9">
        <v>1041</v>
      </c>
      <c r="O1093" s="9">
        <v>1910</v>
      </c>
      <c r="P1093" s="9">
        <v>0</v>
      </c>
      <c r="R1093" s="11"/>
      <c r="S1093" s="9"/>
      <c r="T1093" s="9"/>
      <c r="U1093" s="9"/>
    </row>
    <row r="1094" spans="2:21" x14ac:dyDescent="0.4">
      <c r="B1094" s="16">
        <f t="shared" ref="B1094:B1157" si="106">L1094</f>
        <v>43493</v>
      </c>
      <c r="C1094" s="1">
        <f t="shared" si="103"/>
        <v>4660</v>
      </c>
      <c r="D1094" s="1">
        <f t="shared" si="104"/>
        <v>1041</v>
      </c>
      <c r="E1094" s="1">
        <f t="shared" si="105"/>
        <v>1930</v>
      </c>
      <c r="F1094" s="1"/>
      <c r="L1094" s="11">
        <v>43493</v>
      </c>
      <c r="M1094" s="9">
        <v>4660</v>
      </c>
      <c r="N1094" s="9">
        <v>1041</v>
      </c>
      <c r="O1094" s="9">
        <v>1930</v>
      </c>
      <c r="P1094" s="9">
        <v>0</v>
      </c>
      <c r="R1094" s="11"/>
      <c r="S1094" s="9"/>
      <c r="T1094" s="9"/>
      <c r="U1094" s="9"/>
    </row>
    <row r="1095" spans="2:21" x14ac:dyDescent="0.4">
      <c r="B1095" s="16">
        <f t="shared" si="106"/>
        <v>43494</v>
      </c>
      <c r="C1095" s="1">
        <f t="shared" ref="C1095:C1158" si="107">IF(M1095&lt;&gt;0,M1095,C1094)</f>
        <v>4643</v>
      </c>
      <c r="D1095" s="1">
        <f t="shared" ref="D1095:D1158" si="108">IF(N1095&lt;&gt;0,N1095,D1094)</f>
        <v>1041</v>
      </c>
      <c r="E1095" s="1">
        <f t="shared" ref="E1095:E1158" si="109">IF(O1095&lt;&gt;0,O1095,E1094)</f>
        <v>1930</v>
      </c>
      <c r="F1095" s="1"/>
      <c r="L1095" s="11">
        <v>43494</v>
      </c>
      <c r="M1095" s="9">
        <v>4643</v>
      </c>
      <c r="N1095" s="9">
        <v>1041</v>
      </c>
      <c r="O1095" s="9">
        <v>1930</v>
      </c>
      <c r="P1095" s="9">
        <v>0</v>
      </c>
      <c r="R1095" s="11"/>
      <c r="S1095" s="9"/>
      <c r="T1095" s="9"/>
      <c r="U1095" s="9"/>
    </row>
    <row r="1096" spans="2:21" x14ac:dyDescent="0.4">
      <c r="B1096" s="16">
        <f t="shared" si="106"/>
        <v>43495</v>
      </c>
      <c r="C1096" s="1">
        <f t="shared" si="107"/>
        <v>4643</v>
      </c>
      <c r="D1096" s="1">
        <f t="shared" si="108"/>
        <v>1041</v>
      </c>
      <c r="E1096" s="1">
        <f t="shared" si="109"/>
        <v>1940</v>
      </c>
      <c r="F1096" s="1"/>
      <c r="L1096" s="11">
        <v>43495</v>
      </c>
      <c r="M1096" s="9">
        <v>4643</v>
      </c>
      <c r="N1096" s="9">
        <v>1041</v>
      </c>
      <c r="O1096" s="9">
        <v>1940</v>
      </c>
      <c r="P1096" s="9">
        <v>0</v>
      </c>
      <c r="R1096" s="11"/>
      <c r="S1096" s="9"/>
      <c r="T1096" s="9"/>
      <c r="U1096" s="9"/>
    </row>
    <row r="1097" spans="2:21" x14ac:dyDescent="0.4">
      <c r="B1097" s="16">
        <f t="shared" si="106"/>
        <v>43496</v>
      </c>
      <c r="C1097" s="1">
        <f t="shared" si="107"/>
        <v>4655</v>
      </c>
      <c r="D1097" s="1">
        <f t="shared" si="108"/>
        <v>1076</v>
      </c>
      <c r="E1097" s="1">
        <f t="shared" si="109"/>
        <v>1940</v>
      </c>
      <c r="F1097" s="1"/>
      <c r="L1097" s="11">
        <v>43496</v>
      </c>
      <c r="M1097" s="9">
        <v>4655</v>
      </c>
      <c r="N1097" s="9">
        <v>1076</v>
      </c>
      <c r="O1097" s="9">
        <v>1940</v>
      </c>
      <c r="P1097" s="9">
        <v>0</v>
      </c>
      <c r="R1097" s="11"/>
      <c r="S1097" s="9"/>
      <c r="T1097" s="9"/>
      <c r="U1097" s="9"/>
    </row>
    <row r="1098" spans="2:21" x14ac:dyDescent="0.4">
      <c r="B1098" s="16">
        <f t="shared" si="106"/>
        <v>43497</v>
      </c>
      <c r="C1098" s="1">
        <f t="shared" si="107"/>
        <v>4666</v>
      </c>
      <c r="D1098" s="1">
        <f t="shared" si="108"/>
        <v>1086</v>
      </c>
      <c r="E1098" s="1">
        <f t="shared" si="109"/>
        <v>1940</v>
      </c>
      <c r="F1098" s="1"/>
      <c r="L1098" s="11">
        <v>43497</v>
      </c>
      <c r="M1098" s="9">
        <v>4666</v>
      </c>
      <c r="N1098" s="9">
        <v>1086</v>
      </c>
      <c r="O1098" s="9">
        <v>1940</v>
      </c>
      <c r="P1098" s="9">
        <v>0</v>
      </c>
      <c r="R1098" s="11"/>
      <c r="S1098" s="9"/>
      <c r="T1098" s="9"/>
      <c r="U1098" s="9"/>
    </row>
    <row r="1099" spans="2:21" x14ac:dyDescent="0.4">
      <c r="B1099" s="16">
        <f t="shared" si="106"/>
        <v>43498</v>
      </c>
      <c r="C1099" s="1">
        <f t="shared" si="107"/>
        <v>4663</v>
      </c>
      <c r="D1099" s="1">
        <f t="shared" si="108"/>
        <v>1086</v>
      </c>
      <c r="E1099" s="1">
        <f t="shared" si="109"/>
        <v>1930</v>
      </c>
      <c r="F1099" s="1"/>
      <c r="L1099" s="11">
        <v>43498</v>
      </c>
      <c r="M1099" s="9">
        <v>4663</v>
      </c>
      <c r="N1099" s="9">
        <v>0</v>
      </c>
      <c r="O1099" s="9">
        <v>1930</v>
      </c>
      <c r="P1099" s="9">
        <v>0</v>
      </c>
      <c r="R1099" s="11"/>
      <c r="S1099" s="9"/>
      <c r="T1099" s="9"/>
      <c r="U1099" s="9"/>
    </row>
    <row r="1100" spans="2:21" x14ac:dyDescent="0.4">
      <c r="B1100" s="16">
        <f t="shared" si="106"/>
        <v>43499</v>
      </c>
      <c r="C1100" s="1">
        <f t="shared" si="107"/>
        <v>4663</v>
      </c>
      <c r="D1100" s="1">
        <f t="shared" si="108"/>
        <v>1086</v>
      </c>
      <c r="E1100" s="1">
        <f t="shared" si="109"/>
        <v>1930</v>
      </c>
      <c r="F1100" s="1"/>
      <c r="L1100" s="11">
        <v>43499</v>
      </c>
      <c r="M1100" s="9">
        <v>4663</v>
      </c>
      <c r="N1100" s="9">
        <v>0</v>
      </c>
      <c r="O1100" s="9">
        <v>1930</v>
      </c>
      <c r="P1100" s="9">
        <v>0</v>
      </c>
      <c r="R1100" s="11"/>
      <c r="S1100" s="9"/>
      <c r="T1100" s="9"/>
      <c r="U1100" s="9"/>
    </row>
    <row r="1101" spans="2:21" x14ac:dyDescent="0.4">
      <c r="B1101" s="16">
        <f t="shared" si="106"/>
        <v>43500</v>
      </c>
      <c r="C1101" s="1">
        <f t="shared" si="107"/>
        <v>4663</v>
      </c>
      <c r="D1101" s="1">
        <f t="shared" si="108"/>
        <v>1086</v>
      </c>
      <c r="E1101" s="1">
        <f t="shared" si="109"/>
        <v>1930</v>
      </c>
      <c r="F1101" s="1"/>
      <c r="L1101" s="11">
        <v>43500</v>
      </c>
      <c r="M1101" s="9">
        <v>0</v>
      </c>
      <c r="N1101" s="9">
        <v>1086</v>
      </c>
      <c r="O1101" s="9">
        <v>0</v>
      </c>
      <c r="P1101" s="9">
        <v>0</v>
      </c>
      <c r="R1101" s="11"/>
      <c r="S1101" s="9"/>
      <c r="T1101" s="9"/>
      <c r="U1101" s="9"/>
    </row>
    <row r="1102" spans="2:21" x14ac:dyDescent="0.4">
      <c r="B1102" s="16">
        <f t="shared" si="106"/>
        <v>43501</v>
      </c>
      <c r="C1102" s="1">
        <f t="shared" si="107"/>
        <v>4663</v>
      </c>
      <c r="D1102" s="1">
        <f t="shared" si="108"/>
        <v>1086</v>
      </c>
      <c r="E1102" s="1">
        <f t="shared" si="109"/>
        <v>1930</v>
      </c>
      <c r="F1102" s="1"/>
      <c r="L1102" s="11">
        <v>43501</v>
      </c>
      <c r="M1102" s="9">
        <v>0</v>
      </c>
      <c r="N1102" s="9">
        <v>1086</v>
      </c>
      <c r="O1102" s="9">
        <v>0</v>
      </c>
      <c r="P1102" s="9">
        <v>0</v>
      </c>
      <c r="R1102" s="11"/>
      <c r="S1102" s="9"/>
      <c r="T1102" s="9"/>
      <c r="U1102" s="9"/>
    </row>
    <row r="1103" spans="2:21" x14ac:dyDescent="0.4">
      <c r="B1103" s="16">
        <f t="shared" si="106"/>
        <v>43502</v>
      </c>
      <c r="C1103" s="1">
        <f t="shared" si="107"/>
        <v>4663</v>
      </c>
      <c r="D1103" s="1">
        <f t="shared" si="108"/>
        <v>1086</v>
      </c>
      <c r="E1103" s="1">
        <f t="shared" si="109"/>
        <v>1930</v>
      </c>
      <c r="F1103" s="1"/>
      <c r="L1103" s="11">
        <v>43502</v>
      </c>
      <c r="M1103" s="9">
        <v>0</v>
      </c>
      <c r="N1103" s="9">
        <v>1086</v>
      </c>
      <c r="O1103" s="9">
        <v>0</v>
      </c>
      <c r="P1103" s="9">
        <v>0</v>
      </c>
      <c r="R1103" s="11"/>
      <c r="S1103" s="9"/>
      <c r="T1103" s="9"/>
      <c r="U1103" s="9"/>
    </row>
    <row r="1104" spans="2:21" x14ac:dyDescent="0.4">
      <c r="B1104" s="16">
        <f t="shared" si="106"/>
        <v>43503</v>
      </c>
      <c r="C1104" s="1">
        <f t="shared" si="107"/>
        <v>4663</v>
      </c>
      <c r="D1104" s="1">
        <f t="shared" si="108"/>
        <v>1086</v>
      </c>
      <c r="E1104" s="1">
        <f t="shared" si="109"/>
        <v>1930</v>
      </c>
      <c r="F1104" s="1"/>
      <c r="L1104" s="11">
        <v>43503</v>
      </c>
      <c r="M1104" s="9">
        <v>0</v>
      </c>
      <c r="N1104" s="9">
        <v>1086</v>
      </c>
      <c r="O1104" s="9">
        <v>0</v>
      </c>
      <c r="P1104" s="9">
        <v>0</v>
      </c>
      <c r="R1104" s="11"/>
      <c r="S1104" s="9"/>
      <c r="T1104" s="9"/>
      <c r="U1104" s="9"/>
    </row>
    <row r="1105" spans="2:21" x14ac:dyDescent="0.4">
      <c r="B1105" s="16">
        <f t="shared" si="106"/>
        <v>43504</v>
      </c>
      <c r="C1105" s="1">
        <f t="shared" si="107"/>
        <v>4663</v>
      </c>
      <c r="D1105" s="1">
        <f t="shared" si="108"/>
        <v>1086</v>
      </c>
      <c r="E1105" s="1">
        <f t="shared" si="109"/>
        <v>1930</v>
      </c>
      <c r="F1105" s="1"/>
      <c r="L1105" s="11">
        <v>43504</v>
      </c>
      <c r="M1105" s="9">
        <v>0</v>
      </c>
      <c r="N1105" s="9">
        <v>1086</v>
      </c>
      <c r="O1105" s="9">
        <v>0</v>
      </c>
      <c r="P1105" s="9">
        <v>0</v>
      </c>
      <c r="R1105" s="11"/>
      <c r="S1105" s="9"/>
      <c r="T1105" s="9"/>
      <c r="U1105" s="9"/>
    </row>
    <row r="1106" spans="2:21" x14ac:dyDescent="0.4">
      <c r="B1106" s="16">
        <f t="shared" si="106"/>
        <v>43507</v>
      </c>
      <c r="C1106" s="1">
        <f t="shared" si="107"/>
        <v>4668</v>
      </c>
      <c r="D1106" s="1">
        <f t="shared" si="108"/>
        <v>1101</v>
      </c>
      <c r="E1106" s="1">
        <f t="shared" si="109"/>
        <v>1920</v>
      </c>
      <c r="F1106" s="1"/>
      <c r="L1106" s="11">
        <v>43507</v>
      </c>
      <c r="M1106" s="9">
        <v>4668</v>
      </c>
      <c r="N1106" s="9">
        <v>1101</v>
      </c>
      <c r="O1106" s="9">
        <v>1920</v>
      </c>
      <c r="P1106" s="9">
        <v>0</v>
      </c>
      <c r="R1106" s="11"/>
      <c r="S1106" s="9"/>
      <c r="T1106" s="9"/>
      <c r="U1106" s="9"/>
    </row>
    <row r="1107" spans="2:21" x14ac:dyDescent="0.4">
      <c r="B1107" s="16">
        <f t="shared" si="106"/>
        <v>43508</v>
      </c>
      <c r="C1107" s="1">
        <f t="shared" si="107"/>
        <v>4681</v>
      </c>
      <c r="D1107" s="1">
        <f t="shared" si="108"/>
        <v>1131</v>
      </c>
      <c r="E1107" s="1">
        <f t="shared" si="109"/>
        <v>1910</v>
      </c>
      <c r="F1107" s="1"/>
      <c r="L1107" s="11">
        <v>43508</v>
      </c>
      <c r="M1107" s="9">
        <v>4681</v>
      </c>
      <c r="N1107" s="9">
        <v>1131</v>
      </c>
      <c r="O1107" s="9">
        <v>1910</v>
      </c>
      <c r="P1107" s="9">
        <v>0</v>
      </c>
      <c r="R1107" s="11"/>
      <c r="S1107" s="9"/>
      <c r="T1107" s="9"/>
      <c r="U1107" s="9"/>
    </row>
    <row r="1108" spans="2:21" x14ac:dyDescent="0.4">
      <c r="B1108" s="16">
        <f t="shared" si="106"/>
        <v>43509</v>
      </c>
      <c r="C1108" s="1">
        <f t="shared" si="107"/>
        <v>4663</v>
      </c>
      <c r="D1108" s="1">
        <f t="shared" si="108"/>
        <v>1161</v>
      </c>
      <c r="E1108" s="1">
        <f t="shared" si="109"/>
        <v>1910</v>
      </c>
      <c r="F1108" s="1"/>
      <c r="L1108" s="11">
        <v>43509</v>
      </c>
      <c r="M1108" s="9">
        <v>4663</v>
      </c>
      <c r="N1108" s="9">
        <v>1161</v>
      </c>
      <c r="O1108" s="9">
        <v>1910</v>
      </c>
      <c r="P1108" s="9">
        <v>0</v>
      </c>
      <c r="R1108" s="11"/>
      <c r="S1108" s="9"/>
      <c r="T1108" s="9"/>
      <c r="U1108" s="9"/>
    </row>
    <row r="1109" spans="2:21" x14ac:dyDescent="0.4">
      <c r="B1109" s="16">
        <f t="shared" si="106"/>
        <v>43510</v>
      </c>
      <c r="C1109" s="1">
        <f t="shared" si="107"/>
        <v>4653</v>
      </c>
      <c r="D1109" s="1">
        <f t="shared" si="108"/>
        <v>1181</v>
      </c>
      <c r="E1109" s="1">
        <f t="shared" si="109"/>
        <v>1920</v>
      </c>
      <c r="F1109" s="1"/>
      <c r="L1109" s="11">
        <v>43510</v>
      </c>
      <c r="M1109" s="9">
        <v>4653</v>
      </c>
      <c r="N1109" s="9">
        <v>1181</v>
      </c>
      <c r="O1109" s="9">
        <v>1920</v>
      </c>
      <c r="P1109" s="9">
        <v>0</v>
      </c>
      <c r="R1109" s="11"/>
      <c r="S1109" s="9"/>
      <c r="T1109" s="9"/>
      <c r="U1109" s="9"/>
    </row>
    <row r="1110" spans="2:21" x14ac:dyDescent="0.4">
      <c r="B1110" s="16">
        <f t="shared" si="106"/>
        <v>43511</v>
      </c>
      <c r="C1110" s="1">
        <f t="shared" si="107"/>
        <v>4644</v>
      </c>
      <c r="D1110" s="1">
        <f t="shared" si="108"/>
        <v>1196</v>
      </c>
      <c r="E1110" s="1">
        <f t="shared" si="109"/>
        <v>1920</v>
      </c>
      <c r="F1110" s="1"/>
      <c r="L1110" s="11">
        <v>43511</v>
      </c>
      <c r="M1110" s="9">
        <v>4644</v>
      </c>
      <c r="N1110" s="9">
        <v>1196</v>
      </c>
      <c r="O1110" s="9">
        <v>1920</v>
      </c>
      <c r="P1110" s="9">
        <v>0</v>
      </c>
      <c r="R1110" s="11"/>
      <c r="S1110" s="9"/>
      <c r="T1110" s="9"/>
      <c r="U1110" s="9"/>
    </row>
    <row r="1111" spans="2:21" x14ac:dyDescent="0.4">
      <c r="B1111" s="16">
        <f t="shared" si="106"/>
        <v>43514</v>
      </c>
      <c r="C1111" s="1">
        <f t="shared" si="107"/>
        <v>4649</v>
      </c>
      <c r="D1111" s="1">
        <f t="shared" si="108"/>
        <v>1201</v>
      </c>
      <c r="E1111" s="1">
        <f t="shared" si="109"/>
        <v>1910</v>
      </c>
      <c r="F1111" s="1"/>
      <c r="L1111" s="11">
        <v>43514</v>
      </c>
      <c r="M1111" s="9">
        <v>4649</v>
      </c>
      <c r="N1111" s="9">
        <v>1201</v>
      </c>
      <c r="O1111" s="9">
        <v>1910</v>
      </c>
      <c r="P1111" s="9">
        <v>0</v>
      </c>
      <c r="R1111" s="11"/>
      <c r="S1111" s="9"/>
      <c r="T1111" s="9"/>
      <c r="U1111" s="9"/>
    </row>
    <row r="1112" spans="2:21" x14ac:dyDescent="0.4">
      <c r="B1112" s="16">
        <f t="shared" si="106"/>
        <v>43515</v>
      </c>
      <c r="C1112" s="1">
        <f t="shared" si="107"/>
        <v>4647</v>
      </c>
      <c r="D1112" s="1">
        <f t="shared" si="108"/>
        <v>1201</v>
      </c>
      <c r="E1112" s="1">
        <f t="shared" si="109"/>
        <v>1910</v>
      </c>
      <c r="F1112" s="1"/>
      <c r="L1112" s="11">
        <v>43515</v>
      </c>
      <c r="M1112" s="9">
        <v>4647</v>
      </c>
      <c r="N1112" s="9">
        <v>1201</v>
      </c>
      <c r="O1112" s="9">
        <v>1910</v>
      </c>
      <c r="P1112" s="9">
        <v>0</v>
      </c>
      <c r="R1112" s="11"/>
      <c r="S1112" s="9"/>
      <c r="T1112" s="9"/>
      <c r="U1112" s="9"/>
    </row>
    <row r="1113" spans="2:21" x14ac:dyDescent="0.4">
      <c r="B1113" s="16">
        <f t="shared" si="106"/>
        <v>43516</v>
      </c>
      <c r="C1113" s="1">
        <f t="shared" si="107"/>
        <v>4644</v>
      </c>
      <c r="D1113" s="1">
        <f t="shared" si="108"/>
        <v>1201</v>
      </c>
      <c r="E1113" s="1">
        <f t="shared" si="109"/>
        <v>1905</v>
      </c>
      <c r="F1113" s="1"/>
      <c r="L1113" s="11">
        <v>43516</v>
      </c>
      <c r="M1113" s="9">
        <v>4644</v>
      </c>
      <c r="N1113" s="9">
        <v>1201</v>
      </c>
      <c r="O1113" s="9">
        <v>1905</v>
      </c>
      <c r="P1113" s="9">
        <v>0</v>
      </c>
      <c r="R1113" s="11"/>
      <c r="S1113" s="9"/>
      <c r="T1113" s="9"/>
      <c r="U1113" s="9"/>
    </row>
    <row r="1114" spans="2:21" x14ac:dyDescent="0.4">
      <c r="B1114" s="16">
        <f t="shared" si="106"/>
        <v>43517</v>
      </c>
      <c r="C1114" s="1">
        <f t="shared" si="107"/>
        <v>4647</v>
      </c>
      <c r="D1114" s="1">
        <f t="shared" si="108"/>
        <v>1201</v>
      </c>
      <c r="E1114" s="1">
        <f t="shared" si="109"/>
        <v>1900</v>
      </c>
      <c r="F1114" s="1"/>
      <c r="L1114" s="11">
        <v>43517</v>
      </c>
      <c r="M1114" s="9">
        <v>4647</v>
      </c>
      <c r="N1114" s="9">
        <v>1201</v>
      </c>
      <c r="O1114" s="9">
        <v>1900</v>
      </c>
      <c r="P1114" s="9">
        <v>0</v>
      </c>
      <c r="R1114" s="11"/>
      <c r="S1114" s="9"/>
      <c r="T1114" s="9"/>
      <c r="U1114" s="9"/>
    </row>
    <row r="1115" spans="2:21" x14ac:dyDescent="0.4">
      <c r="B1115" s="16">
        <f t="shared" si="106"/>
        <v>43518</v>
      </c>
      <c r="C1115" s="1">
        <f t="shared" si="107"/>
        <v>4643</v>
      </c>
      <c r="D1115" s="1">
        <f t="shared" si="108"/>
        <v>1201</v>
      </c>
      <c r="E1115" s="1">
        <f t="shared" si="109"/>
        <v>1900</v>
      </c>
      <c r="F1115" s="1"/>
      <c r="L1115" s="11">
        <v>43518</v>
      </c>
      <c r="M1115" s="9">
        <v>4643</v>
      </c>
      <c r="N1115" s="9">
        <v>1201</v>
      </c>
      <c r="O1115" s="9">
        <v>1900</v>
      </c>
      <c r="P1115" s="9">
        <v>0</v>
      </c>
      <c r="R1115" s="11"/>
      <c r="S1115" s="9"/>
      <c r="T1115" s="9"/>
      <c r="U1115" s="9"/>
    </row>
    <row r="1116" spans="2:21" x14ac:dyDescent="0.4">
      <c r="B1116" s="16">
        <f t="shared" si="106"/>
        <v>43521</v>
      </c>
      <c r="C1116" s="1">
        <f t="shared" si="107"/>
        <v>4642</v>
      </c>
      <c r="D1116" s="1">
        <f t="shared" si="108"/>
        <v>1196</v>
      </c>
      <c r="E1116" s="1">
        <f t="shared" si="109"/>
        <v>1900</v>
      </c>
      <c r="F1116" s="1"/>
      <c r="L1116" s="11">
        <v>43521</v>
      </c>
      <c r="M1116" s="9">
        <v>4642</v>
      </c>
      <c r="N1116" s="9">
        <v>1196</v>
      </c>
      <c r="O1116" s="9">
        <v>1900</v>
      </c>
      <c r="P1116" s="9">
        <v>0</v>
      </c>
      <c r="R1116" s="11"/>
      <c r="S1116" s="9"/>
      <c r="T1116" s="9"/>
      <c r="U1116" s="9"/>
    </row>
    <row r="1117" spans="2:21" x14ac:dyDescent="0.4">
      <c r="B1117" s="16">
        <f t="shared" si="106"/>
        <v>43522</v>
      </c>
      <c r="C1117" s="1">
        <f t="shared" si="107"/>
        <v>4646</v>
      </c>
      <c r="D1117" s="1">
        <f t="shared" si="108"/>
        <v>1196</v>
      </c>
      <c r="E1117" s="1">
        <f t="shared" si="109"/>
        <v>1900</v>
      </c>
      <c r="F1117" s="1"/>
      <c r="L1117" s="11">
        <v>43522</v>
      </c>
      <c r="M1117" s="9">
        <v>4646</v>
      </c>
      <c r="N1117" s="9">
        <v>1196</v>
      </c>
      <c r="O1117" s="9">
        <v>1900</v>
      </c>
      <c r="P1117" s="9">
        <v>0</v>
      </c>
      <c r="R1117" s="11"/>
      <c r="S1117" s="9"/>
      <c r="T1117" s="9"/>
      <c r="U1117" s="9"/>
    </row>
    <row r="1118" spans="2:21" x14ac:dyDescent="0.4">
      <c r="B1118" s="16">
        <f t="shared" si="106"/>
        <v>43523</v>
      </c>
      <c r="C1118" s="1">
        <f t="shared" si="107"/>
        <v>4635</v>
      </c>
      <c r="D1118" s="1">
        <f t="shared" si="108"/>
        <v>1191</v>
      </c>
      <c r="E1118" s="1">
        <f t="shared" si="109"/>
        <v>1905</v>
      </c>
      <c r="F1118" s="1"/>
      <c r="L1118" s="11">
        <v>43523</v>
      </c>
      <c r="M1118" s="9">
        <v>4635</v>
      </c>
      <c r="N1118" s="9">
        <v>1191</v>
      </c>
      <c r="O1118" s="9">
        <v>1905</v>
      </c>
      <c r="P1118" s="9">
        <v>0</v>
      </c>
      <c r="R1118" s="11"/>
      <c r="S1118" s="9"/>
      <c r="T1118" s="9"/>
      <c r="U1118" s="9"/>
    </row>
    <row r="1119" spans="2:21" x14ac:dyDescent="0.4">
      <c r="B1119" s="16">
        <f t="shared" si="106"/>
        <v>43524</v>
      </c>
      <c r="C1119" s="1">
        <f t="shared" si="107"/>
        <v>4631</v>
      </c>
      <c r="D1119" s="1">
        <f t="shared" si="108"/>
        <v>1176</v>
      </c>
      <c r="E1119" s="1">
        <f t="shared" si="109"/>
        <v>1915</v>
      </c>
      <c r="F1119" s="1"/>
      <c r="L1119" s="11">
        <v>43524</v>
      </c>
      <c r="M1119" s="9">
        <v>4631</v>
      </c>
      <c r="N1119" s="9">
        <v>1176</v>
      </c>
      <c r="O1119" s="9">
        <v>1915</v>
      </c>
      <c r="P1119" s="9">
        <v>0</v>
      </c>
      <c r="R1119" s="11"/>
      <c r="S1119" s="9"/>
      <c r="T1119" s="9"/>
      <c r="U1119" s="9"/>
    </row>
    <row r="1120" spans="2:21" x14ac:dyDescent="0.4">
      <c r="B1120" s="16">
        <f t="shared" si="106"/>
        <v>43525</v>
      </c>
      <c r="C1120" s="1">
        <f t="shared" si="107"/>
        <v>4637</v>
      </c>
      <c r="D1120" s="1">
        <f t="shared" si="108"/>
        <v>1151</v>
      </c>
      <c r="E1120" s="1">
        <f t="shared" si="109"/>
        <v>1915</v>
      </c>
      <c r="F1120" s="1"/>
      <c r="L1120" s="11">
        <v>43525</v>
      </c>
      <c r="M1120" s="9">
        <v>4637</v>
      </c>
      <c r="N1120" s="9">
        <v>1151</v>
      </c>
      <c r="O1120" s="9">
        <v>1915</v>
      </c>
      <c r="P1120" s="9">
        <v>0</v>
      </c>
      <c r="R1120" s="11"/>
      <c r="S1120" s="9"/>
      <c r="T1120" s="9"/>
      <c r="U1120" s="9"/>
    </row>
    <row r="1121" spans="2:21" x14ac:dyDescent="0.4">
      <c r="B1121" s="16">
        <f t="shared" si="106"/>
        <v>43528</v>
      </c>
      <c r="C1121" s="1">
        <f t="shared" si="107"/>
        <v>4673</v>
      </c>
      <c r="D1121" s="1">
        <f t="shared" si="108"/>
        <v>1131</v>
      </c>
      <c r="E1121" s="1">
        <f t="shared" si="109"/>
        <v>1915</v>
      </c>
      <c r="F1121" s="1"/>
      <c r="L1121" s="11">
        <v>43528</v>
      </c>
      <c r="M1121" s="9">
        <v>4673</v>
      </c>
      <c r="N1121" s="9">
        <v>1131</v>
      </c>
      <c r="O1121" s="9">
        <v>1915</v>
      </c>
      <c r="P1121" s="9">
        <v>0</v>
      </c>
      <c r="R1121" s="11"/>
      <c r="S1121" s="9"/>
      <c r="T1121" s="9"/>
      <c r="U1121" s="9"/>
    </row>
    <row r="1122" spans="2:21" x14ac:dyDescent="0.4">
      <c r="B1122" s="16">
        <f t="shared" si="106"/>
        <v>43529</v>
      </c>
      <c r="C1122" s="1">
        <f t="shared" si="107"/>
        <v>4672</v>
      </c>
      <c r="D1122" s="1">
        <f t="shared" si="108"/>
        <v>1101</v>
      </c>
      <c r="E1122" s="1">
        <f t="shared" si="109"/>
        <v>1920</v>
      </c>
      <c r="F1122" s="1"/>
      <c r="L1122" s="11">
        <v>43529</v>
      </c>
      <c r="M1122" s="9">
        <v>4672</v>
      </c>
      <c r="N1122" s="9">
        <v>1101</v>
      </c>
      <c r="O1122" s="9">
        <v>1920</v>
      </c>
      <c r="P1122" s="9">
        <v>0</v>
      </c>
      <c r="R1122" s="11"/>
      <c r="S1122" s="9"/>
      <c r="T1122" s="9"/>
      <c r="U1122" s="9"/>
    </row>
    <row r="1123" spans="2:21" x14ac:dyDescent="0.4">
      <c r="B1123" s="16">
        <f t="shared" si="106"/>
        <v>43530</v>
      </c>
      <c r="C1123" s="1">
        <f t="shared" si="107"/>
        <v>4706</v>
      </c>
      <c r="D1123" s="1">
        <f t="shared" si="108"/>
        <v>1071</v>
      </c>
      <c r="E1123" s="1">
        <f t="shared" si="109"/>
        <v>1925</v>
      </c>
      <c r="F1123" s="1"/>
      <c r="L1123" s="11">
        <v>43530</v>
      </c>
      <c r="M1123" s="9">
        <v>4706</v>
      </c>
      <c r="N1123" s="9">
        <v>1071</v>
      </c>
      <c r="O1123" s="9">
        <v>1925</v>
      </c>
      <c r="P1123" s="9">
        <v>0</v>
      </c>
      <c r="R1123" s="11"/>
      <c r="S1123" s="9"/>
      <c r="T1123" s="9"/>
      <c r="U1123" s="9"/>
    </row>
    <row r="1124" spans="2:21" x14ac:dyDescent="0.4">
      <c r="B1124" s="16">
        <f t="shared" si="106"/>
        <v>43531</v>
      </c>
      <c r="C1124" s="1">
        <f t="shared" si="107"/>
        <v>4728</v>
      </c>
      <c r="D1124" s="1">
        <f t="shared" si="108"/>
        <v>1061</v>
      </c>
      <c r="E1124" s="1">
        <f t="shared" si="109"/>
        <v>1960</v>
      </c>
      <c r="F1124" s="1"/>
      <c r="L1124" s="11">
        <v>43531</v>
      </c>
      <c r="M1124" s="9">
        <v>4728</v>
      </c>
      <c r="N1124" s="9">
        <v>1061</v>
      </c>
      <c r="O1124" s="9">
        <v>1960</v>
      </c>
      <c r="P1124" s="9">
        <v>0</v>
      </c>
      <c r="R1124" s="11"/>
      <c r="S1124" s="9"/>
      <c r="T1124" s="9"/>
      <c r="U1124" s="9"/>
    </row>
    <row r="1125" spans="2:21" x14ac:dyDescent="0.4">
      <c r="B1125" s="16">
        <f t="shared" si="106"/>
        <v>43532</v>
      </c>
      <c r="C1125" s="1">
        <f t="shared" si="107"/>
        <v>4726</v>
      </c>
      <c r="D1125" s="1">
        <f t="shared" si="108"/>
        <v>1031</v>
      </c>
      <c r="E1125" s="1">
        <f t="shared" si="109"/>
        <v>1960</v>
      </c>
      <c r="F1125" s="1"/>
      <c r="L1125" s="11">
        <v>43532</v>
      </c>
      <c r="M1125" s="9">
        <v>4726</v>
      </c>
      <c r="N1125" s="9">
        <v>1031</v>
      </c>
      <c r="O1125" s="9">
        <v>1960</v>
      </c>
      <c r="P1125" s="9">
        <v>0</v>
      </c>
      <c r="R1125" s="11"/>
      <c r="S1125" s="9"/>
      <c r="T1125" s="9"/>
      <c r="U1125" s="9"/>
    </row>
    <row r="1126" spans="2:21" x14ac:dyDescent="0.4">
      <c r="B1126" s="16">
        <f t="shared" si="106"/>
        <v>43535</v>
      </c>
      <c r="C1126" s="1">
        <f t="shared" si="107"/>
        <v>4725</v>
      </c>
      <c r="D1126" s="1">
        <f t="shared" si="108"/>
        <v>1031</v>
      </c>
      <c r="E1126" s="1">
        <f t="shared" si="109"/>
        <v>1970</v>
      </c>
      <c r="F1126" s="1"/>
      <c r="L1126" s="11">
        <v>43535</v>
      </c>
      <c r="M1126" s="9">
        <v>4725</v>
      </c>
      <c r="N1126" s="9">
        <v>1031</v>
      </c>
      <c r="O1126" s="9">
        <v>1970</v>
      </c>
      <c r="P1126" s="9">
        <v>0</v>
      </c>
      <c r="R1126" s="11"/>
      <c r="S1126" s="9"/>
      <c r="T1126" s="9"/>
      <c r="U1126" s="9"/>
    </row>
    <row r="1127" spans="2:21" x14ac:dyDescent="0.4">
      <c r="B1127" s="16">
        <f t="shared" si="106"/>
        <v>43536</v>
      </c>
      <c r="C1127" s="1">
        <f t="shared" si="107"/>
        <v>4710</v>
      </c>
      <c r="D1127" s="1">
        <f t="shared" si="108"/>
        <v>1031</v>
      </c>
      <c r="E1127" s="1">
        <f t="shared" si="109"/>
        <v>1960</v>
      </c>
      <c r="F1127" s="1"/>
      <c r="L1127" s="11">
        <v>43536</v>
      </c>
      <c r="M1127" s="9">
        <v>4710</v>
      </c>
      <c r="N1127" s="9">
        <v>1031</v>
      </c>
      <c r="O1127" s="9">
        <v>1960</v>
      </c>
      <c r="P1127" s="9">
        <v>0</v>
      </c>
      <c r="R1127" s="11"/>
      <c r="S1127" s="9"/>
      <c r="T1127" s="9"/>
      <c r="U1127" s="9"/>
    </row>
    <row r="1128" spans="2:21" x14ac:dyDescent="0.4">
      <c r="B1128" s="16">
        <f t="shared" si="106"/>
        <v>43537</v>
      </c>
      <c r="C1128" s="1">
        <f t="shared" si="107"/>
        <v>4706</v>
      </c>
      <c r="D1128" s="1">
        <f t="shared" si="108"/>
        <v>1031</v>
      </c>
      <c r="E1128" s="1">
        <f t="shared" si="109"/>
        <v>1960</v>
      </c>
      <c r="F1128" s="1"/>
      <c r="L1128" s="11">
        <v>43537</v>
      </c>
      <c r="M1128" s="9">
        <v>4706</v>
      </c>
      <c r="N1128" s="9">
        <v>1031</v>
      </c>
      <c r="O1128" s="9">
        <v>1960</v>
      </c>
      <c r="P1128" s="9">
        <v>0</v>
      </c>
      <c r="R1128" s="11"/>
      <c r="S1128" s="9"/>
      <c r="T1128" s="9"/>
      <c r="U1128" s="9"/>
    </row>
    <row r="1129" spans="2:21" x14ac:dyDescent="0.4">
      <c r="B1129" s="16">
        <f t="shared" si="106"/>
        <v>43538</v>
      </c>
      <c r="C1129" s="1">
        <f t="shared" si="107"/>
        <v>4705</v>
      </c>
      <c r="D1129" s="1">
        <f t="shared" si="108"/>
        <v>1056</v>
      </c>
      <c r="E1129" s="1">
        <f t="shared" si="109"/>
        <v>1960</v>
      </c>
      <c r="F1129" s="1"/>
      <c r="L1129" s="11">
        <v>43538</v>
      </c>
      <c r="M1129" s="9">
        <v>4705</v>
      </c>
      <c r="N1129" s="9">
        <v>1056</v>
      </c>
      <c r="O1129" s="9">
        <v>1960</v>
      </c>
      <c r="P1129" s="9">
        <v>0</v>
      </c>
      <c r="R1129" s="11"/>
      <c r="S1129" s="9"/>
      <c r="T1129" s="9"/>
      <c r="U1129" s="9"/>
    </row>
    <row r="1130" spans="2:21" x14ac:dyDescent="0.4">
      <c r="B1130" s="16">
        <f t="shared" si="106"/>
        <v>43539</v>
      </c>
      <c r="C1130" s="1">
        <f t="shared" si="107"/>
        <v>4701</v>
      </c>
      <c r="D1130" s="1">
        <f t="shared" si="108"/>
        <v>1066</v>
      </c>
      <c r="E1130" s="1">
        <f t="shared" si="109"/>
        <v>2000</v>
      </c>
      <c r="F1130" s="1"/>
      <c r="L1130" s="11">
        <v>43539</v>
      </c>
      <c r="M1130" s="9">
        <v>4701</v>
      </c>
      <c r="N1130" s="9">
        <v>1066</v>
      </c>
      <c r="O1130" s="9">
        <v>2000</v>
      </c>
      <c r="P1130" s="9">
        <v>0</v>
      </c>
      <c r="R1130" s="11"/>
      <c r="S1130" s="9"/>
      <c r="T1130" s="9"/>
      <c r="U1130" s="9"/>
    </row>
    <row r="1131" spans="2:21" x14ac:dyDescent="0.4">
      <c r="B1131" s="16">
        <f t="shared" si="106"/>
        <v>43542</v>
      </c>
      <c r="C1131" s="1">
        <f t="shared" si="107"/>
        <v>4678</v>
      </c>
      <c r="D1131" s="1">
        <f t="shared" si="108"/>
        <v>1066</v>
      </c>
      <c r="E1131" s="1">
        <f t="shared" si="109"/>
        <v>2010</v>
      </c>
      <c r="F1131" s="1"/>
      <c r="L1131" s="11">
        <v>43542</v>
      </c>
      <c r="M1131" s="9">
        <v>4678</v>
      </c>
      <c r="N1131" s="9">
        <v>1066</v>
      </c>
      <c r="O1131" s="9">
        <v>2010</v>
      </c>
      <c r="P1131" s="9">
        <v>0</v>
      </c>
      <c r="R1131" s="11"/>
      <c r="S1131" s="9"/>
      <c r="T1131" s="9"/>
      <c r="U1131" s="9"/>
    </row>
    <row r="1132" spans="2:21" x14ac:dyDescent="0.4">
      <c r="B1132" s="16">
        <f t="shared" si="106"/>
        <v>43543</v>
      </c>
      <c r="C1132" s="1">
        <f t="shared" si="107"/>
        <v>4657</v>
      </c>
      <c r="D1132" s="1">
        <f t="shared" si="108"/>
        <v>1076</v>
      </c>
      <c r="E1132" s="1">
        <f t="shared" si="109"/>
        <v>2020</v>
      </c>
      <c r="F1132" s="1"/>
      <c r="L1132" s="11">
        <v>43543</v>
      </c>
      <c r="M1132" s="9">
        <v>4657</v>
      </c>
      <c r="N1132" s="9">
        <v>1076</v>
      </c>
      <c r="O1132" s="9">
        <v>2020</v>
      </c>
      <c r="P1132" s="9">
        <v>0</v>
      </c>
      <c r="R1132" s="11"/>
      <c r="S1132" s="9"/>
      <c r="T1132" s="9"/>
      <c r="U1132" s="9"/>
    </row>
    <row r="1133" spans="2:21" x14ac:dyDescent="0.4">
      <c r="B1133" s="16">
        <f t="shared" si="106"/>
        <v>43544</v>
      </c>
      <c r="C1133" s="1">
        <f t="shared" si="107"/>
        <v>4645</v>
      </c>
      <c r="D1133" s="1">
        <f t="shared" si="108"/>
        <v>1091</v>
      </c>
      <c r="E1133" s="1">
        <f t="shared" si="109"/>
        <v>2040</v>
      </c>
      <c r="F1133" s="1"/>
      <c r="L1133" s="11">
        <v>43544</v>
      </c>
      <c r="M1133" s="9">
        <v>4645</v>
      </c>
      <c r="N1133" s="9">
        <v>1091</v>
      </c>
      <c r="O1133" s="9">
        <v>2040</v>
      </c>
      <c r="P1133" s="9">
        <v>0</v>
      </c>
      <c r="R1133" s="11"/>
      <c r="S1133" s="9"/>
      <c r="T1133" s="9"/>
      <c r="U1133" s="9"/>
    </row>
    <row r="1134" spans="2:21" x14ac:dyDescent="0.4">
      <c r="B1134" s="16">
        <f t="shared" si="106"/>
        <v>43545</v>
      </c>
      <c r="C1134" s="1">
        <f t="shared" si="107"/>
        <v>4646</v>
      </c>
      <c r="D1134" s="1">
        <f t="shared" si="108"/>
        <v>1096</v>
      </c>
      <c r="E1134" s="1">
        <f t="shared" si="109"/>
        <v>2050</v>
      </c>
      <c r="F1134" s="1"/>
      <c r="L1134" s="11">
        <v>43545</v>
      </c>
      <c r="M1134" s="9">
        <v>4646</v>
      </c>
      <c r="N1134" s="9">
        <v>1096</v>
      </c>
      <c r="O1134" s="9">
        <v>2050</v>
      </c>
      <c r="P1134" s="9">
        <v>0</v>
      </c>
      <c r="R1134" s="11"/>
      <c r="S1134" s="9"/>
      <c r="T1134" s="9"/>
      <c r="U1134" s="9"/>
    </row>
    <row r="1135" spans="2:21" x14ac:dyDescent="0.4">
      <c r="B1135" s="16">
        <f t="shared" si="106"/>
        <v>43546</v>
      </c>
      <c r="C1135" s="1">
        <f t="shared" si="107"/>
        <v>4654</v>
      </c>
      <c r="D1135" s="1">
        <f t="shared" si="108"/>
        <v>1096</v>
      </c>
      <c r="E1135" s="1">
        <f t="shared" si="109"/>
        <v>2050</v>
      </c>
      <c r="F1135" s="1"/>
      <c r="L1135" s="11">
        <v>43546</v>
      </c>
      <c r="M1135" s="9">
        <v>4654</v>
      </c>
      <c r="N1135" s="9">
        <v>1096</v>
      </c>
      <c r="O1135" s="9">
        <v>2050</v>
      </c>
      <c r="P1135" s="9">
        <v>0</v>
      </c>
      <c r="R1135" s="11"/>
      <c r="S1135" s="9"/>
      <c r="T1135" s="9"/>
      <c r="U1135" s="9"/>
    </row>
    <row r="1136" spans="2:21" x14ac:dyDescent="0.4">
      <c r="B1136" s="16">
        <f t="shared" si="106"/>
        <v>43549</v>
      </c>
      <c r="C1136" s="1">
        <f t="shared" si="107"/>
        <v>4654</v>
      </c>
      <c r="D1136" s="1">
        <f t="shared" si="108"/>
        <v>1096</v>
      </c>
      <c r="E1136" s="1">
        <f t="shared" si="109"/>
        <v>2090</v>
      </c>
      <c r="F1136" s="1"/>
      <c r="L1136" s="11">
        <v>43549</v>
      </c>
      <c r="M1136" s="9">
        <v>4654</v>
      </c>
      <c r="N1136" s="9">
        <v>1096</v>
      </c>
      <c r="O1136" s="9">
        <v>2090</v>
      </c>
      <c r="P1136" s="9">
        <v>0</v>
      </c>
      <c r="R1136" s="11"/>
      <c r="S1136" s="9"/>
      <c r="T1136" s="9"/>
      <c r="U1136" s="9"/>
    </row>
    <row r="1137" spans="2:21" x14ac:dyDescent="0.4">
      <c r="B1137" s="16">
        <f t="shared" si="106"/>
        <v>43550</v>
      </c>
      <c r="C1137" s="1">
        <f t="shared" si="107"/>
        <v>4658</v>
      </c>
      <c r="D1137" s="1">
        <f t="shared" si="108"/>
        <v>1096</v>
      </c>
      <c r="E1137" s="1">
        <f t="shared" si="109"/>
        <v>2100</v>
      </c>
      <c r="F1137" s="1"/>
      <c r="L1137" s="11">
        <v>43550</v>
      </c>
      <c r="M1137" s="9">
        <v>4658</v>
      </c>
      <c r="N1137" s="9">
        <v>1096</v>
      </c>
      <c r="O1137" s="9">
        <v>2100</v>
      </c>
      <c r="P1137" s="9">
        <v>0</v>
      </c>
      <c r="R1137" s="11"/>
      <c r="S1137" s="9"/>
      <c r="T1137" s="9"/>
      <c r="U1137" s="9"/>
    </row>
    <row r="1138" spans="2:21" x14ac:dyDescent="0.4">
      <c r="B1138" s="16">
        <f t="shared" si="106"/>
        <v>43551</v>
      </c>
      <c r="C1138" s="1">
        <f t="shared" si="107"/>
        <v>4656</v>
      </c>
      <c r="D1138" s="1">
        <f t="shared" si="108"/>
        <v>1096</v>
      </c>
      <c r="E1138" s="1">
        <f t="shared" si="109"/>
        <v>2110</v>
      </c>
      <c r="F1138" s="1"/>
      <c r="L1138" s="11">
        <v>43551</v>
      </c>
      <c r="M1138" s="9">
        <v>4656</v>
      </c>
      <c r="N1138" s="9">
        <v>1096</v>
      </c>
      <c r="O1138" s="9">
        <v>2110</v>
      </c>
      <c r="P1138" s="9">
        <v>0</v>
      </c>
      <c r="R1138" s="11"/>
      <c r="S1138" s="9"/>
      <c r="T1138" s="9"/>
      <c r="U1138" s="9"/>
    </row>
    <row r="1139" spans="2:21" x14ac:dyDescent="0.4">
      <c r="B1139" s="16">
        <f t="shared" si="106"/>
        <v>43552</v>
      </c>
      <c r="C1139" s="1">
        <f t="shared" si="107"/>
        <v>4644</v>
      </c>
      <c r="D1139" s="1">
        <f t="shared" si="108"/>
        <v>1051</v>
      </c>
      <c r="E1139" s="1">
        <f t="shared" si="109"/>
        <v>2120</v>
      </c>
      <c r="F1139" s="1"/>
      <c r="L1139" s="11">
        <v>43552</v>
      </c>
      <c r="M1139" s="9">
        <v>4644</v>
      </c>
      <c r="N1139" s="9">
        <v>1051</v>
      </c>
      <c r="O1139" s="9">
        <v>2120</v>
      </c>
      <c r="P1139" s="9">
        <v>0</v>
      </c>
      <c r="R1139" s="11"/>
      <c r="S1139" s="9"/>
      <c r="T1139" s="9"/>
      <c r="U1139" s="9"/>
    </row>
    <row r="1140" spans="2:21" x14ac:dyDescent="0.4">
      <c r="B1140" s="16">
        <f t="shared" si="106"/>
        <v>43553</v>
      </c>
      <c r="C1140" s="1">
        <f t="shared" si="107"/>
        <v>4653</v>
      </c>
      <c r="D1140" s="1">
        <f t="shared" si="108"/>
        <v>1021</v>
      </c>
      <c r="E1140" s="1">
        <f t="shared" si="109"/>
        <v>2140</v>
      </c>
      <c r="F1140" s="1"/>
      <c r="L1140" s="11">
        <v>43553</v>
      </c>
      <c r="M1140" s="9">
        <v>4653</v>
      </c>
      <c r="N1140" s="9">
        <v>1021</v>
      </c>
      <c r="O1140" s="9">
        <v>2140</v>
      </c>
      <c r="P1140" s="9">
        <v>0</v>
      </c>
      <c r="R1140" s="11"/>
      <c r="S1140" s="9"/>
      <c r="T1140" s="9"/>
      <c r="U1140" s="9"/>
    </row>
    <row r="1141" spans="2:21" x14ac:dyDescent="0.4">
      <c r="B1141" s="16">
        <f t="shared" si="106"/>
        <v>43556</v>
      </c>
      <c r="C1141" s="1">
        <f t="shared" si="107"/>
        <v>4654</v>
      </c>
      <c r="D1141" s="1">
        <f t="shared" si="108"/>
        <v>1021</v>
      </c>
      <c r="E1141" s="1">
        <f t="shared" si="109"/>
        <v>2140</v>
      </c>
      <c r="F1141" s="1"/>
      <c r="L1141" s="11">
        <v>43556</v>
      </c>
      <c r="M1141" s="9">
        <v>4654</v>
      </c>
      <c r="N1141" s="9">
        <v>1021</v>
      </c>
      <c r="O1141" s="9">
        <v>2140</v>
      </c>
      <c r="P1141" s="9">
        <v>0</v>
      </c>
      <c r="R1141" s="11"/>
      <c r="S1141" s="9"/>
      <c r="T1141" s="9"/>
      <c r="U1141" s="9"/>
    </row>
    <row r="1142" spans="2:21" x14ac:dyDescent="0.4">
      <c r="B1142" s="16">
        <f t="shared" si="106"/>
        <v>43557</v>
      </c>
      <c r="C1142" s="1">
        <f t="shared" si="107"/>
        <v>4641</v>
      </c>
      <c r="D1142" s="1">
        <f t="shared" si="108"/>
        <v>1021</v>
      </c>
      <c r="E1142" s="1">
        <f t="shared" si="109"/>
        <v>2130</v>
      </c>
      <c r="F1142" s="1"/>
      <c r="L1142" s="11">
        <v>43557</v>
      </c>
      <c r="M1142" s="9">
        <v>4641</v>
      </c>
      <c r="N1142" s="9">
        <v>1021</v>
      </c>
      <c r="O1142" s="9">
        <v>2130</v>
      </c>
      <c r="P1142" s="9">
        <v>0</v>
      </c>
      <c r="R1142" s="11"/>
      <c r="S1142" s="9"/>
      <c r="T1142" s="9"/>
      <c r="U1142" s="9"/>
    </row>
    <row r="1143" spans="2:21" x14ac:dyDescent="0.4">
      <c r="B1143" s="16">
        <f t="shared" si="106"/>
        <v>43558</v>
      </c>
      <c r="C1143" s="1">
        <f t="shared" si="107"/>
        <v>4633</v>
      </c>
      <c r="D1143" s="1">
        <f t="shared" si="108"/>
        <v>1021</v>
      </c>
      <c r="E1143" s="1">
        <f t="shared" si="109"/>
        <v>2120</v>
      </c>
      <c r="F1143" s="1"/>
      <c r="L1143" s="11">
        <v>43558</v>
      </c>
      <c r="M1143" s="9">
        <v>4633</v>
      </c>
      <c r="N1143" s="9">
        <v>1021</v>
      </c>
      <c r="O1143" s="9">
        <v>2120</v>
      </c>
      <c r="P1143" s="9">
        <v>0</v>
      </c>
      <c r="R1143" s="11"/>
      <c r="S1143" s="9"/>
      <c r="T1143" s="9"/>
      <c r="U1143" s="9"/>
    </row>
    <row r="1144" spans="2:21" x14ac:dyDescent="0.4">
      <c r="B1144" s="16">
        <f t="shared" si="106"/>
        <v>43559</v>
      </c>
      <c r="C1144" s="1">
        <f t="shared" si="107"/>
        <v>4616</v>
      </c>
      <c r="D1144" s="1">
        <f t="shared" si="108"/>
        <v>1021</v>
      </c>
      <c r="E1144" s="1">
        <f t="shared" si="109"/>
        <v>2100</v>
      </c>
      <c r="F1144" s="1"/>
      <c r="L1144" s="11">
        <v>43559</v>
      </c>
      <c r="M1144" s="9">
        <v>4616</v>
      </c>
      <c r="N1144" s="9">
        <v>1021</v>
      </c>
      <c r="O1144" s="9">
        <v>2100</v>
      </c>
      <c r="P1144" s="9">
        <v>0</v>
      </c>
      <c r="R1144" s="11"/>
      <c r="S1144" s="9"/>
      <c r="T1144" s="9"/>
      <c r="U1144" s="9"/>
    </row>
    <row r="1145" spans="2:21" x14ac:dyDescent="0.4">
      <c r="B1145" s="16">
        <f t="shared" si="106"/>
        <v>43560</v>
      </c>
      <c r="C1145" s="1">
        <f t="shared" si="107"/>
        <v>4616</v>
      </c>
      <c r="D1145" s="1">
        <f t="shared" si="108"/>
        <v>1021</v>
      </c>
      <c r="E1145" s="1">
        <f t="shared" si="109"/>
        <v>2100</v>
      </c>
      <c r="F1145" s="1"/>
      <c r="L1145" s="11">
        <v>43560</v>
      </c>
      <c r="M1145" s="9">
        <v>0</v>
      </c>
      <c r="N1145" s="9">
        <v>1021</v>
      </c>
      <c r="O1145" s="9">
        <v>0</v>
      </c>
      <c r="P1145" s="9">
        <v>0</v>
      </c>
      <c r="R1145" s="11"/>
      <c r="S1145" s="9"/>
      <c r="T1145" s="9"/>
      <c r="U1145" s="9"/>
    </row>
    <row r="1146" spans="2:21" x14ac:dyDescent="0.4">
      <c r="B1146" s="16">
        <f t="shared" si="106"/>
        <v>43563</v>
      </c>
      <c r="C1146" s="1">
        <f t="shared" si="107"/>
        <v>4649</v>
      </c>
      <c r="D1146" s="1">
        <f t="shared" si="108"/>
        <v>1031</v>
      </c>
      <c r="E1146" s="1">
        <f t="shared" si="109"/>
        <v>2080</v>
      </c>
      <c r="F1146" s="1"/>
      <c r="L1146" s="11">
        <v>43563</v>
      </c>
      <c r="M1146" s="9">
        <v>4649</v>
      </c>
      <c r="N1146" s="9">
        <v>1031</v>
      </c>
      <c r="O1146" s="9">
        <v>2080</v>
      </c>
      <c r="P1146" s="9">
        <v>0</v>
      </c>
      <c r="R1146" s="11"/>
      <c r="S1146" s="9"/>
      <c r="T1146" s="9"/>
      <c r="U1146" s="9"/>
    </row>
    <row r="1147" spans="2:21" x14ac:dyDescent="0.4">
      <c r="B1147" s="16">
        <f t="shared" si="106"/>
        <v>43564</v>
      </c>
      <c r="C1147" s="1">
        <f t="shared" si="107"/>
        <v>4657</v>
      </c>
      <c r="D1147" s="1">
        <f t="shared" si="108"/>
        <v>1031</v>
      </c>
      <c r="E1147" s="1">
        <f t="shared" si="109"/>
        <v>2060</v>
      </c>
      <c r="F1147" s="1"/>
      <c r="L1147" s="11">
        <v>43564</v>
      </c>
      <c r="M1147" s="9">
        <v>4657</v>
      </c>
      <c r="N1147" s="9">
        <v>1031</v>
      </c>
      <c r="O1147" s="9">
        <v>2060</v>
      </c>
      <c r="P1147" s="9">
        <v>0</v>
      </c>
      <c r="R1147" s="11"/>
      <c r="S1147" s="9"/>
      <c r="T1147" s="9"/>
      <c r="U1147" s="9"/>
    </row>
    <row r="1148" spans="2:21" x14ac:dyDescent="0.4">
      <c r="B1148" s="16">
        <f t="shared" si="106"/>
        <v>43565</v>
      </c>
      <c r="C1148" s="1">
        <f t="shared" si="107"/>
        <v>4652</v>
      </c>
      <c r="D1148" s="1">
        <f t="shared" si="108"/>
        <v>1026</v>
      </c>
      <c r="E1148" s="1">
        <f t="shared" si="109"/>
        <v>2050</v>
      </c>
      <c r="F1148" s="1"/>
      <c r="L1148" s="11">
        <v>43565</v>
      </c>
      <c r="M1148" s="9">
        <v>4652</v>
      </c>
      <c r="N1148" s="9">
        <v>1026</v>
      </c>
      <c r="O1148" s="9">
        <v>2050</v>
      </c>
      <c r="P1148" s="9">
        <v>0</v>
      </c>
      <c r="R1148" s="11"/>
      <c r="S1148" s="9"/>
      <c r="T1148" s="9"/>
      <c r="U1148" s="9"/>
    </row>
    <row r="1149" spans="2:21" x14ac:dyDescent="0.4">
      <c r="B1149" s="16">
        <f t="shared" si="106"/>
        <v>43566</v>
      </c>
      <c r="C1149" s="1">
        <f t="shared" si="107"/>
        <v>4657</v>
      </c>
      <c r="D1149" s="1">
        <f t="shared" si="108"/>
        <v>1026</v>
      </c>
      <c r="E1149" s="1">
        <f t="shared" si="109"/>
        <v>2050</v>
      </c>
      <c r="F1149" s="1"/>
      <c r="L1149" s="11">
        <v>43566</v>
      </c>
      <c r="M1149" s="9">
        <v>4657</v>
      </c>
      <c r="N1149" s="9">
        <v>1026</v>
      </c>
      <c r="O1149" s="9">
        <v>2050</v>
      </c>
      <c r="P1149" s="9">
        <v>0</v>
      </c>
      <c r="R1149" s="11"/>
      <c r="S1149" s="9"/>
      <c r="T1149" s="9"/>
      <c r="U1149" s="9"/>
    </row>
    <row r="1150" spans="2:21" x14ac:dyDescent="0.4">
      <c r="B1150" s="16">
        <f t="shared" si="106"/>
        <v>43567</v>
      </c>
      <c r="C1150" s="1">
        <f t="shared" si="107"/>
        <v>4669</v>
      </c>
      <c r="D1150" s="1">
        <f t="shared" si="108"/>
        <v>1026</v>
      </c>
      <c r="E1150" s="1">
        <f t="shared" si="109"/>
        <v>2070</v>
      </c>
      <c r="F1150" s="1"/>
      <c r="L1150" s="11">
        <v>43567</v>
      </c>
      <c r="M1150" s="9">
        <v>4669</v>
      </c>
      <c r="N1150" s="9">
        <v>1026</v>
      </c>
      <c r="O1150" s="9">
        <v>2070</v>
      </c>
      <c r="P1150" s="9">
        <v>0</v>
      </c>
      <c r="R1150" s="11"/>
      <c r="S1150" s="9"/>
      <c r="T1150" s="9"/>
      <c r="U1150" s="9"/>
    </row>
    <row r="1151" spans="2:21" x14ac:dyDescent="0.4">
      <c r="B1151" s="16">
        <f t="shared" si="106"/>
        <v>43570</v>
      </c>
      <c r="C1151" s="1">
        <f t="shared" si="107"/>
        <v>4683</v>
      </c>
      <c r="D1151" s="1">
        <f t="shared" si="108"/>
        <v>1021</v>
      </c>
      <c r="E1151" s="1">
        <f t="shared" si="109"/>
        <v>2130</v>
      </c>
      <c r="F1151" s="1"/>
      <c r="L1151" s="11">
        <v>43570</v>
      </c>
      <c r="M1151" s="9">
        <v>4683</v>
      </c>
      <c r="N1151" s="9">
        <v>1021</v>
      </c>
      <c r="O1151" s="9">
        <v>2130</v>
      </c>
      <c r="P1151" s="9">
        <v>0</v>
      </c>
      <c r="R1151" s="11"/>
      <c r="S1151" s="9"/>
      <c r="T1151" s="9"/>
      <c r="U1151" s="9"/>
    </row>
    <row r="1152" spans="2:21" x14ac:dyDescent="0.4">
      <c r="B1152" s="16">
        <f t="shared" si="106"/>
        <v>43571</v>
      </c>
      <c r="C1152" s="1">
        <f t="shared" si="107"/>
        <v>4677</v>
      </c>
      <c r="D1152" s="1">
        <f t="shared" si="108"/>
        <v>1016</v>
      </c>
      <c r="E1152" s="1">
        <f t="shared" si="109"/>
        <v>2120</v>
      </c>
      <c r="F1152" s="1"/>
      <c r="L1152" s="11">
        <v>43571</v>
      </c>
      <c r="M1152" s="9">
        <v>4677</v>
      </c>
      <c r="N1152" s="9">
        <v>1016</v>
      </c>
      <c r="O1152" s="9">
        <v>2120</v>
      </c>
      <c r="P1152" s="9">
        <v>0</v>
      </c>
      <c r="R1152" s="11"/>
      <c r="S1152" s="9"/>
      <c r="T1152" s="9"/>
      <c r="U1152" s="9"/>
    </row>
    <row r="1153" spans="2:21" x14ac:dyDescent="0.4">
      <c r="B1153" s="16">
        <f t="shared" si="106"/>
        <v>43572</v>
      </c>
      <c r="C1153" s="1">
        <f t="shared" si="107"/>
        <v>4678</v>
      </c>
      <c r="D1153" s="1">
        <f t="shared" si="108"/>
        <v>991</v>
      </c>
      <c r="E1153" s="1">
        <f t="shared" si="109"/>
        <v>2110</v>
      </c>
      <c r="F1153" s="1"/>
      <c r="L1153" s="11">
        <v>43572</v>
      </c>
      <c r="M1153" s="9">
        <v>4678</v>
      </c>
      <c r="N1153" s="9">
        <v>991</v>
      </c>
      <c r="O1153" s="9">
        <v>2110</v>
      </c>
      <c r="P1153" s="9">
        <v>0</v>
      </c>
      <c r="R1153" s="11"/>
      <c r="S1153" s="9"/>
      <c r="T1153" s="9"/>
      <c r="U1153" s="9"/>
    </row>
    <row r="1154" spans="2:21" x14ac:dyDescent="0.4">
      <c r="B1154" s="16">
        <f t="shared" si="106"/>
        <v>43573</v>
      </c>
      <c r="C1154" s="1">
        <f t="shared" si="107"/>
        <v>4663</v>
      </c>
      <c r="D1154" s="1">
        <f t="shared" si="108"/>
        <v>991</v>
      </c>
      <c r="E1154" s="1">
        <f t="shared" si="109"/>
        <v>2100</v>
      </c>
      <c r="F1154" s="1"/>
      <c r="L1154" s="11">
        <v>43573</v>
      </c>
      <c r="M1154" s="9">
        <v>4663</v>
      </c>
      <c r="N1154" s="9">
        <v>991</v>
      </c>
      <c r="O1154" s="9">
        <v>2100</v>
      </c>
      <c r="P1154" s="9">
        <v>0</v>
      </c>
      <c r="R1154" s="11"/>
      <c r="S1154" s="9"/>
      <c r="T1154" s="9"/>
      <c r="U1154" s="9"/>
    </row>
    <row r="1155" spans="2:21" x14ac:dyDescent="0.4">
      <c r="B1155" s="16">
        <f t="shared" si="106"/>
        <v>43574</v>
      </c>
      <c r="C1155" s="1">
        <f t="shared" si="107"/>
        <v>4652</v>
      </c>
      <c r="D1155" s="1">
        <f t="shared" si="108"/>
        <v>991</v>
      </c>
      <c r="E1155" s="1">
        <f t="shared" si="109"/>
        <v>2100</v>
      </c>
      <c r="F1155" s="1"/>
      <c r="L1155" s="11">
        <v>43574</v>
      </c>
      <c r="M1155" s="9">
        <v>4652</v>
      </c>
      <c r="N1155" s="9">
        <v>0</v>
      </c>
      <c r="O1155" s="9">
        <v>2100</v>
      </c>
      <c r="P1155" s="9">
        <v>0</v>
      </c>
      <c r="R1155" s="11"/>
      <c r="S1155" s="9"/>
      <c r="T1155" s="9"/>
      <c r="U1155" s="9"/>
    </row>
    <row r="1156" spans="2:21" x14ac:dyDescent="0.4">
      <c r="B1156" s="16">
        <f t="shared" si="106"/>
        <v>43577</v>
      </c>
      <c r="C1156" s="1">
        <f t="shared" si="107"/>
        <v>4651</v>
      </c>
      <c r="D1156" s="1">
        <f t="shared" si="108"/>
        <v>991</v>
      </c>
      <c r="E1156" s="1">
        <f t="shared" si="109"/>
        <v>2080</v>
      </c>
      <c r="F1156" s="1"/>
      <c r="L1156" s="11">
        <v>43577</v>
      </c>
      <c r="M1156" s="9">
        <v>4651</v>
      </c>
      <c r="N1156" s="9">
        <v>991</v>
      </c>
      <c r="O1156" s="9">
        <v>2080</v>
      </c>
      <c r="P1156" s="9">
        <v>0</v>
      </c>
      <c r="R1156" s="11"/>
      <c r="S1156" s="9"/>
      <c r="T1156" s="9"/>
      <c r="U1156" s="9"/>
    </row>
    <row r="1157" spans="2:21" x14ac:dyDescent="0.4">
      <c r="B1157" s="16">
        <f t="shared" si="106"/>
        <v>43578</v>
      </c>
      <c r="C1157" s="1">
        <f t="shared" si="107"/>
        <v>4643</v>
      </c>
      <c r="D1157" s="1">
        <f t="shared" si="108"/>
        <v>966</v>
      </c>
      <c r="E1157" s="1">
        <f t="shared" si="109"/>
        <v>2075</v>
      </c>
      <c r="F1157" s="1"/>
      <c r="L1157" s="11">
        <v>43578</v>
      </c>
      <c r="M1157" s="9">
        <v>4643</v>
      </c>
      <c r="N1157" s="9">
        <v>966</v>
      </c>
      <c r="O1157" s="9">
        <v>2075</v>
      </c>
      <c r="P1157" s="9">
        <v>0</v>
      </c>
      <c r="R1157" s="11"/>
      <c r="S1157" s="9"/>
      <c r="T1157" s="9"/>
      <c r="U1157" s="9"/>
    </row>
    <row r="1158" spans="2:21" x14ac:dyDescent="0.4">
      <c r="B1158" s="16">
        <f t="shared" ref="B1158:B1221" si="110">L1158</f>
        <v>43579</v>
      </c>
      <c r="C1158" s="1">
        <f t="shared" si="107"/>
        <v>4634</v>
      </c>
      <c r="D1158" s="1">
        <f t="shared" si="108"/>
        <v>966</v>
      </c>
      <c r="E1158" s="1">
        <f t="shared" si="109"/>
        <v>2060</v>
      </c>
      <c r="F1158" s="1"/>
      <c r="L1158" s="11">
        <v>43579</v>
      </c>
      <c r="M1158" s="9">
        <v>4634</v>
      </c>
      <c r="N1158" s="9">
        <v>966</v>
      </c>
      <c r="O1158" s="9">
        <v>2060</v>
      </c>
      <c r="P1158" s="9">
        <v>0</v>
      </c>
      <c r="R1158" s="11"/>
      <c r="S1158" s="9"/>
      <c r="T1158" s="9"/>
      <c r="U1158" s="9"/>
    </row>
    <row r="1159" spans="2:21" x14ac:dyDescent="0.4">
      <c r="B1159" s="16">
        <f t="shared" si="110"/>
        <v>43580</v>
      </c>
      <c r="C1159" s="1">
        <f t="shared" ref="C1159:C1222" si="111">IF(M1159&lt;&gt;0,M1159,C1158)</f>
        <v>4629</v>
      </c>
      <c r="D1159" s="1">
        <f t="shared" ref="D1159:D1222" si="112">IF(N1159&lt;&gt;0,N1159,D1158)</f>
        <v>961</v>
      </c>
      <c r="E1159" s="1">
        <f t="shared" ref="E1159:E1222" si="113">IF(O1159&lt;&gt;0,O1159,E1158)</f>
        <v>2055</v>
      </c>
      <c r="F1159" s="1"/>
      <c r="L1159" s="11">
        <v>43580</v>
      </c>
      <c r="M1159" s="9">
        <v>4629</v>
      </c>
      <c r="N1159" s="9">
        <v>961</v>
      </c>
      <c r="O1159" s="9">
        <v>2055</v>
      </c>
      <c r="P1159" s="9">
        <v>0</v>
      </c>
      <c r="R1159" s="11"/>
      <c r="S1159" s="9"/>
      <c r="T1159" s="9"/>
      <c r="U1159" s="9"/>
    </row>
    <row r="1160" spans="2:21" x14ac:dyDescent="0.4">
      <c r="B1160" s="16">
        <f t="shared" si="110"/>
        <v>43581</v>
      </c>
      <c r="C1160" s="1">
        <f t="shared" si="111"/>
        <v>4618</v>
      </c>
      <c r="D1160" s="1">
        <f t="shared" si="112"/>
        <v>951</v>
      </c>
      <c r="E1160" s="1">
        <f t="shared" si="113"/>
        <v>2070</v>
      </c>
      <c r="F1160" s="1"/>
      <c r="L1160" s="11">
        <v>43581</v>
      </c>
      <c r="M1160" s="9">
        <v>4618</v>
      </c>
      <c r="N1160" s="9">
        <v>951</v>
      </c>
      <c r="O1160" s="9">
        <v>2070</v>
      </c>
      <c r="P1160" s="9">
        <v>0</v>
      </c>
      <c r="R1160" s="11"/>
      <c r="S1160" s="9"/>
      <c r="T1160" s="9"/>
      <c r="U1160" s="9"/>
    </row>
    <row r="1161" spans="2:21" x14ac:dyDescent="0.4">
      <c r="B1161" s="16">
        <f t="shared" si="110"/>
        <v>43583</v>
      </c>
      <c r="C1161" s="1">
        <f t="shared" si="111"/>
        <v>4620</v>
      </c>
      <c r="D1161" s="1">
        <f t="shared" si="112"/>
        <v>951</v>
      </c>
      <c r="E1161" s="1">
        <f t="shared" si="113"/>
        <v>2090</v>
      </c>
      <c r="F1161" s="1"/>
      <c r="L1161" s="11">
        <v>43583</v>
      </c>
      <c r="M1161" s="9">
        <v>4620</v>
      </c>
      <c r="N1161" s="9">
        <v>0</v>
      </c>
      <c r="O1161" s="9">
        <v>2090</v>
      </c>
      <c r="P1161" s="9">
        <v>0</v>
      </c>
      <c r="R1161" s="11"/>
      <c r="S1161" s="9"/>
      <c r="T1161" s="9"/>
      <c r="U1161" s="9"/>
    </row>
    <row r="1162" spans="2:21" x14ac:dyDescent="0.4">
      <c r="B1162" s="16">
        <f t="shared" si="110"/>
        <v>43584</v>
      </c>
      <c r="C1162" s="1">
        <f t="shared" si="111"/>
        <v>4621</v>
      </c>
      <c r="D1162" s="1">
        <f t="shared" si="112"/>
        <v>951</v>
      </c>
      <c r="E1162" s="1">
        <f t="shared" si="113"/>
        <v>2090</v>
      </c>
      <c r="F1162" s="1"/>
      <c r="L1162" s="11">
        <v>43584</v>
      </c>
      <c r="M1162" s="9">
        <v>4621</v>
      </c>
      <c r="N1162" s="9">
        <v>951</v>
      </c>
      <c r="O1162" s="9">
        <v>2090</v>
      </c>
      <c r="P1162" s="9">
        <v>0</v>
      </c>
      <c r="R1162" s="11"/>
      <c r="S1162" s="9"/>
      <c r="T1162" s="9"/>
      <c r="U1162" s="9"/>
    </row>
    <row r="1163" spans="2:21" x14ac:dyDescent="0.4">
      <c r="B1163" s="16">
        <f t="shared" si="110"/>
        <v>43585</v>
      </c>
      <c r="C1163" s="1">
        <f t="shared" si="111"/>
        <v>4615</v>
      </c>
      <c r="D1163" s="1">
        <f t="shared" si="112"/>
        <v>941</v>
      </c>
      <c r="E1163" s="1">
        <f t="shared" si="113"/>
        <v>2090</v>
      </c>
      <c r="F1163" s="1"/>
      <c r="L1163" s="11">
        <v>43585</v>
      </c>
      <c r="M1163" s="9">
        <v>4615</v>
      </c>
      <c r="N1163" s="9">
        <v>941</v>
      </c>
      <c r="O1163" s="9">
        <v>2090</v>
      </c>
      <c r="P1163" s="9">
        <v>0</v>
      </c>
      <c r="R1163" s="11"/>
      <c r="S1163" s="9"/>
      <c r="T1163" s="9"/>
      <c r="U1163" s="9"/>
    </row>
    <row r="1164" spans="2:21" x14ac:dyDescent="0.4">
      <c r="B1164" s="16">
        <f t="shared" si="110"/>
        <v>43586</v>
      </c>
      <c r="C1164" s="1">
        <f t="shared" si="111"/>
        <v>4615</v>
      </c>
      <c r="D1164" s="1">
        <f t="shared" si="112"/>
        <v>941</v>
      </c>
      <c r="E1164" s="1">
        <f t="shared" si="113"/>
        <v>2090</v>
      </c>
      <c r="F1164" s="1"/>
      <c r="L1164" s="11">
        <v>43586</v>
      </c>
      <c r="M1164" s="9">
        <v>0</v>
      </c>
      <c r="N1164" s="9">
        <v>941</v>
      </c>
      <c r="O1164" s="9">
        <v>0</v>
      </c>
      <c r="P1164" s="9">
        <v>0</v>
      </c>
      <c r="R1164" s="11"/>
      <c r="S1164" s="9"/>
      <c r="T1164" s="9"/>
      <c r="U1164" s="9"/>
    </row>
    <row r="1165" spans="2:21" x14ac:dyDescent="0.4">
      <c r="B1165" s="16">
        <f t="shared" si="110"/>
        <v>43587</v>
      </c>
      <c r="C1165" s="1">
        <f t="shared" si="111"/>
        <v>4615</v>
      </c>
      <c r="D1165" s="1">
        <f t="shared" si="112"/>
        <v>941</v>
      </c>
      <c r="E1165" s="1">
        <f t="shared" si="113"/>
        <v>2090</v>
      </c>
      <c r="F1165" s="1"/>
      <c r="L1165" s="11">
        <v>43587</v>
      </c>
      <c r="M1165" s="9">
        <v>0</v>
      </c>
      <c r="N1165" s="9">
        <v>941</v>
      </c>
      <c r="O1165" s="9">
        <v>0</v>
      </c>
      <c r="P1165" s="9">
        <v>0</v>
      </c>
      <c r="R1165" s="11"/>
      <c r="S1165" s="9"/>
      <c r="T1165" s="9"/>
      <c r="U1165" s="9"/>
    </row>
    <row r="1166" spans="2:21" x14ac:dyDescent="0.4">
      <c r="B1166" s="16">
        <f t="shared" si="110"/>
        <v>43588</v>
      </c>
      <c r="C1166" s="1">
        <f t="shared" si="111"/>
        <v>4615</v>
      </c>
      <c r="D1166" s="1">
        <f t="shared" si="112"/>
        <v>931</v>
      </c>
      <c r="E1166" s="1">
        <f t="shared" si="113"/>
        <v>2090</v>
      </c>
      <c r="F1166" s="1"/>
      <c r="L1166" s="11">
        <v>43588</v>
      </c>
      <c r="M1166" s="9">
        <v>0</v>
      </c>
      <c r="N1166" s="9">
        <v>931</v>
      </c>
      <c r="O1166" s="9">
        <v>0</v>
      </c>
      <c r="P1166" s="9">
        <v>0</v>
      </c>
      <c r="R1166" s="11"/>
      <c r="S1166" s="9"/>
      <c r="T1166" s="9"/>
      <c r="U1166" s="9"/>
    </row>
    <row r="1167" spans="2:21" x14ac:dyDescent="0.4">
      <c r="B1167" s="16">
        <f t="shared" si="110"/>
        <v>43590</v>
      </c>
      <c r="C1167" s="1">
        <f t="shared" si="111"/>
        <v>4596</v>
      </c>
      <c r="D1167" s="1">
        <f t="shared" si="112"/>
        <v>931</v>
      </c>
      <c r="E1167" s="1">
        <f t="shared" si="113"/>
        <v>2075</v>
      </c>
      <c r="F1167" s="1"/>
      <c r="L1167" s="11">
        <v>43590</v>
      </c>
      <c r="M1167" s="9">
        <v>4596</v>
      </c>
      <c r="N1167" s="9">
        <v>0</v>
      </c>
      <c r="O1167" s="9">
        <v>2075</v>
      </c>
      <c r="P1167" s="9">
        <v>0</v>
      </c>
      <c r="R1167" s="11"/>
      <c r="S1167" s="9"/>
      <c r="T1167" s="9"/>
      <c r="U1167" s="9"/>
    </row>
    <row r="1168" spans="2:21" x14ac:dyDescent="0.4">
      <c r="B1168" s="16">
        <f t="shared" si="110"/>
        <v>43591</v>
      </c>
      <c r="C1168" s="1">
        <f t="shared" si="111"/>
        <v>4599</v>
      </c>
      <c r="D1168" s="1">
        <f t="shared" si="112"/>
        <v>951</v>
      </c>
      <c r="E1168" s="1">
        <f t="shared" si="113"/>
        <v>2060</v>
      </c>
      <c r="F1168" s="1"/>
      <c r="L1168" s="11">
        <v>43591</v>
      </c>
      <c r="M1168" s="9">
        <v>4599</v>
      </c>
      <c r="N1168" s="9">
        <v>951</v>
      </c>
      <c r="O1168" s="9">
        <v>2060</v>
      </c>
      <c r="P1168" s="9">
        <v>0</v>
      </c>
      <c r="R1168" s="11"/>
      <c r="S1168" s="9"/>
      <c r="T1168" s="9"/>
      <c r="U1168" s="9"/>
    </row>
    <row r="1169" spans="2:21" x14ac:dyDescent="0.4">
      <c r="B1169" s="16">
        <f t="shared" si="110"/>
        <v>43592</v>
      </c>
      <c r="C1169" s="1">
        <f t="shared" si="111"/>
        <v>4590</v>
      </c>
      <c r="D1169" s="1">
        <f t="shared" si="112"/>
        <v>961</v>
      </c>
      <c r="E1169" s="1">
        <f t="shared" si="113"/>
        <v>2060</v>
      </c>
      <c r="F1169" s="1"/>
      <c r="L1169" s="11">
        <v>43592</v>
      </c>
      <c r="M1169" s="9">
        <v>4590</v>
      </c>
      <c r="N1169" s="9">
        <v>961</v>
      </c>
      <c r="O1169" s="9">
        <v>2060</v>
      </c>
      <c r="P1169" s="9">
        <v>0</v>
      </c>
      <c r="R1169" s="11"/>
      <c r="S1169" s="9"/>
      <c r="T1169" s="9"/>
      <c r="U1169" s="9"/>
    </row>
    <row r="1170" spans="2:21" x14ac:dyDescent="0.4">
      <c r="B1170" s="16">
        <f t="shared" si="110"/>
        <v>43593</v>
      </c>
      <c r="C1170" s="1">
        <f t="shared" si="111"/>
        <v>4584</v>
      </c>
      <c r="D1170" s="1">
        <f t="shared" si="112"/>
        <v>961</v>
      </c>
      <c r="E1170" s="1">
        <f t="shared" si="113"/>
        <v>2060</v>
      </c>
      <c r="F1170" s="1"/>
      <c r="L1170" s="11">
        <v>43593</v>
      </c>
      <c r="M1170" s="9">
        <v>4584</v>
      </c>
      <c r="N1170" s="9">
        <v>961</v>
      </c>
      <c r="O1170" s="9">
        <v>2060</v>
      </c>
      <c r="P1170" s="9">
        <v>0</v>
      </c>
      <c r="R1170" s="11"/>
      <c r="S1170" s="9"/>
      <c r="T1170" s="9"/>
      <c r="U1170" s="9"/>
    </row>
    <row r="1171" spans="2:21" x14ac:dyDescent="0.4">
      <c r="B1171" s="16">
        <f t="shared" si="110"/>
        <v>43594</v>
      </c>
      <c r="C1171" s="1">
        <f t="shared" si="111"/>
        <v>4560</v>
      </c>
      <c r="D1171" s="1">
        <f t="shared" si="112"/>
        <v>961</v>
      </c>
      <c r="E1171" s="1">
        <f t="shared" si="113"/>
        <v>2050</v>
      </c>
      <c r="F1171" s="1"/>
      <c r="L1171" s="11">
        <v>43594</v>
      </c>
      <c r="M1171" s="9">
        <v>4560</v>
      </c>
      <c r="N1171" s="9">
        <v>961</v>
      </c>
      <c r="O1171" s="9">
        <v>2050</v>
      </c>
      <c r="P1171" s="9">
        <v>0</v>
      </c>
      <c r="R1171" s="11"/>
      <c r="S1171" s="9"/>
      <c r="T1171" s="9"/>
      <c r="U1171" s="9"/>
    </row>
    <row r="1172" spans="2:21" x14ac:dyDescent="0.4">
      <c r="B1172" s="16">
        <f t="shared" si="110"/>
        <v>43595</v>
      </c>
      <c r="C1172" s="1">
        <f t="shared" si="111"/>
        <v>4553</v>
      </c>
      <c r="D1172" s="1">
        <f t="shared" si="112"/>
        <v>981</v>
      </c>
      <c r="E1172" s="1">
        <f t="shared" si="113"/>
        <v>2050</v>
      </c>
      <c r="F1172" s="1"/>
      <c r="L1172" s="11">
        <v>43595</v>
      </c>
      <c r="M1172" s="9">
        <v>4553</v>
      </c>
      <c r="N1172" s="9">
        <v>981</v>
      </c>
      <c r="O1172" s="9">
        <v>2050</v>
      </c>
      <c r="P1172" s="9">
        <v>0</v>
      </c>
      <c r="R1172" s="11"/>
      <c r="S1172" s="9"/>
      <c r="T1172" s="9"/>
      <c r="U1172" s="9"/>
    </row>
    <row r="1173" spans="2:21" x14ac:dyDescent="0.4">
      <c r="B1173" s="16">
        <f t="shared" si="110"/>
        <v>43598</v>
      </c>
      <c r="C1173" s="1">
        <f t="shared" si="111"/>
        <v>4538</v>
      </c>
      <c r="D1173" s="1">
        <f t="shared" si="112"/>
        <v>981</v>
      </c>
      <c r="E1173" s="1">
        <f t="shared" si="113"/>
        <v>2045</v>
      </c>
      <c r="F1173" s="1"/>
      <c r="L1173" s="11">
        <v>43598</v>
      </c>
      <c r="M1173" s="9">
        <v>4538</v>
      </c>
      <c r="N1173" s="9">
        <v>981</v>
      </c>
      <c r="O1173" s="9">
        <v>2045</v>
      </c>
      <c r="P1173" s="9">
        <v>0</v>
      </c>
      <c r="R1173" s="11"/>
      <c r="S1173" s="9"/>
      <c r="T1173" s="9"/>
      <c r="U1173" s="9"/>
    </row>
    <row r="1174" spans="2:21" x14ac:dyDescent="0.4">
      <c r="B1174" s="16">
        <f t="shared" si="110"/>
        <v>43599</v>
      </c>
      <c r="C1174" s="1">
        <f t="shared" si="111"/>
        <v>4506</v>
      </c>
      <c r="D1174" s="1">
        <f t="shared" si="112"/>
        <v>981</v>
      </c>
      <c r="E1174" s="1">
        <f t="shared" si="113"/>
        <v>2040</v>
      </c>
      <c r="F1174" s="1"/>
      <c r="L1174" s="11">
        <v>43599</v>
      </c>
      <c r="M1174" s="9">
        <v>4506</v>
      </c>
      <c r="N1174" s="9">
        <v>981</v>
      </c>
      <c r="O1174" s="9">
        <v>2040</v>
      </c>
      <c r="P1174" s="9">
        <v>0</v>
      </c>
      <c r="R1174" s="11"/>
      <c r="S1174" s="9"/>
      <c r="T1174" s="9"/>
      <c r="U1174" s="9"/>
    </row>
    <row r="1175" spans="2:21" x14ac:dyDescent="0.4">
      <c r="B1175" s="16">
        <f t="shared" si="110"/>
        <v>43600</v>
      </c>
      <c r="C1175" s="1">
        <f t="shared" si="111"/>
        <v>4441</v>
      </c>
      <c r="D1175" s="1">
        <f t="shared" si="112"/>
        <v>981</v>
      </c>
      <c r="E1175" s="1">
        <f t="shared" si="113"/>
        <v>2025</v>
      </c>
      <c r="F1175" s="1"/>
      <c r="L1175" s="11">
        <v>43600</v>
      </c>
      <c r="M1175" s="9">
        <v>4441</v>
      </c>
      <c r="N1175" s="9">
        <v>981</v>
      </c>
      <c r="O1175" s="9">
        <v>2025</v>
      </c>
      <c r="P1175" s="9">
        <v>0</v>
      </c>
      <c r="R1175" s="11"/>
      <c r="S1175" s="9"/>
      <c r="T1175" s="9"/>
      <c r="U1175" s="9"/>
    </row>
    <row r="1176" spans="2:21" x14ac:dyDescent="0.4">
      <c r="B1176" s="16">
        <f t="shared" si="110"/>
        <v>43601</v>
      </c>
      <c r="C1176" s="1">
        <f t="shared" si="111"/>
        <v>4422</v>
      </c>
      <c r="D1176" s="1">
        <f t="shared" si="112"/>
        <v>981</v>
      </c>
      <c r="E1176" s="1">
        <f t="shared" si="113"/>
        <v>2015</v>
      </c>
      <c r="F1176" s="1"/>
      <c r="L1176" s="11">
        <v>43601</v>
      </c>
      <c r="M1176" s="9">
        <v>4422</v>
      </c>
      <c r="N1176" s="9">
        <v>981</v>
      </c>
      <c r="O1176" s="9">
        <v>2015</v>
      </c>
      <c r="P1176" s="9">
        <v>0</v>
      </c>
      <c r="R1176" s="11"/>
      <c r="S1176" s="9"/>
      <c r="T1176" s="9"/>
      <c r="U1176" s="9"/>
    </row>
    <row r="1177" spans="2:21" x14ac:dyDescent="0.4">
      <c r="B1177" s="16">
        <f t="shared" si="110"/>
        <v>43602</v>
      </c>
      <c r="C1177" s="1">
        <f t="shared" si="111"/>
        <v>4407</v>
      </c>
      <c r="D1177" s="1">
        <f t="shared" si="112"/>
        <v>981</v>
      </c>
      <c r="E1177" s="1">
        <f t="shared" si="113"/>
        <v>2010</v>
      </c>
      <c r="F1177" s="1"/>
      <c r="L1177" s="11">
        <v>43602</v>
      </c>
      <c r="M1177" s="9">
        <v>4407</v>
      </c>
      <c r="N1177" s="9">
        <v>981</v>
      </c>
      <c r="O1177" s="9">
        <v>2010</v>
      </c>
      <c r="P1177" s="9">
        <v>0</v>
      </c>
      <c r="R1177" s="11"/>
      <c r="S1177" s="9"/>
      <c r="T1177" s="9"/>
      <c r="U1177" s="9"/>
    </row>
    <row r="1178" spans="2:21" x14ac:dyDescent="0.4">
      <c r="B1178" s="16">
        <f t="shared" si="110"/>
        <v>43605</v>
      </c>
      <c r="C1178" s="1">
        <f t="shared" si="111"/>
        <v>4414</v>
      </c>
      <c r="D1178" s="1">
        <f t="shared" si="112"/>
        <v>981</v>
      </c>
      <c r="E1178" s="1">
        <f t="shared" si="113"/>
        <v>1990</v>
      </c>
      <c r="F1178" s="1"/>
      <c r="L1178" s="11">
        <v>43605</v>
      </c>
      <c r="M1178" s="9">
        <v>4414</v>
      </c>
      <c r="N1178" s="9">
        <v>981</v>
      </c>
      <c r="O1178" s="9">
        <v>1990</v>
      </c>
      <c r="P1178" s="9">
        <v>0</v>
      </c>
      <c r="R1178" s="11"/>
      <c r="S1178" s="9"/>
      <c r="T1178" s="9"/>
      <c r="U1178" s="9"/>
    </row>
    <row r="1179" spans="2:21" x14ac:dyDescent="0.4">
      <c r="B1179" s="16">
        <f t="shared" si="110"/>
        <v>43606</v>
      </c>
      <c r="C1179" s="1">
        <f t="shared" si="111"/>
        <v>4396</v>
      </c>
      <c r="D1179" s="1">
        <f t="shared" si="112"/>
        <v>1006</v>
      </c>
      <c r="E1179" s="1">
        <f t="shared" si="113"/>
        <v>1980</v>
      </c>
      <c r="F1179" s="1"/>
      <c r="L1179" s="11">
        <v>43606</v>
      </c>
      <c r="M1179" s="9">
        <v>4396</v>
      </c>
      <c r="N1179" s="9">
        <v>1006</v>
      </c>
      <c r="O1179" s="9">
        <v>1980</v>
      </c>
      <c r="P1179" s="9">
        <v>0</v>
      </c>
      <c r="R1179" s="11"/>
      <c r="S1179" s="9"/>
      <c r="T1179" s="9"/>
      <c r="U1179" s="9"/>
    </row>
    <row r="1180" spans="2:21" x14ac:dyDescent="0.4">
      <c r="B1180" s="16">
        <f t="shared" si="110"/>
        <v>43607</v>
      </c>
      <c r="C1180" s="1">
        <f t="shared" si="111"/>
        <v>4381</v>
      </c>
      <c r="D1180" s="1">
        <f t="shared" si="112"/>
        <v>1011</v>
      </c>
      <c r="E1180" s="1">
        <f t="shared" si="113"/>
        <v>1970</v>
      </c>
      <c r="F1180" s="1"/>
      <c r="L1180" s="11">
        <v>43607</v>
      </c>
      <c r="M1180" s="9">
        <v>4381</v>
      </c>
      <c r="N1180" s="9">
        <v>1011</v>
      </c>
      <c r="O1180" s="9">
        <v>1970</v>
      </c>
      <c r="P1180" s="9">
        <v>0</v>
      </c>
      <c r="R1180" s="11"/>
      <c r="S1180" s="9"/>
      <c r="T1180" s="9"/>
      <c r="U1180" s="9"/>
    </row>
    <row r="1181" spans="2:21" x14ac:dyDescent="0.4">
      <c r="B1181" s="16">
        <f t="shared" si="110"/>
        <v>43608</v>
      </c>
      <c r="C1181" s="1">
        <f t="shared" si="111"/>
        <v>4351</v>
      </c>
      <c r="D1181" s="1">
        <f t="shared" si="112"/>
        <v>1021</v>
      </c>
      <c r="E1181" s="1">
        <f t="shared" si="113"/>
        <v>1965</v>
      </c>
      <c r="F1181" s="1"/>
      <c r="L1181" s="11">
        <v>43608</v>
      </c>
      <c r="M1181" s="9">
        <v>4351</v>
      </c>
      <c r="N1181" s="9">
        <v>1021</v>
      </c>
      <c r="O1181" s="9">
        <v>1965</v>
      </c>
      <c r="P1181" s="9">
        <v>0</v>
      </c>
      <c r="R1181" s="11"/>
      <c r="S1181" s="9"/>
      <c r="T1181" s="9"/>
      <c r="U1181" s="9"/>
    </row>
    <row r="1182" spans="2:21" x14ac:dyDescent="0.4">
      <c r="B1182" s="16">
        <f t="shared" si="110"/>
        <v>43609</v>
      </c>
      <c r="C1182" s="1">
        <f t="shared" si="111"/>
        <v>4317</v>
      </c>
      <c r="D1182" s="1">
        <f t="shared" si="112"/>
        <v>1021</v>
      </c>
      <c r="E1182" s="1">
        <f t="shared" si="113"/>
        <v>1960</v>
      </c>
      <c r="F1182" s="1"/>
      <c r="L1182" s="11">
        <v>43609</v>
      </c>
      <c r="M1182" s="9">
        <v>4317</v>
      </c>
      <c r="N1182" s="9">
        <v>1021</v>
      </c>
      <c r="O1182" s="9">
        <v>1960</v>
      </c>
      <c r="P1182" s="9">
        <v>0</v>
      </c>
      <c r="R1182" s="11"/>
      <c r="S1182" s="9"/>
      <c r="T1182" s="9"/>
      <c r="U1182" s="9"/>
    </row>
    <row r="1183" spans="2:21" x14ac:dyDescent="0.4">
      <c r="B1183" s="16">
        <f t="shared" si="110"/>
        <v>43612</v>
      </c>
      <c r="C1183" s="1">
        <f t="shared" si="111"/>
        <v>4309</v>
      </c>
      <c r="D1183" s="1">
        <f t="shared" si="112"/>
        <v>1021</v>
      </c>
      <c r="E1183" s="1">
        <f t="shared" si="113"/>
        <v>1940</v>
      </c>
      <c r="F1183" s="1"/>
      <c r="L1183" s="11">
        <v>43612</v>
      </c>
      <c r="M1183" s="9">
        <v>4309</v>
      </c>
      <c r="N1183" s="9">
        <v>1021</v>
      </c>
      <c r="O1183" s="9">
        <v>1940</v>
      </c>
      <c r="P1183" s="9">
        <v>0</v>
      </c>
      <c r="R1183" s="11"/>
      <c r="S1183" s="9"/>
      <c r="T1183" s="9"/>
      <c r="U1183" s="9"/>
    </row>
    <row r="1184" spans="2:21" x14ac:dyDescent="0.4">
      <c r="B1184" s="16">
        <f t="shared" si="110"/>
        <v>43613</v>
      </c>
      <c r="C1184" s="1">
        <f t="shared" si="111"/>
        <v>4315</v>
      </c>
      <c r="D1184" s="1">
        <f t="shared" si="112"/>
        <v>991</v>
      </c>
      <c r="E1184" s="1">
        <f t="shared" si="113"/>
        <v>1940</v>
      </c>
      <c r="F1184" s="1"/>
      <c r="L1184" s="11">
        <v>43613</v>
      </c>
      <c r="M1184" s="9">
        <v>4315</v>
      </c>
      <c r="N1184" s="9">
        <v>991</v>
      </c>
      <c r="O1184" s="9">
        <v>1940</v>
      </c>
      <c r="P1184" s="9">
        <v>0</v>
      </c>
      <c r="R1184" s="11"/>
      <c r="S1184" s="9"/>
      <c r="T1184" s="9"/>
      <c r="U1184" s="9"/>
    </row>
    <row r="1185" spans="2:21" x14ac:dyDescent="0.4">
      <c r="B1185" s="16">
        <f t="shared" si="110"/>
        <v>43614</v>
      </c>
      <c r="C1185" s="1">
        <f t="shared" si="111"/>
        <v>4321</v>
      </c>
      <c r="D1185" s="1">
        <f t="shared" si="112"/>
        <v>941</v>
      </c>
      <c r="E1185" s="1">
        <f t="shared" si="113"/>
        <v>1950</v>
      </c>
      <c r="F1185" s="1"/>
      <c r="L1185" s="11">
        <v>43614</v>
      </c>
      <c r="M1185" s="9">
        <v>4321</v>
      </c>
      <c r="N1185" s="9">
        <v>941</v>
      </c>
      <c r="O1185" s="9">
        <v>1950</v>
      </c>
      <c r="P1185" s="9">
        <v>0</v>
      </c>
      <c r="R1185" s="11"/>
      <c r="S1185" s="9"/>
      <c r="T1185" s="9"/>
      <c r="U1185" s="9"/>
    </row>
    <row r="1186" spans="2:21" x14ac:dyDescent="0.4">
      <c r="B1186" s="16">
        <f t="shared" si="110"/>
        <v>43615</v>
      </c>
      <c r="C1186" s="1">
        <f t="shared" si="111"/>
        <v>4316</v>
      </c>
      <c r="D1186" s="1">
        <f t="shared" si="112"/>
        <v>931</v>
      </c>
      <c r="E1186" s="1">
        <f t="shared" si="113"/>
        <v>1960</v>
      </c>
      <c r="F1186" s="1"/>
      <c r="L1186" s="11">
        <v>43615</v>
      </c>
      <c r="M1186" s="9">
        <v>4316</v>
      </c>
      <c r="N1186" s="9">
        <v>931</v>
      </c>
      <c r="O1186" s="9">
        <v>1960</v>
      </c>
      <c r="P1186" s="9">
        <v>0</v>
      </c>
      <c r="R1186" s="11"/>
      <c r="S1186" s="9"/>
      <c r="T1186" s="9"/>
      <c r="U1186" s="9"/>
    </row>
    <row r="1187" spans="2:21" x14ac:dyDescent="0.4">
      <c r="B1187" s="16">
        <f t="shared" si="110"/>
        <v>43616</v>
      </c>
      <c r="C1187" s="1">
        <f t="shared" si="111"/>
        <v>4314</v>
      </c>
      <c r="D1187" s="1">
        <f t="shared" si="112"/>
        <v>921</v>
      </c>
      <c r="E1187" s="1">
        <f t="shared" si="113"/>
        <v>1970</v>
      </c>
      <c r="F1187" s="1"/>
      <c r="L1187" s="11">
        <v>43616</v>
      </c>
      <c r="M1187" s="9">
        <v>4314</v>
      </c>
      <c r="N1187" s="9">
        <v>921</v>
      </c>
      <c r="O1187" s="9">
        <v>1970</v>
      </c>
      <c r="P1187" s="9">
        <v>0</v>
      </c>
      <c r="R1187" s="11"/>
      <c r="S1187" s="9"/>
      <c r="T1187" s="9"/>
      <c r="U1187" s="9"/>
    </row>
    <row r="1188" spans="2:21" x14ac:dyDescent="0.4">
      <c r="B1188" s="16">
        <f t="shared" si="110"/>
        <v>43619</v>
      </c>
      <c r="C1188" s="1">
        <f t="shared" si="111"/>
        <v>4291</v>
      </c>
      <c r="D1188" s="1">
        <f t="shared" si="112"/>
        <v>891</v>
      </c>
      <c r="E1188" s="1">
        <f t="shared" si="113"/>
        <v>1970</v>
      </c>
      <c r="F1188" s="1"/>
      <c r="L1188" s="11">
        <v>43619</v>
      </c>
      <c r="M1188" s="9">
        <v>4291</v>
      </c>
      <c r="N1188" s="9">
        <v>891</v>
      </c>
      <c r="O1188" s="9">
        <v>1970</v>
      </c>
      <c r="P1188" s="9">
        <v>0</v>
      </c>
      <c r="R1188" s="11"/>
      <c r="S1188" s="9"/>
      <c r="T1188" s="9"/>
      <c r="U1188" s="9"/>
    </row>
    <row r="1189" spans="2:21" x14ac:dyDescent="0.4">
      <c r="B1189" s="16">
        <f t="shared" si="110"/>
        <v>43620</v>
      </c>
      <c r="C1189" s="1">
        <f t="shared" si="111"/>
        <v>4271</v>
      </c>
      <c r="D1189" s="1">
        <f t="shared" si="112"/>
        <v>871</v>
      </c>
      <c r="E1189" s="1">
        <f t="shared" si="113"/>
        <v>1980</v>
      </c>
      <c r="F1189" s="1"/>
      <c r="L1189" s="11">
        <v>43620</v>
      </c>
      <c r="M1189" s="9">
        <v>4271</v>
      </c>
      <c r="N1189" s="9">
        <v>871</v>
      </c>
      <c r="O1189" s="9">
        <v>1980</v>
      </c>
      <c r="P1189" s="9">
        <v>0</v>
      </c>
      <c r="R1189" s="11"/>
      <c r="S1189" s="9"/>
      <c r="T1189" s="9"/>
      <c r="U1189" s="9"/>
    </row>
    <row r="1190" spans="2:21" x14ac:dyDescent="0.4">
      <c r="B1190" s="16">
        <f t="shared" si="110"/>
        <v>43621</v>
      </c>
      <c r="C1190" s="1">
        <f t="shared" si="111"/>
        <v>4259</v>
      </c>
      <c r="D1190" s="1">
        <f t="shared" si="112"/>
        <v>871</v>
      </c>
      <c r="E1190" s="1">
        <f t="shared" si="113"/>
        <v>1980</v>
      </c>
      <c r="F1190" s="1"/>
      <c r="L1190" s="11">
        <v>43621</v>
      </c>
      <c r="M1190" s="9">
        <v>4259</v>
      </c>
      <c r="N1190" s="9">
        <v>871</v>
      </c>
      <c r="O1190" s="9">
        <v>1980</v>
      </c>
      <c r="P1190" s="9">
        <v>0</v>
      </c>
      <c r="R1190" s="11"/>
      <c r="S1190" s="9"/>
      <c r="T1190" s="9"/>
      <c r="U1190" s="9"/>
    </row>
    <row r="1191" spans="2:21" x14ac:dyDescent="0.4">
      <c r="B1191" s="16">
        <f t="shared" si="110"/>
        <v>43622</v>
      </c>
      <c r="C1191" s="1">
        <f t="shared" si="111"/>
        <v>4248</v>
      </c>
      <c r="D1191" s="1">
        <f t="shared" si="112"/>
        <v>821</v>
      </c>
      <c r="E1191" s="1">
        <f t="shared" si="113"/>
        <v>1970</v>
      </c>
      <c r="F1191" s="1"/>
      <c r="L1191" s="11">
        <v>43622</v>
      </c>
      <c r="M1191" s="9">
        <v>4248</v>
      </c>
      <c r="N1191" s="9">
        <v>821</v>
      </c>
      <c r="O1191" s="9">
        <v>1970</v>
      </c>
      <c r="P1191" s="9">
        <v>0</v>
      </c>
      <c r="R1191" s="11"/>
      <c r="S1191" s="9"/>
      <c r="T1191" s="9"/>
      <c r="U1191" s="9"/>
    </row>
    <row r="1192" spans="2:21" x14ac:dyDescent="0.4">
      <c r="B1192" s="16">
        <f t="shared" si="110"/>
        <v>43623</v>
      </c>
      <c r="C1192" s="1">
        <f t="shared" si="111"/>
        <v>4248</v>
      </c>
      <c r="D1192" s="1">
        <f t="shared" si="112"/>
        <v>811</v>
      </c>
      <c r="E1192" s="1">
        <f t="shared" si="113"/>
        <v>1970</v>
      </c>
      <c r="F1192" s="1"/>
      <c r="L1192" s="11">
        <v>43623</v>
      </c>
      <c r="M1192" s="9">
        <v>0</v>
      </c>
      <c r="N1192" s="9">
        <v>811</v>
      </c>
      <c r="O1192" s="9">
        <v>0</v>
      </c>
      <c r="P1192" s="9">
        <v>0</v>
      </c>
      <c r="R1192" s="11"/>
      <c r="S1192" s="9"/>
      <c r="T1192" s="9"/>
      <c r="U1192" s="9"/>
    </row>
    <row r="1193" spans="2:21" x14ac:dyDescent="0.4">
      <c r="B1193" s="16">
        <f t="shared" si="110"/>
        <v>43626</v>
      </c>
      <c r="C1193" s="1">
        <f t="shared" si="111"/>
        <v>4270</v>
      </c>
      <c r="D1193" s="1">
        <f t="shared" si="112"/>
        <v>811</v>
      </c>
      <c r="E1193" s="1">
        <f t="shared" si="113"/>
        <v>1960</v>
      </c>
      <c r="F1193" s="1"/>
      <c r="L1193" s="11">
        <v>43626</v>
      </c>
      <c r="M1193" s="9">
        <v>4270</v>
      </c>
      <c r="N1193" s="9">
        <v>811</v>
      </c>
      <c r="O1193" s="9">
        <v>1960</v>
      </c>
      <c r="P1193" s="9">
        <v>0</v>
      </c>
      <c r="R1193" s="11"/>
      <c r="S1193" s="9"/>
      <c r="T1193" s="9"/>
      <c r="U1193" s="9"/>
    </row>
    <row r="1194" spans="2:21" x14ac:dyDescent="0.4">
      <c r="B1194" s="16">
        <f t="shared" si="110"/>
        <v>43627</v>
      </c>
      <c r="C1194" s="1">
        <f t="shared" si="111"/>
        <v>4276</v>
      </c>
      <c r="D1194" s="1">
        <f t="shared" si="112"/>
        <v>811</v>
      </c>
      <c r="E1194" s="1">
        <f t="shared" si="113"/>
        <v>1950</v>
      </c>
      <c r="F1194" s="1"/>
      <c r="L1194" s="11">
        <v>43627</v>
      </c>
      <c r="M1194" s="9">
        <v>4276</v>
      </c>
      <c r="N1194" s="9">
        <v>811</v>
      </c>
      <c r="O1194" s="9">
        <v>1950</v>
      </c>
      <c r="P1194" s="9">
        <v>0</v>
      </c>
      <c r="R1194" s="11"/>
      <c r="S1194" s="9"/>
      <c r="T1194" s="9"/>
      <c r="U1194" s="9"/>
    </row>
    <row r="1195" spans="2:21" x14ac:dyDescent="0.4">
      <c r="B1195" s="16">
        <f t="shared" si="110"/>
        <v>43628</v>
      </c>
      <c r="C1195" s="1">
        <f t="shared" si="111"/>
        <v>4267</v>
      </c>
      <c r="D1195" s="1">
        <f t="shared" si="112"/>
        <v>811</v>
      </c>
      <c r="E1195" s="1">
        <f t="shared" si="113"/>
        <v>1940</v>
      </c>
      <c r="F1195" s="1"/>
      <c r="L1195" s="11">
        <v>43628</v>
      </c>
      <c r="M1195" s="9">
        <v>4267</v>
      </c>
      <c r="N1195" s="9">
        <v>811</v>
      </c>
      <c r="O1195" s="9">
        <v>1940</v>
      </c>
      <c r="P1195" s="9">
        <v>0</v>
      </c>
      <c r="R1195" s="11"/>
      <c r="S1195" s="9"/>
      <c r="T1195" s="9"/>
      <c r="U1195" s="9"/>
    </row>
    <row r="1196" spans="2:21" x14ac:dyDescent="0.4">
      <c r="B1196" s="16">
        <f t="shared" si="110"/>
        <v>43629</v>
      </c>
      <c r="C1196" s="1">
        <f t="shared" si="111"/>
        <v>4258</v>
      </c>
      <c r="D1196" s="1">
        <f t="shared" si="112"/>
        <v>811</v>
      </c>
      <c r="E1196" s="1">
        <f t="shared" si="113"/>
        <v>1950</v>
      </c>
      <c r="F1196" s="1"/>
      <c r="L1196" s="11">
        <v>43629</v>
      </c>
      <c r="M1196" s="9">
        <v>4258</v>
      </c>
      <c r="N1196" s="9">
        <v>811</v>
      </c>
      <c r="O1196" s="9">
        <v>1950</v>
      </c>
      <c r="P1196" s="9">
        <v>0</v>
      </c>
      <c r="R1196" s="11"/>
      <c r="S1196" s="9"/>
      <c r="T1196" s="9"/>
      <c r="U1196" s="9"/>
    </row>
    <row r="1197" spans="2:21" x14ac:dyDescent="0.4">
      <c r="B1197" s="16">
        <f t="shared" si="110"/>
        <v>43630</v>
      </c>
      <c r="C1197" s="1">
        <f t="shared" si="111"/>
        <v>4259</v>
      </c>
      <c r="D1197" s="1">
        <f t="shared" si="112"/>
        <v>791</v>
      </c>
      <c r="E1197" s="1">
        <f t="shared" si="113"/>
        <v>1960</v>
      </c>
      <c r="F1197" s="1"/>
      <c r="L1197" s="11">
        <v>43630</v>
      </c>
      <c r="M1197" s="9">
        <v>4259</v>
      </c>
      <c r="N1197" s="9">
        <v>791</v>
      </c>
      <c r="O1197" s="9">
        <v>1960</v>
      </c>
      <c r="P1197" s="9">
        <v>0</v>
      </c>
      <c r="R1197" s="11"/>
      <c r="S1197" s="9"/>
      <c r="T1197" s="9"/>
      <c r="U1197" s="9"/>
    </row>
    <row r="1198" spans="2:21" x14ac:dyDescent="0.4">
      <c r="B1198" s="16">
        <f t="shared" si="110"/>
        <v>43633</v>
      </c>
      <c r="C1198" s="1">
        <f t="shared" si="111"/>
        <v>4254</v>
      </c>
      <c r="D1198" s="1">
        <f t="shared" si="112"/>
        <v>781</v>
      </c>
      <c r="E1198" s="1">
        <f t="shared" si="113"/>
        <v>1950</v>
      </c>
      <c r="F1198" s="1"/>
      <c r="L1198" s="11">
        <v>43633</v>
      </c>
      <c r="M1198" s="9">
        <v>4254</v>
      </c>
      <c r="N1198" s="9">
        <v>781</v>
      </c>
      <c r="O1198" s="9">
        <v>1950</v>
      </c>
      <c r="P1198" s="9">
        <v>0</v>
      </c>
      <c r="R1198" s="11"/>
      <c r="S1198" s="9"/>
      <c r="T1198" s="9"/>
      <c r="U1198" s="9"/>
    </row>
    <row r="1199" spans="2:21" x14ac:dyDescent="0.4">
      <c r="B1199" s="16">
        <f t="shared" si="110"/>
        <v>43634</v>
      </c>
      <c r="C1199" s="1">
        <f t="shared" si="111"/>
        <v>4257</v>
      </c>
      <c r="D1199" s="1">
        <f t="shared" si="112"/>
        <v>781</v>
      </c>
      <c r="E1199" s="1">
        <f t="shared" si="113"/>
        <v>1950</v>
      </c>
      <c r="F1199" s="1"/>
      <c r="L1199" s="11">
        <v>43634</v>
      </c>
      <c r="M1199" s="9">
        <v>4257</v>
      </c>
      <c r="N1199" s="9">
        <v>781</v>
      </c>
      <c r="O1199" s="9">
        <v>1950</v>
      </c>
      <c r="P1199" s="9">
        <v>0</v>
      </c>
      <c r="R1199" s="11"/>
      <c r="S1199" s="9"/>
      <c r="T1199" s="9"/>
      <c r="U1199" s="9"/>
    </row>
    <row r="1200" spans="2:21" x14ac:dyDescent="0.4">
      <c r="B1200" s="16">
        <f t="shared" si="110"/>
        <v>43635</v>
      </c>
      <c r="C1200" s="1">
        <f t="shared" si="111"/>
        <v>4268</v>
      </c>
      <c r="D1200" s="1">
        <f t="shared" si="112"/>
        <v>781</v>
      </c>
      <c r="E1200" s="1">
        <f t="shared" si="113"/>
        <v>1950</v>
      </c>
      <c r="F1200" s="1"/>
      <c r="L1200" s="11">
        <v>43635</v>
      </c>
      <c r="M1200" s="9">
        <v>4268</v>
      </c>
      <c r="N1200" s="9">
        <v>781</v>
      </c>
      <c r="O1200" s="9">
        <v>1950</v>
      </c>
      <c r="P1200" s="9">
        <v>0</v>
      </c>
      <c r="R1200" s="11"/>
      <c r="S1200" s="9"/>
      <c r="T1200" s="9"/>
      <c r="U1200" s="9"/>
    </row>
    <row r="1201" spans="2:21" x14ac:dyDescent="0.4">
      <c r="B1201" s="16">
        <f t="shared" si="110"/>
        <v>43636</v>
      </c>
      <c r="C1201" s="1">
        <f t="shared" si="111"/>
        <v>4283</v>
      </c>
      <c r="D1201" s="1">
        <f t="shared" si="112"/>
        <v>781</v>
      </c>
      <c r="E1201" s="1">
        <f t="shared" si="113"/>
        <v>1950</v>
      </c>
      <c r="F1201" s="1"/>
      <c r="L1201" s="11">
        <v>43636</v>
      </c>
      <c r="M1201" s="9">
        <v>4283</v>
      </c>
      <c r="N1201" s="9">
        <v>781</v>
      </c>
      <c r="O1201" s="9">
        <v>1950</v>
      </c>
      <c r="P1201" s="9">
        <v>0</v>
      </c>
      <c r="R1201" s="11"/>
      <c r="S1201" s="9"/>
      <c r="T1201" s="9"/>
      <c r="U1201" s="9"/>
    </row>
    <row r="1202" spans="2:21" x14ac:dyDescent="0.4">
      <c r="B1202" s="16">
        <f t="shared" si="110"/>
        <v>43637</v>
      </c>
      <c r="C1202" s="1">
        <f t="shared" si="111"/>
        <v>4297</v>
      </c>
      <c r="D1202" s="1">
        <f t="shared" si="112"/>
        <v>781</v>
      </c>
      <c r="E1202" s="1">
        <f t="shared" si="113"/>
        <v>1950</v>
      </c>
      <c r="F1202" s="1"/>
      <c r="L1202" s="11">
        <v>43637</v>
      </c>
      <c r="M1202" s="9">
        <v>4297</v>
      </c>
      <c r="N1202" s="9">
        <v>781</v>
      </c>
      <c r="O1202" s="9">
        <v>1950</v>
      </c>
      <c r="P1202" s="9">
        <v>0</v>
      </c>
      <c r="R1202" s="11"/>
      <c r="S1202" s="9"/>
      <c r="T1202" s="9"/>
      <c r="U1202" s="9"/>
    </row>
    <row r="1203" spans="2:21" x14ac:dyDescent="0.4">
      <c r="B1203" s="16">
        <f t="shared" si="110"/>
        <v>43640</v>
      </c>
      <c r="C1203" s="1">
        <f t="shared" si="111"/>
        <v>4313</v>
      </c>
      <c r="D1203" s="1">
        <f t="shared" si="112"/>
        <v>781</v>
      </c>
      <c r="E1203" s="1">
        <f t="shared" si="113"/>
        <v>1940</v>
      </c>
      <c r="F1203" s="1"/>
      <c r="L1203" s="11">
        <v>43640</v>
      </c>
      <c r="M1203" s="9">
        <v>4313</v>
      </c>
      <c r="N1203" s="9">
        <v>781</v>
      </c>
      <c r="O1203" s="9">
        <v>1940</v>
      </c>
      <c r="P1203" s="9">
        <v>0</v>
      </c>
      <c r="R1203" s="11"/>
      <c r="S1203" s="9"/>
      <c r="T1203" s="9"/>
      <c r="U1203" s="9"/>
    </row>
    <row r="1204" spans="2:21" x14ac:dyDescent="0.4">
      <c r="B1204" s="16">
        <f t="shared" si="110"/>
        <v>43641</v>
      </c>
      <c r="C1204" s="1">
        <f t="shared" si="111"/>
        <v>4313</v>
      </c>
      <c r="D1204" s="1">
        <f t="shared" si="112"/>
        <v>781</v>
      </c>
      <c r="E1204" s="1">
        <f t="shared" si="113"/>
        <v>1940</v>
      </c>
      <c r="F1204" s="1"/>
      <c r="L1204" s="11">
        <v>43641</v>
      </c>
      <c r="M1204" s="9">
        <v>4313</v>
      </c>
      <c r="N1204" s="9">
        <v>781</v>
      </c>
      <c r="O1204" s="9">
        <v>1940</v>
      </c>
      <c r="P1204" s="9">
        <v>0</v>
      </c>
      <c r="R1204" s="11"/>
      <c r="S1204" s="9"/>
      <c r="T1204" s="9"/>
      <c r="U1204" s="9"/>
    </row>
    <row r="1205" spans="2:21" x14ac:dyDescent="0.4">
      <c r="B1205" s="16">
        <f t="shared" si="110"/>
        <v>43642</v>
      </c>
      <c r="C1205" s="1">
        <f t="shared" si="111"/>
        <v>4316</v>
      </c>
      <c r="D1205" s="1">
        <f t="shared" si="112"/>
        <v>781</v>
      </c>
      <c r="E1205" s="1">
        <f t="shared" si="113"/>
        <v>1940</v>
      </c>
      <c r="F1205" s="1"/>
      <c r="L1205" s="11">
        <v>43642</v>
      </c>
      <c r="M1205" s="9">
        <v>4316</v>
      </c>
      <c r="N1205" s="9">
        <v>781</v>
      </c>
      <c r="O1205" s="9">
        <v>1940</v>
      </c>
      <c r="P1205" s="9">
        <v>0</v>
      </c>
      <c r="R1205" s="11"/>
      <c r="S1205" s="9"/>
      <c r="T1205" s="9"/>
      <c r="U1205" s="9"/>
    </row>
    <row r="1206" spans="2:21" x14ac:dyDescent="0.4">
      <c r="B1206" s="16">
        <f t="shared" si="110"/>
        <v>43643</v>
      </c>
      <c r="C1206" s="1">
        <f t="shared" si="111"/>
        <v>4345</v>
      </c>
      <c r="D1206" s="1">
        <f t="shared" si="112"/>
        <v>761</v>
      </c>
      <c r="E1206" s="1">
        <f t="shared" si="113"/>
        <v>1950</v>
      </c>
      <c r="F1206" s="1"/>
      <c r="L1206" s="11">
        <v>43643</v>
      </c>
      <c r="M1206" s="9">
        <v>4345</v>
      </c>
      <c r="N1206" s="9">
        <v>761</v>
      </c>
      <c r="O1206" s="9">
        <v>1950</v>
      </c>
      <c r="P1206" s="9">
        <v>0</v>
      </c>
      <c r="R1206" s="11"/>
      <c r="S1206" s="9"/>
      <c r="T1206" s="9"/>
      <c r="U1206" s="9"/>
    </row>
    <row r="1207" spans="2:21" x14ac:dyDescent="0.4">
      <c r="B1207" s="16">
        <f t="shared" si="110"/>
        <v>43644</v>
      </c>
      <c r="C1207" s="1">
        <f t="shared" si="111"/>
        <v>4344</v>
      </c>
      <c r="D1207" s="1">
        <f t="shared" si="112"/>
        <v>761</v>
      </c>
      <c r="E1207" s="1">
        <f t="shared" si="113"/>
        <v>1950</v>
      </c>
      <c r="F1207" s="1"/>
      <c r="L1207" s="11">
        <v>43644</v>
      </c>
      <c r="M1207" s="9">
        <v>4344</v>
      </c>
      <c r="N1207" s="9">
        <v>761</v>
      </c>
      <c r="O1207" s="9">
        <v>1950</v>
      </c>
      <c r="P1207" s="9">
        <v>0</v>
      </c>
      <c r="R1207" s="11"/>
      <c r="S1207" s="9"/>
      <c r="T1207" s="9"/>
      <c r="U1207" s="9"/>
    </row>
    <row r="1208" spans="2:21" x14ac:dyDescent="0.4">
      <c r="B1208" s="16">
        <f t="shared" si="110"/>
        <v>43647</v>
      </c>
      <c r="C1208" s="1">
        <f t="shared" si="111"/>
        <v>4374</v>
      </c>
      <c r="D1208" s="1">
        <f t="shared" si="112"/>
        <v>761</v>
      </c>
      <c r="E1208" s="1">
        <f t="shared" si="113"/>
        <v>1950</v>
      </c>
      <c r="F1208" s="1"/>
      <c r="L1208" s="11">
        <v>43647</v>
      </c>
      <c r="M1208" s="9">
        <v>4374</v>
      </c>
      <c r="N1208" s="9">
        <v>761</v>
      </c>
      <c r="O1208" s="9">
        <v>1950</v>
      </c>
      <c r="P1208" s="9">
        <v>0</v>
      </c>
      <c r="R1208" s="11"/>
      <c r="S1208" s="9"/>
      <c r="T1208" s="9"/>
      <c r="U1208" s="9"/>
    </row>
    <row r="1209" spans="2:21" x14ac:dyDescent="0.4">
      <c r="B1209" s="16">
        <f t="shared" si="110"/>
        <v>43648</v>
      </c>
      <c r="C1209" s="1">
        <f t="shared" si="111"/>
        <v>4414</v>
      </c>
      <c r="D1209" s="1">
        <f t="shared" si="112"/>
        <v>781</v>
      </c>
      <c r="E1209" s="1">
        <f t="shared" si="113"/>
        <v>1970</v>
      </c>
      <c r="F1209" s="1"/>
      <c r="L1209" s="11">
        <v>43648</v>
      </c>
      <c r="M1209" s="9">
        <v>4414</v>
      </c>
      <c r="N1209" s="9">
        <v>781</v>
      </c>
      <c r="O1209" s="9">
        <v>1970</v>
      </c>
      <c r="P1209" s="9">
        <v>0</v>
      </c>
      <c r="R1209" s="11"/>
      <c r="S1209" s="9"/>
      <c r="T1209" s="9"/>
      <c r="U1209" s="9"/>
    </row>
    <row r="1210" spans="2:21" x14ac:dyDescent="0.4">
      <c r="B1210" s="16">
        <f t="shared" si="110"/>
        <v>43649</v>
      </c>
      <c r="C1210" s="1">
        <f t="shared" si="111"/>
        <v>4439</v>
      </c>
      <c r="D1210" s="1">
        <f t="shared" si="112"/>
        <v>781</v>
      </c>
      <c r="E1210" s="1">
        <f t="shared" si="113"/>
        <v>1970</v>
      </c>
      <c r="F1210" s="1"/>
      <c r="L1210" s="11">
        <v>43649</v>
      </c>
      <c r="M1210" s="9">
        <v>4439</v>
      </c>
      <c r="N1210" s="9">
        <v>781</v>
      </c>
      <c r="O1210" s="9">
        <v>1970</v>
      </c>
      <c r="P1210" s="9">
        <v>0</v>
      </c>
      <c r="R1210" s="11"/>
      <c r="S1210" s="9"/>
      <c r="T1210" s="9"/>
      <c r="U1210" s="9"/>
    </row>
    <row r="1211" spans="2:21" x14ac:dyDescent="0.4">
      <c r="B1211" s="16">
        <f t="shared" si="110"/>
        <v>43650</v>
      </c>
      <c r="C1211" s="1">
        <f t="shared" si="111"/>
        <v>4428</v>
      </c>
      <c r="D1211" s="1">
        <f t="shared" si="112"/>
        <v>781</v>
      </c>
      <c r="E1211" s="1">
        <f t="shared" si="113"/>
        <v>1975</v>
      </c>
      <c r="F1211" s="1"/>
      <c r="L1211" s="11">
        <v>43650</v>
      </c>
      <c r="M1211" s="9">
        <v>4428</v>
      </c>
      <c r="N1211" s="9">
        <v>781</v>
      </c>
      <c r="O1211" s="9">
        <v>1975</v>
      </c>
      <c r="P1211" s="9">
        <v>0</v>
      </c>
      <c r="R1211" s="11"/>
      <c r="S1211" s="9"/>
      <c r="T1211" s="9"/>
      <c r="U1211" s="9"/>
    </row>
    <row r="1212" spans="2:21" x14ac:dyDescent="0.4">
      <c r="B1212" s="16">
        <f t="shared" si="110"/>
        <v>43651</v>
      </c>
      <c r="C1212" s="1">
        <f t="shared" si="111"/>
        <v>4421</v>
      </c>
      <c r="D1212" s="1">
        <f t="shared" si="112"/>
        <v>791</v>
      </c>
      <c r="E1212" s="1">
        <f t="shared" si="113"/>
        <v>1975</v>
      </c>
      <c r="F1212" s="1"/>
      <c r="L1212" s="11">
        <v>43651</v>
      </c>
      <c r="M1212" s="9">
        <v>4421</v>
      </c>
      <c r="N1212" s="9">
        <v>791</v>
      </c>
      <c r="O1212" s="9">
        <v>1975</v>
      </c>
      <c r="P1212" s="9">
        <v>0</v>
      </c>
      <c r="R1212" s="11"/>
      <c r="S1212" s="9"/>
      <c r="T1212" s="9"/>
      <c r="U1212" s="9"/>
    </row>
    <row r="1213" spans="2:21" x14ac:dyDescent="0.4">
      <c r="B1213" s="16">
        <f t="shared" si="110"/>
        <v>43654</v>
      </c>
      <c r="C1213" s="1">
        <f t="shared" si="111"/>
        <v>4423</v>
      </c>
      <c r="D1213" s="1">
        <f t="shared" si="112"/>
        <v>796</v>
      </c>
      <c r="E1213" s="1">
        <f t="shared" si="113"/>
        <v>1975</v>
      </c>
      <c r="F1213" s="1"/>
      <c r="L1213" s="11">
        <v>43654</v>
      </c>
      <c r="M1213" s="9">
        <v>4423</v>
      </c>
      <c r="N1213" s="9">
        <v>796</v>
      </c>
      <c r="O1213" s="9">
        <v>1975</v>
      </c>
      <c r="P1213" s="9">
        <v>0</v>
      </c>
      <c r="R1213" s="11"/>
      <c r="S1213" s="9"/>
      <c r="T1213" s="9"/>
      <c r="U1213" s="9"/>
    </row>
    <row r="1214" spans="2:21" x14ac:dyDescent="0.4">
      <c r="B1214" s="16">
        <f t="shared" si="110"/>
        <v>43655</v>
      </c>
      <c r="C1214" s="1">
        <f t="shared" si="111"/>
        <v>4418</v>
      </c>
      <c r="D1214" s="1">
        <f t="shared" si="112"/>
        <v>796</v>
      </c>
      <c r="E1214" s="1">
        <f t="shared" si="113"/>
        <v>1970</v>
      </c>
      <c r="F1214" s="1"/>
      <c r="L1214" s="11">
        <v>43655</v>
      </c>
      <c r="M1214" s="9">
        <v>4418</v>
      </c>
      <c r="N1214" s="9">
        <v>796</v>
      </c>
      <c r="O1214" s="9">
        <v>1970</v>
      </c>
      <c r="P1214" s="9">
        <v>0</v>
      </c>
      <c r="R1214" s="11"/>
      <c r="S1214" s="9"/>
      <c r="T1214" s="9"/>
      <c r="U1214" s="9"/>
    </row>
    <row r="1215" spans="2:21" x14ac:dyDescent="0.4">
      <c r="B1215" s="16">
        <f t="shared" si="110"/>
        <v>43656</v>
      </c>
      <c r="C1215" s="1">
        <f t="shared" si="111"/>
        <v>4413</v>
      </c>
      <c r="D1215" s="1">
        <f t="shared" si="112"/>
        <v>801</v>
      </c>
      <c r="E1215" s="1">
        <f t="shared" si="113"/>
        <v>1970</v>
      </c>
      <c r="F1215" s="1"/>
      <c r="L1215" s="11">
        <v>43656</v>
      </c>
      <c r="M1215" s="9">
        <v>4413</v>
      </c>
      <c r="N1215" s="9">
        <v>801</v>
      </c>
      <c r="O1215" s="9">
        <v>1970</v>
      </c>
      <c r="P1215" s="9">
        <v>0</v>
      </c>
      <c r="R1215" s="11"/>
      <c r="S1215" s="9"/>
      <c r="T1215" s="9"/>
      <c r="U1215" s="9"/>
    </row>
    <row r="1216" spans="2:21" x14ac:dyDescent="0.4">
      <c r="B1216" s="16">
        <f t="shared" si="110"/>
        <v>43657</v>
      </c>
      <c r="C1216" s="1">
        <f t="shared" si="111"/>
        <v>4427</v>
      </c>
      <c r="D1216" s="1">
        <f t="shared" si="112"/>
        <v>801</v>
      </c>
      <c r="E1216" s="1">
        <f t="shared" si="113"/>
        <v>1970</v>
      </c>
      <c r="F1216" s="1"/>
      <c r="L1216" s="11">
        <v>43657</v>
      </c>
      <c r="M1216" s="9">
        <v>4427</v>
      </c>
      <c r="N1216" s="9">
        <v>801</v>
      </c>
      <c r="O1216" s="9">
        <v>1970</v>
      </c>
      <c r="P1216" s="9">
        <v>0</v>
      </c>
      <c r="R1216" s="11"/>
      <c r="S1216" s="9"/>
      <c r="T1216" s="9"/>
      <c r="U1216" s="9"/>
    </row>
    <row r="1217" spans="2:21" x14ac:dyDescent="0.4">
      <c r="B1217" s="16">
        <f t="shared" si="110"/>
        <v>43658</v>
      </c>
      <c r="C1217" s="1">
        <f t="shared" si="111"/>
        <v>4420</v>
      </c>
      <c r="D1217" s="1">
        <f t="shared" si="112"/>
        <v>801</v>
      </c>
      <c r="E1217" s="1">
        <f t="shared" si="113"/>
        <v>1970</v>
      </c>
      <c r="F1217" s="1"/>
      <c r="L1217" s="11">
        <v>43658</v>
      </c>
      <c r="M1217" s="9">
        <v>4420</v>
      </c>
      <c r="N1217" s="9">
        <v>801</v>
      </c>
      <c r="O1217" s="9">
        <v>1970</v>
      </c>
      <c r="P1217" s="9">
        <v>0</v>
      </c>
      <c r="R1217" s="11"/>
      <c r="S1217" s="9"/>
      <c r="T1217" s="9"/>
      <c r="U1217" s="9"/>
    </row>
    <row r="1218" spans="2:21" x14ac:dyDescent="0.4">
      <c r="B1218" s="16">
        <f t="shared" si="110"/>
        <v>43661</v>
      </c>
      <c r="C1218" s="1">
        <f t="shared" si="111"/>
        <v>4422</v>
      </c>
      <c r="D1218" s="1">
        <f t="shared" si="112"/>
        <v>801</v>
      </c>
      <c r="E1218" s="1">
        <f t="shared" si="113"/>
        <v>1970</v>
      </c>
      <c r="F1218" s="1"/>
      <c r="L1218" s="11">
        <v>43661</v>
      </c>
      <c r="M1218" s="9">
        <v>4422</v>
      </c>
      <c r="N1218" s="9">
        <v>801</v>
      </c>
      <c r="O1218" s="9">
        <v>1970</v>
      </c>
      <c r="P1218" s="9">
        <v>0</v>
      </c>
      <c r="R1218" s="11"/>
      <c r="S1218" s="9"/>
      <c r="T1218" s="9"/>
      <c r="U1218" s="9"/>
    </row>
    <row r="1219" spans="2:21" x14ac:dyDescent="0.4">
      <c r="B1219" s="16">
        <f t="shared" si="110"/>
        <v>43662</v>
      </c>
      <c r="C1219" s="1">
        <f t="shared" si="111"/>
        <v>4404</v>
      </c>
      <c r="D1219" s="1">
        <f t="shared" si="112"/>
        <v>801</v>
      </c>
      <c r="E1219" s="1">
        <f t="shared" si="113"/>
        <v>1950</v>
      </c>
      <c r="F1219" s="1"/>
      <c r="L1219" s="11">
        <v>43662</v>
      </c>
      <c r="M1219" s="9">
        <v>4404</v>
      </c>
      <c r="N1219" s="9">
        <v>801</v>
      </c>
      <c r="O1219" s="9">
        <v>1950</v>
      </c>
      <c r="P1219" s="9">
        <v>0</v>
      </c>
      <c r="R1219" s="11"/>
      <c r="S1219" s="9"/>
      <c r="T1219" s="9"/>
      <c r="U1219" s="9"/>
    </row>
    <row r="1220" spans="2:21" x14ac:dyDescent="0.4">
      <c r="B1220" s="16">
        <f t="shared" si="110"/>
        <v>43663</v>
      </c>
      <c r="C1220" s="1">
        <f t="shared" si="111"/>
        <v>4387</v>
      </c>
      <c r="D1220" s="1">
        <f t="shared" si="112"/>
        <v>801</v>
      </c>
      <c r="E1220" s="1">
        <f t="shared" si="113"/>
        <v>1945</v>
      </c>
      <c r="F1220" s="1"/>
      <c r="L1220" s="11">
        <v>43663</v>
      </c>
      <c r="M1220" s="9">
        <v>4387</v>
      </c>
      <c r="N1220" s="9">
        <v>801</v>
      </c>
      <c r="O1220" s="9">
        <v>1945</v>
      </c>
      <c r="P1220" s="9">
        <v>0</v>
      </c>
      <c r="R1220" s="11"/>
      <c r="S1220" s="9"/>
      <c r="T1220" s="9"/>
      <c r="U1220" s="9"/>
    </row>
    <row r="1221" spans="2:21" x14ac:dyDescent="0.4">
      <c r="B1221" s="16">
        <f t="shared" si="110"/>
        <v>43664</v>
      </c>
      <c r="C1221" s="1">
        <f t="shared" si="111"/>
        <v>4375</v>
      </c>
      <c r="D1221" s="1">
        <f t="shared" si="112"/>
        <v>831</v>
      </c>
      <c r="E1221" s="1">
        <f t="shared" si="113"/>
        <v>1940</v>
      </c>
      <c r="F1221" s="1"/>
      <c r="L1221" s="11">
        <v>43664</v>
      </c>
      <c r="M1221" s="9">
        <v>4375</v>
      </c>
      <c r="N1221" s="9">
        <v>831</v>
      </c>
      <c r="O1221" s="9">
        <v>1940</v>
      </c>
      <c r="P1221" s="9">
        <v>0</v>
      </c>
      <c r="R1221" s="11"/>
      <c r="S1221" s="9"/>
      <c r="T1221" s="9"/>
      <c r="U1221" s="9"/>
    </row>
    <row r="1222" spans="2:21" x14ac:dyDescent="0.4">
      <c r="B1222" s="16">
        <f t="shared" ref="B1222:B1285" si="114">L1222</f>
        <v>43665</v>
      </c>
      <c r="C1222" s="1">
        <f t="shared" si="111"/>
        <v>4368</v>
      </c>
      <c r="D1222" s="1">
        <f t="shared" si="112"/>
        <v>841</v>
      </c>
      <c r="E1222" s="1">
        <f t="shared" si="113"/>
        <v>1940</v>
      </c>
      <c r="F1222" s="1"/>
      <c r="L1222" s="11">
        <v>43665</v>
      </c>
      <c r="M1222" s="9">
        <v>4368</v>
      </c>
      <c r="N1222" s="9">
        <v>841</v>
      </c>
      <c r="O1222" s="9">
        <v>1940</v>
      </c>
      <c r="P1222" s="9">
        <v>0</v>
      </c>
      <c r="R1222" s="11"/>
      <c r="S1222" s="9"/>
      <c r="T1222" s="9"/>
      <c r="U1222" s="9"/>
    </row>
    <row r="1223" spans="2:21" x14ac:dyDescent="0.4">
      <c r="B1223" s="16">
        <f t="shared" si="114"/>
        <v>43668</v>
      </c>
      <c r="C1223" s="1">
        <f t="shared" ref="C1223:C1286" si="115">IF(M1223&lt;&gt;0,M1223,C1222)</f>
        <v>4351</v>
      </c>
      <c r="D1223" s="1">
        <f t="shared" ref="D1223:D1286" si="116">IF(N1223&lt;&gt;0,N1223,D1222)</f>
        <v>841</v>
      </c>
      <c r="E1223" s="1">
        <f t="shared" ref="E1223:E1286" si="117">IF(O1223&lt;&gt;0,O1223,E1222)</f>
        <v>1920</v>
      </c>
      <c r="F1223" s="1"/>
      <c r="L1223" s="11">
        <v>43668</v>
      </c>
      <c r="M1223" s="9">
        <v>4351</v>
      </c>
      <c r="N1223" s="9">
        <v>841</v>
      </c>
      <c r="O1223" s="9">
        <v>1920</v>
      </c>
      <c r="P1223" s="9">
        <v>0</v>
      </c>
      <c r="R1223" s="11"/>
      <c r="S1223" s="9"/>
      <c r="T1223" s="9"/>
      <c r="U1223" s="9"/>
    </row>
    <row r="1224" spans="2:21" x14ac:dyDescent="0.4">
      <c r="B1224" s="16">
        <f t="shared" si="114"/>
        <v>43669</v>
      </c>
      <c r="C1224" s="1">
        <f t="shared" si="115"/>
        <v>4297</v>
      </c>
      <c r="D1224" s="1">
        <f t="shared" si="116"/>
        <v>841</v>
      </c>
      <c r="E1224" s="1">
        <f t="shared" si="117"/>
        <v>1915</v>
      </c>
      <c r="F1224" s="1"/>
      <c r="L1224" s="11">
        <v>43669</v>
      </c>
      <c r="M1224" s="9">
        <v>4297</v>
      </c>
      <c r="N1224" s="9">
        <v>841</v>
      </c>
      <c r="O1224" s="9">
        <v>1915</v>
      </c>
      <c r="P1224" s="9">
        <v>0</v>
      </c>
      <c r="R1224" s="11"/>
      <c r="S1224" s="9"/>
      <c r="T1224" s="9"/>
      <c r="U1224" s="9"/>
    </row>
    <row r="1225" spans="2:21" x14ac:dyDescent="0.4">
      <c r="B1225" s="16">
        <f t="shared" si="114"/>
        <v>43670</v>
      </c>
      <c r="C1225" s="1">
        <f t="shared" si="115"/>
        <v>4286</v>
      </c>
      <c r="D1225" s="1">
        <f t="shared" si="116"/>
        <v>841</v>
      </c>
      <c r="E1225" s="1">
        <f t="shared" si="117"/>
        <v>1910</v>
      </c>
      <c r="F1225" s="1"/>
      <c r="L1225" s="11">
        <v>43670</v>
      </c>
      <c r="M1225" s="9">
        <v>4286</v>
      </c>
      <c r="N1225" s="9">
        <v>841</v>
      </c>
      <c r="O1225" s="9">
        <v>1910</v>
      </c>
      <c r="P1225" s="9">
        <v>0</v>
      </c>
      <c r="R1225" s="11"/>
      <c r="S1225" s="9"/>
      <c r="T1225" s="9"/>
      <c r="U1225" s="9"/>
    </row>
    <row r="1226" spans="2:21" x14ac:dyDescent="0.4">
      <c r="B1226" s="16">
        <f t="shared" si="114"/>
        <v>43671</v>
      </c>
      <c r="C1226" s="1">
        <f t="shared" si="115"/>
        <v>4271</v>
      </c>
      <c r="D1226" s="1">
        <f t="shared" si="116"/>
        <v>841</v>
      </c>
      <c r="E1226" s="1">
        <f t="shared" si="117"/>
        <v>1910</v>
      </c>
      <c r="F1226" s="1"/>
      <c r="L1226" s="11">
        <v>43671</v>
      </c>
      <c r="M1226" s="9">
        <v>4271</v>
      </c>
      <c r="N1226" s="9">
        <v>841</v>
      </c>
      <c r="O1226" s="9">
        <v>1910</v>
      </c>
      <c r="P1226" s="9">
        <v>0</v>
      </c>
      <c r="R1226" s="11"/>
      <c r="S1226" s="9"/>
      <c r="T1226" s="9"/>
      <c r="U1226" s="9"/>
    </row>
    <row r="1227" spans="2:21" x14ac:dyDescent="0.4">
      <c r="B1227" s="16">
        <f t="shared" si="114"/>
        <v>43672</v>
      </c>
      <c r="C1227" s="1">
        <f t="shared" si="115"/>
        <v>4271</v>
      </c>
      <c r="D1227" s="1">
        <f t="shared" si="116"/>
        <v>841</v>
      </c>
      <c r="E1227" s="1">
        <f t="shared" si="117"/>
        <v>1915</v>
      </c>
      <c r="F1227" s="1"/>
      <c r="L1227" s="11">
        <v>43672</v>
      </c>
      <c r="M1227" s="9">
        <v>4271</v>
      </c>
      <c r="N1227" s="9">
        <v>841</v>
      </c>
      <c r="O1227" s="9">
        <v>1915</v>
      </c>
      <c r="P1227" s="9">
        <v>0</v>
      </c>
      <c r="R1227" s="11"/>
      <c r="S1227" s="9"/>
      <c r="T1227" s="9"/>
      <c r="U1227" s="9"/>
    </row>
    <row r="1228" spans="2:21" x14ac:dyDescent="0.4">
      <c r="B1228" s="16">
        <f t="shared" si="114"/>
        <v>43675</v>
      </c>
      <c r="C1228" s="1">
        <f t="shared" si="115"/>
        <v>4263</v>
      </c>
      <c r="D1228" s="1">
        <f t="shared" si="116"/>
        <v>841</v>
      </c>
      <c r="E1228" s="1">
        <f t="shared" si="117"/>
        <v>1915</v>
      </c>
      <c r="F1228" s="1"/>
      <c r="L1228" s="11">
        <v>43675</v>
      </c>
      <c r="M1228" s="9">
        <v>4263</v>
      </c>
      <c r="N1228" s="9">
        <v>841</v>
      </c>
      <c r="O1228" s="9">
        <v>1915</v>
      </c>
      <c r="P1228" s="9">
        <v>0</v>
      </c>
      <c r="R1228" s="11"/>
      <c r="S1228" s="9"/>
      <c r="T1228" s="9"/>
      <c r="U1228" s="9"/>
    </row>
    <row r="1229" spans="2:21" x14ac:dyDescent="0.4">
      <c r="B1229" s="16">
        <f t="shared" si="114"/>
        <v>43676</v>
      </c>
      <c r="C1229" s="1">
        <f t="shared" si="115"/>
        <v>4251</v>
      </c>
      <c r="D1229" s="1">
        <f t="shared" si="116"/>
        <v>841</v>
      </c>
      <c r="E1229" s="1">
        <f t="shared" si="117"/>
        <v>1915</v>
      </c>
      <c r="F1229" s="1"/>
      <c r="L1229" s="11">
        <v>43676</v>
      </c>
      <c r="M1229" s="9">
        <v>4251</v>
      </c>
      <c r="N1229" s="9">
        <v>841</v>
      </c>
      <c r="O1229" s="9">
        <v>1915</v>
      </c>
      <c r="P1229" s="9">
        <v>0</v>
      </c>
      <c r="R1229" s="11"/>
      <c r="S1229" s="9"/>
      <c r="T1229" s="9"/>
      <c r="U1229" s="9"/>
    </row>
    <row r="1230" spans="2:21" x14ac:dyDescent="0.4">
      <c r="B1230" s="16">
        <f t="shared" si="114"/>
        <v>43677</v>
      </c>
      <c r="C1230" s="1">
        <f t="shared" si="115"/>
        <v>4257</v>
      </c>
      <c r="D1230" s="1">
        <f t="shared" si="116"/>
        <v>841</v>
      </c>
      <c r="E1230" s="1">
        <f t="shared" si="117"/>
        <v>1905</v>
      </c>
      <c r="F1230" s="1"/>
      <c r="L1230" s="11">
        <v>43677</v>
      </c>
      <c r="M1230" s="9">
        <v>4257</v>
      </c>
      <c r="N1230" s="9">
        <v>841</v>
      </c>
      <c r="O1230" s="9">
        <v>1905</v>
      </c>
      <c r="P1230" s="9">
        <v>0</v>
      </c>
      <c r="R1230" s="11"/>
      <c r="S1230" s="9"/>
      <c r="T1230" s="9"/>
      <c r="U1230" s="9"/>
    </row>
    <row r="1231" spans="2:21" x14ac:dyDescent="0.4">
      <c r="B1231" s="16">
        <f t="shared" si="114"/>
        <v>43678</v>
      </c>
      <c r="C1231" s="1">
        <f t="shared" si="115"/>
        <v>4265</v>
      </c>
      <c r="D1231" s="1">
        <f t="shared" si="116"/>
        <v>871</v>
      </c>
      <c r="E1231" s="1">
        <f t="shared" si="117"/>
        <v>1905</v>
      </c>
      <c r="F1231" s="1"/>
      <c r="L1231" s="11">
        <v>43678</v>
      </c>
      <c r="M1231" s="9">
        <v>4265</v>
      </c>
      <c r="N1231" s="9">
        <v>871</v>
      </c>
      <c r="O1231" s="9">
        <v>1905</v>
      </c>
      <c r="P1231" s="9">
        <v>0</v>
      </c>
      <c r="R1231" s="11"/>
      <c r="S1231" s="9"/>
      <c r="T1231" s="9"/>
      <c r="U1231" s="9"/>
    </row>
    <row r="1232" spans="2:21" x14ac:dyDescent="0.4">
      <c r="B1232" s="16">
        <f t="shared" si="114"/>
        <v>43679</v>
      </c>
      <c r="C1232" s="1">
        <f t="shared" si="115"/>
        <v>4258</v>
      </c>
      <c r="D1232" s="1">
        <f t="shared" si="116"/>
        <v>901</v>
      </c>
      <c r="E1232" s="1">
        <f t="shared" si="117"/>
        <v>1890</v>
      </c>
      <c r="F1232" s="1"/>
      <c r="L1232" s="11">
        <v>43679</v>
      </c>
      <c r="M1232" s="9">
        <v>4258</v>
      </c>
      <c r="N1232" s="9">
        <v>901</v>
      </c>
      <c r="O1232" s="9">
        <v>1890</v>
      </c>
      <c r="P1232" s="9">
        <v>0</v>
      </c>
      <c r="R1232" s="11"/>
      <c r="S1232" s="9"/>
      <c r="T1232" s="9"/>
      <c r="U1232" s="9"/>
    </row>
    <row r="1233" spans="2:21" x14ac:dyDescent="0.4">
      <c r="B1233" s="16">
        <f t="shared" si="114"/>
        <v>43682</v>
      </c>
      <c r="C1233" s="1">
        <f t="shared" si="115"/>
        <v>4241</v>
      </c>
      <c r="D1233" s="1">
        <f t="shared" si="116"/>
        <v>921</v>
      </c>
      <c r="E1233" s="1">
        <f t="shared" si="117"/>
        <v>1890</v>
      </c>
      <c r="F1233" s="1"/>
      <c r="L1233" s="11">
        <v>43682</v>
      </c>
      <c r="M1233" s="9">
        <v>4241</v>
      </c>
      <c r="N1233" s="9">
        <v>921</v>
      </c>
      <c r="O1233" s="9">
        <v>1890</v>
      </c>
      <c r="P1233" s="9">
        <v>0</v>
      </c>
      <c r="R1233" s="11"/>
      <c r="S1233" s="9"/>
      <c r="T1233" s="9"/>
      <c r="U1233" s="9"/>
    </row>
    <row r="1234" spans="2:21" x14ac:dyDescent="0.4">
      <c r="B1234" s="16">
        <f t="shared" si="114"/>
        <v>43683</v>
      </c>
      <c r="C1234" s="1">
        <f t="shared" si="115"/>
        <v>4226</v>
      </c>
      <c r="D1234" s="1">
        <f t="shared" si="116"/>
        <v>921</v>
      </c>
      <c r="E1234" s="1">
        <f t="shared" si="117"/>
        <v>1870</v>
      </c>
      <c r="F1234" s="1"/>
      <c r="L1234" s="11">
        <v>43683</v>
      </c>
      <c r="M1234" s="9">
        <v>4226</v>
      </c>
      <c r="N1234" s="9">
        <v>921</v>
      </c>
      <c r="O1234" s="9">
        <v>1870</v>
      </c>
      <c r="P1234" s="9">
        <v>0</v>
      </c>
      <c r="R1234" s="11"/>
      <c r="S1234" s="9"/>
      <c r="T1234" s="9"/>
      <c r="U1234" s="9"/>
    </row>
    <row r="1235" spans="2:21" x14ac:dyDescent="0.4">
      <c r="B1235" s="16">
        <f t="shared" si="114"/>
        <v>43684</v>
      </c>
      <c r="C1235" s="1">
        <f t="shared" si="115"/>
        <v>4218</v>
      </c>
      <c r="D1235" s="1">
        <f t="shared" si="116"/>
        <v>921</v>
      </c>
      <c r="E1235" s="1">
        <f t="shared" si="117"/>
        <v>1865</v>
      </c>
      <c r="F1235" s="1"/>
      <c r="L1235" s="11">
        <v>43684</v>
      </c>
      <c r="M1235" s="9">
        <v>4218</v>
      </c>
      <c r="N1235" s="9">
        <v>921</v>
      </c>
      <c r="O1235" s="9">
        <v>1865</v>
      </c>
      <c r="P1235" s="9">
        <v>0</v>
      </c>
      <c r="R1235" s="11"/>
      <c r="S1235" s="9"/>
      <c r="T1235" s="9"/>
      <c r="U1235" s="9"/>
    </row>
    <row r="1236" spans="2:21" x14ac:dyDescent="0.4">
      <c r="B1236" s="16">
        <f t="shared" si="114"/>
        <v>43685</v>
      </c>
      <c r="C1236" s="1">
        <f t="shared" si="115"/>
        <v>4217</v>
      </c>
      <c r="D1236" s="1">
        <f t="shared" si="116"/>
        <v>921</v>
      </c>
      <c r="E1236" s="1">
        <f t="shared" si="117"/>
        <v>1860</v>
      </c>
      <c r="F1236" s="1"/>
      <c r="L1236" s="11">
        <v>43685</v>
      </c>
      <c r="M1236" s="9">
        <v>4217</v>
      </c>
      <c r="N1236" s="9">
        <v>921</v>
      </c>
      <c r="O1236" s="9">
        <v>1860</v>
      </c>
      <c r="P1236" s="9">
        <v>0</v>
      </c>
      <c r="R1236" s="11"/>
      <c r="S1236" s="9"/>
      <c r="T1236" s="9"/>
      <c r="U1236" s="9"/>
    </row>
    <row r="1237" spans="2:21" x14ac:dyDescent="0.4">
      <c r="B1237" s="16">
        <f t="shared" si="114"/>
        <v>43686</v>
      </c>
      <c r="C1237" s="1">
        <f t="shared" si="115"/>
        <v>4220</v>
      </c>
      <c r="D1237" s="1">
        <f t="shared" si="116"/>
        <v>921</v>
      </c>
      <c r="E1237" s="1">
        <f t="shared" si="117"/>
        <v>1860</v>
      </c>
      <c r="F1237" s="1"/>
      <c r="L1237" s="11">
        <v>43686</v>
      </c>
      <c r="M1237" s="9">
        <v>4220</v>
      </c>
      <c r="N1237" s="9">
        <v>921</v>
      </c>
      <c r="O1237" s="9">
        <v>1860</v>
      </c>
      <c r="P1237" s="9">
        <v>0</v>
      </c>
      <c r="R1237" s="11"/>
      <c r="S1237" s="9"/>
      <c r="T1237" s="9"/>
      <c r="U1237" s="9"/>
    </row>
    <row r="1238" spans="2:21" x14ac:dyDescent="0.4">
      <c r="B1238" s="16">
        <f t="shared" si="114"/>
        <v>43689</v>
      </c>
      <c r="C1238" s="1">
        <f t="shared" si="115"/>
        <v>4228</v>
      </c>
      <c r="D1238" s="1">
        <f t="shared" si="116"/>
        <v>921</v>
      </c>
      <c r="E1238" s="1">
        <f t="shared" si="117"/>
        <v>1800</v>
      </c>
      <c r="F1238" s="1"/>
      <c r="L1238" s="11">
        <v>43689</v>
      </c>
      <c r="M1238" s="9">
        <v>4228</v>
      </c>
      <c r="N1238" s="9">
        <v>921</v>
      </c>
      <c r="O1238" s="9">
        <v>1800</v>
      </c>
      <c r="P1238" s="9">
        <v>0</v>
      </c>
      <c r="R1238" s="11"/>
      <c r="S1238" s="9"/>
      <c r="T1238" s="9"/>
      <c r="U1238" s="9"/>
    </row>
    <row r="1239" spans="2:21" x14ac:dyDescent="0.4">
      <c r="B1239" s="16">
        <f t="shared" si="114"/>
        <v>43690</v>
      </c>
      <c r="C1239" s="1">
        <f t="shared" si="115"/>
        <v>4231</v>
      </c>
      <c r="D1239" s="1">
        <f t="shared" si="116"/>
        <v>941</v>
      </c>
      <c r="E1239" s="1">
        <f t="shared" si="117"/>
        <v>1800</v>
      </c>
      <c r="F1239" s="1"/>
      <c r="L1239" s="11">
        <v>43690</v>
      </c>
      <c r="M1239" s="9">
        <v>4231</v>
      </c>
      <c r="N1239" s="9">
        <v>941</v>
      </c>
      <c r="O1239" s="9">
        <v>1800</v>
      </c>
      <c r="P1239" s="9">
        <v>0</v>
      </c>
      <c r="R1239" s="11"/>
      <c r="S1239" s="9"/>
      <c r="T1239" s="9"/>
      <c r="U1239" s="9"/>
    </row>
    <row r="1240" spans="2:21" x14ac:dyDescent="0.4">
      <c r="B1240" s="16">
        <f t="shared" si="114"/>
        <v>43691</v>
      </c>
      <c r="C1240" s="1">
        <f t="shared" si="115"/>
        <v>4235</v>
      </c>
      <c r="D1240" s="1">
        <f t="shared" si="116"/>
        <v>961</v>
      </c>
      <c r="E1240" s="1">
        <f t="shared" si="117"/>
        <v>1810</v>
      </c>
      <c r="F1240" s="1"/>
      <c r="L1240" s="11">
        <v>43691</v>
      </c>
      <c r="M1240" s="9">
        <v>4235</v>
      </c>
      <c r="N1240" s="9">
        <v>961</v>
      </c>
      <c r="O1240" s="9">
        <v>1810</v>
      </c>
      <c r="P1240" s="9">
        <v>0</v>
      </c>
      <c r="R1240" s="11"/>
      <c r="S1240" s="9"/>
      <c r="T1240" s="9"/>
      <c r="U1240" s="9"/>
    </row>
    <row r="1241" spans="2:21" x14ac:dyDescent="0.4">
      <c r="B1241" s="16">
        <f t="shared" si="114"/>
        <v>43692</v>
      </c>
      <c r="C1241" s="1">
        <f t="shared" si="115"/>
        <v>4246</v>
      </c>
      <c r="D1241" s="1">
        <f t="shared" si="116"/>
        <v>961</v>
      </c>
      <c r="E1241" s="1">
        <f t="shared" si="117"/>
        <v>1810</v>
      </c>
      <c r="F1241" s="1"/>
      <c r="L1241" s="11">
        <v>43692</v>
      </c>
      <c r="M1241" s="9">
        <v>4246</v>
      </c>
      <c r="N1241" s="9">
        <v>961</v>
      </c>
      <c r="O1241" s="9">
        <v>1810</v>
      </c>
      <c r="P1241" s="9">
        <v>0</v>
      </c>
      <c r="R1241" s="11"/>
      <c r="S1241" s="9"/>
      <c r="T1241" s="9"/>
      <c r="U1241" s="9"/>
    </row>
    <row r="1242" spans="2:21" x14ac:dyDescent="0.4">
      <c r="B1242" s="16">
        <f t="shared" si="114"/>
        <v>43693</v>
      </c>
      <c r="C1242" s="1">
        <f t="shared" si="115"/>
        <v>4244</v>
      </c>
      <c r="D1242" s="1">
        <f t="shared" si="116"/>
        <v>946</v>
      </c>
      <c r="E1242" s="1">
        <f t="shared" si="117"/>
        <v>1820</v>
      </c>
      <c r="F1242" s="1"/>
      <c r="L1242" s="11">
        <v>43693</v>
      </c>
      <c r="M1242" s="9">
        <v>4244</v>
      </c>
      <c r="N1242" s="9">
        <v>946</v>
      </c>
      <c r="O1242" s="9">
        <v>1820</v>
      </c>
      <c r="P1242" s="9">
        <v>0</v>
      </c>
      <c r="R1242" s="11"/>
      <c r="S1242" s="9"/>
      <c r="T1242" s="9"/>
      <c r="U1242" s="9"/>
    </row>
    <row r="1243" spans="2:21" x14ac:dyDescent="0.4">
      <c r="B1243" s="16">
        <f t="shared" si="114"/>
        <v>43696</v>
      </c>
      <c r="C1243" s="1">
        <f t="shared" si="115"/>
        <v>4233</v>
      </c>
      <c r="D1243" s="1">
        <f t="shared" si="116"/>
        <v>931</v>
      </c>
      <c r="E1243" s="1">
        <f t="shared" si="117"/>
        <v>1830</v>
      </c>
      <c r="F1243" s="1"/>
      <c r="L1243" s="11">
        <v>43696</v>
      </c>
      <c r="M1243" s="9">
        <v>4233</v>
      </c>
      <c r="N1243" s="9">
        <v>931</v>
      </c>
      <c r="O1243" s="9">
        <v>1830</v>
      </c>
      <c r="P1243" s="9">
        <v>0</v>
      </c>
      <c r="R1243" s="11"/>
      <c r="S1243" s="9"/>
      <c r="T1243" s="9"/>
      <c r="U1243" s="9"/>
    </row>
    <row r="1244" spans="2:21" x14ac:dyDescent="0.4">
      <c r="B1244" s="16">
        <f t="shared" si="114"/>
        <v>43697</v>
      </c>
      <c r="C1244" s="1">
        <f t="shared" si="115"/>
        <v>4238</v>
      </c>
      <c r="D1244" s="1">
        <f t="shared" si="116"/>
        <v>931</v>
      </c>
      <c r="E1244" s="1">
        <f t="shared" si="117"/>
        <v>1840</v>
      </c>
      <c r="F1244" s="1"/>
      <c r="L1244" s="11">
        <v>43697</v>
      </c>
      <c r="M1244" s="9">
        <v>4238</v>
      </c>
      <c r="N1244" s="9">
        <v>931</v>
      </c>
      <c r="O1244" s="9">
        <v>1840</v>
      </c>
      <c r="P1244" s="9">
        <v>0</v>
      </c>
      <c r="R1244" s="11"/>
      <c r="S1244" s="9"/>
      <c r="T1244" s="9"/>
      <c r="U1244" s="9"/>
    </row>
    <row r="1245" spans="2:21" x14ac:dyDescent="0.4">
      <c r="B1245" s="16">
        <f t="shared" si="114"/>
        <v>43698</v>
      </c>
      <c r="C1245" s="1">
        <f t="shared" si="115"/>
        <v>4239</v>
      </c>
      <c r="D1245" s="1">
        <f t="shared" si="116"/>
        <v>931</v>
      </c>
      <c r="E1245" s="1">
        <f t="shared" si="117"/>
        <v>1840</v>
      </c>
      <c r="F1245" s="1"/>
      <c r="L1245" s="11">
        <v>43698</v>
      </c>
      <c r="M1245" s="9">
        <v>4239</v>
      </c>
      <c r="N1245" s="9">
        <v>931</v>
      </c>
      <c r="O1245" s="9">
        <v>1840</v>
      </c>
      <c r="P1245" s="9">
        <v>0</v>
      </c>
      <c r="R1245" s="11"/>
      <c r="S1245" s="9"/>
      <c r="T1245" s="9"/>
      <c r="U1245" s="9"/>
    </row>
    <row r="1246" spans="2:21" x14ac:dyDescent="0.4">
      <c r="B1246" s="16">
        <f t="shared" si="114"/>
        <v>43699</v>
      </c>
      <c r="C1246" s="1">
        <f t="shared" si="115"/>
        <v>4227</v>
      </c>
      <c r="D1246" s="1">
        <f t="shared" si="116"/>
        <v>901</v>
      </c>
      <c r="E1246" s="1">
        <f t="shared" si="117"/>
        <v>1840</v>
      </c>
      <c r="F1246" s="1"/>
      <c r="L1246" s="11">
        <v>43699</v>
      </c>
      <c r="M1246" s="9">
        <v>4227</v>
      </c>
      <c r="N1246" s="9">
        <v>901</v>
      </c>
      <c r="O1246" s="9">
        <v>1840</v>
      </c>
      <c r="P1246" s="9">
        <v>0</v>
      </c>
      <c r="R1246" s="11"/>
      <c r="S1246" s="9"/>
      <c r="T1246" s="9"/>
      <c r="U1246" s="9"/>
    </row>
    <row r="1247" spans="2:21" x14ac:dyDescent="0.4">
      <c r="B1247" s="16">
        <f t="shared" si="114"/>
        <v>43700</v>
      </c>
      <c r="C1247" s="1">
        <f t="shared" si="115"/>
        <v>4224</v>
      </c>
      <c r="D1247" s="1">
        <f t="shared" si="116"/>
        <v>881</v>
      </c>
      <c r="E1247" s="1">
        <f t="shared" si="117"/>
        <v>1830</v>
      </c>
      <c r="F1247" s="1"/>
      <c r="L1247" s="11">
        <v>43700</v>
      </c>
      <c r="M1247" s="9">
        <v>4224</v>
      </c>
      <c r="N1247" s="9">
        <v>881</v>
      </c>
      <c r="O1247" s="9">
        <v>1830</v>
      </c>
      <c r="P1247" s="9">
        <v>0</v>
      </c>
      <c r="R1247" s="11"/>
      <c r="S1247" s="9"/>
      <c r="T1247" s="9"/>
      <c r="U1247" s="9"/>
    </row>
    <row r="1248" spans="2:21" x14ac:dyDescent="0.4">
      <c r="B1248" s="16">
        <f t="shared" si="114"/>
        <v>43703</v>
      </c>
      <c r="C1248" s="1">
        <f t="shared" si="115"/>
        <v>4234</v>
      </c>
      <c r="D1248" s="1">
        <f t="shared" si="116"/>
        <v>881</v>
      </c>
      <c r="E1248" s="1">
        <f t="shared" si="117"/>
        <v>1830</v>
      </c>
      <c r="F1248" s="1"/>
      <c r="L1248" s="11">
        <v>43703</v>
      </c>
      <c r="M1248" s="9">
        <v>4234</v>
      </c>
      <c r="N1248" s="9">
        <v>881</v>
      </c>
      <c r="O1248" s="9">
        <v>1830</v>
      </c>
      <c r="P1248" s="9">
        <v>0</v>
      </c>
      <c r="R1248" s="11"/>
      <c r="S1248" s="9"/>
      <c r="T1248" s="9"/>
      <c r="U1248" s="9"/>
    </row>
    <row r="1249" spans="2:21" x14ac:dyDescent="0.4">
      <c r="B1249" s="16">
        <f t="shared" si="114"/>
        <v>43704</v>
      </c>
      <c r="C1249" s="1">
        <f t="shared" si="115"/>
        <v>4237</v>
      </c>
      <c r="D1249" s="1">
        <f t="shared" si="116"/>
        <v>891</v>
      </c>
      <c r="E1249" s="1">
        <f t="shared" si="117"/>
        <v>1820</v>
      </c>
      <c r="F1249" s="1"/>
      <c r="L1249" s="11">
        <v>43704</v>
      </c>
      <c r="M1249" s="9">
        <v>4237</v>
      </c>
      <c r="N1249" s="9">
        <v>891</v>
      </c>
      <c r="O1249" s="9">
        <v>1820</v>
      </c>
      <c r="P1249" s="9">
        <v>0</v>
      </c>
      <c r="R1249" s="11"/>
      <c r="S1249" s="9"/>
      <c r="T1249" s="9"/>
      <c r="U1249" s="9"/>
    </row>
    <row r="1250" spans="2:21" x14ac:dyDescent="0.4">
      <c r="B1250" s="16">
        <f t="shared" si="114"/>
        <v>43705</v>
      </c>
      <c r="C1250" s="1">
        <f t="shared" si="115"/>
        <v>4239</v>
      </c>
      <c r="D1250" s="1">
        <f t="shared" si="116"/>
        <v>891</v>
      </c>
      <c r="E1250" s="1">
        <f t="shared" si="117"/>
        <v>1815</v>
      </c>
      <c r="F1250" s="1"/>
      <c r="L1250" s="11">
        <v>43705</v>
      </c>
      <c r="M1250" s="9">
        <v>4239</v>
      </c>
      <c r="N1250" s="9">
        <v>891</v>
      </c>
      <c r="O1250" s="9">
        <v>1815</v>
      </c>
      <c r="P1250" s="9">
        <v>0</v>
      </c>
      <c r="R1250" s="11"/>
      <c r="S1250" s="9"/>
      <c r="T1250" s="9"/>
      <c r="U1250" s="9"/>
    </row>
    <row r="1251" spans="2:21" x14ac:dyDescent="0.4">
      <c r="B1251" s="16">
        <f t="shared" si="114"/>
        <v>43706</v>
      </c>
      <c r="C1251" s="1">
        <f t="shared" si="115"/>
        <v>4242</v>
      </c>
      <c r="D1251" s="1">
        <f t="shared" si="116"/>
        <v>891</v>
      </c>
      <c r="E1251" s="1">
        <f t="shared" si="117"/>
        <v>1820</v>
      </c>
      <c r="F1251" s="1"/>
      <c r="L1251" s="11">
        <v>43706</v>
      </c>
      <c r="M1251" s="9">
        <v>4242</v>
      </c>
      <c r="N1251" s="9">
        <v>891</v>
      </c>
      <c r="O1251" s="9">
        <v>1820</v>
      </c>
      <c r="P1251" s="9">
        <v>0</v>
      </c>
      <c r="R1251" s="11"/>
      <c r="S1251" s="9"/>
      <c r="T1251" s="9"/>
      <c r="U1251" s="9"/>
    </row>
    <row r="1252" spans="2:21" x14ac:dyDescent="0.4">
      <c r="B1252" s="16">
        <f t="shared" si="114"/>
        <v>43707</v>
      </c>
      <c r="C1252" s="1">
        <f t="shared" si="115"/>
        <v>4241</v>
      </c>
      <c r="D1252" s="1">
        <f t="shared" si="116"/>
        <v>891</v>
      </c>
      <c r="E1252" s="1">
        <f t="shared" si="117"/>
        <v>1820</v>
      </c>
      <c r="F1252" s="1"/>
      <c r="L1252" s="11">
        <v>43707</v>
      </c>
      <c r="M1252" s="9">
        <v>4241</v>
      </c>
      <c r="N1252" s="9">
        <v>891</v>
      </c>
      <c r="O1252" s="9">
        <v>1820</v>
      </c>
      <c r="P1252" s="9">
        <v>0</v>
      </c>
      <c r="R1252" s="11"/>
      <c r="S1252" s="9"/>
      <c r="T1252" s="9"/>
      <c r="U1252" s="9"/>
    </row>
    <row r="1253" spans="2:21" x14ac:dyDescent="0.4">
      <c r="B1253" s="16">
        <f t="shared" si="114"/>
        <v>43710</v>
      </c>
      <c r="C1253" s="1">
        <f t="shared" si="115"/>
        <v>4250</v>
      </c>
      <c r="D1253" s="1">
        <f t="shared" si="116"/>
        <v>891</v>
      </c>
      <c r="E1253" s="1">
        <f t="shared" si="117"/>
        <v>1820</v>
      </c>
      <c r="F1253" s="1"/>
      <c r="L1253" s="11">
        <v>43710</v>
      </c>
      <c r="M1253" s="9">
        <v>4250</v>
      </c>
      <c r="N1253" s="9">
        <v>891</v>
      </c>
      <c r="O1253" s="9">
        <v>1820</v>
      </c>
      <c r="P1253" s="9">
        <v>0</v>
      </c>
      <c r="R1253" s="11"/>
      <c r="S1253" s="9"/>
      <c r="T1253" s="9"/>
      <c r="U1253" s="9"/>
    </row>
    <row r="1254" spans="2:21" x14ac:dyDescent="0.4">
      <c r="B1254" s="16">
        <f t="shared" si="114"/>
        <v>43711</v>
      </c>
      <c r="C1254" s="1">
        <f t="shared" si="115"/>
        <v>4264</v>
      </c>
      <c r="D1254" s="1">
        <f t="shared" si="116"/>
        <v>891</v>
      </c>
      <c r="E1254" s="1">
        <f t="shared" si="117"/>
        <v>1835</v>
      </c>
      <c r="F1254" s="1"/>
      <c r="L1254" s="11">
        <v>43711</v>
      </c>
      <c r="M1254" s="9">
        <v>4264</v>
      </c>
      <c r="N1254" s="9">
        <v>891</v>
      </c>
      <c r="O1254" s="9">
        <v>1835</v>
      </c>
      <c r="P1254" s="9">
        <v>0</v>
      </c>
      <c r="R1254" s="11"/>
      <c r="S1254" s="9"/>
      <c r="T1254" s="9"/>
      <c r="U1254" s="9"/>
    </row>
    <row r="1255" spans="2:21" x14ac:dyDescent="0.4">
      <c r="B1255" s="16">
        <f t="shared" si="114"/>
        <v>43712</v>
      </c>
      <c r="C1255" s="1">
        <f t="shared" si="115"/>
        <v>4272</v>
      </c>
      <c r="D1255" s="1">
        <f t="shared" si="116"/>
        <v>891</v>
      </c>
      <c r="E1255" s="1">
        <f t="shared" si="117"/>
        <v>1840</v>
      </c>
      <c r="F1255" s="1"/>
      <c r="L1255" s="11">
        <v>43712</v>
      </c>
      <c r="M1255" s="9">
        <v>4272</v>
      </c>
      <c r="N1255" s="9">
        <v>891</v>
      </c>
      <c r="O1255" s="9">
        <v>1840</v>
      </c>
      <c r="P1255" s="9">
        <v>0</v>
      </c>
      <c r="R1255" s="11"/>
      <c r="S1255" s="9"/>
      <c r="T1255" s="9"/>
      <c r="U1255" s="9"/>
    </row>
    <row r="1256" spans="2:21" x14ac:dyDescent="0.4">
      <c r="B1256" s="16">
        <f t="shared" si="114"/>
        <v>43713</v>
      </c>
      <c r="C1256" s="1">
        <f t="shared" si="115"/>
        <v>4281</v>
      </c>
      <c r="D1256" s="1">
        <f t="shared" si="116"/>
        <v>871</v>
      </c>
      <c r="E1256" s="1">
        <f t="shared" si="117"/>
        <v>1840</v>
      </c>
      <c r="F1256" s="1"/>
      <c r="L1256" s="11">
        <v>43713</v>
      </c>
      <c r="M1256" s="9">
        <v>4281</v>
      </c>
      <c r="N1256" s="9">
        <v>871</v>
      </c>
      <c r="O1256" s="9">
        <v>1840</v>
      </c>
      <c r="P1256" s="9">
        <v>0</v>
      </c>
      <c r="R1256" s="11"/>
      <c r="S1256" s="9"/>
      <c r="T1256" s="9"/>
      <c r="U1256" s="9"/>
    </row>
    <row r="1257" spans="2:21" x14ac:dyDescent="0.4">
      <c r="B1257" s="16">
        <f t="shared" si="114"/>
        <v>43714</v>
      </c>
      <c r="C1257" s="1">
        <f t="shared" si="115"/>
        <v>4295</v>
      </c>
      <c r="D1257" s="1">
        <f t="shared" si="116"/>
        <v>861</v>
      </c>
      <c r="E1257" s="1">
        <f t="shared" si="117"/>
        <v>1840</v>
      </c>
      <c r="F1257" s="1"/>
      <c r="L1257" s="11">
        <v>43714</v>
      </c>
      <c r="M1257" s="9">
        <v>4295</v>
      </c>
      <c r="N1257" s="9">
        <v>861</v>
      </c>
      <c r="O1257" s="9">
        <v>1840</v>
      </c>
      <c r="P1257" s="9">
        <v>0</v>
      </c>
      <c r="R1257" s="11"/>
      <c r="S1257" s="9"/>
      <c r="T1257" s="9"/>
      <c r="U1257" s="9"/>
    </row>
    <row r="1258" spans="2:21" x14ac:dyDescent="0.4">
      <c r="B1258" s="16">
        <f t="shared" si="114"/>
        <v>43717</v>
      </c>
      <c r="C1258" s="1">
        <f t="shared" si="115"/>
        <v>4320</v>
      </c>
      <c r="D1258" s="1">
        <f t="shared" si="116"/>
        <v>861</v>
      </c>
      <c r="E1258" s="1">
        <f t="shared" si="117"/>
        <v>1840</v>
      </c>
      <c r="F1258" s="1"/>
      <c r="L1258" s="11">
        <v>43717</v>
      </c>
      <c r="M1258" s="9">
        <v>4320</v>
      </c>
      <c r="N1258" s="9">
        <v>861</v>
      </c>
      <c r="O1258" s="9">
        <v>1840</v>
      </c>
      <c r="P1258" s="9">
        <v>0</v>
      </c>
      <c r="R1258" s="11"/>
      <c r="S1258" s="9"/>
      <c r="T1258" s="9"/>
      <c r="U1258" s="9"/>
    </row>
    <row r="1259" spans="2:21" x14ac:dyDescent="0.4">
      <c r="B1259" s="16">
        <f t="shared" si="114"/>
        <v>43718</v>
      </c>
      <c r="C1259" s="1">
        <f t="shared" si="115"/>
        <v>4341</v>
      </c>
      <c r="D1259" s="1">
        <f t="shared" si="116"/>
        <v>851</v>
      </c>
      <c r="E1259" s="1">
        <f t="shared" si="117"/>
        <v>1850</v>
      </c>
      <c r="F1259" s="1"/>
      <c r="L1259" s="11">
        <v>43718</v>
      </c>
      <c r="M1259" s="9">
        <v>4341</v>
      </c>
      <c r="N1259" s="9">
        <v>851</v>
      </c>
      <c r="O1259" s="9">
        <v>1850</v>
      </c>
      <c r="P1259" s="9">
        <v>0</v>
      </c>
      <c r="R1259" s="11"/>
      <c r="S1259" s="9"/>
      <c r="T1259" s="9"/>
      <c r="U1259" s="9"/>
    </row>
    <row r="1260" spans="2:21" x14ac:dyDescent="0.4">
      <c r="B1260" s="16">
        <f t="shared" si="114"/>
        <v>43719</v>
      </c>
      <c r="C1260" s="1">
        <f t="shared" si="115"/>
        <v>4339</v>
      </c>
      <c r="D1260" s="1">
        <f t="shared" si="116"/>
        <v>851</v>
      </c>
      <c r="E1260" s="1">
        <f t="shared" si="117"/>
        <v>1860</v>
      </c>
      <c r="F1260" s="1"/>
      <c r="L1260" s="11">
        <v>43719</v>
      </c>
      <c r="M1260" s="9">
        <v>4339</v>
      </c>
      <c r="N1260" s="9">
        <v>851</v>
      </c>
      <c r="O1260" s="9">
        <v>1860</v>
      </c>
      <c r="P1260" s="9">
        <v>0</v>
      </c>
      <c r="R1260" s="11"/>
      <c r="S1260" s="9"/>
      <c r="T1260" s="9"/>
      <c r="U1260" s="9"/>
    </row>
    <row r="1261" spans="2:21" x14ac:dyDescent="0.4">
      <c r="B1261" s="16">
        <f t="shared" si="114"/>
        <v>43720</v>
      </c>
      <c r="C1261" s="1">
        <f t="shared" si="115"/>
        <v>4336</v>
      </c>
      <c r="D1261" s="1">
        <f t="shared" si="116"/>
        <v>851</v>
      </c>
      <c r="E1261" s="1">
        <f t="shared" si="117"/>
        <v>1860</v>
      </c>
      <c r="F1261" s="1"/>
      <c r="L1261" s="11">
        <v>43720</v>
      </c>
      <c r="M1261" s="9">
        <v>4336</v>
      </c>
      <c r="N1261" s="9">
        <v>851</v>
      </c>
      <c r="O1261" s="9">
        <v>1860</v>
      </c>
      <c r="P1261" s="9">
        <v>0</v>
      </c>
      <c r="R1261" s="11"/>
      <c r="S1261" s="9"/>
      <c r="T1261" s="9"/>
      <c r="U1261" s="9"/>
    </row>
    <row r="1262" spans="2:21" x14ac:dyDescent="0.4">
      <c r="B1262" s="16">
        <f t="shared" si="114"/>
        <v>43721</v>
      </c>
      <c r="C1262" s="1">
        <f t="shared" si="115"/>
        <v>4336</v>
      </c>
      <c r="D1262" s="1">
        <f t="shared" si="116"/>
        <v>851</v>
      </c>
      <c r="E1262" s="1">
        <f t="shared" si="117"/>
        <v>1860</v>
      </c>
      <c r="F1262" s="1"/>
      <c r="L1262" s="11">
        <v>43721</v>
      </c>
      <c r="M1262" s="9">
        <v>0</v>
      </c>
      <c r="N1262" s="9">
        <v>851</v>
      </c>
      <c r="O1262" s="9">
        <v>0</v>
      </c>
      <c r="P1262" s="9">
        <v>0</v>
      </c>
      <c r="R1262" s="11"/>
      <c r="S1262" s="9"/>
      <c r="T1262" s="9"/>
      <c r="U1262" s="9"/>
    </row>
    <row r="1263" spans="2:21" x14ac:dyDescent="0.4">
      <c r="B1263" s="16">
        <f t="shared" si="114"/>
        <v>43724</v>
      </c>
      <c r="C1263" s="1">
        <f t="shared" si="115"/>
        <v>4350</v>
      </c>
      <c r="D1263" s="1">
        <f t="shared" si="116"/>
        <v>851</v>
      </c>
      <c r="E1263" s="1">
        <f t="shared" si="117"/>
        <v>1860</v>
      </c>
      <c r="F1263" s="1"/>
      <c r="L1263" s="11">
        <v>43724</v>
      </c>
      <c r="M1263" s="9">
        <v>4350</v>
      </c>
      <c r="N1263" s="9">
        <v>851</v>
      </c>
      <c r="O1263" s="9">
        <v>1860</v>
      </c>
      <c r="P1263" s="9">
        <v>0</v>
      </c>
      <c r="R1263" s="11"/>
      <c r="S1263" s="9"/>
      <c r="T1263" s="9"/>
      <c r="U1263" s="9"/>
    </row>
    <row r="1264" spans="2:21" x14ac:dyDescent="0.4">
      <c r="B1264" s="16">
        <f t="shared" si="114"/>
        <v>43725</v>
      </c>
      <c r="C1264" s="1">
        <f t="shared" si="115"/>
        <v>4427</v>
      </c>
      <c r="D1264" s="1">
        <f t="shared" si="116"/>
        <v>871</v>
      </c>
      <c r="E1264" s="1">
        <f t="shared" si="117"/>
        <v>1860</v>
      </c>
      <c r="F1264" s="1"/>
      <c r="L1264" s="11">
        <v>43725</v>
      </c>
      <c r="M1264" s="9">
        <v>4427</v>
      </c>
      <c r="N1264" s="9">
        <v>871</v>
      </c>
      <c r="O1264" s="9">
        <v>1860</v>
      </c>
      <c r="P1264" s="9">
        <v>0</v>
      </c>
      <c r="R1264" s="11"/>
      <c r="S1264" s="9"/>
      <c r="T1264" s="9"/>
      <c r="U1264" s="9"/>
    </row>
    <row r="1265" spans="2:21" x14ac:dyDescent="0.4">
      <c r="B1265" s="16">
        <f t="shared" si="114"/>
        <v>43726</v>
      </c>
      <c r="C1265" s="1">
        <f t="shared" si="115"/>
        <v>4447</v>
      </c>
      <c r="D1265" s="1">
        <f t="shared" si="116"/>
        <v>901</v>
      </c>
      <c r="E1265" s="1">
        <f t="shared" si="117"/>
        <v>1850</v>
      </c>
      <c r="F1265" s="1"/>
      <c r="L1265" s="11">
        <v>43726</v>
      </c>
      <c r="M1265" s="9">
        <v>4447</v>
      </c>
      <c r="N1265" s="9">
        <v>901</v>
      </c>
      <c r="O1265" s="9">
        <v>1850</v>
      </c>
      <c r="P1265" s="9">
        <v>0</v>
      </c>
      <c r="R1265" s="11"/>
      <c r="S1265" s="9"/>
      <c r="T1265" s="9"/>
      <c r="U1265" s="9"/>
    </row>
    <row r="1266" spans="2:21" x14ac:dyDescent="0.4">
      <c r="B1266" s="16">
        <f t="shared" si="114"/>
        <v>43727</v>
      </c>
      <c r="C1266" s="1">
        <f t="shared" si="115"/>
        <v>4427</v>
      </c>
      <c r="D1266" s="1">
        <f t="shared" si="116"/>
        <v>901</v>
      </c>
      <c r="E1266" s="1">
        <f t="shared" si="117"/>
        <v>1840</v>
      </c>
      <c r="F1266" s="1"/>
      <c r="L1266" s="11">
        <v>43727</v>
      </c>
      <c r="M1266" s="9">
        <v>4427</v>
      </c>
      <c r="N1266" s="9">
        <v>901</v>
      </c>
      <c r="O1266" s="9">
        <v>1840</v>
      </c>
      <c r="P1266" s="9">
        <v>0</v>
      </c>
      <c r="R1266" s="11"/>
      <c r="S1266" s="9"/>
      <c r="T1266" s="9"/>
      <c r="U1266" s="9"/>
    </row>
    <row r="1267" spans="2:21" x14ac:dyDescent="0.4">
      <c r="B1267" s="16">
        <f t="shared" si="114"/>
        <v>43728</v>
      </c>
      <c r="C1267" s="1">
        <f t="shared" si="115"/>
        <v>4417</v>
      </c>
      <c r="D1267" s="1">
        <f t="shared" si="116"/>
        <v>901</v>
      </c>
      <c r="E1267" s="1">
        <f t="shared" si="117"/>
        <v>1840</v>
      </c>
      <c r="F1267" s="1"/>
      <c r="L1267" s="11">
        <v>43728</v>
      </c>
      <c r="M1267" s="9">
        <v>4417</v>
      </c>
      <c r="N1267" s="9">
        <v>901</v>
      </c>
      <c r="O1267" s="9">
        <v>1840</v>
      </c>
      <c r="P1267" s="9">
        <v>0</v>
      </c>
      <c r="R1267" s="11"/>
      <c r="S1267" s="9"/>
      <c r="T1267" s="9"/>
      <c r="U1267" s="9"/>
    </row>
    <row r="1268" spans="2:21" x14ac:dyDescent="0.4">
      <c r="B1268" s="16">
        <f t="shared" si="114"/>
        <v>43731</v>
      </c>
      <c r="C1268" s="1">
        <f t="shared" si="115"/>
        <v>4406</v>
      </c>
      <c r="D1268" s="1">
        <f t="shared" si="116"/>
        <v>881</v>
      </c>
      <c r="E1268" s="1">
        <f t="shared" si="117"/>
        <v>1840</v>
      </c>
      <c r="F1268" s="1"/>
      <c r="L1268" s="11">
        <v>43731</v>
      </c>
      <c r="M1268" s="9">
        <v>4406</v>
      </c>
      <c r="N1268" s="9">
        <v>881</v>
      </c>
      <c r="O1268" s="9">
        <v>1840</v>
      </c>
      <c r="P1268" s="9">
        <v>0</v>
      </c>
      <c r="R1268" s="11"/>
      <c r="S1268" s="9"/>
      <c r="T1268" s="9"/>
      <c r="U1268" s="9"/>
    </row>
    <row r="1269" spans="2:21" x14ac:dyDescent="0.4">
      <c r="B1269" s="16">
        <f t="shared" si="114"/>
        <v>43732</v>
      </c>
      <c r="C1269" s="1">
        <f t="shared" si="115"/>
        <v>4407</v>
      </c>
      <c r="D1269" s="1">
        <f t="shared" si="116"/>
        <v>851</v>
      </c>
      <c r="E1269" s="1">
        <f t="shared" si="117"/>
        <v>1840</v>
      </c>
      <c r="F1269" s="1"/>
      <c r="L1269" s="11">
        <v>43732</v>
      </c>
      <c r="M1269" s="9">
        <v>4407</v>
      </c>
      <c r="N1269" s="9">
        <v>851</v>
      </c>
      <c r="O1269" s="9">
        <v>1840</v>
      </c>
      <c r="P1269" s="9">
        <v>0</v>
      </c>
      <c r="R1269" s="11"/>
      <c r="S1269" s="9"/>
      <c r="T1269" s="9"/>
      <c r="U1269" s="9"/>
    </row>
    <row r="1270" spans="2:21" x14ac:dyDescent="0.4">
      <c r="B1270" s="16">
        <f t="shared" si="114"/>
        <v>43733</v>
      </c>
      <c r="C1270" s="1">
        <f t="shared" si="115"/>
        <v>4405</v>
      </c>
      <c r="D1270" s="1">
        <f t="shared" si="116"/>
        <v>851</v>
      </c>
      <c r="E1270" s="1">
        <f t="shared" si="117"/>
        <v>1840</v>
      </c>
      <c r="F1270" s="1"/>
      <c r="L1270" s="11">
        <v>43733</v>
      </c>
      <c r="M1270" s="9">
        <v>4405</v>
      </c>
      <c r="N1270" s="9">
        <v>851</v>
      </c>
      <c r="O1270" s="9">
        <v>1840</v>
      </c>
      <c r="P1270" s="9">
        <v>0</v>
      </c>
      <c r="R1270" s="11"/>
      <c r="S1270" s="9"/>
      <c r="T1270" s="9"/>
      <c r="U1270" s="9"/>
    </row>
    <row r="1271" spans="2:21" x14ac:dyDescent="0.4">
      <c r="B1271" s="16">
        <f t="shared" si="114"/>
        <v>43734</v>
      </c>
      <c r="C1271" s="1">
        <f t="shared" si="115"/>
        <v>4401</v>
      </c>
      <c r="D1271" s="1">
        <f t="shared" si="116"/>
        <v>851</v>
      </c>
      <c r="E1271" s="1">
        <f t="shared" si="117"/>
        <v>1840</v>
      </c>
      <c r="F1271" s="1"/>
      <c r="L1271" s="11">
        <v>43734</v>
      </c>
      <c r="M1271" s="9">
        <v>4401</v>
      </c>
      <c r="N1271" s="9">
        <v>851</v>
      </c>
      <c r="O1271" s="9">
        <v>1840</v>
      </c>
      <c r="P1271" s="9">
        <v>0</v>
      </c>
      <c r="R1271" s="11"/>
      <c r="S1271" s="9"/>
      <c r="T1271" s="9"/>
      <c r="U1271" s="9"/>
    </row>
    <row r="1272" spans="2:21" x14ac:dyDescent="0.4">
      <c r="B1272" s="16">
        <f t="shared" si="114"/>
        <v>43735</v>
      </c>
      <c r="C1272" s="1">
        <f t="shared" si="115"/>
        <v>4398</v>
      </c>
      <c r="D1272" s="1">
        <f t="shared" si="116"/>
        <v>851</v>
      </c>
      <c r="E1272" s="1">
        <f t="shared" si="117"/>
        <v>1840</v>
      </c>
      <c r="F1272" s="1"/>
      <c r="L1272" s="11">
        <v>43735</v>
      </c>
      <c r="M1272" s="9">
        <v>4398</v>
      </c>
      <c r="N1272" s="9">
        <v>851</v>
      </c>
      <c r="O1272" s="9">
        <v>1840</v>
      </c>
      <c r="P1272" s="9">
        <v>0</v>
      </c>
      <c r="R1272" s="11"/>
      <c r="S1272" s="9"/>
      <c r="T1272" s="9"/>
      <c r="U1272" s="9"/>
    </row>
    <row r="1273" spans="2:21" x14ac:dyDescent="0.4">
      <c r="B1273" s="16">
        <f t="shared" si="114"/>
        <v>43737</v>
      </c>
      <c r="C1273" s="1">
        <f t="shared" si="115"/>
        <v>4391</v>
      </c>
      <c r="D1273" s="1">
        <f t="shared" si="116"/>
        <v>851</v>
      </c>
      <c r="E1273" s="1">
        <f t="shared" si="117"/>
        <v>1840</v>
      </c>
      <c r="F1273" s="1"/>
      <c r="L1273" s="11">
        <v>43737</v>
      </c>
      <c r="M1273" s="9">
        <v>4391</v>
      </c>
      <c r="N1273" s="9">
        <v>0</v>
      </c>
      <c r="O1273" s="9">
        <v>1840</v>
      </c>
      <c r="P1273" s="9">
        <v>0</v>
      </c>
      <c r="R1273" s="11"/>
      <c r="S1273" s="9"/>
      <c r="T1273" s="9"/>
      <c r="U1273" s="9"/>
    </row>
    <row r="1274" spans="2:21" x14ac:dyDescent="0.4">
      <c r="B1274" s="16">
        <f t="shared" si="114"/>
        <v>43738</v>
      </c>
      <c r="C1274" s="1">
        <f t="shared" si="115"/>
        <v>4390</v>
      </c>
      <c r="D1274" s="1">
        <f t="shared" si="116"/>
        <v>851</v>
      </c>
      <c r="E1274" s="1">
        <f t="shared" si="117"/>
        <v>1840</v>
      </c>
      <c r="F1274" s="1"/>
      <c r="L1274" s="11">
        <v>43738</v>
      </c>
      <c r="M1274" s="9">
        <v>4390</v>
      </c>
      <c r="N1274" s="9">
        <v>851</v>
      </c>
      <c r="O1274" s="9">
        <v>1840</v>
      </c>
      <c r="P1274" s="9">
        <v>0</v>
      </c>
      <c r="R1274" s="11"/>
      <c r="S1274" s="9"/>
      <c r="T1274" s="9"/>
      <c r="U1274" s="9"/>
    </row>
    <row r="1275" spans="2:21" x14ac:dyDescent="0.4">
      <c r="B1275" s="16">
        <f t="shared" si="114"/>
        <v>43739</v>
      </c>
      <c r="C1275" s="1">
        <f t="shared" si="115"/>
        <v>4390</v>
      </c>
      <c r="D1275" s="1">
        <f t="shared" si="116"/>
        <v>851</v>
      </c>
      <c r="E1275" s="1">
        <f t="shared" si="117"/>
        <v>1840</v>
      </c>
      <c r="F1275" s="1"/>
      <c r="L1275" s="11">
        <v>43739</v>
      </c>
      <c r="M1275" s="9">
        <v>0</v>
      </c>
      <c r="N1275" s="9">
        <v>851</v>
      </c>
      <c r="O1275" s="9">
        <v>0</v>
      </c>
      <c r="P1275" s="9">
        <v>0</v>
      </c>
      <c r="R1275" s="11"/>
      <c r="S1275" s="9"/>
      <c r="T1275" s="9"/>
      <c r="U1275" s="9"/>
    </row>
    <row r="1276" spans="2:21" x14ac:dyDescent="0.4">
      <c r="B1276" s="16">
        <f t="shared" si="114"/>
        <v>43740</v>
      </c>
      <c r="C1276" s="1">
        <f t="shared" si="115"/>
        <v>4390</v>
      </c>
      <c r="D1276" s="1">
        <f t="shared" si="116"/>
        <v>851</v>
      </c>
      <c r="E1276" s="1">
        <f t="shared" si="117"/>
        <v>1840</v>
      </c>
      <c r="F1276" s="1"/>
      <c r="L1276" s="11">
        <v>43740</v>
      </c>
      <c r="M1276" s="9">
        <v>0</v>
      </c>
      <c r="N1276" s="9">
        <v>851</v>
      </c>
      <c r="O1276" s="9">
        <v>0</v>
      </c>
      <c r="P1276" s="9">
        <v>0</v>
      </c>
      <c r="R1276" s="11"/>
      <c r="S1276" s="9"/>
      <c r="T1276" s="9"/>
      <c r="U1276" s="9"/>
    </row>
    <row r="1277" spans="2:21" x14ac:dyDescent="0.4">
      <c r="B1277" s="16">
        <f t="shared" si="114"/>
        <v>43741</v>
      </c>
      <c r="C1277" s="1">
        <f t="shared" si="115"/>
        <v>4390</v>
      </c>
      <c r="D1277" s="1">
        <f t="shared" si="116"/>
        <v>811</v>
      </c>
      <c r="E1277" s="1">
        <f t="shared" si="117"/>
        <v>1840</v>
      </c>
      <c r="F1277" s="1"/>
      <c r="L1277" s="11">
        <v>43741</v>
      </c>
      <c r="M1277" s="9">
        <v>0</v>
      </c>
      <c r="N1277" s="9">
        <v>811</v>
      </c>
      <c r="O1277" s="9">
        <v>0</v>
      </c>
      <c r="P1277" s="9">
        <v>0</v>
      </c>
      <c r="R1277" s="11"/>
      <c r="S1277" s="9"/>
      <c r="T1277" s="9"/>
      <c r="U1277" s="9"/>
    </row>
    <row r="1278" spans="2:21" x14ac:dyDescent="0.4">
      <c r="B1278" s="16">
        <f t="shared" si="114"/>
        <v>43742</v>
      </c>
      <c r="C1278" s="1">
        <f t="shared" si="115"/>
        <v>4390</v>
      </c>
      <c r="D1278" s="1">
        <f t="shared" si="116"/>
        <v>811</v>
      </c>
      <c r="E1278" s="1">
        <f t="shared" si="117"/>
        <v>1840</v>
      </c>
      <c r="F1278" s="1"/>
      <c r="L1278" s="11">
        <v>43742</v>
      </c>
      <c r="M1278" s="9">
        <v>0</v>
      </c>
      <c r="N1278" s="9">
        <v>811</v>
      </c>
      <c r="O1278" s="9">
        <v>0</v>
      </c>
      <c r="P1278" s="9">
        <v>0</v>
      </c>
      <c r="R1278" s="11"/>
      <c r="S1278" s="9"/>
      <c r="T1278" s="9"/>
      <c r="U1278" s="9"/>
    </row>
    <row r="1279" spans="2:21" x14ac:dyDescent="0.4">
      <c r="B1279" s="16">
        <f t="shared" si="114"/>
        <v>43745</v>
      </c>
      <c r="C1279" s="1">
        <f t="shared" si="115"/>
        <v>4390</v>
      </c>
      <c r="D1279" s="1">
        <f t="shared" si="116"/>
        <v>811</v>
      </c>
      <c r="E1279" s="1">
        <f t="shared" si="117"/>
        <v>1840</v>
      </c>
      <c r="F1279" s="1"/>
      <c r="L1279" s="11">
        <v>43745</v>
      </c>
      <c r="M1279" s="9">
        <v>0</v>
      </c>
      <c r="N1279" s="9">
        <v>811</v>
      </c>
      <c r="O1279" s="9">
        <v>0</v>
      </c>
      <c r="P1279" s="9">
        <v>0</v>
      </c>
      <c r="R1279" s="11"/>
      <c r="S1279" s="9"/>
      <c r="T1279" s="9"/>
      <c r="U1279" s="9"/>
    </row>
    <row r="1280" spans="2:21" x14ac:dyDescent="0.4">
      <c r="B1280" s="16">
        <f t="shared" si="114"/>
        <v>43746</v>
      </c>
      <c r="C1280" s="1">
        <f t="shared" si="115"/>
        <v>4415</v>
      </c>
      <c r="D1280" s="1">
        <f t="shared" si="116"/>
        <v>796</v>
      </c>
      <c r="E1280" s="1">
        <f t="shared" si="117"/>
        <v>1830</v>
      </c>
      <c r="F1280" s="1"/>
      <c r="L1280" s="11">
        <v>43746</v>
      </c>
      <c r="M1280" s="9">
        <v>4415</v>
      </c>
      <c r="N1280" s="9">
        <v>796</v>
      </c>
      <c r="O1280" s="9">
        <v>1830</v>
      </c>
      <c r="P1280" s="9">
        <v>0</v>
      </c>
      <c r="R1280" s="11"/>
      <c r="S1280" s="9"/>
      <c r="T1280" s="9"/>
      <c r="U1280" s="9"/>
    </row>
    <row r="1281" spans="2:21" x14ac:dyDescent="0.4">
      <c r="B1281" s="16">
        <f t="shared" si="114"/>
        <v>43747</v>
      </c>
      <c r="C1281" s="1">
        <f t="shared" si="115"/>
        <v>4405</v>
      </c>
      <c r="D1281" s="1">
        <f t="shared" si="116"/>
        <v>796</v>
      </c>
      <c r="E1281" s="1">
        <f t="shared" si="117"/>
        <v>1830</v>
      </c>
      <c r="F1281" s="1"/>
      <c r="L1281" s="11">
        <v>43747</v>
      </c>
      <c r="M1281" s="9">
        <v>4405</v>
      </c>
      <c r="N1281" s="9">
        <v>796</v>
      </c>
      <c r="O1281" s="9">
        <v>1830</v>
      </c>
      <c r="P1281" s="9">
        <v>0</v>
      </c>
      <c r="R1281" s="11"/>
      <c r="S1281" s="9"/>
      <c r="T1281" s="9"/>
      <c r="U1281" s="9"/>
    </row>
    <row r="1282" spans="2:21" x14ac:dyDescent="0.4">
      <c r="B1282" s="16">
        <f t="shared" si="114"/>
        <v>43748</v>
      </c>
      <c r="C1282" s="1">
        <f t="shared" si="115"/>
        <v>4393</v>
      </c>
      <c r="D1282" s="1">
        <f t="shared" si="116"/>
        <v>796</v>
      </c>
      <c r="E1282" s="1">
        <f t="shared" si="117"/>
        <v>1805</v>
      </c>
      <c r="F1282" s="1"/>
      <c r="L1282" s="11">
        <v>43748</v>
      </c>
      <c r="M1282" s="9">
        <v>4393</v>
      </c>
      <c r="N1282" s="9">
        <v>796</v>
      </c>
      <c r="O1282" s="9">
        <v>1805</v>
      </c>
      <c r="P1282" s="9">
        <v>0</v>
      </c>
      <c r="R1282" s="11"/>
      <c r="S1282" s="9"/>
      <c r="T1282" s="9"/>
      <c r="U1282" s="9"/>
    </row>
    <row r="1283" spans="2:21" x14ac:dyDescent="0.4">
      <c r="B1283" s="16">
        <f t="shared" si="114"/>
        <v>43749</v>
      </c>
      <c r="C1283" s="1">
        <f t="shared" si="115"/>
        <v>4369</v>
      </c>
      <c r="D1283" s="1">
        <f t="shared" si="116"/>
        <v>741</v>
      </c>
      <c r="E1283" s="1">
        <f t="shared" si="117"/>
        <v>1805</v>
      </c>
      <c r="F1283" s="1"/>
      <c r="L1283" s="11">
        <v>43749</v>
      </c>
      <c r="M1283" s="9">
        <v>4369</v>
      </c>
      <c r="N1283" s="9">
        <v>741</v>
      </c>
      <c r="O1283" s="9">
        <v>1805</v>
      </c>
      <c r="P1283" s="9">
        <v>0</v>
      </c>
      <c r="R1283" s="11"/>
      <c r="S1283" s="9"/>
      <c r="T1283" s="9"/>
      <c r="U1283" s="9"/>
    </row>
    <row r="1284" spans="2:21" x14ac:dyDescent="0.4">
      <c r="B1284" s="16">
        <f t="shared" si="114"/>
        <v>43750</v>
      </c>
      <c r="C1284" s="1">
        <f t="shared" si="115"/>
        <v>4365</v>
      </c>
      <c r="D1284" s="1">
        <f t="shared" si="116"/>
        <v>741</v>
      </c>
      <c r="E1284" s="1">
        <f t="shared" si="117"/>
        <v>1805</v>
      </c>
      <c r="F1284" s="1"/>
      <c r="L1284" s="11">
        <v>43750</v>
      </c>
      <c r="M1284" s="9">
        <v>4365</v>
      </c>
      <c r="N1284" s="9">
        <v>0</v>
      </c>
      <c r="O1284" s="9">
        <v>1805</v>
      </c>
      <c r="P1284" s="9">
        <v>0</v>
      </c>
      <c r="R1284" s="11"/>
      <c r="S1284" s="9"/>
      <c r="T1284" s="9"/>
      <c r="U1284" s="9"/>
    </row>
    <row r="1285" spans="2:21" x14ac:dyDescent="0.4">
      <c r="B1285" s="16">
        <f t="shared" si="114"/>
        <v>43752</v>
      </c>
      <c r="C1285" s="1">
        <f t="shared" si="115"/>
        <v>4357</v>
      </c>
      <c r="D1285" s="1">
        <f t="shared" si="116"/>
        <v>741</v>
      </c>
      <c r="E1285" s="1">
        <f t="shared" si="117"/>
        <v>1805</v>
      </c>
      <c r="F1285" s="1"/>
      <c r="L1285" s="11">
        <v>43752</v>
      </c>
      <c r="M1285" s="9">
        <v>4357</v>
      </c>
      <c r="N1285" s="9">
        <v>741</v>
      </c>
      <c r="O1285" s="9">
        <v>1805</v>
      </c>
      <c r="P1285" s="9">
        <v>0</v>
      </c>
      <c r="R1285" s="11"/>
      <c r="S1285" s="9"/>
      <c r="T1285" s="9"/>
      <c r="U1285" s="9"/>
    </row>
    <row r="1286" spans="2:21" x14ac:dyDescent="0.4">
      <c r="B1286" s="16">
        <f t="shared" ref="B1286:B1349" si="118">L1286</f>
        <v>43753</v>
      </c>
      <c r="C1286" s="1">
        <f t="shared" si="115"/>
        <v>4338</v>
      </c>
      <c r="D1286" s="1">
        <f t="shared" si="116"/>
        <v>741</v>
      </c>
      <c r="E1286" s="1">
        <f t="shared" si="117"/>
        <v>1800</v>
      </c>
      <c r="F1286" s="1"/>
      <c r="L1286" s="11">
        <v>43753</v>
      </c>
      <c r="M1286" s="9">
        <v>4338</v>
      </c>
      <c r="N1286" s="9">
        <v>741</v>
      </c>
      <c r="O1286" s="9">
        <v>1800</v>
      </c>
      <c r="P1286" s="9">
        <v>0</v>
      </c>
      <c r="R1286" s="11"/>
      <c r="S1286" s="9"/>
      <c r="T1286" s="9"/>
      <c r="U1286" s="9"/>
    </row>
    <row r="1287" spans="2:21" x14ac:dyDescent="0.4">
      <c r="B1287" s="16">
        <f t="shared" si="118"/>
        <v>43754</v>
      </c>
      <c r="C1287" s="1">
        <f t="shared" ref="C1287:C1350" si="119">IF(M1287&lt;&gt;0,M1287,C1286)</f>
        <v>4319</v>
      </c>
      <c r="D1287" s="1">
        <f t="shared" ref="D1287:D1350" si="120">IF(N1287&lt;&gt;0,N1287,D1286)</f>
        <v>741</v>
      </c>
      <c r="E1287" s="1">
        <f t="shared" ref="E1287:E1350" si="121">IF(O1287&lt;&gt;0,O1287,E1286)</f>
        <v>1795</v>
      </c>
      <c r="F1287" s="1"/>
      <c r="L1287" s="11">
        <v>43754</v>
      </c>
      <c r="M1287" s="9">
        <v>4319</v>
      </c>
      <c r="N1287" s="9">
        <v>741</v>
      </c>
      <c r="O1287" s="9">
        <v>1795</v>
      </c>
      <c r="P1287" s="9">
        <v>0</v>
      </c>
      <c r="R1287" s="11"/>
      <c r="S1287" s="9"/>
      <c r="T1287" s="9"/>
      <c r="U1287" s="9"/>
    </row>
    <row r="1288" spans="2:21" x14ac:dyDescent="0.4">
      <c r="B1288" s="16">
        <f t="shared" si="118"/>
        <v>43755</v>
      </c>
      <c r="C1288" s="1">
        <f t="shared" si="119"/>
        <v>4293</v>
      </c>
      <c r="D1288" s="1">
        <f t="shared" si="120"/>
        <v>741</v>
      </c>
      <c r="E1288" s="1">
        <f t="shared" si="121"/>
        <v>1785</v>
      </c>
      <c r="F1288" s="1"/>
      <c r="L1288" s="11">
        <v>43755</v>
      </c>
      <c r="M1288" s="9">
        <v>4293</v>
      </c>
      <c r="N1288" s="9">
        <v>741</v>
      </c>
      <c r="O1288" s="9">
        <v>1785</v>
      </c>
      <c r="P1288" s="9">
        <v>0</v>
      </c>
      <c r="R1288" s="11"/>
      <c r="S1288" s="9"/>
      <c r="T1288" s="9"/>
      <c r="U1288" s="9"/>
    </row>
    <row r="1289" spans="2:21" x14ac:dyDescent="0.4">
      <c r="B1289" s="16">
        <f t="shared" si="118"/>
        <v>43756</v>
      </c>
      <c r="C1289" s="1">
        <f t="shared" si="119"/>
        <v>4280</v>
      </c>
      <c r="D1289" s="1">
        <f t="shared" si="120"/>
        <v>711</v>
      </c>
      <c r="E1289" s="1">
        <f t="shared" si="121"/>
        <v>1785</v>
      </c>
      <c r="F1289" s="1"/>
      <c r="L1289" s="11">
        <v>43756</v>
      </c>
      <c r="M1289" s="9">
        <v>4280</v>
      </c>
      <c r="N1289" s="9">
        <v>711</v>
      </c>
      <c r="O1289" s="9">
        <v>1785</v>
      </c>
      <c r="P1289" s="9">
        <v>0</v>
      </c>
      <c r="R1289" s="11"/>
      <c r="S1289" s="9"/>
      <c r="T1289" s="9"/>
      <c r="U1289" s="9"/>
    </row>
    <row r="1290" spans="2:21" x14ac:dyDescent="0.4">
      <c r="B1290" s="16">
        <f t="shared" si="118"/>
        <v>43759</v>
      </c>
      <c r="C1290" s="1">
        <f t="shared" si="119"/>
        <v>4264</v>
      </c>
      <c r="D1290" s="1">
        <f t="shared" si="120"/>
        <v>711</v>
      </c>
      <c r="E1290" s="1">
        <f t="shared" si="121"/>
        <v>1785</v>
      </c>
      <c r="F1290" s="1"/>
      <c r="L1290" s="11">
        <v>43759</v>
      </c>
      <c r="M1290" s="9">
        <v>4264</v>
      </c>
      <c r="N1290" s="9">
        <v>711</v>
      </c>
      <c r="O1290" s="9">
        <v>1785</v>
      </c>
      <c r="P1290" s="9">
        <v>0</v>
      </c>
      <c r="R1290" s="11"/>
      <c r="S1290" s="9"/>
      <c r="T1290" s="9"/>
      <c r="U1290" s="9"/>
    </row>
    <row r="1291" spans="2:21" x14ac:dyDescent="0.4">
      <c r="B1291" s="16">
        <f t="shared" si="118"/>
        <v>43760</v>
      </c>
      <c r="C1291" s="1">
        <f t="shared" si="119"/>
        <v>4241</v>
      </c>
      <c r="D1291" s="1">
        <f t="shared" si="120"/>
        <v>681</v>
      </c>
      <c r="E1291" s="1">
        <f t="shared" si="121"/>
        <v>1770</v>
      </c>
      <c r="F1291" s="1"/>
      <c r="L1291" s="11">
        <v>43760</v>
      </c>
      <c r="M1291" s="9">
        <v>4241</v>
      </c>
      <c r="N1291" s="9">
        <v>681</v>
      </c>
      <c r="O1291" s="9">
        <v>1770</v>
      </c>
      <c r="P1291" s="9">
        <v>0</v>
      </c>
      <c r="R1291" s="11"/>
      <c r="S1291" s="9"/>
      <c r="T1291" s="9"/>
      <c r="U1291" s="9"/>
    </row>
    <row r="1292" spans="2:21" x14ac:dyDescent="0.4">
      <c r="B1292" s="16">
        <f t="shared" si="118"/>
        <v>43761</v>
      </c>
      <c r="C1292" s="1">
        <f t="shared" si="119"/>
        <v>4224</v>
      </c>
      <c r="D1292" s="1">
        <f t="shared" si="120"/>
        <v>681</v>
      </c>
      <c r="E1292" s="1">
        <f t="shared" si="121"/>
        <v>1760</v>
      </c>
      <c r="F1292" s="1"/>
      <c r="L1292" s="11">
        <v>43761</v>
      </c>
      <c r="M1292" s="9">
        <v>4224</v>
      </c>
      <c r="N1292" s="9">
        <v>681</v>
      </c>
      <c r="O1292" s="9">
        <v>1760</v>
      </c>
      <c r="P1292" s="9">
        <v>0</v>
      </c>
      <c r="R1292" s="11"/>
      <c r="S1292" s="9"/>
      <c r="T1292" s="9"/>
      <c r="U1292" s="9"/>
    </row>
    <row r="1293" spans="2:21" x14ac:dyDescent="0.4">
      <c r="B1293" s="16">
        <f t="shared" si="118"/>
        <v>43762</v>
      </c>
      <c r="C1293" s="1">
        <f t="shared" si="119"/>
        <v>4218</v>
      </c>
      <c r="D1293" s="1">
        <f t="shared" si="120"/>
        <v>681</v>
      </c>
      <c r="E1293" s="1">
        <f t="shared" si="121"/>
        <v>1755</v>
      </c>
      <c r="F1293" s="1"/>
      <c r="L1293" s="11">
        <v>43762</v>
      </c>
      <c r="M1293" s="9">
        <v>4218</v>
      </c>
      <c r="N1293" s="9">
        <v>681</v>
      </c>
      <c r="O1293" s="9">
        <v>1755</v>
      </c>
      <c r="P1293" s="9">
        <v>0</v>
      </c>
      <c r="R1293" s="11"/>
      <c r="S1293" s="9"/>
      <c r="T1293" s="9"/>
      <c r="U1293" s="9"/>
    </row>
    <row r="1294" spans="2:21" x14ac:dyDescent="0.4">
      <c r="B1294" s="16">
        <f t="shared" si="118"/>
        <v>43763</v>
      </c>
      <c r="C1294" s="1">
        <f t="shared" si="119"/>
        <v>4220</v>
      </c>
      <c r="D1294" s="1">
        <f t="shared" si="120"/>
        <v>681</v>
      </c>
      <c r="E1294" s="1">
        <f t="shared" si="121"/>
        <v>1740</v>
      </c>
      <c r="F1294" s="1"/>
      <c r="L1294" s="11">
        <v>43763</v>
      </c>
      <c r="M1294" s="9">
        <v>4220</v>
      </c>
      <c r="N1294" s="9">
        <v>681</v>
      </c>
      <c r="O1294" s="9">
        <v>1740</v>
      </c>
      <c r="P1294" s="9">
        <v>0</v>
      </c>
      <c r="R1294" s="11"/>
      <c r="S1294" s="9"/>
      <c r="T1294" s="9"/>
      <c r="U1294" s="9"/>
    </row>
    <row r="1295" spans="2:21" x14ac:dyDescent="0.4">
      <c r="B1295" s="16">
        <f t="shared" si="118"/>
        <v>43766</v>
      </c>
      <c r="C1295" s="1">
        <f t="shared" si="119"/>
        <v>4207</v>
      </c>
      <c r="D1295" s="1">
        <f t="shared" si="120"/>
        <v>681</v>
      </c>
      <c r="E1295" s="1">
        <f t="shared" si="121"/>
        <v>1740</v>
      </c>
      <c r="F1295" s="1"/>
      <c r="L1295" s="11">
        <v>43766</v>
      </c>
      <c r="M1295" s="9">
        <v>4207</v>
      </c>
      <c r="N1295" s="9">
        <v>681</v>
      </c>
      <c r="O1295" s="9">
        <v>1740</v>
      </c>
      <c r="P1295" s="9">
        <v>0</v>
      </c>
      <c r="R1295" s="11"/>
      <c r="S1295" s="9"/>
      <c r="T1295" s="9"/>
      <c r="U1295" s="9"/>
    </row>
    <row r="1296" spans="2:21" x14ac:dyDescent="0.4">
      <c r="B1296" s="16">
        <f t="shared" si="118"/>
        <v>43767</v>
      </c>
      <c r="C1296" s="1">
        <f t="shared" si="119"/>
        <v>4192</v>
      </c>
      <c r="D1296" s="1">
        <f t="shared" si="120"/>
        <v>681</v>
      </c>
      <c r="E1296" s="1">
        <f t="shared" si="121"/>
        <v>1730</v>
      </c>
      <c r="F1296" s="1"/>
      <c r="L1296" s="11">
        <v>43767</v>
      </c>
      <c r="M1296" s="9">
        <v>4192</v>
      </c>
      <c r="N1296" s="9">
        <v>681</v>
      </c>
      <c r="O1296" s="9">
        <v>1730</v>
      </c>
      <c r="P1296" s="9">
        <v>0</v>
      </c>
      <c r="R1296" s="11"/>
      <c r="S1296" s="9"/>
      <c r="T1296" s="9"/>
      <c r="U1296" s="9"/>
    </row>
    <row r="1297" spans="2:21" x14ac:dyDescent="0.4">
      <c r="B1297" s="16">
        <f t="shared" si="118"/>
        <v>43768</v>
      </c>
      <c r="C1297" s="1">
        <f t="shared" si="119"/>
        <v>4175</v>
      </c>
      <c r="D1297" s="1">
        <f t="shared" si="120"/>
        <v>681</v>
      </c>
      <c r="E1297" s="1">
        <f t="shared" si="121"/>
        <v>1730</v>
      </c>
      <c r="F1297" s="1"/>
      <c r="L1297" s="11">
        <v>43768</v>
      </c>
      <c r="M1297" s="9">
        <v>4175</v>
      </c>
      <c r="N1297" s="9">
        <v>681</v>
      </c>
      <c r="O1297" s="9">
        <v>1730</v>
      </c>
      <c r="P1297" s="9">
        <v>0</v>
      </c>
      <c r="R1297" s="11"/>
      <c r="S1297" s="9"/>
      <c r="T1297" s="9"/>
      <c r="U1297" s="9"/>
    </row>
    <row r="1298" spans="2:21" x14ac:dyDescent="0.4">
      <c r="B1298" s="16">
        <f t="shared" si="118"/>
        <v>43769</v>
      </c>
      <c r="C1298" s="1">
        <f t="shared" si="119"/>
        <v>4156</v>
      </c>
      <c r="D1298" s="1">
        <f t="shared" si="120"/>
        <v>711</v>
      </c>
      <c r="E1298" s="1">
        <f t="shared" si="121"/>
        <v>1715</v>
      </c>
      <c r="F1298" s="1"/>
      <c r="L1298" s="11">
        <v>43769</v>
      </c>
      <c r="M1298" s="9">
        <v>4156</v>
      </c>
      <c r="N1298" s="9">
        <v>711</v>
      </c>
      <c r="O1298" s="9">
        <v>1715</v>
      </c>
      <c r="P1298" s="9">
        <v>0</v>
      </c>
      <c r="R1298" s="11"/>
      <c r="S1298" s="9"/>
      <c r="T1298" s="9"/>
      <c r="U1298" s="9"/>
    </row>
    <row r="1299" spans="2:21" x14ac:dyDescent="0.4">
      <c r="B1299" s="16">
        <f t="shared" si="118"/>
        <v>43770</v>
      </c>
      <c r="C1299" s="1">
        <f t="shared" si="119"/>
        <v>4144</v>
      </c>
      <c r="D1299" s="1">
        <f t="shared" si="120"/>
        <v>721</v>
      </c>
      <c r="E1299" s="1">
        <f t="shared" si="121"/>
        <v>1710</v>
      </c>
      <c r="F1299" s="1"/>
      <c r="L1299" s="11">
        <v>43770</v>
      </c>
      <c r="M1299" s="9">
        <v>4144</v>
      </c>
      <c r="N1299" s="9">
        <v>721</v>
      </c>
      <c r="O1299" s="9">
        <v>1710</v>
      </c>
      <c r="P1299" s="9">
        <v>0</v>
      </c>
      <c r="R1299" s="11"/>
      <c r="S1299" s="9"/>
      <c r="T1299" s="9"/>
      <c r="U1299" s="9"/>
    </row>
    <row r="1300" spans="2:21" x14ac:dyDescent="0.4">
      <c r="B1300" s="16">
        <f t="shared" si="118"/>
        <v>43773</v>
      </c>
      <c r="C1300" s="1">
        <f t="shared" si="119"/>
        <v>4116</v>
      </c>
      <c r="D1300" s="1">
        <f t="shared" si="120"/>
        <v>721</v>
      </c>
      <c r="E1300" s="1">
        <f t="shared" si="121"/>
        <v>1710</v>
      </c>
      <c r="F1300" s="1"/>
      <c r="L1300" s="11">
        <v>43773</v>
      </c>
      <c r="M1300" s="9">
        <v>4116</v>
      </c>
      <c r="N1300" s="9">
        <v>721</v>
      </c>
      <c r="O1300" s="9">
        <v>1710</v>
      </c>
      <c r="P1300" s="9">
        <v>0</v>
      </c>
      <c r="R1300" s="11"/>
      <c r="S1300" s="9"/>
      <c r="T1300" s="9"/>
      <c r="U1300" s="9"/>
    </row>
    <row r="1301" spans="2:21" x14ac:dyDescent="0.4">
      <c r="B1301" s="16">
        <f t="shared" si="118"/>
        <v>43774</v>
      </c>
      <c r="C1301" s="1">
        <f t="shared" si="119"/>
        <v>4115</v>
      </c>
      <c r="D1301" s="1">
        <f t="shared" si="120"/>
        <v>741</v>
      </c>
      <c r="E1301" s="1">
        <f t="shared" si="121"/>
        <v>1700</v>
      </c>
      <c r="F1301" s="1"/>
      <c r="L1301" s="11">
        <v>43774</v>
      </c>
      <c r="M1301" s="9">
        <v>4115</v>
      </c>
      <c r="N1301" s="9">
        <v>741</v>
      </c>
      <c r="O1301" s="9">
        <v>1700</v>
      </c>
      <c r="P1301" s="9">
        <v>0</v>
      </c>
      <c r="R1301" s="11"/>
      <c r="S1301" s="9"/>
      <c r="T1301" s="9"/>
      <c r="U1301" s="9"/>
    </row>
    <row r="1302" spans="2:21" x14ac:dyDescent="0.4">
      <c r="B1302" s="16">
        <f t="shared" si="118"/>
        <v>43775</v>
      </c>
      <c r="C1302" s="1">
        <f t="shared" si="119"/>
        <v>4119</v>
      </c>
      <c r="D1302" s="1">
        <f t="shared" si="120"/>
        <v>741</v>
      </c>
      <c r="E1302" s="1">
        <f t="shared" si="121"/>
        <v>1690</v>
      </c>
      <c r="F1302" s="1"/>
      <c r="L1302" s="11">
        <v>43775</v>
      </c>
      <c r="M1302" s="9">
        <v>4119</v>
      </c>
      <c r="N1302" s="9">
        <v>741</v>
      </c>
      <c r="O1302" s="9">
        <v>1690</v>
      </c>
      <c r="P1302" s="9">
        <v>0</v>
      </c>
      <c r="R1302" s="11"/>
      <c r="S1302" s="9"/>
      <c r="T1302" s="9"/>
      <c r="U1302" s="9"/>
    </row>
    <row r="1303" spans="2:21" x14ac:dyDescent="0.4">
      <c r="B1303" s="16">
        <f t="shared" si="118"/>
        <v>43776</v>
      </c>
      <c r="C1303" s="1">
        <f t="shared" si="119"/>
        <v>4111</v>
      </c>
      <c r="D1303" s="1">
        <f t="shared" si="120"/>
        <v>751</v>
      </c>
      <c r="E1303" s="1">
        <f t="shared" si="121"/>
        <v>1690</v>
      </c>
      <c r="F1303" s="1"/>
      <c r="L1303" s="11">
        <v>43776</v>
      </c>
      <c r="M1303" s="9">
        <v>4111</v>
      </c>
      <c r="N1303" s="9">
        <v>751</v>
      </c>
      <c r="O1303" s="9">
        <v>1690</v>
      </c>
      <c r="P1303" s="9">
        <v>0</v>
      </c>
      <c r="R1303" s="11"/>
      <c r="S1303" s="9"/>
      <c r="T1303" s="9"/>
      <c r="U1303" s="9"/>
    </row>
    <row r="1304" spans="2:21" x14ac:dyDescent="0.4">
      <c r="B1304" s="16">
        <f t="shared" si="118"/>
        <v>43777</v>
      </c>
      <c r="C1304" s="1">
        <f t="shared" si="119"/>
        <v>4098</v>
      </c>
      <c r="D1304" s="1">
        <f t="shared" si="120"/>
        <v>751</v>
      </c>
      <c r="E1304" s="1">
        <f t="shared" si="121"/>
        <v>1690</v>
      </c>
      <c r="F1304" s="1"/>
      <c r="L1304" s="11">
        <v>43777</v>
      </c>
      <c r="M1304" s="9">
        <v>4098</v>
      </c>
      <c r="N1304" s="9">
        <v>751</v>
      </c>
      <c r="O1304" s="9">
        <v>1690</v>
      </c>
      <c r="P1304" s="9">
        <v>0</v>
      </c>
      <c r="R1304" s="11"/>
      <c r="S1304" s="9"/>
      <c r="T1304" s="9"/>
      <c r="U1304" s="9"/>
    </row>
    <row r="1305" spans="2:21" x14ac:dyDescent="0.4">
      <c r="B1305" s="16">
        <f t="shared" si="118"/>
        <v>43780</v>
      </c>
      <c r="C1305" s="1">
        <f t="shared" si="119"/>
        <v>4085</v>
      </c>
      <c r="D1305" s="1">
        <f t="shared" si="120"/>
        <v>751</v>
      </c>
      <c r="E1305" s="1">
        <f t="shared" si="121"/>
        <v>1690</v>
      </c>
      <c r="F1305" s="1"/>
      <c r="L1305" s="11">
        <v>43780</v>
      </c>
      <c r="M1305" s="9">
        <v>4085</v>
      </c>
      <c r="N1305" s="9">
        <v>751</v>
      </c>
      <c r="O1305" s="9">
        <v>1690</v>
      </c>
      <c r="P1305" s="9">
        <v>0</v>
      </c>
      <c r="R1305" s="11"/>
      <c r="S1305" s="9"/>
      <c r="T1305" s="9"/>
      <c r="U1305" s="9"/>
    </row>
    <row r="1306" spans="2:21" x14ac:dyDescent="0.4">
      <c r="B1306" s="16">
        <f t="shared" si="118"/>
        <v>43781</v>
      </c>
      <c r="C1306" s="1">
        <f t="shared" si="119"/>
        <v>4080</v>
      </c>
      <c r="D1306" s="1">
        <f t="shared" si="120"/>
        <v>751</v>
      </c>
      <c r="E1306" s="1">
        <f t="shared" si="121"/>
        <v>1690</v>
      </c>
      <c r="F1306" s="1"/>
      <c r="L1306" s="11">
        <v>43781</v>
      </c>
      <c r="M1306" s="9">
        <v>4080</v>
      </c>
      <c r="N1306" s="9">
        <v>751</v>
      </c>
      <c r="O1306" s="9">
        <v>1690</v>
      </c>
      <c r="P1306" s="9">
        <v>0</v>
      </c>
      <c r="R1306" s="11"/>
      <c r="S1306" s="9"/>
      <c r="T1306" s="9"/>
      <c r="U1306" s="9"/>
    </row>
    <row r="1307" spans="2:21" x14ac:dyDescent="0.4">
      <c r="B1307" s="16">
        <f t="shared" si="118"/>
        <v>43782</v>
      </c>
      <c r="C1307" s="1">
        <f t="shared" si="119"/>
        <v>4079</v>
      </c>
      <c r="D1307" s="1">
        <f t="shared" si="120"/>
        <v>751</v>
      </c>
      <c r="E1307" s="1">
        <f t="shared" si="121"/>
        <v>1690</v>
      </c>
      <c r="F1307" s="1"/>
      <c r="L1307" s="11">
        <v>43782</v>
      </c>
      <c r="M1307" s="9">
        <v>4079</v>
      </c>
      <c r="N1307" s="9">
        <v>751</v>
      </c>
      <c r="O1307" s="9">
        <v>1690</v>
      </c>
      <c r="P1307" s="9">
        <v>0</v>
      </c>
      <c r="R1307" s="11"/>
      <c r="S1307" s="9"/>
      <c r="T1307" s="9"/>
      <c r="U1307" s="9"/>
    </row>
    <row r="1308" spans="2:21" x14ac:dyDescent="0.4">
      <c r="B1308" s="16">
        <f t="shared" si="118"/>
        <v>43783</v>
      </c>
      <c r="C1308" s="1">
        <f t="shared" si="119"/>
        <v>4084</v>
      </c>
      <c r="D1308" s="1">
        <f t="shared" si="120"/>
        <v>801</v>
      </c>
      <c r="E1308" s="1">
        <f t="shared" si="121"/>
        <v>1690</v>
      </c>
      <c r="F1308" s="1"/>
      <c r="L1308" s="11">
        <v>43783</v>
      </c>
      <c r="M1308" s="9">
        <v>4084</v>
      </c>
      <c r="N1308" s="9">
        <v>801</v>
      </c>
      <c r="O1308" s="9">
        <v>1690</v>
      </c>
      <c r="P1308" s="9">
        <v>0</v>
      </c>
      <c r="R1308" s="11"/>
      <c r="S1308" s="9"/>
      <c r="T1308" s="9"/>
      <c r="U1308" s="9"/>
    </row>
    <row r="1309" spans="2:21" x14ac:dyDescent="0.4">
      <c r="B1309" s="16">
        <f t="shared" si="118"/>
        <v>43784</v>
      </c>
      <c r="C1309" s="1">
        <f t="shared" si="119"/>
        <v>4086</v>
      </c>
      <c r="D1309" s="1">
        <f t="shared" si="120"/>
        <v>801</v>
      </c>
      <c r="E1309" s="1">
        <f t="shared" si="121"/>
        <v>1700</v>
      </c>
      <c r="F1309" s="1"/>
      <c r="L1309" s="11">
        <v>43784</v>
      </c>
      <c r="M1309" s="9">
        <v>4086</v>
      </c>
      <c r="N1309" s="9">
        <v>801</v>
      </c>
      <c r="O1309" s="9">
        <v>1700</v>
      </c>
      <c r="P1309" s="9">
        <v>0</v>
      </c>
      <c r="R1309" s="11"/>
      <c r="S1309" s="9"/>
      <c r="T1309" s="9"/>
      <c r="U1309" s="9"/>
    </row>
    <row r="1310" spans="2:21" x14ac:dyDescent="0.4">
      <c r="B1310" s="16">
        <f t="shared" si="118"/>
        <v>43787</v>
      </c>
      <c r="C1310" s="1">
        <f t="shared" si="119"/>
        <v>4057</v>
      </c>
      <c r="D1310" s="1">
        <f t="shared" si="120"/>
        <v>811</v>
      </c>
      <c r="E1310" s="1">
        <f t="shared" si="121"/>
        <v>1700</v>
      </c>
      <c r="F1310" s="1"/>
      <c r="L1310" s="11">
        <v>43787</v>
      </c>
      <c r="M1310" s="9">
        <v>4057</v>
      </c>
      <c r="N1310" s="9">
        <v>811</v>
      </c>
      <c r="O1310" s="9">
        <v>1700</v>
      </c>
      <c r="P1310" s="9">
        <v>0</v>
      </c>
      <c r="R1310" s="11"/>
      <c r="S1310" s="9"/>
      <c r="T1310" s="9"/>
      <c r="U1310" s="9"/>
    </row>
    <row r="1311" spans="2:21" x14ac:dyDescent="0.4">
      <c r="B1311" s="16">
        <f t="shared" si="118"/>
        <v>43788</v>
      </c>
      <c r="C1311" s="1">
        <f t="shared" si="119"/>
        <v>4039</v>
      </c>
      <c r="D1311" s="1">
        <f t="shared" si="120"/>
        <v>811</v>
      </c>
      <c r="E1311" s="1">
        <f t="shared" si="121"/>
        <v>1700</v>
      </c>
      <c r="F1311" s="1"/>
      <c r="L1311" s="11">
        <v>43788</v>
      </c>
      <c r="M1311" s="9">
        <v>4039</v>
      </c>
      <c r="N1311" s="9">
        <v>811</v>
      </c>
      <c r="O1311" s="9">
        <v>1700</v>
      </c>
      <c r="P1311" s="9">
        <v>0</v>
      </c>
      <c r="R1311" s="11"/>
      <c r="S1311" s="9"/>
      <c r="T1311" s="9"/>
      <c r="U1311" s="9"/>
    </row>
    <row r="1312" spans="2:21" x14ac:dyDescent="0.4">
      <c r="B1312" s="16">
        <f t="shared" si="118"/>
        <v>43789</v>
      </c>
      <c r="C1312" s="1">
        <f t="shared" si="119"/>
        <v>4032</v>
      </c>
      <c r="D1312" s="1">
        <f t="shared" si="120"/>
        <v>811</v>
      </c>
      <c r="E1312" s="1">
        <f t="shared" si="121"/>
        <v>1700</v>
      </c>
      <c r="F1312" s="1"/>
      <c r="L1312" s="11">
        <v>43789</v>
      </c>
      <c r="M1312" s="9">
        <v>4032</v>
      </c>
      <c r="N1312" s="9">
        <v>811</v>
      </c>
      <c r="O1312" s="9">
        <v>1700</v>
      </c>
      <c r="P1312" s="9">
        <v>0</v>
      </c>
      <c r="R1312" s="11"/>
      <c r="S1312" s="9"/>
      <c r="T1312" s="9"/>
      <c r="U1312" s="9"/>
    </row>
    <row r="1313" spans="2:21" x14ac:dyDescent="0.4">
      <c r="B1313" s="16">
        <f t="shared" si="118"/>
        <v>43790</v>
      </c>
      <c r="C1313" s="1">
        <f t="shared" si="119"/>
        <v>4037</v>
      </c>
      <c r="D1313" s="1">
        <f t="shared" si="120"/>
        <v>821</v>
      </c>
      <c r="E1313" s="1">
        <f t="shared" si="121"/>
        <v>1700</v>
      </c>
      <c r="F1313" s="1"/>
      <c r="L1313" s="11">
        <v>43790</v>
      </c>
      <c r="M1313" s="9">
        <v>4037</v>
      </c>
      <c r="N1313" s="9">
        <v>821</v>
      </c>
      <c r="O1313" s="9">
        <v>1700</v>
      </c>
      <c r="P1313" s="9">
        <v>0</v>
      </c>
      <c r="R1313" s="11"/>
      <c r="S1313" s="9"/>
      <c r="T1313" s="9"/>
      <c r="U1313" s="9"/>
    </row>
    <row r="1314" spans="2:21" x14ac:dyDescent="0.4">
      <c r="B1314" s="16">
        <f t="shared" si="118"/>
        <v>43791</v>
      </c>
      <c r="C1314" s="1">
        <f t="shared" si="119"/>
        <v>4038</v>
      </c>
      <c r="D1314" s="1">
        <f t="shared" si="120"/>
        <v>821</v>
      </c>
      <c r="E1314" s="1">
        <f t="shared" si="121"/>
        <v>1690</v>
      </c>
      <c r="F1314" s="1"/>
      <c r="L1314" s="11">
        <v>43791</v>
      </c>
      <c r="M1314" s="9">
        <v>4038</v>
      </c>
      <c r="N1314" s="9">
        <v>821</v>
      </c>
      <c r="O1314" s="9">
        <v>1690</v>
      </c>
      <c r="P1314" s="9">
        <v>0</v>
      </c>
      <c r="R1314" s="11"/>
      <c r="S1314" s="9"/>
      <c r="T1314" s="9"/>
      <c r="U1314" s="9"/>
    </row>
    <row r="1315" spans="2:21" x14ac:dyDescent="0.4">
      <c r="B1315" s="16">
        <f t="shared" si="118"/>
        <v>43794</v>
      </c>
      <c r="C1315" s="1">
        <f t="shared" si="119"/>
        <v>4044</v>
      </c>
      <c r="D1315" s="1">
        <f t="shared" si="120"/>
        <v>821</v>
      </c>
      <c r="E1315" s="1">
        <f t="shared" si="121"/>
        <v>1690</v>
      </c>
      <c r="F1315" s="1"/>
      <c r="L1315" s="11">
        <v>43794</v>
      </c>
      <c r="M1315" s="9">
        <v>4044</v>
      </c>
      <c r="N1315" s="9">
        <v>821</v>
      </c>
      <c r="O1315" s="9">
        <v>1690</v>
      </c>
      <c r="P1315" s="9">
        <v>0</v>
      </c>
      <c r="R1315" s="11"/>
      <c r="S1315" s="9"/>
      <c r="T1315" s="9"/>
      <c r="U1315" s="9"/>
    </row>
    <row r="1316" spans="2:21" x14ac:dyDescent="0.4">
      <c r="B1316" s="16">
        <f t="shared" si="118"/>
        <v>43795</v>
      </c>
      <c r="C1316" s="1">
        <f t="shared" si="119"/>
        <v>4051</v>
      </c>
      <c r="D1316" s="1">
        <f t="shared" si="120"/>
        <v>821</v>
      </c>
      <c r="E1316" s="1">
        <f t="shared" si="121"/>
        <v>1690</v>
      </c>
      <c r="F1316" s="1"/>
      <c r="L1316" s="11">
        <v>43795</v>
      </c>
      <c r="M1316" s="9">
        <v>4051</v>
      </c>
      <c r="N1316" s="9">
        <v>821</v>
      </c>
      <c r="O1316" s="9">
        <v>1690</v>
      </c>
      <c r="P1316" s="9">
        <v>0</v>
      </c>
      <c r="R1316" s="11"/>
      <c r="S1316" s="9"/>
      <c r="T1316" s="9"/>
      <c r="U1316" s="9"/>
    </row>
    <row r="1317" spans="2:21" x14ac:dyDescent="0.4">
      <c r="B1317" s="16">
        <f t="shared" si="118"/>
        <v>43796</v>
      </c>
      <c r="C1317" s="1">
        <f t="shared" si="119"/>
        <v>4050</v>
      </c>
      <c r="D1317" s="1">
        <f t="shared" si="120"/>
        <v>831</v>
      </c>
      <c r="E1317" s="1">
        <f t="shared" si="121"/>
        <v>1695</v>
      </c>
      <c r="F1317" s="1"/>
      <c r="L1317" s="11">
        <v>43796</v>
      </c>
      <c r="M1317" s="9">
        <v>4050</v>
      </c>
      <c r="N1317" s="9">
        <v>831</v>
      </c>
      <c r="O1317" s="9">
        <v>1695</v>
      </c>
      <c r="P1317" s="9">
        <v>0</v>
      </c>
      <c r="R1317" s="11"/>
      <c r="S1317" s="9"/>
      <c r="T1317" s="9"/>
      <c r="U1317" s="9"/>
    </row>
    <row r="1318" spans="2:21" x14ac:dyDescent="0.4">
      <c r="B1318" s="16">
        <f t="shared" si="118"/>
        <v>43797</v>
      </c>
      <c r="C1318" s="1">
        <f t="shared" si="119"/>
        <v>4050</v>
      </c>
      <c r="D1318" s="1">
        <f t="shared" si="120"/>
        <v>831</v>
      </c>
      <c r="E1318" s="1">
        <f t="shared" si="121"/>
        <v>1705</v>
      </c>
      <c r="F1318" s="1"/>
      <c r="L1318" s="11">
        <v>43797</v>
      </c>
      <c r="M1318" s="9">
        <v>4050</v>
      </c>
      <c r="N1318" s="9">
        <v>831</v>
      </c>
      <c r="O1318" s="9">
        <v>1705</v>
      </c>
      <c r="P1318" s="9">
        <v>0</v>
      </c>
      <c r="R1318" s="11"/>
      <c r="S1318" s="9"/>
      <c r="T1318" s="9"/>
      <c r="U1318" s="9"/>
    </row>
    <row r="1319" spans="2:21" x14ac:dyDescent="0.4">
      <c r="B1319" s="16">
        <f t="shared" si="118"/>
        <v>43798</v>
      </c>
      <c r="C1319" s="1">
        <f t="shared" si="119"/>
        <v>4046</v>
      </c>
      <c r="D1319" s="1">
        <f t="shared" si="120"/>
        <v>831</v>
      </c>
      <c r="E1319" s="1">
        <f t="shared" si="121"/>
        <v>1715</v>
      </c>
      <c r="F1319" s="1"/>
      <c r="L1319" s="11">
        <v>43798</v>
      </c>
      <c r="M1319" s="9">
        <v>4046</v>
      </c>
      <c r="N1319" s="9">
        <v>831</v>
      </c>
      <c r="O1319" s="9">
        <v>1715</v>
      </c>
      <c r="P1319" s="9">
        <v>0</v>
      </c>
      <c r="R1319" s="11"/>
      <c r="S1319" s="9"/>
      <c r="T1319" s="9"/>
      <c r="U1319" s="9"/>
    </row>
    <row r="1320" spans="2:21" x14ac:dyDescent="0.4">
      <c r="B1320" s="16">
        <f t="shared" si="118"/>
        <v>43801</v>
      </c>
      <c r="C1320" s="1">
        <f t="shared" si="119"/>
        <v>4050</v>
      </c>
      <c r="D1320" s="1">
        <f t="shared" si="120"/>
        <v>811</v>
      </c>
      <c r="E1320" s="1">
        <f t="shared" si="121"/>
        <v>1730</v>
      </c>
      <c r="F1320" s="1"/>
      <c r="L1320" s="11">
        <v>43801</v>
      </c>
      <c r="M1320" s="9">
        <v>4050</v>
      </c>
      <c r="N1320" s="9">
        <v>811</v>
      </c>
      <c r="O1320" s="9">
        <v>1730</v>
      </c>
      <c r="P1320" s="9">
        <v>0</v>
      </c>
      <c r="R1320" s="11"/>
      <c r="S1320" s="9"/>
      <c r="T1320" s="9"/>
      <c r="U1320" s="9"/>
    </row>
    <row r="1321" spans="2:21" x14ac:dyDescent="0.4">
      <c r="B1321" s="16">
        <f t="shared" si="118"/>
        <v>43802</v>
      </c>
      <c r="C1321" s="1">
        <f t="shared" si="119"/>
        <v>4054</v>
      </c>
      <c r="D1321" s="1">
        <f t="shared" si="120"/>
        <v>791</v>
      </c>
      <c r="E1321" s="1">
        <f t="shared" si="121"/>
        <v>1740</v>
      </c>
      <c r="F1321" s="1"/>
      <c r="L1321" s="11">
        <v>43802</v>
      </c>
      <c r="M1321" s="9">
        <v>4054</v>
      </c>
      <c r="N1321" s="9">
        <v>791</v>
      </c>
      <c r="O1321" s="9">
        <v>1740</v>
      </c>
      <c r="P1321" s="9">
        <v>0</v>
      </c>
      <c r="R1321" s="11"/>
      <c r="S1321" s="9"/>
      <c r="T1321" s="9"/>
      <c r="U1321" s="9"/>
    </row>
    <row r="1322" spans="2:21" x14ac:dyDescent="0.4">
      <c r="B1322" s="16">
        <f t="shared" si="118"/>
        <v>43803</v>
      </c>
      <c r="C1322" s="1">
        <f t="shared" si="119"/>
        <v>4067</v>
      </c>
      <c r="D1322" s="1">
        <f t="shared" si="120"/>
        <v>786</v>
      </c>
      <c r="E1322" s="1">
        <f t="shared" si="121"/>
        <v>1740</v>
      </c>
      <c r="F1322" s="1"/>
      <c r="L1322" s="11">
        <v>43803</v>
      </c>
      <c r="M1322" s="9">
        <v>4067</v>
      </c>
      <c r="N1322" s="9">
        <v>786</v>
      </c>
      <c r="O1322" s="9">
        <v>1740</v>
      </c>
      <c r="P1322" s="9">
        <v>0</v>
      </c>
      <c r="R1322" s="11"/>
      <c r="S1322" s="9"/>
      <c r="T1322" s="9"/>
      <c r="U1322" s="9"/>
    </row>
    <row r="1323" spans="2:21" x14ac:dyDescent="0.4">
      <c r="B1323" s="16">
        <f t="shared" si="118"/>
        <v>43804</v>
      </c>
      <c r="C1323" s="1">
        <f t="shared" si="119"/>
        <v>4076</v>
      </c>
      <c r="D1323" s="1">
        <f t="shared" si="120"/>
        <v>781</v>
      </c>
      <c r="E1323" s="1">
        <f t="shared" si="121"/>
        <v>1740</v>
      </c>
      <c r="F1323" s="1"/>
      <c r="L1323" s="11">
        <v>43804</v>
      </c>
      <c r="M1323" s="9">
        <v>4076</v>
      </c>
      <c r="N1323" s="9">
        <v>781</v>
      </c>
      <c r="O1323" s="9">
        <v>1740</v>
      </c>
      <c r="P1323" s="9">
        <v>0</v>
      </c>
      <c r="R1323" s="11"/>
      <c r="S1323" s="9"/>
      <c r="T1323" s="9"/>
      <c r="U1323" s="9"/>
    </row>
    <row r="1324" spans="2:21" x14ac:dyDescent="0.4">
      <c r="B1324" s="16">
        <f t="shared" si="118"/>
        <v>43805</v>
      </c>
      <c r="C1324" s="1">
        <f t="shared" si="119"/>
        <v>4090</v>
      </c>
      <c r="D1324" s="1">
        <f t="shared" si="120"/>
        <v>771</v>
      </c>
      <c r="E1324" s="1">
        <f t="shared" si="121"/>
        <v>1740</v>
      </c>
      <c r="F1324" s="1"/>
      <c r="L1324" s="11">
        <v>43805</v>
      </c>
      <c r="M1324" s="9">
        <v>4090</v>
      </c>
      <c r="N1324" s="9">
        <v>771</v>
      </c>
      <c r="O1324" s="9">
        <v>1740</v>
      </c>
      <c r="P1324" s="9">
        <v>0</v>
      </c>
      <c r="R1324" s="11"/>
      <c r="S1324" s="9"/>
      <c r="T1324" s="9"/>
      <c r="U1324" s="9"/>
    </row>
    <row r="1325" spans="2:21" x14ac:dyDescent="0.4">
      <c r="B1325" s="16">
        <f t="shared" si="118"/>
        <v>43808</v>
      </c>
      <c r="C1325" s="1">
        <f t="shared" si="119"/>
        <v>4101</v>
      </c>
      <c r="D1325" s="1">
        <f t="shared" si="120"/>
        <v>771</v>
      </c>
      <c r="E1325" s="1">
        <f t="shared" si="121"/>
        <v>1740</v>
      </c>
      <c r="F1325" s="1"/>
      <c r="L1325" s="11">
        <v>43808</v>
      </c>
      <c r="M1325" s="9">
        <v>4101</v>
      </c>
      <c r="N1325" s="9">
        <v>771</v>
      </c>
      <c r="O1325" s="9">
        <v>1740</v>
      </c>
      <c r="P1325" s="9">
        <v>0</v>
      </c>
      <c r="R1325" s="11"/>
      <c r="S1325" s="9"/>
      <c r="T1325" s="9"/>
      <c r="U1325" s="9"/>
    </row>
    <row r="1326" spans="2:21" x14ac:dyDescent="0.4">
      <c r="B1326" s="16">
        <f t="shared" si="118"/>
        <v>43809</v>
      </c>
      <c r="C1326" s="1">
        <f t="shared" si="119"/>
        <v>4111</v>
      </c>
      <c r="D1326" s="1">
        <f t="shared" si="120"/>
        <v>751</v>
      </c>
      <c r="E1326" s="1">
        <f t="shared" si="121"/>
        <v>1740</v>
      </c>
      <c r="F1326" s="1"/>
      <c r="L1326" s="11">
        <v>43809</v>
      </c>
      <c r="M1326" s="9">
        <v>4111</v>
      </c>
      <c r="N1326" s="9">
        <v>751</v>
      </c>
      <c r="O1326" s="9">
        <v>1740</v>
      </c>
      <c r="P1326" s="9">
        <v>0</v>
      </c>
      <c r="R1326" s="11"/>
      <c r="S1326" s="9"/>
      <c r="T1326" s="9"/>
      <c r="U1326" s="9"/>
    </row>
    <row r="1327" spans="2:21" x14ac:dyDescent="0.4">
      <c r="B1327" s="16">
        <f t="shared" si="118"/>
        <v>43810</v>
      </c>
      <c r="C1327" s="1">
        <f t="shared" si="119"/>
        <v>4109</v>
      </c>
      <c r="D1327" s="1">
        <f t="shared" si="120"/>
        <v>751</v>
      </c>
      <c r="E1327" s="1">
        <f t="shared" si="121"/>
        <v>1740</v>
      </c>
      <c r="F1327" s="1"/>
      <c r="L1327" s="11">
        <v>43810</v>
      </c>
      <c r="M1327" s="9">
        <v>4109</v>
      </c>
      <c r="N1327" s="9">
        <v>751</v>
      </c>
      <c r="O1327" s="9">
        <v>1740</v>
      </c>
      <c r="P1327" s="9">
        <v>0</v>
      </c>
      <c r="R1327" s="11"/>
      <c r="S1327" s="9"/>
      <c r="T1327" s="9"/>
      <c r="U1327" s="9"/>
    </row>
    <row r="1328" spans="2:21" x14ac:dyDescent="0.4">
      <c r="B1328" s="16">
        <f t="shared" si="118"/>
        <v>43811</v>
      </c>
      <c r="C1328" s="1">
        <f t="shared" si="119"/>
        <v>4120</v>
      </c>
      <c r="D1328" s="1">
        <f t="shared" si="120"/>
        <v>751</v>
      </c>
      <c r="E1328" s="1">
        <f t="shared" si="121"/>
        <v>1740</v>
      </c>
      <c r="F1328" s="1"/>
      <c r="L1328" s="11">
        <v>43811</v>
      </c>
      <c r="M1328" s="9">
        <v>4120</v>
      </c>
      <c r="N1328" s="9">
        <v>751</v>
      </c>
      <c r="O1328" s="9">
        <v>1740</v>
      </c>
      <c r="P1328" s="9">
        <v>0</v>
      </c>
      <c r="R1328" s="11"/>
      <c r="S1328" s="9"/>
      <c r="T1328" s="9"/>
      <c r="U1328" s="9"/>
    </row>
    <row r="1329" spans="2:21" x14ac:dyDescent="0.4">
      <c r="B1329" s="16">
        <f t="shared" si="118"/>
        <v>43812</v>
      </c>
      <c r="C1329" s="1">
        <f t="shared" si="119"/>
        <v>4122</v>
      </c>
      <c r="D1329" s="1">
        <f t="shared" si="120"/>
        <v>731</v>
      </c>
      <c r="E1329" s="1">
        <f t="shared" si="121"/>
        <v>1740</v>
      </c>
      <c r="F1329" s="1"/>
      <c r="L1329" s="11">
        <v>43812</v>
      </c>
      <c r="M1329" s="9">
        <v>4122</v>
      </c>
      <c r="N1329" s="9">
        <v>731</v>
      </c>
      <c r="O1329" s="9">
        <v>1740</v>
      </c>
      <c r="P1329" s="9">
        <v>0</v>
      </c>
      <c r="R1329" s="11"/>
      <c r="S1329" s="9"/>
      <c r="T1329" s="9"/>
      <c r="U1329" s="9"/>
    </row>
    <row r="1330" spans="2:21" x14ac:dyDescent="0.4">
      <c r="B1330" s="16">
        <f t="shared" si="118"/>
        <v>43815</v>
      </c>
      <c r="C1330" s="1">
        <f t="shared" si="119"/>
        <v>4133</v>
      </c>
      <c r="D1330" s="1">
        <f t="shared" si="120"/>
        <v>721</v>
      </c>
      <c r="E1330" s="1">
        <f t="shared" si="121"/>
        <v>1740</v>
      </c>
      <c r="F1330" s="1"/>
      <c r="L1330" s="11">
        <v>43815</v>
      </c>
      <c r="M1330" s="9">
        <v>4133</v>
      </c>
      <c r="N1330" s="9">
        <v>721</v>
      </c>
      <c r="O1330" s="9">
        <v>1740</v>
      </c>
      <c r="P1330" s="9">
        <v>0</v>
      </c>
      <c r="R1330" s="11"/>
      <c r="S1330" s="9"/>
      <c r="T1330" s="9"/>
      <c r="U1330" s="9"/>
    </row>
    <row r="1331" spans="2:21" x14ac:dyDescent="0.4">
      <c r="B1331" s="16">
        <f t="shared" si="118"/>
        <v>43816</v>
      </c>
      <c r="C1331" s="1">
        <f t="shared" si="119"/>
        <v>4139</v>
      </c>
      <c r="D1331" s="1">
        <f t="shared" si="120"/>
        <v>731</v>
      </c>
      <c r="E1331" s="1">
        <f t="shared" si="121"/>
        <v>1740</v>
      </c>
      <c r="F1331" s="1"/>
      <c r="L1331" s="11">
        <v>43816</v>
      </c>
      <c r="M1331" s="9">
        <v>4139</v>
      </c>
      <c r="N1331" s="9">
        <v>731</v>
      </c>
      <c r="O1331" s="9">
        <v>1740</v>
      </c>
      <c r="P1331" s="9">
        <v>0</v>
      </c>
      <c r="R1331" s="11"/>
      <c r="S1331" s="9"/>
      <c r="T1331" s="9"/>
      <c r="U1331" s="9"/>
    </row>
    <row r="1332" spans="2:21" x14ac:dyDescent="0.4">
      <c r="B1332" s="16">
        <f t="shared" si="118"/>
        <v>43817</v>
      </c>
      <c r="C1332" s="1">
        <f t="shared" si="119"/>
        <v>4142</v>
      </c>
      <c r="D1332" s="1">
        <f t="shared" si="120"/>
        <v>741</v>
      </c>
      <c r="E1332" s="1">
        <f t="shared" si="121"/>
        <v>1725</v>
      </c>
      <c r="F1332" s="1"/>
      <c r="L1332" s="11">
        <v>43817</v>
      </c>
      <c r="M1332" s="9">
        <v>4142</v>
      </c>
      <c r="N1332" s="9">
        <v>741</v>
      </c>
      <c r="O1332" s="9">
        <v>1725</v>
      </c>
      <c r="P1332" s="9">
        <v>0</v>
      </c>
      <c r="R1332" s="11"/>
      <c r="S1332" s="9"/>
      <c r="T1332" s="9"/>
      <c r="U1332" s="9"/>
    </row>
    <row r="1333" spans="2:21" x14ac:dyDescent="0.4">
      <c r="B1333" s="16">
        <f t="shared" si="118"/>
        <v>43818</v>
      </c>
      <c r="C1333" s="1">
        <f t="shared" si="119"/>
        <v>4138</v>
      </c>
      <c r="D1333" s="1">
        <f t="shared" si="120"/>
        <v>741</v>
      </c>
      <c r="E1333" s="1">
        <f t="shared" si="121"/>
        <v>1725</v>
      </c>
      <c r="F1333" s="1"/>
      <c r="L1333" s="11">
        <v>43818</v>
      </c>
      <c r="M1333" s="9">
        <v>4138</v>
      </c>
      <c r="N1333" s="9">
        <v>741</v>
      </c>
      <c r="O1333" s="9">
        <v>1725</v>
      </c>
      <c r="P1333" s="9">
        <v>0</v>
      </c>
      <c r="R1333" s="11"/>
      <c r="S1333" s="9"/>
      <c r="T1333" s="9"/>
      <c r="U1333" s="9"/>
    </row>
    <row r="1334" spans="2:21" x14ac:dyDescent="0.4">
      <c r="B1334" s="16">
        <f t="shared" si="118"/>
        <v>43819</v>
      </c>
      <c r="C1334" s="1">
        <f t="shared" si="119"/>
        <v>4125</v>
      </c>
      <c r="D1334" s="1">
        <f t="shared" si="120"/>
        <v>751</v>
      </c>
      <c r="E1334" s="1">
        <f t="shared" si="121"/>
        <v>1725</v>
      </c>
      <c r="F1334" s="1"/>
      <c r="L1334" s="11">
        <v>43819</v>
      </c>
      <c r="M1334" s="9">
        <v>4125</v>
      </c>
      <c r="N1334" s="9">
        <v>751</v>
      </c>
      <c r="O1334" s="9">
        <v>1725</v>
      </c>
      <c r="P1334" s="9">
        <v>0</v>
      </c>
      <c r="R1334" s="11"/>
      <c r="S1334" s="9"/>
      <c r="T1334" s="9"/>
      <c r="U1334" s="9"/>
    </row>
    <row r="1335" spans="2:21" x14ac:dyDescent="0.4">
      <c r="B1335" s="16">
        <f t="shared" si="118"/>
        <v>43822</v>
      </c>
      <c r="C1335" s="1">
        <f t="shared" si="119"/>
        <v>4105</v>
      </c>
      <c r="D1335" s="1">
        <f t="shared" si="120"/>
        <v>751</v>
      </c>
      <c r="E1335" s="1">
        <f t="shared" si="121"/>
        <v>1725</v>
      </c>
      <c r="F1335" s="1"/>
      <c r="L1335" s="11">
        <v>43822</v>
      </c>
      <c r="M1335" s="9">
        <v>4105</v>
      </c>
      <c r="N1335" s="9">
        <v>751</v>
      </c>
      <c r="O1335" s="9">
        <v>1725</v>
      </c>
      <c r="P1335" s="9">
        <v>0</v>
      </c>
      <c r="R1335" s="11"/>
      <c r="S1335" s="9"/>
      <c r="T1335" s="9"/>
      <c r="U1335" s="9"/>
    </row>
    <row r="1336" spans="2:21" x14ac:dyDescent="0.4">
      <c r="B1336" s="16">
        <f t="shared" si="118"/>
        <v>43823</v>
      </c>
      <c r="C1336" s="1">
        <f t="shared" si="119"/>
        <v>4093</v>
      </c>
      <c r="D1336" s="1">
        <f t="shared" si="120"/>
        <v>751</v>
      </c>
      <c r="E1336" s="1">
        <f t="shared" si="121"/>
        <v>1720</v>
      </c>
      <c r="F1336" s="1"/>
      <c r="L1336" s="11">
        <v>43823</v>
      </c>
      <c r="M1336" s="9">
        <v>4093</v>
      </c>
      <c r="N1336" s="9">
        <v>751</v>
      </c>
      <c r="O1336" s="9">
        <v>1720</v>
      </c>
      <c r="P1336" s="9">
        <v>0</v>
      </c>
      <c r="R1336" s="11"/>
      <c r="S1336" s="9"/>
      <c r="T1336" s="9"/>
      <c r="U1336" s="9"/>
    </row>
    <row r="1337" spans="2:21" x14ac:dyDescent="0.4">
      <c r="B1337" s="16">
        <f t="shared" si="118"/>
        <v>43824</v>
      </c>
      <c r="C1337" s="1">
        <f t="shared" si="119"/>
        <v>4091</v>
      </c>
      <c r="D1337" s="1">
        <f t="shared" si="120"/>
        <v>751</v>
      </c>
      <c r="E1337" s="1">
        <f t="shared" si="121"/>
        <v>1715</v>
      </c>
      <c r="F1337" s="1"/>
      <c r="L1337" s="11">
        <v>43824</v>
      </c>
      <c r="M1337" s="9">
        <v>4091</v>
      </c>
      <c r="N1337" s="9">
        <v>751</v>
      </c>
      <c r="O1337" s="9">
        <v>1715</v>
      </c>
      <c r="P1337" s="9">
        <v>0</v>
      </c>
      <c r="R1337" s="11"/>
      <c r="S1337" s="9"/>
      <c r="T1337" s="9"/>
      <c r="U1337" s="9"/>
    </row>
    <row r="1338" spans="2:21" x14ac:dyDescent="0.4">
      <c r="B1338" s="16">
        <f t="shared" si="118"/>
        <v>43825</v>
      </c>
      <c r="C1338" s="1">
        <f t="shared" si="119"/>
        <v>4089</v>
      </c>
      <c r="D1338" s="1">
        <f t="shared" si="120"/>
        <v>751</v>
      </c>
      <c r="E1338" s="1">
        <f t="shared" si="121"/>
        <v>1715</v>
      </c>
      <c r="F1338" s="1"/>
      <c r="L1338" s="11">
        <v>43825</v>
      </c>
      <c r="M1338" s="9">
        <v>4089</v>
      </c>
      <c r="N1338" s="9">
        <v>751</v>
      </c>
      <c r="O1338" s="9">
        <v>1715</v>
      </c>
      <c r="P1338" s="9">
        <v>0</v>
      </c>
      <c r="R1338" s="11"/>
      <c r="S1338" s="9"/>
      <c r="T1338" s="9"/>
      <c r="U1338" s="9"/>
    </row>
    <row r="1339" spans="2:21" x14ac:dyDescent="0.4">
      <c r="B1339" s="16">
        <f t="shared" si="118"/>
        <v>43826</v>
      </c>
      <c r="C1339" s="1">
        <f t="shared" si="119"/>
        <v>4093</v>
      </c>
      <c r="D1339" s="1">
        <f t="shared" si="120"/>
        <v>751</v>
      </c>
      <c r="E1339" s="1">
        <f t="shared" si="121"/>
        <v>1715</v>
      </c>
      <c r="F1339" s="1"/>
      <c r="L1339" s="11">
        <v>43826</v>
      </c>
      <c r="M1339" s="9">
        <v>4093</v>
      </c>
      <c r="N1339" s="9">
        <v>751</v>
      </c>
      <c r="O1339" s="9">
        <v>1715</v>
      </c>
      <c r="P1339" s="9">
        <v>0</v>
      </c>
      <c r="R1339" s="11"/>
      <c r="S1339" s="9"/>
      <c r="T1339" s="9"/>
      <c r="U1339" s="9"/>
    </row>
    <row r="1340" spans="2:21" x14ac:dyDescent="0.4">
      <c r="B1340" s="16">
        <f t="shared" si="118"/>
        <v>43829</v>
      </c>
      <c r="C1340" s="1">
        <f t="shared" si="119"/>
        <v>4089</v>
      </c>
      <c r="D1340" s="1">
        <f t="shared" si="120"/>
        <v>751</v>
      </c>
      <c r="E1340" s="1">
        <f t="shared" si="121"/>
        <v>1710</v>
      </c>
      <c r="F1340" s="1"/>
      <c r="L1340" s="11">
        <v>43829</v>
      </c>
      <c r="M1340" s="9">
        <v>4089</v>
      </c>
      <c r="N1340" s="9">
        <v>751</v>
      </c>
      <c r="O1340" s="9">
        <v>1710</v>
      </c>
      <c r="P1340" s="9">
        <v>0</v>
      </c>
      <c r="R1340" s="11"/>
      <c r="S1340" s="9"/>
      <c r="T1340" s="9"/>
      <c r="U1340" s="9"/>
    </row>
    <row r="1341" spans="2:21" x14ac:dyDescent="0.4">
      <c r="B1341" s="16">
        <f t="shared" si="118"/>
        <v>43830</v>
      </c>
      <c r="C1341" s="1">
        <f t="shared" si="119"/>
        <v>4080</v>
      </c>
      <c r="D1341" s="1">
        <f t="shared" si="120"/>
        <v>751</v>
      </c>
      <c r="E1341" s="1">
        <f t="shared" si="121"/>
        <v>1710</v>
      </c>
      <c r="F1341" s="1"/>
      <c r="L1341" s="11">
        <v>43830</v>
      </c>
      <c r="M1341" s="9">
        <v>4080</v>
      </c>
      <c r="N1341" s="9">
        <v>751</v>
      </c>
      <c r="O1341" s="9">
        <v>1710</v>
      </c>
      <c r="P1341" s="9">
        <v>0</v>
      </c>
      <c r="R1341" s="11"/>
      <c r="S1341" s="9"/>
      <c r="T1341" s="9"/>
      <c r="U1341" s="9"/>
    </row>
    <row r="1342" spans="2:21" x14ac:dyDescent="0.4">
      <c r="B1342" s="16">
        <f t="shared" si="118"/>
        <v>43831</v>
      </c>
      <c r="C1342" s="1">
        <f t="shared" si="119"/>
        <v>4080</v>
      </c>
      <c r="D1342" s="1">
        <f t="shared" si="120"/>
        <v>751</v>
      </c>
      <c r="E1342" s="1">
        <f t="shared" si="121"/>
        <v>1710</v>
      </c>
      <c r="F1342" s="1"/>
      <c r="L1342" s="11">
        <v>43831</v>
      </c>
      <c r="M1342" s="9">
        <v>0</v>
      </c>
      <c r="N1342" s="9">
        <v>751</v>
      </c>
      <c r="O1342" s="9">
        <v>0</v>
      </c>
      <c r="P1342" s="9">
        <v>0</v>
      </c>
      <c r="R1342" s="11"/>
      <c r="S1342" s="9"/>
      <c r="T1342" s="9"/>
      <c r="U1342" s="9"/>
    </row>
    <row r="1343" spans="2:21" x14ac:dyDescent="0.4">
      <c r="B1343" s="16">
        <f t="shared" si="118"/>
        <v>43832</v>
      </c>
      <c r="C1343" s="1">
        <f t="shared" si="119"/>
        <v>4076</v>
      </c>
      <c r="D1343" s="1">
        <f t="shared" si="120"/>
        <v>751</v>
      </c>
      <c r="E1343" s="1">
        <f t="shared" si="121"/>
        <v>1710</v>
      </c>
      <c r="F1343" s="1"/>
      <c r="L1343" s="11">
        <v>43832</v>
      </c>
      <c r="M1343" s="9">
        <v>4076</v>
      </c>
      <c r="N1343" s="9">
        <v>751</v>
      </c>
      <c r="O1343" s="9">
        <v>1710</v>
      </c>
      <c r="P1343" s="9">
        <v>0</v>
      </c>
      <c r="R1343" s="11"/>
      <c r="S1343" s="9"/>
      <c r="T1343" s="9"/>
      <c r="U1343" s="9"/>
    </row>
    <row r="1344" spans="2:21" x14ac:dyDescent="0.4">
      <c r="B1344" s="16">
        <f t="shared" si="118"/>
        <v>43833</v>
      </c>
      <c r="C1344" s="1">
        <f t="shared" si="119"/>
        <v>4062</v>
      </c>
      <c r="D1344" s="1">
        <f t="shared" si="120"/>
        <v>751</v>
      </c>
      <c r="E1344" s="1">
        <f t="shared" si="121"/>
        <v>1710</v>
      </c>
      <c r="F1344" s="1"/>
      <c r="L1344" s="11">
        <v>43833</v>
      </c>
      <c r="M1344" s="9">
        <v>4062</v>
      </c>
      <c r="N1344" s="9">
        <v>751</v>
      </c>
      <c r="O1344" s="9">
        <v>1710</v>
      </c>
      <c r="P1344" s="9">
        <v>0</v>
      </c>
      <c r="R1344" s="11"/>
      <c r="S1344" s="9"/>
      <c r="T1344" s="9"/>
      <c r="U1344" s="9"/>
    </row>
    <row r="1345" spans="2:21" x14ac:dyDescent="0.4">
      <c r="B1345" s="16">
        <f t="shared" si="118"/>
        <v>43836</v>
      </c>
      <c r="C1345" s="1">
        <f t="shared" si="119"/>
        <v>4079</v>
      </c>
      <c r="D1345" s="1">
        <f t="shared" si="120"/>
        <v>756</v>
      </c>
      <c r="E1345" s="1">
        <f t="shared" si="121"/>
        <v>1710</v>
      </c>
      <c r="F1345" s="1"/>
      <c r="L1345" s="11">
        <v>43836</v>
      </c>
      <c r="M1345" s="9">
        <v>4079</v>
      </c>
      <c r="N1345" s="9">
        <v>756</v>
      </c>
      <c r="O1345" s="9">
        <v>1710</v>
      </c>
      <c r="P1345" s="9">
        <v>0</v>
      </c>
      <c r="R1345" s="11"/>
      <c r="S1345" s="9"/>
      <c r="T1345" s="9"/>
      <c r="U1345" s="9"/>
    </row>
    <row r="1346" spans="2:21" x14ac:dyDescent="0.4">
      <c r="B1346" s="16">
        <f t="shared" si="118"/>
        <v>43837</v>
      </c>
      <c r="C1346" s="1">
        <f t="shared" si="119"/>
        <v>4085</v>
      </c>
      <c r="D1346" s="1">
        <f t="shared" si="120"/>
        <v>756</v>
      </c>
      <c r="E1346" s="1">
        <f t="shared" si="121"/>
        <v>1700</v>
      </c>
      <c r="F1346" s="1"/>
      <c r="L1346" s="11">
        <v>43837</v>
      </c>
      <c r="M1346" s="9">
        <v>4085</v>
      </c>
      <c r="N1346" s="9">
        <v>756</v>
      </c>
      <c r="O1346" s="9">
        <v>1700</v>
      </c>
      <c r="P1346" s="9">
        <v>0</v>
      </c>
      <c r="R1346" s="11"/>
      <c r="S1346" s="9"/>
      <c r="T1346" s="9"/>
      <c r="U1346" s="9"/>
    </row>
    <row r="1347" spans="2:21" x14ac:dyDescent="0.4">
      <c r="B1347" s="16">
        <f t="shared" si="118"/>
        <v>43838</v>
      </c>
      <c r="C1347" s="1">
        <f t="shared" si="119"/>
        <v>4090</v>
      </c>
      <c r="D1347" s="1">
        <f t="shared" si="120"/>
        <v>761</v>
      </c>
      <c r="E1347" s="1">
        <f t="shared" si="121"/>
        <v>1700</v>
      </c>
      <c r="F1347" s="1"/>
      <c r="L1347" s="11">
        <v>43838</v>
      </c>
      <c r="M1347" s="9">
        <v>4090</v>
      </c>
      <c r="N1347" s="9">
        <v>761</v>
      </c>
      <c r="O1347" s="9">
        <v>1700</v>
      </c>
      <c r="P1347" s="9">
        <v>0</v>
      </c>
      <c r="R1347" s="11"/>
      <c r="S1347" s="9"/>
      <c r="T1347" s="9"/>
      <c r="U1347" s="9"/>
    </row>
    <row r="1348" spans="2:21" x14ac:dyDescent="0.4">
      <c r="B1348" s="16">
        <f t="shared" si="118"/>
        <v>43839</v>
      </c>
      <c r="C1348" s="1">
        <f t="shared" si="119"/>
        <v>4083</v>
      </c>
      <c r="D1348" s="1">
        <f t="shared" si="120"/>
        <v>781</v>
      </c>
      <c r="E1348" s="1">
        <f t="shared" si="121"/>
        <v>1700</v>
      </c>
      <c r="F1348" s="1"/>
      <c r="L1348" s="11">
        <v>43839</v>
      </c>
      <c r="M1348" s="9">
        <v>4083</v>
      </c>
      <c r="N1348" s="9">
        <v>781</v>
      </c>
      <c r="O1348" s="9">
        <v>1700</v>
      </c>
      <c r="P1348" s="9">
        <v>0</v>
      </c>
      <c r="R1348" s="11"/>
      <c r="S1348" s="9"/>
      <c r="T1348" s="9"/>
      <c r="U1348" s="9"/>
    </row>
    <row r="1349" spans="2:21" x14ac:dyDescent="0.4">
      <c r="B1349" s="16">
        <f t="shared" si="118"/>
        <v>43840</v>
      </c>
      <c r="C1349" s="1">
        <f t="shared" si="119"/>
        <v>4071</v>
      </c>
      <c r="D1349" s="1">
        <f t="shared" si="120"/>
        <v>806</v>
      </c>
      <c r="E1349" s="1">
        <f t="shared" si="121"/>
        <v>1700</v>
      </c>
      <c r="F1349" s="1"/>
      <c r="L1349" s="11">
        <v>43840</v>
      </c>
      <c r="M1349" s="9">
        <v>4071</v>
      </c>
      <c r="N1349" s="9">
        <v>806</v>
      </c>
      <c r="O1349" s="9">
        <v>1700</v>
      </c>
      <c r="P1349" s="9">
        <v>0</v>
      </c>
      <c r="R1349" s="11"/>
      <c r="S1349" s="9"/>
      <c r="T1349" s="9"/>
      <c r="U1349" s="9"/>
    </row>
    <row r="1350" spans="2:21" x14ac:dyDescent="0.4">
      <c r="B1350" s="16">
        <f t="shared" ref="B1350:B1413" si="122">L1350</f>
        <v>43843</v>
      </c>
      <c r="C1350" s="1">
        <f t="shared" si="119"/>
        <v>4081</v>
      </c>
      <c r="D1350" s="1">
        <f t="shared" si="120"/>
        <v>806</v>
      </c>
      <c r="E1350" s="1">
        <f t="shared" si="121"/>
        <v>1700</v>
      </c>
      <c r="F1350" s="1"/>
      <c r="L1350" s="11">
        <v>43843</v>
      </c>
      <c r="M1350" s="9">
        <v>4081</v>
      </c>
      <c r="N1350" s="9">
        <v>806</v>
      </c>
      <c r="O1350" s="9">
        <v>1700</v>
      </c>
      <c r="P1350" s="9">
        <v>0</v>
      </c>
      <c r="R1350" s="11"/>
      <c r="S1350" s="9"/>
      <c r="T1350" s="9"/>
      <c r="U1350" s="9"/>
    </row>
    <row r="1351" spans="2:21" x14ac:dyDescent="0.4">
      <c r="B1351" s="16">
        <f t="shared" si="122"/>
        <v>43844</v>
      </c>
      <c r="C1351" s="1">
        <f t="shared" ref="C1351:C1414" si="123">IF(M1351&lt;&gt;0,M1351,C1350)</f>
        <v>4083</v>
      </c>
      <c r="D1351" s="1">
        <f t="shared" ref="D1351:D1414" si="124">IF(N1351&lt;&gt;0,N1351,D1350)</f>
        <v>821</v>
      </c>
      <c r="E1351" s="1">
        <f t="shared" ref="E1351:E1414" si="125">IF(O1351&lt;&gt;0,O1351,E1350)</f>
        <v>1710</v>
      </c>
      <c r="F1351" s="1"/>
      <c r="L1351" s="11">
        <v>43844</v>
      </c>
      <c r="M1351" s="9">
        <v>4083</v>
      </c>
      <c r="N1351" s="9">
        <v>821</v>
      </c>
      <c r="O1351" s="9">
        <v>1710</v>
      </c>
      <c r="P1351" s="9">
        <v>0</v>
      </c>
      <c r="R1351" s="11"/>
      <c r="S1351" s="9"/>
      <c r="T1351" s="9"/>
      <c r="U1351" s="9"/>
    </row>
    <row r="1352" spans="2:21" x14ac:dyDescent="0.4">
      <c r="B1352" s="16">
        <f t="shared" si="122"/>
        <v>43845</v>
      </c>
      <c r="C1352" s="1">
        <f t="shared" si="123"/>
        <v>4084</v>
      </c>
      <c r="D1352" s="1">
        <f t="shared" si="124"/>
        <v>821</v>
      </c>
      <c r="E1352" s="1">
        <f t="shared" si="125"/>
        <v>1720</v>
      </c>
      <c r="F1352" s="1"/>
      <c r="L1352" s="11">
        <v>43845</v>
      </c>
      <c r="M1352" s="9">
        <v>4084</v>
      </c>
      <c r="N1352" s="9">
        <v>821</v>
      </c>
      <c r="O1352" s="9">
        <v>1720</v>
      </c>
      <c r="P1352" s="9">
        <v>0</v>
      </c>
      <c r="R1352" s="11"/>
      <c r="S1352" s="9"/>
      <c r="T1352" s="9"/>
      <c r="U1352" s="9"/>
    </row>
    <row r="1353" spans="2:21" x14ac:dyDescent="0.4">
      <c r="B1353" s="16">
        <f t="shared" si="122"/>
        <v>43846</v>
      </c>
      <c r="C1353" s="1">
        <f t="shared" si="123"/>
        <v>4075</v>
      </c>
      <c r="D1353" s="1">
        <f t="shared" si="124"/>
        <v>821</v>
      </c>
      <c r="E1353" s="1">
        <f t="shared" si="125"/>
        <v>1720</v>
      </c>
      <c r="F1353" s="1"/>
      <c r="L1353" s="11">
        <v>43846</v>
      </c>
      <c r="M1353" s="9">
        <v>4075</v>
      </c>
      <c r="N1353" s="9">
        <v>821</v>
      </c>
      <c r="O1353" s="9">
        <v>1720</v>
      </c>
      <c r="P1353" s="9">
        <v>0</v>
      </c>
      <c r="R1353" s="11"/>
      <c r="S1353" s="9"/>
      <c r="T1353" s="9"/>
      <c r="U1353" s="9"/>
    </row>
    <row r="1354" spans="2:21" x14ac:dyDescent="0.4">
      <c r="B1354" s="16">
        <f t="shared" si="122"/>
        <v>43847</v>
      </c>
      <c r="C1354" s="1">
        <f t="shared" si="123"/>
        <v>4076</v>
      </c>
      <c r="D1354" s="1">
        <f t="shared" si="124"/>
        <v>836</v>
      </c>
      <c r="E1354" s="1">
        <f t="shared" si="125"/>
        <v>1720</v>
      </c>
      <c r="F1354" s="1"/>
      <c r="L1354" s="11">
        <v>43847</v>
      </c>
      <c r="M1354" s="9">
        <v>4076</v>
      </c>
      <c r="N1354" s="9">
        <v>836</v>
      </c>
      <c r="O1354" s="9">
        <v>1720</v>
      </c>
      <c r="P1354" s="9">
        <v>0</v>
      </c>
      <c r="R1354" s="11"/>
      <c r="S1354" s="9"/>
      <c r="T1354" s="9"/>
      <c r="U1354" s="9"/>
    </row>
    <row r="1355" spans="2:21" x14ac:dyDescent="0.4">
      <c r="B1355" s="16">
        <f t="shared" si="122"/>
        <v>43849</v>
      </c>
      <c r="C1355" s="1">
        <f t="shared" si="123"/>
        <v>4076</v>
      </c>
      <c r="D1355" s="1">
        <f t="shared" si="124"/>
        <v>836</v>
      </c>
      <c r="E1355" s="1">
        <f t="shared" si="125"/>
        <v>1720</v>
      </c>
      <c r="F1355" s="1"/>
      <c r="L1355" s="11">
        <v>43849</v>
      </c>
      <c r="M1355" s="9">
        <v>4076</v>
      </c>
      <c r="N1355" s="9">
        <v>0</v>
      </c>
      <c r="O1355" s="9">
        <v>1720</v>
      </c>
      <c r="P1355" s="9">
        <v>0</v>
      </c>
      <c r="R1355" s="11"/>
      <c r="S1355" s="9"/>
      <c r="T1355" s="9"/>
      <c r="U1355" s="9"/>
    </row>
    <row r="1356" spans="2:21" x14ac:dyDescent="0.4">
      <c r="B1356" s="16">
        <f t="shared" si="122"/>
        <v>43850</v>
      </c>
      <c r="C1356" s="1">
        <f t="shared" si="123"/>
        <v>4077</v>
      </c>
      <c r="D1356" s="1">
        <f t="shared" si="124"/>
        <v>836</v>
      </c>
      <c r="E1356" s="1">
        <f t="shared" si="125"/>
        <v>1720</v>
      </c>
      <c r="F1356" s="1"/>
      <c r="L1356" s="11">
        <v>43850</v>
      </c>
      <c r="M1356" s="9">
        <v>4077</v>
      </c>
      <c r="N1356" s="9">
        <v>836</v>
      </c>
      <c r="O1356" s="9">
        <v>1720</v>
      </c>
      <c r="P1356" s="9">
        <v>0</v>
      </c>
      <c r="R1356" s="11"/>
      <c r="S1356" s="9"/>
      <c r="T1356" s="9"/>
      <c r="U1356" s="9"/>
    </row>
    <row r="1357" spans="2:21" x14ac:dyDescent="0.4">
      <c r="B1357" s="16">
        <f t="shared" si="122"/>
        <v>43851</v>
      </c>
      <c r="C1357" s="1">
        <f t="shared" si="123"/>
        <v>4075</v>
      </c>
      <c r="D1357" s="1">
        <f t="shared" si="124"/>
        <v>836</v>
      </c>
      <c r="E1357" s="1">
        <f t="shared" si="125"/>
        <v>1700</v>
      </c>
      <c r="F1357" s="1"/>
      <c r="L1357" s="11">
        <v>43851</v>
      </c>
      <c r="M1357" s="9">
        <v>4075</v>
      </c>
      <c r="N1357" s="9">
        <v>836</v>
      </c>
      <c r="O1357" s="9">
        <v>1700</v>
      </c>
      <c r="P1357" s="9">
        <v>0</v>
      </c>
      <c r="R1357" s="11"/>
      <c r="S1357" s="9"/>
      <c r="T1357" s="9"/>
      <c r="U1357" s="9"/>
    </row>
    <row r="1358" spans="2:21" x14ac:dyDescent="0.4">
      <c r="B1358" s="16">
        <f t="shared" si="122"/>
        <v>43852</v>
      </c>
      <c r="C1358" s="1">
        <f t="shared" si="123"/>
        <v>4069</v>
      </c>
      <c r="D1358" s="1">
        <f t="shared" si="124"/>
        <v>836</v>
      </c>
      <c r="E1358" s="1">
        <f t="shared" si="125"/>
        <v>1720</v>
      </c>
      <c r="F1358" s="1"/>
      <c r="L1358" s="11">
        <v>43852</v>
      </c>
      <c r="M1358" s="9">
        <v>4069</v>
      </c>
      <c r="N1358" s="9">
        <v>836</v>
      </c>
      <c r="O1358" s="9">
        <v>1720</v>
      </c>
      <c r="P1358" s="9">
        <v>0</v>
      </c>
      <c r="R1358" s="11"/>
      <c r="S1358" s="9"/>
      <c r="T1358" s="9"/>
      <c r="U1358" s="9"/>
    </row>
    <row r="1359" spans="2:21" x14ac:dyDescent="0.4">
      <c r="B1359" s="16">
        <f t="shared" si="122"/>
        <v>43853</v>
      </c>
      <c r="C1359" s="1">
        <f t="shared" si="123"/>
        <v>4068</v>
      </c>
      <c r="D1359" s="1">
        <f t="shared" si="124"/>
        <v>836</v>
      </c>
      <c r="E1359" s="1">
        <f t="shared" si="125"/>
        <v>1720</v>
      </c>
      <c r="F1359" s="1"/>
      <c r="L1359" s="11">
        <v>43853</v>
      </c>
      <c r="M1359" s="9">
        <v>4068</v>
      </c>
      <c r="N1359" s="9">
        <v>836</v>
      </c>
      <c r="O1359" s="9">
        <v>1720</v>
      </c>
      <c r="P1359" s="9">
        <v>0</v>
      </c>
      <c r="R1359" s="11"/>
      <c r="S1359" s="9"/>
      <c r="T1359" s="9"/>
      <c r="U1359" s="9"/>
    </row>
    <row r="1360" spans="2:21" x14ac:dyDescent="0.4">
      <c r="B1360" s="16">
        <f t="shared" si="122"/>
        <v>43854</v>
      </c>
      <c r="C1360" s="1">
        <f t="shared" si="123"/>
        <v>4068</v>
      </c>
      <c r="D1360" s="1">
        <f t="shared" si="124"/>
        <v>836</v>
      </c>
      <c r="E1360" s="1">
        <f t="shared" si="125"/>
        <v>1720</v>
      </c>
      <c r="F1360" s="1"/>
      <c r="L1360" s="11">
        <v>43854</v>
      </c>
      <c r="M1360" s="9">
        <v>0</v>
      </c>
      <c r="N1360" s="9">
        <v>836</v>
      </c>
      <c r="O1360" s="9">
        <v>0</v>
      </c>
      <c r="P1360" s="9">
        <v>0</v>
      </c>
      <c r="R1360" s="11"/>
      <c r="S1360" s="9"/>
      <c r="T1360" s="9"/>
      <c r="U1360" s="9"/>
    </row>
    <row r="1361" spans="2:21" x14ac:dyDescent="0.4">
      <c r="B1361" s="16">
        <f t="shared" si="122"/>
        <v>43857</v>
      </c>
      <c r="C1361" s="1">
        <f t="shared" si="123"/>
        <v>4068</v>
      </c>
      <c r="D1361" s="1">
        <f t="shared" si="124"/>
        <v>836</v>
      </c>
      <c r="E1361" s="1">
        <f t="shared" si="125"/>
        <v>1720</v>
      </c>
      <c r="F1361" s="1"/>
      <c r="L1361" s="11">
        <v>43857</v>
      </c>
      <c r="M1361" s="9">
        <v>0</v>
      </c>
      <c r="N1361" s="9">
        <v>836</v>
      </c>
      <c r="O1361" s="9">
        <v>0</v>
      </c>
      <c r="P1361" s="9">
        <v>0</v>
      </c>
      <c r="R1361" s="11"/>
      <c r="S1361" s="9"/>
      <c r="T1361" s="9"/>
      <c r="U1361" s="9"/>
    </row>
    <row r="1362" spans="2:21" x14ac:dyDescent="0.4">
      <c r="B1362" s="16">
        <f t="shared" si="122"/>
        <v>43858</v>
      </c>
      <c r="C1362" s="1">
        <f t="shared" si="123"/>
        <v>4068</v>
      </c>
      <c r="D1362" s="1">
        <f t="shared" si="124"/>
        <v>836</v>
      </c>
      <c r="E1362" s="1">
        <f t="shared" si="125"/>
        <v>1720</v>
      </c>
      <c r="F1362" s="1"/>
      <c r="L1362" s="11">
        <v>43858</v>
      </c>
      <c r="M1362" s="9">
        <v>0</v>
      </c>
      <c r="N1362" s="9">
        <v>836</v>
      </c>
      <c r="O1362" s="9">
        <v>0</v>
      </c>
      <c r="P1362" s="9">
        <v>0</v>
      </c>
      <c r="R1362" s="11"/>
      <c r="S1362" s="9"/>
      <c r="T1362" s="9"/>
      <c r="U1362" s="9"/>
    </row>
    <row r="1363" spans="2:21" x14ac:dyDescent="0.4">
      <c r="B1363" s="16">
        <f t="shared" si="122"/>
        <v>43859</v>
      </c>
      <c r="C1363" s="1">
        <f t="shared" si="123"/>
        <v>4068</v>
      </c>
      <c r="D1363" s="1">
        <f t="shared" si="124"/>
        <v>836</v>
      </c>
      <c r="E1363" s="1">
        <f t="shared" si="125"/>
        <v>1720</v>
      </c>
      <c r="F1363" s="1"/>
      <c r="L1363" s="11">
        <v>43859</v>
      </c>
      <c r="M1363" s="9">
        <v>0</v>
      </c>
      <c r="N1363" s="9">
        <v>836</v>
      </c>
      <c r="O1363" s="9">
        <v>0</v>
      </c>
      <c r="P1363" s="9">
        <v>0</v>
      </c>
      <c r="R1363" s="11"/>
      <c r="S1363" s="9"/>
      <c r="T1363" s="9"/>
      <c r="U1363" s="9"/>
    </row>
    <row r="1364" spans="2:21" x14ac:dyDescent="0.4">
      <c r="B1364" s="16">
        <f t="shared" si="122"/>
        <v>43860</v>
      </c>
      <c r="C1364" s="1">
        <f t="shared" si="123"/>
        <v>4068</v>
      </c>
      <c r="D1364" s="1">
        <f t="shared" si="124"/>
        <v>836</v>
      </c>
      <c r="E1364" s="1">
        <f t="shared" si="125"/>
        <v>1720</v>
      </c>
      <c r="F1364" s="1"/>
      <c r="L1364" s="11">
        <v>43860</v>
      </c>
      <c r="M1364" s="9">
        <v>0</v>
      </c>
      <c r="N1364" s="9">
        <v>836</v>
      </c>
      <c r="O1364" s="9">
        <v>0</v>
      </c>
      <c r="P1364" s="9">
        <v>0</v>
      </c>
      <c r="R1364" s="11"/>
      <c r="S1364" s="9"/>
      <c r="T1364" s="9"/>
      <c r="U1364" s="9"/>
    </row>
    <row r="1365" spans="2:21" x14ac:dyDescent="0.4">
      <c r="B1365" s="16">
        <f t="shared" si="122"/>
        <v>43861</v>
      </c>
      <c r="C1365" s="1">
        <f t="shared" si="123"/>
        <v>4068</v>
      </c>
      <c r="D1365" s="1">
        <f t="shared" si="124"/>
        <v>836</v>
      </c>
      <c r="E1365" s="1">
        <f t="shared" si="125"/>
        <v>1720</v>
      </c>
      <c r="F1365" s="1"/>
      <c r="L1365" s="11">
        <v>43861</v>
      </c>
      <c r="M1365" s="9">
        <v>0</v>
      </c>
      <c r="N1365" s="9">
        <v>836</v>
      </c>
      <c r="O1365" s="9">
        <v>0</v>
      </c>
      <c r="P1365" s="9">
        <v>0</v>
      </c>
      <c r="R1365" s="11"/>
      <c r="S1365" s="9"/>
      <c r="T1365" s="9"/>
      <c r="U1365" s="9"/>
    </row>
    <row r="1366" spans="2:21" x14ac:dyDescent="0.4">
      <c r="B1366" s="16">
        <f t="shared" si="122"/>
        <v>43864</v>
      </c>
      <c r="C1366" s="1">
        <f t="shared" si="123"/>
        <v>4068</v>
      </c>
      <c r="D1366" s="1">
        <f t="shared" si="124"/>
        <v>821</v>
      </c>
      <c r="E1366" s="1">
        <f t="shared" si="125"/>
        <v>1720</v>
      </c>
      <c r="F1366" s="1"/>
      <c r="L1366" s="11">
        <v>43864</v>
      </c>
      <c r="M1366" s="9">
        <v>0</v>
      </c>
      <c r="N1366" s="9">
        <v>821</v>
      </c>
      <c r="O1366" s="9">
        <v>0</v>
      </c>
      <c r="P1366" s="9">
        <v>0</v>
      </c>
      <c r="R1366" s="11"/>
      <c r="S1366" s="9"/>
      <c r="T1366" s="9"/>
      <c r="U1366" s="9"/>
    </row>
    <row r="1367" spans="2:21" x14ac:dyDescent="0.4">
      <c r="B1367" s="16">
        <f t="shared" si="122"/>
        <v>43865</v>
      </c>
      <c r="C1367" s="1">
        <f t="shared" si="123"/>
        <v>4068</v>
      </c>
      <c r="D1367" s="1">
        <f t="shared" si="124"/>
        <v>821</v>
      </c>
      <c r="E1367" s="1">
        <f t="shared" si="125"/>
        <v>1720</v>
      </c>
      <c r="F1367" s="1"/>
      <c r="L1367" s="11">
        <v>43865</v>
      </c>
      <c r="M1367" s="9">
        <v>0</v>
      </c>
      <c r="N1367" s="9">
        <v>821</v>
      </c>
      <c r="O1367" s="9">
        <v>0</v>
      </c>
      <c r="P1367" s="9">
        <v>0</v>
      </c>
      <c r="R1367" s="11"/>
      <c r="S1367" s="9"/>
      <c r="T1367" s="9"/>
      <c r="U1367" s="9"/>
    </row>
    <row r="1368" spans="2:21" x14ac:dyDescent="0.4">
      <c r="B1368" s="16">
        <f t="shared" si="122"/>
        <v>43866</v>
      </c>
      <c r="C1368" s="1">
        <f t="shared" si="123"/>
        <v>4068</v>
      </c>
      <c r="D1368" s="1">
        <f t="shared" si="124"/>
        <v>831</v>
      </c>
      <c r="E1368" s="1">
        <f t="shared" si="125"/>
        <v>1720</v>
      </c>
      <c r="F1368" s="1"/>
      <c r="L1368" s="11">
        <v>43866</v>
      </c>
      <c r="M1368" s="9">
        <v>0</v>
      </c>
      <c r="N1368" s="9">
        <v>831</v>
      </c>
      <c r="O1368" s="9">
        <v>0</v>
      </c>
      <c r="P1368" s="9">
        <v>0</v>
      </c>
      <c r="R1368" s="11"/>
      <c r="S1368" s="9"/>
      <c r="T1368" s="9"/>
      <c r="U1368" s="9"/>
    </row>
    <row r="1369" spans="2:21" x14ac:dyDescent="0.4">
      <c r="B1369" s="16">
        <f t="shared" si="122"/>
        <v>43867</v>
      </c>
      <c r="C1369" s="1">
        <f t="shared" si="123"/>
        <v>4068</v>
      </c>
      <c r="D1369" s="1">
        <f t="shared" si="124"/>
        <v>811</v>
      </c>
      <c r="E1369" s="1">
        <f t="shared" si="125"/>
        <v>1720</v>
      </c>
      <c r="F1369" s="1"/>
      <c r="L1369" s="11">
        <v>43867</v>
      </c>
      <c r="M1369" s="9">
        <v>0</v>
      </c>
      <c r="N1369" s="9">
        <v>811</v>
      </c>
      <c r="O1369" s="9">
        <v>0</v>
      </c>
      <c r="P1369" s="9">
        <v>0</v>
      </c>
      <c r="R1369" s="11"/>
      <c r="S1369" s="9"/>
      <c r="T1369" s="9"/>
      <c r="U1369" s="9"/>
    </row>
    <row r="1370" spans="2:21" x14ac:dyDescent="0.4">
      <c r="B1370" s="16">
        <f t="shared" si="122"/>
        <v>43868</v>
      </c>
      <c r="C1370" s="1">
        <f t="shared" si="123"/>
        <v>4068</v>
      </c>
      <c r="D1370" s="1">
        <f t="shared" si="124"/>
        <v>806</v>
      </c>
      <c r="E1370" s="1">
        <f t="shared" si="125"/>
        <v>1720</v>
      </c>
      <c r="F1370" s="1"/>
      <c r="L1370" s="11">
        <v>43868</v>
      </c>
      <c r="M1370" s="9">
        <v>0</v>
      </c>
      <c r="N1370" s="9">
        <v>806</v>
      </c>
      <c r="O1370" s="9">
        <v>0</v>
      </c>
      <c r="P1370" s="9">
        <v>0</v>
      </c>
      <c r="R1370" s="11"/>
      <c r="S1370" s="9"/>
      <c r="T1370" s="9"/>
      <c r="U1370" s="9"/>
    </row>
    <row r="1371" spans="2:21" x14ac:dyDescent="0.4">
      <c r="B1371" s="16">
        <f t="shared" si="122"/>
        <v>43871</v>
      </c>
      <c r="C1371" s="1">
        <f t="shared" si="123"/>
        <v>3944</v>
      </c>
      <c r="D1371" s="1">
        <f t="shared" si="124"/>
        <v>791</v>
      </c>
      <c r="E1371" s="1">
        <f t="shared" si="125"/>
        <v>1720</v>
      </c>
      <c r="F1371" s="1"/>
      <c r="L1371" s="11">
        <v>43871</v>
      </c>
      <c r="M1371" s="9">
        <v>3944</v>
      </c>
      <c r="N1371" s="9">
        <v>791</v>
      </c>
      <c r="O1371" s="9">
        <v>1720</v>
      </c>
      <c r="P1371" s="9">
        <v>0</v>
      </c>
      <c r="R1371" s="11"/>
      <c r="S1371" s="9"/>
      <c r="T1371" s="9"/>
      <c r="U1371" s="9"/>
    </row>
    <row r="1372" spans="2:21" x14ac:dyDescent="0.4">
      <c r="B1372" s="16">
        <f t="shared" si="122"/>
        <v>43872</v>
      </c>
      <c r="C1372" s="1">
        <f t="shared" si="123"/>
        <v>3912</v>
      </c>
      <c r="D1372" s="1">
        <f t="shared" si="124"/>
        <v>771</v>
      </c>
      <c r="E1372" s="1">
        <f t="shared" si="125"/>
        <v>1700</v>
      </c>
      <c r="F1372" s="1"/>
      <c r="L1372" s="11">
        <v>43872</v>
      </c>
      <c r="M1372" s="9">
        <v>3912</v>
      </c>
      <c r="N1372" s="9">
        <v>771</v>
      </c>
      <c r="O1372" s="9">
        <v>1700</v>
      </c>
      <c r="P1372" s="9">
        <v>0</v>
      </c>
      <c r="R1372" s="11"/>
      <c r="S1372" s="9"/>
      <c r="T1372" s="9"/>
      <c r="U1372" s="9"/>
    </row>
    <row r="1373" spans="2:21" x14ac:dyDescent="0.4">
      <c r="B1373" s="16">
        <f t="shared" si="122"/>
        <v>43873</v>
      </c>
      <c r="C1373" s="1">
        <f t="shared" si="123"/>
        <v>3895</v>
      </c>
      <c r="D1373" s="1">
        <f t="shared" si="124"/>
        <v>741</v>
      </c>
      <c r="E1373" s="1">
        <f t="shared" si="125"/>
        <v>1700</v>
      </c>
      <c r="F1373" s="1"/>
      <c r="L1373" s="11">
        <v>43873</v>
      </c>
      <c r="M1373" s="9">
        <v>3895</v>
      </c>
      <c r="N1373" s="9">
        <v>741</v>
      </c>
      <c r="O1373" s="9">
        <v>1700</v>
      </c>
      <c r="P1373" s="9">
        <v>0</v>
      </c>
      <c r="R1373" s="11"/>
      <c r="S1373" s="9"/>
      <c r="T1373" s="9"/>
      <c r="U1373" s="9"/>
    </row>
    <row r="1374" spans="2:21" x14ac:dyDescent="0.4">
      <c r="B1374" s="16">
        <f t="shared" si="122"/>
        <v>43874</v>
      </c>
      <c r="C1374" s="1">
        <f t="shared" si="123"/>
        <v>3882</v>
      </c>
      <c r="D1374" s="1">
        <f t="shared" si="124"/>
        <v>741</v>
      </c>
      <c r="E1374" s="1">
        <f t="shared" si="125"/>
        <v>1700</v>
      </c>
      <c r="F1374" s="1"/>
      <c r="L1374" s="11">
        <v>43874</v>
      </c>
      <c r="M1374" s="9">
        <v>3882</v>
      </c>
      <c r="N1374" s="9">
        <v>741</v>
      </c>
      <c r="O1374" s="9">
        <v>1700</v>
      </c>
      <c r="P1374" s="9">
        <v>0</v>
      </c>
      <c r="R1374" s="11"/>
      <c r="S1374" s="9"/>
      <c r="T1374" s="9"/>
      <c r="U1374" s="9"/>
    </row>
    <row r="1375" spans="2:21" x14ac:dyDescent="0.4">
      <c r="B1375" s="16">
        <f t="shared" si="122"/>
        <v>43875</v>
      </c>
      <c r="C1375" s="1">
        <f t="shared" si="123"/>
        <v>3867</v>
      </c>
      <c r="D1375" s="1">
        <f t="shared" si="124"/>
        <v>741</v>
      </c>
      <c r="E1375" s="1">
        <f t="shared" si="125"/>
        <v>1705</v>
      </c>
      <c r="F1375" s="1"/>
      <c r="L1375" s="11">
        <v>43875</v>
      </c>
      <c r="M1375" s="9">
        <v>3867</v>
      </c>
      <c r="N1375" s="9">
        <v>741</v>
      </c>
      <c r="O1375" s="9">
        <v>1705</v>
      </c>
      <c r="P1375" s="9">
        <v>0</v>
      </c>
      <c r="R1375" s="11"/>
      <c r="S1375" s="9"/>
      <c r="T1375" s="9"/>
      <c r="U1375" s="9"/>
    </row>
    <row r="1376" spans="2:21" x14ac:dyDescent="0.4">
      <c r="B1376" s="16">
        <f t="shared" si="122"/>
        <v>43878</v>
      </c>
      <c r="C1376" s="1">
        <f t="shared" si="123"/>
        <v>3854</v>
      </c>
      <c r="D1376" s="1">
        <f t="shared" si="124"/>
        <v>706</v>
      </c>
      <c r="E1376" s="1">
        <f t="shared" si="125"/>
        <v>1705</v>
      </c>
      <c r="F1376" s="1"/>
      <c r="L1376" s="11">
        <v>43878</v>
      </c>
      <c r="M1376" s="9">
        <v>3854</v>
      </c>
      <c r="N1376" s="9">
        <v>706</v>
      </c>
      <c r="O1376" s="9">
        <v>1705</v>
      </c>
      <c r="P1376" s="9">
        <v>0</v>
      </c>
      <c r="R1376" s="11"/>
      <c r="S1376" s="9"/>
      <c r="T1376" s="9"/>
      <c r="U1376" s="9"/>
    </row>
    <row r="1377" spans="2:21" x14ac:dyDescent="0.4">
      <c r="B1377" s="16">
        <f t="shared" si="122"/>
        <v>43879</v>
      </c>
      <c r="C1377" s="1">
        <f t="shared" si="123"/>
        <v>3849</v>
      </c>
      <c r="D1377" s="1">
        <f t="shared" si="124"/>
        <v>706</v>
      </c>
      <c r="E1377" s="1">
        <f t="shared" si="125"/>
        <v>1705</v>
      </c>
      <c r="F1377" s="1"/>
      <c r="L1377" s="11">
        <v>43879</v>
      </c>
      <c r="M1377" s="9">
        <v>3849</v>
      </c>
      <c r="N1377" s="9">
        <v>706</v>
      </c>
      <c r="O1377" s="9">
        <v>1705</v>
      </c>
      <c r="P1377" s="9">
        <v>0</v>
      </c>
      <c r="R1377" s="11"/>
      <c r="S1377" s="9"/>
      <c r="T1377" s="9"/>
      <c r="U1377" s="9"/>
    </row>
    <row r="1378" spans="2:21" x14ac:dyDescent="0.4">
      <c r="B1378" s="16">
        <f t="shared" si="122"/>
        <v>43880</v>
      </c>
      <c r="C1378" s="1">
        <f t="shared" si="123"/>
        <v>3841</v>
      </c>
      <c r="D1378" s="1">
        <f t="shared" si="124"/>
        <v>706</v>
      </c>
      <c r="E1378" s="1">
        <f t="shared" si="125"/>
        <v>1705</v>
      </c>
      <c r="F1378" s="1"/>
      <c r="L1378" s="11">
        <v>43880</v>
      </c>
      <c r="M1378" s="9">
        <v>3841</v>
      </c>
      <c r="N1378" s="9">
        <v>706</v>
      </c>
      <c r="O1378" s="9">
        <v>1705</v>
      </c>
      <c r="P1378" s="9">
        <v>0</v>
      </c>
      <c r="R1378" s="11"/>
      <c r="S1378" s="9"/>
      <c r="T1378" s="9"/>
      <c r="U1378" s="9"/>
    </row>
    <row r="1379" spans="2:21" x14ac:dyDescent="0.4">
      <c r="B1379" s="16">
        <f t="shared" si="122"/>
        <v>43881</v>
      </c>
      <c r="C1379" s="1">
        <f t="shared" si="123"/>
        <v>3842</v>
      </c>
      <c r="D1379" s="1">
        <f t="shared" si="124"/>
        <v>706</v>
      </c>
      <c r="E1379" s="1">
        <f t="shared" si="125"/>
        <v>1705</v>
      </c>
      <c r="F1379" s="1"/>
      <c r="L1379" s="11">
        <v>43881</v>
      </c>
      <c r="M1379" s="9">
        <v>3842</v>
      </c>
      <c r="N1379" s="9">
        <v>706</v>
      </c>
      <c r="O1379" s="9">
        <v>1705</v>
      </c>
      <c r="P1379" s="9">
        <v>0</v>
      </c>
      <c r="R1379" s="11"/>
      <c r="S1379" s="9"/>
      <c r="T1379" s="9"/>
      <c r="U1379" s="9"/>
    </row>
    <row r="1380" spans="2:21" x14ac:dyDescent="0.4">
      <c r="B1380" s="16">
        <f t="shared" si="122"/>
        <v>43882</v>
      </c>
      <c r="C1380" s="1">
        <f t="shared" si="123"/>
        <v>3850</v>
      </c>
      <c r="D1380" s="1">
        <f t="shared" si="124"/>
        <v>706</v>
      </c>
      <c r="E1380" s="1">
        <f t="shared" si="125"/>
        <v>1705</v>
      </c>
      <c r="F1380" s="1"/>
      <c r="L1380" s="11">
        <v>43882</v>
      </c>
      <c r="M1380" s="9">
        <v>3850</v>
      </c>
      <c r="N1380" s="9">
        <v>706</v>
      </c>
      <c r="O1380" s="9">
        <v>1705</v>
      </c>
      <c r="P1380" s="9">
        <v>0</v>
      </c>
      <c r="R1380" s="11"/>
      <c r="S1380" s="9"/>
      <c r="T1380" s="9"/>
      <c r="U1380" s="9"/>
    </row>
    <row r="1381" spans="2:21" x14ac:dyDescent="0.4">
      <c r="B1381" s="16">
        <f t="shared" si="122"/>
        <v>43885</v>
      </c>
      <c r="C1381" s="1">
        <f t="shared" si="123"/>
        <v>3848</v>
      </c>
      <c r="D1381" s="1">
        <f t="shared" si="124"/>
        <v>706</v>
      </c>
      <c r="E1381" s="1">
        <f t="shared" si="125"/>
        <v>1705</v>
      </c>
      <c r="F1381" s="1"/>
      <c r="L1381" s="11">
        <v>43885</v>
      </c>
      <c r="M1381" s="9">
        <v>3848</v>
      </c>
      <c r="N1381" s="9">
        <v>706</v>
      </c>
      <c r="O1381" s="9">
        <v>1705</v>
      </c>
      <c r="P1381" s="9">
        <v>0</v>
      </c>
      <c r="R1381" s="11"/>
      <c r="S1381" s="9"/>
      <c r="T1381" s="9"/>
      <c r="U1381" s="9"/>
    </row>
    <row r="1382" spans="2:21" x14ac:dyDescent="0.4">
      <c r="B1382" s="16">
        <f t="shared" si="122"/>
        <v>43886</v>
      </c>
      <c r="C1382" s="1">
        <f t="shared" si="123"/>
        <v>3841</v>
      </c>
      <c r="D1382" s="1">
        <f t="shared" si="124"/>
        <v>706</v>
      </c>
      <c r="E1382" s="1">
        <f t="shared" si="125"/>
        <v>1730</v>
      </c>
      <c r="F1382" s="1"/>
      <c r="L1382" s="11">
        <v>43886</v>
      </c>
      <c r="M1382" s="9">
        <v>3841</v>
      </c>
      <c r="N1382" s="9">
        <v>706</v>
      </c>
      <c r="O1382" s="9">
        <v>1730</v>
      </c>
      <c r="P1382" s="9">
        <v>0</v>
      </c>
      <c r="R1382" s="11"/>
      <c r="S1382" s="9"/>
      <c r="T1382" s="9"/>
      <c r="U1382" s="9"/>
    </row>
    <row r="1383" spans="2:21" x14ac:dyDescent="0.4">
      <c r="B1383" s="16">
        <f t="shared" si="122"/>
        <v>43887</v>
      </c>
      <c r="C1383" s="1">
        <f t="shared" si="123"/>
        <v>3826</v>
      </c>
      <c r="D1383" s="1">
        <f t="shared" si="124"/>
        <v>701</v>
      </c>
      <c r="E1383" s="1">
        <f t="shared" si="125"/>
        <v>1760</v>
      </c>
      <c r="F1383" s="1"/>
      <c r="L1383" s="11">
        <v>43887</v>
      </c>
      <c r="M1383" s="9">
        <v>3826</v>
      </c>
      <c r="N1383" s="9">
        <v>701</v>
      </c>
      <c r="O1383" s="9">
        <v>1760</v>
      </c>
      <c r="P1383" s="9">
        <v>0</v>
      </c>
      <c r="R1383" s="11"/>
      <c r="S1383" s="9"/>
      <c r="T1383" s="9"/>
      <c r="U1383" s="9"/>
    </row>
    <row r="1384" spans="2:21" x14ac:dyDescent="0.4">
      <c r="B1384" s="16">
        <f t="shared" si="122"/>
        <v>43888</v>
      </c>
      <c r="C1384" s="1">
        <f t="shared" si="123"/>
        <v>3807</v>
      </c>
      <c r="D1384" s="1">
        <f t="shared" si="124"/>
        <v>701</v>
      </c>
      <c r="E1384" s="1">
        <f t="shared" si="125"/>
        <v>1770</v>
      </c>
      <c r="F1384" s="1"/>
      <c r="L1384" s="11">
        <v>43888</v>
      </c>
      <c r="M1384" s="9">
        <v>3807</v>
      </c>
      <c r="N1384" s="9">
        <v>701</v>
      </c>
      <c r="O1384" s="9">
        <v>1770</v>
      </c>
      <c r="P1384" s="9">
        <v>0</v>
      </c>
      <c r="R1384" s="11"/>
      <c r="S1384" s="9"/>
      <c r="T1384" s="9"/>
      <c r="U1384" s="9"/>
    </row>
    <row r="1385" spans="2:21" x14ac:dyDescent="0.4">
      <c r="B1385" s="16">
        <f t="shared" si="122"/>
        <v>43889</v>
      </c>
      <c r="C1385" s="1">
        <f t="shared" si="123"/>
        <v>3783</v>
      </c>
      <c r="D1385" s="1">
        <f t="shared" si="124"/>
        <v>701</v>
      </c>
      <c r="E1385" s="1">
        <f t="shared" si="125"/>
        <v>1760</v>
      </c>
      <c r="F1385" s="1"/>
      <c r="L1385" s="11">
        <v>43889</v>
      </c>
      <c r="M1385" s="9">
        <v>3783</v>
      </c>
      <c r="N1385" s="9">
        <v>701</v>
      </c>
      <c r="O1385" s="9">
        <v>1760</v>
      </c>
      <c r="P1385" s="9">
        <v>0</v>
      </c>
      <c r="R1385" s="11"/>
      <c r="S1385" s="9"/>
      <c r="T1385" s="9"/>
      <c r="U1385" s="9"/>
    </row>
    <row r="1386" spans="2:21" x14ac:dyDescent="0.4">
      <c r="B1386" s="16">
        <f t="shared" si="122"/>
        <v>43892</v>
      </c>
      <c r="C1386" s="1">
        <f t="shared" si="123"/>
        <v>3768</v>
      </c>
      <c r="D1386" s="1">
        <f t="shared" si="124"/>
        <v>696</v>
      </c>
      <c r="E1386" s="1">
        <f t="shared" si="125"/>
        <v>1780</v>
      </c>
      <c r="F1386" s="1"/>
      <c r="L1386" s="11">
        <v>43892</v>
      </c>
      <c r="M1386" s="9">
        <v>3768</v>
      </c>
      <c r="N1386" s="9">
        <v>696</v>
      </c>
      <c r="O1386" s="9">
        <v>1780</v>
      </c>
      <c r="P1386" s="9">
        <v>0</v>
      </c>
      <c r="R1386" s="11"/>
      <c r="S1386" s="9"/>
      <c r="T1386" s="9"/>
      <c r="U1386" s="9"/>
    </row>
    <row r="1387" spans="2:21" x14ac:dyDescent="0.4">
      <c r="B1387" s="16">
        <f t="shared" si="122"/>
        <v>43893</v>
      </c>
      <c r="C1387" s="1">
        <f t="shared" si="123"/>
        <v>3770</v>
      </c>
      <c r="D1387" s="1">
        <f t="shared" si="124"/>
        <v>696</v>
      </c>
      <c r="E1387" s="1">
        <f t="shared" si="125"/>
        <v>1780</v>
      </c>
      <c r="F1387" s="1"/>
      <c r="L1387" s="11">
        <v>43893</v>
      </c>
      <c r="M1387" s="9">
        <v>3770</v>
      </c>
      <c r="N1387" s="9">
        <v>696</v>
      </c>
      <c r="O1387" s="9">
        <v>1780</v>
      </c>
      <c r="P1387" s="9">
        <v>0</v>
      </c>
      <c r="R1387" s="11"/>
      <c r="S1387" s="9"/>
      <c r="T1387" s="9"/>
      <c r="U1387" s="9"/>
    </row>
    <row r="1388" spans="2:21" x14ac:dyDescent="0.4">
      <c r="B1388" s="16">
        <f t="shared" si="122"/>
        <v>43894</v>
      </c>
      <c r="C1388" s="1">
        <f t="shared" si="123"/>
        <v>3772</v>
      </c>
      <c r="D1388" s="1">
        <f t="shared" si="124"/>
        <v>696</v>
      </c>
      <c r="E1388" s="1">
        <f t="shared" si="125"/>
        <v>1780</v>
      </c>
      <c r="F1388" s="1"/>
      <c r="L1388" s="11">
        <v>43894</v>
      </c>
      <c r="M1388" s="9">
        <v>3772</v>
      </c>
      <c r="N1388" s="9">
        <v>696</v>
      </c>
      <c r="O1388" s="9">
        <v>1780</v>
      </c>
      <c r="P1388" s="9">
        <v>0</v>
      </c>
      <c r="R1388" s="11"/>
      <c r="S1388" s="9"/>
      <c r="T1388" s="9"/>
      <c r="U1388" s="9"/>
    </row>
    <row r="1389" spans="2:21" x14ac:dyDescent="0.4">
      <c r="B1389" s="16">
        <f t="shared" si="122"/>
        <v>43895</v>
      </c>
      <c r="C1389" s="1">
        <f t="shared" si="123"/>
        <v>3784</v>
      </c>
      <c r="D1389" s="1">
        <f t="shared" si="124"/>
        <v>696</v>
      </c>
      <c r="E1389" s="1">
        <f t="shared" si="125"/>
        <v>1795</v>
      </c>
      <c r="F1389" s="1"/>
      <c r="L1389" s="11">
        <v>43895</v>
      </c>
      <c r="M1389" s="9">
        <v>3784</v>
      </c>
      <c r="N1389" s="9">
        <v>696</v>
      </c>
      <c r="O1389" s="9">
        <v>1795</v>
      </c>
      <c r="P1389" s="9">
        <v>0</v>
      </c>
      <c r="R1389" s="11"/>
      <c r="S1389" s="9"/>
      <c r="T1389" s="9"/>
      <c r="U1389" s="9"/>
    </row>
    <row r="1390" spans="2:21" x14ac:dyDescent="0.4">
      <c r="B1390" s="16">
        <f t="shared" si="122"/>
        <v>43896</v>
      </c>
      <c r="C1390" s="1">
        <f t="shared" si="123"/>
        <v>3787</v>
      </c>
      <c r="D1390" s="1">
        <f t="shared" si="124"/>
        <v>696</v>
      </c>
      <c r="E1390" s="1">
        <f t="shared" si="125"/>
        <v>1800</v>
      </c>
      <c r="F1390" s="1"/>
      <c r="L1390" s="11">
        <v>43896</v>
      </c>
      <c r="M1390" s="9">
        <v>3787</v>
      </c>
      <c r="N1390" s="9">
        <v>696</v>
      </c>
      <c r="O1390" s="9">
        <v>1800</v>
      </c>
      <c r="P1390" s="9">
        <v>0</v>
      </c>
      <c r="R1390" s="11"/>
      <c r="S1390" s="9"/>
      <c r="T1390" s="9"/>
      <c r="U1390" s="9"/>
    </row>
    <row r="1391" spans="2:21" x14ac:dyDescent="0.4">
      <c r="B1391" s="16">
        <f t="shared" si="122"/>
        <v>43899</v>
      </c>
      <c r="C1391" s="1">
        <f t="shared" si="123"/>
        <v>3724</v>
      </c>
      <c r="D1391" s="1">
        <f t="shared" si="124"/>
        <v>671</v>
      </c>
      <c r="E1391" s="1">
        <f t="shared" si="125"/>
        <v>1810</v>
      </c>
      <c r="F1391" s="1"/>
      <c r="L1391" s="11">
        <v>43899</v>
      </c>
      <c r="M1391" s="9">
        <v>3724</v>
      </c>
      <c r="N1391" s="9">
        <v>671</v>
      </c>
      <c r="O1391" s="9">
        <v>1810</v>
      </c>
      <c r="P1391" s="9">
        <v>0</v>
      </c>
      <c r="R1391" s="11"/>
      <c r="S1391" s="9"/>
      <c r="T1391" s="9"/>
      <c r="U1391" s="9"/>
    </row>
    <row r="1392" spans="2:21" x14ac:dyDescent="0.4">
      <c r="B1392" s="16">
        <f t="shared" si="122"/>
        <v>43900</v>
      </c>
      <c r="C1392" s="1">
        <f t="shared" si="123"/>
        <v>3661</v>
      </c>
      <c r="D1392" s="1">
        <f t="shared" si="124"/>
        <v>671</v>
      </c>
      <c r="E1392" s="1">
        <f t="shared" si="125"/>
        <v>1835</v>
      </c>
      <c r="F1392" s="1"/>
      <c r="L1392" s="11">
        <v>43900</v>
      </c>
      <c r="M1392" s="9">
        <v>3661</v>
      </c>
      <c r="N1392" s="9">
        <v>671</v>
      </c>
      <c r="O1392" s="9">
        <v>1835</v>
      </c>
      <c r="P1392" s="9">
        <v>0</v>
      </c>
      <c r="R1392" s="11"/>
      <c r="S1392" s="9"/>
      <c r="T1392" s="9"/>
      <c r="U1392" s="9"/>
    </row>
    <row r="1393" spans="2:21" x14ac:dyDescent="0.4">
      <c r="B1393" s="16">
        <f t="shared" si="122"/>
        <v>43901</v>
      </c>
      <c r="C1393" s="1">
        <f t="shared" si="123"/>
        <v>3677</v>
      </c>
      <c r="D1393" s="1">
        <f t="shared" si="124"/>
        <v>646</v>
      </c>
      <c r="E1393" s="1">
        <f t="shared" si="125"/>
        <v>1835</v>
      </c>
      <c r="F1393" s="1"/>
      <c r="L1393" s="11">
        <v>43901</v>
      </c>
      <c r="M1393" s="9">
        <v>3677</v>
      </c>
      <c r="N1393" s="9">
        <v>646</v>
      </c>
      <c r="O1393" s="9">
        <v>1835</v>
      </c>
      <c r="P1393" s="9">
        <v>0</v>
      </c>
      <c r="R1393" s="11"/>
      <c r="S1393" s="9"/>
      <c r="T1393" s="9"/>
      <c r="U1393" s="9"/>
    </row>
    <row r="1394" spans="2:21" x14ac:dyDescent="0.4">
      <c r="B1394" s="16">
        <f t="shared" si="122"/>
        <v>43902</v>
      </c>
      <c r="C1394" s="1">
        <f t="shared" si="123"/>
        <v>3667</v>
      </c>
      <c r="D1394" s="1">
        <f t="shared" si="124"/>
        <v>641</v>
      </c>
      <c r="E1394" s="1">
        <f t="shared" si="125"/>
        <v>1830</v>
      </c>
      <c r="F1394" s="1"/>
      <c r="L1394" s="11">
        <v>43902</v>
      </c>
      <c r="M1394" s="9">
        <v>3667</v>
      </c>
      <c r="N1394" s="9">
        <v>641</v>
      </c>
      <c r="O1394" s="9">
        <v>1830</v>
      </c>
      <c r="P1394" s="9">
        <v>0</v>
      </c>
      <c r="R1394" s="11"/>
      <c r="S1394" s="9"/>
      <c r="T1394" s="9"/>
      <c r="U1394" s="9"/>
    </row>
    <row r="1395" spans="2:21" x14ac:dyDescent="0.4">
      <c r="B1395" s="16">
        <f t="shared" si="122"/>
        <v>43903</v>
      </c>
      <c r="C1395" s="1">
        <f t="shared" si="123"/>
        <v>3649</v>
      </c>
      <c r="D1395" s="1">
        <f t="shared" si="124"/>
        <v>641</v>
      </c>
      <c r="E1395" s="1">
        <f t="shared" si="125"/>
        <v>1820</v>
      </c>
      <c r="F1395" s="1"/>
      <c r="L1395" s="11">
        <v>43903</v>
      </c>
      <c r="M1395" s="9">
        <v>3649</v>
      </c>
      <c r="N1395" s="9">
        <v>641</v>
      </c>
      <c r="O1395" s="9">
        <v>1820</v>
      </c>
      <c r="P1395" s="9">
        <v>0</v>
      </c>
      <c r="R1395" s="11"/>
      <c r="S1395" s="9"/>
      <c r="T1395" s="9"/>
      <c r="U1395" s="9"/>
    </row>
    <row r="1396" spans="2:21" x14ac:dyDescent="0.4">
      <c r="B1396" s="16">
        <f t="shared" si="122"/>
        <v>43906</v>
      </c>
      <c r="C1396" s="1">
        <f t="shared" si="123"/>
        <v>3657</v>
      </c>
      <c r="D1396" s="1">
        <f t="shared" si="124"/>
        <v>641</v>
      </c>
      <c r="E1396" s="1">
        <f t="shared" si="125"/>
        <v>1820</v>
      </c>
      <c r="F1396" s="1"/>
      <c r="L1396" s="11">
        <v>43906</v>
      </c>
      <c r="M1396" s="9">
        <v>3657</v>
      </c>
      <c r="N1396" s="9">
        <v>641</v>
      </c>
      <c r="O1396" s="9">
        <v>1820</v>
      </c>
      <c r="P1396" s="9">
        <v>0</v>
      </c>
      <c r="R1396" s="11"/>
      <c r="S1396" s="9"/>
      <c r="T1396" s="9"/>
      <c r="U1396" s="9"/>
    </row>
    <row r="1397" spans="2:21" x14ac:dyDescent="0.4">
      <c r="B1397" s="16">
        <f t="shared" si="122"/>
        <v>43907</v>
      </c>
      <c r="C1397" s="1">
        <f t="shared" si="123"/>
        <v>3617</v>
      </c>
      <c r="D1397" s="1">
        <f t="shared" si="124"/>
        <v>626</v>
      </c>
      <c r="E1397" s="1">
        <f t="shared" si="125"/>
        <v>1815</v>
      </c>
      <c r="F1397" s="1"/>
      <c r="L1397" s="11">
        <v>43907</v>
      </c>
      <c r="M1397" s="9">
        <v>3617</v>
      </c>
      <c r="N1397" s="9">
        <v>626</v>
      </c>
      <c r="O1397" s="9">
        <v>1815</v>
      </c>
      <c r="P1397" s="9">
        <v>0</v>
      </c>
      <c r="R1397" s="11"/>
      <c r="S1397" s="9"/>
      <c r="T1397" s="9"/>
      <c r="U1397" s="9"/>
    </row>
    <row r="1398" spans="2:21" x14ac:dyDescent="0.4">
      <c r="B1398" s="16">
        <f t="shared" si="122"/>
        <v>43908</v>
      </c>
      <c r="C1398" s="1">
        <f t="shared" si="123"/>
        <v>3585</v>
      </c>
      <c r="D1398" s="1">
        <f t="shared" si="124"/>
        <v>606</v>
      </c>
      <c r="E1398" s="1">
        <f t="shared" si="125"/>
        <v>1810</v>
      </c>
      <c r="F1398" s="1"/>
      <c r="L1398" s="11">
        <v>43908</v>
      </c>
      <c r="M1398" s="9">
        <v>3585</v>
      </c>
      <c r="N1398" s="9">
        <v>606</v>
      </c>
      <c r="O1398" s="9">
        <v>1810</v>
      </c>
      <c r="P1398" s="9">
        <v>0</v>
      </c>
      <c r="R1398" s="11"/>
      <c r="S1398" s="9"/>
      <c r="T1398" s="9"/>
      <c r="U1398" s="9"/>
    </row>
    <row r="1399" spans="2:21" x14ac:dyDescent="0.4">
      <c r="B1399" s="16">
        <f t="shared" si="122"/>
        <v>43909</v>
      </c>
      <c r="C1399" s="1">
        <f t="shared" si="123"/>
        <v>3522</v>
      </c>
      <c r="D1399" s="1">
        <f t="shared" si="124"/>
        <v>606</v>
      </c>
      <c r="E1399" s="1">
        <f t="shared" si="125"/>
        <v>1800</v>
      </c>
      <c r="F1399" s="1"/>
      <c r="L1399" s="11">
        <v>43909</v>
      </c>
      <c r="M1399" s="9">
        <v>3522</v>
      </c>
      <c r="N1399" s="9">
        <v>606</v>
      </c>
      <c r="O1399" s="9">
        <v>1800</v>
      </c>
      <c r="P1399" s="9">
        <v>0</v>
      </c>
      <c r="R1399" s="11"/>
      <c r="S1399" s="9"/>
      <c r="T1399" s="9"/>
      <c r="U1399" s="9"/>
    </row>
    <row r="1400" spans="2:21" x14ac:dyDescent="0.4">
      <c r="B1400" s="16">
        <f t="shared" si="122"/>
        <v>43910</v>
      </c>
      <c r="C1400" s="1">
        <f t="shared" si="123"/>
        <v>3502</v>
      </c>
      <c r="D1400" s="1">
        <f t="shared" si="124"/>
        <v>591</v>
      </c>
      <c r="E1400" s="1">
        <f t="shared" si="125"/>
        <v>1800</v>
      </c>
      <c r="F1400" s="1"/>
      <c r="L1400" s="11">
        <v>43910</v>
      </c>
      <c r="M1400" s="9">
        <v>3502</v>
      </c>
      <c r="N1400" s="9">
        <v>591</v>
      </c>
      <c r="O1400" s="9">
        <v>1800</v>
      </c>
      <c r="P1400" s="9">
        <v>0</v>
      </c>
      <c r="R1400" s="11"/>
      <c r="S1400" s="9"/>
      <c r="T1400" s="9"/>
      <c r="U1400" s="9"/>
    </row>
    <row r="1401" spans="2:21" x14ac:dyDescent="0.4">
      <c r="B1401" s="16">
        <f t="shared" si="122"/>
        <v>43913</v>
      </c>
      <c r="C1401" s="1">
        <f t="shared" si="123"/>
        <v>3503</v>
      </c>
      <c r="D1401" s="1">
        <f t="shared" si="124"/>
        <v>551</v>
      </c>
      <c r="E1401" s="1">
        <f t="shared" si="125"/>
        <v>1790</v>
      </c>
      <c r="F1401" s="1"/>
      <c r="L1401" s="11">
        <v>43913</v>
      </c>
      <c r="M1401" s="9">
        <v>3503</v>
      </c>
      <c r="N1401" s="9">
        <v>551</v>
      </c>
      <c r="O1401" s="9">
        <v>1790</v>
      </c>
      <c r="P1401" s="9">
        <v>0</v>
      </c>
      <c r="R1401" s="11"/>
      <c r="S1401" s="9"/>
      <c r="T1401" s="9"/>
      <c r="U1401" s="9"/>
    </row>
    <row r="1402" spans="2:21" x14ac:dyDescent="0.4">
      <c r="B1402" s="16">
        <f t="shared" si="122"/>
        <v>43914</v>
      </c>
      <c r="C1402" s="1">
        <f t="shared" si="123"/>
        <v>3432</v>
      </c>
      <c r="D1402" s="1">
        <f t="shared" si="124"/>
        <v>551</v>
      </c>
      <c r="E1402" s="1">
        <f t="shared" si="125"/>
        <v>1780</v>
      </c>
      <c r="F1402" s="1"/>
      <c r="L1402" s="11">
        <v>43914</v>
      </c>
      <c r="M1402" s="9">
        <v>3432</v>
      </c>
      <c r="N1402" s="9">
        <v>551</v>
      </c>
      <c r="O1402" s="9">
        <v>1780</v>
      </c>
      <c r="P1402" s="9">
        <v>0</v>
      </c>
      <c r="R1402" s="11"/>
      <c r="S1402" s="9"/>
      <c r="T1402" s="9"/>
      <c r="U1402" s="9"/>
    </row>
    <row r="1403" spans="2:21" x14ac:dyDescent="0.4">
      <c r="B1403" s="16">
        <f t="shared" si="122"/>
        <v>43915</v>
      </c>
      <c r="C1403" s="1">
        <f t="shared" si="123"/>
        <v>3392</v>
      </c>
      <c r="D1403" s="1">
        <f t="shared" si="124"/>
        <v>551</v>
      </c>
      <c r="E1403" s="1">
        <f t="shared" si="125"/>
        <v>1770</v>
      </c>
      <c r="F1403" s="1"/>
      <c r="L1403" s="11">
        <v>43915</v>
      </c>
      <c r="M1403" s="9">
        <v>3392</v>
      </c>
      <c r="N1403" s="9">
        <v>551</v>
      </c>
      <c r="O1403" s="9">
        <v>1770</v>
      </c>
      <c r="P1403" s="9">
        <v>0</v>
      </c>
      <c r="R1403" s="11"/>
      <c r="S1403" s="9"/>
      <c r="T1403" s="9"/>
      <c r="U1403" s="9"/>
    </row>
    <row r="1404" spans="2:21" x14ac:dyDescent="0.4">
      <c r="B1404" s="16">
        <f t="shared" si="122"/>
        <v>43916</v>
      </c>
      <c r="C1404" s="1">
        <f t="shared" si="123"/>
        <v>3373</v>
      </c>
      <c r="D1404" s="1">
        <f t="shared" si="124"/>
        <v>551</v>
      </c>
      <c r="E1404" s="1">
        <f t="shared" si="125"/>
        <v>1760</v>
      </c>
      <c r="F1404" s="1"/>
      <c r="L1404" s="11">
        <v>43916</v>
      </c>
      <c r="M1404" s="9">
        <v>3373</v>
      </c>
      <c r="N1404" s="9">
        <v>551</v>
      </c>
      <c r="O1404" s="9">
        <v>1760</v>
      </c>
      <c r="P1404" s="9">
        <v>0</v>
      </c>
      <c r="R1404" s="11"/>
      <c r="S1404" s="9"/>
      <c r="T1404" s="9"/>
      <c r="U1404" s="9"/>
    </row>
    <row r="1405" spans="2:21" x14ac:dyDescent="0.4">
      <c r="B1405" s="16">
        <f t="shared" si="122"/>
        <v>43917</v>
      </c>
      <c r="C1405" s="1">
        <f t="shared" si="123"/>
        <v>3355</v>
      </c>
      <c r="D1405" s="1">
        <f t="shared" si="124"/>
        <v>541</v>
      </c>
      <c r="E1405" s="1">
        <f t="shared" si="125"/>
        <v>1755</v>
      </c>
      <c r="F1405" s="1"/>
      <c r="L1405" s="11">
        <v>43917</v>
      </c>
      <c r="M1405" s="9">
        <v>3355</v>
      </c>
      <c r="N1405" s="9">
        <v>541</v>
      </c>
      <c r="O1405" s="9">
        <v>1755</v>
      </c>
      <c r="P1405" s="9">
        <v>0</v>
      </c>
      <c r="R1405" s="11"/>
      <c r="S1405" s="9"/>
      <c r="T1405" s="9"/>
      <c r="U1405" s="9"/>
    </row>
    <row r="1406" spans="2:21" x14ac:dyDescent="0.4">
      <c r="B1406" s="16">
        <f t="shared" si="122"/>
        <v>43920</v>
      </c>
      <c r="C1406" s="1">
        <f t="shared" si="123"/>
        <v>3298</v>
      </c>
      <c r="D1406" s="1">
        <f t="shared" si="124"/>
        <v>536</v>
      </c>
      <c r="E1406" s="1">
        <f t="shared" si="125"/>
        <v>1750</v>
      </c>
      <c r="F1406" s="1"/>
      <c r="L1406" s="11">
        <v>43920</v>
      </c>
      <c r="M1406" s="9">
        <v>3298</v>
      </c>
      <c r="N1406" s="9">
        <v>536</v>
      </c>
      <c r="O1406" s="9">
        <v>1750</v>
      </c>
      <c r="P1406" s="9">
        <v>0</v>
      </c>
      <c r="R1406" s="11"/>
      <c r="S1406" s="9"/>
      <c r="T1406" s="9"/>
      <c r="U1406" s="9"/>
    </row>
    <row r="1407" spans="2:21" x14ac:dyDescent="0.4">
      <c r="B1407" s="16">
        <f t="shared" si="122"/>
        <v>43921</v>
      </c>
      <c r="C1407" s="1">
        <f t="shared" si="123"/>
        <v>3228</v>
      </c>
      <c r="D1407" s="1">
        <f t="shared" si="124"/>
        <v>511</v>
      </c>
      <c r="E1407" s="1">
        <f t="shared" si="125"/>
        <v>1735</v>
      </c>
      <c r="F1407" s="1"/>
      <c r="L1407" s="11">
        <v>43921</v>
      </c>
      <c r="M1407" s="9">
        <v>3228</v>
      </c>
      <c r="N1407" s="9">
        <v>511</v>
      </c>
      <c r="O1407" s="9">
        <v>1735</v>
      </c>
      <c r="P1407" s="9">
        <v>0</v>
      </c>
      <c r="R1407" s="11"/>
      <c r="S1407" s="9"/>
      <c r="T1407" s="9"/>
      <c r="U1407" s="9"/>
    </row>
    <row r="1408" spans="2:21" x14ac:dyDescent="0.4">
      <c r="B1408" s="16">
        <f t="shared" si="122"/>
        <v>43922</v>
      </c>
      <c r="C1408" s="1">
        <f t="shared" si="123"/>
        <v>3200</v>
      </c>
      <c r="D1408" s="1">
        <f t="shared" si="124"/>
        <v>481</v>
      </c>
      <c r="E1408" s="1">
        <f t="shared" si="125"/>
        <v>1735</v>
      </c>
      <c r="F1408" s="1"/>
      <c r="L1408" s="11">
        <v>43922</v>
      </c>
      <c r="M1408" s="9">
        <v>3200</v>
      </c>
      <c r="N1408" s="9">
        <v>481</v>
      </c>
      <c r="O1408" s="9">
        <v>1735</v>
      </c>
      <c r="P1408" s="9">
        <v>0</v>
      </c>
      <c r="R1408" s="11"/>
      <c r="S1408" s="9"/>
      <c r="T1408" s="9"/>
      <c r="U1408" s="9"/>
    </row>
    <row r="1409" spans="2:21" x14ac:dyDescent="0.4">
      <c r="B1409" s="16">
        <f t="shared" si="122"/>
        <v>43923</v>
      </c>
      <c r="C1409" s="1">
        <f t="shared" si="123"/>
        <v>3154</v>
      </c>
      <c r="D1409" s="1">
        <f t="shared" si="124"/>
        <v>481</v>
      </c>
      <c r="E1409" s="1">
        <f t="shared" si="125"/>
        <v>1730</v>
      </c>
      <c r="F1409" s="1"/>
      <c r="L1409" s="11">
        <v>43923</v>
      </c>
      <c r="M1409" s="9">
        <v>3154</v>
      </c>
      <c r="N1409" s="9">
        <v>481</v>
      </c>
      <c r="O1409" s="9">
        <v>1730</v>
      </c>
      <c r="P1409" s="9">
        <v>0</v>
      </c>
      <c r="R1409" s="11"/>
      <c r="S1409" s="9"/>
      <c r="T1409" s="9"/>
      <c r="U1409" s="9"/>
    </row>
    <row r="1410" spans="2:21" x14ac:dyDescent="0.4">
      <c r="B1410" s="16">
        <f t="shared" si="122"/>
        <v>43924</v>
      </c>
      <c r="C1410" s="1">
        <f t="shared" si="123"/>
        <v>3180</v>
      </c>
      <c r="D1410" s="1">
        <f t="shared" si="124"/>
        <v>451</v>
      </c>
      <c r="E1410" s="1">
        <f t="shared" si="125"/>
        <v>1730</v>
      </c>
      <c r="F1410" s="1"/>
      <c r="L1410" s="11">
        <v>43924</v>
      </c>
      <c r="M1410" s="9">
        <v>3180</v>
      </c>
      <c r="N1410" s="9">
        <v>451</v>
      </c>
      <c r="O1410" s="9">
        <v>1730</v>
      </c>
      <c r="P1410" s="9">
        <v>0</v>
      </c>
      <c r="R1410" s="11"/>
      <c r="S1410" s="9"/>
      <c r="T1410" s="9"/>
      <c r="U1410" s="9"/>
    </row>
    <row r="1411" spans="2:21" x14ac:dyDescent="0.4">
      <c r="B1411" s="16">
        <f t="shared" si="122"/>
        <v>43927</v>
      </c>
      <c r="C1411" s="1">
        <f t="shared" si="123"/>
        <v>3180</v>
      </c>
      <c r="D1411" s="1">
        <f t="shared" si="124"/>
        <v>451</v>
      </c>
      <c r="E1411" s="1">
        <f t="shared" si="125"/>
        <v>1730</v>
      </c>
      <c r="F1411" s="1"/>
      <c r="L1411" s="11">
        <v>43927</v>
      </c>
      <c r="M1411" s="9">
        <v>0</v>
      </c>
      <c r="N1411" s="9">
        <v>451</v>
      </c>
      <c r="O1411" s="9">
        <v>0</v>
      </c>
      <c r="P1411" s="9">
        <v>0</v>
      </c>
      <c r="R1411" s="11"/>
      <c r="S1411" s="9"/>
      <c r="T1411" s="9"/>
      <c r="U1411" s="9"/>
    </row>
    <row r="1412" spans="2:21" x14ac:dyDescent="0.4">
      <c r="B1412" s="16">
        <f t="shared" si="122"/>
        <v>43928</v>
      </c>
      <c r="C1412" s="1">
        <f t="shared" si="123"/>
        <v>3239</v>
      </c>
      <c r="D1412" s="1">
        <f t="shared" si="124"/>
        <v>411</v>
      </c>
      <c r="E1412" s="1">
        <f t="shared" si="125"/>
        <v>1720</v>
      </c>
      <c r="F1412" s="1"/>
      <c r="L1412" s="11">
        <v>43928</v>
      </c>
      <c r="M1412" s="9">
        <v>3239</v>
      </c>
      <c r="N1412" s="9">
        <v>411</v>
      </c>
      <c r="O1412" s="9">
        <v>1720</v>
      </c>
      <c r="P1412" s="9">
        <v>0</v>
      </c>
      <c r="R1412" s="11"/>
      <c r="S1412" s="9"/>
      <c r="T1412" s="9"/>
      <c r="U1412" s="9"/>
    </row>
    <row r="1413" spans="2:21" x14ac:dyDescent="0.4">
      <c r="B1413" s="16">
        <f t="shared" si="122"/>
        <v>43929</v>
      </c>
      <c r="C1413" s="1">
        <f t="shared" si="123"/>
        <v>3264</v>
      </c>
      <c r="D1413" s="1">
        <f t="shared" si="124"/>
        <v>411</v>
      </c>
      <c r="E1413" s="1">
        <f t="shared" si="125"/>
        <v>1720</v>
      </c>
      <c r="F1413" s="1"/>
      <c r="L1413" s="11">
        <v>43929</v>
      </c>
      <c r="M1413" s="9">
        <v>3264</v>
      </c>
      <c r="N1413" s="9">
        <v>411</v>
      </c>
      <c r="O1413" s="9">
        <v>1720</v>
      </c>
      <c r="P1413" s="9">
        <v>0</v>
      </c>
      <c r="R1413" s="11"/>
      <c r="S1413" s="9"/>
      <c r="T1413" s="9"/>
      <c r="U1413" s="9"/>
    </row>
    <row r="1414" spans="2:21" x14ac:dyDescent="0.4">
      <c r="B1414" s="16">
        <f t="shared" ref="B1414:B1477" si="126">L1414</f>
        <v>43930</v>
      </c>
      <c r="C1414" s="1">
        <f t="shared" si="123"/>
        <v>3287</v>
      </c>
      <c r="D1414" s="1">
        <f t="shared" si="124"/>
        <v>411</v>
      </c>
      <c r="E1414" s="1">
        <f t="shared" si="125"/>
        <v>1720</v>
      </c>
      <c r="F1414" s="1"/>
      <c r="L1414" s="11">
        <v>43930</v>
      </c>
      <c r="M1414" s="9">
        <v>3287</v>
      </c>
      <c r="N1414" s="9">
        <v>411</v>
      </c>
      <c r="O1414" s="9">
        <v>1720</v>
      </c>
      <c r="P1414" s="9">
        <v>0</v>
      </c>
      <c r="R1414" s="11"/>
      <c r="S1414" s="9"/>
      <c r="T1414" s="9"/>
      <c r="U1414" s="9"/>
    </row>
    <row r="1415" spans="2:21" x14ac:dyDescent="0.4">
      <c r="B1415" s="16">
        <f t="shared" si="126"/>
        <v>43931</v>
      </c>
      <c r="C1415" s="1">
        <f t="shared" ref="C1415:C1478" si="127">IF(M1415&lt;&gt;0,M1415,C1414)</f>
        <v>3303</v>
      </c>
      <c r="D1415" s="1">
        <f t="shared" ref="D1415:D1478" si="128">IF(N1415&lt;&gt;0,N1415,D1414)</f>
        <v>411</v>
      </c>
      <c r="E1415" s="1">
        <f t="shared" ref="E1415:E1478" si="129">IF(O1415&lt;&gt;0,O1415,E1414)</f>
        <v>1720</v>
      </c>
      <c r="F1415" s="1"/>
      <c r="L1415" s="11">
        <v>43931</v>
      </c>
      <c r="M1415" s="9">
        <v>3303</v>
      </c>
      <c r="N1415" s="9">
        <v>411</v>
      </c>
      <c r="O1415" s="9">
        <v>1720</v>
      </c>
      <c r="P1415" s="9">
        <v>0</v>
      </c>
      <c r="R1415" s="11"/>
      <c r="S1415" s="9"/>
      <c r="T1415" s="9"/>
      <c r="U1415" s="9"/>
    </row>
    <row r="1416" spans="2:21" x14ac:dyDescent="0.4">
      <c r="B1416" s="16">
        <f t="shared" si="126"/>
        <v>43934</v>
      </c>
      <c r="C1416" s="1">
        <f t="shared" si="127"/>
        <v>3403</v>
      </c>
      <c r="D1416" s="1">
        <f t="shared" si="128"/>
        <v>441</v>
      </c>
      <c r="E1416" s="1">
        <f t="shared" si="129"/>
        <v>1730</v>
      </c>
      <c r="F1416" s="1"/>
      <c r="L1416" s="11">
        <v>43934</v>
      </c>
      <c r="M1416" s="9">
        <v>3403</v>
      </c>
      <c r="N1416" s="9">
        <v>441</v>
      </c>
      <c r="O1416" s="9">
        <v>1730</v>
      </c>
      <c r="P1416" s="9">
        <v>0</v>
      </c>
      <c r="R1416" s="11"/>
      <c r="S1416" s="9"/>
      <c r="T1416" s="9"/>
      <c r="U1416" s="9"/>
    </row>
    <row r="1417" spans="2:21" x14ac:dyDescent="0.4">
      <c r="B1417" s="16">
        <f t="shared" si="126"/>
        <v>43935</v>
      </c>
      <c r="C1417" s="1">
        <f t="shared" si="127"/>
        <v>3438</v>
      </c>
      <c r="D1417" s="1">
        <f t="shared" si="128"/>
        <v>441</v>
      </c>
      <c r="E1417" s="1">
        <f t="shared" si="129"/>
        <v>1750</v>
      </c>
      <c r="F1417" s="1"/>
      <c r="L1417" s="11">
        <v>43935</v>
      </c>
      <c r="M1417" s="9">
        <v>3438</v>
      </c>
      <c r="N1417" s="9">
        <v>441</v>
      </c>
      <c r="O1417" s="9">
        <v>1750</v>
      </c>
      <c r="P1417" s="9">
        <v>0</v>
      </c>
      <c r="R1417" s="11"/>
      <c r="S1417" s="9"/>
      <c r="T1417" s="9"/>
      <c r="U1417" s="9"/>
    </row>
    <row r="1418" spans="2:21" x14ac:dyDescent="0.4">
      <c r="B1418" s="16">
        <f t="shared" si="126"/>
        <v>43936</v>
      </c>
      <c r="C1418" s="1">
        <f t="shared" si="127"/>
        <v>3402</v>
      </c>
      <c r="D1418" s="1">
        <f t="shared" si="128"/>
        <v>431</v>
      </c>
      <c r="E1418" s="1">
        <f t="shared" si="129"/>
        <v>1750</v>
      </c>
      <c r="F1418" s="1"/>
      <c r="L1418" s="11">
        <v>43936</v>
      </c>
      <c r="M1418" s="9">
        <v>3402</v>
      </c>
      <c r="N1418" s="9">
        <v>431</v>
      </c>
      <c r="O1418" s="9">
        <v>1750</v>
      </c>
      <c r="P1418" s="9">
        <v>0</v>
      </c>
      <c r="R1418" s="11"/>
      <c r="S1418" s="9"/>
      <c r="T1418" s="9"/>
      <c r="U1418" s="9"/>
    </row>
    <row r="1419" spans="2:21" x14ac:dyDescent="0.4">
      <c r="B1419" s="16">
        <f t="shared" si="126"/>
        <v>43937</v>
      </c>
      <c r="C1419" s="1">
        <f t="shared" si="127"/>
        <v>3375</v>
      </c>
      <c r="D1419" s="1">
        <f t="shared" si="128"/>
        <v>401</v>
      </c>
      <c r="E1419" s="1">
        <f t="shared" si="129"/>
        <v>1750</v>
      </c>
      <c r="F1419" s="1"/>
      <c r="L1419" s="11">
        <v>43937</v>
      </c>
      <c r="M1419" s="9">
        <v>3375</v>
      </c>
      <c r="N1419" s="9">
        <v>401</v>
      </c>
      <c r="O1419" s="9">
        <v>1750</v>
      </c>
      <c r="P1419" s="9">
        <v>0</v>
      </c>
      <c r="R1419" s="11"/>
      <c r="S1419" s="9"/>
      <c r="T1419" s="9"/>
      <c r="U1419" s="9"/>
    </row>
    <row r="1420" spans="2:21" x14ac:dyDescent="0.4">
      <c r="B1420" s="16">
        <f t="shared" si="126"/>
        <v>43938</v>
      </c>
      <c r="C1420" s="1">
        <f t="shared" si="127"/>
        <v>3353</v>
      </c>
      <c r="D1420" s="1">
        <f t="shared" si="128"/>
        <v>396</v>
      </c>
      <c r="E1420" s="1">
        <f t="shared" si="129"/>
        <v>1750</v>
      </c>
      <c r="F1420" s="1"/>
      <c r="L1420" s="11">
        <v>43938</v>
      </c>
      <c r="M1420" s="9">
        <v>3353</v>
      </c>
      <c r="N1420" s="9">
        <v>396</v>
      </c>
      <c r="O1420" s="9">
        <v>1750</v>
      </c>
      <c r="P1420" s="9">
        <v>0</v>
      </c>
      <c r="R1420" s="11"/>
      <c r="S1420" s="9"/>
      <c r="T1420" s="9"/>
      <c r="U1420" s="9"/>
    </row>
    <row r="1421" spans="2:21" x14ac:dyDescent="0.4">
      <c r="B1421" s="16">
        <f t="shared" si="126"/>
        <v>43941</v>
      </c>
      <c r="C1421" s="1">
        <f t="shared" si="127"/>
        <v>3332</v>
      </c>
      <c r="D1421" s="1">
        <f t="shared" si="128"/>
        <v>386</v>
      </c>
      <c r="E1421" s="1">
        <f t="shared" si="129"/>
        <v>1750</v>
      </c>
      <c r="F1421" s="1"/>
      <c r="L1421" s="11">
        <v>43941</v>
      </c>
      <c r="M1421" s="9">
        <v>3332</v>
      </c>
      <c r="N1421" s="9">
        <v>386</v>
      </c>
      <c r="O1421" s="9">
        <v>1750</v>
      </c>
      <c r="P1421" s="9">
        <v>0</v>
      </c>
      <c r="R1421" s="11"/>
      <c r="S1421" s="9"/>
      <c r="T1421" s="9"/>
      <c r="U1421" s="9"/>
    </row>
    <row r="1422" spans="2:21" x14ac:dyDescent="0.4">
      <c r="B1422" s="16">
        <f t="shared" si="126"/>
        <v>43942</v>
      </c>
      <c r="C1422" s="1">
        <f t="shared" si="127"/>
        <v>3288</v>
      </c>
      <c r="D1422" s="1">
        <f t="shared" si="128"/>
        <v>331</v>
      </c>
      <c r="E1422" s="1">
        <f t="shared" si="129"/>
        <v>1745</v>
      </c>
      <c r="F1422" s="1"/>
      <c r="L1422" s="11">
        <v>43942</v>
      </c>
      <c r="M1422" s="9">
        <v>3288</v>
      </c>
      <c r="N1422" s="9">
        <v>331</v>
      </c>
      <c r="O1422" s="9">
        <v>1745</v>
      </c>
      <c r="P1422" s="9">
        <v>0</v>
      </c>
      <c r="R1422" s="11"/>
      <c r="S1422" s="9"/>
      <c r="T1422" s="9"/>
      <c r="U1422" s="9"/>
    </row>
    <row r="1423" spans="2:21" x14ac:dyDescent="0.4">
      <c r="B1423" s="16">
        <f t="shared" si="126"/>
        <v>43943</v>
      </c>
      <c r="C1423" s="1">
        <f t="shared" si="127"/>
        <v>3225</v>
      </c>
      <c r="D1423" s="1">
        <f t="shared" si="128"/>
        <v>331</v>
      </c>
      <c r="E1423" s="1">
        <f t="shared" si="129"/>
        <v>1740</v>
      </c>
      <c r="F1423" s="1"/>
      <c r="L1423" s="11">
        <v>43943</v>
      </c>
      <c r="M1423" s="9">
        <v>3225</v>
      </c>
      <c r="N1423" s="9">
        <v>331</v>
      </c>
      <c r="O1423" s="9">
        <v>1740</v>
      </c>
      <c r="P1423" s="9">
        <v>0</v>
      </c>
      <c r="R1423" s="11"/>
      <c r="S1423" s="9"/>
      <c r="T1423" s="9"/>
      <c r="U1423" s="9"/>
    </row>
    <row r="1424" spans="2:21" x14ac:dyDescent="0.4">
      <c r="B1424" s="16">
        <f t="shared" si="126"/>
        <v>43944</v>
      </c>
      <c r="C1424" s="1">
        <f t="shared" si="127"/>
        <v>3215</v>
      </c>
      <c r="D1424" s="1">
        <f t="shared" si="128"/>
        <v>331</v>
      </c>
      <c r="E1424" s="1">
        <f t="shared" si="129"/>
        <v>1735</v>
      </c>
      <c r="F1424" s="1"/>
      <c r="L1424" s="11">
        <v>43944</v>
      </c>
      <c r="M1424" s="9">
        <v>3215</v>
      </c>
      <c r="N1424" s="9">
        <v>331</v>
      </c>
      <c r="O1424" s="9">
        <v>1735</v>
      </c>
      <c r="P1424" s="9">
        <v>0</v>
      </c>
      <c r="R1424" s="11"/>
      <c r="S1424" s="9"/>
      <c r="T1424" s="9"/>
      <c r="U1424" s="9"/>
    </row>
    <row r="1425" spans="2:21" x14ac:dyDescent="0.4">
      <c r="B1425" s="16">
        <f t="shared" si="126"/>
        <v>43945</v>
      </c>
      <c r="C1425" s="1">
        <f t="shared" si="127"/>
        <v>3247</v>
      </c>
      <c r="D1425" s="1">
        <f t="shared" si="128"/>
        <v>356</v>
      </c>
      <c r="E1425" s="1">
        <f t="shared" si="129"/>
        <v>1730</v>
      </c>
      <c r="F1425" s="1"/>
      <c r="L1425" s="11">
        <v>43945</v>
      </c>
      <c r="M1425" s="9">
        <v>3247</v>
      </c>
      <c r="N1425" s="9">
        <v>356</v>
      </c>
      <c r="O1425" s="9">
        <v>1730</v>
      </c>
      <c r="P1425" s="9">
        <v>0</v>
      </c>
      <c r="R1425" s="11"/>
      <c r="S1425" s="9"/>
      <c r="T1425" s="9"/>
      <c r="U1425" s="9"/>
    </row>
    <row r="1426" spans="2:21" x14ac:dyDescent="0.4">
      <c r="B1426" s="16">
        <f t="shared" si="126"/>
        <v>43947</v>
      </c>
      <c r="C1426" s="1">
        <f t="shared" si="127"/>
        <v>3245</v>
      </c>
      <c r="D1426" s="1">
        <f t="shared" si="128"/>
        <v>356</v>
      </c>
      <c r="E1426" s="1">
        <f t="shared" si="129"/>
        <v>1730</v>
      </c>
      <c r="F1426" s="1"/>
      <c r="L1426" s="11">
        <v>43947</v>
      </c>
      <c r="M1426" s="9">
        <v>3245</v>
      </c>
      <c r="N1426" s="9">
        <v>0</v>
      </c>
      <c r="O1426" s="9">
        <v>1730</v>
      </c>
      <c r="P1426" s="9">
        <v>0</v>
      </c>
      <c r="R1426" s="11"/>
      <c r="S1426" s="9"/>
      <c r="T1426" s="9"/>
      <c r="U1426" s="9"/>
    </row>
    <row r="1427" spans="2:21" x14ac:dyDescent="0.4">
      <c r="B1427" s="16">
        <f t="shared" si="126"/>
        <v>43948</v>
      </c>
      <c r="C1427" s="1">
        <f t="shared" si="127"/>
        <v>3258</v>
      </c>
      <c r="D1427" s="1">
        <f t="shared" si="128"/>
        <v>356</v>
      </c>
      <c r="E1427" s="1">
        <f t="shared" si="129"/>
        <v>1730</v>
      </c>
      <c r="F1427" s="1"/>
      <c r="L1427" s="11">
        <v>43948</v>
      </c>
      <c r="M1427" s="9">
        <v>3258</v>
      </c>
      <c r="N1427" s="9">
        <v>356</v>
      </c>
      <c r="O1427" s="9">
        <v>1730</v>
      </c>
      <c r="P1427" s="9">
        <v>0</v>
      </c>
      <c r="R1427" s="11"/>
      <c r="S1427" s="9"/>
      <c r="T1427" s="9"/>
      <c r="U1427" s="9"/>
    </row>
    <row r="1428" spans="2:21" x14ac:dyDescent="0.4">
      <c r="B1428" s="16">
        <f t="shared" si="126"/>
        <v>43949</v>
      </c>
      <c r="C1428" s="1">
        <f t="shared" si="127"/>
        <v>3252</v>
      </c>
      <c r="D1428" s="1">
        <f t="shared" si="128"/>
        <v>366</v>
      </c>
      <c r="E1428" s="1">
        <f t="shared" si="129"/>
        <v>1720</v>
      </c>
      <c r="F1428" s="1"/>
      <c r="L1428" s="11">
        <v>43949</v>
      </c>
      <c r="M1428" s="9">
        <v>3252</v>
      </c>
      <c r="N1428" s="9">
        <v>366</v>
      </c>
      <c r="O1428" s="9">
        <v>1720</v>
      </c>
      <c r="P1428" s="9">
        <v>0</v>
      </c>
      <c r="R1428" s="11"/>
      <c r="S1428" s="9"/>
      <c r="T1428" s="9"/>
      <c r="U1428" s="9"/>
    </row>
    <row r="1429" spans="2:21" x14ac:dyDescent="0.4">
      <c r="B1429" s="16">
        <f t="shared" si="126"/>
        <v>43950</v>
      </c>
      <c r="C1429" s="1">
        <f t="shared" si="127"/>
        <v>3255</v>
      </c>
      <c r="D1429" s="1">
        <f t="shared" si="128"/>
        <v>376</v>
      </c>
      <c r="E1429" s="1">
        <f t="shared" si="129"/>
        <v>1715</v>
      </c>
      <c r="F1429" s="1"/>
      <c r="L1429" s="11">
        <v>43950</v>
      </c>
      <c r="M1429" s="9">
        <v>3255</v>
      </c>
      <c r="N1429" s="9">
        <v>376</v>
      </c>
      <c r="O1429" s="9">
        <v>1715</v>
      </c>
      <c r="P1429" s="9">
        <v>0</v>
      </c>
      <c r="R1429" s="11"/>
      <c r="S1429" s="9"/>
      <c r="T1429" s="9"/>
      <c r="U1429" s="9"/>
    </row>
    <row r="1430" spans="2:21" x14ac:dyDescent="0.4">
      <c r="B1430" s="16">
        <f t="shared" si="126"/>
        <v>43951</v>
      </c>
      <c r="C1430" s="1">
        <f t="shared" si="127"/>
        <v>3273</v>
      </c>
      <c r="D1430" s="1">
        <f t="shared" si="128"/>
        <v>376</v>
      </c>
      <c r="E1430" s="1">
        <f t="shared" si="129"/>
        <v>1715</v>
      </c>
      <c r="F1430" s="1"/>
      <c r="L1430" s="11">
        <v>43951</v>
      </c>
      <c r="M1430" s="9">
        <v>3273</v>
      </c>
      <c r="N1430" s="9">
        <v>376</v>
      </c>
      <c r="O1430" s="9">
        <v>1715</v>
      </c>
      <c r="P1430" s="9">
        <v>0</v>
      </c>
      <c r="R1430" s="11"/>
      <c r="S1430" s="9"/>
      <c r="T1430" s="9"/>
      <c r="U1430" s="9"/>
    </row>
    <row r="1431" spans="2:21" x14ac:dyDescent="0.4">
      <c r="B1431" s="16">
        <f t="shared" si="126"/>
        <v>43952</v>
      </c>
      <c r="C1431" s="1">
        <f t="shared" si="127"/>
        <v>3273</v>
      </c>
      <c r="D1431" s="1">
        <f t="shared" si="128"/>
        <v>376</v>
      </c>
      <c r="E1431" s="1">
        <f t="shared" si="129"/>
        <v>1715</v>
      </c>
      <c r="F1431" s="1"/>
      <c r="L1431" s="11">
        <v>43952</v>
      </c>
      <c r="M1431" s="9">
        <v>0</v>
      </c>
      <c r="N1431" s="9">
        <v>376</v>
      </c>
      <c r="O1431" s="9">
        <v>0</v>
      </c>
      <c r="P1431" s="9">
        <v>0</v>
      </c>
      <c r="R1431" s="11"/>
      <c r="S1431" s="9"/>
      <c r="T1431" s="9"/>
      <c r="U1431" s="9"/>
    </row>
    <row r="1432" spans="2:21" x14ac:dyDescent="0.4">
      <c r="B1432" s="16">
        <f t="shared" si="126"/>
        <v>43955</v>
      </c>
      <c r="C1432" s="1">
        <f t="shared" si="127"/>
        <v>3273</v>
      </c>
      <c r="D1432" s="1">
        <f t="shared" si="128"/>
        <v>376</v>
      </c>
      <c r="E1432" s="1">
        <f t="shared" si="129"/>
        <v>1715</v>
      </c>
      <c r="F1432" s="1"/>
      <c r="L1432" s="11">
        <v>43955</v>
      </c>
      <c r="M1432" s="9">
        <v>0</v>
      </c>
      <c r="N1432" s="9">
        <v>376</v>
      </c>
      <c r="O1432" s="9">
        <v>0</v>
      </c>
      <c r="P1432" s="9">
        <v>0</v>
      </c>
      <c r="R1432" s="11"/>
      <c r="S1432" s="9"/>
      <c r="T1432" s="9"/>
      <c r="U1432" s="9"/>
    </row>
    <row r="1433" spans="2:21" x14ac:dyDescent="0.4">
      <c r="B1433" s="16">
        <f t="shared" si="126"/>
        <v>43956</v>
      </c>
      <c r="C1433" s="1">
        <f t="shared" si="127"/>
        <v>3273</v>
      </c>
      <c r="D1433" s="1">
        <f t="shared" si="128"/>
        <v>376</v>
      </c>
      <c r="E1433" s="1">
        <f t="shared" si="129"/>
        <v>1715</v>
      </c>
      <c r="F1433" s="1"/>
      <c r="L1433" s="11">
        <v>43956</v>
      </c>
      <c r="M1433" s="9">
        <v>0</v>
      </c>
      <c r="N1433" s="9">
        <v>376</v>
      </c>
      <c r="O1433" s="9">
        <v>0</v>
      </c>
      <c r="P1433" s="9">
        <v>0</v>
      </c>
      <c r="R1433" s="11"/>
      <c r="S1433" s="9"/>
      <c r="T1433" s="9"/>
      <c r="U1433" s="9"/>
    </row>
    <row r="1434" spans="2:21" x14ac:dyDescent="0.4">
      <c r="B1434" s="16">
        <f t="shared" si="126"/>
        <v>43957</v>
      </c>
      <c r="C1434" s="1">
        <f t="shared" si="127"/>
        <v>3313</v>
      </c>
      <c r="D1434" s="1">
        <f t="shared" si="128"/>
        <v>416</v>
      </c>
      <c r="E1434" s="1">
        <f t="shared" si="129"/>
        <v>1715</v>
      </c>
      <c r="F1434" s="1"/>
      <c r="L1434" s="11">
        <v>43957</v>
      </c>
      <c r="M1434" s="9">
        <v>3313</v>
      </c>
      <c r="N1434" s="9">
        <v>416</v>
      </c>
      <c r="O1434" s="9">
        <v>1715</v>
      </c>
      <c r="P1434" s="9">
        <v>0</v>
      </c>
      <c r="R1434" s="11"/>
      <c r="S1434" s="9"/>
      <c r="T1434" s="9"/>
      <c r="U1434" s="9"/>
    </row>
    <row r="1435" spans="2:21" x14ac:dyDescent="0.4">
      <c r="B1435" s="16">
        <f t="shared" si="126"/>
        <v>43958</v>
      </c>
      <c r="C1435" s="1">
        <f t="shared" si="127"/>
        <v>3335</v>
      </c>
      <c r="D1435" s="1">
        <f t="shared" si="128"/>
        <v>416</v>
      </c>
      <c r="E1435" s="1">
        <f t="shared" si="129"/>
        <v>1700</v>
      </c>
      <c r="F1435" s="1"/>
      <c r="L1435" s="11">
        <v>43958</v>
      </c>
      <c r="M1435" s="9">
        <v>3335</v>
      </c>
      <c r="N1435" s="9">
        <v>416</v>
      </c>
      <c r="O1435" s="9">
        <v>1700</v>
      </c>
      <c r="P1435" s="9">
        <v>0</v>
      </c>
      <c r="R1435" s="11"/>
      <c r="S1435" s="9"/>
      <c r="T1435" s="9"/>
      <c r="U1435" s="9"/>
    </row>
    <row r="1436" spans="2:21" x14ac:dyDescent="0.4">
      <c r="B1436" s="16">
        <f t="shared" si="126"/>
        <v>43959</v>
      </c>
      <c r="C1436" s="1">
        <f t="shared" si="127"/>
        <v>3338</v>
      </c>
      <c r="D1436" s="1">
        <f t="shared" si="128"/>
        <v>456</v>
      </c>
      <c r="E1436" s="1">
        <f t="shared" si="129"/>
        <v>1700</v>
      </c>
      <c r="F1436" s="1"/>
      <c r="L1436" s="11">
        <v>43959</v>
      </c>
      <c r="M1436" s="9">
        <v>3338</v>
      </c>
      <c r="N1436" s="9">
        <v>456</v>
      </c>
      <c r="O1436" s="9">
        <v>1700</v>
      </c>
      <c r="P1436" s="9">
        <v>0</v>
      </c>
      <c r="R1436" s="11"/>
      <c r="S1436" s="9"/>
      <c r="T1436" s="9"/>
      <c r="U1436" s="9"/>
    </row>
    <row r="1437" spans="2:21" x14ac:dyDescent="0.4">
      <c r="B1437" s="16">
        <f t="shared" si="126"/>
        <v>43960</v>
      </c>
      <c r="C1437" s="1">
        <f t="shared" si="127"/>
        <v>3345</v>
      </c>
      <c r="D1437" s="1">
        <f t="shared" si="128"/>
        <v>456</v>
      </c>
      <c r="E1437" s="1">
        <f t="shared" si="129"/>
        <v>1695</v>
      </c>
      <c r="F1437" s="1"/>
      <c r="L1437" s="11">
        <v>43960</v>
      </c>
      <c r="M1437" s="9">
        <v>3345</v>
      </c>
      <c r="N1437" s="9">
        <v>0</v>
      </c>
      <c r="O1437" s="9">
        <v>1695</v>
      </c>
      <c r="P1437" s="9">
        <v>0</v>
      </c>
      <c r="R1437" s="11"/>
      <c r="S1437" s="9"/>
      <c r="T1437" s="9"/>
      <c r="U1437" s="9"/>
    </row>
    <row r="1438" spans="2:21" x14ac:dyDescent="0.4">
      <c r="B1438" s="16">
        <f t="shared" si="126"/>
        <v>43962</v>
      </c>
      <c r="C1438" s="1">
        <f t="shared" si="127"/>
        <v>3364</v>
      </c>
      <c r="D1438" s="1">
        <f t="shared" si="128"/>
        <v>456</v>
      </c>
      <c r="E1438" s="1">
        <f t="shared" si="129"/>
        <v>1690</v>
      </c>
      <c r="F1438" s="1"/>
      <c r="L1438" s="11">
        <v>43962</v>
      </c>
      <c r="M1438" s="9">
        <v>3364</v>
      </c>
      <c r="N1438" s="9">
        <v>456</v>
      </c>
      <c r="O1438" s="9">
        <v>1690</v>
      </c>
      <c r="P1438" s="9">
        <v>0</v>
      </c>
      <c r="R1438" s="11"/>
      <c r="S1438" s="9"/>
      <c r="T1438" s="9"/>
      <c r="U1438" s="9"/>
    </row>
    <row r="1439" spans="2:21" x14ac:dyDescent="0.4">
      <c r="B1439" s="16">
        <f t="shared" si="126"/>
        <v>43963</v>
      </c>
      <c r="C1439" s="1">
        <f t="shared" si="127"/>
        <v>3362</v>
      </c>
      <c r="D1439" s="1">
        <f t="shared" si="128"/>
        <v>506</v>
      </c>
      <c r="E1439" s="1">
        <f t="shared" si="129"/>
        <v>1675</v>
      </c>
      <c r="F1439" s="1"/>
      <c r="L1439" s="11">
        <v>43963</v>
      </c>
      <c r="M1439" s="9">
        <v>3362</v>
      </c>
      <c r="N1439" s="9">
        <v>506</v>
      </c>
      <c r="O1439" s="9">
        <v>1675</v>
      </c>
      <c r="P1439" s="9">
        <v>0</v>
      </c>
      <c r="R1439" s="11"/>
      <c r="S1439" s="9"/>
      <c r="T1439" s="9"/>
      <c r="U1439" s="9"/>
    </row>
    <row r="1440" spans="2:21" x14ac:dyDescent="0.4">
      <c r="B1440" s="16">
        <f t="shared" si="126"/>
        <v>43964</v>
      </c>
      <c r="C1440" s="1">
        <f t="shared" si="127"/>
        <v>3347</v>
      </c>
      <c r="D1440" s="1">
        <f t="shared" si="128"/>
        <v>571</v>
      </c>
      <c r="E1440" s="1">
        <f t="shared" si="129"/>
        <v>1665</v>
      </c>
      <c r="F1440" s="1"/>
      <c r="L1440" s="11">
        <v>43964</v>
      </c>
      <c r="M1440" s="9">
        <v>3347</v>
      </c>
      <c r="N1440" s="9">
        <v>571</v>
      </c>
      <c r="O1440" s="9">
        <v>1665</v>
      </c>
      <c r="P1440" s="9">
        <v>0</v>
      </c>
      <c r="R1440" s="11"/>
      <c r="S1440" s="9"/>
      <c r="T1440" s="9"/>
      <c r="U1440" s="9"/>
    </row>
    <row r="1441" spans="2:21" x14ac:dyDescent="0.4">
      <c r="B1441" s="16">
        <f t="shared" si="126"/>
        <v>43965</v>
      </c>
      <c r="C1441" s="1">
        <f t="shared" si="127"/>
        <v>3340</v>
      </c>
      <c r="D1441" s="1">
        <f t="shared" si="128"/>
        <v>581</v>
      </c>
      <c r="E1441" s="1">
        <f t="shared" si="129"/>
        <v>1665</v>
      </c>
      <c r="F1441" s="1"/>
      <c r="L1441" s="11">
        <v>43965</v>
      </c>
      <c r="M1441" s="9">
        <v>3340</v>
      </c>
      <c r="N1441" s="9">
        <v>581</v>
      </c>
      <c r="O1441" s="9">
        <v>1665</v>
      </c>
      <c r="P1441" s="9">
        <v>0</v>
      </c>
      <c r="R1441" s="11"/>
      <c r="S1441" s="9"/>
      <c r="T1441" s="9"/>
      <c r="U1441" s="9"/>
    </row>
    <row r="1442" spans="2:21" x14ac:dyDescent="0.4">
      <c r="B1442" s="16">
        <f t="shared" si="126"/>
        <v>43966</v>
      </c>
      <c r="C1442" s="1">
        <f t="shared" si="127"/>
        <v>3351</v>
      </c>
      <c r="D1442" s="1">
        <f t="shared" si="128"/>
        <v>581</v>
      </c>
      <c r="E1442" s="1">
        <f t="shared" si="129"/>
        <v>1665</v>
      </c>
      <c r="F1442" s="1"/>
      <c r="L1442" s="11">
        <v>43966</v>
      </c>
      <c r="M1442" s="9">
        <v>3351</v>
      </c>
      <c r="N1442" s="9">
        <v>581</v>
      </c>
      <c r="O1442" s="9">
        <v>1665</v>
      </c>
      <c r="P1442" s="9">
        <v>0</v>
      </c>
      <c r="R1442" s="11"/>
      <c r="S1442" s="9"/>
      <c r="T1442" s="9"/>
      <c r="U1442" s="9"/>
    </row>
    <row r="1443" spans="2:21" x14ac:dyDescent="0.4">
      <c r="B1443" s="16">
        <f t="shared" si="126"/>
        <v>43969</v>
      </c>
      <c r="C1443" s="1">
        <f t="shared" si="127"/>
        <v>3386</v>
      </c>
      <c r="D1443" s="1">
        <f t="shared" si="128"/>
        <v>601</v>
      </c>
      <c r="E1443" s="1">
        <f t="shared" si="129"/>
        <v>1660</v>
      </c>
      <c r="F1443" s="1"/>
      <c r="L1443" s="11">
        <v>43969</v>
      </c>
      <c r="M1443" s="9">
        <v>3386</v>
      </c>
      <c r="N1443" s="9">
        <v>601</v>
      </c>
      <c r="O1443" s="9">
        <v>1660</v>
      </c>
      <c r="P1443" s="9">
        <v>0</v>
      </c>
      <c r="R1443" s="11"/>
      <c r="S1443" s="9"/>
      <c r="T1443" s="9"/>
      <c r="U1443" s="9"/>
    </row>
    <row r="1444" spans="2:21" x14ac:dyDescent="0.4">
      <c r="B1444" s="16">
        <f t="shared" si="126"/>
        <v>43970</v>
      </c>
      <c r="C1444" s="1">
        <f t="shared" si="127"/>
        <v>3411</v>
      </c>
      <c r="D1444" s="1">
        <f t="shared" si="128"/>
        <v>606</v>
      </c>
      <c r="E1444" s="1">
        <f t="shared" si="129"/>
        <v>1670</v>
      </c>
      <c r="F1444" s="1"/>
      <c r="L1444" s="11">
        <v>43970</v>
      </c>
      <c r="M1444" s="9">
        <v>3411</v>
      </c>
      <c r="N1444" s="9">
        <v>606</v>
      </c>
      <c r="O1444" s="9">
        <v>1670</v>
      </c>
      <c r="P1444" s="9">
        <v>0</v>
      </c>
      <c r="R1444" s="11"/>
      <c r="S1444" s="9"/>
      <c r="T1444" s="9"/>
      <c r="U1444" s="9"/>
    </row>
    <row r="1445" spans="2:21" x14ac:dyDescent="0.4">
      <c r="B1445" s="16">
        <f t="shared" si="126"/>
        <v>43971</v>
      </c>
      <c r="C1445" s="1">
        <f t="shared" si="127"/>
        <v>3432</v>
      </c>
      <c r="D1445" s="1">
        <f t="shared" si="128"/>
        <v>616</v>
      </c>
      <c r="E1445" s="1">
        <f t="shared" si="129"/>
        <v>1670</v>
      </c>
      <c r="F1445" s="1"/>
      <c r="L1445" s="11">
        <v>43971</v>
      </c>
      <c r="M1445" s="9">
        <v>3432</v>
      </c>
      <c r="N1445" s="9">
        <v>616</v>
      </c>
      <c r="O1445" s="9">
        <v>1670</v>
      </c>
      <c r="P1445" s="9">
        <v>0</v>
      </c>
      <c r="R1445" s="11"/>
      <c r="S1445" s="9"/>
      <c r="T1445" s="9"/>
      <c r="U1445" s="9"/>
    </row>
    <row r="1446" spans="2:21" x14ac:dyDescent="0.4">
      <c r="B1446" s="16">
        <f t="shared" si="126"/>
        <v>43972</v>
      </c>
      <c r="C1446" s="1">
        <f t="shared" si="127"/>
        <v>3443</v>
      </c>
      <c r="D1446" s="1">
        <f t="shared" si="128"/>
        <v>616</v>
      </c>
      <c r="E1446" s="1">
        <f t="shared" si="129"/>
        <v>1670</v>
      </c>
      <c r="F1446" s="1"/>
      <c r="L1446" s="11">
        <v>43972</v>
      </c>
      <c r="M1446" s="9">
        <v>3443</v>
      </c>
      <c r="N1446" s="9">
        <v>616</v>
      </c>
      <c r="O1446" s="9">
        <v>1670</v>
      </c>
      <c r="P1446" s="9">
        <v>0</v>
      </c>
      <c r="R1446" s="11"/>
      <c r="S1446" s="9"/>
      <c r="T1446" s="9"/>
      <c r="U1446" s="9"/>
    </row>
    <row r="1447" spans="2:21" x14ac:dyDescent="0.4">
      <c r="B1447" s="16">
        <f t="shared" si="126"/>
        <v>43973</v>
      </c>
      <c r="C1447" s="1">
        <f t="shared" si="127"/>
        <v>3436</v>
      </c>
      <c r="D1447" s="1">
        <f t="shared" si="128"/>
        <v>676</v>
      </c>
      <c r="E1447" s="1">
        <f t="shared" si="129"/>
        <v>1670</v>
      </c>
      <c r="F1447" s="1"/>
      <c r="L1447" s="11">
        <v>43973</v>
      </c>
      <c r="M1447" s="9">
        <v>3436</v>
      </c>
      <c r="N1447" s="9">
        <v>676</v>
      </c>
      <c r="O1447" s="9">
        <v>1670</v>
      </c>
      <c r="P1447" s="9">
        <v>0</v>
      </c>
      <c r="R1447" s="11"/>
      <c r="S1447" s="9"/>
      <c r="T1447" s="9"/>
      <c r="U1447" s="9"/>
    </row>
    <row r="1448" spans="2:21" x14ac:dyDescent="0.4">
      <c r="B1448" s="16">
        <f t="shared" si="126"/>
        <v>43976</v>
      </c>
      <c r="C1448" s="1">
        <f t="shared" si="127"/>
        <v>3423</v>
      </c>
      <c r="D1448" s="1">
        <f t="shared" si="128"/>
        <v>676</v>
      </c>
      <c r="E1448" s="1">
        <f t="shared" si="129"/>
        <v>1670</v>
      </c>
      <c r="F1448" s="1"/>
      <c r="L1448" s="11">
        <v>43976</v>
      </c>
      <c r="M1448" s="9">
        <v>3423</v>
      </c>
      <c r="N1448" s="9">
        <v>676</v>
      </c>
      <c r="O1448" s="9">
        <v>1670</v>
      </c>
      <c r="P1448" s="9">
        <v>0</v>
      </c>
      <c r="R1448" s="11"/>
      <c r="S1448" s="9"/>
      <c r="T1448" s="9"/>
      <c r="U1448" s="9"/>
    </row>
    <row r="1449" spans="2:21" x14ac:dyDescent="0.4">
      <c r="B1449" s="16">
        <f t="shared" si="126"/>
        <v>43977</v>
      </c>
      <c r="C1449" s="1">
        <f t="shared" si="127"/>
        <v>3426</v>
      </c>
      <c r="D1449" s="1">
        <f t="shared" si="128"/>
        <v>731</v>
      </c>
      <c r="E1449" s="1">
        <f t="shared" si="129"/>
        <v>1670</v>
      </c>
      <c r="F1449" s="1"/>
      <c r="L1449" s="11">
        <v>43977</v>
      </c>
      <c r="M1449" s="9">
        <v>3426</v>
      </c>
      <c r="N1449" s="9">
        <v>731</v>
      </c>
      <c r="O1449" s="9">
        <v>1670</v>
      </c>
      <c r="P1449" s="9">
        <v>0</v>
      </c>
      <c r="R1449" s="11"/>
      <c r="S1449" s="9"/>
      <c r="T1449" s="9"/>
      <c r="U1449" s="9"/>
    </row>
    <row r="1450" spans="2:21" x14ac:dyDescent="0.4">
      <c r="B1450" s="16">
        <f t="shared" si="126"/>
        <v>43978</v>
      </c>
      <c r="C1450" s="1">
        <f t="shared" si="127"/>
        <v>3418</v>
      </c>
      <c r="D1450" s="1">
        <f t="shared" si="128"/>
        <v>721</v>
      </c>
      <c r="E1450" s="1">
        <f t="shared" si="129"/>
        <v>1680</v>
      </c>
      <c r="F1450" s="1"/>
      <c r="L1450" s="11">
        <v>43978</v>
      </c>
      <c r="M1450" s="9">
        <v>3418</v>
      </c>
      <c r="N1450" s="9">
        <v>721</v>
      </c>
      <c r="O1450" s="9">
        <v>1680</v>
      </c>
      <c r="P1450" s="9">
        <v>0</v>
      </c>
      <c r="R1450" s="11"/>
      <c r="S1450" s="9"/>
      <c r="T1450" s="9"/>
      <c r="U1450" s="9"/>
    </row>
    <row r="1451" spans="2:21" x14ac:dyDescent="0.4">
      <c r="B1451" s="16">
        <f t="shared" si="126"/>
        <v>43979</v>
      </c>
      <c r="C1451" s="1">
        <f t="shared" si="127"/>
        <v>3414</v>
      </c>
      <c r="D1451" s="1">
        <f t="shared" si="128"/>
        <v>721</v>
      </c>
      <c r="E1451" s="1">
        <f t="shared" si="129"/>
        <v>1690</v>
      </c>
      <c r="F1451" s="1"/>
      <c r="L1451" s="11">
        <v>43979</v>
      </c>
      <c r="M1451" s="9">
        <v>3414</v>
      </c>
      <c r="N1451" s="9">
        <v>721</v>
      </c>
      <c r="O1451" s="9">
        <v>1690</v>
      </c>
      <c r="P1451" s="9">
        <v>0</v>
      </c>
      <c r="R1451" s="11"/>
      <c r="S1451" s="9"/>
      <c r="T1451" s="9"/>
      <c r="U1451" s="9"/>
    </row>
    <row r="1452" spans="2:21" x14ac:dyDescent="0.4">
      <c r="B1452" s="16">
        <f t="shared" si="126"/>
        <v>43980</v>
      </c>
      <c r="C1452" s="1">
        <f t="shared" si="127"/>
        <v>3420</v>
      </c>
      <c r="D1452" s="1">
        <f t="shared" si="128"/>
        <v>711</v>
      </c>
      <c r="E1452" s="1">
        <f t="shared" si="129"/>
        <v>1700</v>
      </c>
      <c r="F1452" s="1"/>
      <c r="L1452" s="11">
        <v>43980</v>
      </c>
      <c r="M1452" s="9">
        <v>3420</v>
      </c>
      <c r="N1452" s="9">
        <v>711</v>
      </c>
      <c r="O1452" s="9">
        <v>1700</v>
      </c>
      <c r="P1452" s="9">
        <v>0</v>
      </c>
      <c r="R1452" s="11"/>
      <c r="S1452" s="9"/>
      <c r="T1452" s="9"/>
      <c r="U1452" s="9"/>
    </row>
    <row r="1453" spans="2:21" x14ac:dyDescent="0.4">
      <c r="B1453" s="16">
        <f t="shared" si="126"/>
        <v>43983</v>
      </c>
      <c r="C1453" s="1">
        <f t="shared" si="127"/>
        <v>3446</v>
      </c>
      <c r="D1453" s="1">
        <f t="shared" si="128"/>
        <v>711</v>
      </c>
      <c r="E1453" s="1">
        <f t="shared" si="129"/>
        <v>1690</v>
      </c>
      <c r="F1453" s="1"/>
      <c r="L1453" s="11">
        <v>43983</v>
      </c>
      <c r="M1453" s="9">
        <v>3446</v>
      </c>
      <c r="N1453" s="9">
        <v>711</v>
      </c>
      <c r="O1453" s="9">
        <v>1690</v>
      </c>
      <c r="P1453" s="9">
        <v>0</v>
      </c>
      <c r="R1453" s="11"/>
      <c r="S1453" s="9"/>
      <c r="T1453" s="9"/>
      <c r="U1453" s="9"/>
    </row>
    <row r="1454" spans="2:21" x14ac:dyDescent="0.4">
      <c r="B1454" s="16">
        <f t="shared" si="126"/>
        <v>43984</v>
      </c>
      <c r="C1454" s="1">
        <f t="shared" si="127"/>
        <v>3470</v>
      </c>
      <c r="D1454" s="1">
        <f t="shared" si="128"/>
        <v>711</v>
      </c>
      <c r="E1454" s="1">
        <f t="shared" si="129"/>
        <v>1700</v>
      </c>
      <c r="F1454" s="1"/>
      <c r="L1454" s="11">
        <v>43984</v>
      </c>
      <c r="M1454" s="9">
        <v>3470</v>
      </c>
      <c r="N1454" s="9">
        <v>711</v>
      </c>
      <c r="O1454" s="9">
        <v>1700</v>
      </c>
      <c r="P1454" s="9">
        <v>0</v>
      </c>
      <c r="R1454" s="11"/>
      <c r="S1454" s="9"/>
      <c r="T1454" s="9"/>
      <c r="U1454" s="9"/>
    </row>
    <row r="1455" spans="2:21" x14ac:dyDescent="0.4">
      <c r="B1455" s="16">
        <f t="shared" si="126"/>
        <v>43985</v>
      </c>
      <c r="C1455" s="1">
        <f t="shared" si="127"/>
        <v>3483</v>
      </c>
      <c r="D1455" s="1">
        <f t="shared" si="128"/>
        <v>711</v>
      </c>
      <c r="E1455" s="1">
        <f t="shared" si="129"/>
        <v>1710</v>
      </c>
      <c r="F1455" s="1"/>
      <c r="L1455" s="11">
        <v>43985</v>
      </c>
      <c r="M1455" s="9">
        <v>3483</v>
      </c>
      <c r="N1455" s="9">
        <v>711</v>
      </c>
      <c r="O1455" s="9">
        <v>1710</v>
      </c>
      <c r="P1455" s="9">
        <v>0</v>
      </c>
      <c r="R1455" s="11"/>
      <c r="S1455" s="9"/>
      <c r="T1455" s="9"/>
      <c r="U1455" s="9"/>
    </row>
    <row r="1456" spans="2:21" x14ac:dyDescent="0.4">
      <c r="B1456" s="16">
        <f t="shared" si="126"/>
        <v>43986</v>
      </c>
      <c r="C1456" s="1">
        <f t="shared" si="127"/>
        <v>3503</v>
      </c>
      <c r="D1456" s="1">
        <f t="shared" si="128"/>
        <v>711</v>
      </c>
      <c r="E1456" s="1">
        <f t="shared" si="129"/>
        <v>1710</v>
      </c>
      <c r="F1456" s="1"/>
      <c r="L1456" s="11">
        <v>43986</v>
      </c>
      <c r="M1456" s="9">
        <v>3503</v>
      </c>
      <c r="N1456" s="9">
        <v>711</v>
      </c>
      <c r="O1456" s="9">
        <v>1710</v>
      </c>
      <c r="P1456" s="9">
        <v>0</v>
      </c>
      <c r="R1456" s="11"/>
      <c r="S1456" s="9"/>
      <c r="T1456" s="9"/>
      <c r="U1456" s="9"/>
    </row>
    <row r="1457" spans="2:21" x14ac:dyDescent="0.4">
      <c r="B1457" s="16">
        <f t="shared" si="126"/>
        <v>43987</v>
      </c>
      <c r="C1457" s="1">
        <f t="shared" si="127"/>
        <v>3514</v>
      </c>
      <c r="D1457" s="1">
        <f t="shared" si="128"/>
        <v>711</v>
      </c>
      <c r="E1457" s="1">
        <f t="shared" si="129"/>
        <v>1720</v>
      </c>
      <c r="F1457" s="1"/>
      <c r="L1457" s="11">
        <v>43987</v>
      </c>
      <c r="M1457" s="9">
        <v>3514</v>
      </c>
      <c r="N1457" s="9">
        <v>711</v>
      </c>
      <c r="O1457" s="9">
        <v>1720</v>
      </c>
      <c r="P1457" s="9">
        <v>0</v>
      </c>
      <c r="R1457" s="11"/>
      <c r="S1457" s="9"/>
      <c r="T1457" s="9"/>
      <c r="U1457" s="9"/>
    </row>
    <row r="1458" spans="2:21" x14ac:dyDescent="0.4">
      <c r="B1458" s="16">
        <f t="shared" si="126"/>
        <v>43990</v>
      </c>
      <c r="C1458" s="1">
        <f t="shared" si="127"/>
        <v>3543</v>
      </c>
      <c r="D1458" s="1">
        <f t="shared" si="128"/>
        <v>711</v>
      </c>
      <c r="E1458" s="1">
        <f t="shared" si="129"/>
        <v>1720</v>
      </c>
      <c r="F1458" s="1"/>
      <c r="L1458" s="11">
        <v>43990</v>
      </c>
      <c r="M1458" s="9">
        <v>3543</v>
      </c>
      <c r="N1458" s="9">
        <v>711</v>
      </c>
      <c r="O1458" s="9">
        <v>1720</v>
      </c>
      <c r="P1458" s="9">
        <v>0</v>
      </c>
      <c r="R1458" s="11"/>
      <c r="S1458" s="9"/>
      <c r="T1458" s="9"/>
      <c r="U1458" s="9"/>
    </row>
    <row r="1459" spans="2:21" x14ac:dyDescent="0.4">
      <c r="B1459" s="16">
        <f t="shared" si="126"/>
        <v>43991</v>
      </c>
      <c r="C1459" s="1">
        <f t="shared" si="127"/>
        <v>3556</v>
      </c>
      <c r="D1459" s="1">
        <f t="shared" si="128"/>
        <v>751</v>
      </c>
      <c r="E1459" s="1">
        <f t="shared" si="129"/>
        <v>1720</v>
      </c>
      <c r="F1459" s="1"/>
      <c r="L1459" s="11">
        <v>43991</v>
      </c>
      <c r="M1459" s="9">
        <v>3556</v>
      </c>
      <c r="N1459" s="9">
        <v>751</v>
      </c>
      <c r="O1459" s="9">
        <v>1720</v>
      </c>
      <c r="P1459" s="9">
        <v>0</v>
      </c>
      <c r="R1459" s="11"/>
      <c r="S1459" s="9"/>
      <c r="T1459" s="9"/>
      <c r="U1459" s="9"/>
    </row>
    <row r="1460" spans="2:21" x14ac:dyDescent="0.4">
      <c r="B1460" s="16">
        <f t="shared" si="126"/>
        <v>43992</v>
      </c>
      <c r="C1460" s="1">
        <f t="shared" si="127"/>
        <v>3554</v>
      </c>
      <c r="D1460" s="1">
        <f t="shared" si="128"/>
        <v>806</v>
      </c>
      <c r="E1460" s="1">
        <f t="shared" si="129"/>
        <v>1725</v>
      </c>
      <c r="F1460" s="1"/>
      <c r="L1460" s="11">
        <v>43992</v>
      </c>
      <c r="M1460" s="9">
        <v>3554</v>
      </c>
      <c r="N1460" s="9">
        <v>806</v>
      </c>
      <c r="O1460" s="9">
        <v>1725</v>
      </c>
      <c r="P1460" s="9">
        <v>0</v>
      </c>
      <c r="R1460" s="11"/>
      <c r="S1460" s="9"/>
      <c r="T1460" s="9"/>
      <c r="U1460" s="9"/>
    </row>
    <row r="1461" spans="2:21" x14ac:dyDescent="0.4">
      <c r="B1461" s="16">
        <f t="shared" si="126"/>
        <v>43993</v>
      </c>
      <c r="C1461" s="1">
        <f t="shared" si="127"/>
        <v>3536</v>
      </c>
      <c r="D1461" s="1">
        <f t="shared" si="128"/>
        <v>806</v>
      </c>
      <c r="E1461" s="1">
        <f t="shared" si="129"/>
        <v>1725</v>
      </c>
      <c r="F1461" s="1"/>
      <c r="L1461" s="11">
        <v>43993</v>
      </c>
      <c r="M1461" s="9">
        <v>3536</v>
      </c>
      <c r="N1461" s="9">
        <v>806</v>
      </c>
      <c r="O1461" s="9">
        <v>1725</v>
      </c>
      <c r="P1461" s="9">
        <v>0</v>
      </c>
      <c r="R1461" s="11"/>
      <c r="S1461" s="9"/>
      <c r="T1461" s="9"/>
      <c r="U1461" s="9"/>
    </row>
    <row r="1462" spans="2:21" x14ac:dyDescent="0.4">
      <c r="B1462" s="16">
        <f t="shared" si="126"/>
        <v>43994</v>
      </c>
      <c r="C1462" s="1">
        <f t="shared" si="127"/>
        <v>3522</v>
      </c>
      <c r="D1462" s="1">
        <f t="shared" si="128"/>
        <v>806</v>
      </c>
      <c r="E1462" s="1">
        <f t="shared" si="129"/>
        <v>1725</v>
      </c>
      <c r="F1462" s="1"/>
      <c r="L1462" s="11">
        <v>43994</v>
      </c>
      <c r="M1462" s="9">
        <v>3522</v>
      </c>
      <c r="N1462" s="9">
        <v>806</v>
      </c>
      <c r="O1462" s="9">
        <v>1725</v>
      </c>
      <c r="P1462" s="9">
        <v>0</v>
      </c>
      <c r="R1462" s="11"/>
      <c r="S1462" s="9"/>
      <c r="T1462" s="9"/>
      <c r="U1462" s="9"/>
    </row>
    <row r="1463" spans="2:21" x14ac:dyDescent="0.4">
      <c r="B1463" s="16">
        <f t="shared" si="126"/>
        <v>43997</v>
      </c>
      <c r="C1463" s="1">
        <f t="shared" si="127"/>
        <v>3514</v>
      </c>
      <c r="D1463" s="1">
        <f t="shared" si="128"/>
        <v>841</v>
      </c>
      <c r="E1463" s="1">
        <f t="shared" si="129"/>
        <v>1725</v>
      </c>
      <c r="F1463" s="1"/>
      <c r="L1463" s="11">
        <v>43997</v>
      </c>
      <c r="M1463" s="9">
        <v>3514</v>
      </c>
      <c r="N1463" s="9">
        <v>841</v>
      </c>
      <c r="O1463" s="9">
        <v>1725</v>
      </c>
      <c r="P1463" s="9">
        <v>0</v>
      </c>
      <c r="R1463" s="11"/>
      <c r="S1463" s="9"/>
      <c r="T1463" s="9"/>
      <c r="U1463" s="9"/>
    </row>
    <row r="1464" spans="2:21" x14ac:dyDescent="0.4">
      <c r="B1464" s="16">
        <f t="shared" si="126"/>
        <v>43998</v>
      </c>
      <c r="C1464" s="1">
        <f t="shared" si="127"/>
        <v>3516</v>
      </c>
      <c r="D1464" s="1">
        <f t="shared" si="128"/>
        <v>841</v>
      </c>
      <c r="E1464" s="1">
        <f t="shared" si="129"/>
        <v>1700</v>
      </c>
      <c r="F1464" s="1"/>
      <c r="L1464" s="11">
        <v>43998</v>
      </c>
      <c r="M1464" s="9">
        <v>3516</v>
      </c>
      <c r="N1464" s="9">
        <v>841</v>
      </c>
      <c r="O1464" s="9">
        <v>1700</v>
      </c>
      <c r="P1464" s="9">
        <v>0</v>
      </c>
      <c r="R1464" s="11"/>
      <c r="S1464" s="9"/>
      <c r="T1464" s="9"/>
      <c r="U1464" s="9"/>
    </row>
    <row r="1465" spans="2:21" x14ac:dyDescent="0.4">
      <c r="B1465" s="16">
        <f t="shared" si="126"/>
        <v>43999</v>
      </c>
      <c r="C1465" s="1">
        <f t="shared" si="127"/>
        <v>3539</v>
      </c>
      <c r="D1465" s="1">
        <f t="shared" si="128"/>
        <v>841</v>
      </c>
      <c r="E1465" s="1">
        <f t="shared" si="129"/>
        <v>1695</v>
      </c>
      <c r="F1465" s="1"/>
      <c r="L1465" s="11">
        <v>43999</v>
      </c>
      <c r="M1465" s="9">
        <v>3539</v>
      </c>
      <c r="N1465" s="9">
        <v>841</v>
      </c>
      <c r="O1465" s="9">
        <v>1695</v>
      </c>
      <c r="P1465" s="9">
        <v>0</v>
      </c>
      <c r="R1465" s="11"/>
      <c r="S1465" s="9"/>
      <c r="T1465" s="9"/>
      <c r="U1465" s="9"/>
    </row>
    <row r="1466" spans="2:21" x14ac:dyDescent="0.4">
      <c r="B1466" s="16">
        <f t="shared" si="126"/>
        <v>44000</v>
      </c>
      <c r="C1466" s="1">
        <f t="shared" si="127"/>
        <v>3540</v>
      </c>
      <c r="D1466" s="1">
        <f t="shared" si="128"/>
        <v>841</v>
      </c>
      <c r="E1466" s="1">
        <f t="shared" si="129"/>
        <v>1695</v>
      </c>
      <c r="F1466" s="1"/>
      <c r="L1466" s="11">
        <v>44000</v>
      </c>
      <c r="M1466" s="9">
        <v>3540</v>
      </c>
      <c r="N1466" s="9">
        <v>841</v>
      </c>
      <c r="O1466" s="9">
        <v>1695</v>
      </c>
      <c r="P1466" s="9">
        <v>0</v>
      </c>
      <c r="R1466" s="11"/>
      <c r="S1466" s="9"/>
      <c r="T1466" s="9"/>
      <c r="U1466" s="9"/>
    </row>
    <row r="1467" spans="2:21" x14ac:dyDescent="0.4">
      <c r="B1467" s="16">
        <f t="shared" si="126"/>
        <v>44001</v>
      </c>
      <c r="C1467" s="1">
        <f t="shared" si="127"/>
        <v>3545</v>
      </c>
      <c r="D1467" s="1">
        <f t="shared" si="128"/>
        <v>841</v>
      </c>
      <c r="E1467" s="1">
        <f t="shared" si="129"/>
        <v>1685</v>
      </c>
      <c r="F1467" s="1"/>
      <c r="L1467" s="11">
        <v>44001</v>
      </c>
      <c r="M1467" s="9">
        <v>3545</v>
      </c>
      <c r="N1467" s="9">
        <v>841</v>
      </c>
      <c r="O1467" s="9">
        <v>1685</v>
      </c>
      <c r="P1467" s="9">
        <v>0</v>
      </c>
      <c r="R1467" s="11"/>
      <c r="S1467" s="9"/>
      <c r="T1467" s="9"/>
      <c r="U1467" s="9"/>
    </row>
    <row r="1468" spans="2:21" x14ac:dyDescent="0.4">
      <c r="B1468" s="16">
        <f t="shared" si="126"/>
        <v>44004</v>
      </c>
      <c r="C1468" s="1">
        <f t="shared" si="127"/>
        <v>3558</v>
      </c>
      <c r="D1468" s="1">
        <f t="shared" si="128"/>
        <v>841</v>
      </c>
      <c r="E1468" s="1">
        <f t="shared" si="129"/>
        <v>1680</v>
      </c>
      <c r="F1468" s="1"/>
      <c r="L1468" s="11">
        <v>44004</v>
      </c>
      <c r="M1468" s="9">
        <v>3558</v>
      </c>
      <c r="N1468" s="9">
        <v>841</v>
      </c>
      <c r="O1468" s="9">
        <v>1680</v>
      </c>
      <c r="P1468" s="9">
        <v>0</v>
      </c>
      <c r="R1468" s="11"/>
      <c r="S1468" s="9"/>
      <c r="T1468" s="9"/>
      <c r="U1468" s="9"/>
    </row>
    <row r="1469" spans="2:21" x14ac:dyDescent="0.4">
      <c r="B1469" s="16">
        <f t="shared" si="126"/>
        <v>44005</v>
      </c>
      <c r="C1469" s="1">
        <f t="shared" si="127"/>
        <v>3552</v>
      </c>
      <c r="D1469" s="1">
        <f t="shared" si="128"/>
        <v>841</v>
      </c>
      <c r="E1469" s="1">
        <f t="shared" si="129"/>
        <v>1670</v>
      </c>
      <c r="F1469" s="1"/>
      <c r="L1469" s="11">
        <v>44005</v>
      </c>
      <c r="M1469" s="9">
        <v>3552</v>
      </c>
      <c r="N1469" s="9">
        <v>841</v>
      </c>
      <c r="O1469" s="9">
        <v>1670</v>
      </c>
      <c r="P1469" s="9">
        <v>0</v>
      </c>
      <c r="R1469" s="11"/>
      <c r="S1469" s="9"/>
      <c r="T1469" s="9"/>
      <c r="U1469" s="9"/>
    </row>
    <row r="1470" spans="2:21" x14ac:dyDescent="0.4">
      <c r="B1470" s="16">
        <f t="shared" si="126"/>
        <v>44006</v>
      </c>
      <c r="C1470" s="1">
        <f t="shared" si="127"/>
        <v>3539</v>
      </c>
      <c r="D1470" s="1">
        <f t="shared" si="128"/>
        <v>851</v>
      </c>
      <c r="E1470" s="1">
        <f t="shared" si="129"/>
        <v>1650</v>
      </c>
      <c r="F1470" s="1"/>
      <c r="L1470" s="11">
        <v>44006</v>
      </c>
      <c r="M1470" s="9">
        <v>3539</v>
      </c>
      <c r="N1470" s="9">
        <v>851</v>
      </c>
      <c r="O1470" s="9">
        <v>1650</v>
      </c>
      <c r="P1470" s="9">
        <v>0</v>
      </c>
      <c r="R1470" s="11"/>
      <c r="S1470" s="9"/>
      <c r="T1470" s="9"/>
      <c r="U1470" s="9"/>
    </row>
    <row r="1471" spans="2:21" x14ac:dyDescent="0.4">
      <c r="B1471" s="16">
        <f t="shared" si="126"/>
        <v>44007</v>
      </c>
      <c r="C1471" s="1">
        <f t="shared" si="127"/>
        <v>3539</v>
      </c>
      <c r="D1471" s="1">
        <f t="shared" si="128"/>
        <v>851</v>
      </c>
      <c r="E1471" s="1">
        <f t="shared" si="129"/>
        <v>1650</v>
      </c>
      <c r="F1471" s="1"/>
      <c r="L1471" s="11">
        <v>44007</v>
      </c>
      <c r="M1471" s="9">
        <v>0</v>
      </c>
      <c r="N1471" s="9">
        <v>851</v>
      </c>
      <c r="O1471" s="9">
        <v>0</v>
      </c>
      <c r="P1471" s="9">
        <v>0</v>
      </c>
      <c r="R1471" s="11"/>
      <c r="S1471" s="9"/>
      <c r="T1471" s="9"/>
      <c r="U1471" s="9"/>
    </row>
    <row r="1472" spans="2:21" x14ac:dyDescent="0.4">
      <c r="B1472" s="16">
        <f t="shared" si="126"/>
        <v>44008</v>
      </c>
      <c r="C1472" s="1">
        <f t="shared" si="127"/>
        <v>3539</v>
      </c>
      <c r="D1472" s="1">
        <f t="shared" si="128"/>
        <v>851</v>
      </c>
      <c r="E1472" s="1">
        <f t="shared" si="129"/>
        <v>1650</v>
      </c>
      <c r="F1472" s="1"/>
      <c r="L1472" s="11">
        <v>44008</v>
      </c>
      <c r="M1472" s="9">
        <v>0</v>
      </c>
      <c r="N1472" s="9">
        <v>851</v>
      </c>
      <c r="O1472" s="9">
        <v>0</v>
      </c>
      <c r="P1472" s="9">
        <v>0</v>
      </c>
      <c r="R1472" s="11"/>
      <c r="S1472" s="9"/>
      <c r="T1472" s="9"/>
      <c r="U1472" s="9"/>
    </row>
    <row r="1473" spans="2:21" x14ac:dyDescent="0.4">
      <c r="B1473" s="16">
        <f t="shared" si="126"/>
        <v>44010</v>
      </c>
      <c r="C1473" s="1">
        <f t="shared" si="127"/>
        <v>3529</v>
      </c>
      <c r="D1473" s="1">
        <f t="shared" si="128"/>
        <v>851</v>
      </c>
      <c r="E1473" s="1">
        <f t="shared" si="129"/>
        <v>1650</v>
      </c>
      <c r="F1473" s="1"/>
      <c r="L1473" s="11">
        <v>44010</v>
      </c>
      <c r="M1473" s="9">
        <v>3529</v>
      </c>
      <c r="N1473" s="9">
        <v>0</v>
      </c>
      <c r="O1473" s="9">
        <v>1650</v>
      </c>
      <c r="P1473" s="9">
        <v>0</v>
      </c>
      <c r="R1473" s="11"/>
      <c r="S1473" s="9"/>
      <c r="T1473" s="9"/>
      <c r="U1473" s="9"/>
    </row>
    <row r="1474" spans="2:21" x14ac:dyDescent="0.4">
      <c r="B1474" s="16">
        <f t="shared" si="126"/>
        <v>44011</v>
      </c>
      <c r="C1474" s="1">
        <f t="shared" si="127"/>
        <v>3528</v>
      </c>
      <c r="D1474" s="1">
        <f t="shared" si="128"/>
        <v>856</v>
      </c>
      <c r="E1474" s="1">
        <f t="shared" si="129"/>
        <v>1650</v>
      </c>
      <c r="F1474" s="1"/>
      <c r="L1474" s="11">
        <v>44011</v>
      </c>
      <c r="M1474" s="9">
        <v>3528</v>
      </c>
      <c r="N1474" s="9">
        <v>856</v>
      </c>
      <c r="O1474" s="9">
        <v>1650</v>
      </c>
      <c r="P1474" s="9">
        <v>0</v>
      </c>
      <c r="R1474" s="11"/>
      <c r="S1474" s="9"/>
      <c r="T1474" s="9"/>
      <c r="U1474" s="9"/>
    </row>
    <row r="1475" spans="2:21" x14ac:dyDescent="0.4">
      <c r="B1475" s="16">
        <f t="shared" si="126"/>
        <v>44012</v>
      </c>
      <c r="C1475" s="1">
        <f t="shared" si="127"/>
        <v>3520</v>
      </c>
      <c r="D1475" s="1">
        <f t="shared" si="128"/>
        <v>856</v>
      </c>
      <c r="E1475" s="1">
        <f t="shared" si="129"/>
        <v>1650</v>
      </c>
      <c r="F1475" s="1"/>
      <c r="L1475" s="11">
        <v>44012</v>
      </c>
      <c r="M1475" s="9">
        <v>3520</v>
      </c>
      <c r="N1475" s="9">
        <v>856</v>
      </c>
      <c r="O1475" s="9">
        <v>1650</v>
      </c>
      <c r="P1475" s="9">
        <v>0</v>
      </c>
      <c r="R1475" s="11"/>
      <c r="S1475" s="9"/>
      <c r="T1475" s="9"/>
      <c r="U1475" s="9"/>
    </row>
    <row r="1476" spans="2:21" x14ac:dyDescent="0.4">
      <c r="B1476" s="16">
        <f t="shared" si="126"/>
        <v>44013</v>
      </c>
      <c r="C1476" s="1">
        <f t="shared" si="127"/>
        <v>3512</v>
      </c>
      <c r="D1476" s="1">
        <f t="shared" si="128"/>
        <v>881</v>
      </c>
      <c r="E1476" s="1">
        <f t="shared" si="129"/>
        <v>1650</v>
      </c>
      <c r="F1476" s="1"/>
      <c r="L1476" s="11">
        <v>44013</v>
      </c>
      <c r="M1476" s="9">
        <v>3512</v>
      </c>
      <c r="N1476" s="9">
        <v>881</v>
      </c>
      <c r="O1476" s="9">
        <v>1650</v>
      </c>
      <c r="P1476" s="9">
        <v>0</v>
      </c>
      <c r="R1476" s="11"/>
      <c r="S1476" s="9"/>
      <c r="T1476" s="9"/>
      <c r="U1476" s="9"/>
    </row>
    <row r="1477" spans="2:21" x14ac:dyDescent="0.4">
      <c r="B1477" s="16">
        <f t="shared" si="126"/>
        <v>44014</v>
      </c>
      <c r="C1477" s="1">
        <f t="shared" si="127"/>
        <v>3509</v>
      </c>
      <c r="D1477" s="1">
        <f t="shared" si="128"/>
        <v>881</v>
      </c>
      <c r="E1477" s="1">
        <f t="shared" si="129"/>
        <v>1650</v>
      </c>
      <c r="F1477" s="1"/>
      <c r="L1477" s="11">
        <v>44014</v>
      </c>
      <c r="M1477" s="9">
        <v>3509</v>
      </c>
      <c r="N1477" s="9">
        <v>881</v>
      </c>
      <c r="O1477" s="9">
        <v>1650</v>
      </c>
      <c r="P1477" s="9">
        <v>0</v>
      </c>
      <c r="R1477" s="11"/>
      <c r="S1477" s="9"/>
      <c r="T1477" s="9"/>
      <c r="U1477" s="9"/>
    </row>
    <row r="1478" spans="2:21" x14ac:dyDescent="0.4">
      <c r="B1478" s="16">
        <f t="shared" ref="B1478:B1541" si="130">L1478</f>
        <v>44015</v>
      </c>
      <c r="C1478" s="1">
        <f t="shared" si="127"/>
        <v>3512</v>
      </c>
      <c r="D1478" s="1">
        <f t="shared" si="128"/>
        <v>881</v>
      </c>
      <c r="E1478" s="1">
        <f t="shared" si="129"/>
        <v>1650</v>
      </c>
      <c r="F1478" s="1"/>
      <c r="L1478" s="11">
        <v>44015</v>
      </c>
      <c r="M1478" s="9">
        <v>3512</v>
      </c>
      <c r="N1478" s="9">
        <v>881</v>
      </c>
      <c r="O1478" s="9">
        <v>1650</v>
      </c>
      <c r="P1478" s="9">
        <v>0</v>
      </c>
      <c r="R1478" s="11"/>
      <c r="S1478" s="9"/>
      <c r="T1478" s="9"/>
      <c r="U1478" s="9"/>
    </row>
    <row r="1479" spans="2:21" x14ac:dyDescent="0.4">
      <c r="B1479" s="16">
        <f t="shared" si="130"/>
        <v>44018</v>
      </c>
      <c r="C1479" s="1">
        <f t="shared" ref="C1479:C1542" si="131">IF(M1479&lt;&gt;0,M1479,C1478)</f>
        <v>3521</v>
      </c>
      <c r="D1479" s="1">
        <f t="shared" ref="D1479:D1542" si="132">IF(N1479&lt;&gt;0,N1479,D1478)</f>
        <v>851</v>
      </c>
      <c r="E1479" s="1">
        <f t="shared" ref="E1479:E1542" si="133">IF(O1479&lt;&gt;0,O1479,E1478)</f>
        <v>1655</v>
      </c>
      <c r="F1479" s="1"/>
      <c r="L1479" s="11">
        <v>44018</v>
      </c>
      <c r="M1479" s="9">
        <v>3521</v>
      </c>
      <c r="N1479" s="9">
        <v>851</v>
      </c>
      <c r="O1479" s="9">
        <v>1655</v>
      </c>
      <c r="P1479" s="9">
        <v>0</v>
      </c>
      <c r="R1479" s="11"/>
      <c r="S1479" s="9"/>
      <c r="T1479" s="9"/>
      <c r="U1479" s="9"/>
    </row>
    <row r="1480" spans="2:21" x14ac:dyDescent="0.4">
      <c r="B1480" s="16">
        <f t="shared" si="130"/>
        <v>44019</v>
      </c>
      <c r="C1480" s="1">
        <f t="shared" si="131"/>
        <v>3531</v>
      </c>
      <c r="D1480" s="1">
        <f t="shared" si="132"/>
        <v>841</v>
      </c>
      <c r="E1480" s="1">
        <f t="shared" si="133"/>
        <v>1655</v>
      </c>
      <c r="F1480" s="1"/>
      <c r="L1480" s="11">
        <v>44019</v>
      </c>
      <c r="M1480" s="9">
        <v>3531</v>
      </c>
      <c r="N1480" s="9">
        <v>841</v>
      </c>
      <c r="O1480" s="9">
        <v>1655</v>
      </c>
      <c r="P1480" s="9">
        <v>0</v>
      </c>
      <c r="R1480" s="11"/>
      <c r="S1480" s="9"/>
      <c r="T1480" s="9"/>
      <c r="U1480" s="9"/>
    </row>
    <row r="1481" spans="2:21" x14ac:dyDescent="0.4">
      <c r="B1481" s="16">
        <f t="shared" si="130"/>
        <v>44020</v>
      </c>
      <c r="C1481" s="1">
        <f t="shared" si="131"/>
        <v>3531</v>
      </c>
      <c r="D1481" s="1">
        <f t="shared" si="132"/>
        <v>801</v>
      </c>
      <c r="E1481" s="1">
        <f t="shared" si="133"/>
        <v>1655</v>
      </c>
      <c r="F1481" s="1"/>
      <c r="L1481" s="11">
        <v>44020</v>
      </c>
      <c r="M1481" s="9">
        <v>3531</v>
      </c>
      <c r="N1481" s="9">
        <v>801</v>
      </c>
      <c r="O1481" s="9">
        <v>1655</v>
      </c>
      <c r="P1481" s="9">
        <v>0</v>
      </c>
      <c r="R1481" s="11"/>
      <c r="S1481" s="9"/>
      <c r="T1481" s="9"/>
      <c r="U1481" s="9"/>
    </row>
    <row r="1482" spans="2:21" x14ac:dyDescent="0.4">
      <c r="B1482" s="16">
        <f t="shared" si="130"/>
        <v>44021</v>
      </c>
      <c r="C1482" s="1">
        <f t="shared" si="131"/>
        <v>3526</v>
      </c>
      <c r="D1482" s="1">
        <f t="shared" si="132"/>
        <v>801</v>
      </c>
      <c r="E1482" s="1">
        <f t="shared" si="133"/>
        <v>1660</v>
      </c>
      <c r="F1482" s="1"/>
      <c r="L1482" s="11">
        <v>44021</v>
      </c>
      <c r="M1482" s="9">
        <v>3526</v>
      </c>
      <c r="N1482" s="9">
        <v>801</v>
      </c>
      <c r="O1482" s="9">
        <v>1660</v>
      </c>
      <c r="P1482" s="9">
        <v>0</v>
      </c>
      <c r="R1482" s="11"/>
      <c r="S1482" s="9"/>
      <c r="T1482" s="9"/>
      <c r="U1482" s="9"/>
    </row>
    <row r="1483" spans="2:21" x14ac:dyDescent="0.4">
      <c r="B1483" s="16">
        <f t="shared" si="130"/>
        <v>44022</v>
      </c>
      <c r="C1483" s="1">
        <f t="shared" si="131"/>
        <v>3521</v>
      </c>
      <c r="D1483" s="1">
        <f t="shared" si="132"/>
        <v>801</v>
      </c>
      <c r="E1483" s="1">
        <f t="shared" si="133"/>
        <v>1660</v>
      </c>
      <c r="F1483" s="1"/>
      <c r="L1483" s="11">
        <v>44022</v>
      </c>
      <c r="M1483" s="9">
        <v>3521</v>
      </c>
      <c r="N1483" s="9">
        <v>801</v>
      </c>
      <c r="O1483" s="9">
        <v>1660</v>
      </c>
      <c r="P1483" s="9">
        <v>0</v>
      </c>
      <c r="R1483" s="11"/>
      <c r="S1483" s="9"/>
      <c r="T1483" s="9"/>
      <c r="U1483" s="9"/>
    </row>
    <row r="1484" spans="2:21" x14ac:dyDescent="0.4">
      <c r="B1484" s="16">
        <f t="shared" si="130"/>
        <v>44025</v>
      </c>
      <c r="C1484" s="1">
        <f t="shared" si="131"/>
        <v>3521</v>
      </c>
      <c r="D1484" s="1">
        <f t="shared" si="132"/>
        <v>801</v>
      </c>
      <c r="E1484" s="1">
        <f t="shared" si="133"/>
        <v>1660</v>
      </c>
      <c r="F1484" s="1"/>
      <c r="L1484" s="11">
        <v>44025</v>
      </c>
      <c r="M1484" s="9">
        <v>3521</v>
      </c>
      <c r="N1484" s="9">
        <v>801</v>
      </c>
      <c r="O1484" s="9">
        <v>1660</v>
      </c>
      <c r="P1484" s="9">
        <v>0</v>
      </c>
      <c r="R1484" s="11"/>
      <c r="S1484" s="9"/>
      <c r="T1484" s="9"/>
      <c r="U1484" s="9"/>
    </row>
    <row r="1485" spans="2:21" x14ac:dyDescent="0.4">
      <c r="B1485" s="16">
        <f t="shared" si="130"/>
        <v>44026</v>
      </c>
      <c r="C1485" s="1">
        <f t="shared" si="131"/>
        <v>3519</v>
      </c>
      <c r="D1485" s="1">
        <f t="shared" si="132"/>
        <v>801</v>
      </c>
      <c r="E1485" s="1">
        <f t="shared" si="133"/>
        <v>1670</v>
      </c>
      <c r="F1485" s="1"/>
      <c r="L1485" s="11">
        <v>44026</v>
      </c>
      <c r="M1485" s="9">
        <v>3519</v>
      </c>
      <c r="N1485" s="9">
        <v>801</v>
      </c>
      <c r="O1485" s="9">
        <v>1670</v>
      </c>
      <c r="P1485" s="9">
        <v>0</v>
      </c>
      <c r="R1485" s="11"/>
      <c r="S1485" s="9"/>
      <c r="T1485" s="9"/>
      <c r="U1485" s="9"/>
    </row>
    <row r="1486" spans="2:21" x14ac:dyDescent="0.4">
      <c r="B1486" s="16">
        <f t="shared" si="130"/>
        <v>44027</v>
      </c>
      <c r="C1486" s="1">
        <f t="shared" si="131"/>
        <v>3520</v>
      </c>
      <c r="D1486" s="1">
        <f t="shared" si="132"/>
        <v>801</v>
      </c>
      <c r="E1486" s="1">
        <f t="shared" si="133"/>
        <v>1670</v>
      </c>
      <c r="F1486" s="1"/>
      <c r="L1486" s="11">
        <v>44027</v>
      </c>
      <c r="M1486" s="9">
        <v>3520</v>
      </c>
      <c r="N1486" s="9">
        <v>801</v>
      </c>
      <c r="O1486" s="9">
        <v>1670</v>
      </c>
      <c r="P1486" s="9">
        <v>0</v>
      </c>
      <c r="R1486" s="11"/>
      <c r="S1486" s="9"/>
      <c r="T1486" s="9"/>
      <c r="U1486" s="9"/>
    </row>
    <row r="1487" spans="2:21" x14ac:dyDescent="0.4">
      <c r="B1487" s="16">
        <f t="shared" si="130"/>
        <v>44028</v>
      </c>
      <c r="C1487" s="1">
        <f t="shared" si="131"/>
        <v>3522</v>
      </c>
      <c r="D1487" s="1">
        <f t="shared" si="132"/>
        <v>801</v>
      </c>
      <c r="E1487" s="1">
        <f t="shared" si="133"/>
        <v>1670</v>
      </c>
      <c r="F1487" s="1"/>
      <c r="L1487" s="11">
        <v>44028</v>
      </c>
      <c r="M1487" s="9">
        <v>3522</v>
      </c>
      <c r="N1487" s="9">
        <v>801</v>
      </c>
      <c r="O1487" s="9">
        <v>1670</v>
      </c>
      <c r="P1487" s="9">
        <v>0</v>
      </c>
      <c r="R1487" s="11"/>
      <c r="S1487" s="9"/>
      <c r="T1487" s="9"/>
      <c r="U1487" s="9"/>
    </row>
    <row r="1488" spans="2:21" x14ac:dyDescent="0.4">
      <c r="B1488" s="16">
        <f t="shared" si="130"/>
        <v>44029</v>
      </c>
      <c r="C1488" s="1">
        <f t="shared" si="131"/>
        <v>3516</v>
      </c>
      <c r="D1488" s="1">
        <f t="shared" si="132"/>
        <v>801</v>
      </c>
      <c r="E1488" s="1">
        <f t="shared" si="133"/>
        <v>1670</v>
      </c>
      <c r="F1488" s="1"/>
      <c r="L1488" s="11">
        <v>44029</v>
      </c>
      <c r="M1488" s="9">
        <v>3516</v>
      </c>
      <c r="N1488" s="9">
        <v>801</v>
      </c>
      <c r="O1488" s="9">
        <v>1670</v>
      </c>
      <c r="P1488" s="9">
        <v>0</v>
      </c>
      <c r="R1488" s="11"/>
      <c r="S1488" s="9"/>
      <c r="T1488" s="9"/>
      <c r="U1488" s="9"/>
    </row>
    <row r="1489" spans="2:21" x14ac:dyDescent="0.4">
      <c r="B1489" s="16">
        <f t="shared" si="130"/>
        <v>44032</v>
      </c>
      <c r="C1489" s="1">
        <f t="shared" si="131"/>
        <v>3499</v>
      </c>
      <c r="D1489" s="1">
        <f t="shared" si="132"/>
        <v>801</v>
      </c>
      <c r="E1489" s="1">
        <f t="shared" si="133"/>
        <v>1670</v>
      </c>
      <c r="F1489" s="1"/>
      <c r="L1489" s="11">
        <v>44032</v>
      </c>
      <c r="M1489" s="9">
        <v>3499</v>
      </c>
      <c r="N1489" s="9">
        <v>801</v>
      </c>
      <c r="O1489" s="9">
        <v>1670</v>
      </c>
      <c r="P1489" s="9">
        <v>0</v>
      </c>
      <c r="R1489" s="11"/>
      <c r="S1489" s="9"/>
      <c r="T1489" s="9"/>
      <c r="U1489" s="9"/>
    </row>
    <row r="1490" spans="2:21" x14ac:dyDescent="0.4">
      <c r="B1490" s="16">
        <f t="shared" si="130"/>
        <v>44033</v>
      </c>
      <c r="C1490" s="1">
        <f t="shared" si="131"/>
        <v>3487</v>
      </c>
      <c r="D1490" s="1">
        <f t="shared" si="132"/>
        <v>801</v>
      </c>
      <c r="E1490" s="1">
        <f t="shared" si="133"/>
        <v>1660</v>
      </c>
      <c r="F1490" s="1"/>
      <c r="L1490" s="11">
        <v>44033</v>
      </c>
      <c r="M1490" s="9">
        <v>3487</v>
      </c>
      <c r="N1490" s="9">
        <v>801</v>
      </c>
      <c r="O1490" s="9">
        <v>1660</v>
      </c>
      <c r="P1490" s="9">
        <v>0</v>
      </c>
      <c r="R1490" s="11"/>
      <c r="S1490" s="9"/>
      <c r="T1490" s="9"/>
      <c r="U1490" s="9"/>
    </row>
    <row r="1491" spans="2:21" x14ac:dyDescent="0.4">
      <c r="B1491" s="16">
        <f t="shared" si="130"/>
        <v>44034</v>
      </c>
      <c r="C1491" s="1">
        <f t="shared" si="131"/>
        <v>3486</v>
      </c>
      <c r="D1491" s="1">
        <f t="shared" si="132"/>
        <v>801</v>
      </c>
      <c r="E1491" s="1">
        <f t="shared" si="133"/>
        <v>1660</v>
      </c>
      <c r="F1491" s="1"/>
      <c r="L1491" s="11">
        <v>44034</v>
      </c>
      <c r="M1491" s="9">
        <v>3486</v>
      </c>
      <c r="N1491" s="9">
        <v>801</v>
      </c>
      <c r="O1491" s="9">
        <v>1660</v>
      </c>
      <c r="P1491" s="9">
        <v>0</v>
      </c>
      <c r="R1491" s="11"/>
      <c r="S1491" s="9"/>
      <c r="T1491" s="9"/>
      <c r="U1491" s="9"/>
    </row>
    <row r="1492" spans="2:21" x14ac:dyDescent="0.4">
      <c r="B1492" s="16">
        <f t="shared" si="130"/>
        <v>44035</v>
      </c>
      <c r="C1492" s="1">
        <f t="shared" si="131"/>
        <v>3472</v>
      </c>
      <c r="D1492" s="1">
        <f t="shared" si="132"/>
        <v>801</v>
      </c>
      <c r="E1492" s="1">
        <f t="shared" si="133"/>
        <v>1655</v>
      </c>
      <c r="F1492" s="1"/>
      <c r="L1492" s="11">
        <v>44035</v>
      </c>
      <c r="M1492" s="9">
        <v>3472</v>
      </c>
      <c r="N1492" s="9">
        <v>801</v>
      </c>
      <c r="O1492" s="9">
        <v>1655</v>
      </c>
      <c r="P1492" s="9">
        <v>0</v>
      </c>
      <c r="R1492" s="11"/>
      <c r="S1492" s="9"/>
      <c r="T1492" s="9"/>
      <c r="U1492" s="9"/>
    </row>
    <row r="1493" spans="2:21" x14ac:dyDescent="0.4">
      <c r="B1493" s="16">
        <f t="shared" si="130"/>
        <v>44036</v>
      </c>
      <c r="C1493" s="1">
        <f t="shared" si="131"/>
        <v>3476</v>
      </c>
      <c r="D1493" s="1">
        <f t="shared" si="132"/>
        <v>801</v>
      </c>
      <c r="E1493" s="1">
        <f t="shared" si="133"/>
        <v>1650</v>
      </c>
      <c r="F1493" s="1"/>
      <c r="L1493" s="11">
        <v>44036</v>
      </c>
      <c r="M1493" s="9">
        <v>3476</v>
      </c>
      <c r="N1493" s="9">
        <v>801</v>
      </c>
      <c r="O1493" s="9">
        <v>1650</v>
      </c>
      <c r="P1493" s="9">
        <v>0</v>
      </c>
      <c r="R1493" s="11"/>
      <c r="S1493" s="9"/>
      <c r="T1493" s="9"/>
      <c r="U1493" s="9"/>
    </row>
    <row r="1494" spans="2:21" x14ac:dyDescent="0.4">
      <c r="B1494" s="16">
        <f t="shared" si="130"/>
        <v>44039</v>
      </c>
      <c r="C1494" s="1">
        <f t="shared" si="131"/>
        <v>3483</v>
      </c>
      <c r="D1494" s="1">
        <f t="shared" si="132"/>
        <v>801</v>
      </c>
      <c r="E1494" s="1">
        <f t="shared" si="133"/>
        <v>1650</v>
      </c>
      <c r="F1494" s="1"/>
      <c r="L1494" s="11">
        <v>44039</v>
      </c>
      <c r="M1494" s="9">
        <v>3483</v>
      </c>
      <c r="N1494" s="9">
        <v>801</v>
      </c>
      <c r="O1494" s="9">
        <v>1650</v>
      </c>
      <c r="P1494" s="9">
        <v>0</v>
      </c>
      <c r="R1494" s="11"/>
      <c r="S1494" s="9"/>
      <c r="T1494" s="9"/>
      <c r="U1494" s="9"/>
    </row>
    <row r="1495" spans="2:21" x14ac:dyDescent="0.4">
      <c r="B1495" s="16">
        <f t="shared" si="130"/>
        <v>44040</v>
      </c>
      <c r="C1495" s="1">
        <f t="shared" si="131"/>
        <v>3483</v>
      </c>
      <c r="D1495" s="1">
        <f t="shared" si="132"/>
        <v>801</v>
      </c>
      <c r="E1495" s="1">
        <f t="shared" si="133"/>
        <v>1645</v>
      </c>
      <c r="F1495" s="1"/>
      <c r="L1495" s="11">
        <v>44040</v>
      </c>
      <c r="M1495" s="9">
        <v>3483</v>
      </c>
      <c r="N1495" s="9">
        <v>801</v>
      </c>
      <c r="O1495" s="9">
        <v>1645</v>
      </c>
      <c r="P1495" s="9">
        <v>0</v>
      </c>
      <c r="R1495" s="11"/>
      <c r="S1495" s="9"/>
      <c r="T1495" s="9"/>
      <c r="U1495" s="9"/>
    </row>
    <row r="1496" spans="2:21" x14ac:dyDescent="0.4">
      <c r="B1496" s="16">
        <f t="shared" si="130"/>
        <v>44041</v>
      </c>
      <c r="C1496" s="1">
        <f t="shared" si="131"/>
        <v>3484</v>
      </c>
      <c r="D1496" s="1">
        <f t="shared" si="132"/>
        <v>801</v>
      </c>
      <c r="E1496" s="1">
        <f t="shared" si="133"/>
        <v>1645</v>
      </c>
      <c r="F1496" s="1"/>
      <c r="L1496" s="11">
        <v>44041</v>
      </c>
      <c r="M1496" s="9">
        <v>3484</v>
      </c>
      <c r="N1496" s="9">
        <v>801</v>
      </c>
      <c r="O1496" s="9">
        <v>1645</v>
      </c>
      <c r="P1496" s="9">
        <v>0</v>
      </c>
      <c r="R1496" s="11"/>
      <c r="S1496" s="9"/>
      <c r="T1496" s="9"/>
      <c r="U1496" s="9"/>
    </row>
    <row r="1497" spans="2:21" x14ac:dyDescent="0.4">
      <c r="B1497" s="16">
        <f t="shared" si="130"/>
        <v>44042</v>
      </c>
      <c r="C1497" s="1">
        <f t="shared" si="131"/>
        <v>3484</v>
      </c>
      <c r="D1497" s="1">
        <f t="shared" si="132"/>
        <v>801</v>
      </c>
      <c r="E1497" s="1">
        <f t="shared" si="133"/>
        <v>1645</v>
      </c>
      <c r="F1497" s="1"/>
      <c r="L1497" s="11">
        <v>44042</v>
      </c>
      <c r="M1497" s="9">
        <v>3484</v>
      </c>
      <c r="N1497" s="9">
        <v>801</v>
      </c>
      <c r="O1497" s="9">
        <v>1645</v>
      </c>
      <c r="P1497" s="9">
        <v>0</v>
      </c>
      <c r="R1497" s="11"/>
      <c r="S1497" s="9"/>
      <c r="T1497" s="9"/>
      <c r="U1497" s="9"/>
    </row>
    <row r="1498" spans="2:21" x14ac:dyDescent="0.4">
      <c r="B1498" s="16">
        <f t="shared" si="130"/>
        <v>44043</v>
      </c>
      <c r="C1498" s="1">
        <f t="shared" si="131"/>
        <v>3485</v>
      </c>
      <c r="D1498" s="1">
        <f t="shared" si="132"/>
        <v>801</v>
      </c>
      <c r="E1498" s="1">
        <f t="shared" si="133"/>
        <v>1650</v>
      </c>
      <c r="F1498" s="1"/>
      <c r="L1498" s="11">
        <v>44043</v>
      </c>
      <c r="M1498" s="9">
        <v>3485</v>
      </c>
      <c r="N1498" s="9">
        <v>801</v>
      </c>
      <c r="O1498" s="9">
        <v>1650</v>
      </c>
      <c r="P1498" s="9">
        <v>0</v>
      </c>
      <c r="R1498" s="11"/>
      <c r="S1498" s="9"/>
      <c r="T1498" s="9"/>
      <c r="U1498" s="9"/>
    </row>
    <row r="1499" spans="2:21" x14ac:dyDescent="0.4">
      <c r="B1499" s="16">
        <f t="shared" si="130"/>
        <v>44046</v>
      </c>
      <c r="C1499" s="1">
        <f t="shared" si="131"/>
        <v>3482</v>
      </c>
      <c r="D1499" s="1">
        <f t="shared" si="132"/>
        <v>801</v>
      </c>
      <c r="E1499" s="1">
        <f t="shared" si="133"/>
        <v>1655</v>
      </c>
      <c r="F1499" s="1"/>
      <c r="L1499" s="11">
        <v>44046</v>
      </c>
      <c r="M1499" s="9">
        <v>3482</v>
      </c>
      <c r="N1499" s="9">
        <v>801</v>
      </c>
      <c r="O1499" s="9">
        <v>1655</v>
      </c>
      <c r="P1499" s="9">
        <v>0</v>
      </c>
      <c r="R1499" s="11"/>
      <c r="S1499" s="9"/>
      <c r="T1499" s="9"/>
      <c r="U1499" s="9"/>
    </row>
    <row r="1500" spans="2:21" x14ac:dyDescent="0.4">
      <c r="B1500" s="16">
        <f t="shared" si="130"/>
        <v>44047</v>
      </c>
      <c r="C1500" s="1">
        <f t="shared" si="131"/>
        <v>3492</v>
      </c>
      <c r="D1500" s="1">
        <f t="shared" si="132"/>
        <v>781</v>
      </c>
      <c r="E1500" s="1">
        <f t="shared" si="133"/>
        <v>1680</v>
      </c>
      <c r="F1500" s="1"/>
      <c r="L1500" s="11">
        <v>44047</v>
      </c>
      <c r="M1500" s="9">
        <v>3492</v>
      </c>
      <c r="N1500" s="9">
        <v>781</v>
      </c>
      <c r="O1500" s="9">
        <v>1680</v>
      </c>
      <c r="P1500" s="9">
        <v>0</v>
      </c>
      <c r="R1500" s="11"/>
      <c r="S1500" s="9"/>
      <c r="T1500" s="9"/>
      <c r="U1500" s="9"/>
    </row>
    <row r="1501" spans="2:21" x14ac:dyDescent="0.4">
      <c r="B1501" s="16">
        <f t="shared" si="130"/>
        <v>44048</v>
      </c>
      <c r="C1501" s="1">
        <f t="shared" si="131"/>
        <v>3498</v>
      </c>
      <c r="D1501" s="1">
        <f t="shared" si="132"/>
        <v>771</v>
      </c>
      <c r="E1501" s="1">
        <f t="shared" si="133"/>
        <v>1690</v>
      </c>
      <c r="F1501" s="1"/>
      <c r="L1501" s="11">
        <v>44048</v>
      </c>
      <c r="M1501" s="9">
        <v>3498</v>
      </c>
      <c r="N1501" s="9">
        <v>771</v>
      </c>
      <c r="O1501" s="9">
        <v>1690</v>
      </c>
      <c r="P1501" s="9">
        <v>0</v>
      </c>
      <c r="R1501" s="11"/>
      <c r="S1501" s="9"/>
      <c r="T1501" s="9"/>
      <c r="U1501" s="9"/>
    </row>
    <row r="1502" spans="2:21" x14ac:dyDescent="0.4">
      <c r="B1502" s="16">
        <f t="shared" si="130"/>
        <v>44049</v>
      </c>
      <c r="C1502" s="1">
        <f t="shared" si="131"/>
        <v>3503</v>
      </c>
      <c r="D1502" s="1">
        <f t="shared" si="132"/>
        <v>771</v>
      </c>
      <c r="E1502" s="1">
        <f t="shared" si="133"/>
        <v>1715</v>
      </c>
      <c r="F1502" s="1"/>
      <c r="L1502" s="11">
        <v>44049</v>
      </c>
      <c r="M1502" s="9">
        <v>3503</v>
      </c>
      <c r="N1502" s="9">
        <v>771</v>
      </c>
      <c r="O1502" s="9">
        <v>1715</v>
      </c>
      <c r="P1502" s="9">
        <v>0</v>
      </c>
      <c r="R1502" s="11"/>
      <c r="S1502" s="9"/>
      <c r="T1502" s="9"/>
      <c r="U1502" s="9"/>
    </row>
    <row r="1503" spans="2:21" x14ac:dyDescent="0.4">
      <c r="B1503" s="16">
        <f t="shared" si="130"/>
        <v>44050</v>
      </c>
      <c r="C1503" s="1">
        <f t="shared" si="131"/>
        <v>3509</v>
      </c>
      <c r="D1503" s="1">
        <f t="shared" si="132"/>
        <v>751</v>
      </c>
      <c r="E1503" s="1">
        <f t="shared" si="133"/>
        <v>1730</v>
      </c>
      <c r="F1503" s="1"/>
      <c r="L1503" s="11">
        <v>44050</v>
      </c>
      <c r="M1503" s="9">
        <v>3509</v>
      </c>
      <c r="N1503" s="9">
        <v>751</v>
      </c>
      <c r="O1503" s="9">
        <v>1730</v>
      </c>
      <c r="P1503" s="9">
        <v>0</v>
      </c>
      <c r="R1503" s="11"/>
      <c r="S1503" s="9"/>
      <c r="T1503" s="9"/>
      <c r="U1503" s="9"/>
    </row>
    <row r="1504" spans="2:21" x14ac:dyDescent="0.4">
      <c r="B1504" s="16">
        <f t="shared" si="130"/>
        <v>44053</v>
      </c>
      <c r="C1504" s="1">
        <f t="shared" si="131"/>
        <v>3526</v>
      </c>
      <c r="D1504" s="1">
        <f t="shared" si="132"/>
        <v>751</v>
      </c>
      <c r="E1504" s="1">
        <f t="shared" si="133"/>
        <v>1730</v>
      </c>
      <c r="F1504" s="1"/>
      <c r="L1504" s="11">
        <v>44053</v>
      </c>
      <c r="M1504" s="9">
        <v>3526</v>
      </c>
      <c r="N1504" s="9">
        <v>751</v>
      </c>
      <c r="O1504" s="9">
        <v>1730</v>
      </c>
      <c r="P1504" s="9">
        <v>0</v>
      </c>
      <c r="R1504" s="11"/>
      <c r="S1504" s="9"/>
      <c r="T1504" s="9"/>
      <c r="U1504" s="9"/>
    </row>
    <row r="1505" spans="2:21" x14ac:dyDescent="0.4">
      <c r="B1505" s="16">
        <f t="shared" si="130"/>
        <v>44054</v>
      </c>
      <c r="C1505" s="1">
        <f t="shared" si="131"/>
        <v>3540</v>
      </c>
      <c r="D1505" s="1">
        <f t="shared" si="132"/>
        <v>751</v>
      </c>
      <c r="E1505" s="1">
        <f t="shared" si="133"/>
        <v>1745</v>
      </c>
      <c r="F1505" s="1"/>
      <c r="L1505" s="11">
        <v>44054</v>
      </c>
      <c r="M1505" s="9">
        <v>3540</v>
      </c>
      <c r="N1505" s="9">
        <v>751</v>
      </c>
      <c r="O1505" s="9">
        <v>1745</v>
      </c>
      <c r="P1505" s="9">
        <v>0</v>
      </c>
      <c r="R1505" s="11"/>
      <c r="S1505" s="9"/>
      <c r="T1505" s="9"/>
      <c r="U1505" s="9"/>
    </row>
    <row r="1506" spans="2:21" x14ac:dyDescent="0.4">
      <c r="B1506" s="16">
        <f t="shared" si="130"/>
        <v>44055</v>
      </c>
      <c r="C1506" s="1">
        <f t="shared" si="131"/>
        <v>3541</v>
      </c>
      <c r="D1506" s="1">
        <f t="shared" si="132"/>
        <v>751</v>
      </c>
      <c r="E1506" s="1">
        <f t="shared" si="133"/>
        <v>1750</v>
      </c>
      <c r="F1506" s="1"/>
      <c r="L1506" s="11">
        <v>44055</v>
      </c>
      <c r="M1506" s="9">
        <v>3541</v>
      </c>
      <c r="N1506" s="9">
        <v>751</v>
      </c>
      <c r="O1506" s="9">
        <v>1750</v>
      </c>
      <c r="P1506" s="9">
        <v>0</v>
      </c>
      <c r="R1506" s="11"/>
      <c r="S1506" s="9"/>
      <c r="T1506" s="9"/>
      <c r="U1506" s="9"/>
    </row>
    <row r="1507" spans="2:21" x14ac:dyDescent="0.4">
      <c r="B1507" s="16">
        <f t="shared" si="130"/>
        <v>44056</v>
      </c>
      <c r="C1507" s="1">
        <f t="shared" si="131"/>
        <v>3537</v>
      </c>
      <c r="D1507" s="1">
        <f t="shared" si="132"/>
        <v>751</v>
      </c>
      <c r="E1507" s="1">
        <f t="shared" si="133"/>
        <v>1755</v>
      </c>
      <c r="F1507" s="1"/>
      <c r="L1507" s="11">
        <v>44056</v>
      </c>
      <c r="M1507" s="9">
        <v>3537</v>
      </c>
      <c r="N1507" s="9">
        <v>751</v>
      </c>
      <c r="O1507" s="9">
        <v>1755</v>
      </c>
      <c r="P1507" s="9">
        <v>0</v>
      </c>
      <c r="R1507" s="11"/>
      <c r="S1507" s="9"/>
      <c r="T1507" s="9"/>
      <c r="U1507" s="9"/>
    </row>
    <row r="1508" spans="2:21" x14ac:dyDescent="0.4">
      <c r="B1508" s="16">
        <f t="shared" si="130"/>
        <v>44057</v>
      </c>
      <c r="C1508" s="1">
        <f t="shared" si="131"/>
        <v>3537</v>
      </c>
      <c r="D1508" s="1">
        <f t="shared" si="132"/>
        <v>741</v>
      </c>
      <c r="E1508" s="1">
        <f t="shared" si="133"/>
        <v>1760</v>
      </c>
      <c r="F1508" s="1"/>
      <c r="L1508" s="11">
        <v>44057</v>
      </c>
      <c r="M1508" s="9">
        <v>3537</v>
      </c>
      <c r="N1508" s="9">
        <v>741</v>
      </c>
      <c r="O1508" s="9">
        <v>1760</v>
      </c>
      <c r="P1508" s="9">
        <v>0</v>
      </c>
      <c r="R1508" s="11"/>
      <c r="S1508" s="9"/>
      <c r="T1508" s="9"/>
      <c r="U1508" s="9"/>
    </row>
    <row r="1509" spans="2:21" x14ac:dyDescent="0.4">
      <c r="B1509" s="16">
        <f t="shared" si="130"/>
        <v>44060</v>
      </c>
      <c r="C1509" s="1">
        <f t="shared" si="131"/>
        <v>3537</v>
      </c>
      <c r="D1509" s="1">
        <f t="shared" si="132"/>
        <v>721</v>
      </c>
      <c r="E1509" s="1">
        <f t="shared" si="133"/>
        <v>1760</v>
      </c>
      <c r="F1509" s="1"/>
      <c r="L1509" s="11">
        <v>44060</v>
      </c>
      <c r="M1509" s="9">
        <v>3537</v>
      </c>
      <c r="N1509" s="9">
        <v>721</v>
      </c>
      <c r="O1509" s="9">
        <v>1760</v>
      </c>
      <c r="P1509" s="9">
        <v>0</v>
      </c>
      <c r="R1509" s="11"/>
      <c r="S1509" s="9"/>
      <c r="T1509" s="9"/>
      <c r="U1509" s="9"/>
    </row>
    <row r="1510" spans="2:21" x14ac:dyDescent="0.4">
      <c r="B1510" s="16">
        <f t="shared" si="130"/>
        <v>44061</v>
      </c>
      <c r="C1510" s="1">
        <f t="shared" si="131"/>
        <v>3546</v>
      </c>
      <c r="D1510" s="1">
        <f t="shared" si="132"/>
        <v>721</v>
      </c>
      <c r="E1510" s="1">
        <f t="shared" si="133"/>
        <v>1735</v>
      </c>
      <c r="F1510" s="1"/>
      <c r="L1510" s="11">
        <v>44061</v>
      </c>
      <c r="M1510" s="9">
        <v>3546</v>
      </c>
      <c r="N1510" s="9">
        <v>721</v>
      </c>
      <c r="O1510" s="9">
        <v>1735</v>
      </c>
      <c r="P1510" s="9">
        <v>0</v>
      </c>
      <c r="R1510" s="11"/>
      <c r="S1510" s="9"/>
      <c r="T1510" s="9"/>
      <c r="U1510" s="9"/>
    </row>
    <row r="1511" spans="2:21" x14ac:dyDescent="0.4">
      <c r="B1511" s="16">
        <f t="shared" si="130"/>
        <v>44062</v>
      </c>
      <c r="C1511" s="1">
        <f t="shared" si="131"/>
        <v>3546</v>
      </c>
      <c r="D1511" s="1">
        <f t="shared" si="132"/>
        <v>721</v>
      </c>
      <c r="E1511" s="1">
        <f t="shared" si="133"/>
        <v>1720</v>
      </c>
      <c r="F1511" s="1"/>
      <c r="L1511" s="11">
        <v>44062</v>
      </c>
      <c r="M1511" s="9">
        <v>3546</v>
      </c>
      <c r="N1511" s="9">
        <v>721</v>
      </c>
      <c r="O1511" s="9">
        <v>1720</v>
      </c>
      <c r="P1511" s="9">
        <v>0</v>
      </c>
      <c r="R1511" s="11"/>
      <c r="S1511" s="9"/>
      <c r="T1511" s="9"/>
      <c r="U1511" s="9"/>
    </row>
    <row r="1512" spans="2:21" x14ac:dyDescent="0.4">
      <c r="B1512" s="16">
        <f t="shared" si="130"/>
        <v>44063</v>
      </c>
      <c r="C1512" s="1">
        <f t="shared" si="131"/>
        <v>3553</v>
      </c>
      <c r="D1512" s="1">
        <f t="shared" si="132"/>
        <v>691</v>
      </c>
      <c r="E1512" s="1">
        <f t="shared" si="133"/>
        <v>1720</v>
      </c>
      <c r="F1512" s="1"/>
      <c r="L1512" s="11">
        <v>44063</v>
      </c>
      <c r="M1512" s="9">
        <v>3553</v>
      </c>
      <c r="N1512" s="9">
        <v>691</v>
      </c>
      <c r="O1512" s="9">
        <v>1720</v>
      </c>
      <c r="P1512" s="9">
        <v>0</v>
      </c>
      <c r="R1512" s="11"/>
      <c r="S1512" s="9"/>
      <c r="T1512" s="9"/>
      <c r="U1512" s="9"/>
    </row>
    <row r="1513" spans="2:21" x14ac:dyDescent="0.4">
      <c r="B1513" s="16">
        <f t="shared" si="130"/>
        <v>44064</v>
      </c>
      <c r="C1513" s="1">
        <f t="shared" si="131"/>
        <v>3560</v>
      </c>
      <c r="D1513" s="1">
        <f t="shared" si="132"/>
        <v>716</v>
      </c>
      <c r="E1513" s="1">
        <f t="shared" si="133"/>
        <v>1715</v>
      </c>
      <c r="F1513" s="1"/>
      <c r="L1513" s="11">
        <v>44064</v>
      </c>
      <c r="M1513" s="9">
        <v>3560</v>
      </c>
      <c r="N1513" s="9">
        <v>716</v>
      </c>
      <c r="O1513" s="9">
        <v>1715</v>
      </c>
      <c r="P1513" s="9">
        <v>0</v>
      </c>
      <c r="R1513" s="11"/>
      <c r="S1513" s="9"/>
      <c r="T1513" s="9"/>
      <c r="U1513" s="9"/>
    </row>
    <row r="1514" spans="2:21" x14ac:dyDescent="0.4">
      <c r="B1514" s="16">
        <f t="shared" si="130"/>
        <v>44067</v>
      </c>
      <c r="C1514" s="1">
        <f t="shared" si="131"/>
        <v>3578</v>
      </c>
      <c r="D1514" s="1">
        <f t="shared" si="132"/>
        <v>716</v>
      </c>
      <c r="E1514" s="1">
        <f t="shared" si="133"/>
        <v>1715</v>
      </c>
      <c r="F1514" s="1"/>
      <c r="L1514" s="11">
        <v>44067</v>
      </c>
      <c r="M1514" s="9">
        <v>3578</v>
      </c>
      <c r="N1514" s="9">
        <v>716</v>
      </c>
      <c r="O1514" s="9">
        <v>1715</v>
      </c>
      <c r="P1514" s="9">
        <v>0</v>
      </c>
      <c r="R1514" s="11"/>
      <c r="S1514" s="9"/>
      <c r="T1514" s="9"/>
      <c r="U1514" s="9"/>
    </row>
    <row r="1515" spans="2:21" x14ac:dyDescent="0.4">
      <c r="B1515" s="16">
        <f t="shared" si="130"/>
        <v>44068</v>
      </c>
      <c r="C1515" s="1">
        <f t="shared" si="131"/>
        <v>3587</v>
      </c>
      <c r="D1515" s="1">
        <f t="shared" si="132"/>
        <v>721</v>
      </c>
      <c r="E1515" s="1">
        <f t="shared" si="133"/>
        <v>1695</v>
      </c>
      <c r="F1515" s="1"/>
      <c r="L1515" s="11">
        <v>44068</v>
      </c>
      <c r="M1515" s="9">
        <v>3587</v>
      </c>
      <c r="N1515" s="9">
        <v>721</v>
      </c>
      <c r="O1515" s="9">
        <v>1695</v>
      </c>
      <c r="P1515" s="9">
        <v>0</v>
      </c>
      <c r="R1515" s="11"/>
      <c r="S1515" s="9"/>
      <c r="T1515" s="9"/>
      <c r="U1515" s="9"/>
    </row>
    <row r="1516" spans="2:21" x14ac:dyDescent="0.4">
      <c r="B1516" s="16">
        <f t="shared" si="130"/>
        <v>44069</v>
      </c>
      <c r="C1516" s="1">
        <f t="shared" si="131"/>
        <v>3597</v>
      </c>
      <c r="D1516" s="1">
        <f t="shared" si="132"/>
        <v>721</v>
      </c>
      <c r="E1516" s="1">
        <f t="shared" si="133"/>
        <v>1690</v>
      </c>
      <c r="F1516" s="1"/>
      <c r="L1516" s="11">
        <v>44069</v>
      </c>
      <c r="M1516" s="9">
        <v>3597</v>
      </c>
      <c r="N1516" s="9">
        <v>721</v>
      </c>
      <c r="O1516" s="9">
        <v>1690</v>
      </c>
      <c r="P1516" s="9">
        <v>0</v>
      </c>
      <c r="R1516" s="11"/>
      <c r="S1516" s="9"/>
      <c r="T1516" s="9"/>
      <c r="U1516" s="9"/>
    </row>
    <row r="1517" spans="2:21" x14ac:dyDescent="0.4">
      <c r="B1517" s="16">
        <f t="shared" si="130"/>
        <v>44070</v>
      </c>
      <c r="C1517" s="1">
        <f t="shared" si="131"/>
        <v>3604</v>
      </c>
      <c r="D1517" s="1">
        <f t="shared" si="132"/>
        <v>721</v>
      </c>
      <c r="E1517" s="1">
        <f t="shared" si="133"/>
        <v>1680</v>
      </c>
      <c r="F1517" s="1"/>
      <c r="L1517" s="11">
        <v>44070</v>
      </c>
      <c r="M1517" s="9">
        <v>3604</v>
      </c>
      <c r="N1517" s="9">
        <v>721</v>
      </c>
      <c r="O1517" s="9">
        <v>1680</v>
      </c>
      <c r="P1517" s="9">
        <v>0</v>
      </c>
      <c r="R1517" s="11"/>
      <c r="S1517" s="9"/>
      <c r="T1517" s="9"/>
      <c r="U1517" s="9"/>
    </row>
    <row r="1518" spans="2:21" x14ac:dyDescent="0.4">
      <c r="B1518" s="16">
        <f t="shared" si="130"/>
        <v>44071</v>
      </c>
      <c r="C1518" s="1">
        <f t="shared" si="131"/>
        <v>3609</v>
      </c>
      <c r="D1518" s="1">
        <f t="shared" si="132"/>
        <v>726</v>
      </c>
      <c r="E1518" s="1">
        <f t="shared" si="133"/>
        <v>1690</v>
      </c>
      <c r="F1518" s="1"/>
      <c r="L1518" s="11">
        <v>44071</v>
      </c>
      <c r="M1518" s="9">
        <v>3609</v>
      </c>
      <c r="N1518" s="9">
        <v>726</v>
      </c>
      <c r="O1518" s="9">
        <v>1690</v>
      </c>
      <c r="P1518" s="9">
        <v>0</v>
      </c>
      <c r="R1518" s="11"/>
      <c r="S1518" s="9"/>
      <c r="T1518" s="9"/>
      <c r="U1518" s="9"/>
    </row>
    <row r="1519" spans="2:21" x14ac:dyDescent="0.4">
      <c r="B1519" s="16">
        <f t="shared" si="130"/>
        <v>44074</v>
      </c>
      <c r="C1519" s="1">
        <f t="shared" si="131"/>
        <v>3627</v>
      </c>
      <c r="D1519" s="1">
        <f t="shared" si="132"/>
        <v>741</v>
      </c>
      <c r="E1519" s="1">
        <f t="shared" si="133"/>
        <v>1705</v>
      </c>
      <c r="F1519" s="1"/>
      <c r="L1519" s="11">
        <v>44074</v>
      </c>
      <c r="M1519" s="9">
        <v>3627</v>
      </c>
      <c r="N1519" s="9">
        <v>741</v>
      </c>
      <c r="O1519" s="9">
        <v>1705</v>
      </c>
      <c r="P1519" s="9">
        <v>0</v>
      </c>
      <c r="R1519" s="11"/>
      <c r="S1519" s="9"/>
      <c r="T1519" s="9"/>
      <c r="U1519" s="9"/>
    </row>
    <row r="1520" spans="2:21" x14ac:dyDescent="0.4">
      <c r="B1520" s="16">
        <f t="shared" si="130"/>
        <v>44075</v>
      </c>
      <c r="C1520" s="1">
        <f t="shared" si="131"/>
        <v>3650</v>
      </c>
      <c r="D1520" s="1">
        <f t="shared" si="132"/>
        <v>751</v>
      </c>
      <c r="E1520" s="1">
        <f t="shared" si="133"/>
        <v>1710</v>
      </c>
      <c r="F1520" s="1"/>
      <c r="L1520" s="11">
        <v>44075</v>
      </c>
      <c r="M1520" s="9">
        <v>3650</v>
      </c>
      <c r="N1520" s="9">
        <v>751</v>
      </c>
      <c r="O1520" s="9">
        <v>1710</v>
      </c>
      <c r="P1520" s="9">
        <v>0</v>
      </c>
      <c r="R1520" s="11"/>
      <c r="S1520" s="9"/>
      <c r="T1520" s="9"/>
      <c r="U1520" s="9"/>
    </row>
    <row r="1521" spans="2:21" x14ac:dyDescent="0.4">
      <c r="B1521" s="16">
        <f t="shared" si="130"/>
        <v>44076</v>
      </c>
      <c r="C1521" s="1">
        <f t="shared" si="131"/>
        <v>3680</v>
      </c>
      <c r="D1521" s="1">
        <f t="shared" si="132"/>
        <v>761</v>
      </c>
      <c r="E1521" s="1">
        <f t="shared" si="133"/>
        <v>1715</v>
      </c>
      <c r="F1521" s="1"/>
      <c r="L1521" s="11">
        <v>44076</v>
      </c>
      <c r="M1521" s="9">
        <v>3680</v>
      </c>
      <c r="N1521" s="9">
        <v>761</v>
      </c>
      <c r="O1521" s="9">
        <v>1715</v>
      </c>
      <c r="P1521" s="9">
        <v>0</v>
      </c>
      <c r="R1521" s="11"/>
      <c r="S1521" s="9"/>
      <c r="T1521" s="9"/>
      <c r="U1521" s="9"/>
    </row>
    <row r="1522" spans="2:21" x14ac:dyDescent="0.4">
      <c r="B1522" s="16">
        <f t="shared" si="130"/>
        <v>44077</v>
      </c>
      <c r="C1522" s="1">
        <f t="shared" si="131"/>
        <v>3706</v>
      </c>
      <c r="D1522" s="1">
        <f t="shared" si="132"/>
        <v>776</v>
      </c>
      <c r="E1522" s="1">
        <f t="shared" si="133"/>
        <v>1710</v>
      </c>
      <c r="F1522" s="1"/>
      <c r="L1522" s="11">
        <v>44077</v>
      </c>
      <c r="M1522" s="9">
        <v>3706</v>
      </c>
      <c r="N1522" s="9">
        <v>776</v>
      </c>
      <c r="O1522" s="9">
        <v>1710</v>
      </c>
      <c r="P1522" s="9">
        <v>0</v>
      </c>
      <c r="R1522" s="11"/>
      <c r="S1522" s="9"/>
      <c r="T1522" s="9"/>
      <c r="U1522" s="9"/>
    </row>
    <row r="1523" spans="2:21" x14ac:dyDescent="0.4">
      <c r="B1523" s="16">
        <f t="shared" si="130"/>
        <v>44078</v>
      </c>
      <c r="C1523" s="1">
        <f t="shared" si="131"/>
        <v>3729</v>
      </c>
      <c r="D1523" s="1">
        <f t="shared" si="132"/>
        <v>776</v>
      </c>
      <c r="E1523" s="1">
        <f t="shared" si="133"/>
        <v>1710</v>
      </c>
      <c r="F1523" s="1"/>
      <c r="L1523" s="11">
        <v>44078</v>
      </c>
      <c r="M1523" s="9">
        <v>3729</v>
      </c>
      <c r="N1523" s="9">
        <v>776</v>
      </c>
      <c r="O1523" s="9">
        <v>1710</v>
      </c>
      <c r="P1523" s="9">
        <v>0</v>
      </c>
      <c r="R1523" s="11"/>
      <c r="S1523" s="9"/>
      <c r="T1523" s="9"/>
      <c r="U1523" s="9"/>
    </row>
    <row r="1524" spans="2:21" x14ac:dyDescent="0.4">
      <c r="B1524" s="16">
        <f t="shared" si="130"/>
        <v>44081</v>
      </c>
      <c r="C1524" s="1">
        <f t="shared" si="131"/>
        <v>3737</v>
      </c>
      <c r="D1524" s="1">
        <f t="shared" si="132"/>
        <v>776</v>
      </c>
      <c r="E1524" s="1">
        <f t="shared" si="133"/>
        <v>1710</v>
      </c>
      <c r="F1524" s="1"/>
      <c r="L1524" s="11">
        <v>44081</v>
      </c>
      <c r="M1524" s="9">
        <v>3737</v>
      </c>
      <c r="N1524" s="9">
        <v>776</v>
      </c>
      <c r="O1524" s="9">
        <v>1710</v>
      </c>
      <c r="P1524" s="9">
        <v>0</v>
      </c>
      <c r="R1524" s="11"/>
      <c r="S1524" s="9"/>
      <c r="T1524" s="9"/>
      <c r="U1524" s="9"/>
    </row>
    <row r="1525" spans="2:21" x14ac:dyDescent="0.4">
      <c r="B1525" s="16">
        <f t="shared" si="130"/>
        <v>44082</v>
      </c>
      <c r="C1525" s="1">
        <f t="shared" si="131"/>
        <v>3741</v>
      </c>
      <c r="D1525" s="1">
        <f t="shared" si="132"/>
        <v>786</v>
      </c>
      <c r="E1525" s="1">
        <f t="shared" si="133"/>
        <v>1700</v>
      </c>
      <c r="F1525" s="1"/>
      <c r="L1525" s="11">
        <v>44082</v>
      </c>
      <c r="M1525" s="9">
        <v>3741</v>
      </c>
      <c r="N1525" s="9">
        <v>786</v>
      </c>
      <c r="O1525" s="9">
        <v>1700</v>
      </c>
      <c r="P1525" s="9">
        <v>0</v>
      </c>
      <c r="R1525" s="11"/>
      <c r="S1525" s="9"/>
      <c r="T1525" s="9"/>
      <c r="U1525" s="9"/>
    </row>
    <row r="1526" spans="2:21" x14ac:dyDescent="0.4">
      <c r="B1526" s="16">
        <f t="shared" si="130"/>
        <v>44083</v>
      </c>
      <c r="C1526" s="1">
        <f t="shared" si="131"/>
        <v>3732</v>
      </c>
      <c r="D1526" s="1">
        <f t="shared" si="132"/>
        <v>786</v>
      </c>
      <c r="E1526" s="1">
        <f t="shared" si="133"/>
        <v>1700</v>
      </c>
      <c r="F1526" s="1"/>
      <c r="L1526" s="11">
        <v>44083</v>
      </c>
      <c r="M1526" s="9">
        <v>3732</v>
      </c>
      <c r="N1526" s="9">
        <v>786</v>
      </c>
      <c r="O1526" s="9">
        <v>1700</v>
      </c>
      <c r="P1526" s="9">
        <v>0</v>
      </c>
      <c r="R1526" s="11"/>
      <c r="S1526" s="9"/>
      <c r="T1526" s="9"/>
      <c r="U1526" s="9"/>
    </row>
    <row r="1527" spans="2:21" x14ac:dyDescent="0.4">
      <c r="B1527" s="16">
        <f t="shared" si="130"/>
        <v>44084</v>
      </c>
      <c r="C1527" s="1">
        <f t="shared" si="131"/>
        <v>3732</v>
      </c>
      <c r="D1527" s="1">
        <f t="shared" si="132"/>
        <v>786</v>
      </c>
      <c r="E1527" s="1">
        <f t="shared" si="133"/>
        <v>1700</v>
      </c>
      <c r="F1527" s="1"/>
      <c r="L1527" s="11">
        <v>44084</v>
      </c>
      <c r="M1527" s="9">
        <v>3732</v>
      </c>
      <c r="N1527" s="9">
        <v>786</v>
      </c>
      <c r="O1527" s="9">
        <v>1700</v>
      </c>
      <c r="P1527" s="9">
        <v>0</v>
      </c>
      <c r="R1527" s="11"/>
      <c r="S1527" s="9"/>
      <c r="T1527" s="9"/>
      <c r="U1527" s="9"/>
    </row>
    <row r="1528" spans="2:21" x14ac:dyDescent="0.4">
      <c r="B1528" s="16">
        <f t="shared" si="130"/>
        <v>44085</v>
      </c>
      <c r="C1528" s="1">
        <f t="shared" si="131"/>
        <v>3736</v>
      </c>
      <c r="D1528" s="1">
        <f t="shared" si="132"/>
        <v>801</v>
      </c>
      <c r="E1528" s="1">
        <f t="shared" si="133"/>
        <v>1700</v>
      </c>
      <c r="F1528" s="1"/>
      <c r="L1528" s="11">
        <v>44085</v>
      </c>
      <c r="M1528" s="9">
        <v>3736</v>
      </c>
      <c r="N1528" s="9">
        <v>801</v>
      </c>
      <c r="O1528" s="9">
        <v>1700</v>
      </c>
      <c r="P1528" s="9">
        <v>0</v>
      </c>
      <c r="R1528" s="11"/>
      <c r="S1528" s="9"/>
      <c r="T1528" s="9"/>
      <c r="U1528" s="9"/>
    </row>
    <row r="1529" spans="2:21" x14ac:dyDescent="0.4">
      <c r="B1529" s="16">
        <f t="shared" si="130"/>
        <v>44088</v>
      </c>
      <c r="C1529" s="1">
        <f t="shared" si="131"/>
        <v>3743</v>
      </c>
      <c r="D1529" s="1">
        <f t="shared" si="132"/>
        <v>801</v>
      </c>
      <c r="E1529" s="1">
        <f t="shared" si="133"/>
        <v>1690</v>
      </c>
      <c r="F1529" s="1"/>
      <c r="L1529" s="11">
        <v>44088</v>
      </c>
      <c r="M1529" s="9">
        <v>3743</v>
      </c>
      <c r="N1529" s="9">
        <v>801</v>
      </c>
      <c r="O1529" s="9">
        <v>1690</v>
      </c>
      <c r="P1529" s="9">
        <v>0</v>
      </c>
      <c r="R1529" s="11"/>
      <c r="S1529" s="9"/>
      <c r="T1529" s="9"/>
      <c r="U1529" s="9"/>
    </row>
    <row r="1530" spans="2:21" x14ac:dyDescent="0.4">
      <c r="B1530" s="16">
        <f t="shared" si="130"/>
        <v>44089</v>
      </c>
      <c r="C1530" s="1">
        <f t="shared" si="131"/>
        <v>3738</v>
      </c>
      <c r="D1530" s="1">
        <f t="shared" si="132"/>
        <v>806</v>
      </c>
      <c r="E1530" s="1">
        <f t="shared" si="133"/>
        <v>1690</v>
      </c>
      <c r="F1530" s="1"/>
      <c r="L1530" s="11">
        <v>44089</v>
      </c>
      <c r="M1530" s="9">
        <v>3738</v>
      </c>
      <c r="N1530" s="9">
        <v>806</v>
      </c>
      <c r="O1530" s="9">
        <v>1690</v>
      </c>
      <c r="P1530" s="9">
        <v>0</v>
      </c>
      <c r="R1530" s="11"/>
      <c r="S1530" s="9"/>
      <c r="T1530" s="9"/>
      <c r="U1530" s="9"/>
    </row>
    <row r="1531" spans="2:21" x14ac:dyDescent="0.4">
      <c r="B1531" s="16">
        <f t="shared" si="130"/>
        <v>44090</v>
      </c>
      <c r="C1531" s="1">
        <f t="shared" si="131"/>
        <v>3743</v>
      </c>
      <c r="D1531" s="1">
        <f t="shared" si="132"/>
        <v>811</v>
      </c>
      <c r="E1531" s="1">
        <f t="shared" si="133"/>
        <v>1700</v>
      </c>
      <c r="F1531" s="1"/>
      <c r="L1531" s="11">
        <v>44090</v>
      </c>
      <c r="M1531" s="9">
        <v>3743</v>
      </c>
      <c r="N1531" s="9">
        <v>811</v>
      </c>
      <c r="O1531" s="9">
        <v>1700</v>
      </c>
      <c r="P1531" s="9">
        <v>0</v>
      </c>
      <c r="R1531" s="11"/>
      <c r="S1531" s="9"/>
      <c r="T1531" s="9"/>
      <c r="U1531" s="9"/>
    </row>
    <row r="1532" spans="2:21" x14ac:dyDescent="0.4">
      <c r="B1532" s="16">
        <f t="shared" si="130"/>
        <v>44091</v>
      </c>
      <c r="C1532" s="1">
        <f t="shared" si="131"/>
        <v>3751</v>
      </c>
      <c r="D1532" s="1">
        <f t="shared" si="132"/>
        <v>851</v>
      </c>
      <c r="E1532" s="1">
        <f t="shared" si="133"/>
        <v>1710</v>
      </c>
      <c r="F1532" s="1"/>
      <c r="L1532" s="11">
        <v>44091</v>
      </c>
      <c r="M1532" s="9">
        <v>3751</v>
      </c>
      <c r="N1532" s="9">
        <v>851</v>
      </c>
      <c r="O1532" s="9">
        <v>1710</v>
      </c>
      <c r="P1532" s="9">
        <v>0</v>
      </c>
      <c r="R1532" s="11"/>
      <c r="S1532" s="9"/>
      <c r="T1532" s="9"/>
      <c r="U1532" s="9"/>
    </row>
    <row r="1533" spans="2:21" x14ac:dyDescent="0.4">
      <c r="B1533" s="16">
        <f t="shared" si="130"/>
        <v>44092</v>
      </c>
      <c r="C1533" s="1">
        <f t="shared" si="131"/>
        <v>3763</v>
      </c>
      <c r="D1533" s="1">
        <f t="shared" si="132"/>
        <v>851</v>
      </c>
      <c r="E1533" s="1">
        <f t="shared" si="133"/>
        <v>1710</v>
      </c>
      <c r="F1533" s="1"/>
      <c r="L1533" s="11">
        <v>44092</v>
      </c>
      <c r="M1533" s="9">
        <v>3763</v>
      </c>
      <c r="N1533" s="9">
        <v>851</v>
      </c>
      <c r="O1533" s="9">
        <v>1710</v>
      </c>
      <c r="P1533" s="9">
        <v>0</v>
      </c>
      <c r="R1533" s="11"/>
      <c r="S1533" s="9"/>
      <c r="T1533" s="9"/>
      <c r="U1533" s="9"/>
    </row>
    <row r="1534" spans="2:21" x14ac:dyDescent="0.4">
      <c r="B1534" s="16">
        <f t="shared" si="130"/>
        <v>44095</v>
      </c>
      <c r="C1534" s="1">
        <f t="shared" si="131"/>
        <v>3780</v>
      </c>
      <c r="D1534" s="1">
        <f t="shared" si="132"/>
        <v>851</v>
      </c>
      <c r="E1534" s="1">
        <f t="shared" si="133"/>
        <v>1710</v>
      </c>
      <c r="F1534" s="1"/>
      <c r="L1534" s="11">
        <v>44095</v>
      </c>
      <c r="M1534" s="9">
        <v>3780</v>
      </c>
      <c r="N1534" s="9">
        <v>851</v>
      </c>
      <c r="O1534" s="9">
        <v>1710</v>
      </c>
      <c r="P1534" s="9">
        <v>0</v>
      </c>
      <c r="R1534" s="11"/>
      <c r="S1534" s="9"/>
      <c r="T1534" s="9"/>
      <c r="U1534" s="9"/>
    </row>
    <row r="1535" spans="2:21" x14ac:dyDescent="0.4">
      <c r="B1535" s="16">
        <f t="shared" si="130"/>
        <v>44096</v>
      </c>
      <c r="C1535" s="1">
        <f t="shared" si="131"/>
        <v>3785</v>
      </c>
      <c r="D1535" s="1">
        <f t="shared" si="132"/>
        <v>851</v>
      </c>
      <c r="E1535" s="1">
        <f t="shared" si="133"/>
        <v>1710</v>
      </c>
      <c r="F1535" s="1"/>
      <c r="L1535" s="11">
        <v>44096</v>
      </c>
      <c r="M1535" s="9">
        <v>3785</v>
      </c>
      <c r="N1535" s="9">
        <v>851</v>
      </c>
      <c r="O1535" s="9">
        <v>1710</v>
      </c>
      <c r="P1535" s="9">
        <v>0</v>
      </c>
      <c r="R1535" s="11"/>
      <c r="S1535" s="9"/>
      <c r="T1535" s="9"/>
      <c r="U1535" s="9"/>
    </row>
    <row r="1536" spans="2:21" x14ac:dyDescent="0.4">
      <c r="B1536" s="16">
        <f t="shared" si="130"/>
        <v>44097</v>
      </c>
      <c r="C1536" s="1">
        <f t="shared" si="131"/>
        <v>3778</v>
      </c>
      <c r="D1536" s="1">
        <f t="shared" si="132"/>
        <v>851</v>
      </c>
      <c r="E1536" s="1">
        <f t="shared" si="133"/>
        <v>1710</v>
      </c>
      <c r="F1536" s="1"/>
      <c r="L1536" s="11">
        <v>44097</v>
      </c>
      <c r="M1536" s="9">
        <v>3778</v>
      </c>
      <c r="N1536" s="9">
        <v>851</v>
      </c>
      <c r="O1536" s="9">
        <v>1710</v>
      </c>
      <c r="P1536" s="9">
        <v>0</v>
      </c>
      <c r="R1536" s="11"/>
      <c r="S1536" s="9"/>
      <c r="T1536" s="9"/>
      <c r="U1536" s="9"/>
    </row>
    <row r="1537" spans="2:21" x14ac:dyDescent="0.4">
      <c r="B1537" s="16">
        <f t="shared" si="130"/>
        <v>44098</v>
      </c>
      <c r="C1537" s="1">
        <f t="shared" si="131"/>
        <v>3773</v>
      </c>
      <c r="D1537" s="1">
        <f t="shared" si="132"/>
        <v>851</v>
      </c>
      <c r="E1537" s="1">
        <f t="shared" si="133"/>
        <v>1710</v>
      </c>
      <c r="F1537" s="1"/>
      <c r="L1537" s="11">
        <v>44098</v>
      </c>
      <c r="M1537" s="9">
        <v>3773</v>
      </c>
      <c r="N1537" s="9">
        <v>851</v>
      </c>
      <c r="O1537" s="9">
        <v>1710</v>
      </c>
      <c r="P1537" s="9">
        <v>0</v>
      </c>
      <c r="R1537" s="11"/>
      <c r="S1537" s="9"/>
      <c r="T1537" s="9"/>
      <c r="U1537" s="9"/>
    </row>
    <row r="1538" spans="2:21" x14ac:dyDescent="0.4">
      <c r="B1538" s="16">
        <f t="shared" si="130"/>
        <v>44099</v>
      </c>
      <c r="C1538" s="1">
        <f t="shared" si="131"/>
        <v>3771</v>
      </c>
      <c r="D1538" s="1">
        <f t="shared" si="132"/>
        <v>861</v>
      </c>
      <c r="E1538" s="1">
        <f t="shared" si="133"/>
        <v>1710</v>
      </c>
      <c r="F1538" s="1"/>
      <c r="L1538" s="11">
        <v>44099</v>
      </c>
      <c r="M1538" s="9">
        <v>3771</v>
      </c>
      <c r="N1538" s="9">
        <v>861</v>
      </c>
      <c r="O1538" s="9">
        <v>1710</v>
      </c>
      <c r="P1538" s="9">
        <v>0</v>
      </c>
      <c r="R1538" s="11"/>
      <c r="S1538" s="9"/>
      <c r="T1538" s="9"/>
      <c r="U1538" s="9"/>
    </row>
    <row r="1539" spans="2:21" x14ac:dyDescent="0.4">
      <c r="B1539" s="16">
        <f t="shared" si="130"/>
        <v>44101</v>
      </c>
      <c r="C1539" s="1">
        <f t="shared" si="131"/>
        <v>3779</v>
      </c>
      <c r="D1539" s="1">
        <f t="shared" si="132"/>
        <v>861</v>
      </c>
      <c r="E1539" s="1">
        <f t="shared" si="133"/>
        <v>1710</v>
      </c>
      <c r="F1539" s="1"/>
      <c r="L1539" s="11">
        <v>44101</v>
      </c>
      <c r="M1539" s="9">
        <v>3779</v>
      </c>
      <c r="N1539" s="9">
        <v>0</v>
      </c>
      <c r="O1539" s="9">
        <v>1710</v>
      </c>
      <c r="P1539" s="9">
        <v>0</v>
      </c>
      <c r="R1539" s="11"/>
      <c r="S1539" s="9"/>
      <c r="T1539" s="9"/>
      <c r="U1539" s="9"/>
    </row>
    <row r="1540" spans="2:21" x14ac:dyDescent="0.4">
      <c r="B1540" s="16">
        <f t="shared" si="130"/>
        <v>44102</v>
      </c>
      <c r="C1540" s="1">
        <f t="shared" si="131"/>
        <v>3780</v>
      </c>
      <c r="D1540" s="1">
        <f t="shared" si="132"/>
        <v>861</v>
      </c>
      <c r="E1540" s="1">
        <f t="shared" si="133"/>
        <v>1710</v>
      </c>
      <c r="F1540" s="1"/>
      <c r="L1540" s="11">
        <v>44102</v>
      </c>
      <c r="M1540" s="9">
        <v>3780</v>
      </c>
      <c r="N1540" s="9">
        <v>861</v>
      </c>
      <c r="O1540" s="9">
        <v>1710</v>
      </c>
      <c r="P1540" s="9">
        <v>0</v>
      </c>
      <c r="R1540" s="11"/>
      <c r="S1540" s="9"/>
      <c r="T1540" s="9"/>
      <c r="U1540" s="9"/>
    </row>
    <row r="1541" spans="2:21" x14ac:dyDescent="0.4">
      <c r="B1541" s="16">
        <f t="shared" si="130"/>
        <v>44103</v>
      </c>
      <c r="C1541" s="1">
        <f t="shared" si="131"/>
        <v>3776</v>
      </c>
      <c r="D1541" s="1">
        <f t="shared" si="132"/>
        <v>861</v>
      </c>
      <c r="E1541" s="1">
        <f t="shared" si="133"/>
        <v>1700</v>
      </c>
      <c r="F1541" s="1"/>
      <c r="L1541" s="11">
        <v>44103</v>
      </c>
      <c r="M1541" s="9">
        <v>3776</v>
      </c>
      <c r="N1541" s="9">
        <v>861</v>
      </c>
      <c r="O1541" s="9">
        <v>1700</v>
      </c>
      <c r="P1541" s="9">
        <v>0</v>
      </c>
      <c r="R1541" s="11"/>
      <c r="S1541" s="9"/>
      <c r="T1541" s="9"/>
      <c r="U1541" s="9"/>
    </row>
    <row r="1542" spans="2:21" x14ac:dyDescent="0.4">
      <c r="B1542" s="16">
        <f t="shared" ref="B1542:B1605" si="134">L1542</f>
        <v>44104</v>
      </c>
      <c r="C1542" s="1">
        <f t="shared" si="131"/>
        <v>3774</v>
      </c>
      <c r="D1542" s="1">
        <f t="shared" si="132"/>
        <v>861</v>
      </c>
      <c r="E1542" s="1">
        <f t="shared" si="133"/>
        <v>1700</v>
      </c>
      <c r="F1542" s="1"/>
      <c r="L1542" s="11">
        <v>44104</v>
      </c>
      <c r="M1542" s="9">
        <v>3774</v>
      </c>
      <c r="N1542" s="9">
        <v>861</v>
      </c>
      <c r="O1542" s="9">
        <v>1700</v>
      </c>
      <c r="P1542" s="9">
        <v>0</v>
      </c>
      <c r="R1542" s="11"/>
      <c r="S1542" s="9"/>
      <c r="T1542" s="9"/>
      <c r="U1542" s="9"/>
    </row>
    <row r="1543" spans="2:21" x14ac:dyDescent="0.4">
      <c r="B1543" s="16">
        <f t="shared" si="134"/>
        <v>44105</v>
      </c>
      <c r="C1543" s="1">
        <f t="shared" ref="C1543:C1606" si="135">IF(M1543&lt;&gt;0,M1543,C1542)</f>
        <v>3774</v>
      </c>
      <c r="D1543" s="1">
        <f t="shared" ref="D1543:D1606" si="136">IF(N1543&lt;&gt;0,N1543,D1542)</f>
        <v>861</v>
      </c>
      <c r="E1543" s="1">
        <f t="shared" ref="E1543:E1606" si="137">IF(O1543&lt;&gt;0,O1543,E1542)</f>
        <v>1700</v>
      </c>
      <c r="F1543" s="1"/>
      <c r="L1543" s="11">
        <v>44105</v>
      </c>
      <c r="M1543" s="9">
        <v>0</v>
      </c>
      <c r="N1543" s="9">
        <v>861</v>
      </c>
      <c r="O1543" s="9">
        <v>0</v>
      </c>
      <c r="P1543" s="9">
        <v>0</v>
      </c>
      <c r="R1543" s="11"/>
      <c r="S1543" s="9"/>
      <c r="T1543" s="9"/>
      <c r="U1543" s="9"/>
    </row>
    <row r="1544" spans="2:21" x14ac:dyDescent="0.4">
      <c r="B1544" s="16">
        <f t="shared" si="134"/>
        <v>44106</v>
      </c>
      <c r="C1544" s="1">
        <f t="shared" si="135"/>
        <v>3774</v>
      </c>
      <c r="D1544" s="1">
        <f t="shared" si="136"/>
        <v>861</v>
      </c>
      <c r="E1544" s="1">
        <f t="shared" si="137"/>
        <v>1700</v>
      </c>
      <c r="F1544" s="1"/>
      <c r="L1544" s="11">
        <v>44106</v>
      </c>
      <c r="M1544" s="9">
        <v>0</v>
      </c>
      <c r="N1544" s="9">
        <v>861</v>
      </c>
      <c r="O1544" s="9">
        <v>0</v>
      </c>
      <c r="P1544" s="9">
        <v>0</v>
      </c>
      <c r="R1544" s="11"/>
      <c r="S1544" s="9"/>
      <c r="T1544" s="9"/>
      <c r="U1544" s="9"/>
    </row>
    <row r="1545" spans="2:21" x14ac:dyDescent="0.4">
      <c r="B1545" s="16">
        <f t="shared" si="134"/>
        <v>44109</v>
      </c>
      <c r="C1545" s="1">
        <f t="shared" si="135"/>
        <v>3774</v>
      </c>
      <c r="D1545" s="1">
        <f t="shared" si="136"/>
        <v>861</v>
      </c>
      <c r="E1545" s="1">
        <f t="shared" si="137"/>
        <v>1700</v>
      </c>
      <c r="F1545" s="1"/>
      <c r="L1545" s="11">
        <v>44109</v>
      </c>
      <c r="M1545" s="9">
        <v>0</v>
      </c>
      <c r="N1545" s="9">
        <v>861</v>
      </c>
      <c r="O1545" s="9">
        <v>0</v>
      </c>
      <c r="P1545" s="9">
        <v>0</v>
      </c>
      <c r="R1545" s="11"/>
      <c r="S1545" s="9"/>
      <c r="T1545" s="9"/>
      <c r="U1545" s="9"/>
    </row>
    <row r="1546" spans="2:21" x14ac:dyDescent="0.4">
      <c r="B1546" s="16">
        <f t="shared" si="134"/>
        <v>44110</v>
      </c>
      <c r="C1546" s="1">
        <f t="shared" si="135"/>
        <v>3774</v>
      </c>
      <c r="D1546" s="1">
        <f t="shared" si="136"/>
        <v>861</v>
      </c>
      <c r="E1546" s="1">
        <f t="shared" si="137"/>
        <v>1700</v>
      </c>
      <c r="F1546" s="1"/>
      <c r="L1546" s="11">
        <v>44110</v>
      </c>
      <c r="M1546" s="9">
        <v>0</v>
      </c>
      <c r="N1546" s="9">
        <v>861</v>
      </c>
      <c r="O1546" s="9">
        <v>0</v>
      </c>
      <c r="P1546" s="9">
        <v>0</v>
      </c>
      <c r="R1546" s="11"/>
      <c r="S1546" s="9"/>
      <c r="T1546" s="9"/>
      <c r="U1546" s="9"/>
    </row>
    <row r="1547" spans="2:21" x14ac:dyDescent="0.4">
      <c r="B1547" s="16">
        <f t="shared" si="134"/>
        <v>44111</v>
      </c>
      <c r="C1547" s="1">
        <f t="shared" si="135"/>
        <v>3774</v>
      </c>
      <c r="D1547" s="1">
        <f t="shared" si="136"/>
        <v>861</v>
      </c>
      <c r="E1547" s="1">
        <f t="shared" si="137"/>
        <v>1700</v>
      </c>
      <c r="F1547" s="1"/>
      <c r="L1547" s="11">
        <v>44111</v>
      </c>
      <c r="M1547" s="9">
        <v>0</v>
      </c>
      <c r="N1547" s="9">
        <v>861</v>
      </c>
      <c r="O1547" s="9">
        <v>0</v>
      </c>
      <c r="P1547" s="9">
        <v>0</v>
      </c>
      <c r="R1547" s="11"/>
      <c r="S1547" s="9"/>
      <c r="T1547" s="9"/>
      <c r="U1547" s="9"/>
    </row>
    <row r="1548" spans="2:21" x14ac:dyDescent="0.4">
      <c r="B1548" s="16">
        <f t="shared" si="134"/>
        <v>44112</v>
      </c>
      <c r="C1548" s="1">
        <f t="shared" si="135"/>
        <v>3774</v>
      </c>
      <c r="D1548" s="1">
        <f t="shared" si="136"/>
        <v>861</v>
      </c>
      <c r="E1548" s="1">
        <f t="shared" si="137"/>
        <v>1700</v>
      </c>
      <c r="F1548" s="1"/>
      <c r="L1548" s="11">
        <v>44112</v>
      </c>
      <c r="M1548" s="9">
        <v>0</v>
      </c>
      <c r="N1548" s="9">
        <v>861</v>
      </c>
      <c r="O1548" s="9">
        <v>0</v>
      </c>
      <c r="P1548" s="9">
        <v>0</v>
      </c>
      <c r="R1548" s="11"/>
      <c r="S1548" s="9"/>
      <c r="T1548" s="9"/>
      <c r="U1548" s="9"/>
    </row>
    <row r="1549" spans="2:21" x14ac:dyDescent="0.4">
      <c r="B1549" s="16">
        <f t="shared" si="134"/>
        <v>44113</v>
      </c>
      <c r="C1549" s="1">
        <f t="shared" si="135"/>
        <v>3776</v>
      </c>
      <c r="D1549" s="1">
        <f t="shared" si="136"/>
        <v>871</v>
      </c>
      <c r="E1549" s="1">
        <f t="shared" si="137"/>
        <v>1700</v>
      </c>
      <c r="F1549" s="1"/>
      <c r="L1549" s="11">
        <v>44113</v>
      </c>
      <c r="M1549" s="9">
        <v>3776</v>
      </c>
      <c r="N1549" s="9">
        <v>871</v>
      </c>
      <c r="O1549" s="9">
        <v>1700</v>
      </c>
      <c r="P1549" s="9">
        <v>0</v>
      </c>
      <c r="R1549" s="11"/>
      <c r="S1549" s="9"/>
      <c r="T1549" s="9"/>
      <c r="U1549" s="9"/>
    </row>
    <row r="1550" spans="2:21" x14ac:dyDescent="0.4">
      <c r="B1550" s="16">
        <f t="shared" si="134"/>
        <v>44114</v>
      </c>
      <c r="C1550" s="1">
        <f t="shared" si="135"/>
        <v>3790</v>
      </c>
      <c r="D1550" s="1">
        <f t="shared" si="136"/>
        <v>871</v>
      </c>
      <c r="E1550" s="1">
        <f t="shared" si="137"/>
        <v>1700</v>
      </c>
      <c r="F1550" s="1"/>
      <c r="L1550" s="11">
        <v>44114</v>
      </c>
      <c r="M1550" s="9">
        <v>3790</v>
      </c>
      <c r="N1550" s="9">
        <v>0</v>
      </c>
      <c r="O1550" s="9">
        <v>1700</v>
      </c>
      <c r="P1550" s="9">
        <v>0</v>
      </c>
      <c r="R1550" s="11"/>
      <c r="S1550" s="9"/>
      <c r="T1550" s="9"/>
      <c r="U1550" s="9"/>
    </row>
    <row r="1551" spans="2:21" x14ac:dyDescent="0.4">
      <c r="B1551" s="16">
        <f t="shared" si="134"/>
        <v>44116</v>
      </c>
      <c r="C1551" s="1">
        <f t="shared" si="135"/>
        <v>3819</v>
      </c>
      <c r="D1551" s="1">
        <f t="shared" si="136"/>
        <v>871</v>
      </c>
      <c r="E1551" s="1">
        <f t="shared" si="137"/>
        <v>1700</v>
      </c>
      <c r="F1551" s="1"/>
      <c r="L1551" s="11">
        <v>44116</v>
      </c>
      <c r="M1551" s="9">
        <v>3819</v>
      </c>
      <c r="N1551" s="9">
        <v>871</v>
      </c>
      <c r="O1551" s="9">
        <v>1700</v>
      </c>
      <c r="P1551" s="9">
        <v>0</v>
      </c>
      <c r="R1551" s="11"/>
      <c r="S1551" s="9"/>
      <c r="T1551" s="9"/>
      <c r="U1551" s="9"/>
    </row>
    <row r="1552" spans="2:21" x14ac:dyDescent="0.4">
      <c r="B1552" s="16">
        <f t="shared" si="134"/>
        <v>44117</v>
      </c>
      <c r="C1552" s="1">
        <f t="shared" si="135"/>
        <v>3850</v>
      </c>
      <c r="D1552" s="1">
        <f t="shared" si="136"/>
        <v>871</v>
      </c>
      <c r="E1552" s="1">
        <f t="shared" si="137"/>
        <v>1700</v>
      </c>
      <c r="F1552" s="1"/>
      <c r="L1552" s="11">
        <v>44117</v>
      </c>
      <c r="M1552" s="9">
        <v>3850</v>
      </c>
      <c r="N1552" s="9">
        <v>871</v>
      </c>
      <c r="O1552" s="9">
        <v>1700</v>
      </c>
      <c r="P1552" s="9">
        <v>0</v>
      </c>
      <c r="R1552" s="11"/>
      <c r="S1552" s="9"/>
      <c r="T1552" s="9"/>
      <c r="U1552" s="9"/>
    </row>
    <row r="1553" spans="2:21" x14ac:dyDescent="0.4">
      <c r="B1553" s="16">
        <f t="shared" si="134"/>
        <v>44118</v>
      </c>
      <c r="C1553" s="1">
        <f t="shared" si="135"/>
        <v>3882</v>
      </c>
      <c r="D1553" s="1">
        <f t="shared" si="136"/>
        <v>856</v>
      </c>
      <c r="E1553" s="1">
        <f t="shared" si="137"/>
        <v>1700</v>
      </c>
      <c r="F1553" s="1"/>
      <c r="L1553" s="11">
        <v>44118</v>
      </c>
      <c r="M1553" s="9">
        <v>3882</v>
      </c>
      <c r="N1553" s="9">
        <v>856</v>
      </c>
      <c r="O1553" s="9">
        <v>1700</v>
      </c>
      <c r="P1553" s="9">
        <v>0</v>
      </c>
      <c r="R1553" s="11"/>
      <c r="S1553" s="9"/>
      <c r="T1553" s="9"/>
      <c r="U1553" s="9"/>
    </row>
    <row r="1554" spans="2:21" x14ac:dyDescent="0.4">
      <c r="B1554" s="16">
        <f t="shared" si="134"/>
        <v>44119</v>
      </c>
      <c r="C1554" s="1">
        <f t="shared" si="135"/>
        <v>3903</v>
      </c>
      <c r="D1554" s="1">
        <f t="shared" si="136"/>
        <v>856</v>
      </c>
      <c r="E1554" s="1">
        <f t="shared" si="137"/>
        <v>1710</v>
      </c>
      <c r="F1554" s="1"/>
      <c r="L1554" s="11">
        <v>44119</v>
      </c>
      <c r="M1554" s="9">
        <v>3903</v>
      </c>
      <c r="N1554" s="9">
        <v>856</v>
      </c>
      <c r="O1554" s="9">
        <v>1710</v>
      </c>
      <c r="P1554" s="9">
        <v>0</v>
      </c>
      <c r="R1554" s="11"/>
      <c r="S1554" s="9"/>
      <c r="T1554" s="9"/>
      <c r="U1554" s="9"/>
    </row>
    <row r="1555" spans="2:21" x14ac:dyDescent="0.4">
      <c r="B1555" s="16">
        <f t="shared" si="134"/>
        <v>44120</v>
      </c>
      <c r="C1555" s="1">
        <f t="shared" si="135"/>
        <v>3923</v>
      </c>
      <c r="D1555" s="1">
        <f t="shared" si="136"/>
        <v>856</v>
      </c>
      <c r="E1555" s="1">
        <f t="shared" si="137"/>
        <v>1720</v>
      </c>
      <c r="F1555" s="1"/>
      <c r="L1555" s="11">
        <v>44120</v>
      </c>
      <c r="M1555" s="9">
        <v>3923</v>
      </c>
      <c r="N1555" s="9">
        <v>856</v>
      </c>
      <c r="O1555" s="9">
        <v>1720</v>
      </c>
      <c r="P1555" s="9">
        <v>0</v>
      </c>
      <c r="R1555" s="11"/>
      <c r="S1555" s="9"/>
      <c r="T1555" s="9"/>
      <c r="U1555" s="9"/>
    </row>
    <row r="1556" spans="2:21" x14ac:dyDescent="0.4">
      <c r="B1556" s="16">
        <f t="shared" si="134"/>
        <v>44123</v>
      </c>
      <c r="C1556" s="1">
        <f t="shared" si="135"/>
        <v>3938</v>
      </c>
      <c r="D1556" s="1">
        <f t="shared" si="136"/>
        <v>841</v>
      </c>
      <c r="E1556" s="1">
        <f t="shared" si="137"/>
        <v>1720</v>
      </c>
      <c r="F1556" s="1"/>
      <c r="L1556" s="11">
        <v>44123</v>
      </c>
      <c r="M1556" s="9">
        <v>3938</v>
      </c>
      <c r="N1556" s="9">
        <v>841</v>
      </c>
      <c r="O1556" s="9">
        <v>1720</v>
      </c>
      <c r="P1556" s="9">
        <v>0</v>
      </c>
      <c r="R1556" s="11"/>
      <c r="S1556" s="9"/>
      <c r="T1556" s="9"/>
      <c r="U1556" s="9"/>
    </row>
    <row r="1557" spans="2:21" x14ac:dyDescent="0.4">
      <c r="B1557" s="16">
        <f t="shared" si="134"/>
        <v>44124</v>
      </c>
      <c r="C1557" s="1">
        <f t="shared" si="135"/>
        <v>3947</v>
      </c>
      <c r="D1557" s="1">
        <f t="shared" si="136"/>
        <v>841</v>
      </c>
      <c r="E1557" s="1">
        <f t="shared" si="137"/>
        <v>1720</v>
      </c>
      <c r="F1557" s="1"/>
      <c r="L1557" s="11">
        <v>44124</v>
      </c>
      <c r="M1557" s="9">
        <v>3947</v>
      </c>
      <c r="N1557" s="9">
        <v>841</v>
      </c>
      <c r="O1557" s="9">
        <v>1720</v>
      </c>
      <c r="P1557" s="9">
        <v>0</v>
      </c>
      <c r="R1557" s="11"/>
      <c r="S1557" s="9"/>
      <c r="T1557" s="9"/>
      <c r="U1557" s="9"/>
    </row>
    <row r="1558" spans="2:21" x14ac:dyDescent="0.4">
      <c r="B1558" s="16">
        <f t="shared" si="134"/>
        <v>44125</v>
      </c>
      <c r="C1558" s="1">
        <f t="shared" si="135"/>
        <v>3951</v>
      </c>
      <c r="D1558" s="1">
        <f t="shared" si="136"/>
        <v>811</v>
      </c>
      <c r="E1558" s="1">
        <f t="shared" si="137"/>
        <v>1720</v>
      </c>
      <c r="F1558" s="1"/>
      <c r="L1558" s="11">
        <v>44125</v>
      </c>
      <c r="M1558" s="9">
        <v>3951</v>
      </c>
      <c r="N1558" s="9">
        <v>811</v>
      </c>
      <c r="O1558" s="9">
        <v>1720</v>
      </c>
      <c r="P1558" s="9">
        <v>0</v>
      </c>
      <c r="R1558" s="11"/>
      <c r="S1558" s="9"/>
      <c r="T1558" s="9"/>
      <c r="U1558" s="9"/>
    </row>
    <row r="1559" spans="2:21" x14ac:dyDescent="0.4">
      <c r="B1559" s="16">
        <f t="shared" si="134"/>
        <v>44126</v>
      </c>
      <c r="C1559" s="1">
        <f t="shared" si="135"/>
        <v>3959</v>
      </c>
      <c r="D1559" s="1">
        <f t="shared" si="136"/>
        <v>811</v>
      </c>
      <c r="E1559" s="1">
        <f t="shared" si="137"/>
        <v>1730</v>
      </c>
      <c r="F1559" s="1"/>
      <c r="L1559" s="11">
        <v>44126</v>
      </c>
      <c r="M1559" s="9">
        <v>3959</v>
      </c>
      <c r="N1559" s="9">
        <v>811</v>
      </c>
      <c r="O1559" s="9">
        <v>1730</v>
      </c>
      <c r="P1559" s="9">
        <v>0</v>
      </c>
      <c r="R1559" s="11"/>
      <c r="S1559" s="9"/>
      <c r="T1559" s="9"/>
      <c r="U1559" s="9"/>
    </row>
    <row r="1560" spans="2:21" x14ac:dyDescent="0.4">
      <c r="B1560" s="16">
        <f t="shared" si="134"/>
        <v>44127</v>
      </c>
      <c r="C1560" s="1">
        <f t="shared" si="135"/>
        <v>3953</v>
      </c>
      <c r="D1560" s="1">
        <f t="shared" si="136"/>
        <v>811</v>
      </c>
      <c r="E1560" s="1">
        <f t="shared" si="137"/>
        <v>1735</v>
      </c>
      <c r="F1560" s="1"/>
      <c r="L1560" s="11">
        <v>44127</v>
      </c>
      <c r="M1560" s="9">
        <v>3953</v>
      </c>
      <c r="N1560" s="9">
        <v>811</v>
      </c>
      <c r="O1560" s="9">
        <v>1735</v>
      </c>
      <c r="P1560" s="9">
        <v>0</v>
      </c>
      <c r="R1560" s="11"/>
      <c r="S1560" s="9"/>
      <c r="T1560" s="9"/>
      <c r="U1560" s="9"/>
    </row>
    <row r="1561" spans="2:21" x14ac:dyDescent="0.4">
      <c r="B1561" s="16">
        <f t="shared" si="134"/>
        <v>44130</v>
      </c>
      <c r="C1561" s="1">
        <f t="shared" si="135"/>
        <v>3962</v>
      </c>
      <c r="D1561" s="1">
        <f t="shared" si="136"/>
        <v>806</v>
      </c>
      <c r="E1561" s="1">
        <f t="shared" si="137"/>
        <v>1735</v>
      </c>
      <c r="F1561" s="1"/>
      <c r="L1561" s="11">
        <v>44130</v>
      </c>
      <c r="M1561" s="9">
        <v>3962</v>
      </c>
      <c r="N1561" s="9">
        <v>806</v>
      </c>
      <c r="O1561" s="9">
        <v>1735</v>
      </c>
      <c r="P1561" s="9">
        <v>0</v>
      </c>
      <c r="R1561" s="11"/>
      <c r="S1561" s="9"/>
      <c r="T1561" s="9"/>
      <c r="U1561" s="9"/>
    </row>
    <row r="1562" spans="2:21" x14ac:dyDescent="0.4">
      <c r="B1562" s="16">
        <f t="shared" si="134"/>
        <v>44131</v>
      </c>
      <c r="C1562" s="1">
        <f t="shared" si="135"/>
        <v>3957</v>
      </c>
      <c r="D1562" s="1">
        <f t="shared" si="136"/>
        <v>791</v>
      </c>
      <c r="E1562" s="1">
        <f t="shared" si="137"/>
        <v>1740</v>
      </c>
      <c r="F1562" s="1"/>
      <c r="L1562" s="11">
        <v>44131</v>
      </c>
      <c r="M1562" s="9">
        <v>3957</v>
      </c>
      <c r="N1562" s="9">
        <v>791</v>
      </c>
      <c r="O1562" s="9">
        <v>1740</v>
      </c>
      <c r="P1562" s="9">
        <v>0</v>
      </c>
      <c r="R1562" s="11"/>
      <c r="S1562" s="9"/>
      <c r="T1562" s="9"/>
      <c r="U1562" s="9"/>
    </row>
    <row r="1563" spans="2:21" x14ac:dyDescent="0.4">
      <c r="B1563" s="16">
        <f t="shared" si="134"/>
        <v>44132</v>
      </c>
      <c r="C1563" s="1">
        <f t="shared" si="135"/>
        <v>3957</v>
      </c>
      <c r="D1563" s="1">
        <f t="shared" si="136"/>
        <v>791</v>
      </c>
      <c r="E1563" s="1">
        <f t="shared" si="137"/>
        <v>1740</v>
      </c>
      <c r="F1563" s="1"/>
      <c r="L1563" s="11">
        <v>44132</v>
      </c>
      <c r="M1563" s="9">
        <v>3957</v>
      </c>
      <c r="N1563" s="9">
        <v>791</v>
      </c>
      <c r="O1563" s="9">
        <v>1740</v>
      </c>
      <c r="P1563" s="9">
        <v>0</v>
      </c>
      <c r="R1563" s="11"/>
      <c r="S1563" s="9"/>
      <c r="T1563" s="9"/>
      <c r="U1563" s="9"/>
    </row>
    <row r="1564" spans="2:21" x14ac:dyDescent="0.4">
      <c r="B1564" s="16">
        <f t="shared" si="134"/>
        <v>44133</v>
      </c>
      <c r="C1564" s="1">
        <f t="shared" si="135"/>
        <v>3964</v>
      </c>
      <c r="D1564" s="1">
        <f t="shared" si="136"/>
        <v>776</v>
      </c>
      <c r="E1564" s="1">
        <f t="shared" si="137"/>
        <v>1765</v>
      </c>
      <c r="F1564" s="1"/>
      <c r="L1564" s="11">
        <v>44133</v>
      </c>
      <c r="M1564" s="9">
        <v>3964</v>
      </c>
      <c r="N1564" s="9">
        <v>776</v>
      </c>
      <c r="O1564" s="9">
        <v>1765</v>
      </c>
      <c r="P1564" s="9">
        <v>0</v>
      </c>
      <c r="R1564" s="11"/>
      <c r="S1564" s="9"/>
      <c r="T1564" s="9"/>
      <c r="U1564" s="9"/>
    </row>
    <row r="1565" spans="2:21" x14ac:dyDescent="0.4">
      <c r="B1565" s="16">
        <f t="shared" si="134"/>
        <v>44134</v>
      </c>
      <c r="C1565" s="1">
        <f t="shared" si="135"/>
        <v>3974</v>
      </c>
      <c r="D1565" s="1">
        <f t="shared" si="136"/>
        <v>746</v>
      </c>
      <c r="E1565" s="1">
        <f t="shared" si="137"/>
        <v>1785</v>
      </c>
      <c r="F1565" s="1"/>
      <c r="L1565" s="11">
        <v>44134</v>
      </c>
      <c r="M1565" s="9">
        <v>3974</v>
      </c>
      <c r="N1565" s="9">
        <v>746</v>
      </c>
      <c r="O1565" s="9">
        <v>1785</v>
      </c>
      <c r="P1565" s="9">
        <v>0</v>
      </c>
      <c r="R1565" s="11"/>
      <c r="S1565" s="9"/>
      <c r="T1565" s="9"/>
      <c r="U1565" s="9"/>
    </row>
    <row r="1566" spans="2:21" x14ac:dyDescent="0.4">
      <c r="B1566" s="16">
        <f t="shared" si="134"/>
        <v>44137</v>
      </c>
      <c r="C1566" s="1">
        <f t="shared" si="135"/>
        <v>3999</v>
      </c>
      <c r="D1566" s="1">
        <f t="shared" si="136"/>
        <v>746</v>
      </c>
      <c r="E1566" s="1">
        <f t="shared" si="137"/>
        <v>1790</v>
      </c>
      <c r="F1566" s="1"/>
      <c r="L1566" s="11">
        <v>44137</v>
      </c>
      <c r="M1566" s="9">
        <v>3999</v>
      </c>
      <c r="N1566" s="9">
        <v>746</v>
      </c>
      <c r="O1566" s="9">
        <v>1790</v>
      </c>
      <c r="P1566" s="9">
        <v>0</v>
      </c>
      <c r="R1566" s="11"/>
      <c r="S1566" s="9"/>
      <c r="T1566" s="9"/>
      <c r="U1566" s="9"/>
    </row>
    <row r="1567" spans="2:21" x14ac:dyDescent="0.4">
      <c r="B1567" s="16">
        <f t="shared" si="134"/>
        <v>44138</v>
      </c>
      <c r="C1567" s="1">
        <f t="shared" si="135"/>
        <v>4014</v>
      </c>
      <c r="D1567" s="1">
        <f t="shared" si="136"/>
        <v>741</v>
      </c>
      <c r="E1567" s="1">
        <f t="shared" si="137"/>
        <v>1800</v>
      </c>
      <c r="F1567" s="1"/>
      <c r="L1567" s="11">
        <v>44138</v>
      </c>
      <c r="M1567" s="9">
        <v>4014</v>
      </c>
      <c r="N1567" s="9">
        <v>741</v>
      </c>
      <c r="O1567" s="9">
        <v>1800</v>
      </c>
      <c r="P1567" s="9">
        <v>0</v>
      </c>
      <c r="R1567" s="11"/>
      <c r="S1567" s="9"/>
      <c r="T1567" s="9"/>
      <c r="U1567" s="9"/>
    </row>
    <row r="1568" spans="2:21" x14ac:dyDescent="0.4">
      <c r="B1568" s="16">
        <f t="shared" si="134"/>
        <v>44139</v>
      </c>
      <c r="C1568" s="1">
        <f t="shared" si="135"/>
        <v>4018</v>
      </c>
      <c r="D1568" s="1">
        <f t="shared" si="136"/>
        <v>741</v>
      </c>
      <c r="E1568" s="1">
        <f t="shared" si="137"/>
        <v>1800</v>
      </c>
      <c r="F1568" s="1"/>
      <c r="L1568" s="11">
        <v>44139</v>
      </c>
      <c r="M1568" s="9">
        <v>4018</v>
      </c>
      <c r="N1568" s="9">
        <v>741</v>
      </c>
      <c r="O1568" s="9">
        <v>1800</v>
      </c>
      <c r="P1568" s="9">
        <v>0</v>
      </c>
      <c r="R1568" s="11"/>
      <c r="S1568" s="9"/>
      <c r="T1568" s="9"/>
      <c r="U1568" s="9"/>
    </row>
    <row r="1569" spans="2:21" x14ac:dyDescent="0.4">
      <c r="B1569" s="16">
        <f t="shared" si="134"/>
        <v>44140</v>
      </c>
      <c r="C1569" s="1">
        <f t="shared" si="135"/>
        <v>4007</v>
      </c>
      <c r="D1569" s="1">
        <f t="shared" si="136"/>
        <v>746</v>
      </c>
      <c r="E1569" s="1">
        <f t="shared" si="137"/>
        <v>1800</v>
      </c>
      <c r="F1569" s="1"/>
      <c r="L1569" s="11">
        <v>44140</v>
      </c>
      <c r="M1569" s="9">
        <v>4007</v>
      </c>
      <c r="N1569" s="9">
        <v>746</v>
      </c>
      <c r="O1569" s="9">
        <v>1800</v>
      </c>
      <c r="P1569" s="9">
        <v>0</v>
      </c>
      <c r="R1569" s="11"/>
      <c r="S1569" s="9"/>
      <c r="T1569" s="9"/>
      <c r="U1569" s="9"/>
    </row>
    <row r="1570" spans="2:21" x14ac:dyDescent="0.4">
      <c r="B1570" s="16">
        <f t="shared" si="134"/>
        <v>44141</v>
      </c>
      <c r="C1570" s="1">
        <f t="shared" si="135"/>
        <v>3995</v>
      </c>
      <c r="D1570" s="1">
        <f t="shared" si="136"/>
        <v>771</v>
      </c>
      <c r="E1570" s="1">
        <f t="shared" si="137"/>
        <v>1805</v>
      </c>
      <c r="F1570" s="1"/>
      <c r="L1570" s="11">
        <v>44141</v>
      </c>
      <c r="M1570" s="9">
        <v>3995</v>
      </c>
      <c r="N1570" s="9">
        <v>771</v>
      </c>
      <c r="O1570" s="9">
        <v>1805</v>
      </c>
      <c r="P1570" s="9">
        <v>0</v>
      </c>
      <c r="R1570" s="11"/>
      <c r="S1570" s="9"/>
      <c r="T1570" s="9"/>
      <c r="U1570" s="9"/>
    </row>
    <row r="1571" spans="2:21" x14ac:dyDescent="0.4">
      <c r="B1571" s="16">
        <f t="shared" si="134"/>
        <v>44144</v>
      </c>
      <c r="C1571" s="1">
        <f t="shared" si="135"/>
        <v>4008</v>
      </c>
      <c r="D1571" s="1">
        <f t="shared" si="136"/>
        <v>781</v>
      </c>
      <c r="E1571" s="1">
        <f t="shared" si="137"/>
        <v>1810</v>
      </c>
      <c r="F1571" s="1"/>
      <c r="L1571" s="11">
        <v>44144</v>
      </c>
      <c r="M1571" s="9">
        <v>4008</v>
      </c>
      <c r="N1571" s="9">
        <v>781</v>
      </c>
      <c r="O1571" s="9">
        <v>1810</v>
      </c>
      <c r="P1571" s="9">
        <v>0</v>
      </c>
      <c r="R1571" s="11"/>
      <c r="S1571" s="9"/>
      <c r="T1571" s="9"/>
      <c r="U1571" s="9"/>
    </row>
    <row r="1572" spans="2:21" x14ac:dyDescent="0.4">
      <c r="B1572" s="16">
        <f t="shared" si="134"/>
        <v>44145</v>
      </c>
      <c r="C1572" s="1">
        <f t="shared" si="135"/>
        <v>4035</v>
      </c>
      <c r="D1572" s="1">
        <f t="shared" si="136"/>
        <v>786</v>
      </c>
      <c r="E1572" s="1">
        <f t="shared" si="137"/>
        <v>1810</v>
      </c>
      <c r="F1572" s="1"/>
      <c r="L1572" s="11">
        <v>44145</v>
      </c>
      <c r="M1572" s="9">
        <v>4035</v>
      </c>
      <c r="N1572" s="9">
        <v>786</v>
      </c>
      <c r="O1572" s="9">
        <v>1810</v>
      </c>
      <c r="P1572" s="9">
        <v>0</v>
      </c>
      <c r="R1572" s="11"/>
      <c r="S1572" s="9"/>
      <c r="T1572" s="9"/>
      <c r="U1572" s="9"/>
    </row>
    <row r="1573" spans="2:21" x14ac:dyDescent="0.4">
      <c r="B1573" s="16">
        <f t="shared" si="134"/>
        <v>44146</v>
      </c>
      <c r="C1573" s="1">
        <f t="shared" si="135"/>
        <v>4068</v>
      </c>
      <c r="D1573" s="1">
        <f t="shared" si="136"/>
        <v>841</v>
      </c>
      <c r="E1573" s="1">
        <f t="shared" si="137"/>
        <v>1810</v>
      </c>
      <c r="F1573" s="1"/>
      <c r="L1573" s="11">
        <v>44146</v>
      </c>
      <c r="M1573" s="9">
        <v>4068</v>
      </c>
      <c r="N1573" s="9">
        <v>841</v>
      </c>
      <c r="O1573" s="9">
        <v>1810</v>
      </c>
      <c r="P1573" s="9">
        <v>0</v>
      </c>
      <c r="R1573" s="11"/>
      <c r="S1573" s="9"/>
      <c r="T1573" s="9"/>
      <c r="U1573" s="9"/>
    </row>
    <row r="1574" spans="2:21" x14ac:dyDescent="0.4">
      <c r="B1574" s="16">
        <f t="shared" si="134"/>
        <v>44147</v>
      </c>
      <c r="C1574" s="1">
        <f t="shared" si="135"/>
        <v>4093</v>
      </c>
      <c r="D1574" s="1">
        <f t="shared" si="136"/>
        <v>841</v>
      </c>
      <c r="E1574" s="1">
        <f t="shared" si="137"/>
        <v>1810</v>
      </c>
      <c r="F1574" s="1"/>
      <c r="L1574" s="11">
        <v>44147</v>
      </c>
      <c r="M1574" s="9">
        <v>4093</v>
      </c>
      <c r="N1574" s="9">
        <v>841</v>
      </c>
      <c r="O1574" s="9">
        <v>1810</v>
      </c>
      <c r="P1574" s="9">
        <v>0</v>
      </c>
      <c r="R1574" s="11"/>
      <c r="S1574" s="9"/>
      <c r="T1574" s="9"/>
      <c r="U1574" s="9"/>
    </row>
    <row r="1575" spans="2:21" x14ac:dyDescent="0.4">
      <c r="B1575" s="16">
        <f t="shared" si="134"/>
        <v>44148</v>
      </c>
      <c r="C1575" s="1">
        <f t="shared" si="135"/>
        <v>4132</v>
      </c>
      <c r="D1575" s="1">
        <f t="shared" si="136"/>
        <v>851</v>
      </c>
      <c r="E1575" s="1">
        <f t="shared" si="137"/>
        <v>1825</v>
      </c>
      <c r="F1575" s="1"/>
      <c r="L1575" s="11">
        <v>44148</v>
      </c>
      <c r="M1575" s="9">
        <v>4132</v>
      </c>
      <c r="N1575" s="9">
        <v>851</v>
      </c>
      <c r="O1575" s="9">
        <v>1825</v>
      </c>
      <c r="P1575" s="9">
        <v>0</v>
      </c>
      <c r="R1575" s="11"/>
      <c r="S1575" s="9"/>
      <c r="T1575" s="9"/>
      <c r="U1575" s="9"/>
    </row>
    <row r="1576" spans="2:21" x14ac:dyDescent="0.4">
      <c r="B1576" s="16">
        <f t="shared" si="134"/>
        <v>44151</v>
      </c>
      <c r="C1576" s="1">
        <f t="shared" si="135"/>
        <v>4192</v>
      </c>
      <c r="D1576" s="1">
        <f t="shared" si="136"/>
        <v>851</v>
      </c>
      <c r="E1576" s="1">
        <f t="shared" si="137"/>
        <v>1825</v>
      </c>
      <c r="F1576" s="1"/>
      <c r="L1576" s="11">
        <v>44151</v>
      </c>
      <c r="M1576" s="9">
        <v>4192</v>
      </c>
      <c r="N1576" s="9">
        <v>851</v>
      </c>
      <c r="O1576" s="9">
        <v>1825</v>
      </c>
      <c r="P1576" s="9">
        <v>0</v>
      </c>
      <c r="R1576" s="11"/>
      <c r="S1576" s="9"/>
      <c r="T1576" s="9"/>
      <c r="U1576" s="9"/>
    </row>
    <row r="1577" spans="2:21" x14ac:dyDescent="0.4">
      <c r="B1577" s="16">
        <f t="shared" si="134"/>
        <v>44152</v>
      </c>
      <c r="C1577" s="1">
        <f t="shared" si="135"/>
        <v>4221</v>
      </c>
      <c r="D1577" s="1">
        <f t="shared" si="136"/>
        <v>861</v>
      </c>
      <c r="E1577" s="1">
        <f t="shared" si="137"/>
        <v>1825</v>
      </c>
      <c r="F1577" s="1"/>
      <c r="L1577" s="11">
        <v>44152</v>
      </c>
      <c r="M1577" s="9">
        <v>4221</v>
      </c>
      <c r="N1577" s="9">
        <v>861</v>
      </c>
      <c r="O1577" s="9">
        <v>1825</v>
      </c>
      <c r="P1577" s="9">
        <v>0</v>
      </c>
      <c r="R1577" s="11"/>
      <c r="S1577" s="9"/>
      <c r="T1577" s="9"/>
      <c r="U1577" s="9"/>
    </row>
    <row r="1578" spans="2:21" x14ac:dyDescent="0.4">
      <c r="B1578" s="16">
        <f t="shared" si="134"/>
        <v>44153</v>
      </c>
      <c r="C1578" s="1">
        <f t="shared" si="135"/>
        <v>4231</v>
      </c>
      <c r="D1578" s="1">
        <f t="shared" si="136"/>
        <v>861</v>
      </c>
      <c r="E1578" s="1">
        <f t="shared" si="137"/>
        <v>1820</v>
      </c>
      <c r="F1578" s="1"/>
      <c r="L1578" s="11">
        <v>44153</v>
      </c>
      <c r="M1578" s="9">
        <v>4231</v>
      </c>
      <c r="N1578" s="9">
        <v>861</v>
      </c>
      <c r="O1578" s="9">
        <v>1820</v>
      </c>
      <c r="P1578" s="9">
        <v>0</v>
      </c>
      <c r="R1578" s="11"/>
      <c r="S1578" s="9"/>
      <c r="T1578" s="9"/>
      <c r="U1578" s="9"/>
    </row>
    <row r="1579" spans="2:21" x14ac:dyDescent="0.4">
      <c r="B1579" s="16">
        <f t="shared" si="134"/>
        <v>44154</v>
      </c>
      <c r="C1579" s="1">
        <f t="shared" si="135"/>
        <v>4236</v>
      </c>
      <c r="D1579" s="1">
        <f t="shared" si="136"/>
        <v>926</v>
      </c>
      <c r="E1579" s="1">
        <f t="shared" si="137"/>
        <v>1820</v>
      </c>
      <c r="F1579" s="1"/>
      <c r="L1579" s="11">
        <v>44154</v>
      </c>
      <c r="M1579" s="9">
        <v>4236</v>
      </c>
      <c r="N1579" s="9">
        <v>926</v>
      </c>
      <c r="O1579" s="9">
        <v>1820</v>
      </c>
      <c r="P1579" s="9">
        <v>0</v>
      </c>
      <c r="R1579" s="11"/>
      <c r="S1579" s="9"/>
      <c r="T1579" s="9"/>
      <c r="U1579" s="9"/>
    </row>
    <row r="1580" spans="2:21" x14ac:dyDescent="0.4">
      <c r="B1580" s="16">
        <f t="shared" si="134"/>
        <v>44155</v>
      </c>
      <c r="C1580" s="1">
        <f t="shared" si="135"/>
        <v>4233</v>
      </c>
      <c r="D1580" s="1">
        <f t="shared" si="136"/>
        <v>951</v>
      </c>
      <c r="E1580" s="1">
        <f t="shared" si="137"/>
        <v>1820</v>
      </c>
      <c r="F1580" s="1"/>
      <c r="L1580" s="11">
        <v>44155</v>
      </c>
      <c r="M1580" s="9">
        <v>4233</v>
      </c>
      <c r="N1580" s="9">
        <v>951</v>
      </c>
      <c r="O1580" s="9">
        <v>1820</v>
      </c>
      <c r="P1580" s="9">
        <v>0</v>
      </c>
      <c r="R1580" s="11"/>
      <c r="S1580" s="9"/>
      <c r="T1580" s="9"/>
      <c r="U1580" s="9"/>
    </row>
    <row r="1581" spans="2:21" x14ac:dyDescent="0.4">
      <c r="B1581" s="16">
        <f t="shared" si="134"/>
        <v>44158</v>
      </c>
      <c r="C1581" s="1">
        <f t="shared" si="135"/>
        <v>4261</v>
      </c>
      <c r="D1581" s="1">
        <f t="shared" si="136"/>
        <v>961</v>
      </c>
      <c r="E1581" s="1">
        <f t="shared" si="137"/>
        <v>1820</v>
      </c>
      <c r="F1581" s="1"/>
      <c r="L1581" s="11">
        <v>44158</v>
      </c>
      <c r="M1581" s="9">
        <v>4261</v>
      </c>
      <c r="N1581" s="9">
        <v>961</v>
      </c>
      <c r="O1581" s="9">
        <v>1820</v>
      </c>
      <c r="P1581" s="9">
        <v>0</v>
      </c>
      <c r="R1581" s="11"/>
      <c r="S1581" s="9"/>
      <c r="T1581" s="9"/>
      <c r="U1581" s="9"/>
    </row>
    <row r="1582" spans="2:21" x14ac:dyDescent="0.4">
      <c r="B1582" s="16">
        <f t="shared" si="134"/>
        <v>44159</v>
      </c>
      <c r="C1582" s="1">
        <f t="shared" si="135"/>
        <v>4289</v>
      </c>
      <c r="D1582" s="1">
        <f t="shared" si="136"/>
        <v>971</v>
      </c>
      <c r="E1582" s="1">
        <f t="shared" si="137"/>
        <v>1815</v>
      </c>
      <c r="F1582" s="1"/>
      <c r="L1582" s="11">
        <v>44159</v>
      </c>
      <c r="M1582" s="9">
        <v>4289</v>
      </c>
      <c r="N1582" s="9">
        <v>971</v>
      </c>
      <c r="O1582" s="9">
        <v>1815</v>
      </c>
      <c r="P1582" s="9">
        <v>0</v>
      </c>
      <c r="R1582" s="11"/>
      <c r="S1582" s="9"/>
      <c r="T1582" s="9"/>
      <c r="U1582" s="9"/>
    </row>
    <row r="1583" spans="2:21" x14ac:dyDescent="0.4">
      <c r="B1583" s="16">
        <f t="shared" si="134"/>
        <v>44160</v>
      </c>
      <c r="C1583" s="1">
        <f t="shared" si="135"/>
        <v>4296</v>
      </c>
      <c r="D1583" s="1">
        <f t="shared" si="136"/>
        <v>971</v>
      </c>
      <c r="E1583" s="1">
        <f t="shared" si="137"/>
        <v>1815</v>
      </c>
      <c r="F1583" s="1"/>
      <c r="L1583" s="11">
        <v>44160</v>
      </c>
      <c r="M1583" s="9">
        <v>4296</v>
      </c>
      <c r="N1583" s="9">
        <v>971</v>
      </c>
      <c r="O1583" s="9">
        <v>1815</v>
      </c>
      <c r="P1583" s="9">
        <v>0</v>
      </c>
      <c r="R1583" s="11"/>
      <c r="S1583" s="9"/>
      <c r="T1583" s="9"/>
      <c r="U1583" s="9"/>
    </row>
    <row r="1584" spans="2:21" x14ac:dyDescent="0.4">
      <c r="B1584" s="16">
        <f t="shared" si="134"/>
        <v>44161</v>
      </c>
      <c r="C1584" s="1">
        <f t="shared" si="135"/>
        <v>4293</v>
      </c>
      <c r="D1584" s="1">
        <f t="shared" si="136"/>
        <v>971</v>
      </c>
      <c r="E1584" s="1">
        <f t="shared" si="137"/>
        <v>1815</v>
      </c>
      <c r="F1584" s="1"/>
      <c r="L1584" s="11">
        <v>44161</v>
      </c>
      <c r="M1584" s="9">
        <v>4293</v>
      </c>
      <c r="N1584" s="9">
        <v>971</v>
      </c>
      <c r="O1584" s="9">
        <v>1815</v>
      </c>
      <c r="P1584" s="9">
        <v>0</v>
      </c>
      <c r="R1584" s="11"/>
      <c r="S1584" s="9"/>
      <c r="T1584" s="9"/>
      <c r="U1584" s="9"/>
    </row>
    <row r="1585" spans="2:21" x14ac:dyDescent="0.4">
      <c r="B1585" s="16">
        <f t="shared" si="134"/>
        <v>44162</v>
      </c>
      <c r="C1585" s="1">
        <f t="shared" si="135"/>
        <v>4280</v>
      </c>
      <c r="D1585" s="1">
        <f t="shared" si="136"/>
        <v>971</v>
      </c>
      <c r="E1585" s="1">
        <f t="shared" si="137"/>
        <v>1815</v>
      </c>
      <c r="F1585" s="1"/>
      <c r="L1585" s="11">
        <v>44162</v>
      </c>
      <c r="M1585" s="9">
        <v>4280</v>
      </c>
      <c r="N1585" s="9">
        <v>971</v>
      </c>
      <c r="O1585" s="9">
        <v>1815</v>
      </c>
      <c r="P1585" s="9">
        <v>0</v>
      </c>
      <c r="R1585" s="11"/>
      <c r="S1585" s="9"/>
      <c r="T1585" s="9"/>
      <c r="U1585" s="9"/>
    </row>
    <row r="1586" spans="2:21" x14ac:dyDescent="0.4">
      <c r="B1586" s="16">
        <f t="shared" si="134"/>
        <v>44165</v>
      </c>
      <c r="C1586" s="1">
        <f t="shared" si="135"/>
        <v>4281</v>
      </c>
      <c r="D1586" s="1">
        <f t="shared" si="136"/>
        <v>991</v>
      </c>
      <c r="E1586" s="1">
        <f t="shared" si="137"/>
        <v>1815</v>
      </c>
      <c r="F1586" s="1"/>
      <c r="L1586" s="11">
        <v>44165</v>
      </c>
      <c r="M1586" s="9">
        <v>4281</v>
      </c>
      <c r="N1586" s="9">
        <v>991</v>
      </c>
      <c r="O1586" s="9">
        <v>1815</v>
      </c>
      <c r="P1586" s="9">
        <v>0</v>
      </c>
      <c r="R1586" s="11"/>
      <c r="S1586" s="9"/>
      <c r="T1586" s="9"/>
      <c r="U1586" s="9"/>
    </row>
    <row r="1587" spans="2:21" x14ac:dyDescent="0.4">
      <c r="B1587" s="16">
        <f t="shared" si="134"/>
        <v>44166</v>
      </c>
      <c r="C1587" s="1">
        <f t="shared" si="135"/>
        <v>4273</v>
      </c>
      <c r="D1587" s="1">
        <f t="shared" si="136"/>
        <v>991</v>
      </c>
      <c r="E1587" s="1">
        <f t="shared" si="137"/>
        <v>1815</v>
      </c>
      <c r="F1587" s="1"/>
      <c r="L1587" s="11">
        <v>44166</v>
      </c>
      <c r="M1587" s="9">
        <v>4273</v>
      </c>
      <c r="N1587" s="9">
        <v>991</v>
      </c>
      <c r="O1587" s="9">
        <v>1815</v>
      </c>
      <c r="P1587" s="9">
        <v>0</v>
      </c>
      <c r="R1587" s="11"/>
      <c r="S1587" s="9"/>
      <c r="T1587" s="9"/>
      <c r="U1587" s="9"/>
    </row>
    <row r="1588" spans="2:21" x14ac:dyDescent="0.4">
      <c r="B1588" s="16">
        <f t="shared" si="134"/>
        <v>44167</v>
      </c>
      <c r="C1588" s="1">
        <f t="shared" si="135"/>
        <v>4263</v>
      </c>
      <c r="D1588" s="1">
        <f t="shared" si="136"/>
        <v>991</v>
      </c>
      <c r="E1588" s="1">
        <f t="shared" si="137"/>
        <v>1815</v>
      </c>
      <c r="F1588" s="1"/>
      <c r="L1588" s="11">
        <v>44167</v>
      </c>
      <c r="M1588" s="9">
        <v>4263</v>
      </c>
      <c r="N1588" s="9">
        <v>991</v>
      </c>
      <c r="O1588" s="9">
        <v>1815</v>
      </c>
      <c r="P1588" s="9">
        <v>0</v>
      </c>
      <c r="R1588" s="11"/>
      <c r="S1588" s="9"/>
      <c r="T1588" s="9"/>
      <c r="U1588" s="9"/>
    </row>
    <row r="1589" spans="2:21" x14ac:dyDescent="0.4">
      <c r="B1589" s="16">
        <f t="shared" si="134"/>
        <v>44168</v>
      </c>
      <c r="C1589" s="1">
        <f t="shared" si="135"/>
        <v>4248</v>
      </c>
      <c r="D1589" s="1">
        <f t="shared" si="136"/>
        <v>991</v>
      </c>
      <c r="E1589" s="1">
        <f t="shared" si="137"/>
        <v>1815</v>
      </c>
      <c r="F1589" s="1"/>
      <c r="L1589" s="11">
        <v>44168</v>
      </c>
      <c r="M1589" s="9">
        <v>4248</v>
      </c>
      <c r="N1589" s="9">
        <v>991</v>
      </c>
      <c r="O1589" s="9">
        <v>1815</v>
      </c>
      <c r="P1589" s="9">
        <v>0</v>
      </c>
      <c r="R1589" s="11"/>
      <c r="S1589" s="9"/>
      <c r="T1589" s="9"/>
      <c r="U1589" s="9"/>
    </row>
    <row r="1590" spans="2:21" x14ac:dyDescent="0.4">
      <c r="B1590" s="16">
        <f t="shared" si="134"/>
        <v>44169</v>
      </c>
      <c r="C1590" s="1">
        <f t="shared" si="135"/>
        <v>4245</v>
      </c>
      <c r="D1590" s="1">
        <f t="shared" si="136"/>
        <v>981</v>
      </c>
      <c r="E1590" s="1">
        <f t="shared" si="137"/>
        <v>1815</v>
      </c>
      <c r="F1590" s="1"/>
      <c r="L1590" s="11">
        <v>44169</v>
      </c>
      <c r="M1590" s="9">
        <v>4245</v>
      </c>
      <c r="N1590" s="9">
        <v>981</v>
      </c>
      <c r="O1590" s="9">
        <v>1815</v>
      </c>
      <c r="P1590" s="9">
        <v>0</v>
      </c>
      <c r="R1590" s="11"/>
      <c r="S1590" s="9"/>
      <c r="T1590" s="9"/>
      <c r="U1590" s="9"/>
    </row>
    <row r="1591" spans="2:21" x14ac:dyDescent="0.4">
      <c r="B1591" s="16">
        <f t="shared" si="134"/>
        <v>44172</v>
      </c>
      <c r="C1591" s="1">
        <f t="shared" si="135"/>
        <v>4273</v>
      </c>
      <c r="D1591" s="1">
        <f t="shared" si="136"/>
        <v>976</v>
      </c>
      <c r="E1591" s="1">
        <f t="shared" si="137"/>
        <v>1815</v>
      </c>
      <c r="F1591" s="1"/>
      <c r="L1591" s="11">
        <v>44172</v>
      </c>
      <c r="M1591" s="9">
        <v>4273</v>
      </c>
      <c r="N1591" s="9">
        <v>976</v>
      </c>
      <c r="O1591" s="9">
        <v>1815</v>
      </c>
      <c r="P1591" s="9">
        <v>0</v>
      </c>
      <c r="R1591" s="11"/>
      <c r="S1591" s="9"/>
      <c r="T1591" s="9"/>
      <c r="U1591" s="9"/>
    </row>
    <row r="1592" spans="2:21" x14ac:dyDescent="0.4">
      <c r="B1592" s="16">
        <f t="shared" si="134"/>
        <v>44173</v>
      </c>
      <c r="C1592" s="1">
        <f t="shared" si="135"/>
        <v>4299</v>
      </c>
      <c r="D1592" s="1">
        <f t="shared" si="136"/>
        <v>966</v>
      </c>
      <c r="E1592" s="1">
        <f t="shared" si="137"/>
        <v>1820</v>
      </c>
      <c r="F1592" s="1"/>
      <c r="L1592" s="11">
        <v>44173</v>
      </c>
      <c r="M1592" s="9">
        <v>4299</v>
      </c>
      <c r="N1592" s="9">
        <v>966</v>
      </c>
      <c r="O1592" s="9">
        <v>1820</v>
      </c>
      <c r="P1592" s="9">
        <v>0</v>
      </c>
      <c r="R1592" s="11"/>
      <c r="S1592" s="9"/>
      <c r="T1592" s="9"/>
      <c r="U1592" s="9"/>
    </row>
    <row r="1593" spans="2:21" x14ac:dyDescent="0.4">
      <c r="B1593" s="16">
        <f t="shared" si="134"/>
        <v>44174</v>
      </c>
      <c r="C1593" s="1">
        <f t="shared" si="135"/>
        <v>4321</v>
      </c>
      <c r="D1593" s="1">
        <f t="shared" si="136"/>
        <v>961</v>
      </c>
      <c r="E1593" s="1">
        <f t="shared" si="137"/>
        <v>1825</v>
      </c>
      <c r="F1593" s="1"/>
      <c r="L1593" s="11">
        <v>44174</v>
      </c>
      <c r="M1593" s="9">
        <v>4321</v>
      </c>
      <c r="N1593" s="9">
        <v>961</v>
      </c>
      <c r="O1593" s="9">
        <v>1825</v>
      </c>
      <c r="P1593" s="9">
        <v>0</v>
      </c>
      <c r="R1593" s="11"/>
      <c r="S1593" s="9"/>
      <c r="T1593" s="9"/>
      <c r="U1593" s="9"/>
    </row>
    <row r="1594" spans="2:21" x14ac:dyDescent="0.4">
      <c r="B1594" s="16">
        <f t="shared" si="134"/>
        <v>44175</v>
      </c>
      <c r="C1594" s="1">
        <f t="shared" si="135"/>
        <v>4319</v>
      </c>
      <c r="D1594" s="1">
        <f t="shared" si="136"/>
        <v>971</v>
      </c>
      <c r="E1594" s="1">
        <f t="shared" si="137"/>
        <v>1840</v>
      </c>
      <c r="F1594" s="1"/>
      <c r="L1594" s="11">
        <v>44175</v>
      </c>
      <c r="M1594" s="9">
        <v>4319</v>
      </c>
      <c r="N1594" s="9">
        <v>971</v>
      </c>
      <c r="O1594" s="9">
        <v>1840</v>
      </c>
      <c r="P1594" s="9">
        <v>0</v>
      </c>
      <c r="R1594" s="11"/>
      <c r="S1594" s="9"/>
      <c r="T1594" s="9"/>
      <c r="U1594" s="9"/>
    </row>
    <row r="1595" spans="2:21" x14ac:dyDescent="0.4">
      <c r="B1595" s="16">
        <f t="shared" si="134"/>
        <v>44176</v>
      </c>
      <c r="C1595" s="1">
        <f t="shared" si="135"/>
        <v>4319</v>
      </c>
      <c r="D1595" s="1">
        <f t="shared" si="136"/>
        <v>971</v>
      </c>
      <c r="E1595" s="1">
        <f t="shared" si="137"/>
        <v>1840</v>
      </c>
      <c r="F1595" s="1"/>
      <c r="L1595" s="11">
        <v>44176</v>
      </c>
      <c r="M1595" s="9">
        <v>4319</v>
      </c>
      <c r="N1595" s="9">
        <v>971</v>
      </c>
      <c r="O1595" s="9">
        <v>1840</v>
      </c>
      <c r="P1595" s="9">
        <v>0</v>
      </c>
      <c r="R1595" s="11"/>
      <c r="S1595" s="9"/>
      <c r="T1595" s="9"/>
      <c r="U1595" s="9"/>
    </row>
    <row r="1596" spans="2:21" x14ac:dyDescent="0.4">
      <c r="B1596" s="16">
        <f t="shared" si="134"/>
        <v>44179</v>
      </c>
      <c r="C1596" s="1">
        <f t="shared" si="135"/>
        <v>4304</v>
      </c>
      <c r="D1596" s="1">
        <f t="shared" si="136"/>
        <v>971</v>
      </c>
      <c r="E1596" s="1">
        <f t="shared" si="137"/>
        <v>1855</v>
      </c>
      <c r="F1596" s="1"/>
      <c r="L1596" s="11">
        <v>44179</v>
      </c>
      <c r="M1596" s="9">
        <v>4304</v>
      </c>
      <c r="N1596" s="9">
        <v>971</v>
      </c>
      <c r="O1596" s="9">
        <v>1855</v>
      </c>
      <c r="P1596" s="9">
        <v>0</v>
      </c>
      <c r="R1596" s="11"/>
      <c r="S1596" s="9"/>
      <c r="T1596" s="9"/>
      <c r="U1596" s="9"/>
    </row>
    <row r="1597" spans="2:21" x14ac:dyDescent="0.4">
      <c r="B1597" s="16">
        <f t="shared" si="134"/>
        <v>44180</v>
      </c>
      <c r="C1597" s="1">
        <f t="shared" si="135"/>
        <v>4287</v>
      </c>
      <c r="D1597" s="1">
        <f t="shared" si="136"/>
        <v>971</v>
      </c>
      <c r="E1597" s="1">
        <f t="shared" si="137"/>
        <v>1855</v>
      </c>
      <c r="F1597" s="1"/>
      <c r="L1597" s="11">
        <v>44180</v>
      </c>
      <c r="M1597" s="9">
        <v>4287</v>
      </c>
      <c r="N1597" s="9">
        <v>971</v>
      </c>
      <c r="O1597" s="9">
        <v>1855</v>
      </c>
      <c r="P1597" s="9">
        <v>0</v>
      </c>
      <c r="R1597" s="11"/>
      <c r="S1597" s="9"/>
      <c r="T1597" s="9"/>
      <c r="U1597" s="9"/>
    </row>
    <row r="1598" spans="2:21" x14ac:dyDescent="0.4">
      <c r="B1598" s="16">
        <f t="shared" si="134"/>
        <v>44181</v>
      </c>
      <c r="C1598" s="1">
        <f t="shared" si="135"/>
        <v>4275</v>
      </c>
      <c r="D1598" s="1">
        <f t="shared" si="136"/>
        <v>971</v>
      </c>
      <c r="E1598" s="1">
        <f t="shared" si="137"/>
        <v>1850</v>
      </c>
      <c r="F1598" s="1"/>
      <c r="L1598" s="11">
        <v>44181</v>
      </c>
      <c r="M1598" s="9">
        <v>4275</v>
      </c>
      <c r="N1598" s="9">
        <v>971</v>
      </c>
      <c r="O1598" s="9">
        <v>1850</v>
      </c>
      <c r="P1598" s="9">
        <v>0</v>
      </c>
      <c r="R1598" s="11"/>
      <c r="S1598" s="9"/>
      <c r="T1598" s="9"/>
      <c r="U1598" s="9"/>
    </row>
    <row r="1599" spans="2:21" x14ac:dyDescent="0.4">
      <c r="B1599" s="16">
        <f t="shared" si="134"/>
        <v>44182</v>
      </c>
      <c r="C1599" s="1">
        <f t="shared" si="135"/>
        <v>4274</v>
      </c>
      <c r="D1599" s="1">
        <f t="shared" si="136"/>
        <v>991</v>
      </c>
      <c r="E1599" s="1">
        <f t="shared" si="137"/>
        <v>1850</v>
      </c>
      <c r="F1599" s="1"/>
      <c r="L1599" s="11">
        <v>44182</v>
      </c>
      <c r="M1599" s="9">
        <v>4274</v>
      </c>
      <c r="N1599" s="9">
        <v>991</v>
      </c>
      <c r="O1599" s="9">
        <v>1850</v>
      </c>
      <c r="P1599" s="9">
        <v>0</v>
      </c>
      <c r="R1599" s="11"/>
      <c r="S1599" s="9"/>
      <c r="T1599" s="9"/>
      <c r="U1599" s="9"/>
    </row>
    <row r="1600" spans="2:21" x14ac:dyDescent="0.4">
      <c r="B1600" s="16">
        <f t="shared" si="134"/>
        <v>44183</v>
      </c>
      <c r="C1600" s="1">
        <f t="shared" si="135"/>
        <v>4289</v>
      </c>
      <c r="D1600" s="1">
        <f t="shared" si="136"/>
        <v>991</v>
      </c>
      <c r="E1600" s="1">
        <f t="shared" si="137"/>
        <v>1850</v>
      </c>
      <c r="F1600" s="1"/>
      <c r="L1600" s="11">
        <v>44183</v>
      </c>
      <c r="M1600" s="9">
        <v>4289</v>
      </c>
      <c r="N1600" s="9">
        <v>991</v>
      </c>
      <c r="O1600" s="9">
        <v>1850</v>
      </c>
      <c r="P1600" s="9">
        <v>0</v>
      </c>
      <c r="R1600" s="11"/>
      <c r="S1600" s="9"/>
      <c r="T1600" s="9"/>
      <c r="U1600" s="9"/>
    </row>
    <row r="1601" spans="2:21" x14ac:dyDescent="0.4">
      <c r="B1601" s="16">
        <f t="shared" si="134"/>
        <v>44186</v>
      </c>
      <c r="C1601" s="1">
        <f t="shared" si="135"/>
        <v>4289</v>
      </c>
      <c r="D1601" s="1">
        <f t="shared" si="136"/>
        <v>991</v>
      </c>
      <c r="E1601" s="1">
        <f t="shared" si="137"/>
        <v>1845</v>
      </c>
      <c r="F1601" s="1"/>
      <c r="L1601" s="11">
        <v>44186</v>
      </c>
      <c r="M1601" s="9">
        <v>4289</v>
      </c>
      <c r="N1601" s="9">
        <v>991</v>
      </c>
      <c r="O1601" s="9">
        <v>1845</v>
      </c>
      <c r="P1601" s="9">
        <v>0</v>
      </c>
      <c r="R1601" s="11"/>
      <c r="S1601" s="9"/>
      <c r="T1601" s="9"/>
      <c r="U1601" s="9"/>
    </row>
    <row r="1602" spans="2:21" x14ac:dyDescent="0.4">
      <c r="B1602" s="16">
        <f t="shared" si="134"/>
        <v>44187</v>
      </c>
      <c r="C1602" s="1">
        <f t="shared" si="135"/>
        <v>4279</v>
      </c>
      <c r="D1602" s="1">
        <f t="shared" si="136"/>
        <v>991</v>
      </c>
      <c r="E1602" s="1">
        <f t="shared" si="137"/>
        <v>1845</v>
      </c>
      <c r="F1602" s="1"/>
      <c r="L1602" s="11">
        <v>44187</v>
      </c>
      <c r="M1602" s="9">
        <v>4279</v>
      </c>
      <c r="N1602" s="9">
        <v>991</v>
      </c>
      <c r="O1602" s="9">
        <v>1845</v>
      </c>
      <c r="P1602" s="9">
        <v>0</v>
      </c>
      <c r="R1602" s="11"/>
      <c r="S1602" s="9"/>
      <c r="T1602" s="9"/>
      <c r="U1602" s="9"/>
    </row>
    <row r="1603" spans="2:21" x14ac:dyDescent="0.4">
      <c r="B1603" s="16">
        <f t="shared" si="134"/>
        <v>44188</v>
      </c>
      <c r="C1603" s="1">
        <f t="shared" si="135"/>
        <v>4249</v>
      </c>
      <c r="D1603" s="1">
        <f t="shared" si="136"/>
        <v>991</v>
      </c>
      <c r="E1603" s="1">
        <f t="shared" si="137"/>
        <v>1845</v>
      </c>
      <c r="F1603" s="1"/>
      <c r="L1603" s="11">
        <v>44188</v>
      </c>
      <c r="M1603" s="9">
        <v>4249</v>
      </c>
      <c r="N1603" s="9">
        <v>991</v>
      </c>
      <c r="O1603" s="9">
        <v>1845</v>
      </c>
      <c r="P1603" s="9">
        <v>0</v>
      </c>
      <c r="R1603" s="11"/>
      <c r="S1603" s="9"/>
      <c r="T1603" s="9"/>
      <c r="U1603" s="9"/>
    </row>
    <row r="1604" spans="2:21" x14ac:dyDescent="0.4">
      <c r="B1604" s="16">
        <f t="shared" si="134"/>
        <v>44189</v>
      </c>
      <c r="C1604" s="1">
        <f t="shared" si="135"/>
        <v>4226</v>
      </c>
      <c r="D1604" s="1">
        <f t="shared" si="136"/>
        <v>996</v>
      </c>
      <c r="E1604" s="1">
        <f t="shared" si="137"/>
        <v>1850</v>
      </c>
      <c r="F1604" s="1"/>
      <c r="L1604" s="11">
        <v>44189</v>
      </c>
      <c r="M1604" s="9">
        <v>4226</v>
      </c>
      <c r="N1604" s="9">
        <v>996</v>
      </c>
      <c r="O1604" s="9">
        <v>1850</v>
      </c>
      <c r="P1604" s="9">
        <v>0</v>
      </c>
      <c r="R1604" s="11"/>
      <c r="S1604" s="9"/>
      <c r="T1604" s="9"/>
      <c r="U1604" s="9"/>
    </row>
    <row r="1605" spans="2:21" x14ac:dyDescent="0.4">
      <c r="B1605" s="16">
        <f t="shared" si="134"/>
        <v>44190</v>
      </c>
      <c r="C1605" s="1">
        <f t="shared" si="135"/>
        <v>4229</v>
      </c>
      <c r="D1605" s="1">
        <f t="shared" si="136"/>
        <v>996</v>
      </c>
      <c r="E1605" s="1">
        <f t="shared" si="137"/>
        <v>1850</v>
      </c>
      <c r="F1605" s="1"/>
      <c r="L1605" s="11">
        <v>44190</v>
      </c>
      <c r="M1605" s="9">
        <v>4229</v>
      </c>
      <c r="N1605" s="9">
        <v>996</v>
      </c>
      <c r="O1605" s="9">
        <v>1850</v>
      </c>
      <c r="P1605" s="9">
        <v>0</v>
      </c>
      <c r="R1605" s="11"/>
      <c r="S1605" s="9"/>
      <c r="T1605" s="9"/>
      <c r="U1605" s="9"/>
    </row>
    <row r="1606" spans="2:21" x14ac:dyDescent="0.4">
      <c r="B1606" s="16">
        <f t="shared" ref="B1606:B1669" si="138">L1606</f>
        <v>44193</v>
      </c>
      <c r="C1606" s="1">
        <f t="shared" si="135"/>
        <v>4202</v>
      </c>
      <c r="D1606" s="1">
        <f t="shared" si="136"/>
        <v>996</v>
      </c>
      <c r="E1606" s="1">
        <f t="shared" si="137"/>
        <v>1855</v>
      </c>
      <c r="F1606" s="1"/>
      <c r="L1606" s="11">
        <v>44193</v>
      </c>
      <c r="M1606" s="9">
        <v>4202</v>
      </c>
      <c r="N1606" s="9">
        <v>996</v>
      </c>
      <c r="O1606" s="9">
        <v>1855</v>
      </c>
      <c r="P1606" s="9">
        <v>0</v>
      </c>
      <c r="R1606" s="11"/>
      <c r="S1606" s="9"/>
      <c r="T1606" s="9"/>
      <c r="U1606" s="9"/>
    </row>
    <row r="1607" spans="2:21" x14ac:dyDescent="0.4">
      <c r="B1607" s="16">
        <f t="shared" si="138"/>
        <v>44194</v>
      </c>
      <c r="C1607" s="1">
        <f t="shared" ref="C1607:C1670" si="139">IF(M1607&lt;&gt;0,M1607,C1606)</f>
        <v>4160</v>
      </c>
      <c r="D1607" s="1">
        <f t="shared" ref="D1607:D1670" si="140">IF(N1607&lt;&gt;0,N1607,D1606)</f>
        <v>996</v>
      </c>
      <c r="E1607" s="1">
        <f t="shared" ref="E1607:E1670" si="141">IF(O1607&lt;&gt;0,O1607,E1606)</f>
        <v>1855</v>
      </c>
      <c r="F1607" s="1"/>
      <c r="L1607" s="11">
        <v>44194</v>
      </c>
      <c r="M1607" s="9">
        <v>4160</v>
      </c>
      <c r="N1607" s="9">
        <v>996</v>
      </c>
      <c r="O1607" s="9">
        <v>1855</v>
      </c>
      <c r="P1607" s="9">
        <v>0</v>
      </c>
      <c r="R1607" s="11"/>
      <c r="S1607" s="9"/>
      <c r="T1607" s="9"/>
      <c r="U1607" s="9"/>
    </row>
    <row r="1608" spans="2:21" x14ac:dyDescent="0.4">
      <c r="B1608" s="16">
        <f t="shared" si="138"/>
        <v>44195</v>
      </c>
      <c r="C1608" s="1">
        <f t="shared" si="139"/>
        <v>4138</v>
      </c>
      <c r="D1608" s="1">
        <f t="shared" si="140"/>
        <v>996</v>
      </c>
      <c r="E1608" s="1">
        <f t="shared" si="141"/>
        <v>1860</v>
      </c>
      <c r="F1608" s="1"/>
      <c r="L1608" s="11">
        <v>44195</v>
      </c>
      <c r="M1608" s="9">
        <v>4138</v>
      </c>
      <c r="N1608" s="9">
        <v>996</v>
      </c>
      <c r="O1608" s="9">
        <v>1860</v>
      </c>
      <c r="P1608" s="9">
        <v>0</v>
      </c>
      <c r="R1608" s="11"/>
      <c r="S1608" s="9"/>
      <c r="T1608" s="9"/>
      <c r="U1608" s="9"/>
    </row>
    <row r="1609" spans="2:21" x14ac:dyDescent="0.4">
      <c r="B1609" s="16">
        <f t="shared" si="138"/>
        <v>44196</v>
      </c>
      <c r="C1609" s="1">
        <f t="shared" si="139"/>
        <v>4136</v>
      </c>
      <c r="D1609" s="1">
        <f t="shared" si="140"/>
        <v>996</v>
      </c>
      <c r="E1609" s="1">
        <f t="shared" si="141"/>
        <v>1860</v>
      </c>
      <c r="F1609" s="1"/>
      <c r="L1609" s="11">
        <v>44196</v>
      </c>
      <c r="M1609" s="9">
        <v>4136</v>
      </c>
      <c r="N1609" s="9">
        <v>996</v>
      </c>
      <c r="O1609" s="9">
        <v>1860</v>
      </c>
      <c r="P1609" s="9">
        <v>0</v>
      </c>
      <c r="R1609" s="11"/>
      <c r="S1609" s="9"/>
      <c r="T1609" s="9"/>
      <c r="U1609" s="9"/>
    </row>
    <row r="1610" spans="2:21" x14ac:dyDescent="0.4">
      <c r="B1610" s="16">
        <f t="shared" si="138"/>
        <v>44197</v>
      </c>
      <c r="C1610" s="1">
        <f t="shared" si="139"/>
        <v>4136</v>
      </c>
      <c r="D1610" s="1">
        <f t="shared" si="140"/>
        <v>996</v>
      </c>
      <c r="E1610" s="1">
        <f t="shared" si="141"/>
        <v>1860</v>
      </c>
      <c r="F1610" s="1"/>
      <c r="L1610" s="11">
        <v>44197</v>
      </c>
      <c r="M1610" s="9">
        <v>0</v>
      </c>
      <c r="N1610" s="9">
        <v>996</v>
      </c>
      <c r="O1610" s="9">
        <v>0</v>
      </c>
      <c r="P1610" s="9">
        <v>0</v>
      </c>
      <c r="R1610" s="11"/>
      <c r="S1610" s="9"/>
      <c r="T1610" s="9"/>
      <c r="U1610" s="9"/>
    </row>
    <row r="1611" spans="2:21" x14ac:dyDescent="0.4">
      <c r="B1611" s="16">
        <f t="shared" si="138"/>
        <v>44200</v>
      </c>
      <c r="C1611" s="1">
        <f t="shared" si="139"/>
        <v>4153</v>
      </c>
      <c r="D1611" s="1">
        <f t="shared" si="140"/>
        <v>996</v>
      </c>
      <c r="E1611" s="1">
        <f t="shared" si="141"/>
        <v>1855</v>
      </c>
      <c r="F1611" s="1"/>
      <c r="L1611" s="11">
        <v>44200</v>
      </c>
      <c r="M1611" s="9">
        <v>4153</v>
      </c>
      <c r="N1611" s="9">
        <v>996</v>
      </c>
      <c r="O1611" s="9">
        <v>1855</v>
      </c>
      <c r="P1611" s="9">
        <v>0</v>
      </c>
      <c r="R1611" s="11"/>
      <c r="S1611" s="9"/>
      <c r="T1611" s="9"/>
      <c r="U1611" s="9"/>
    </row>
    <row r="1612" spans="2:21" x14ac:dyDescent="0.4">
      <c r="B1612" s="16">
        <f t="shared" si="138"/>
        <v>44201</v>
      </c>
      <c r="C1612" s="1">
        <f t="shared" si="139"/>
        <v>4157</v>
      </c>
      <c r="D1612" s="1">
        <f t="shared" si="140"/>
        <v>996</v>
      </c>
      <c r="E1612" s="1">
        <f t="shared" si="141"/>
        <v>1850</v>
      </c>
      <c r="F1612" s="1"/>
      <c r="L1612" s="11">
        <v>44201</v>
      </c>
      <c r="M1612" s="9">
        <v>4157</v>
      </c>
      <c r="N1612" s="9">
        <v>996</v>
      </c>
      <c r="O1612" s="9">
        <v>1850</v>
      </c>
      <c r="P1612" s="9">
        <v>0</v>
      </c>
      <c r="R1612" s="11"/>
      <c r="S1612" s="9"/>
      <c r="T1612" s="9"/>
      <c r="U1612" s="9"/>
    </row>
    <row r="1613" spans="2:21" x14ac:dyDescent="0.4">
      <c r="B1613" s="16">
        <f t="shared" si="138"/>
        <v>44202</v>
      </c>
      <c r="C1613" s="1">
        <f t="shared" si="139"/>
        <v>4169</v>
      </c>
      <c r="D1613" s="1">
        <f t="shared" si="140"/>
        <v>1001</v>
      </c>
      <c r="E1613" s="1">
        <f t="shared" si="141"/>
        <v>1850</v>
      </c>
      <c r="F1613" s="1"/>
      <c r="L1613" s="11">
        <v>44202</v>
      </c>
      <c r="M1613" s="9">
        <v>4169</v>
      </c>
      <c r="N1613" s="9">
        <v>1001</v>
      </c>
      <c r="O1613" s="9">
        <v>1850</v>
      </c>
      <c r="P1613" s="9">
        <v>0</v>
      </c>
      <c r="R1613" s="11"/>
      <c r="S1613" s="9"/>
      <c r="T1613" s="9"/>
      <c r="U1613" s="9"/>
    </row>
    <row r="1614" spans="2:21" x14ac:dyDescent="0.4">
      <c r="B1614" s="16">
        <f t="shared" si="138"/>
        <v>44203</v>
      </c>
      <c r="C1614" s="1">
        <f t="shared" si="139"/>
        <v>4168</v>
      </c>
      <c r="D1614" s="1">
        <f t="shared" si="140"/>
        <v>1066</v>
      </c>
      <c r="E1614" s="1">
        <f t="shared" si="141"/>
        <v>1855</v>
      </c>
      <c r="F1614" s="1"/>
      <c r="L1614" s="11">
        <v>44203</v>
      </c>
      <c r="M1614" s="9">
        <v>4168</v>
      </c>
      <c r="N1614" s="9">
        <v>1066</v>
      </c>
      <c r="O1614" s="9">
        <v>1855</v>
      </c>
      <c r="P1614" s="9">
        <v>0</v>
      </c>
      <c r="R1614" s="11"/>
      <c r="S1614" s="9"/>
      <c r="T1614" s="9"/>
      <c r="U1614" s="9"/>
    </row>
    <row r="1615" spans="2:21" x14ac:dyDescent="0.4">
      <c r="B1615" s="16">
        <f t="shared" si="138"/>
        <v>44204</v>
      </c>
      <c r="C1615" s="1">
        <f t="shared" si="139"/>
        <v>4168</v>
      </c>
      <c r="D1615" s="1">
        <f t="shared" si="140"/>
        <v>1066</v>
      </c>
      <c r="E1615" s="1">
        <f t="shared" si="141"/>
        <v>1855</v>
      </c>
      <c r="F1615" s="1"/>
      <c r="L1615" s="11">
        <v>44204</v>
      </c>
      <c r="M1615" s="9">
        <v>4168</v>
      </c>
      <c r="N1615" s="9">
        <v>1066</v>
      </c>
      <c r="O1615" s="9">
        <v>1855</v>
      </c>
      <c r="P1615" s="9">
        <v>0</v>
      </c>
      <c r="R1615" s="11"/>
      <c r="S1615" s="9"/>
      <c r="T1615" s="9"/>
      <c r="U1615" s="9"/>
    </row>
    <row r="1616" spans="2:21" x14ac:dyDescent="0.4">
      <c r="B1616" s="16">
        <f t="shared" si="138"/>
        <v>44207</v>
      </c>
      <c r="C1616" s="1">
        <f t="shared" si="139"/>
        <v>4157</v>
      </c>
      <c r="D1616" s="1">
        <f t="shared" si="140"/>
        <v>1061</v>
      </c>
      <c r="E1616" s="1">
        <f t="shared" si="141"/>
        <v>1885</v>
      </c>
      <c r="F1616" s="1"/>
      <c r="L1616" s="11">
        <v>44207</v>
      </c>
      <c r="M1616" s="9">
        <v>4157</v>
      </c>
      <c r="N1616" s="9">
        <v>1061</v>
      </c>
      <c r="O1616" s="9">
        <v>1885</v>
      </c>
      <c r="P1616" s="9">
        <v>0</v>
      </c>
      <c r="R1616" s="11"/>
      <c r="S1616" s="9"/>
      <c r="T1616" s="9"/>
      <c r="U1616" s="9"/>
    </row>
    <row r="1617" spans="2:21" x14ac:dyDescent="0.4">
      <c r="B1617" s="16">
        <f t="shared" si="138"/>
        <v>44208</v>
      </c>
      <c r="C1617" s="1">
        <f t="shared" si="139"/>
        <v>4152</v>
      </c>
      <c r="D1617" s="1">
        <f t="shared" si="140"/>
        <v>1061</v>
      </c>
      <c r="E1617" s="1">
        <f t="shared" si="141"/>
        <v>1905</v>
      </c>
      <c r="F1617" s="1"/>
      <c r="L1617" s="11">
        <v>44208</v>
      </c>
      <c r="M1617" s="9">
        <v>4152</v>
      </c>
      <c r="N1617" s="9">
        <v>1061</v>
      </c>
      <c r="O1617" s="9">
        <v>1905</v>
      </c>
      <c r="P1617" s="9">
        <v>0</v>
      </c>
      <c r="R1617" s="11"/>
      <c r="S1617" s="9"/>
      <c r="T1617" s="9"/>
      <c r="U1617" s="9"/>
    </row>
    <row r="1618" spans="2:21" x14ac:dyDescent="0.4">
      <c r="B1618" s="16">
        <f t="shared" si="138"/>
        <v>44209</v>
      </c>
      <c r="C1618" s="1">
        <f t="shared" si="139"/>
        <v>4182</v>
      </c>
      <c r="D1618" s="1">
        <f t="shared" si="140"/>
        <v>1061</v>
      </c>
      <c r="E1618" s="1">
        <f t="shared" si="141"/>
        <v>1930</v>
      </c>
      <c r="F1618" s="1"/>
      <c r="L1618" s="11">
        <v>44209</v>
      </c>
      <c r="M1618" s="9">
        <v>4182</v>
      </c>
      <c r="N1618" s="9">
        <v>1061</v>
      </c>
      <c r="O1618" s="9">
        <v>1930</v>
      </c>
      <c r="P1618" s="9">
        <v>0</v>
      </c>
      <c r="R1618" s="11"/>
      <c r="S1618" s="9"/>
      <c r="T1618" s="9"/>
      <c r="U1618" s="9"/>
    </row>
    <row r="1619" spans="2:21" x14ac:dyDescent="0.4">
      <c r="B1619" s="16">
        <f t="shared" si="138"/>
        <v>44210</v>
      </c>
      <c r="C1619" s="1">
        <f t="shared" si="139"/>
        <v>4206</v>
      </c>
      <c r="D1619" s="1">
        <f t="shared" si="140"/>
        <v>1051</v>
      </c>
      <c r="E1619" s="1">
        <f t="shared" si="141"/>
        <v>1960</v>
      </c>
      <c r="F1619" s="1"/>
      <c r="L1619" s="11">
        <v>44210</v>
      </c>
      <c r="M1619" s="9">
        <v>4206</v>
      </c>
      <c r="N1619" s="9">
        <v>1051</v>
      </c>
      <c r="O1619" s="9">
        <v>1960</v>
      </c>
      <c r="P1619" s="9">
        <v>0</v>
      </c>
      <c r="R1619" s="11"/>
      <c r="S1619" s="9"/>
      <c r="T1619" s="9"/>
      <c r="U1619" s="9"/>
    </row>
    <row r="1620" spans="2:21" x14ac:dyDescent="0.4">
      <c r="B1620" s="16">
        <f t="shared" si="138"/>
        <v>44211</v>
      </c>
      <c r="C1620" s="1">
        <f t="shared" si="139"/>
        <v>4223</v>
      </c>
      <c r="D1620" s="1">
        <f t="shared" si="140"/>
        <v>1046</v>
      </c>
      <c r="E1620" s="1">
        <f t="shared" si="141"/>
        <v>2005</v>
      </c>
      <c r="F1620" s="1"/>
      <c r="L1620" s="11">
        <v>44211</v>
      </c>
      <c r="M1620" s="9">
        <v>4223</v>
      </c>
      <c r="N1620" s="9">
        <v>1046</v>
      </c>
      <c r="O1620" s="9">
        <v>2005</v>
      </c>
      <c r="P1620" s="9">
        <v>0</v>
      </c>
      <c r="R1620" s="11"/>
      <c r="S1620" s="9"/>
      <c r="T1620" s="9"/>
      <c r="U1620" s="9"/>
    </row>
    <row r="1621" spans="2:21" x14ac:dyDescent="0.4">
      <c r="B1621" s="16">
        <f t="shared" si="138"/>
        <v>44214</v>
      </c>
      <c r="C1621" s="1">
        <f t="shared" si="139"/>
        <v>4262</v>
      </c>
      <c r="D1621" s="1">
        <f t="shared" si="140"/>
        <v>1036</v>
      </c>
      <c r="E1621" s="1">
        <f t="shared" si="141"/>
        <v>2060</v>
      </c>
      <c r="F1621" s="1"/>
      <c r="L1621" s="11">
        <v>44214</v>
      </c>
      <c r="M1621" s="9">
        <v>4262</v>
      </c>
      <c r="N1621" s="9">
        <v>1036</v>
      </c>
      <c r="O1621" s="9">
        <v>2060</v>
      </c>
      <c r="P1621" s="9">
        <v>0</v>
      </c>
      <c r="R1621" s="11"/>
      <c r="S1621" s="9"/>
      <c r="T1621" s="9"/>
      <c r="U1621" s="9"/>
    </row>
    <row r="1622" spans="2:21" x14ac:dyDescent="0.4">
      <c r="B1622" s="16">
        <f t="shared" si="138"/>
        <v>44215</v>
      </c>
      <c r="C1622" s="1">
        <f t="shared" si="139"/>
        <v>4285</v>
      </c>
      <c r="D1622" s="1">
        <f t="shared" si="140"/>
        <v>996</v>
      </c>
      <c r="E1622" s="1">
        <f t="shared" si="141"/>
        <v>2065</v>
      </c>
      <c r="F1622" s="1"/>
      <c r="L1622" s="11">
        <v>44215</v>
      </c>
      <c r="M1622" s="9">
        <v>4285</v>
      </c>
      <c r="N1622" s="9">
        <v>996</v>
      </c>
      <c r="O1622" s="9">
        <v>2065</v>
      </c>
      <c r="P1622" s="9">
        <v>0</v>
      </c>
      <c r="R1622" s="11"/>
      <c r="S1622" s="9"/>
      <c r="T1622" s="9"/>
      <c r="U1622" s="9"/>
    </row>
    <row r="1623" spans="2:21" x14ac:dyDescent="0.4">
      <c r="B1623" s="16">
        <f t="shared" si="138"/>
        <v>44216</v>
      </c>
      <c r="C1623" s="1">
        <f t="shared" si="139"/>
        <v>4303</v>
      </c>
      <c r="D1623" s="1">
        <f t="shared" si="140"/>
        <v>966</v>
      </c>
      <c r="E1623" s="1">
        <f t="shared" si="141"/>
        <v>2065</v>
      </c>
      <c r="F1623" s="1"/>
      <c r="L1623" s="11">
        <v>44216</v>
      </c>
      <c r="M1623" s="9">
        <v>4303</v>
      </c>
      <c r="N1623" s="9">
        <v>966</v>
      </c>
      <c r="O1623" s="9">
        <v>2065</v>
      </c>
      <c r="P1623" s="9">
        <v>0</v>
      </c>
      <c r="R1623" s="11"/>
      <c r="S1623" s="9"/>
      <c r="T1623" s="9"/>
      <c r="U1623" s="9"/>
    </row>
    <row r="1624" spans="2:21" x14ac:dyDescent="0.4">
      <c r="B1624" s="16">
        <f t="shared" si="138"/>
        <v>44217</v>
      </c>
      <c r="C1624" s="1">
        <f t="shared" si="139"/>
        <v>4326</v>
      </c>
      <c r="D1624" s="1">
        <f t="shared" si="140"/>
        <v>956</v>
      </c>
      <c r="E1624" s="1">
        <f t="shared" si="141"/>
        <v>2040</v>
      </c>
      <c r="F1624" s="1"/>
      <c r="L1624" s="11">
        <v>44217</v>
      </c>
      <c r="M1624" s="9">
        <v>4326</v>
      </c>
      <c r="N1624" s="9">
        <v>956</v>
      </c>
      <c r="O1624" s="9">
        <v>2040</v>
      </c>
      <c r="P1624" s="9">
        <v>0</v>
      </c>
      <c r="R1624" s="11"/>
      <c r="S1624" s="9"/>
      <c r="T1624" s="9"/>
      <c r="U1624" s="9"/>
    </row>
    <row r="1625" spans="2:21" x14ac:dyDescent="0.4">
      <c r="B1625" s="16">
        <f t="shared" si="138"/>
        <v>44218</v>
      </c>
      <c r="C1625" s="1">
        <f t="shared" si="139"/>
        <v>4329</v>
      </c>
      <c r="D1625" s="1">
        <f t="shared" si="140"/>
        <v>926</v>
      </c>
      <c r="E1625" s="1">
        <f t="shared" si="141"/>
        <v>2030</v>
      </c>
      <c r="F1625" s="1"/>
      <c r="L1625" s="11">
        <v>44218</v>
      </c>
      <c r="M1625" s="9">
        <v>4329</v>
      </c>
      <c r="N1625" s="9">
        <v>926</v>
      </c>
      <c r="O1625" s="9">
        <v>2030</v>
      </c>
      <c r="P1625" s="9">
        <v>0</v>
      </c>
      <c r="R1625" s="11"/>
      <c r="S1625" s="9"/>
      <c r="T1625" s="9"/>
      <c r="U1625" s="9"/>
    </row>
    <row r="1626" spans="2:21" x14ac:dyDescent="0.4">
      <c r="B1626" s="16">
        <f t="shared" si="138"/>
        <v>44221</v>
      </c>
      <c r="C1626" s="1">
        <f t="shared" si="139"/>
        <v>4327</v>
      </c>
      <c r="D1626" s="1">
        <f t="shared" si="140"/>
        <v>916</v>
      </c>
      <c r="E1626" s="1">
        <f t="shared" si="141"/>
        <v>2020</v>
      </c>
      <c r="F1626" s="1"/>
      <c r="L1626" s="11">
        <v>44221</v>
      </c>
      <c r="M1626" s="9">
        <v>4327</v>
      </c>
      <c r="N1626" s="9">
        <v>916</v>
      </c>
      <c r="O1626" s="9">
        <v>2020</v>
      </c>
      <c r="P1626" s="9">
        <v>0</v>
      </c>
      <c r="R1626" s="11"/>
      <c r="S1626" s="9"/>
      <c r="T1626" s="9"/>
      <c r="U1626" s="9"/>
    </row>
    <row r="1627" spans="2:21" x14ac:dyDescent="0.4">
      <c r="B1627" s="16">
        <f t="shared" si="138"/>
        <v>44222</v>
      </c>
      <c r="C1627" s="1">
        <f t="shared" si="139"/>
        <v>4332</v>
      </c>
      <c r="D1627" s="1">
        <f t="shared" si="140"/>
        <v>926</v>
      </c>
      <c r="E1627" s="1">
        <f t="shared" si="141"/>
        <v>2020</v>
      </c>
      <c r="F1627" s="1"/>
      <c r="L1627" s="11">
        <v>44222</v>
      </c>
      <c r="M1627" s="9">
        <v>4332</v>
      </c>
      <c r="N1627" s="9">
        <v>926</v>
      </c>
      <c r="O1627" s="9">
        <v>2020</v>
      </c>
      <c r="P1627" s="9">
        <v>0</v>
      </c>
      <c r="R1627" s="11"/>
      <c r="S1627" s="9"/>
      <c r="T1627" s="9"/>
      <c r="U1627" s="9"/>
    </row>
    <row r="1628" spans="2:21" x14ac:dyDescent="0.4">
      <c r="B1628" s="16">
        <f t="shared" si="138"/>
        <v>44223</v>
      </c>
      <c r="C1628" s="1">
        <f t="shared" si="139"/>
        <v>4334</v>
      </c>
      <c r="D1628" s="1">
        <f t="shared" si="140"/>
        <v>926</v>
      </c>
      <c r="E1628" s="1">
        <f t="shared" si="141"/>
        <v>2030</v>
      </c>
      <c r="F1628" s="1"/>
      <c r="L1628" s="11">
        <v>44223</v>
      </c>
      <c r="M1628" s="9">
        <v>4334</v>
      </c>
      <c r="N1628" s="9">
        <v>926</v>
      </c>
      <c r="O1628" s="9">
        <v>2030</v>
      </c>
      <c r="P1628" s="9">
        <v>0</v>
      </c>
      <c r="R1628" s="11"/>
      <c r="S1628" s="9"/>
      <c r="T1628" s="9"/>
      <c r="U1628" s="9"/>
    </row>
    <row r="1629" spans="2:21" x14ac:dyDescent="0.4">
      <c r="B1629" s="16">
        <f t="shared" si="138"/>
        <v>44224</v>
      </c>
      <c r="C1629" s="1">
        <f t="shared" si="139"/>
        <v>4333</v>
      </c>
      <c r="D1629" s="1">
        <f t="shared" si="140"/>
        <v>926</v>
      </c>
      <c r="E1629" s="1">
        <f t="shared" si="141"/>
        <v>2030</v>
      </c>
      <c r="F1629" s="1"/>
      <c r="L1629" s="11">
        <v>44224</v>
      </c>
      <c r="M1629" s="9">
        <v>4333</v>
      </c>
      <c r="N1629" s="9">
        <v>926</v>
      </c>
      <c r="O1629" s="9">
        <v>2030</v>
      </c>
      <c r="P1629" s="9">
        <v>0</v>
      </c>
      <c r="R1629" s="11"/>
      <c r="S1629" s="9"/>
      <c r="T1629" s="9"/>
      <c r="U1629" s="9"/>
    </row>
    <row r="1630" spans="2:21" x14ac:dyDescent="0.4">
      <c r="B1630" s="16">
        <f t="shared" si="138"/>
        <v>44225</v>
      </c>
      <c r="C1630" s="1">
        <f t="shared" si="139"/>
        <v>4327</v>
      </c>
      <c r="D1630" s="1">
        <f t="shared" si="140"/>
        <v>926</v>
      </c>
      <c r="E1630" s="1">
        <f t="shared" si="141"/>
        <v>2050</v>
      </c>
      <c r="F1630" s="1"/>
      <c r="L1630" s="11">
        <v>44225</v>
      </c>
      <c r="M1630" s="9">
        <v>4327</v>
      </c>
      <c r="N1630" s="9">
        <v>926</v>
      </c>
      <c r="O1630" s="9">
        <v>2050</v>
      </c>
      <c r="P1630" s="9">
        <v>0</v>
      </c>
      <c r="R1630" s="11"/>
      <c r="S1630" s="9"/>
      <c r="T1630" s="9"/>
      <c r="U1630" s="9"/>
    </row>
    <row r="1631" spans="2:21" x14ac:dyDescent="0.4">
      <c r="B1631" s="16">
        <f t="shared" si="138"/>
        <v>44228</v>
      </c>
      <c r="C1631" s="1">
        <f t="shared" si="139"/>
        <v>4336</v>
      </c>
      <c r="D1631" s="1">
        <f t="shared" si="140"/>
        <v>906</v>
      </c>
      <c r="E1631" s="1">
        <f t="shared" si="141"/>
        <v>2090</v>
      </c>
      <c r="F1631" s="1"/>
      <c r="L1631" s="11">
        <v>44228</v>
      </c>
      <c r="M1631" s="9">
        <v>4336</v>
      </c>
      <c r="N1631" s="9">
        <v>906</v>
      </c>
      <c r="O1631" s="9">
        <v>2090</v>
      </c>
      <c r="P1631" s="9">
        <v>0</v>
      </c>
      <c r="R1631" s="11"/>
      <c r="S1631" s="9"/>
      <c r="T1631" s="9"/>
      <c r="U1631" s="9"/>
    </row>
    <row r="1632" spans="2:21" x14ac:dyDescent="0.4">
      <c r="B1632" s="16">
        <f t="shared" si="138"/>
        <v>44229</v>
      </c>
      <c r="C1632" s="1">
        <f t="shared" si="139"/>
        <v>4373</v>
      </c>
      <c r="D1632" s="1">
        <f t="shared" si="140"/>
        <v>906</v>
      </c>
      <c r="E1632" s="1">
        <f t="shared" si="141"/>
        <v>2110</v>
      </c>
      <c r="F1632" s="1"/>
      <c r="L1632" s="11">
        <v>44229</v>
      </c>
      <c r="M1632" s="9">
        <v>4373</v>
      </c>
      <c r="N1632" s="9">
        <v>906</v>
      </c>
      <c r="O1632" s="9">
        <v>2110</v>
      </c>
      <c r="P1632" s="9">
        <v>0</v>
      </c>
      <c r="R1632" s="11"/>
      <c r="S1632" s="9"/>
      <c r="T1632" s="9"/>
      <c r="U1632" s="9"/>
    </row>
    <row r="1633" spans="2:21" x14ac:dyDescent="0.4">
      <c r="B1633" s="16">
        <f t="shared" si="138"/>
        <v>44230</v>
      </c>
      <c r="C1633" s="1">
        <f t="shared" si="139"/>
        <v>4384</v>
      </c>
      <c r="D1633" s="1">
        <f t="shared" si="140"/>
        <v>896</v>
      </c>
      <c r="E1633" s="1">
        <f t="shared" si="141"/>
        <v>2140</v>
      </c>
      <c r="F1633" s="1"/>
      <c r="L1633" s="11">
        <v>44230</v>
      </c>
      <c r="M1633" s="9">
        <v>4384</v>
      </c>
      <c r="N1633" s="9">
        <v>896</v>
      </c>
      <c r="O1633" s="9">
        <v>2140</v>
      </c>
      <c r="P1633" s="9">
        <v>0</v>
      </c>
      <c r="R1633" s="11"/>
      <c r="S1633" s="9"/>
      <c r="T1633" s="9"/>
      <c r="U1633" s="9"/>
    </row>
    <row r="1634" spans="2:21" x14ac:dyDescent="0.4">
      <c r="B1634" s="16">
        <f t="shared" si="138"/>
        <v>44231</v>
      </c>
      <c r="C1634" s="1">
        <f t="shared" si="139"/>
        <v>4395</v>
      </c>
      <c r="D1634" s="1">
        <f t="shared" si="140"/>
        <v>851</v>
      </c>
      <c r="E1634" s="1">
        <f t="shared" si="141"/>
        <v>2140</v>
      </c>
      <c r="F1634" s="1"/>
      <c r="L1634" s="11">
        <v>44231</v>
      </c>
      <c r="M1634" s="9">
        <v>4395</v>
      </c>
      <c r="N1634" s="9">
        <v>851</v>
      </c>
      <c r="O1634" s="9">
        <v>2140</v>
      </c>
      <c r="P1634" s="9">
        <v>0</v>
      </c>
      <c r="R1634" s="11"/>
      <c r="S1634" s="9"/>
      <c r="T1634" s="9"/>
      <c r="U1634" s="9"/>
    </row>
    <row r="1635" spans="2:21" x14ac:dyDescent="0.4">
      <c r="B1635" s="16">
        <f t="shared" si="138"/>
        <v>44232</v>
      </c>
      <c r="C1635" s="1">
        <f t="shared" si="139"/>
        <v>4427</v>
      </c>
      <c r="D1635" s="1">
        <f t="shared" si="140"/>
        <v>851</v>
      </c>
      <c r="E1635" s="1">
        <f t="shared" si="141"/>
        <v>2140</v>
      </c>
      <c r="F1635" s="1"/>
      <c r="L1635" s="11">
        <v>44232</v>
      </c>
      <c r="M1635" s="9">
        <v>4427</v>
      </c>
      <c r="N1635" s="9">
        <v>851</v>
      </c>
      <c r="O1635" s="9">
        <v>2140</v>
      </c>
      <c r="P1635" s="9">
        <v>0</v>
      </c>
      <c r="R1635" s="11"/>
      <c r="S1635" s="9"/>
      <c r="T1635" s="9"/>
      <c r="U1635" s="9"/>
    </row>
    <row r="1636" spans="2:21" x14ac:dyDescent="0.4">
      <c r="B1636" s="16">
        <f t="shared" si="138"/>
        <v>44234</v>
      </c>
      <c r="C1636" s="1">
        <f t="shared" si="139"/>
        <v>4430</v>
      </c>
      <c r="D1636" s="1">
        <f t="shared" si="140"/>
        <v>851</v>
      </c>
      <c r="E1636" s="1">
        <f t="shared" si="141"/>
        <v>2140</v>
      </c>
      <c r="F1636" s="1"/>
      <c r="L1636" s="11">
        <v>44234</v>
      </c>
      <c r="M1636" s="9">
        <v>4430</v>
      </c>
      <c r="N1636" s="9">
        <v>0</v>
      </c>
      <c r="O1636" s="9">
        <v>2140</v>
      </c>
      <c r="P1636" s="9">
        <v>0</v>
      </c>
      <c r="R1636" s="11"/>
      <c r="S1636" s="9"/>
      <c r="T1636" s="9"/>
      <c r="U1636" s="9"/>
    </row>
    <row r="1637" spans="2:21" x14ac:dyDescent="0.4">
      <c r="B1637" s="16">
        <f t="shared" si="138"/>
        <v>44235</v>
      </c>
      <c r="C1637" s="1">
        <f t="shared" si="139"/>
        <v>4443</v>
      </c>
      <c r="D1637" s="1">
        <f t="shared" si="140"/>
        <v>851</v>
      </c>
      <c r="E1637" s="1">
        <f t="shared" si="141"/>
        <v>2170</v>
      </c>
      <c r="F1637" s="1"/>
      <c r="L1637" s="11">
        <v>44235</v>
      </c>
      <c r="M1637" s="9">
        <v>4443</v>
      </c>
      <c r="N1637" s="9">
        <v>851</v>
      </c>
      <c r="O1637" s="9">
        <v>2170</v>
      </c>
      <c r="P1637" s="9">
        <v>0</v>
      </c>
      <c r="R1637" s="11"/>
      <c r="S1637" s="9"/>
      <c r="T1637" s="9"/>
      <c r="U1637" s="9"/>
    </row>
    <row r="1638" spans="2:21" x14ac:dyDescent="0.4">
      <c r="B1638" s="16">
        <f t="shared" si="138"/>
        <v>44236</v>
      </c>
      <c r="C1638" s="1">
        <f t="shared" si="139"/>
        <v>4452</v>
      </c>
      <c r="D1638" s="1">
        <f t="shared" si="140"/>
        <v>851</v>
      </c>
      <c r="E1638" s="1">
        <f t="shared" si="141"/>
        <v>2170</v>
      </c>
      <c r="F1638" s="1"/>
      <c r="L1638" s="11">
        <v>44236</v>
      </c>
      <c r="M1638" s="9">
        <v>4452</v>
      </c>
      <c r="N1638" s="9">
        <v>851</v>
      </c>
      <c r="O1638" s="9">
        <v>2170</v>
      </c>
      <c r="P1638" s="9">
        <v>0</v>
      </c>
      <c r="R1638" s="11"/>
      <c r="S1638" s="9"/>
      <c r="T1638" s="9"/>
      <c r="U1638" s="9"/>
    </row>
    <row r="1639" spans="2:21" x14ac:dyDescent="0.4">
      <c r="B1639" s="16">
        <f t="shared" si="138"/>
        <v>44237</v>
      </c>
      <c r="C1639" s="1">
        <f t="shared" si="139"/>
        <v>4451</v>
      </c>
      <c r="D1639" s="1">
        <f t="shared" si="140"/>
        <v>851</v>
      </c>
      <c r="E1639" s="1">
        <f t="shared" si="141"/>
        <v>2170</v>
      </c>
      <c r="F1639" s="1"/>
      <c r="L1639" s="11">
        <v>44237</v>
      </c>
      <c r="M1639" s="9">
        <v>4451</v>
      </c>
      <c r="N1639" s="9">
        <v>851</v>
      </c>
      <c r="O1639" s="9">
        <v>2170</v>
      </c>
      <c r="P1639" s="9">
        <v>0</v>
      </c>
      <c r="R1639" s="11"/>
      <c r="S1639" s="9"/>
      <c r="T1639" s="9"/>
      <c r="U1639" s="9"/>
    </row>
    <row r="1640" spans="2:21" x14ac:dyDescent="0.4">
      <c r="B1640" s="16">
        <f t="shared" si="138"/>
        <v>44238</v>
      </c>
      <c r="C1640" s="1">
        <f t="shared" si="139"/>
        <v>4451</v>
      </c>
      <c r="D1640" s="1">
        <f t="shared" si="140"/>
        <v>851</v>
      </c>
      <c r="E1640" s="1">
        <f t="shared" si="141"/>
        <v>2170</v>
      </c>
      <c r="F1640" s="1"/>
      <c r="L1640" s="11">
        <v>44238</v>
      </c>
      <c r="M1640" s="9">
        <v>0</v>
      </c>
      <c r="N1640" s="9">
        <v>851</v>
      </c>
      <c r="O1640" s="9">
        <v>0</v>
      </c>
      <c r="P1640" s="9">
        <v>0</v>
      </c>
      <c r="R1640" s="11"/>
      <c r="S1640" s="9"/>
      <c r="T1640" s="9"/>
      <c r="U1640" s="9"/>
    </row>
    <row r="1641" spans="2:21" x14ac:dyDescent="0.4">
      <c r="B1641" s="16">
        <f t="shared" si="138"/>
        <v>44239</v>
      </c>
      <c r="C1641" s="1">
        <f t="shared" si="139"/>
        <v>4451</v>
      </c>
      <c r="D1641" s="1">
        <f t="shared" si="140"/>
        <v>851</v>
      </c>
      <c r="E1641" s="1">
        <f t="shared" si="141"/>
        <v>2170</v>
      </c>
      <c r="F1641" s="1"/>
      <c r="L1641" s="11">
        <v>44239</v>
      </c>
      <c r="M1641" s="9">
        <v>0</v>
      </c>
      <c r="N1641" s="9">
        <v>851</v>
      </c>
      <c r="O1641" s="9">
        <v>0</v>
      </c>
      <c r="P1641" s="9">
        <v>0</v>
      </c>
      <c r="R1641" s="11"/>
      <c r="S1641" s="9"/>
      <c r="T1641" s="9"/>
      <c r="U1641" s="9"/>
    </row>
    <row r="1642" spans="2:21" x14ac:dyDescent="0.4">
      <c r="B1642" s="16">
        <f t="shared" si="138"/>
        <v>44242</v>
      </c>
      <c r="C1642" s="1">
        <f t="shared" si="139"/>
        <v>4451</v>
      </c>
      <c r="D1642" s="1">
        <f t="shared" si="140"/>
        <v>851</v>
      </c>
      <c r="E1642" s="1">
        <f t="shared" si="141"/>
        <v>2170</v>
      </c>
      <c r="F1642" s="1"/>
      <c r="L1642" s="11">
        <v>44242</v>
      </c>
      <c r="M1642" s="9">
        <v>0</v>
      </c>
      <c r="N1642" s="9">
        <v>851</v>
      </c>
      <c r="O1642" s="9">
        <v>0</v>
      </c>
      <c r="P1642" s="9">
        <v>0</v>
      </c>
      <c r="R1642" s="11"/>
      <c r="S1642" s="9"/>
      <c r="T1642" s="9"/>
      <c r="U1642" s="9"/>
    </row>
    <row r="1643" spans="2:21" x14ac:dyDescent="0.4">
      <c r="B1643" s="16">
        <f t="shared" si="138"/>
        <v>44243</v>
      </c>
      <c r="C1643" s="1">
        <f t="shared" si="139"/>
        <v>4451</v>
      </c>
      <c r="D1643" s="1">
        <f t="shared" si="140"/>
        <v>851</v>
      </c>
      <c r="E1643" s="1">
        <f t="shared" si="141"/>
        <v>2170</v>
      </c>
      <c r="F1643" s="1"/>
      <c r="L1643" s="11">
        <v>44243</v>
      </c>
      <c r="M1643" s="9">
        <v>0</v>
      </c>
      <c r="N1643" s="9">
        <v>851</v>
      </c>
      <c r="O1643" s="9">
        <v>0</v>
      </c>
      <c r="P1643" s="9">
        <v>0</v>
      </c>
      <c r="R1643" s="11"/>
      <c r="S1643" s="9"/>
      <c r="T1643" s="9"/>
      <c r="U1643" s="9"/>
    </row>
    <row r="1644" spans="2:21" x14ac:dyDescent="0.4">
      <c r="B1644" s="16">
        <f t="shared" si="138"/>
        <v>44244</v>
      </c>
      <c r="C1644" s="1">
        <f t="shared" si="139"/>
        <v>4451</v>
      </c>
      <c r="D1644" s="1">
        <f t="shared" si="140"/>
        <v>851</v>
      </c>
      <c r="E1644" s="1">
        <f t="shared" si="141"/>
        <v>2170</v>
      </c>
      <c r="F1644" s="1"/>
      <c r="L1644" s="11">
        <v>44244</v>
      </c>
      <c r="M1644" s="9">
        <v>0</v>
      </c>
      <c r="N1644" s="9">
        <v>851</v>
      </c>
      <c r="O1644" s="9">
        <v>0</v>
      </c>
      <c r="P1644" s="9">
        <v>0</v>
      </c>
      <c r="R1644" s="11"/>
      <c r="S1644" s="9"/>
      <c r="T1644" s="9"/>
      <c r="U1644" s="9"/>
    </row>
    <row r="1645" spans="2:21" x14ac:dyDescent="0.4">
      <c r="B1645" s="16">
        <f t="shared" si="138"/>
        <v>44245</v>
      </c>
      <c r="C1645" s="1">
        <f t="shared" si="139"/>
        <v>4540</v>
      </c>
      <c r="D1645" s="1">
        <f t="shared" si="140"/>
        <v>856</v>
      </c>
      <c r="E1645" s="1">
        <f t="shared" si="141"/>
        <v>2175</v>
      </c>
      <c r="F1645" s="1"/>
      <c r="L1645" s="11">
        <v>44245</v>
      </c>
      <c r="M1645" s="9">
        <v>4540</v>
      </c>
      <c r="N1645" s="9">
        <v>856</v>
      </c>
      <c r="O1645" s="9">
        <v>2175</v>
      </c>
      <c r="P1645" s="9">
        <v>0</v>
      </c>
      <c r="R1645" s="11"/>
      <c r="S1645" s="9"/>
      <c r="T1645" s="9"/>
      <c r="U1645" s="9"/>
    </row>
    <row r="1646" spans="2:21" x14ac:dyDescent="0.4">
      <c r="B1646" s="16">
        <f t="shared" si="138"/>
        <v>44246</v>
      </c>
      <c r="C1646" s="1">
        <f t="shared" si="139"/>
        <v>4617</v>
      </c>
      <c r="D1646" s="1">
        <f t="shared" si="140"/>
        <v>856</v>
      </c>
      <c r="E1646" s="1">
        <f t="shared" si="141"/>
        <v>2180</v>
      </c>
      <c r="F1646" s="1"/>
      <c r="L1646" s="11">
        <v>44246</v>
      </c>
      <c r="M1646" s="9">
        <v>4617</v>
      </c>
      <c r="N1646" s="9">
        <v>856</v>
      </c>
      <c r="O1646" s="9">
        <v>2180</v>
      </c>
      <c r="P1646" s="9">
        <v>0</v>
      </c>
      <c r="R1646" s="11"/>
      <c r="S1646" s="9"/>
      <c r="T1646" s="9"/>
      <c r="U1646" s="9"/>
    </row>
    <row r="1647" spans="2:21" x14ac:dyDescent="0.4">
      <c r="B1647" s="16">
        <f t="shared" si="138"/>
        <v>44247</v>
      </c>
      <c r="C1647" s="1">
        <f t="shared" si="139"/>
        <v>4678</v>
      </c>
      <c r="D1647" s="1">
        <f t="shared" si="140"/>
        <v>856</v>
      </c>
      <c r="E1647" s="1">
        <f t="shared" si="141"/>
        <v>2180</v>
      </c>
      <c r="F1647" s="1"/>
      <c r="L1647" s="11">
        <v>44247</v>
      </c>
      <c r="M1647" s="9">
        <v>4678</v>
      </c>
      <c r="N1647" s="9">
        <v>0</v>
      </c>
      <c r="O1647" s="9">
        <v>2180</v>
      </c>
      <c r="P1647" s="9">
        <v>0</v>
      </c>
      <c r="R1647" s="11"/>
      <c r="S1647" s="9"/>
      <c r="T1647" s="9"/>
      <c r="U1647" s="9"/>
    </row>
    <row r="1648" spans="2:21" x14ac:dyDescent="0.4">
      <c r="B1648" s="16">
        <f t="shared" si="138"/>
        <v>44249</v>
      </c>
      <c r="C1648" s="1">
        <f t="shared" si="139"/>
        <v>4764</v>
      </c>
      <c r="D1648" s="1">
        <f t="shared" si="140"/>
        <v>891</v>
      </c>
      <c r="E1648" s="1">
        <f t="shared" si="141"/>
        <v>2190</v>
      </c>
      <c r="F1648" s="1"/>
      <c r="L1648" s="11">
        <v>44249</v>
      </c>
      <c r="M1648" s="9">
        <v>4764</v>
      </c>
      <c r="N1648" s="9">
        <v>891</v>
      </c>
      <c r="O1648" s="9">
        <v>2190</v>
      </c>
      <c r="P1648" s="9">
        <v>0</v>
      </c>
      <c r="R1648" s="11"/>
      <c r="S1648" s="9"/>
      <c r="T1648" s="9"/>
      <c r="U1648" s="9"/>
    </row>
    <row r="1649" spans="2:21" x14ac:dyDescent="0.4">
      <c r="B1649" s="16">
        <f t="shared" si="138"/>
        <v>44250</v>
      </c>
      <c r="C1649" s="1">
        <f t="shared" si="139"/>
        <v>4882</v>
      </c>
      <c r="D1649" s="1">
        <f t="shared" si="140"/>
        <v>981</v>
      </c>
      <c r="E1649" s="1">
        <f t="shared" si="141"/>
        <v>2195</v>
      </c>
      <c r="F1649" s="1"/>
      <c r="L1649" s="11">
        <v>44250</v>
      </c>
      <c r="M1649" s="9">
        <v>4882</v>
      </c>
      <c r="N1649" s="9">
        <v>981</v>
      </c>
      <c r="O1649" s="9">
        <v>2195</v>
      </c>
      <c r="P1649" s="9">
        <v>0</v>
      </c>
      <c r="R1649" s="11"/>
      <c r="S1649" s="9"/>
      <c r="T1649" s="9"/>
      <c r="U1649" s="9"/>
    </row>
    <row r="1650" spans="2:21" x14ac:dyDescent="0.4">
      <c r="B1650" s="16">
        <f t="shared" si="138"/>
        <v>44251</v>
      </c>
      <c r="C1650" s="1">
        <f t="shared" si="139"/>
        <v>4947</v>
      </c>
      <c r="D1650" s="1">
        <f t="shared" si="140"/>
        <v>1001</v>
      </c>
      <c r="E1650" s="1">
        <f t="shared" si="141"/>
        <v>2195</v>
      </c>
      <c r="F1650" s="1"/>
      <c r="L1650" s="11">
        <v>44251</v>
      </c>
      <c r="M1650" s="9">
        <v>4947</v>
      </c>
      <c r="N1650" s="9">
        <v>1001</v>
      </c>
      <c r="O1650" s="9">
        <v>2195</v>
      </c>
      <c r="P1650" s="9">
        <v>0</v>
      </c>
      <c r="R1650" s="11"/>
      <c r="S1650" s="9"/>
      <c r="T1650" s="9"/>
      <c r="U1650" s="9"/>
    </row>
    <row r="1651" spans="2:21" x14ac:dyDescent="0.4">
      <c r="B1651" s="16">
        <f t="shared" si="138"/>
        <v>44252</v>
      </c>
      <c r="C1651" s="1">
        <f t="shared" si="139"/>
        <v>5002</v>
      </c>
      <c r="D1651" s="1">
        <f t="shared" si="140"/>
        <v>1001</v>
      </c>
      <c r="E1651" s="1">
        <f t="shared" si="141"/>
        <v>2195</v>
      </c>
      <c r="F1651" s="1"/>
      <c r="L1651" s="11">
        <v>44252</v>
      </c>
      <c r="M1651" s="9">
        <v>5002</v>
      </c>
      <c r="N1651" s="9">
        <v>1001</v>
      </c>
      <c r="O1651" s="9">
        <v>2195</v>
      </c>
      <c r="P1651" s="9">
        <v>0</v>
      </c>
      <c r="R1651" s="11"/>
      <c r="S1651" s="9"/>
      <c r="T1651" s="9"/>
      <c r="U1651" s="9"/>
    </row>
    <row r="1652" spans="2:21" x14ac:dyDescent="0.4">
      <c r="B1652" s="16">
        <f t="shared" si="138"/>
        <v>44253</v>
      </c>
      <c r="C1652" s="1">
        <f t="shared" si="139"/>
        <v>5063</v>
      </c>
      <c r="D1652" s="1">
        <f t="shared" si="140"/>
        <v>1051</v>
      </c>
      <c r="E1652" s="1">
        <f t="shared" si="141"/>
        <v>2195</v>
      </c>
      <c r="F1652" s="1"/>
      <c r="L1652" s="11">
        <v>44253</v>
      </c>
      <c r="M1652" s="9">
        <v>5063</v>
      </c>
      <c r="N1652" s="9">
        <v>1051</v>
      </c>
      <c r="O1652" s="9">
        <v>2195</v>
      </c>
      <c r="P1652" s="9">
        <v>0</v>
      </c>
      <c r="R1652" s="11"/>
      <c r="S1652" s="9"/>
      <c r="T1652" s="9"/>
      <c r="U1652" s="9"/>
    </row>
    <row r="1653" spans="2:21" x14ac:dyDescent="0.4">
      <c r="B1653" s="16">
        <f t="shared" si="138"/>
        <v>44256</v>
      </c>
      <c r="C1653" s="1">
        <f t="shared" si="139"/>
        <v>5075</v>
      </c>
      <c r="D1653" s="1">
        <f t="shared" si="140"/>
        <v>1076</v>
      </c>
      <c r="E1653" s="1">
        <f t="shared" si="141"/>
        <v>2195</v>
      </c>
      <c r="F1653" s="1"/>
      <c r="L1653" s="11">
        <v>44256</v>
      </c>
      <c r="M1653" s="9">
        <v>5075</v>
      </c>
      <c r="N1653" s="9">
        <v>1076</v>
      </c>
      <c r="O1653" s="9">
        <v>2195</v>
      </c>
      <c r="P1653" s="9">
        <v>0</v>
      </c>
      <c r="R1653" s="11"/>
      <c r="S1653" s="9"/>
      <c r="T1653" s="9"/>
      <c r="U1653" s="9"/>
    </row>
    <row r="1654" spans="2:21" x14ac:dyDescent="0.4">
      <c r="B1654" s="16">
        <f t="shared" si="138"/>
        <v>44257</v>
      </c>
      <c r="C1654" s="1">
        <f t="shared" si="139"/>
        <v>5066</v>
      </c>
      <c r="D1654" s="1">
        <f t="shared" si="140"/>
        <v>1106</v>
      </c>
      <c r="E1654" s="1">
        <f t="shared" si="141"/>
        <v>2165</v>
      </c>
      <c r="F1654" s="1"/>
      <c r="L1654" s="11">
        <v>44257</v>
      </c>
      <c r="M1654" s="9">
        <v>5066</v>
      </c>
      <c r="N1654" s="9">
        <v>1106</v>
      </c>
      <c r="O1654" s="9">
        <v>2165</v>
      </c>
      <c r="P1654" s="9">
        <v>0</v>
      </c>
      <c r="R1654" s="11"/>
      <c r="S1654" s="9"/>
      <c r="T1654" s="9"/>
      <c r="U1654" s="9"/>
    </row>
    <row r="1655" spans="2:21" x14ac:dyDescent="0.4">
      <c r="B1655" s="16">
        <f t="shared" si="138"/>
        <v>44258</v>
      </c>
      <c r="C1655" s="1">
        <f t="shared" si="139"/>
        <v>5041</v>
      </c>
      <c r="D1655" s="1">
        <f t="shared" si="140"/>
        <v>1161</v>
      </c>
      <c r="E1655" s="1">
        <f t="shared" si="141"/>
        <v>2155</v>
      </c>
      <c r="F1655" s="1"/>
      <c r="L1655" s="11">
        <v>44258</v>
      </c>
      <c r="M1655" s="9">
        <v>5041</v>
      </c>
      <c r="N1655" s="9">
        <v>1161</v>
      </c>
      <c r="O1655" s="9">
        <v>2155</v>
      </c>
      <c r="P1655" s="9">
        <v>0</v>
      </c>
      <c r="R1655" s="11"/>
      <c r="S1655" s="9"/>
      <c r="T1655" s="9"/>
      <c r="U1655" s="9"/>
    </row>
    <row r="1656" spans="2:21" x14ac:dyDescent="0.4">
      <c r="B1656" s="16">
        <f t="shared" si="138"/>
        <v>44259</v>
      </c>
      <c r="C1656" s="1">
        <f t="shared" si="139"/>
        <v>5059</v>
      </c>
      <c r="D1656" s="1">
        <f t="shared" si="140"/>
        <v>1181</v>
      </c>
      <c r="E1656" s="1">
        <f t="shared" si="141"/>
        <v>2140</v>
      </c>
      <c r="F1656" s="1"/>
      <c r="L1656" s="11">
        <v>44259</v>
      </c>
      <c r="M1656" s="9">
        <v>5059</v>
      </c>
      <c r="N1656" s="9">
        <v>1181</v>
      </c>
      <c r="O1656" s="9">
        <v>2140</v>
      </c>
      <c r="P1656" s="9">
        <v>0</v>
      </c>
      <c r="R1656" s="11"/>
      <c r="S1656" s="9"/>
      <c r="T1656" s="9"/>
      <c r="U1656" s="9"/>
    </row>
    <row r="1657" spans="2:21" x14ac:dyDescent="0.4">
      <c r="B1657" s="16">
        <f t="shared" si="138"/>
        <v>44260</v>
      </c>
      <c r="C1657" s="1">
        <f t="shared" si="139"/>
        <v>5063</v>
      </c>
      <c r="D1657" s="1">
        <f t="shared" si="140"/>
        <v>1201</v>
      </c>
      <c r="E1657" s="1">
        <f t="shared" si="141"/>
        <v>2125</v>
      </c>
      <c r="F1657" s="1"/>
      <c r="L1657" s="11">
        <v>44260</v>
      </c>
      <c r="M1657" s="9">
        <v>5063</v>
      </c>
      <c r="N1657" s="9">
        <v>1201</v>
      </c>
      <c r="O1657" s="9">
        <v>2125</v>
      </c>
      <c r="P1657" s="9">
        <v>0</v>
      </c>
      <c r="R1657" s="11"/>
      <c r="S1657" s="9"/>
      <c r="T1657" s="9"/>
      <c r="U1657" s="9"/>
    </row>
    <row r="1658" spans="2:21" x14ac:dyDescent="0.4">
      <c r="B1658" s="16">
        <f t="shared" si="138"/>
        <v>44263</v>
      </c>
      <c r="C1658" s="1">
        <f t="shared" si="139"/>
        <v>5092</v>
      </c>
      <c r="D1658" s="1">
        <f t="shared" si="140"/>
        <v>1201</v>
      </c>
      <c r="E1658" s="1">
        <f t="shared" si="141"/>
        <v>2090</v>
      </c>
      <c r="F1658" s="1"/>
      <c r="L1658" s="11">
        <v>44263</v>
      </c>
      <c r="M1658" s="9">
        <v>5092</v>
      </c>
      <c r="N1658" s="9">
        <v>1201</v>
      </c>
      <c r="O1658" s="9">
        <v>2090</v>
      </c>
      <c r="P1658" s="9">
        <v>0</v>
      </c>
      <c r="R1658" s="11"/>
      <c r="S1658" s="9"/>
      <c r="T1658" s="9"/>
      <c r="U1658" s="9"/>
    </row>
    <row r="1659" spans="2:21" x14ac:dyDescent="0.4">
      <c r="B1659" s="16">
        <f t="shared" si="138"/>
        <v>44264</v>
      </c>
      <c r="C1659" s="1">
        <f t="shared" si="139"/>
        <v>5128</v>
      </c>
      <c r="D1659" s="1">
        <f t="shared" si="140"/>
        <v>1201</v>
      </c>
      <c r="E1659" s="1">
        <f t="shared" si="141"/>
        <v>2080</v>
      </c>
      <c r="F1659" s="1"/>
      <c r="L1659" s="11">
        <v>44264</v>
      </c>
      <c r="M1659" s="9">
        <v>5128</v>
      </c>
      <c r="N1659" s="9">
        <v>1201</v>
      </c>
      <c r="O1659" s="9">
        <v>2080</v>
      </c>
      <c r="P1659" s="9">
        <v>0</v>
      </c>
      <c r="R1659" s="11"/>
      <c r="S1659" s="9"/>
      <c r="T1659" s="9"/>
      <c r="U1659" s="9"/>
    </row>
    <row r="1660" spans="2:21" x14ac:dyDescent="0.4">
      <c r="B1660" s="16">
        <f t="shared" si="138"/>
        <v>44265</v>
      </c>
      <c r="C1660" s="1">
        <f t="shared" si="139"/>
        <v>5081</v>
      </c>
      <c r="D1660" s="1">
        <f t="shared" si="140"/>
        <v>1201</v>
      </c>
      <c r="E1660" s="1">
        <f t="shared" si="141"/>
        <v>2090</v>
      </c>
      <c r="F1660" s="1"/>
      <c r="L1660" s="11">
        <v>44265</v>
      </c>
      <c r="M1660" s="9">
        <v>5081</v>
      </c>
      <c r="N1660" s="9">
        <v>1201</v>
      </c>
      <c r="O1660" s="9">
        <v>2090</v>
      </c>
      <c r="P1660" s="9">
        <v>0</v>
      </c>
      <c r="R1660" s="11"/>
      <c r="S1660" s="9"/>
      <c r="T1660" s="9"/>
      <c r="U1660" s="9"/>
    </row>
    <row r="1661" spans="2:21" x14ac:dyDescent="0.4">
      <c r="B1661" s="16">
        <f t="shared" si="138"/>
        <v>44266</v>
      </c>
      <c r="C1661" s="1">
        <f t="shared" si="139"/>
        <v>5071</v>
      </c>
      <c r="D1661" s="1">
        <f t="shared" si="140"/>
        <v>1201</v>
      </c>
      <c r="E1661" s="1">
        <f t="shared" si="141"/>
        <v>2090</v>
      </c>
      <c r="F1661" s="1"/>
      <c r="L1661" s="11">
        <v>44266</v>
      </c>
      <c r="M1661" s="9">
        <v>5071</v>
      </c>
      <c r="N1661" s="9">
        <v>1201</v>
      </c>
      <c r="O1661" s="9">
        <v>2090</v>
      </c>
      <c r="P1661" s="9">
        <v>0</v>
      </c>
      <c r="R1661" s="11"/>
      <c r="S1661" s="9"/>
      <c r="T1661" s="9"/>
      <c r="U1661" s="9"/>
    </row>
    <row r="1662" spans="2:21" x14ac:dyDescent="0.4">
      <c r="B1662" s="16">
        <f t="shared" si="138"/>
        <v>44267</v>
      </c>
      <c r="C1662" s="1">
        <f t="shared" si="139"/>
        <v>5066</v>
      </c>
      <c r="D1662" s="1">
        <f t="shared" si="140"/>
        <v>1201</v>
      </c>
      <c r="E1662" s="1">
        <f t="shared" si="141"/>
        <v>2090</v>
      </c>
      <c r="F1662" s="1"/>
      <c r="L1662" s="11">
        <v>44267</v>
      </c>
      <c r="M1662" s="9">
        <v>5066</v>
      </c>
      <c r="N1662" s="9">
        <v>1201</v>
      </c>
      <c r="O1662" s="9">
        <v>2090</v>
      </c>
      <c r="P1662" s="9">
        <v>0</v>
      </c>
      <c r="R1662" s="11"/>
      <c r="S1662" s="9"/>
      <c r="T1662" s="9"/>
      <c r="U1662" s="9"/>
    </row>
    <row r="1663" spans="2:21" x14ac:dyDescent="0.4">
      <c r="B1663" s="16">
        <f t="shared" si="138"/>
        <v>44270</v>
      </c>
      <c r="C1663" s="1">
        <f t="shared" si="139"/>
        <v>5075</v>
      </c>
      <c r="D1663" s="1">
        <f t="shared" si="140"/>
        <v>1201</v>
      </c>
      <c r="E1663" s="1">
        <f t="shared" si="141"/>
        <v>2090</v>
      </c>
      <c r="F1663" s="1"/>
      <c r="L1663" s="11">
        <v>44270</v>
      </c>
      <c r="M1663" s="9">
        <v>5075</v>
      </c>
      <c r="N1663" s="9">
        <v>1201</v>
      </c>
      <c r="O1663" s="9">
        <v>2090</v>
      </c>
      <c r="P1663" s="9">
        <v>0</v>
      </c>
      <c r="R1663" s="11"/>
      <c r="S1663" s="9"/>
      <c r="T1663" s="9"/>
      <c r="U1663" s="9"/>
    </row>
    <row r="1664" spans="2:21" x14ac:dyDescent="0.4">
      <c r="B1664" s="16">
        <f t="shared" si="138"/>
        <v>44271</v>
      </c>
      <c r="C1664" s="1">
        <f t="shared" si="139"/>
        <v>5079</v>
      </c>
      <c r="D1664" s="1">
        <f t="shared" si="140"/>
        <v>1131</v>
      </c>
      <c r="E1664" s="1">
        <f t="shared" si="141"/>
        <v>2115</v>
      </c>
      <c r="F1664" s="1"/>
      <c r="L1664" s="11">
        <v>44271</v>
      </c>
      <c r="M1664" s="9">
        <v>5079</v>
      </c>
      <c r="N1664" s="9">
        <v>1131</v>
      </c>
      <c r="O1664" s="9">
        <v>2115</v>
      </c>
      <c r="P1664" s="9">
        <v>0</v>
      </c>
      <c r="R1664" s="11"/>
      <c r="S1664" s="9"/>
      <c r="T1664" s="9"/>
      <c r="U1664" s="9"/>
    </row>
    <row r="1665" spans="2:21" x14ac:dyDescent="0.4">
      <c r="B1665" s="16">
        <f t="shared" si="138"/>
        <v>44272</v>
      </c>
      <c r="C1665" s="1">
        <f t="shared" si="139"/>
        <v>5045</v>
      </c>
      <c r="D1665" s="1">
        <f t="shared" si="140"/>
        <v>1131</v>
      </c>
      <c r="E1665" s="1">
        <f t="shared" si="141"/>
        <v>2120</v>
      </c>
      <c r="F1665" s="1"/>
      <c r="L1665" s="11">
        <v>44272</v>
      </c>
      <c r="M1665" s="9">
        <v>5045</v>
      </c>
      <c r="N1665" s="9">
        <v>1131</v>
      </c>
      <c r="O1665" s="9">
        <v>2120</v>
      </c>
      <c r="P1665" s="9">
        <v>0</v>
      </c>
      <c r="R1665" s="11"/>
      <c r="S1665" s="9"/>
      <c r="T1665" s="9"/>
      <c r="U1665" s="9"/>
    </row>
    <row r="1666" spans="2:21" x14ac:dyDescent="0.4">
      <c r="B1666" s="16">
        <f t="shared" si="138"/>
        <v>44273</v>
      </c>
      <c r="C1666" s="1">
        <f t="shared" si="139"/>
        <v>5044</v>
      </c>
      <c r="D1666" s="1">
        <f t="shared" si="140"/>
        <v>1131</v>
      </c>
      <c r="E1666" s="1">
        <f t="shared" si="141"/>
        <v>2130</v>
      </c>
      <c r="F1666" s="1"/>
      <c r="L1666" s="11">
        <v>44273</v>
      </c>
      <c r="M1666" s="9">
        <v>5044</v>
      </c>
      <c r="N1666" s="9">
        <v>1131</v>
      </c>
      <c r="O1666" s="9">
        <v>2130</v>
      </c>
      <c r="P1666" s="9">
        <v>0</v>
      </c>
      <c r="R1666" s="11"/>
      <c r="S1666" s="9"/>
      <c r="T1666" s="9"/>
      <c r="U1666" s="9"/>
    </row>
    <row r="1667" spans="2:21" x14ac:dyDescent="0.4">
      <c r="B1667" s="16">
        <f t="shared" si="138"/>
        <v>44274</v>
      </c>
      <c r="C1667" s="1">
        <f t="shared" si="139"/>
        <v>5011</v>
      </c>
      <c r="D1667" s="1">
        <f t="shared" si="140"/>
        <v>1101</v>
      </c>
      <c r="E1667" s="1">
        <f t="shared" si="141"/>
        <v>2140</v>
      </c>
      <c r="F1667" s="1"/>
      <c r="L1667" s="11">
        <v>44274</v>
      </c>
      <c r="M1667" s="9">
        <v>5011</v>
      </c>
      <c r="N1667" s="9">
        <v>1101</v>
      </c>
      <c r="O1667" s="9">
        <v>2140</v>
      </c>
      <c r="P1667" s="9">
        <v>0</v>
      </c>
      <c r="R1667" s="11"/>
      <c r="S1667" s="9"/>
      <c r="T1667" s="9"/>
      <c r="U1667" s="9"/>
    </row>
    <row r="1668" spans="2:21" x14ac:dyDescent="0.4">
      <c r="B1668" s="16">
        <f t="shared" si="138"/>
        <v>44277</v>
      </c>
      <c r="C1668" s="1">
        <f t="shared" si="139"/>
        <v>4975</v>
      </c>
      <c r="D1668" s="1">
        <f t="shared" si="140"/>
        <v>1091</v>
      </c>
      <c r="E1668" s="1">
        <f t="shared" si="141"/>
        <v>2140</v>
      </c>
      <c r="F1668" s="1"/>
      <c r="L1668" s="11">
        <v>44277</v>
      </c>
      <c r="M1668" s="9">
        <v>4975</v>
      </c>
      <c r="N1668" s="9">
        <v>1091</v>
      </c>
      <c r="O1668" s="9">
        <v>2140</v>
      </c>
      <c r="P1668" s="9">
        <v>0</v>
      </c>
      <c r="R1668" s="11"/>
      <c r="S1668" s="9"/>
      <c r="T1668" s="9"/>
      <c r="U1668" s="9"/>
    </row>
    <row r="1669" spans="2:21" x14ac:dyDescent="0.4">
      <c r="B1669" s="16">
        <f t="shared" si="138"/>
        <v>44278</v>
      </c>
      <c r="C1669" s="1">
        <f t="shared" si="139"/>
        <v>4967</v>
      </c>
      <c r="D1669" s="1">
        <f t="shared" si="140"/>
        <v>1091</v>
      </c>
      <c r="E1669" s="1">
        <f t="shared" si="141"/>
        <v>2140</v>
      </c>
      <c r="F1669" s="1"/>
      <c r="L1669" s="11">
        <v>44278</v>
      </c>
      <c r="M1669" s="9">
        <v>4967</v>
      </c>
      <c r="N1669" s="9">
        <v>1091</v>
      </c>
      <c r="O1669" s="9">
        <v>2140</v>
      </c>
      <c r="P1669" s="9">
        <v>0</v>
      </c>
      <c r="R1669" s="11"/>
      <c r="S1669" s="9"/>
      <c r="T1669" s="9"/>
      <c r="U1669" s="9"/>
    </row>
    <row r="1670" spans="2:21" x14ac:dyDescent="0.4">
      <c r="B1670" s="16">
        <f t="shared" ref="B1670:B1733" si="142">L1670</f>
        <v>44279</v>
      </c>
      <c r="C1670" s="1">
        <f t="shared" si="139"/>
        <v>4945</v>
      </c>
      <c r="D1670" s="1">
        <f t="shared" si="140"/>
        <v>1051</v>
      </c>
      <c r="E1670" s="1">
        <f t="shared" si="141"/>
        <v>2140</v>
      </c>
      <c r="F1670" s="1"/>
      <c r="L1670" s="11">
        <v>44279</v>
      </c>
      <c r="M1670" s="9">
        <v>4945</v>
      </c>
      <c r="N1670" s="9">
        <v>1051</v>
      </c>
      <c r="O1670" s="9">
        <v>2140</v>
      </c>
      <c r="P1670" s="9">
        <v>0</v>
      </c>
      <c r="R1670" s="11"/>
      <c r="S1670" s="9"/>
      <c r="T1670" s="9"/>
      <c r="U1670" s="9"/>
    </row>
    <row r="1671" spans="2:21" x14ac:dyDescent="0.4">
      <c r="B1671" s="16">
        <f t="shared" si="142"/>
        <v>44280</v>
      </c>
      <c r="C1671" s="1">
        <f t="shared" ref="C1671:C1734" si="143">IF(M1671&lt;&gt;0,M1671,C1670)</f>
        <v>4964</v>
      </c>
      <c r="D1671" s="1">
        <f t="shared" ref="D1671:D1734" si="144">IF(N1671&lt;&gt;0,N1671,D1670)</f>
        <v>1051</v>
      </c>
      <c r="E1671" s="1">
        <f t="shared" ref="E1671:E1734" si="145">IF(O1671&lt;&gt;0,O1671,E1670)</f>
        <v>2140</v>
      </c>
      <c r="F1671" s="1"/>
      <c r="L1671" s="11">
        <v>44280</v>
      </c>
      <c r="M1671" s="9">
        <v>4964</v>
      </c>
      <c r="N1671" s="9">
        <v>1051</v>
      </c>
      <c r="O1671" s="9">
        <v>2140</v>
      </c>
      <c r="P1671" s="9">
        <v>0</v>
      </c>
      <c r="R1671" s="11"/>
      <c r="S1671" s="9"/>
      <c r="T1671" s="9"/>
      <c r="U1671" s="9"/>
    </row>
    <row r="1672" spans="2:21" x14ac:dyDescent="0.4">
      <c r="B1672" s="16">
        <f t="shared" si="142"/>
        <v>44281</v>
      </c>
      <c r="C1672" s="1">
        <f t="shared" si="143"/>
        <v>4969</v>
      </c>
      <c r="D1672" s="1">
        <f t="shared" si="144"/>
        <v>1051</v>
      </c>
      <c r="E1672" s="1">
        <f t="shared" si="145"/>
        <v>2140</v>
      </c>
      <c r="F1672" s="1"/>
      <c r="L1672" s="11">
        <v>44281</v>
      </c>
      <c r="M1672" s="9">
        <v>4969</v>
      </c>
      <c r="N1672" s="9">
        <v>1051</v>
      </c>
      <c r="O1672" s="9">
        <v>2140</v>
      </c>
      <c r="P1672" s="9">
        <v>0</v>
      </c>
      <c r="R1672" s="11"/>
      <c r="S1672" s="9"/>
      <c r="T1672" s="9"/>
      <c r="U1672" s="9"/>
    </row>
    <row r="1673" spans="2:21" x14ac:dyDescent="0.4">
      <c r="B1673" s="16">
        <f t="shared" si="142"/>
        <v>44284</v>
      </c>
      <c r="C1673" s="1">
        <f t="shared" si="143"/>
        <v>5025</v>
      </c>
      <c r="D1673" s="1">
        <f t="shared" si="144"/>
        <v>1061</v>
      </c>
      <c r="E1673" s="1">
        <f t="shared" si="145"/>
        <v>2180</v>
      </c>
      <c r="F1673" s="1"/>
      <c r="L1673" s="11">
        <v>44284</v>
      </c>
      <c r="M1673" s="9">
        <v>5025</v>
      </c>
      <c r="N1673" s="9">
        <v>1061</v>
      </c>
      <c r="O1673" s="9">
        <v>2180</v>
      </c>
      <c r="P1673" s="9">
        <v>0</v>
      </c>
      <c r="R1673" s="11"/>
      <c r="S1673" s="9"/>
      <c r="T1673" s="9"/>
      <c r="U1673" s="9"/>
    </row>
    <row r="1674" spans="2:21" x14ac:dyDescent="0.4">
      <c r="B1674" s="16">
        <f t="shared" si="142"/>
        <v>44285</v>
      </c>
      <c r="C1674" s="1">
        <f t="shared" si="143"/>
        <v>5044</v>
      </c>
      <c r="D1674" s="1">
        <f t="shared" si="144"/>
        <v>1061</v>
      </c>
      <c r="E1674" s="1">
        <f t="shared" si="145"/>
        <v>2180</v>
      </c>
      <c r="F1674" s="1"/>
      <c r="L1674" s="11">
        <v>44285</v>
      </c>
      <c r="M1674" s="9">
        <v>5044</v>
      </c>
      <c r="N1674" s="9">
        <v>1061</v>
      </c>
      <c r="O1674" s="9">
        <v>2180</v>
      </c>
      <c r="P1674" s="9">
        <v>0</v>
      </c>
      <c r="R1674" s="11"/>
      <c r="S1674" s="9"/>
      <c r="T1674" s="9"/>
      <c r="U1674" s="9"/>
    </row>
    <row r="1675" spans="2:21" x14ac:dyDescent="0.4">
      <c r="B1675" s="16">
        <f t="shared" si="142"/>
        <v>44286</v>
      </c>
      <c r="C1675" s="1">
        <f t="shared" si="143"/>
        <v>5053</v>
      </c>
      <c r="D1675" s="1">
        <f t="shared" si="144"/>
        <v>1061</v>
      </c>
      <c r="E1675" s="1">
        <f t="shared" si="145"/>
        <v>2180</v>
      </c>
      <c r="F1675" s="1"/>
      <c r="L1675" s="11">
        <v>44286</v>
      </c>
      <c r="M1675" s="9">
        <v>5053</v>
      </c>
      <c r="N1675" s="9">
        <v>1061</v>
      </c>
      <c r="O1675" s="9">
        <v>2180</v>
      </c>
      <c r="P1675" s="9">
        <v>0</v>
      </c>
      <c r="R1675" s="11"/>
      <c r="S1675" s="9"/>
      <c r="T1675" s="9"/>
      <c r="U1675" s="9"/>
    </row>
    <row r="1676" spans="2:21" x14ac:dyDescent="0.4">
      <c r="B1676" s="16">
        <f t="shared" si="142"/>
        <v>44287</v>
      </c>
      <c r="C1676" s="1">
        <f t="shared" si="143"/>
        <v>5055</v>
      </c>
      <c r="D1676" s="1">
        <f t="shared" si="144"/>
        <v>1061</v>
      </c>
      <c r="E1676" s="1">
        <f t="shared" si="145"/>
        <v>2180</v>
      </c>
      <c r="F1676" s="1"/>
      <c r="L1676" s="11">
        <v>44287</v>
      </c>
      <c r="M1676" s="9">
        <v>5055</v>
      </c>
      <c r="N1676" s="9">
        <v>1061</v>
      </c>
      <c r="O1676" s="9">
        <v>2180</v>
      </c>
      <c r="P1676" s="9">
        <v>0</v>
      </c>
      <c r="R1676" s="11"/>
      <c r="S1676" s="9"/>
      <c r="T1676" s="9"/>
      <c r="U1676" s="9"/>
    </row>
    <row r="1677" spans="2:21" x14ac:dyDescent="0.4">
      <c r="B1677" s="16">
        <f t="shared" si="142"/>
        <v>44288</v>
      </c>
      <c r="C1677" s="1">
        <f t="shared" si="143"/>
        <v>5046</v>
      </c>
      <c r="D1677" s="1">
        <f t="shared" si="144"/>
        <v>1061</v>
      </c>
      <c r="E1677" s="1">
        <f t="shared" si="145"/>
        <v>2180</v>
      </c>
      <c r="F1677" s="1"/>
      <c r="L1677" s="11">
        <v>44288</v>
      </c>
      <c r="M1677" s="9">
        <v>5046</v>
      </c>
      <c r="N1677" s="9">
        <v>1061</v>
      </c>
      <c r="O1677" s="9">
        <v>2180</v>
      </c>
      <c r="P1677" s="9">
        <v>0</v>
      </c>
      <c r="R1677" s="11"/>
      <c r="S1677" s="9"/>
      <c r="T1677" s="9"/>
      <c r="U1677" s="9"/>
    </row>
    <row r="1678" spans="2:21" x14ac:dyDescent="0.4">
      <c r="B1678" s="16">
        <f t="shared" si="142"/>
        <v>44291</v>
      </c>
      <c r="C1678" s="1">
        <f t="shared" si="143"/>
        <v>5046</v>
      </c>
      <c r="D1678" s="1">
        <f t="shared" si="144"/>
        <v>1061</v>
      </c>
      <c r="E1678" s="1">
        <f t="shared" si="145"/>
        <v>2180</v>
      </c>
      <c r="F1678" s="1"/>
      <c r="L1678" s="11">
        <v>44291</v>
      </c>
      <c r="M1678" s="9">
        <v>0</v>
      </c>
      <c r="N1678" s="9">
        <v>1061</v>
      </c>
      <c r="O1678" s="9">
        <v>0</v>
      </c>
      <c r="P1678" s="9">
        <v>0</v>
      </c>
      <c r="R1678" s="11"/>
      <c r="S1678" s="9"/>
      <c r="T1678" s="9"/>
      <c r="U1678" s="9"/>
    </row>
    <row r="1679" spans="2:21" x14ac:dyDescent="0.4">
      <c r="B1679" s="16">
        <f t="shared" si="142"/>
        <v>44292</v>
      </c>
      <c r="C1679" s="1">
        <f t="shared" si="143"/>
        <v>5033</v>
      </c>
      <c r="D1679" s="1">
        <f t="shared" si="144"/>
        <v>1061</v>
      </c>
      <c r="E1679" s="1">
        <f t="shared" si="145"/>
        <v>2180</v>
      </c>
      <c r="F1679" s="1"/>
      <c r="L1679" s="11">
        <v>44292</v>
      </c>
      <c r="M1679" s="9">
        <v>5033</v>
      </c>
      <c r="N1679" s="9">
        <v>1061</v>
      </c>
      <c r="O1679" s="9">
        <v>2180</v>
      </c>
      <c r="P1679" s="9">
        <v>0</v>
      </c>
      <c r="R1679" s="11"/>
      <c r="S1679" s="9"/>
      <c r="T1679" s="9"/>
      <c r="U1679" s="9"/>
    </row>
    <row r="1680" spans="2:21" x14ac:dyDescent="0.4">
      <c r="B1680" s="16">
        <f t="shared" si="142"/>
        <v>44293</v>
      </c>
      <c r="C1680" s="1">
        <f t="shared" si="143"/>
        <v>5036</v>
      </c>
      <c r="D1680" s="1">
        <f t="shared" si="144"/>
        <v>1061</v>
      </c>
      <c r="E1680" s="1">
        <f t="shared" si="145"/>
        <v>2140</v>
      </c>
      <c r="F1680" s="1"/>
      <c r="L1680" s="11">
        <v>44293</v>
      </c>
      <c r="M1680" s="9">
        <v>5036</v>
      </c>
      <c r="N1680" s="9">
        <v>1061</v>
      </c>
      <c r="O1680" s="9">
        <v>2140</v>
      </c>
      <c r="P1680" s="9">
        <v>0</v>
      </c>
      <c r="R1680" s="11"/>
      <c r="S1680" s="9"/>
      <c r="T1680" s="9"/>
      <c r="U1680" s="9"/>
    </row>
    <row r="1681" spans="2:21" x14ac:dyDescent="0.4">
      <c r="B1681" s="16">
        <f t="shared" si="142"/>
        <v>44294</v>
      </c>
      <c r="C1681" s="1">
        <f t="shared" si="143"/>
        <v>5026</v>
      </c>
      <c r="D1681" s="1">
        <f t="shared" si="144"/>
        <v>1071</v>
      </c>
      <c r="E1681" s="1">
        <f t="shared" si="145"/>
        <v>2140</v>
      </c>
      <c r="F1681" s="1"/>
      <c r="L1681" s="11">
        <v>44294</v>
      </c>
      <c r="M1681" s="9">
        <v>5026</v>
      </c>
      <c r="N1681" s="9">
        <v>1071</v>
      </c>
      <c r="O1681" s="9">
        <v>2140</v>
      </c>
      <c r="P1681" s="9">
        <v>0</v>
      </c>
      <c r="R1681" s="11"/>
      <c r="S1681" s="9"/>
      <c r="T1681" s="9"/>
      <c r="U1681" s="9"/>
    </row>
    <row r="1682" spans="2:21" x14ac:dyDescent="0.4">
      <c r="B1682" s="16">
        <f t="shared" si="142"/>
        <v>44295</v>
      </c>
      <c r="C1682" s="1">
        <f t="shared" si="143"/>
        <v>5059</v>
      </c>
      <c r="D1682" s="1">
        <f t="shared" si="144"/>
        <v>1071</v>
      </c>
      <c r="E1682" s="1">
        <f t="shared" si="145"/>
        <v>2140</v>
      </c>
      <c r="F1682" s="1"/>
      <c r="L1682" s="11">
        <v>44295</v>
      </c>
      <c r="M1682" s="9">
        <v>5059</v>
      </c>
      <c r="N1682" s="9">
        <v>1071</v>
      </c>
      <c r="O1682" s="9">
        <v>2140</v>
      </c>
      <c r="P1682" s="9">
        <v>0</v>
      </c>
      <c r="R1682" s="11"/>
      <c r="S1682" s="9"/>
      <c r="T1682" s="9"/>
      <c r="U1682" s="9"/>
    </row>
    <row r="1683" spans="2:21" x14ac:dyDescent="0.4">
      <c r="B1683" s="16">
        <f t="shared" si="142"/>
        <v>44298</v>
      </c>
      <c r="C1683" s="1">
        <f t="shared" si="143"/>
        <v>5065</v>
      </c>
      <c r="D1683" s="1">
        <f t="shared" si="144"/>
        <v>1071</v>
      </c>
      <c r="E1683" s="1">
        <f t="shared" si="145"/>
        <v>2140</v>
      </c>
      <c r="F1683" s="1"/>
      <c r="L1683" s="11">
        <v>44298</v>
      </c>
      <c r="M1683" s="9">
        <v>5065</v>
      </c>
      <c r="N1683" s="9">
        <v>1071</v>
      </c>
      <c r="O1683" s="9">
        <v>2140</v>
      </c>
      <c r="P1683" s="9">
        <v>0</v>
      </c>
      <c r="R1683" s="11"/>
      <c r="S1683" s="9"/>
      <c r="T1683" s="9"/>
      <c r="U1683" s="9"/>
    </row>
    <row r="1684" spans="2:21" x14ac:dyDescent="0.4">
      <c r="B1684" s="16">
        <f t="shared" si="142"/>
        <v>44299</v>
      </c>
      <c r="C1684" s="1">
        <f t="shared" si="143"/>
        <v>5044</v>
      </c>
      <c r="D1684" s="1">
        <f t="shared" si="144"/>
        <v>1091</v>
      </c>
      <c r="E1684" s="1">
        <f t="shared" si="145"/>
        <v>2140</v>
      </c>
      <c r="F1684" s="1"/>
      <c r="L1684" s="11">
        <v>44299</v>
      </c>
      <c r="M1684" s="9">
        <v>5044</v>
      </c>
      <c r="N1684" s="9">
        <v>1091</v>
      </c>
      <c r="O1684" s="9">
        <v>2140</v>
      </c>
      <c r="P1684" s="9">
        <v>0</v>
      </c>
      <c r="R1684" s="11"/>
      <c r="S1684" s="9"/>
      <c r="T1684" s="9"/>
      <c r="U1684" s="9"/>
    </row>
    <row r="1685" spans="2:21" x14ac:dyDescent="0.4">
      <c r="B1685" s="16">
        <f t="shared" si="142"/>
        <v>44300</v>
      </c>
      <c r="C1685" s="1">
        <f t="shared" si="143"/>
        <v>5049</v>
      </c>
      <c r="D1685" s="1">
        <f t="shared" si="144"/>
        <v>1091</v>
      </c>
      <c r="E1685" s="1">
        <f t="shared" si="145"/>
        <v>2145</v>
      </c>
      <c r="F1685" s="1"/>
      <c r="L1685" s="11">
        <v>44300</v>
      </c>
      <c r="M1685" s="9">
        <v>5049</v>
      </c>
      <c r="N1685" s="9">
        <v>1091</v>
      </c>
      <c r="O1685" s="9">
        <v>2145</v>
      </c>
      <c r="P1685" s="9">
        <v>0</v>
      </c>
      <c r="R1685" s="11"/>
      <c r="S1685" s="9"/>
      <c r="T1685" s="9"/>
      <c r="U1685" s="9"/>
    </row>
    <row r="1686" spans="2:21" x14ac:dyDescent="0.4">
      <c r="B1686" s="16">
        <f t="shared" si="142"/>
        <v>44301</v>
      </c>
      <c r="C1686" s="1">
        <f t="shared" si="143"/>
        <v>5038</v>
      </c>
      <c r="D1686" s="1">
        <f t="shared" si="144"/>
        <v>1106</v>
      </c>
      <c r="E1686" s="1">
        <f t="shared" si="145"/>
        <v>2145</v>
      </c>
      <c r="F1686" s="1"/>
      <c r="L1686" s="11">
        <v>44301</v>
      </c>
      <c r="M1686" s="9">
        <v>5038</v>
      </c>
      <c r="N1686" s="9">
        <v>1106</v>
      </c>
      <c r="O1686" s="9">
        <v>2145</v>
      </c>
      <c r="P1686" s="9">
        <v>0</v>
      </c>
      <c r="R1686" s="11"/>
      <c r="S1686" s="9"/>
      <c r="T1686" s="9"/>
      <c r="U1686" s="9"/>
    </row>
    <row r="1687" spans="2:21" x14ac:dyDescent="0.4">
      <c r="B1687" s="16">
        <f t="shared" si="142"/>
        <v>44302</v>
      </c>
      <c r="C1687" s="1">
        <f t="shared" si="143"/>
        <v>5066</v>
      </c>
      <c r="D1687" s="1">
        <f t="shared" si="144"/>
        <v>1106</v>
      </c>
      <c r="E1687" s="1">
        <f t="shared" si="145"/>
        <v>2145</v>
      </c>
      <c r="F1687" s="1"/>
      <c r="L1687" s="11">
        <v>44302</v>
      </c>
      <c r="M1687" s="9">
        <v>5066</v>
      </c>
      <c r="N1687" s="9">
        <v>1106</v>
      </c>
      <c r="O1687" s="9">
        <v>2145</v>
      </c>
      <c r="P1687" s="9">
        <v>0</v>
      </c>
      <c r="R1687" s="11"/>
      <c r="S1687" s="9"/>
      <c r="T1687" s="9"/>
      <c r="U1687" s="9"/>
    </row>
    <row r="1688" spans="2:21" x14ac:dyDescent="0.4">
      <c r="B1688" s="16">
        <f t="shared" si="142"/>
        <v>44305</v>
      </c>
      <c r="C1688" s="1">
        <f t="shared" si="143"/>
        <v>5084</v>
      </c>
      <c r="D1688" s="1">
        <f t="shared" si="144"/>
        <v>1106</v>
      </c>
      <c r="E1688" s="1">
        <f t="shared" si="145"/>
        <v>2150</v>
      </c>
      <c r="F1688" s="1"/>
      <c r="L1688" s="11">
        <v>44305</v>
      </c>
      <c r="M1688" s="9">
        <v>5084</v>
      </c>
      <c r="N1688" s="9">
        <v>1106</v>
      </c>
      <c r="O1688" s="9">
        <v>2150</v>
      </c>
      <c r="P1688" s="9">
        <v>0</v>
      </c>
      <c r="R1688" s="11"/>
      <c r="S1688" s="9"/>
      <c r="T1688" s="9"/>
      <c r="U1688" s="9"/>
    </row>
    <row r="1689" spans="2:21" x14ac:dyDescent="0.4">
      <c r="B1689" s="16">
        <f t="shared" si="142"/>
        <v>44306</v>
      </c>
      <c r="C1689" s="1">
        <f t="shared" si="143"/>
        <v>5093</v>
      </c>
      <c r="D1689" s="1">
        <f t="shared" si="144"/>
        <v>1106</v>
      </c>
      <c r="E1689" s="1">
        <f t="shared" si="145"/>
        <v>2150</v>
      </c>
      <c r="F1689" s="1"/>
      <c r="L1689" s="11">
        <v>44306</v>
      </c>
      <c r="M1689" s="9">
        <v>5093</v>
      </c>
      <c r="N1689" s="9">
        <v>1106</v>
      </c>
      <c r="O1689" s="9">
        <v>2150</v>
      </c>
      <c r="P1689" s="9">
        <v>0</v>
      </c>
      <c r="R1689" s="11"/>
      <c r="S1689" s="9"/>
      <c r="T1689" s="9"/>
      <c r="U1689" s="9"/>
    </row>
    <row r="1690" spans="2:21" x14ac:dyDescent="0.4">
      <c r="B1690" s="16">
        <f t="shared" si="142"/>
        <v>44307</v>
      </c>
      <c r="C1690" s="1">
        <f t="shared" si="143"/>
        <v>5094</v>
      </c>
      <c r="D1690" s="1">
        <f t="shared" si="144"/>
        <v>1106</v>
      </c>
      <c r="E1690" s="1">
        <f t="shared" si="145"/>
        <v>2160</v>
      </c>
      <c r="F1690" s="1"/>
      <c r="L1690" s="11">
        <v>44307</v>
      </c>
      <c r="M1690" s="9">
        <v>5094</v>
      </c>
      <c r="N1690" s="9">
        <v>1106</v>
      </c>
      <c r="O1690" s="9">
        <v>2160</v>
      </c>
      <c r="P1690" s="9">
        <v>0</v>
      </c>
      <c r="R1690" s="11"/>
      <c r="S1690" s="9"/>
      <c r="T1690" s="9"/>
      <c r="U1690" s="9"/>
    </row>
    <row r="1691" spans="2:21" x14ac:dyDescent="0.4">
      <c r="B1691" s="16">
        <f t="shared" si="142"/>
        <v>44308</v>
      </c>
      <c r="C1691" s="1">
        <f t="shared" si="143"/>
        <v>5061</v>
      </c>
      <c r="D1691" s="1">
        <f t="shared" si="144"/>
        <v>1106</v>
      </c>
      <c r="E1691" s="1">
        <f t="shared" si="145"/>
        <v>2170</v>
      </c>
      <c r="F1691" s="1"/>
      <c r="L1691" s="11">
        <v>44308</v>
      </c>
      <c r="M1691" s="9">
        <v>5061</v>
      </c>
      <c r="N1691" s="9">
        <v>1106</v>
      </c>
      <c r="O1691" s="9">
        <v>2170</v>
      </c>
      <c r="P1691" s="9">
        <v>0</v>
      </c>
      <c r="R1691" s="11"/>
      <c r="S1691" s="9"/>
      <c r="T1691" s="9"/>
      <c r="U1691" s="9"/>
    </row>
    <row r="1692" spans="2:21" x14ac:dyDescent="0.4">
      <c r="B1692" s="16">
        <f t="shared" si="142"/>
        <v>44309</v>
      </c>
      <c r="C1692" s="1">
        <f t="shared" si="143"/>
        <v>5046</v>
      </c>
      <c r="D1692" s="1">
        <f t="shared" si="144"/>
        <v>1106</v>
      </c>
      <c r="E1692" s="1">
        <f t="shared" si="145"/>
        <v>2190</v>
      </c>
      <c r="F1692" s="1"/>
      <c r="L1692" s="11">
        <v>44309</v>
      </c>
      <c r="M1692" s="9">
        <v>5046</v>
      </c>
      <c r="N1692" s="9">
        <v>1106</v>
      </c>
      <c r="O1692" s="9">
        <v>2190</v>
      </c>
      <c r="P1692" s="9">
        <v>0</v>
      </c>
      <c r="R1692" s="11"/>
      <c r="S1692" s="9"/>
      <c r="T1692" s="9"/>
      <c r="U1692" s="9"/>
    </row>
    <row r="1693" spans="2:21" x14ac:dyDescent="0.4">
      <c r="B1693" s="16">
        <f t="shared" si="142"/>
        <v>44311</v>
      </c>
      <c r="C1693" s="1">
        <f t="shared" si="143"/>
        <v>5037</v>
      </c>
      <c r="D1693" s="1">
        <f t="shared" si="144"/>
        <v>1106</v>
      </c>
      <c r="E1693" s="1">
        <f t="shared" si="145"/>
        <v>2195</v>
      </c>
      <c r="F1693" s="1"/>
      <c r="L1693" s="11">
        <v>44311</v>
      </c>
      <c r="M1693" s="9">
        <v>5037</v>
      </c>
      <c r="N1693" s="9">
        <v>0</v>
      </c>
      <c r="O1693" s="9">
        <v>2195</v>
      </c>
      <c r="P1693" s="9">
        <v>0</v>
      </c>
      <c r="R1693" s="11"/>
      <c r="S1693" s="9"/>
      <c r="T1693" s="9"/>
      <c r="U1693" s="9"/>
    </row>
    <row r="1694" spans="2:21" x14ac:dyDescent="0.4">
      <c r="B1694" s="16">
        <f t="shared" si="142"/>
        <v>44312</v>
      </c>
      <c r="C1694" s="1">
        <f t="shared" si="143"/>
        <v>5032</v>
      </c>
      <c r="D1694" s="1">
        <f t="shared" si="144"/>
        <v>1106</v>
      </c>
      <c r="E1694" s="1">
        <f t="shared" si="145"/>
        <v>2190</v>
      </c>
      <c r="F1694" s="1"/>
      <c r="L1694" s="11">
        <v>44312</v>
      </c>
      <c r="M1694" s="9">
        <v>5032</v>
      </c>
      <c r="N1694" s="9">
        <v>1106</v>
      </c>
      <c r="O1694" s="9">
        <v>2190</v>
      </c>
      <c r="P1694" s="9">
        <v>0</v>
      </c>
      <c r="R1694" s="11"/>
      <c r="S1694" s="9"/>
      <c r="T1694" s="9"/>
      <c r="U1694" s="9"/>
    </row>
    <row r="1695" spans="2:21" x14ac:dyDescent="0.4">
      <c r="B1695" s="16">
        <f t="shared" si="142"/>
        <v>44313</v>
      </c>
      <c r="C1695" s="1">
        <f t="shared" si="143"/>
        <v>5020</v>
      </c>
      <c r="D1695" s="1">
        <f t="shared" si="144"/>
        <v>1106</v>
      </c>
      <c r="E1695" s="1">
        <f t="shared" si="145"/>
        <v>2200</v>
      </c>
      <c r="F1695" s="1"/>
      <c r="L1695" s="11">
        <v>44313</v>
      </c>
      <c r="M1695" s="9">
        <v>5020</v>
      </c>
      <c r="N1695" s="9">
        <v>1106</v>
      </c>
      <c r="O1695" s="9">
        <v>2200</v>
      </c>
      <c r="P1695" s="9">
        <v>0</v>
      </c>
      <c r="R1695" s="11"/>
      <c r="S1695" s="9"/>
      <c r="T1695" s="9"/>
      <c r="U1695" s="9"/>
    </row>
    <row r="1696" spans="2:21" x14ac:dyDescent="0.4">
      <c r="B1696" s="16">
        <f t="shared" si="142"/>
        <v>44314</v>
      </c>
      <c r="C1696" s="1">
        <f t="shared" si="143"/>
        <v>5025</v>
      </c>
      <c r="D1696" s="1">
        <f t="shared" si="144"/>
        <v>1106</v>
      </c>
      <c r="E1696" s="1">
        <f t="shared" si="145"/>
        <v>2200</v>
      </c>
      <c r="F1696" s="1"/>
      <c r="L1696" s="11">
        <v>44314</v>
      </c>
      <c r="M1696" s="9">
        <v>5025</v>
      </c>
      <c r="N1696" s="9">
        <v>1106</v>
      </c>
      <c r="O1696" s="9">
        <v>2200</v>
      </c>
      <c r="P1696" s="9">
        <v>0</v>
      </c>
      <c r="R1696" s="11"/>
      <c r="S1696" s="9"/>
      <c r="T1696" s="9"/>
      <c r="U1696" s="9"/>
    </row>
    <row r="1697" spans="2:21" x14ac:dyDescent="0.4">
      <c r="B1697" s="16">
        <f t="shared" si="142"/>
        <v>44315</v>
      </c>
      <c r="C1697" s="1">
        <f t="shared" si="143"/>
        <v>5033</v>
      </c>
      <c r="D1697" s="1">
        <f t="shared" si="144"/>
        <v>1106</v>
      </c>
      <c r="E1697" s="1">
        <f t="shared" si="145"/>
        <v>2205</v>
      </c>
      <c r="F1697" s="1"/>
      <c r="L1697" s="11">
        <v>44315</v>
      </c>
      <c r="M1697" s="9">
        <v>5033</v>
      </c>
      <c r="N1697" s="9">
        <v>1106</v>
      </c>
      <c r="O1697" s="9">
        <v>2205</v>
      </c>
      <c r="P1697" s="9">
        <v>0</v>
      </c>
      <c r="R1697" s="11"/>
      <c r="S1697" s="9"/>
      <c r="T1697" s="9"/>
      <c r="U1697" s="9"/>
    </row>
    <row r="1698" spans="2:21" x14ac:dyDescent="0.4">
      <c r="B1698" s="16">
        <f t="shared" si="142"/>
        <v>44316</v>
      </c>
      <c r="C1698" s="1">
        <f t="shared" si="143"/>
        <v>5026</v>
      </c>
      <c r="D1698" s="1">
        <f t="shared" si="144"/>
        <v>1106</v>
      </c>
      <c r="E1698" s="1">
        <f t="shared" si="145"/>
        <v>2205</v>
      </c>
      <c r="F1698" s="1"/>
      <c r="L1698" s="11">
        <v>44316</v>
      </c>
      <c r="M1698" s="9">
        <v>5026</v>
      </c>
      <c r="N1698" s="9">
        <v>1106</v>
      </c>
      <c r="O1698" s="9">
        <v>2205</v>
      </c>
      <c r="P1698" s="9">
        <v>0</v>
      </c>
      <c r="R1698" s="11"/>
      <c r="S1698" s="9"/>
      <c r="T1698" s="9"/>
      <c r="U1698" s="9"/>
    </row>
    <row r="1699" spans="2:21" x14ac:dyDescent="0.4">
      <c r="B1699" s="16">
        <f t="shared" si="142"/>
        <v>44319</v>
      </c>
      <c r="C1699" s="1">
        <f t="shared" si="143"/>
        <v>5026</v>
      </c>
      <c r="D1699" s="1">
        <f t="shared" si="144"/>
        <v>1106</v>
      </c>
      <c r="E1699" s="1">
        <f t="shared" si="145"/>
        <v>2205</v>
      </c>
      <c r="F1699" s="1"/>
      <c r="L1699" s="11">
        <v>44319</v>
      </c>
      <c r="M1699" s="9">
        <v>0</v>
      </c>
      <c r="N1699" s="9">
        <v>1106</v>
      </c>
      <c r="O1699" s="9">
        <v>0</v>
      </c>
      <c r="P1699" s="9">
        <v>0</v>
      </c>
      <c r="R1699" s="11"/>
      <c r="S1699" s="9"/>
      <c r="T1699" s="9"/>
      <c r="U1699" s="9"/>
    </row>
    <row r="1700" spans="2:21" x14ac:dyDescent="0.4">
      <c r="B1700" s="16">
        <f t="shared" si="142"/>
        <v>44320</v>
      </c>
      <c r="C1700" s="1">
        <f t="shared" si="143"/>
        <v>5026</v>
      </c>
      <c r="D1700" s="1">
        <f t="shared" si="144"/>
        <v>1106</v>
      </c>
      <c r="E1700" s="1">
        <f t="shared" si="145"/>
        <v>2205</v>
      </c>
      <c r="F1700" s="1"/>
      <c r="L1700" s="11">
        <v>44320</v>
      </c>
      <c r="M1700" s="9">
        <v>0</v>
      </c>
      <c r="N1700" s="9">
        <v>1106</v>
      </c>
      <c r="O1700" s="9">
        <v>0</v>
      </c>
      <c r="P1700" s="9">
        <v>0</v>
      </c>
      <c r="R1700" s="11"/>
      <c r="S1700" s="9"/>
      <c r="T1700" s="9"/>
      <c r="U1700" s="9"/>
    </row>
    <row r="1701" spans="2:21" x14ac:dyDescent="0.4">
      <c r="B1701" s="16">
        <f t="shared" si="142"/>
        <v>44321</v>
      </c>
      <c r="C1701" s="1">
        <f t="shared" si="143"/>
        <v>5026</v>
      </c>
      <c r="D1701" s="1">
        <f t="shared" si="144"/>
        <v>1106</v>
      </c>
      <c r="E1701" s="1">
        <f t="shared" si="145"/>
        <v>2205</v>
      </c>
      <c r="F1701" s="1"/>
      <c r="L1701" s="11">
        <v>44321</v>
      </c>
      <c r="M1701" s="9">
        <v>0</v>
      </c>
      <c r="N1701" s="9">
        <v>1106</v>
      </c>
      <c r="O1701" s="9">
        <v>0</v>
      </c>
      <c r="P1701" s="9">
        <v>0</v>
      </c>
      <c r="R1701" s="11"/>
      <c r="S1701" s="9"/>
      <c r="T1701" s="9"/>
      <c r="U1701" s="9"/>
    </row>
    <row r="1702" spans="2:21" x14ac:dyDescent="0.4">
      <c r="B1702" s="16">
        <f t="shared" si="142"/>
        <v>44322</v>
      </c>
      <c r="C1702" s="1">
        <f t="shared" si="143"/>
        <v>5057</v>
      </c>
      <c r="D1702" s="1">
        <f t="shared" si="144"/>
        <v>1106</v>
      </c>
      <c r="E1702" s="1">
        <f t="shared" si="145"/>
        <v>2200</v>
      </c>
      <c r="F1702" s="1"/>
      <c r="L1702" s="11">
        <v>44322</v>
      </c>
      <c r="M1702" s="9">
        <v>5057</v>
      </c>
      <c r="N1702" s="9">
        <v>1106</v>
      </c>
      <c r="O1702" s="9">
        <v>2200</v>
      </c>
      <c r="P1702" s="9">
        <v>0</v>
      </c>
      <c r="R1702" s="11"/>
      <c r="S1702" s="9"/>
      <c r="T1702" s="9"/>
      <c r="U1702" s="9"/>
    </row>
    <row r="1703" spans="2:21" x14ac:dyDescent="0.4">
      <c r="B1703" s="16">
        <f t="shared" si="142"/>
        <v>44323</v>
      </c>
      <c r="C1703" s="1">
        <f t="shared" si="143"/>
        <v>5057</v>
      </c>
      <c r="D1703" s="1">
        <f t="shared" si="144"/>
        <v>1106</v>
      </c>
      <c r="E1703" s="1">
        <f t="shared" si="145"/>
        <v>2200</v>
      </c>
      <c r="F1703" s="1"/>
      <c r="L1703" s="11">
        <v>44323</v>
      </c>
      <c r="M1703" s="9">
        <v>5057</v>
      </c>
      <c r="N1703" s="9">
        <v>1106</v>
      </c>
      <c r="O1703" s="9">
        <v>2200</v>
      </c>
      <c r="P1703" s="9">
        <v>0</v>
      </c>
      <c r="R1703" s="11"/>
      <c r="S1703" s="9"/>
      <c r="T1703" s="9"/>
      <c r="U1703" s="9"/>
    </row>
    <row r="1704" spans="2:21" x14ac:dyDescent="0.4">
      <c r="B1704" s="16">
        <f t="shared" si="142"/>
        <v>44324</v>
      </c>
      <c r="C1704" s="1">
        <f t="shared" si="143"/>
        <v>5071</v>
      </c>
      <c r="D1704" s="1">
        <f t="shared" si="144"/>
        <v>1106</v>
      </c>
      <c r="E1704" s="1">
        <f t="shared" si="145"/>
        <v>2200</v>
      </c>
      <c r="F1704" s="1"/>
      <c r="L1704" s="11">
        <v>44324</v>
      </c>
      <c r="M1704" s="9">
        <v>5071</v>
      </c>
      <c r="N1704" s="9">
        <v>0</v>
      </c>
      <c r="O1704" s="9">
        <v>2200</v>
      </c>
      <c r="P1704" s="9">
        <v>0</v>
      </c>
      <c r="R1704" s="11"/>
      <c r="S1704" s="9"/>
      <c r="T1704" s="9"/>
      <c r="U1704" s="9"/>
    </row>
    <row r="1705" spans="2:21" x14ac:dyDescent="0.4">
      <c r="B1705" s="16">
        <f t="shared" si="142"/>
        <v>44326</v>
      </c>
      <c r="C1705" s="1">
        <f t="shared" si="143"/>
        <v>5095</v>
      </c>
      <c r="D1705" s="1">
        <f t="shared" si="144"/>
        <v>1151</v>
      </c>
      <c r="E1705" s="1">
        <f t="shared" si="145"/>
        <v>2200</v>
      </c>
      <c r="F1705" s="1"/>
      <c r="L1705" s="11">
        <v>44326</v>
      </c>
      <c r="M1705" s="9">
        <v>5095</v>
      </c>
      <c r="N1705" s="9">
        <v>1151</v>
      </c>
      <c r="O1705" s="9">
        <v>2200</v>
      </c>
      <c r="P1705" s="9">
        <v>0</v>
      </c>
      <c r="R1705" s="11"/>
      <c r="S1705" s="9"/>
      <c r="T1705" s="9"/>
      <c r="U1705" s="9"/>
    </row>
    <row r="1706" spans="2:21" x14ac:dyDescent="0.4">
      <c r="B1706" s="16">
        <f t="shared" si="142"/>
        <v>44327</v>
      </c>
      <c r="C1706" s="1">
        <f t="shared" si="143"/>
        <v>5062</v>
      </c>
      <c r="D1706" s="1">
        <f t="shared" si="144"/>
        <v>1151</v>
      </c>
      <c r="E1706" s="1">
        <f t="shared" si="145"/>
        <v>2205</v>
      </c>
      <c r="F1706" s="1"/>
      <c r="L1706" s="11">
        <v>44327</v>
      </c>
      <c r="M1706" s="9">
        <v>5062</v>
      </c>
      <c r="N1706" s="9">
        <v>1151</v>
      </c>
      <c r="O1706" s="9">
        <v>2205</v>
      </c>
      <c r="P1706" s="9">
        <v>0</v>
      </c>
      <c r="R1706" s="11"/>
      <c r="S1706" s="9"/>
      <c r="T1706" s="9"/>
      <c r="U1706" s="9"/>
    </row>
    <row r="1707" spans="2:21" x14ac:dyDescent="0.4">
      <c r="B1707" s="16">
        <f t="shared" si="142"/>
        <v>44328</v>
      </c>
      <c r="C1707" s="1">
        <f t="shared" si="143"/>
        <v>5064</v>
      </c>
      <c r="D1707" s="1">
        <f t="shared" si="144"/>
        <v>1151</v>
      </c>
      <c r="E1707" s="1">
        <f t="shared" si="145"/>
        <v>2235</v>
      </c>
      <c r="F1707" s="1"/>
      <c r="L1707" s="11">
        <v>44328</v>
      </c>
      <c r="M1707" s="9">
        <v>5064</v>
      </c>
      <c r="N1707" s="9">
        <v>1151</v>
      </c>
      <c r="O1707" s="9">
        <v>2235</v>
      </c>
      <c r="P1707" s="9">
        <v>0</v>
      </c>
      <c r="R1707" s="11"/>
      <c r="S1707" s="9"/>
      <c r="T1707" s="9"/>
      <c r="U1707" s="9"/>
    </row>
    <row r="1708" spans="2:21" x14ac:dyDescent="0.4">
      <c r="B1708" s="16">
        <f t="shared" si="142"/>
        <v>44329</v>
      </c>
      <c r="C1708" s="1">
        <f t="shared" si="143"/>
        <v>5073</v>
      </c>
      <c r="D1708" s="1">
        <f t="shared" si="144"/>
        <v>1151</v>
      </c>
      <c r="E1708" s="1">
        <f t="shared" si="145"/>
        <v>2260</v>
      </c>
      <c r="F1708" s="1"/>
      <c r="L1708" s="11">
        <v>44329</v>
      </c>
      <c r="M1708" s="9">
        <v>5073</v>
      </c>
      <c r="N1708" s="9">
        <v>1151</v>
      </c>
      <c r="O1708" s="9">
        <v>2260</v>
      </c>
      <c r="P1708" s="9">
        <v>0</v>
      </c>
      <c r="R1708" s="11"/>
      <c r="S1708" s="9"/>
      <c r="T1708" s="9"/>
      <c r="U1708" s="9"/>
    </row>
    <row r="1709" spans="2:21" x14ac:dyDescent="0.4">
      <c r="B1709" s="16">
        <f t="shared" si="142"/>
        <v>44330</v>
      </c>
      <c r="C1709" s="1">
        <f t="shared" si="143"/>
        <v>5078</v>
      </c>
      <c r="D1709" s="1">
        <f t="shared" si="144"/>
        <v>1141</v>
      </c>
      <c r="E1709" s="1">
        <f t="shared" si="145"/>
        <v>2300</v>
      </c>
      <c r="F1709" s="1"/>
      <c r="L1709" s="11">
        <v>44330</v>
      </c>
      <c r="M1709" s="9">
        <v>5078</v>
      </c>
      <c r="N1709" s="9">
        <v>1141</v>
      </c>
      <c r="O1709" s="9">
        <v>2300</v>
      </c>
      <c r="P1709" s="9">
        <v>0</v>
      </c>
      <c r="R1709" s="11"/>
      <c r="S1709" s="9"/>
      <c r="T1709" s="9"/>
      <c r="U1709" s="9"/>
    </row>
    <row r="1710" spans="2:21" x14ac:dyDescent="0.4">
      <c r="B1710" s="16">
        <f t="shared" si="142"/>
        <v>44333</v>
      </c>
      <c r="C1710" s="1">
        <f t="shared" si="143"/>
        <v>5063</v>
      </c>
      <c r="D1710" s="1">
        <f t="shared" si="144"/>
        <v>1111</v>
      </c>
      <c r="E1710" s="1">
        <f t="shared" si="145"/>
        <v>2300</v>
      </c>
      <c r="F1710" s="1"/>
      <c r="L1710" s="11">
        <v>44333</v>
      </c>
      <c r="M1710" s="9">
        <v>5063</v>
      </c>
      <c r="N1710" s="9">
        <v>1111</v>
      </c>
      <c r="O1710" s="9">
        <v>2300</v>
      </c>
      <c r="P1710" s="9">
        <v>0</v>
      </c>
      <c r="R1710" s="11"/>
      <c r="S1710" s="9"/>
      <c r="T1710" s="9"/>
      <c r="U1710" s="9"/>
    </row>
    <row r="1711" spans="2:21" x14ac:dyDescent="0.4">
      <c r="B1711" s="16">
        <f t="shared" si="142"/>
        <v>44334</v>
      </c>
      <c r="C1711" s="1">
        <f t="shared" si="143"/>
        <v>5064</v>
      </c>
      <c r="D1711" s="1">
        <f t="shared" si="144"/>
        <v>1091</v>
      </c>
      <c r="E1711" s="1">
        <f t="shared" si="145"/>
        <v>2315</v>
      </c>
      <c r="F1711" s="1"/>
      <c r="L1711" s="11">
        <v>44334</v>
      </c>
      <c r="M1711" s="9">
        <v>5064</v>
      </c>
      <c r="N1711" s="9">
        <v>1091</v>
      </c>
      <c r="O1711" s="9">
        <v>2315</v>
      </c>
      <c r="P1711" s="9">
        <v>0</v>
      </c>
      <c r="R1711" s="11"/>
      <c r="S1711" s="9"/>
      <c r="T1711" s="9"/>
      <c r="U1711" s="9"/>
    </row>
    <row r="1712" spans="2:21" x14ac:dyDescent="0.4">
      <c r="B1712" s="16">
        <f t="shared" si="142"/>
        <v>44335</v>
      </c>
      <c r="C1712" s="1">
        <f t="shared" si="143"/>
        <v>5045</v>
      </c>
      <c r="D1712" s="1">
        <f t="shared" si="144"/>
        <v>1091</v>
      </c>
      <c r="E1712" s="1">
        <f t="shared" si="145"/>
        <v>2345</v>
      </c>
      <c r="F1712" s="1"/>
      <c r="L1712" s="11">
        <v>44335</v>
      </c>
      <c r="M1712" s="9">
        <v>5045</v>
      </c>
      <c r="N1712" s="9">
        <v>1091</v>
      </c>
      <c r="O1712" s="9">
        <v>2345</v>
      </c>
      <c r="P1712" s="9">
        <v>0</v>
      </c>
      <c r="R1712" s="11"/>
      <c r="S1712" s="9"/>
      <c r="T1712" s="9"/>
      <c r="U1712" s="9"/>
    </row>
    <row r="1713" spans="2:21" x14ac:dyDescent="0.4">
      <c r="B1713" s="16">
        <f t="shared" si="142"/>
        <v>44336</v>
      </c>
      <c r="C1713" s="1">
        <f t="shared" si="143"/>
        <v>5016</v>
      </c>
      <c r="D1713" s="1">
        <f t="shared" si="144"/>
        <v>1076</v>
      </c>
      <c r="E1713" s="1">
        <f t="shared" si="145"/>
        <v>2360</v>
      </c>
      <c r="F1713" s="1"/>
      <c r="L1713" s="11">
        <v>44336</v>
      </c>
      <c r="M1713" s="9">
        <v>5016</v>
      </c>
      <c r="N1713" s="9">
        <v>1076</v>
      </c>
      <c r="O1713" s="9">
        <v>2360</v>
      </c>
      <c r="P1713" s="9">
        <v>0</v>
      </c>
      <c r="R1713" s="11"/>
      <c r="S1713" s="9"/>
      <c r="T1713" s="9"/>
      <c r="U1713" s="9"/>
    </row>
    <row r="1714" spans="2:21" x14ac:dyDescent="0.4">
      <c r="B1714" s="16">
        <f t="shared" si="142"/>
        <v>44337</v>
      </c>
      <c r="C1714" s="1">
        <f t="shared" si="143"/>
        <v>4988</v>
      </c>
      <c r="D1714" s="1">
        <f t="shared" si="144"/>
        <v>1076</v>
      </c>
      <c r="E1714" s="1">
        <f t="shared" si="145"/>
        <v>2370</v>
      </c>
      <c r="F1714" s="1"/>
      <c r="L1714" s="11">
        <v>44337</v>
      </c>
      <c r="M1714" s="9">
        <v>4988</v>
      </c>
      <c r="N1714" s="9">
        <v>1076</v>
      </c>
      <c r="O1714" s="9">
        <v>2370</v>
      </c>
      <c r="P1714" s="9">
        <v>0</v>
      </c>
      <c r="R1714" s="11"/>
      <c r="S1714" s="9"/>
      <c r="T1714" s="9"/>
      <c r="U1714" s="9"/>
    </row>
    <row r="1715" spans="2:21" x14ac:dyDescent="0.4">
      <c r="B1715" s="16">
        <f t="shared" si="142"/>
        <v>44340</v>
      </c>
      <c r="C1715" s="1">
        <f t="shared" si="143"/>
        <v>4988</v>
      </c>
      <c r="D1715" s="1">
        <f t="shared" si="144"/>
        <v>1066</v>
      </c>
      <c r="E1715" s="1">
        <f t="shared" si="145"/>
        <v>2380</v>
      </c>
      <c r="F1715" s="1"/>
      <c r="L1715" s="11">
        <v>44340</v>
      </c>
      <c r="M1715" s="9">
        <v>4988</v>
      </c>
      <c r="N1715" s="9">
        <v>1066</v>
      </c>
      <c r="O1715" s="9">
        <v>2380</v>
      </c>
      <c r="P1715" s="9">
        <v>0</v>
      </c>
      <c r="R1715" s="11"/>
      <c r="S1715" s="9"/>
      <c r="T1715" s="9"/>
      <c r="U1715" s="9"/>
    </row>
    <row r="1716" spans="2:21" x14ac:dyDescent="0.4">
      <c r="B1716" s="16">
        <f t="shared" si="142"/>
        <v>44341</v>
      </c>
      <c r="C1716" s="1">
        <f t="shared" si="143"/>
        <v>5007</v>
      </c>
      <c r="D1716" s="1">
        <f t="shared" si="144"/>
        <v>1066</v>
      </c>
      <c r="E1716" s="1">
        <f t="shared" si="145"/>
        <v>2385</v>
      </c>
      <c r="F1716" s="1"/>
      <c r="L1716" s="11">
        <v>44341</v>
      </c>
      <c r="M1716" s="9">
        <v>5007</v>
      </c>
      <c r="N1716" s="9">
        <v>1066</v>
      </c>
      <c r="O1716" s="9">
        <v>2385</v>
      </c>
      <c r="P1716" s="9">
        <v>0</v>
      </c>
      <c r="R1716" s="11"/>
      <c r="S1716" s="9"/>
      <c r="T1716" s="9"/>
      <c r="U1716" s="9"/>
    </row>
    <row r="1717" spans="2:21" x14ac:dyDescent="0.4">
      <c r="B1717" s="16">
        <f t="shared" si="142"/>
        <v>44342</v>
      </c>
      <c r="C1717" s="1">
        <f t="shared" si="143"/>
        <v>5020</v>
      </c>
      <c r="D1717" s="1">
        <f t="shared" si="144"/>
        <v>1066</v>
      </c>
      <c r="E1717" s="1">
        <f t="shared" si="145"/>
        <v>2395</v>
      </c>
      <c r="F1717" s="1"/>
      <c r="L1717" s="11">
        <v>44342</v>
      </c>
      <c r="M1717" s="9">
        <v>5020</v>
      </c>
      <c r="N1717" s="9">
        <v>1066</v>
      </c>
      <c r="O1717" s="9">
        <v>2395</v>
      </c>
      <c r="P1717" s="9">
        <v>0</v>
      </c>
      <c r="R1717" s="11"/>
      <c r="S1717" s="9"/>
      <c r="T1717" s="9"/>
      <c r="U1717" s="9"/>
    </row>
    <row r="1718" spans="2:21" x14ac:dyDescent="0.4">
      <c r="B1718" s="16">
        <f t="shared" si="142"/>
        <v>44343</v>
      </c>
      <c r="C1718" s="1">
        <f t="shared" si="143"/>
        <v>5012</v>
      </c>
      <c r="D1718" s="1">
        <f t="shared" si="144"/>
        <v>1026</v>
      </c>
      <c r="E1718" s="1">
        <f t="shared" si="145"/>
        <v>2400</v>
      </c>
      <c r="F1718" s="1"/>
      <c r="L1718" s="11">
        <v>44343</v>
      </c>
      <c r="M1718" s="9">
        <v>5012</v>
      </c>
      <c r="N1718" s="9">
        <v>1026</v>
      </c>
      <c r="O1718" s="9">
        <v>2400</v>
      </c>
      <c r="P1718" s="9">
        <v>0</v>
      </c>
      <c r="R1718" s="11"/>
      <c r="S1718" s="9"/>
      <c r="T1718" s="9"/>
      <c r="U1718" s="9"/>
    </row>
    <row r="1719" spans="2:21" x14ac:dyDescent="0.4">
      <c r="B1719" s="16">
        <f t="shared" si="142"/>
        <v>44344</v>
      </c>
      <c r="C1719" s="1">
        <f t="shared" si="143"/>
        <v>5003</v>
      </c>
      <c r="D1719" s="1">
        <f t="shared" si="144"/>
        <v>1026</v>
      </c>
      <c r="E1719" s="1">
        <f t="shared" si="145"/>
        <v>2400</v>
      </c>
      <c r="F1719" s="1"/>
      <c r="L1719" s="11">
        <v>44344</v>
      </c>
      <c r="M1719" s="9">
        <v>5003</v>
      </c>
      <c r="N1719" s="9">
        <v>1026</v>
      </c>
      <c r="O1719" s="9">
        <v>2400</v>
      </c>
      <c r="P1719" s="9">
        <v>0</v>
      </c>
      <c r="R1719" s="11"/>
      <c r="S1719" s="9"/>
      <c r="T1719" s="9"/>
      <c r="U1719" s="9"/>
    </row>
    <row r="1720" spans="2:21" x14ac:dyDescent="0.4">
      <c r="B1720" s="16">
        <f t="shared" si="142"/>
        <v>44347</v>
      </c>
      <c r="C1720" s="1">
        <f t="shared" si="143"/>
        <v>5000</v>
      </c>
      <c r="D1720" s="1">
        <f t="shared" si="144"/>
        <v>1026</v>
      </c>
      <c r="E1720" s="1">
        <f t="shared" si="145"/>
        <v>2400</v>
      </c>
      <c r="F1720" s="1"/>
      <c r="L1720" s="11">
        <v>44347</v>
      </c>
      <c r="M1720" s="9">
        <v>5000</v>
      </c>
      <c r="N1720" s="9">
        <v>1026</v>
      </c>
      <c r="O1720" s="9">
        <v>2400</v>
      </c>
      <c r="P1720" s="9">
        <v>0</v>
      </c>
      <c r="R1720" s="11"/>
      <c r="S1720" s="9"/>
      <c r="T1720" s="9"/>
      <c r="U1720" s="9"/>
    </row>
    <row r="1721" spans="2:21" x14ac:dyDescent="0.4">
      <c r="B1721" s="16">
        <f t="shared" si="142"/>
        <v>44348</v>
      </c>
      <c r="C1721" s="1">
        <f t="shared" si="143"/>
        <v>5030</v>
      </c>
      <c r="D1721" s="1">
        <f t="shared" si="144"/>
        <v>1026</v>
      </c>
      <c r="E1721" s="1">
        <f t="shared" si="145"/>
        <v>2430</v>
      </c>
      <c r="F1721" s="1"/>
      <c r="L1721" s="11">
        <v>44348</v>
      </c>
      <c r="M1721" s="9">
        <v>5030</v>
      </c>
      <c r="N1721" s="9">
        <v>1026</v>
      </c>
      <c r="O1721" s="9">
        <v>2430</v>
      </c>
      <c r="P1721" s="9">
        <v>0</v>
      </c>
      <c r="R1721" s="11"/>
      <c r="S1721" s="9"/>
      <c r="T1721" s="9"/>
      <c r="U1721" s="9"/>
    </row>
    <row r="1722" spans="2:21" x14ac:dyDescent="0.4">
      <c r="B1722" s="16">
        <f t="shared" si="142"/>
        <v>44349</v>
      </c>
      <c r="C1722" s="1">
        <f t="shared" si="143"/>
        <v>5037</v>
      </c>
      <c r="D1722" s="1">
        <f t="shared" si="144"/>
        <v>1026</v>
      </c>
      <c r="E1722" s="1">
        <f t="shared" si="145"/>
        <v>2470</v>
      </c>
      <c r="F1722" s="1"/>
      <c r="L1722" s="11">
        <v>44349</v>
      </c>
      <c r="M1722" s="9">
        <v>5037</v>
      </c>
      <c r="N1722" s="9">
        <v>1026</v>
      </c>
      <c r="O1722" s="9">
        <v>2470</v>
      </c>
      <c r="P1722" s="9">
        <v>0</v>
      </c>
      <c r="R1722" s="11"/>
      <c r="S1722" s="9"/>
      <c r="T1722" s="9"/>
      <c r="U1722" s="9"/>
    </row>
    <row r="1723" spans="2:21" x14ac:dyDescent="0.4">
      <c r="B1723" s="16">
        <f t="shared" si="142"/>
        <v>44350</v>
      </c>
      <c r="C1723" s="1">
        <f t="shared" si="143"/>
        <v>5047</v>
      </c>
      <c r="D1723" s="1">
        <f t="shared" si="144"/>
        <v>1026</v>
      </c>
      <c r="E1723" s="1">
        <f t="shared" si="145"/>
        <v>2515</v>
      </c>
      <c r="F1723" s="1"/>
      <c r="L1723" s="11">
        <v>44350</v>
      </c>
      <c r="M1723" s="9">
        <v>5047</v>
      </c>
      <c r="N1723" s="9">
        <v>1026</v>
      </c>
      <c r="O1723" s="9">
        <v>2515</v>
      </c>
      <c r="P1723" s="9">
        <v>0</v>
      </c>
      <c r="R1723" s="11"/>
      <c r="S1723" s="9"/>
      <c r="T1723" s="9"/>
      <c r="U1723" s="9"/>
    </row>
    <row r="1724" spans="2:21" x14ac:dyDescent="0.4">
      <c r="B1724" s="16">
        <f t="shared" si="142"/>
        <v>44351</v>
      </c>
      <c r="C1724" s="1">
        <f t="shared" si="143"/>
        <v>5046</v>
      </c>
      <c r="D1724" s="1">
        <f t="shared" si="144"/>
        <v>1021</v>
      </c>
      <c r="E1724" s="1">
        <f t="shared" si="145"/>
        <v>2570</v>
      </c>
      <c r="F1724" s="1"/>
      <c r="L1724" s="11">
        <v>44351</v>
      </c>
      <c r="M1724" s="9">
        <v>5046</v>
      </c>
      <c r="N1724" s="9">
        <v>1021</v>
      </c>
      <c r="O1724" s="9">
        <v>2570</v>
      </c>
      <c r="P1724" s="9">
        <v>0</v>
      </c>
      <c r="R1724" s="11"/>
      <c r="S1724" s="9"/>
      <c r="T1724" s="9"/>
      <c r="U1724" s="9"/>
    </row>
    <row r="1725" spans="2:21" x14ac:dyDescent="0.4">
      <c r="B1725" s="16">
        <f t="shared" si="142"/>
        <v>44354</v>
      </c>
      <c r="C1725" s="1">
        <f t="shared" si="143"/>
        <v>5050</v>
      </c>
      <c r="D1725" s="1">
        <f t="shared" si="144"/>
        <v>971</v>
      </c>
      <c r="E1725" s="1">
        <f t="shared" si="145"/>
        <v>2710</v>
      </c>
      <c r="F1725" s="1"/>
      <c r="L1725" s="11">
        <v>44354</v>
      </c>
      <c r="M1725" s="9">
        <v>5050</v>
      </c>
      <c r="N1725" s="9">
        <v>971</v>
      </c>
      <c r="O1725" s="9">
        <v>2710</v>
      </c>
      <c r="P1725" s="9">
        <v>0</v>
      </c>
      <c r="R1725" s="11"/>
      <c r="S1725" s="9"/>
      <c r="T1725" s="9"/>
      <c r="U1725" s="9"/>
    </row>
    <row r="1726" spans="2:21" x14ac:dyDescent="0.4">
      <c r="B1726" s="16">
        <f t="shared" si="142"/>
        <v>44355</v>
      </c>
      <c r="C1726" s="1">
        <f t="shared" si="143"/>
        <v>5022</v>
      </c>
      <c r="D1726" s="1">
        <f t="shared" si="144"/>
        <v>961</v>
      </c>
      <c r="E1726" s="1">
        <f t="shared" si="145"/>
        <v>2725</v>
      </c>
      <c r="F1726" s="1"/>
      <c r="L1726" s="11">
        <v>44355</v>
      </c>
      <c r="M1726" s="9">
        <v>5022</v>
      </c>
      <c r="N1726" s="9">
        <v>961</v>
      </c>
      <c r="O1726" s="9">
        <v>2725</v>
      </c>
      <c r="P1726" s="9">
        <v>0</v>
      </c>
      <c r="R1726" s="11"/>
      <c r="S1726" s="9"/>
      <c r="T1726" s="9"/>
      <c r="U1726" s="9"/>
    </row>
    <row r="1727" spans="2:21" x14ac:dyDescent="0.4">
      <c r="B1727" s="16">
        <f t="shared" si="142"/>
        <v>44356</v>
      </c>
      <c r="C1727" s="1">
        <f t="shared" si="143"/>
        <v>5021</v>
      </c>
      <c r="D1727" s="1">
        <f t="shared" si="144"/>
        <v>961</v>
      </c>
      <c r="E1727" s="1">
        <f t="shared" si="145"/>
        <v>2730</v>
      </c>
      <c r="F1727" s="1"/>
      <c r="L1727" s="11">
        <v>44356</v>
      </c>
      <c r="M1727" s="9">
        <v>5021</v>
      </c>
      <c r="N1727" s="9">
        <v>961</v>
      </c>
      <c r="O1727" s="9">
        <v>2730</v>
      </c>
      <c r="P1727" s="9">
        <v>0</v>
      </c>
      <c r="R1727" s="11"/>
      <c r="S1727" s="9"/>
      <c r="T1727" s="9"/>
      <c r="U1727" s="9"/>
    </row>
    <row r="1728" spans="2:21" x14ac:dyDescent="0.4">
      <c r="B1728" s="16">
        <f t="shared" si="142"/>
        <v>44357</v>
      </c>
      <c r="C1728" s="1">
        <f t="shared" si="143"/>
        <v>5014</v>
      </c>
      <c r="D1728" s="1">
        <f t="shared" si="144"/>
        <v>956</v>
      </c>
      <c r="E1728" s="1">
        <f t="shared" si="145"/>
        <v>2730</v>
      </c>
      <c r="F1728" s="1"/>
      <c r="L1728" s="11">
        <v>44357</v>
      </c>
      <c r="M1728" s="9">
        <v>5014</v>
      </c>
      <c r="N1728" s="9">
        <v>956</v>
      </c>
      <c r="O1728" s="9">
        <v>2730</v>
      </c>
      <c r="P1728" s="9">
        <v>0</v>
      </c>
      <c r="R1728" s="11"/>
      <c r="S1728" s="9"/>
      <c r="T1728" s="9"/>
      <c r="U1728" s="9"/>
    </row>
    <row r="1729" spans="2:21" x14ac:dyDescent="0.4">
      <c r="B1729" s="16">
        <f t="shared" si="142"/>
        <v>44358</v>
      </c>
      <c r="C1729" s="1">
        <f t="shared" si="143"/>
        <v>5007</v>
      </c>
      <c r="D1729" s="1">
        <f t="shared" si="144"/>
        <v>951</v>
      </c>
      <c r="E1729" s="1">
        <f t="shared" si="145"/>
        <v>2730</v>
      </c>
      <c r="F1729" s="1"/>
      <c r="L1729" s="11">
        <v>44358</v>
      </c>
      <c r="M1729" s="9">
        <v>5007</v>
      </c>
      <c r="N1729" s="9">
        <v>951</v>
      </c>
      <c r="O1729" s="9">
        <v>2730</v>
      </c>
      <c r="P1729" s="9">
        <v>0</v>
      </c>
      <c r="R1729" s="11"/>
      <c r="S1729" s="9"/>
      <c r="T1729" s="9"/>
      <c r="U1729" s="9"/>
    </row>
    <row r="1730" spans="2:21" x14ac:dyDescent="0.4">
      <c r="B1730" s="16">
        <f t="shared" si="142"/>
        <v>44361</v>
      </c>
      <c r="C1730" s="1">
        <f t="shared" si="143"/>
        <v>5007</v>
      </c>
      <c r="D1730" s="1">
        <f t="shared" si="144"/>
        <v>916</v>
      </c>
      <c r="E1730" s="1">
        <f t="shared" si="145"/>
        <v>2730</v>
      </c>
      <c r="F1730" s="1"/>
      <c r="L1730" s="11">
        <v>44361</v>
      </c>
      <c r="M1730" s="9">
        <v>0</v>
      </c>
      <c r="N1730" s="9">
        <v>916</v>
      </c>
      <c r="O1730" s="9">
        <v>0</v>
      </c>
      <c r="P1730" s="9">
        <v>0</v>
      </c>
      <c r="R1730" s="11"/>
      <c r="S1730" s="9"/>
      <c r="T1730" s="9"/>
      <c r="U1730" s="9"/>
    </row>
    <row r="1731" spans="2:21" x14ac:dyDescent="0.4">
      <c r="B1731" s="16">
        <f t="shared" si="142"/>
        <v>44362</v>
      </c>
      <c r="C1731" s="1">
        <f t="shared" si="143"/>
        <v>4995</v>
      </c>
      <c r="D1731" s="1">
        <f t="shared" si="144"/>
        <v>916</v>
      </c>
      <c r="E1731" s="1">
        <f t="shared" si="145"/>
        <v>2700</v>
      </c>
      <c r="F1731" s="1"/>
      <c r="L1731" s="11">
        <v>44362</v>
      </c>
      <c r="M1731" s="9">
        <v>4995</v>
      </c>
      <c r="N1731" s="9">
        <v>916</v>
      </c>
      <c r="O1731" s="9">
        <v>2700</v>
      </c>
      <c r="P1731" s="9">
        <v>0</v>
      </c>
      <c r="R1731" s="11"/>
      <c r="S1731" s="9"/>
      <c r="T1731" s="9"/>
      <c r="U1731" s="9"/>
    </row>
    <row r="1732" spans="2:21" x14ac:dyDescent="0.4">
      <c r="B1732" s="16">
        <f t="shared" si="142"/>
        <v>44363</v>
      </c>
      <c r="C1732" s="1">
        <f t="shared" si="143"/>
        <v>4993</v>
      </c>
      <c r="D1732" s="1">
        <f t="shared" si="144"/>
        <v>901</v>
      </c>
      <c r="E1732" s="1">
        <f t="shared" si="145"/>
        <v>2690</v>
      </c>
      <c r="F1732" s="1"/>
      <c r="L1732" s="11">
        <v>44363</v>
      </c>
      <c r="M1732" s="9">
        <v>4993</v>
      </c>
      <c r="N1732" s="9">
        <v>901</v>
      </c>
      <c r="O1732" s="9">
        <v>2690</v>
      </c>
      <c r="P1732" s="9">
        <v>0</v>
      </c>
      <c r="R1732" s="11"/>
      <c r="S1732" s="9"/>
      <c r="T1732" s="9"/>
      <c r="U1732" s="9"/>
    </row>
    <row r="1733" spans="2:21" x14ac:dyDescent="0.4">
      <c r="B1733" s="16">
        <f t="shared" si="142"/>
        <v>44364</v>
      </c>
      <c r="C1733" s="1">
        <f t="shared" si="143"/>
        <v>4981</v>
      </c>
      <c r="D1733" s="1">
        <f t="shared" si="144"/>
        <v>901</v>
      </c>
      <c r="E1733" s="1">
        <f t="shared" si="145"/>
        <v>2690</v>
      </c>
      <c r="F1733" s="1"/>
      <c r="L1733" s="11">
        <v>44364</v>
      </c>
      <c r="M1733" s="9">
        <v>4981</v>
      </c>
      <c r="N1733" s="9">
        <v>901</v>
      </c>
      <c r="O1733" s="9">
        <v>2690</v>
      </c>
      <c r="P1733" s="9">
        <v>0</v>
      </c>
      <c r="R1733" s="11"/>
      <c r="S1733" s="9"/>
      <c r="T1733" s="9"/>
      <c r="U1733" s="9"/>
    </row>
    <row r="1734" spans="2:21" x14ac:dyDescent="0.4">
      <c r="B1734" s="16">
        <f t="shared" ref="B1734:B1797" si="146">L1734</f>
        <v>44365</v>
      </c>
      <c r="C1734" s="1">
        <f t="shared" si="143"/>
        <v>4968</v>
      </c>
      <c r="D1734" s="1">
        <f t="shared" si="144"/>
        <v>861</v>
      </c>
      <c r="E1734" s="1">
        <f t="shared" si="145"/>
        <v>2685</v>
      </c>
      <c r="F1734" s="1"/>
      <c r="L1734" s="11">
        <v>44365</v>
      </c>
      <c r="M1734" s="9">
        <v>4968</v>
      </c>
      <c r="N1734" s="9">
        <v>861</v>
      </c>
      <c r="O1734" s="9">
        <v>2685</v>
      </c>
      <c r="P1734" s="9">
        <v>0</v>
      </c>
      <c r="R1734" s="11"/>
      <c r="S1734" s="9"/>
      <c r="T1734" s="9"/>
      <c r="U1734" s="9"/>
    </row>
    <row r="1735" spans="2:21" x14ac:dyDescent="0.4">
      <c r="B1735" s="16">
        <f t="shared" si="146"/>
        <v>44368</v>
      </c>
      <c r="C1735" s="1">
        <f t="shared" ref="C1735:C1798" si="147">IF(M1735&lt;&gt;0,M1735,C1734)</f>
        <v>4992</v>
      </c>
      <c r="D1735" s="1">
        <f t="shared" ref="D1735:D1798" si="148">IF(N1735&lt;&gt;0,N1735,D1734)</f>
        <v>861</v>
      </c>
      <c r="E1735" s="1">
        <f t="shared" ref="E1735:E1798" si="149">IF(O1735&lt;&gt;0,O1735,E1734)</f>
        <v>2685</v>
      </c>
      <c r="F1735" s="1"/>
      <c r="L1735" s="11">
        <v>44368</v>
      </c>
      <c r="M1735" s="9">
        <v>4992</v>
      </c>
      <c r="N1735" s="9">
        <v>861</v>
      </c>
      <c r="O1735" s="9">
        <v>2685</v>
      </c>
      <c r="P1735" s="9">
        <v>0</v>
      </c>
      <c r="R1735" s="11"/>
      <c r="S1735" s="9"/>
      <c r="T1735" s="9"/>
      <c r="U1735" s="9"/>
    </row>
    <row r="1736" spans="2:21" x14ac:dyDescent="0.4">
      <c r="B1736" s="16">
        <f t="shared" si="146"/>
        <v>44369</v>
      </c>
      <c r="C1736" s="1">
        <f t="shared" si="147"/>
        <v>5015</v>
      </c>
      <c r="D1736" s="1">
        <f t="shared" si="148"/>
        <v>861</v>
      </c>
      <c r="E1736" s="1">
        <f t="shared" si="149"/>
        <v>2670</v>
      </c>
      <c r="F1736" s="1"/>
      <c r="L1736" s="11">
        <v>44369</v>
      </c>
      <c r="M1736" s="9">
        <v>5015</v>
      </c>
      <c r="N1736" s="9">
        <v>861</v>
      </c>
      <c r="O1736" s="9">
        <v>2670</v>
      </c>
      <c r="P1736" s="9">
        <v>0</v>
      </c>
      <c r="R1736" s="11"/>
      <c r="S1736" s="9"/>
      <c r="T1736" s="9"/>
      <c r="U1736" s="9"/>
    </row>
    <row r="1737" spans="2:21" x14ac:dyDescent="0.4">
      <c r="B1737" s="16">
        <f t="shared" si="146"/>
        <v>44370</v>
      </c>
      <c r="C1737" s="1">
        <f t="shared" si="147"/>
        <v>5046</v>
      </c>
      <c r="D1737" s="1">
        <f t="shared" si="148"/>
        <v>871</v>
      </c>
      <c r="E1737" s="1">
        <f t="shared" si="149"/>
        <v>2690</v>
      </c>
      <c r="F1737" s="1"/>
      <c r="L1737" s="11">
        <v>44370</v>
      </c>
      <c r="M1737" s="9">
        <v>5046</v>
      </c>
      <c r="N1737" s="9">
        <v>871</v>
      </c>
      <c r="O1737" s="9">
        <v>2690</v>
      </c>
      <c r="P1737" s="9">
        <v>0</v>
      </c>
      <c r="R1737" s="11"/>
      <c r="S1737" s="9"/>
      <c r="T1737" s="9"/>
      <c r="U1737" s="9"/>
    </row>
    <row r="1738" spans="2:21" x14ac:dyDescent="0.4">
      <c r="B1738" s="16">
        <f t="shared" si="146"/>
        <v>44371</v>
      </c>
      <c r="C1738" s="1">
        <f t="shared" si="147"/>
        <v>5066</v>
      </c>
      <c r="D1738" s="1">
        <f t="shared" si="148"/>
        <v>871</v>
      </c>
      <c r="E1738" s="1">
        <f t="shared" si="149"/>
        <v>2705</v>
      </c>
      <c r="F1738" s="1"/>
      <c r="L1738" s="11">
        <v>44371</v>
      </c>
      <c r="M1738" s="9">
        <v>5066</v>
      </c>
      <c r="N1738" s="9">
        <v>871</v>
      </c>
      <c r="O1738" s="9">
        <v>2705</v>
      </c>
      <c r="P1738" s="9">
        <v>0</v>
      </c>
      <c r="R1738" s="11"/>
      <c r="S1738" s="9"/>
      <c r="T1738" s="9"/>
      <c r="U1738" s="9"/>
    </row>
    <row r="1739" spans="2:21" x14ac:dyDescent="0.4">
      <c r="B1739" s="16">
        <f t="shared" si="146"/>
        <v>44372</v>
      </c>
      <c r="C1739" s="1">
        <f t="shared" si="147"/>
        <v>5089</v>
      </c>
      <c r="D1739" s="1">
        <f t="shared" si="148"/>
        <v>901</v>
      </c>
      <c r="E1739" s="1">
        <f t="shared" si="149"/>
        <v>2705</v>
      </c>
      <c r="F1739" s="1"/>
      <c r="L1739" s="11">
        <v>44372</v>
      </c>
      <c r="M1739" s="9">
        <v>5089</v>
      </c>
      <c r="N1739" s="9">
        <v>901</v>
      </c>
      <c r="O1739" s="9">
        <v>2705</v>
      </c>
      <c r="P1739" s="9">
        <v>0</v>
      </c>
      <c r="R1739" s="11"/>
      <c r="S1739" s="9"/>
      <c r="T1739" s="9"/>
      <c r="U1739" s="9"/>
    </row>
    <row r="1740" spans="2:21" x14ac:dyDescent="0.4">
      <c r="B1740" s="16">
        <f t="shared" si="146"/>
        <v>44375</v>
      </c>
      <c r="C1740" s="1">
        <f t="shared" si="147"/>
        <v>5102</v>
      </c>
      <c r="D1740" s="1">
        <f t="shared" si="148"/>
        <v>901</v>
      </c>
      <c r="E1740" s="1">
        <f t="shared" si="149"/>
        <v>2705</v>
      </c>
      <c r="F1740" s="1"/>
      <c r="L1740" s="11">
        <v>44375</v>
      </c>
      <c r="M1740" s="9">
        <v>5102</v>
      </c>
      <c r="N1740" s="9">
        <v>901</v>
      </c>
      <c r="O1740" s="9">
        <v>2705</v>
      </c>
      <c r="P1740" s="9">
        <v>0</v>
      </c>
      <c r="R1740" s="11"/>
      <c r="S1740" s="9"/>
      <c r="T1740" s="9"/>
      <c r="U1740" s="9"/>
    </row>
    <row r="1741" spans="2:21" x14ac:dyDescent="0.4">
      <c r="B1741" s="16">
        <f t="shared" si="146"/>
        <v>44376</v>
      </c>
      <c r="C1741" s="1">
        <f t="shared" si="147"/>
        <v>5104</v>
      </c>
      <c r="D1741" s="1">
        <f t="shared" si="148"/>
        <v>911</v>
      </c>
      <c r="E1741" s="1">
        <f t="shared" si="149"/>
        <v>2815</v>
      </c>
      <c r="F1741" s="1"/>
      <c r="L1741" s="11">
        <v>44376</v>
      </c>
      <c r="M1741" s="9">
        <v>5104</v>
      </c>
      <c r="N1741" s="9">
        <v>911</v>
      </c>
      <c r="O1741" s="9">
        <v>2815</v>
      </c>
      <c r="P1741" s="9">
        <v>0</v>
      </c>
      <c r="R1741" s="11"/>
      <c r="S1741" s="9"/>
      <c r="T1741" s="9"/>
      <c r="U1741" s="9"/>
    </row>
    <row r="1742" spans="2:21" x14ac:dyDescent="0.4">
      <c r="B1742" s="16">
        <f t="shared" si="146"/>
        <v>44377</v>
      </c>
      <c r="C1742" s="1">
        <f t="shared" si="147"/>
        <v>5100</v>
      </c>
      <c r="D1742" s="1">
        <f t="shared" si="148"/>
        <v>911</v>
      </c>
      <c r="E1742" s="1">
        <f t="shared" si="149"/>
        <v>2815</v>
      </c>
      <c r="F1742" s="1"/>
      <c r="L1742" s="11">
        <v>44377</v>
      </c>
      <c r="M1742" s="9">
        <v>5100</v>
      </c>
      <c r="N1742" s="9">
        <v>911</v>
      </c>
      <c r="O1742" s="9">
        <v>2815</v>
      </c>
      <c r="P1742" s="9">
        <v>0</v>
      </c>
      <c r="R1742" s="11"/>
      <c r="S1742" s="9"/>
      <c r="T1742" s="9"/>
      <c r="U1742" s="9"/>
    </row>
    <row r="1743" spans="2:21" x14ac:dyDescent="0.4">
      <c r="B1743" s="16">
        <f t="shared" si="146"/>
        <v>44378</v>
      </c>
      <c r="C1743" s="1">
        <f t="shared" si="147"/>
        <v>5107</v>
      </c>
      <c r="D1743" s="1">
        <f t="shared" si="148"/>
        <v>951</v>
      </c>
      <c r="E1743" s="1">
        <f t="shared" si="149"/>
        <v>2815</v>
      </c>
      <c r="F1743" s="1"/>
      <c r="L1743" s="11">
        <v>44378</v>
      </c>
      <c r="M1743" s="9">
        <v>5107</v>
      </c>
      <c r="N1743" s="9">
        <v>951</v>
      </c>
      <c r="O1743" s="9">
        <v>2815</v>
      </c>
      <c r="P1743" s="9">
        <v>0</v>
      </c>
      <c r="R1743" s="11"/>
      <c r="S1743" s="9"/>
      <c r="T1743" s="9"/>
      <c r="U1743" s="9"/>
    </row>
    <row r="1744" spans="2:21" x14ac:dyDescent="0.4">
      <c r="B1744" s="16">
        <f t="shared" si="146"/>
        <v>44379</v>
      </c>
      <c r="C1744" s="1">
        <f t="shared" si="147"/>
        <v>5124</v>
      </c>
      <c r="D1744" s="1">
        <f t="shared" si="148"/>
        <v>976</v>
      </c>
      <c r="E1744" s="1">
        <f t="shared" si="149"/>
        <v>2815</v>
      </c>
      <c r="F1744" s="1"/>
      <c r="L1744" s="11">
        <v>44379</v>
      </c>
      <c r="M1744" s="9">
        <v>5124</v>
      </c>
      <c r="N1744" s="9">
        <v>976</v>
      </c>
      <c r="O1744" s="9">
        <v>2815</v>
      </c>
      <c r="P1744" s="9">
        <v>0</v>
      </c>
      <c r="R1744" s="11"/>
      <c r="S1744" s="9"/>
      <c r="T1744" s="9"/>
      <c r="U1744" s="9"/>
    </row>
    <row r="1745" spans="2:21" x14ac:dyDescent="0.4">
      <c r="B1745" s="16">
        <f t="shared" si="146"/>
        <v>44382</v>
      </c>
      <c r="C1745" s="1">
        <f t="shared" si="147"/>
        <v>5141</v>
      </c>
      <c r="D1745" s="1">
        <f t="shared" si="148"/>
        <v>976</v>
      </c>
      <c r="E1745" s="1">
        <f t="shared" si="149"/>
        <v>2815</v>
      </c>
      <c r="F1745" s="1"/>
      <c r="L1745" s="11">
        <v>44382</v>
      </c>
      <c r="M1745" s="9">
        <v>5141</v>
      </c>
      <c r="N1745" s="9">
        <v>976</v>
      </c>
      <c r="O1745" s="9">
        <v>2815</v>
      </c>
      <c r="P1745" s="9">
        <v>0</v>
      </c>
      <c r="R1745" s="11"/>
      <c r="S1745" s="9"/>
      <c r="T1745" s="9"/>
      <c r="U1745" s="9"/>
    </row>
    <row r="1746" spans="2:21" x14ac:dyDescent="0.4">
      <c r="B1746" s="16">
        <f t="shared" si="146"/>
        <v>44383</v>
      </c>
      <c r="C1746" s="1">
        <f t="shared" si="147"/>
        <v>5139</v>
      </c>
      <c r="D1746" s="1">
        <f t="shared" si="148"/>
        <v>976</v>
      </c>
      <c r="E1746" s="1">
        <f t="shared" si="149"/>
        <v>2780</v>
      </c>
      <c r="F1746" s="1"/>
      <c r="L1746" s="11">
        <v>44383</v>
      </c>
      <c r="M1746" s="9">
        <v>5139</v>
      </c>
      <c r="N1746" s="9">
        <v>976</v>
      </c>
      <c r="O1746" s="9">
        <v>2780</v>
      </c>
      <c r="P1746" s="9">
        <v>0</v>
      </c>
      <c r="R1746" s="11"/>
      <c r="S1746" s="9"/>
      <c r="T1746" s="9"/>
      <c r="U1746" s="9"/>
    </row>
    <row r="1747" spans="2:21" x14ac:dyDescent="0.4">
      <c r="B1747" s="16">
        <f t="shared" si="146"/>
        <v>44384</v>
      </c>
      <c r="C1747" s="1">
        <f t="shared" si="147"/>
        <v>5133</v>
      </c>
      <c r="D1747" s="1">
        <f t="shared" si="148"/>
        <v>976</v>
      </c>
      <c r="E1747" s="1">
        <f t="shared" si="149"/>
        <v>2760</v>
      </c>
      <c r="F1747" s="1"/>
      <c r="L1747" s="11">
        <v>44384</v>
      </c>
      <c r="M1747" s="9">
        <v>5133</v>
      </c>
      <c r="N1747" s="9">
        <v>976</v>
      </c>
      <c r="O1747" s="9">
        <v>2760</v>
      </c>
      <c r="P1747" s="9">
        <v>0</v>
      </c>
      <c r="R1747" s="11"/>
      <c r="S1747" s="9"/>
      <c r="T1747" s="9"/>
      <c r="U1747" s="9"/>
    </row>
    <row r="1748" spans="2:21" x14ac:dyDescent="0.4">
      <c r="B1748" s="16">
        <f t="shared" si="146"/>
        <v>44385</v>
      </c>
      <c r="C1748" s="1">
        <f t="shared" si="147"/>
        <v>5114</v>
      </c>
      <c r="D1748" s="1">
        <f t="shared" si="148"/>
        <v>981</v>
      </c>
      <c r="E1748" s="1">
        <f t="shared" si="149"/>
        <v>2760</v>
      </c>
      <c r="F1748" s="1"/>
      <c r="L1748" s="11">
        <v>44385</v>
      </c>
      <c r="M1748" s="9">
        <v>5114</v>
      </c>
      <c r="N1748" s="9">
        <v>981</v>
      </c>
      <c r="O1748" s="9">
        <v>2760</v>
      </c>
      <c r="P1748" s="9">
        <v>0</v>
      </c>
      <c r="R1748" s="11"/>
      <c r="S1748" s="9"/>
      <c r="T1748" s="9"/>
      <c r="U1748" s="9"/>
    </row>
    <row r="1749" spans="2:21" x14ac:dyDescent="0.4">
      <c r="B1749" s="16">
        <f t="shared" si="146"/>
        <v>44386</v>
      </c>
      <c r="C1749" s="1">
        <f t="shared" si="147"/>
        <v>5115</v>
      </c>
      <c r="D1749" s="1">
        <f t="shared" si="148"/>
        <v>981</v>
      </c>
      <c r="E1749" s="1">
        <f t="shared" si="149"/>
        <v>2760</v>
      </c>
      <c r="F1749" s="1"/>
      <c r="L1749" s="11">
        <v>44386</v>
      </c>
      <c r="M1749" s="9">
        <v>5115</v>
      </c>
      <c r="N1749" s="9">
        <v>981</v>
      </c>
      <c r="O1749" s="9">
        <v>2760</v>
      </c>
      <c r="P1749" s="9">
        <v>0</v>
      </c>
      <c r="R1749" s="11"/>
      <c r="S1749" s="9"/>
      <c r="T1749" s="9"/>
      <c r="U1749" s="9"/>
    </row>
    <row r="1750" spans="2:21" x14ac:dyDescent="0.4">
      <c r="B1750" s="16">
        <f t="shared" si="146"/>
        <v>44389</v>
      </c>
      <c r="C1750" s="1">
        <f t="shared" si="147"/>
        <v>5146</v>
      </c>
      <c r="D1750" s="1">
        <f t="shared" si="148"/>
        <v>986</v>
      </c>
      <c r="E1750" s="1">
        <f t="shared" si="149"/>
        <v>2755</v>
      </c>
      <c r="F1750" s="1"/>
      <c r="L1750" s="11">
        <v>44389</v>
      </c>
      <c r="M1750" s="9">
        <v>5146</v>
      </c>
      <c r="N1750" s="9">
        <v>986</v>
      </c>
      <c r="O1750" s="9">
        <v>2755</v>
      </c>
      <c r="P1750" s="9">
        <v>0</v>
      </c>
      <c r="R1750" s="11"/>
      <c r="S1750" s="9"/>
      <c r="T1750" s="9"/>
      <c r="U1750" s="9"/>
    </row>
    <row r="1751" spans="2:21" x14ac:dyDescent="0.4">
      <c r="B1751" s="16">
        <f t="shared" si="146"/>
        <v>44390</v>
      </c>
      <c r="C1751" s="1">
        <f t="shared" si="147"/>
        <v>5167</v>
      </c>
      <c r="D1751" s="1">
        <f t="shared" si="148"/>
        <v>986</v>
      </c>
      <c r="E1751" s="1">
        <f t="shared" si="149"/>
        <v>2785</v>
      </c>
      <c r="F1751" s="1"/>
      <c r="L1751" s="11">
        <v>44390</v>
      </c>
      <c r="M1751" s="9">
        <v>5167</v>
      </c>
      <c r="N1751" s="9">
        <v>986</v>
      </c>
      <c r="O1751" s="9">
        <v>2785</v>
      </c>
      <c r="P1751" s="9">
        <v>0</v>
      </c>
      <c r="R1751" s="11"/>
      <c r="S1751" s="9"/>
      <c r="T1751" s="9"/>
      <c r="U1751" s="9"/>
    </row>
    <row r="1752" spans="2:21" x14ac:dyDescent="0.4">
      <c r="B1752" s="16">
        <f t="shared" si="146"/>
        <v>44391</v>
      </c>
      <c r="C1752" s="1">
        <f t="shared" si="147"/>
        <v>5176</v>
      </c>
      <c r="D1752" s="1">
        <f t="shared" si="148"/>
        <v>986</v>
      </c>
      <c r="E1752" s="1">
        <f t="shared" si="149"/>
        <v>2805</v>
      </c>
      <c r="F1752" s="1"/>
      <c r="L1752" s="11">
        <v>44391</v>
      </c>
      <c r="M1752" s="9">
        <v>5176</v>
      </c>
      <c r="N1752" s="9">
        <v>986</v>
      </c>
      <c r="O1752" s="9">
        <v>2805</v>
      </c>
      <c r="P1752" s="9">
        <v>0</v>
      </c>
      <c r="R1752" s="11"/>
      <c r="S1752" s="9"/>
      <c r="T1752" s="9"/>
      <c r="U1752" s="9"/>
    </row>
    <row r="1753" spans="2:21" x14ac:dyDescent="0.4">
      <c r="B1753" s="16">
        <f t="shared" si="146"/>
        <v>44392</v>
      </c>
      <c r="C1753" s="1">
        <f t="shared" si="147"/>
        <v>5189</v>
      </c>
      <c r="D1753" s="1">
        <f t="shared" si="148"/>
        <v>1001</v>
      </c>
      <c r="E1753" s="1">
        <f t="shared" si="149"/>
        <v>2810</v>
      </c>
      <c r="F1753" s="1"/>
      <c r="L1753" s="11">
        <v>44392</v>
      </c>
      <c r="M1753" s="9">
        <v>5189</v>
      </c>
      <c r="N1753" s="9">
        <v>1001</v>
      </c>
      <c r="O1753" s="9">
        <v>2810</v>
      </c>
      <c r="P1753" s="9">
        <v>0</v>
      </c>
      <c r="R1753" s="11"/>
      <c r="S1753" s="9"/>
      <c r="T1753" s="9"/>
      <c r="U1753" s="9"/>
    </row>
    <row r="1754" spans="2:21" x14ac:dyDescent="0.4">
      <c r="B1754" s="16">
        <f t="shared" si="146"/>
        <v>44393</v>
      </c>
      <c r="C1754" s="1">
        <f t="shared" si="147"/>
        <v>5209</v>
      </c>
      <c r="D1754" s="1">
        <f t="shared" si="148"/>
        <v>1006</v>
      </c>
      <c r="E1754" s="1">
        <f t="shared" si="149"/>
        <v>2810</v>
      </c>
      <c r="F1754" s="1"/>
      <c r="L1754" s="11">
        <v>44393</v>
      </c>
      <c r="M1754" s="9">
        <v>5209</v>
      </c>
      <c r="N1754" s="9">
        <v>1006</v>
      </c>
      <c r="O1754" s="9">
        <v>2810</v>
      </c>
      <c r="P1754" s="9">
        <v>0</v>
      </c>
      <c r="R1754" s="11"/>
      <c r="S1754" s="9"/>
      <c r="T1754" s="9"/>
      <c r="U1754" s="9"/>
    </row>
    <row r="1755" spans="2:21" x14ac:dyDescent="0.4">
      <c r="B1755" s="16">
        <f t="shared" si="146"/>
        <v>44396</v>
      </c>
      <c r="C1755" s="1">
        <f t="shared" si="147"/>
        <v>5241</v>
      </c>
      <c r="D1755" s="1">
        <f t="shared" si="148"/>
        <v>1006</v>
      </c>
      <c r="E1755" s="1">
        <f t="shared" si="149"/>
        <v>2800</v>
      </c>
      <c r="F1755" s="1"/>
      <c r="L1755" s="11">
        <v>44396</v>
      </c>
      <c r="M1755" s="9">
        <v>5241</v>
      </c>
      <c r="N1755" s="9">
        <v>1006</v>
      </c>
      <c r="O1755" s="9">
        <v>2800</v>
      </c>
      <c r="P1755" s="9">
        <v>0</v>
      </c>
      <c r="R1755" s="11"/>
      <c r="S1755" s="9"/>
      <c r="T1755" s="9"/>
      <c r="U1755" s="9"/>
    </row>
    <row r="1756" spans="2:21" x14ac:dyDescent="0.4">
      <c r="B1756" s="16">
        <f t="shared" si="146"/>
        <v>44397</v>
      </c>
      <c r="C1756" s="1">
        <f t="shared" si="147"/>
        <v>5345</v>
      </c>
      <c r="D1756" s="1">
        <f t="shared" si="148"/>
        <v>1006</v>
      </c>
      <c r="E1756" s="1">
        <f t="shared" si="149"/>
        <v>2805</v>
      </c>
      <c r="F1756" s="1"/>
      <c r="L1756" s="11">
        <v>44397</v>
      </c>
      <c r="M1756" s="9">
        <v>5345</v>
      </c>
      <c r="N1756" s="9">
        <v>1006</v>
      </c>
      <c r="O1756" s="9">
        <v>2805</v>
      </c>
      <c r="P1756" s="9">
        <v>0</v>
      </c>
      <c r="R1756" s="11"/>
      <c r="S1756" s="9"/>
      <c r="T1756" s="9"/>
      <c r="U1756" s="9"/>
    </row>
    <row r="1757" spans="2:21" x14ac:dyDescent="0.4">
      <c r="B1757" s="16">
        <f t="shared" si="146"/>
        <v>44398</v>
      </c>
      <c r="C1757" s="1">
        <f t="shared" si="147"/>
        <v>5353</v>
      </c>
      <c r="D1757" s="1">
        <f t="shared" si="148"/>
        <v>1006</v>
      </c>
      <c r="E1757" s="1">
        <f t="shared" si="149"/>
        <v>2805</v>
      </c>
      <c r="F1757" s="1"/>
      <c r="L1757" s="11">
        <v>44398</v>
      </c>
      <c r="M1757" s="9">
        <v>5353</v>
      </c>
      <c r="N1757" s="9">
        <v>1006</v>
      </c>
      <c r="O1757" s="9">
        <v>2805</v>
      </c>
      <c r="P1757" s="9">
        <v>0</v>
      </c>
      <c r="R1757" s="11"/>
      <c r="S1757" s="9"/>
      <c r="T1757" s="9"/>
      <c r="U1757" s="9"/>
    </row>
    <row r="1758" spans="2:21" x14ac:dyDescent="0.4">
      <c r="B1758" s="16">
        <f t="shared" si="146"/>
        <v>44399</v>
      </c>
      <c r="C1758" s="1">
        <f t="shared" si="147"/>
        <v>5390</v>
      </c>
      <c r="D1758" s="1">
        <f t="shared" si="148"/>
        <v>1006</v>
      </c>
      <c r="E1758" s="1">
        <f t="shared" si="149"/>
        <v>2815</v>
      </c>
      <c r="F1758" s="1"/>
      <c r="L1758" s="11">
        <v>44399</v>
      </c>
      <c r="M1758" s="9">
        <v>5390</v>
      </c>
      <c r="N1758" s="9">
        <v>1006</v>
      </c>
      <c r="O1758" s="9">
        <v>2815</v>
      </c>
      <c r="P1758" s="9">
        <v>0</v>
      </c>
      <c r="R1758" s="11"/>
      <c r="S1758" s="9"/>
      <c r="T1758" s="9"/>
      <c r="U1758" s="9"/>
    </row>
    <row r="1759" spans="2:21" x14ac:dyDescent="0.4">
      <c r="B1759" s="16">
        <f t="shared" si="146"/>
        <v>44400</v>
      </c>
      <c r="C1759" s="1">
        <f t="shared" si="147"/>
        <v>5387</v>
      </c>
      <c r="D1759" s="1">
        <f t="shared" si="148"/>
        <v>1006</v>
      </c>
      <c r="E1759" s="1">
        <f t="shared" si="149"/>
        <v>2820</v>
      </c>
      <c r="F1759" s="1"/>
      <c r="L1759" s="11">
        <v>44400</v>
      </c>
      <c r="M1759" s="9">
        <v>5387</v>
      </c>
      <c r="N1759" s="9">
        <v>1006</v>
      </c>
      <c r="O1759" s="9">
        <v>2820</v>
      </c>
      <c r="P1759" s="9">
        <v>0</v>
      </c>
      <c r="R1759" s="11"/>
      <c r="S1759" s="9"/>
      <c r="T1759" s="9"/>
      <c r="U1759" s="9"/>
    </row>
    <row r="1760" spans="2:21" x14ac:dyDescent="0.4">
      <c r="B1760" s="16">
        <f t="shared" si="146"/>
        <v>44403</v>
      </c>
      <c r="C1760" s="1">
        <f t="shared" si="147"/>
        <v>5371</v>
      </c>
      <c r="D1760" s="1">
        <f t="shared" si="148"/>
        <v>1006</v>
      </c>
      <c r="E1760" s="1">
        <f t="shared" si="149"/>
        <v>2820</v>
      </c>
      <c r="F1760" s="1"/>
      <c r="L1760" s="11">
        <v>44403</v>
      </c>
      <c r="M1760" s="9">
        <v>5371</v>
      </c>
      <c r="N1760" s="9">
        <v>1006</v>
      </c>
      <c r="O1760" s="9">
        <v>2820</v>
      </c>
      <c r="P1760" s="9">
        <v>0</v>
      </c>
      <c r="R1760" s="11"/>
      <c r="S1760" s="9"/>
      <c r="T1760" s="9"/>
      <c r="U1760" s="9"/>
    </row>
    <row r="1761" spans="2:21" x14ac:dyDescent="0.4">
      <c r="B1761" s="16">
        <f t="shared" si="146"/>
        <v>44404</v>
      </c>
      <c r="C1761" s="1">
        <f t="shared" si="147"/>
        <v>5370</v>
      </c>
      <c r="D1761" s="1">
        <f t="shared" si="148"/>
        <v>1006</v>
      </c>
      <c r="E1761" s="1">
        <f t="shared" si="149"/>
        <v>2835</v>
      </c>
      <c r="F1761" s="1"/>
      <c r="L1761" s="11">
        <v>44404</v>
      </c>
      <c r="M1761" s="9">
        <v>5370</v>
      </c>
      <c r="N1761" s="9">
        <v>1006</v>
      </c>
      <c r="O1761" s="9">
        <v>2835</v>
      </c>
      <c r="P1761" s="9">
        <v>0</v>
      </c>
      <c r="R1761" s="11"/>
      <c r="S1761" s="9"/>
      <c r="T1761" s="9"/>
      <c r="U1761" s="9"/>
    </row>
    <row r="1762" spans="2:21" x14ac:dyDescent="0.4">
      <c r="B1762" s="16">
        <f t="shared" si="146"/>
        <v>44405</v>
      </c>
      <c r="C1762" s="1">
        <f t="shared" si="147"/>
        <v>5369</v>
      </c>
      <c r="D1762" s="1">
        <f t="shared" si="148"/>
        <v>1006</v>
      </c>
      <c r="E1762" s="1">
        <f t="shared" si="149"/>
        <v>2840</v>
      </c>
      <c r="F1762" s="1"/>
      <c r="L1762" s="11">
        <v>44405</v>
      </c>
      <c r="M1762" s="9">
        <v>5369</v>
      </c>
      <c r="N1762" s="9">
        <v>1006</v>
      </c>
      <c r="O1762" s="9">
        <v>2840</v>
      </c>
      <c r="P1762" s="9">
        <v>0</v>
      </c>
      <c r="R1762" s="11"/>
      <c r="S1762" s="9"/>
      <c r="T1762" s="9"/>
      <c r="U1762" s="9"/>
    </row>
    <row r="1763" spans="2:21" x14ac:dyDescent="0.4">
      <c r="B1763" s="16">
        <f t="shared" si="146"/>
        <v>44406</v>
      </c>
      <c r="C1763" s="1">
        <f t="shared" si="147"/>
        <v>5372</v>
      </c>
      <c r="D1763" s="1">
        <f t="shared" si="148"/>
        <v>1006</v>
      </c>
      <c r="E1763" s="1">
        <f t="shared" si="149"/>
        <v>2845</v>
      </c>
      <c r="F1763" s="1"/>
      <c r="L1763" s="11">
        <v>44406</v>
      </c>
      <c r="M1763" s="9">
        <v>5372</v>
      </c>
      <c r="N1763" s="9">
        <v>1006</v>
      </c>
      <c r="O1763" s="9">
        <v>2845</v>
      </c>
      <c r="P1763" s="9">
        <v>0</v>
      </c>
      <c r="R1763" s="11"/>
      <c r="S1763" s="9"/>
      <c r="T1763" s="9"/>
      <c r="U1763" s="9"/>
    </row>
    <row r="1764" spans="2:21" x14ac:dyDescent="0.4">
      <c r="B1764" s="16">
        <f t="shared" si="146"/>
        <v>44407</v>
      </c>
      <c r="C1764" s="1">
        <f t="shared" si="147"/>
        <v>5377</v>
      </c>
      <c r="D1764" s="1">
        <f t="shared" si="148"/>
        <v>1006</v>
      </c>
      <c r="E1764" s="1">
        <f t="shared" si="149"/>
        <v>2845</v>
      </c>
      <c r="F1764" s="1"/>
      <c r="L1764" s="11">
        <v>44407</v>
      </c>
      <c r="M1764" s="9">
        <v>5377</v>
      </c>
      <c r="N1764" s="9">
        <v>1006</v>
      </c>
      <c r="O1764" s="9">
        <v>2845</v>
      </c>
      <c r="P1764" s="9">
        <v>0</v>
      </c>
      <c r="R1764" s="11"/>
      <c r="S1764" s="9"/>
      <c r="T1764" s="9"/>
      <c r="U1764" s="9"/>
    </row>
    <row r="1765" spans="2:21" x14ac:dyDescent="0.4">
      <c r="B1765" s="16">
        <f t="shared" si="146"/>
        <v>44410</v>
      </c>
      <c r="C1765" s="1">
        <f t="shared" si="147"/>
        <v>5386</v>
      </c>
      <c r="D1765" s="1">
        <f t="shared" si="148"/>
        <v>1001</v>
      </c>
      <c r="E1765" s="1">
        <f t="shared" si="149"/>
        <v>2845</v>
      </c>
      <c r="F1765" s="1"/>
      <c r="L1765" s="11">
        <v>44410</v>
      </c>
      <c r="M1765" s="9">
        <v>5386</v>
      </c>
      <c r="N1765" s="9">
        <v>1001</v>
      </c>
      <c r="O1765" s="9">
        <v>2845</v>
      </c>
      <c r="P1765" s="9">
        <v>0</v>
      </c>
      <c r="R1765" s="11"/>
      <c r="S1765" s="9"/>
      <c r="T1765" s="9"/>
      <c r="U1765" s="9"/>
    </row>
    <row r="1766" spans="2:21" x14ac:dyDescent="0.4">
      <c r="B1766" s="16">
        <f t="shared" si="146"/>
        <v>44411</v>
      </c>
      <c r="C1766" s="1">
        <f t="shared" si="147"/>
        <v>5378</v>
      </c>
      <c r="D1766" s="1">
        <f t="shared" si="148"/>
        <v>981</v>
      </c>
      <c r="E1766" s="1">
        <f t="shared" si="149"/>
        <v>2845</v>
      </c>
      <c r="F1766" s="1"/>
      <c r="L1766" s="11">
        <v>44411</v>
      </c>
      <c r="M1766" s="9">
        <v>5378</v>
      </c>
      <c r="N1766" s="9">
        <v>981</v>
      </c>
      <c r="O1766" s="9">
        <v>2845</v>
      </c>
      <c r="P1766" s="9">
        <v>0</v>
      </c>
      <c r="R1766" s="11"/>
      <c r="S1766" s="9"/>
      <c r="T1766" s="9"/>
      <c r="U1766" s="9"/>
    </row>
    <row r="1767" spans="2:21" x14ac:dyDescent="0.4">
      <c r="B1767" s="16">
        <f t="shared" si="146"/>
        <v>44412</v>
      </c>
      <c r="C1767" s="1">
        <f t="shared" si="147"/>
        <v>5391</v>
      </c>
      <c r="D1767" s="1">
        <f t="shared" si="148"/>
        <v>971</v>
      </c>
      <c r="E1767" s="1">
        <f t="shared" si="149"/>
        <v>2840</v>
      </c>
      <c r="F1767" s="1"/>
      <c r="L1767" s="11">
        <v>44412</v>
      </c>
      <c r="M1767" s="9">
        <v>5391</v>
      </c>
      <c r="N1767" s="9">
        <v>971</v>
      </c>
      <c r="O1767" s="9">
        <v>2840</v>
      </c>
      <c r="P1767" s="9">
        <v>0</v>
      </c>
      <c r="R1767" s="11"/>
      <c r="S1767" s="9"/>
      <c r="T1767" s="9"/>
      <c r="U1767" s="9"/>
    </row>
    <row r="1768" spans="2:21" x14ac:dyDescent="0.4">
      <c r="B1768" s="16">
        <f t="shared" si="146"/>
        <v>44413</v>
      </c>
      <c r="C1768" s="1">
        <f t="shared" si="147"/>
        <v>5382</v>
      </c>
      <c r="D1768" s="1">
        <f t="shared" si="148"/>
        <v>971</v>
      </c>
      <c r="E1768" s="1">
        <f t="shared" si="149"/>
        <v>2840</v>
      </c>
      <c r="F1768" s="1"/>
      <c r="L1768" s="11">
        <v>44413</v>
      </c>
      <c r="M1768" s="9">
        <v>5382</v>
      </c>
      <c r="N1768" s="9">
        <v>971</v>
      </c>
      <c r="O1768" s="9">
        <v>2840</v>
      </c>
      <c r="P1768" s="9">
        <v>0</v>
      </c>
      <c r="R1768" s="11"/>
      <c r="S1768" s="9"/>
      <c r="T1768" s="9"/>
      <c r="U1768" s="9"/>
    </row>
    <row r="1769" spans="2:21" x14ac:dyDescent="0.4">
      <c r="B1769" s="16">
        <f t="shared" si="146"/>
        <v>44414</v>
      </c>
      <c r="C1769" s="1">
        <f t="shared" si="147"/>
        <v>5376</v>
      </c>
      <c r="D1769" s="1">
        <f t="shared" si="148"/>
        <v>971</v>
      </c>
      <c r="E1769" s="1">
        <f t="shared" si="149"/>
        <v>2840</v>
      </c>
      <c r="F1769" s="1"/>
      <c r="L1769" s="11">
        <v>44414</v>
      </c>
      <c r="M1769" s="9">
        <v>5376</v>
      </c>
      <c r="N1769" s="9">
        <v>971</v>
      </c>
      <c r="O1769" s="9">
        <v>2840</v>
      </c>
      <c r="P1769" s="9">
        <v>0</v>
      </c>
      <c r="R1769" s="11"/>
      <c r="S1769" s="9"/>
      <c r="T1769" s="9"/>
      <c r="U1769" s="9"/>
    </row>
    <row r="1770" spans="2:21" x14ac:dyDescent="0.4">
      <c r="B1770" s="16">
        <f t="shared" si="146"/>
        <v>44417</v>
      </c>
      <c r="C1770" s="1">
        <f t="shared" si="147"/>
        <v>5370</v>
      </c>
      <c r="D1770" s="1">
        <f t="shared" si="148"/>
        <v>971</v>
      </c>
      <c r="E1770" s="1">
        <f t="shared" si="149"/>
        <v>2825</v>
      </c>
      <c r="F1770" s="1"/>
      <c r="L1770" s="11">
        <v>44417</v>
      </c>
      <c r="M1770" s="9">
        <v>5370</v>
      </c>
      <c r="N1770" s="9">
        <v>971</v>
      </c>
      <c r="O1770" s="9">
        <v>2825</v>
      </c>
      <c r="P1770" s="9">
        <v>0</v>
      </c>
      <c r="R1770" s="11"/>
      <c r="S1770" s="9"/>
      <c r="T1770" s="9"/>
      <c r="U1770" s="9"/>
    </row>
    <row r="1771" spans="2:21" x14ac:dyDescent="0.4">
      <c r="B1771" s="16">
        <f t="shared" si="146"/>
        <v>44418</v>
      </c>
      <c r="C1771" s="1">
        <f t="shared" si="147"/>
        <v>5375</v>
      </c>
      <c r="D1771" s="1">
        <f t="shared" si="148"/>
        <v>971</v>
      </c>
      <c r="E1771" s="1">
        <f t="shared" si="149"/>
        <v>2825</v>
      </c>
      <c r="F1771" s="1"/>
      <c r="L1771" s="11">
        <v>44418</v>
      </c>
      <c r="M1771" s="9">
        <v>5375</v>
      </c>
      <c r="N1771" s="9">
        <v>971</v>
      </c>
      <c r="O1771" s="9">
        <v>2825</v>
      </c>
      <c r="P1771" s="9">
        <v>0</v>
      </c>
      <c r="R1771" s="11"/>
      <c r="S1771" s="9"/>
      <c r="T1771" s="9"/>
      <c r="U1771" s="9"/>
    </row>
    <row r="1772" spans="2:21" x14ac:dyDescent="0.4">
      <c r="B1772" s="16">
        <f t="shared" si="146"/>
        <v>44419</v>
      </c>
      <c r="C1772" s="1">
        <f t="shared" si="147"/>
        <v>5369</v>
      </c>
      <c r="D1772" s="1">
        <f t="shared" si="148"/>
        <v>951</v>
      </c>
      <c r="E1772" s="1">
        <f t="shared" si="149"/>
        <v>2820</v>
      </c>
      <c r="F1772" s="1"/>
      <c r="L1772" s="11">
        <v>44419</v>
      </c>
      <c r="M1772" s="9">
        <v>5369</v>
      </c>
      <c r="N1772" s="9">
        <v>951</v>
      </c>
      <c r="O1772" s="9">
        <v>2820</v>
      </c>
      <c r="P1772" s="9">
        <v>0</v>
      </c>
      <c r="R1772" s="11"/>
      <c r="S1772" s="9"/>
      <c r="T1772" s="9"/>
      <c r="U1772" s="9"/>
    </row>
    <row r="1773" spans="2:21" x14ac:dyDescent="0.4">
      <c r="B1773" s="16">
        <f t="shared" si="146"/>
        <v>44420</v>
      </c>
      <c r="C1773" s="1">
        <f t="shared" si="147"/>
        <v>5366</v>
      </c>
      <c r="D1773" s="1">
        <f t="shared" si="148"/>
        <v>931</v>
      </c>
      <c r="E1773" s="1">
        <f t="shared" si="149"/>
        <v>2810</v>
      </c>
      <c r="F1773" s="1"/>
      <c r="L1773" s="11">
        <v>44420</v>
      </c>
      <c r="M1773" s="9">
        <v>5366</v>
      </c>
      <c r="N1773" s="9">
        <v>931</v>
      </c>
      <c r="O1773" s="9">
        <v>2810</v>
      </c>
      <c r="P1773" s="9">
        <v>0</v>
      </c>
      <c r="R1773" s="11"/>
      <c r="S1773" s="9"/>
      <c r="T1773" s="9"/>
      <c r="U1773" s="9"/>
    </row>
    <row r="1774" spans="2:21" x14ac:dyDescent="0.4">
      <c r="B1774" s="16">
        <f t="shared" si="146"/>
        <v>44421</v>
      </c>
      <c r="C1774" s="1">
        <f t="shared" si="147"/>
        <v>5375</v>
      </c>
      <c r="D1774" s="1">
        <f t="shared" si="148"/>
        <v>931</v>
      </c>
      <c r="E1774" s="1">
        <f t="shared" si="149"/>
        <v>2785</v>
      </c>
      <c r="F1774" s="1"/>
      <c r="L1774" s="11">
        <v>44421</v>
      </c>
      <c r="M1774" s="9">
        <v>5375</v>
      </c>
      <c r="N1774" s="9">
        <v>931</v>
      </c>
      <c r="O1774" s="9">
        <v>2785</v>
      </c>
      <c r="P1774" s="9">
        <v>0</v>
      </c>
      <c r="R1774" s="11"/>
      <c r="S1774" s="9"/>
      <c r="T1774" s="9"/>
      <c r="U1774" s="9"/>
    </row>
    <row r="1775" spans="2:21" x14ac:dyDescent="0.4">
      <c r="B1775" s="16">
        <f t="shared" si="146"/>
        <v>44424</v>
      </c>
      <c r="C1775" s="1">
        <f t="shared" si="147"/>
        <v>5373</v>
      </c>
      <c r="D1775" s="1">
        <f t="shared" si="148"/>
        <v>931</v>
      </c>
      <c r="E1775" s="1">
        <f t="shared" si="149"/>
        <v>2770</v>
      </c>
      <c r="F1775" s="1"/>
      <c r="L1775" s="11">
        <v>44424</v>
      </c>
      <c r="M1775" s="9">
        <v>5373</v>
      </c>
      <c r="N1775" s="9">
        <v>931</v>
      </c>
      <c r="O1775" s="9">
        <v>2770</v>
      </c>
      <c r="P1775" s="9">
        <v>0</v>
      </c>
      <c r="R1775" s="11"/>
      <c r="S1775" s="9"/>
      <c r="T1775" s="9"/>
      <c r="U1775" s="9"/>
    </row>
    <row r="1776" spans="2:21" x14ac:dyDescent="0.4">
      <c r="B1776" s="16">
        <f t="shared" si="146"/>
        <v>44425</v>
      </c>
      <c r="C1776" s="1">
        <f t="shared" si="147"/>
        <v>5368</v>
      </c>
      <c r="D1776" s="1">
        <f t="shared" si="148"/>
        <v>931</v>
      </c>
      <c r="E1776" s="1">
        <f t="shared" si="149"/>
        <v>2715</v>
      </c>
      <c r="F1776" s="1"/>
      <c r="L1776" s="11">
        <v>44425</v>
      </c>
      <c r="M1776" s="9">
        <v>5368</v>
      </c>
      <c r="N1776" s="9">
        <v>931</v>
      </c>
      <c r="O1776" s="9">
        <v>2715</v>
      </c>
      <c r="P1776" s="9">
        <v>0</v>
      </c>
      <c r="R1776" s="11"/>
      <c r="S1776" s="9"/>
      <c r="T1776" s="9"/>
      <c r="U1776" s="9"/>
    </row>
    <row r="1777" spans="2:21" x14ac:dyDescent="0.4">
      <c r="B1777" s="16">
        <f t="shared" si="146"/>
        <v>44426</v>
      </c>
      <c r="C1777" s="1">
        <f t="shared" si="147"/>
        <v>5364</v>
      </c>
      <c r="D1777" s="1">
        <f t="shared" si="148"/>
        <v>931</v>
      </c>
      <c r="E1777" s="1">
        <f t="shared" si="149"/>
        <v>2705</v>
      </c>
      <c r="F1777" s="1"/>
      <c r="L1777" s="11">
        <v>44426</v>
      </c>
      <c r="M1777" s="9">
        <v>5364</v>
      </c>
      <c r="N1777" s="9">
        <v>931</v>
      </c>
      <c r="O1777" s="9">
        <v>2705</v>
      </c>
      <c r="P1777" s="9">
        <v>0</v>
      </c>
      <c r="R1777" s="11"/>
      <c r="S1777" s="9"/>
      <c r="T1777" s="9"/>
      <c r="U1777" s="9"/>
    </row>
    <row r="1778" spans="2:21" x14ac:dyDescent="0.4">
      <c r="B1778" s="16">
        <f t="shared" si="146"/>
        <v>44427</v>
      </c>
      <c r="C1778" s="1">
        <f t="shared" si="147"/>
        <v>5354</v>
      </c>
      <c r="D1778" s="1">
        <f t="shared" si="148"/>
        <v>931</v>
      </c>
      <c r="E1778" s="1">
        <f t="shared" si="149"/>
        <v>2705</v>
      </c>
      <c r="F1778" s="1"/>
      <c r="L1778" s="11">
        <v>44427</v>
      </c>
      <c r="M1778" s="9">
        <v>5354</v>
      </c>
      <c r="N1778" s="9">
        <v>931</v>
      </c>
      <c r="O1778" s="9">
        <v>2705</v>
      </c>
      <c r="P1778" s="9">
        <v>0</v>
      </c>
      <c r="R1778" s="11"/>
      <c r="S1778" s="9"/>
      <c r="T1778" s="9"/>
      <c r="U1778" s="9"/>
    </row>
    <row r="1779" spans="2:21" x14ac:dyDescent="0.4">
      <c r="B1779" s="16">
        <f t="shared" si="146"/>
        <v>44428</v>
      </c>
      <c r="C1779" s="1">
        <f t="shared" si="147"/>
        <v>5350</v>
      </c>
      <c r="D1779" s="1">
        <f t="shared" si="148"/>
        <v>931</v>
      </c>
      <c r="E1779" s="1">
        <f t="shared" si="149"/>
        <v>2705</v>
      </c>
      <c r="F1779" s="1"/>
      <c r="L1779" s="11">
        <v>44428</v>
      </c>
      <c r="M1779" s="9">
        <v>5350</v>
      </c>
      <c r="N1779" s="9">
        <v>931</v>
      </c>
      <c r="O1779" s="9">
        <v>2705</v>
      </c>
      <c r="P1779" s="9">
        <v>0</v>
      </c>
      <c r="R1779" s="11"/>
      <c r="S1779" s="9"/>
      <c r="T1779" s="9"/>
      <c r="U1779" s="9"/>
    </row>
    <row r="1780" spans="2:21" x14ac:dyDescent="0.4">
      <c r="B1780" s="16">
        <f t="shared" si="146"/>
        <v>44431</v>
      </c>
      <c r="C1780" s="1">
        <f t="shared" si="147"/>
        <v>5334</v>
      </c>
      <c r="D1780" s="1">
        <f t="shared" si="148"/>
        <v>931</v>
      </c>
      <c r="E1780" s="1">
        <f t="shared" si="149"/>
        <v>2660</v>
      </c>
      <c r="F1780" s="1"/>
      <c r="L1780" s="11">
        <v>44431</v>
      </c>
      <c r="M1780" s="9">
        <v>5334</v>
      </c>
      <c r="N1780" s="9">
        <v>931</v>
      </c>
      <c r="O1780" s="9">
        <v>2660</v>
      </c>
      <c r="P1780" s="9">
        <v>0</v>
      </c>
      <c r="R1780" s="11"/>
      <c r="S1780" s="9"/>
      <c r="T1780" s="9"/>
      <c r="U1780" s="9"/>
    </row>
    <row r="1781" spans="2:21" x14ac:dyDescent="0.4">
      <c r="B1781" s="16">
        <f t="shared" si="146"/>
        <v>44432</v>
      </c>
      <c r="C1781" s="1">
        <f t="shared" si="147"/>
        <v>5327</v>
      </c>
      <c r="D1781" s="1">
        <f t="shared" si="148"/>
        <v>931</v>
      </c>
      <c r="E1781" s="1">
        <f t="shared" si="149"/>
        <v>2595</v>
      </c>
      <c r="F1781" s="1"/>
      <c r="L1781" s="11">
        <v>44432</v>
      </c>
      <c r="M1781" s="9">
        <v>5327</v>
      </c>
      <c r="N1781" s="9">
        <v>931</v>
      </c>
      <c r="O1781" s="9">
        <v>2595</v>
      </c>
      <c r="P1781" s="9">
        <v>0</v>
      </c>
      <c r="R1781" s="11"/>
      <c r="S1781" s="9"/>
      <c r="T1781" s="9"/>
      <c r="U1781" s="9"/>
    </row>
    <row r="1782" spans="2:21" x14ac:dyDescent="0.4">
      <c r="B1782" s="16">
        <f t="shared" si="146"/>
        <v>44433</v>
      </c>
      <c r="C1782" s="1">
        <f t="shared" si="147"/>
        <v>5321</v>
      </c>
      <c r="D1782" s="1">
        <f t="shared" si="148"/>
        <v>956</v>
      </c>
      <c r="E1782" s="1">
        <f t="shared" si="149"/>
        <v>2595</v>
      </c>
      <c r="F1782" s="1"/>
      <c r="L1782" s="11">
        <v>44433</v>
      </c>
      <c r="M1782" s="9">
        <v>5321</v>
      </c>
      <c r="N1782" s="9">
        <v>956</v>
      </c>
      <c r="O1782" s="9">
        <v>2595</v>
      </c>
      <c r="P1782" s="9">
        <v>0</v>
      </c>
      <c r="R1782" s="11"/>
      <c r="S1782" s="9"/>
      <c r="T1782" s="9"/>
      <c r="U1782" s="9"/>
    </row>
    <row r="1783" spans="2:21" x14ac:dyDescent="0.4">
      <c r="B1783" s="16">
        <f t="shared" si="146"/>
        <v>44434</v>
      </c>
      <c r="C1783" s="1">
        <f t="shared" si="147"/>
        <v>5302</v>
      </c>
      <c r="D1783" s="1">
        <f t="shared" si="148"/>
        <v>966</v>
      </c>
      <c r="E1783" s="1">
        <f t="shared" si="149"/>
        <v>2565</v>
      </c>
      <c r="F1783" s="1"/>
      <c r="L1783" s="11">
        <v>44434</v>
      </c>
      <c r="M1783" s="9">
        <v>5302</v>
      </c>
      <c r="N1783" s="9">
        <v>966</v>
      </c>
      <c r="O1783" s="9">
        <v>2565</v>
      </c>
      <c r="P1783" s="9">
        <v>0</v>
      </c>
      <c r="R1783" s="11"/>
      <c r="S1783" s="9"/>
      <c r="T1783" s="9"/>
      <c r="U1783" s="9"/>
    </row>
    <row r="1784" spans="2:21" x14ac:dyDescent="0.4">
      <c r="B1784" s="16">
        <f t="shared" si="146"/>
        <v>44435</v>
      </c>
      <c r="C1784" s="1">
        <f t="shared" si="147"/>
        <v>5268</v>
      </c>
      <c r="D1784" s="1">
        <f t="shared" si="148"/>
        <v>966</v>
      </c>
      <c r="E1784" s="1">
        <f t="shared" si="149"/>
        <v>2565</v>
      </c>
      <c r="F1784" s="1"/>
      <c r="L1784" s="11">
        <v>44435</v>
      </c>
      <c r="M1784" s="9">
        <v>5268</v>
      </c>
      <c r="N1784" s="9">
        <v>966</v>
      </c>
      <c r="O1784" s="9">
        <v>2565</v>
      </c>
      <c r="P1784" s="9">
        <v>0</v>
      </c>
      <c r="R1784" s="11"/>
      <c r="S1784" s="9"/>
      <c r="T1784" s="9"/>
      <c r="U1784" s="9"/>
    </row>
    <row r="1785" spans="2:21" x14ac:dyDescent="0.4">
      <c r="B1785" s="16">
        <f t="shared" si="146"/>
        <v>44438</v>
      </c>
      <c r="C1785" s="1">
        <f t="shared" si="147"/>
        <v>5238</v>
      </c>
      <c r="D1785" s="1">
        <f t="shared" si="148"/>
        <v>966</v>
      </c>
      <c r="E1785" s="1">
        <f t="shared" si="149"/>
        <v>2475</v>
      </c>
      <c r="F1785" s="1"/>
      <c r="L1785" s="11">
        <v>44438</v>
      </c>
      <c r="M1785" s="9">
        <v>5238</v>
      </c>
      <c r="N1785" s="9">
        <v>966</v>
      </c>
      <c r="O1785" s="9">
        <v>2475</v>
      </c>
      <c r="P1785" s="9">
        <v>0</v>
      </c>
      <c r="R1785" s="11"/>
      <c r="S1785" s="9"/>
      <c r="T1785" s="9"/>
      <c r="U1785" s="9"/>
    </row>
    <row r="1786" spans="2:21" x14ac:dyDescent="0.4">
      <c r="B1786" s="16">
        <f t="shared" si="146"/>
        <v>44439</v>
      </c>
      <c r="C1786" s="1">
        <f t="shared" si="147"/>
        <v>5242</v>
      </c>
      <c r="D1786" s="1">
        <f t="shared" si="148"/>
        <v>981</v>
      </c>
      <c r="E1786" s="1">
        <f t="shared" si="149"/>
        <v>2480</v>
      </c>
      <c r="F1786" s="1"/>
      <c r="L1786" s="11">
        <v>44439</v>
      </c>
      <c r="M1786" s="9">
        <v>5242</v>
      </c>
      <c r="N1786" s="9">
        <v>981</v>
      </c>
      <c r="O1786" s="9">
        <v>2480</v>
      </c>
      <c r="P1786" s="9">
        <v>0</v>
      </c>
      <c r="R1786" s="11"/>
      <c r="S1786" s="9"/>
      <c r="T1786" s="9"/>
      <c r="U1786" s="9"/>
    </row>
    <row r="1787" spans="2:21" x14ac:dyDescent="0.4">
      <c r="B1787" s="16">
        <f t="shared" si="146"/>
        <v>44440</v>
      </c>
      <c r="C1787" s="1">
        <f t="shared" si="147"/>
        <v>5233</v>
      </c>
      <c r="D1787" s="1">
        <f t="shared" si="148"/>
        <v>981</v>
      </c>
      <c r="E1787" s="1">
        <f t="shared" si="149"/>
        <v>2480</v>
      </c>
      <c r="F1787" s="1"/>
      <c r="L1787" s="11">
        <v>44440</v>
      </c>
      <c r="M1787" s="9">
        <v>5233</v>
      </c>
      <c r="N1787" s="9">
        <v>981</v>
      </c>
      <c r="O1787" s="9">
        <v>2480</v>
      </c>
      <c r="P1787" s="9">
        <v>0</v>
      </c>
      <c r="R1787" s="11"/>
      <c r="S1787" s="9"/>
      <c r="T1787" s="9"/>
      <c r="U1787" s="9"/>
    </row>
    <row r="1788" spans="2:21" x14ac:dyDescent="0.4">
      <c r="B1788" s="16">
        <f t="shared" si="146"/>
        <v>44441</v>
      </c>
      <c r="C1788" s="1">
        <f t="shared" si="147"/>
        <v>5262</v>
      </c>
      <c r="D1788" s="1">
        <f t="shared" si="148"/>
        <v>1011</v>
      </c>
      <c r="E1788" s="1">
        <f t="shared" si="149"/>
        <v>2520</v>
      </c>
      <c r="F1788" s="1"/>
      <c r="L1788" s="11">
        <v>44441</v>
      </c>
      <c r="M1788" s="9">
        <v>5262</v>
      </c>
      <c r="N1788" s="9">
        <v>1011</v>
      </c>
      <c r="O1788" s="9">
        <v>2520</v>
      </c>
      <c r="P1788" s="9">
        <v>0</v>
      </c>
      <c r="R1788" s="11"/>
      <c r="S1788" s="9"/>
      <c r="T1788" s="9"/>
      <c r="U1788" s="9"/>
    </row>
    <row r="1789" spans="2:21" x14ac:dyDescent="0.4">
      <c r="B1789" s="16">
        <f t="shared" si="146"/>
        <v>44442</v>
      </c>
      <c r="C1789" s="1">
        <f t="shared" si="147"/>
        <v>5289</v>
      </c>
      <c r="D1789" s="1">
        <f t="shared" si="148"/>
        <v>1031</v>
      </c>
      <c r="E1789" s="1">
        <f t="shared" si="149"/>
        <v>2510</v>
      </c>
      <c r="F1789" s="1"/>
      <c r="L1789" s="11">
        <v>44442</v>
      </c>
      <c r="M1789" s="9">
        <v>5289</v>
      </c>
      <c r="N1789" s="9">
        <v>1031</v>
      </c>
      <c r="O1789" s="9">
        <v>2510</v>
      </c>
      <c r="P1789" s="9">
        <v>0</v>
      </c>
      <c r="R1789" s="11"/>
      <c r="S1789" s="9"/>
      <c r="T1789" s="9"/>
      <c r="U1789" s="9"/>
    </row>
    <row r="1790" spans="2:21" x14ac:dyDescent="0.4">
      <c r="B1790" s="16">
        <f t="shared" si="146"/>
        <v>44445</v>
      </c>
      <c r="C1790" s="1">
        <f t="shared" si="147"/>
        <v>5312</v>
      </c>
      <c r="D1790" s="1">
        <f t="shared" si="148"/>
        <v>1031</v>
      </c>
      <c r="E1790" s="1">
        <f t="shared" si="149"/>
        <v>2520</v>
      </c>
      <c r="F1790" s="1"/>
      <c r="L1790" s="11">
        <v>44445</v>
      </c>
      <c r="M1790" s="9">
        <v>5312</v>
      </c>
      <c r="N1790" s="9">
        <v>1031</v>
      </c>
      <c r="O1790" s="9">
        <v>2520</v>
      </c>
      <c r="P1790" s="9">
        <v>0</v>
      </c>
      <c r="R1790" s="11"/>
      <c r="S1790" s="9"/>
      <c r="T1790" s="9"/>
      <c r="U1790" s="9"/>
    </row>
    <row r="1791" spans="2:21" x14ac:dyDescent="0.4">
      <c r="B1791" s="16">
        <f t="shared" si="146"/>
        <v>44446</v>
      </c>
      <c r="C1791" s="1">
        <f t="shared" si="147"/>
        <v>5328</v>
      </c>
      <c r="D1791" s="1">
        <f t="shared" si="148"/>
        <v>1066</v>
      </c>
      <c r="E1791" s="1">
        <f t="shared" si="149"/>
        <v>2555</v>
      </c>
      <c r="F1791" s="1"/>
      <c r="L1791" s="11">
        <v>44446</v>
      </c>
      <c r="M1791" s="9">
        <v>5328</v>
      </c>
      <c r="N1791" s="9">
        <v>1066</v>
      </c>
      <c r="O1791" s="9">
        <v>2555</v>
      </c>
      <c r="P1791" s="9">
        <v>0</v>
      </c>
      <c r="R1791" s="11"/>
      <c r="S1791" s="9"/>
      <c r="T1791" s="9"/>
      <c r="U1791" s="9"/>
    </row>
    <row r="1792" spans="2:21" x14ac:dyDescent="0.4">
      <c r="B1792" s="16">
        <f t="shared" si="146"/>
        <v>44447</v>
      </c>
      <c r="C1792" s="1">
        <f t="shared" si="147"/>
        <v>5357</v>
      </c>
      <c r="D1792" s="1">
        <f t="shared" si="148"/>
        <v>1066</v>
      </c>
      <c r="E1792" s="1">
        <f t="shared" si="149"/>
        <v>2570</v>
      </c>
      <c r="F1792" s="1"/>
      <c r="L1792" s="11">
        <v>44447</v>
      </c>
      <c r="M1792" s="9">
        <v>5357</v>
      </c>
      <c r="N1792" s="9">
        <v>1066</v>
      </c>
      <c r="O1792" s="9">
        <v>2570</v>
      </c>
      <c r="P1792" s="9">
        <v>0</v>
      </c>
      <c r="R1792" s="11"/>
      <c r="S1792" s="9"/>
      <c r="T1792" s="9"/>
      <c r="U1792" s="9"/>
    </row>
    <row r="1793" spans="2:21" x14ac:dyDescent="0.4">
      <c r="B1793" s="16">
        <f t="shared" si="146"/>
        <v>44448</v>
      </c>
      <c r="C1793" s="1">
        <f t="shared" si="147"/>
        <v>5390</v>
      </c>
      <c r="D1793" s="1">
        <f t="shared" si="148"/>
        <v>1066</v>
      </c>
      <c r="E1793" s="1">
        <f t="shared" si="149"/>
        <v>2580</v>
      </c>
      <c r="F1793" s="1"/>
      <c r="L1793" s="11">
        <v>44448</v>
      </c>
      <c r="M1793" s="9">
        <v>5390</v>
      </c>
      <c r="N1793" s="9">
        <v>1066</v>
      </c>
      <c r="O1793" s="9">
        <v>2580</v>
      </c>
      <c r="P1793" s="9">
        <v>0</v>
      </c>
      <c r="R1793" s="11"/>
      <c r="S1793" s="9"/>
      <c r="T1793" s="9"/>
      <c r="U1793" s="9"/>
    </row>
    <row r="1794" spans="2:21" x14ac:dyDescent="0.4">
      <c r="B1794" s="16">
        <f t="shared" si="146"/>
        <v>44449</v>
      </c>
      <c r="C1794" s="1">
        <f t="shared" si="147"/>
        <v>5400</v>
      </c>
      <c r="D1794" s="1">
        <f t="shared" si="148"/>
        <v>1081</v>
      </c>
      <c r="E1794" s="1">
        <f t="shared" si="149"/>
        <v>2595</v>
      </c>
      <c r="F1794" s="1"/>
      <c r="L1794" s="11">
        <v>44449</v>
      </c>
      <c r="M1794" s="9">
        <v>5400</v>
      </c>
      <c r="N1794" s="9">
        <v>1081</v>
      </c>
      <c r="O1794" s="9">
        <v>2595</v>
      </c>
      <c r="P1794" s="9">
        <v>0</v>
      </c>
      <c r="R1794" s="11"/>
      <c r="S1794" s="9"/>
      <c r="T1794" s="9"/>
      <c r="U1794" s="9"/>
    </row>
    <row r="1795" spans="2:21" x14ac:dyDescent="0.4">
      <c r="B1795" s="16">
        <f t="shared" si="146"/>
        <v>44452</v>
      </c>
      <c r="C1795" s="1">
        <f t="shared" si="147"/>
        <v>5449</v>
      </c>
      <c r="D1795" s="1">
        <f t="shared" si="148"/>
        <v>1091</v>
      </c>
      <c r="E1795" s="1">
        <f t="shared" si="149"/>
        <v>2595</v>
      </c>
      <c r="F1795" s="1"/>
      <c r="L1795" s="11">
        <v>44452</v>
      </c>
      <c r="M1795" s="9">
        <v>5449</v>
      </c>
      <c r="N1795" s="9">
        <v>1091</v>
      </c>
      <c r="O1795" s="9">
        <v>2595</v>
      </c>
      <c r="P1795" s="9">
        <v>0</v>
      </c>
      <c r="R1795" s="11"/>
      <c r="S1795" s="9"/>
      <c r="T1795" s="9"/>
      <c r="U1795" s="9"/>
    </row>
    <row r="1796" spans="2:21" x14ac:dyDescent="0.4">
      <c r="B1796" s="16">
        <f t="shared" si="146"/>
        <v>44453</v>
      </c>
      <c r="C1796" s="1">
        <f t="shared" si="147"/>
        <v>5480</v>
      </c>
      <c r="D1796" s="1">
        <f t="shared" si="148"/>
        <v>1091</v>
      </c>
      <c r="E1796" s="1">
        <f t="shared" si="149"/>
        <v>2615</v>
      </c>
      <c r="F1796" s="1"/>
      <c r="L1796" s="11">
        <v>44453</v>
      </c>
      <c r="M1796" s="9">
        <v>5480</v>
      </c>
      <c r="N1796" s="9">
        <v>1091</v>
      </c>
      <c r="O1796" s="9">
        <v>2615</v>
      </c>
      <c r="P1796" s="9">
        <v>0</v>
      </c>
      <c r="R1796" s="11"/>
      <c r="S1796" s="9"/>
      <c r="T1796" s="9"/>
      <c r="U1796" s="9"/>
    </row>
    <row r="1797" spans="2:21" x14ac:dyDescent="0.4">
      <c r="B1797" s="16">
        <f t="shared" si="146"/>
        <v>44454</v>
      </c>
      <c r="C1797" s="1">
        <f t="shared" si="147"/>
        <v>5494</v>
      </c>
      <c r="D1797" s="1">
        <f t="shared" si="148"/>
        <v>1106</v>
      </c>
      <c r="E1797" s="1">
        <f t="shared" si="149"/>
        <v>2615</v>
      </c>
      <c r="F1797" s="1"/>
      <c r="L1797" s="11">
        <v>44454</v>
      </c>
      <c r="M1797" s="9">
        <v>5494</v>
      </c>
      <c r="N1797" s="9">
        <v>1106</v>
      </c>
      <c r="O1797" s="9">
        <v>2615</v>
      </c>
      <c r="P1797" s="9">
        <v>0</v>
      </c>
      <c r="R1797" s="11"/>
      <c r="S1797" s="9"/>
      <c r="T1797" s="9"/>
      <c r="U1797" s="9"/>
    </row>
    <row r="1798" spans="2:21" x14ac:dyDescent="0.4">
      <c r="B1798" s="16">
        <f t="shared" ref="B1798:B1861" si="150">L1798</f>
        <v>44455</v>
      </c>
      <c r="C1798" s="1">
        <f t="shared" si="147"/>
        <v>5532</v>
      </c>
      <c r="D1798" s="1">
        <f t="shared" si="148"/>
        <v>1111</v>
      </c>
      <c r="E1798" s="1">
        <f t="shared" si="149"/>
        <v>2615</v>
      </c>
      <c r="F1798" s="1"/>
      <c r="L1798" s="11">
        <v>44455</v>
      </c>
      <c r="M1798" s="9">
        <v>5532</v>
      </c>
      <c r="N1798" s="9">
        <v>1111</v>
      </c>
      <c r="O1798" s="9">
        <v>2615</v>
      </c>
      <c r="P1798" s="9">
        <v>0</v>
      </c>
      <c r="R1798" s="11"/>
      <c r="S1798" s="9"/>
      <c r="T1798" s="9"/>
      <c r="U1798" s="9"/>
    </row>
    <row r="1799" spans="2:21" x14ac:dyDescent="0.4">
      <c r="B1799" s="16">
        <f t="shared" si="150"/>
        <v>44456</v>
      </c>
      <c r="C1799" s="1">
        <f t="shared" ref="C1799:C1862" si="151">IF(M1799&lt;&gt;0,M1799,C1798)</f>
        <v>5576</v>
      </c>
      <c r="D1799" s="1">
        <f t="shared" ref="D1799:D1862" si="152">IF(N1799&lt;&gt;0,N1799,D1798)</f>
        <v>1111</v>
      </c>
      <c r="E1799" s="1">
        <f t="shared" ref="E1799:E1862" si="153">IF(O1799&lt;&gt;0,O1799,E1798)</f>
        <v>2620</v>
      </c>
      <c r="F1799" s="1"/>
      <c r="L1799" s="11">
        <v>44456</v>
      </c>
      <c r="M1799" s="9">
        <v>5576</v>
      </c>
      <c r="N1799" s="9">
        <v>1111</v>
      </c>
      <c r="O1799" s="9">
        <v>2620</v>
      </c>
      <c r="P1799" s="9">
        <v>0</v>
      </c>
      <c r="R1799" s="11"/>
      <c r="S1799" s="9"/>
      <c r="T1799" s="9"/>
      <c r="U1799" s="9"/>
    </row>
    <row r="1800" spans="2:21" x14ac:dyDescent="0.4">
      <c r="B1800" s="16">
        <f t="shared" si="150"/>
        <v>44457</v>
      </c>
      <c r="C1800" s="1">
        <f t="shared" si="151"/>
        <v>5601</v>
      </c>
      <c r="D1800" s="1">
        <f t="shared" si="152"/>
        <v>1111</v>
      </c>
      <c r="E1800" s="1">
        <f t="shared" si="153"/>
        <v>2690</v>
      </c>
      <c r="F1800" s="1"/>
      <c r="L1800" s="11">
        <v>44457</v>
      </c>
      <c r="M1800" s="9">
        <v>5601</v>
      </c>
      <c r="N1800" s="9">
        <v>0</v>
      </c>
      <c r="O1800" s="9">
        <v>2690</v>
      </c>
      <c r="P1800" s="9">
        <v>0</v>
      </c>
      <c r="R1800" s="11"/>
      <c r="S1800" s="9"/>
      <c r="T1800" s="9"/>
      <c r="U1800" s="9"/>
    </row>
    <row r="1801" spans="2:21" x14ac:dyDescent="0.4">
      <c r="B1801" s="16">
        <f t="shared" si="150"/>
        <v>44459</v>
      </c>
      <c r="C1801" s="1">
        <f t="shared" si="151"/>
        <v>5601</v>
      </c>
      <c r="D1801" s="1">
        <f t="shared" si="152"/>
        <v>1111</v>
      </c>
      <c r="E1801" s="1">
        <f t="shared" si="153"/>
        <v>2690</v>
      </c>
      <c r="F1801" s="1"/>
      <c r="L1801" s="11">
        <v>44459</v>
      </c>
      <c r="M1801" s="9">
        <v>0</v>
      </c>
      <c r="N1801" s="9">
        <v>1111</v>
      </c>
      <c r="O1801" s="9">
        <v>0</v>
      </c>
      <c r="P1801" s="9">
        <v>0</v>
      </c>
      <c r="R1801" s="11"/>
      <c r="S1801" s="9"/>
      <c r="T1801" s="9"/>
      <c r="U1801" s="9"/>
    </row>
    <row r="1802" spans="2:21" x14ac:dyDescent="0.4">
      <c r="B1802" s="16">
        <f t="shared" si="150"/>
        <v>44460</v>
      </c>
      <c r="C1802" s="1">
        <f t="shared" si="151"/>
        <v>5601</v>
      </c>
      <c r="D1802" s="1">
        <f t="shared" si="152"/>
        <v>1111</v>
      </c>
      <c r="E1802" s="1">
        <f t="shared" si="153"/>
        <v>2690</v>
      </c>
      <c r="F1802" s="1"/>
      <c r="L1802" s="11">
        <v>44460</v>
      </c>
      <c r="M1802" s="9">
        <v>0</v>
      </c>
      <c r="N1802" s="9">
        <v>1111</v>
      </c>
      <c r="O1802" s="9">
        <v>0</v>
      </c>
      <c r="P1802" s="9">
        <v>0</v>
      </c>
      <c r="R1802" s="11"/>
      <c r="S1802" s="9"/>
      <c r="T1802" s="9"/>
      <c r="U1802" s="9"/>
    </row>
    <row r="1803" spans="2:21" x14ac:dyDescent="0.4">
      <c r="B1803" s="16">
        <f t="shared" si="150"/>
        <v>44461</v>
      </c>
      <c r="C1803" s="1">
        <f t="shared" si="151"/>
        <v>5650</v>
      </c>
      <c r="D1803" s="1">
        <f t="shared" si="152"/>
        <v>1111</v>
      </c>
      <c r="E1803" s="1">
        <f t="shared" si="153"/>
        <v>2810</v>
      </c>
      <c r="F1803" s="1"/>
      <c r="L1803" s="11">
        <v>44461</v>
      </c>
      <c r="M1803" s="9">
        <v>5650</v>
      </c>
      <c r="N1803" s="9">
        <v>1111</v>
      </c>
      <c r="O1803" s="9">
        <v>2810</v>
      </c>
      <c r="P1803" s="9">
        <v>0</v>
      </c>
      <c r="R1803" s="11"/>
      <c r="S1803" s="9"/>
      <c r="T1803" s="9"/>
      <c r="U1803" s="9"/>
    </row>
    <row r="1804" spans="2:21" x14ac:dyDescent="0.4">
      <c r="B1804" s="16">
        <f t="shared" si="150"/>
        <v>44462</v>
      </c>
      <c r="C1804" s="1">
        <f t="shared" si="151"/>
        <v>5699</v>
      </c>
      <c r="D1804" s="1">
        <f t="shared" si="152"/>
        <v>1111</v>
      </c>
      <c r="E1804" s="1">
        <f t="shared" si="153"/>
        <v>2830</v>
      </c>
      <c r="F1804" s="1"/>
      <c r="L1804" s="11">
        <v>44462</v>
      </c>
      <c r="M1804" s="9">
        <v>5699</v>
      </c>
      <c r="N1804" s="9">
        <v>1111</v>
      </c>
      <c r="O1804" s="9">
        <v>2830</v>
      </c>
      <c r="P1804" s="9">
        <v>0</v>
      </c>
      <c r="R1804" s="11"/>
      <c r="S1804" s="9"/>
      <c r="T1804" s="9"/>
      <c r="U1804" s="9"/>
    </row>
    <row r="1805" spans="2:21" x14ac:dyDescent="0.4">
      <c r="B1805" s="16">
        <f t="shared" si="150"/>
        <v>44463</v>
      </c>
      <c r="C1805" s="1">
        <f t="shared" si="151"/>
        <v>5736</v>
      </c>
      <c r="D1805" s="1">
        <f t="shared" si="152"/>
        <v>1136</v>
      </c>
      <c r="E1805" s="1">
        <f t="shared" si="153"/>
        <v>2850</v>
      </c>
      <c r="F1805" s="1"/>
      <c r="L1805" s="11">
        <v>44463</v>
      </c>
      <c r="M1805" s="9">
        <v>5736</v>
      </c>
      <c r="N1805" s="9">
        <v>1136</v>
      </c>
      <c r="O1805" s="9">
        <v>2850</v>
      </c>
      <c r="P1805" s="9">
        <v>0</v>
      </c>
      <c r="R1805" s="11"/>
      <c r="S1805" s="9"/>
      <c r="T1805" s="9"/>
      <c r="U1805" s="9"/>
    </row>
    <row r="1806" spans="2:21" x14ac:dyDescent="0.4">
      <c r="B1806" s="16">
        <f t="shared" si="150"/>
        <v>44465</v>
      </c>
      <c r="C1806" s="1">
        <f t="shared" si="151"/>
        <v>5824</v>
      </c>
      <c r="D1806" s="1">
        <f t="shared" si="152"/>
        <v>1136</v>
      </c>
      <c r="E1806" s="1">
        <f t="shared" si="153"/>
        <v>2840</v>
      </c>
      <c r="F1806" s="1"/>
      <c r="L1806" s="11">
        <v>44465</v>
      </c>
      <c r="M1806" s="9">
        <v>5824</v>
      </c>
      <c r="N1806" s="9">
        <v>0</v>
      </c>
      <c r="O1806" s="9">
        <v>2840</v>
      </c>
      <c r="P1806" s="9">
        <v>0</v>
      </c>
      <c r="R1806" s="11"/>
      <c r="S1806" s="9"/>
      <c r="T1806" s="9"/>
      <c r="U1806" s="9"/>
    </row>
    <row r="1807" spans="2:21" x14ac:dyDescent="0.4">
      <c r="B1807" s="16">
        <f t="shared" si="150"/>
        <v>44466</v>
      </c>
      <c r="C1807" s="1">
        <f t="shared" si="151"/>
        <v>5864</v>
      </c>
      <c r="D1807" s="1">
        <f t="shared" si="152"/>
        <v>1136</v>
      </c>
      <c r="E1807" s="1">
        <f t="shared" si="153"/>
        <v>2840</v>
      </c>
      <c r="F1807" s="1"/>
      <c r="L1807" s="11">
        <v>44466</v>
      </c>
      <c r="M1807" s="9">
        <v>5864</v>
      </c>
      <c r="N1807" s="9">
        <v>1136</v>
      </c>
      <c r="O1807" s="9">
        <v>2840</v>
      </c>
      <c r="P1807" s="9">
        <v>0</v>
      </c>
      <c r="R1807" s="11"/>
      <c r="S1807" s="9"/>
      <c r="T1807" s="9"/>
      <c r="U1807" s="9"/>
    </row>
    <row r="1808" spans="2:21" x14ac:dyDescent="0.4">
      <c r="B1808" s="16">
        <f t="shared" si="150"/>
        <v>44467</v>
      </c>
      <c r="C1808" s="1">
        <f t="shared" si="151"/>
        <v>5928</v>
      </c>
      <c r="D1808" s="1">
        <f t="shared" si="152"/>
        <v>1136</v>
      </c>
      <c r="E1808" s="1">
        <f t="shared" si="153"/>
        <v>2840</v>
      </c>
      <c r="F1808" s="1"/>
      <c r="L1808" s="11">
        <v>44467</v>
      </c>
      <c r="M1808" s="9">
        <v>5928</v>
      </c>
      <c r="N1808" s="9">
        <v>1136</v>
      </c>
      <c r="O1808" s="9">
        <v>2840</v>
      </c>
      <c r="P1808" s="9">
        <v>0</v>
      </c>
      <c r="R1808" s="11"/>
      <c r="S1808" s="9"/>
      <c r="T1808" s="9"/>
      <c r="U1808" s="9"/>
    </row>
    <row r="1809" spans="2:21" x14ac:dyDescent="0.4">
      <c r="B1809" s="16">
        <f t="shared" si="150"/>
        <v>44468</v>
      </c>
      <c r="C1809" s="1">
        <f t="shared" si="151"/>
        <v>5911</v>
      </c>
      <c r="D1809" s="1">
        <f t="shared" si="152"/>
        <v>1136</v>
      </c>
      <c r="E1809" s="1">
        <f t="shared" si="153"/>
        <v>2840</v>
      </c>
      <c r="F1809" s="1"/>
      <c r="L1809" s="11">
        <v>44468</v>
      </c>
      <c r="M1809" s="9">
        <v>5911</v>
      </c>
      <c r="N1809" s="9">
        <v>1136</v>
      </c>
      <c r="O1809" s="9">
        <v>2840</v>
      </c>
      <c r="P1809" s="9">
        <v>0</v>
      </c>
      <c r="R1809" s="11"/>
      <c r="S1809" s="9"/>
      <c r="T1809" s="9"/>
      <c r="U1809" s="9"/>
    </row>
    <row r="1810" spans="2:21" x14ac:dyDescent="0.4">
      <c r="B1810" s="16">
        <f t="shared" si="150"/>
        <v>44469</v>
      </c>
      <c r="C1810" s="1">
        <f t="shared" si="151"/>
        <v>5921</v>
      </c>
      <c r="D1810" s="1">
        <f t="shared" si="152"/>
        <v>1136</v>
      </c>
      <c r="E1810" s="1">
        <f t="shared" si="153"/>
        <v>2840</v>
      </c>
      <c r="F1810" s="1"/>
      <c r="L1810" s="11">
        <v>44469</v>
      </c>
      <c r="M1810" s="9">
        <v>5921</v>
      </c>
      <c r="N1810" s="9">
        <v>1136</v>
      </c>
      <c r="O1810" s="9">
        <v>2840</v>
      </c>
      <c r="P1810" s="9">
        <v>0</v>
      </c>
      <c r="R1810" s="11"/>
      <c r="S1810" s="9"/>
      <c r="T1810" s="9"/>
      <c r="U1810" s="9"/>
    </row>
    <row r="1811" spans="2:21" x14ac:dyDescent="0.4">
      <c r="B1811" s="16">
        <f t="shared" si="150"/>
        <v>44470</v>
      </c>
      <c r="C1811" s="1">
        <f t="shared" si="151"/>
        <v>5921</v>
      </c>
      <c r="D1811" s="1">
        <f t="shared" si="152"/>
        <v>1136</v>
      </c>
      <c r="E1811" s="1">
        <f t="shared" si="153"/>
        <v>2840</v>
      </c>
      <c r="F1811" s="1"/>
      <c r="L1811" s="11">
        <v>44470</v>
      </c>
      <c r="M1811" s="9">
        <v>0</v>
      </c>
      <c r="N1811" s="9">
        <v>1136</v>
      </c>
      <c r="O1811" s="9">
        <v>0</v>
      </c>
      <c r="P1811" s="9">
        <v>0</v>
      </c>
      <c r="R1811" s="11"/>
      <c r="S1811" s="9"/>
      <c r="T1811" s="9"/>
      <c r="U1811" s="9"/>
    </row>
    <row r="1812" spans="2:21" x14ac:dyDescent="0.4">
      <c r="B1812" s="16">
        <f t="shared" si="150"/>
        <v>44473</v>
      </c>
      <c r="C1812" s="1">
        <f t="shared" si="151"/>
        <v>5921</v>
      </c>
      <c r="D1812" s="1">
        <f t="shared" si="152"/>
        <v>1136</v>
      </c>
      <c r="E1812" s="1">
        <f t="shared" si="153"/>
        <v>2840</v>
      </c>
      <c r="F1812" s="1"/>
      <c r="L1812" s="11">
        <v>44473</v>
      </c>
      <c r="M1812" s="9">
        <v>0</v>
      </c>
      <c r="N1812" s="9">
        <v>1136</v>
      </c>
      <c r="O1812" s="9">
        <v>0</v>
      </c>
      <c r="P1812" s="9">
        <v>0</v>
      </c>
      <c r="R1812" s="11"/>
      <c r="S1812" s="9"/>
      <c r="T1812" s="9"/>
      <c r="U1812" s="9"/>
    </row>
    <row r="1813" spans="2:21" x14ac:dyDescent="0.4">
      <c r="B1813" s="16">
        <f t="shared" si="150"/>
        <v>44474</v>
      </c>
      <c r="C1813" s="1">
        <f t="shared" si="151"/>
        <v>5921</v>
      </c>
      <c r="D1813" s="1">
        <f t="shared" si="152"/>
        <v>1136</v>
      </c>
      <c r="E1813" s="1">
        <f t="shared" si="153"/>
        <v>2840</v>
      </c>
      <c r="F1813" s="1"/>
      <c r="L1813" s="11">
        <v>44474</v>
      </c>
      <c r="M1813" s="9">
        <v>0</v>
      </c>
      <c r="N1813" s="9">
        <v>1136</v>
      </c>
      <c r="O1813" s="9">
        <v>0</v>
      </c>
      <c r="P1813" s="9">
        <v>0</v>
      </c>
      <c r="R1813" s="11"/>
      <c r="S1813" s="9"/>
      <c r="T1813" s="9"/>
      <c r="U1813" s="9"/>
    </row>
    <row r="1814" spans="2:21" x14ac:dyDescent="0.4">
      <c r="B1814" s="16">
        <f t="shared" si="150"/>
        <v>44475</v>
      </c>
      <c r="C1814" s="1">
        <f t="shared" si="151"/>
        <v>5921</v>
      </c>
      <c r="D1814" s="1">
        <f t="shared" si="152"/>
        <v>1136</v>
      </c>
      <c r="E1814" s="1">
        <f t="shared" si="153"/>
        <v>2840</v>
      </c>
      <c r="F1814" s="1"/>
      <c r="L1814" s="11">
        <v>44475</v>
      </c>
      <c r="M1814" s="9">
        <v>0</v>
      </c>
      <c r="N1814" s="9">
        <v>1136</v>
      </c>
      <c r="O1814" s="9">
        <v>0</v>
      </c>
      <c r="P1814" s="9">
        <v>0</v>
      </c>
      <c r="R1814" s="11"/>
      <c r="S1814" s="9"/>
      <c r="T1814" s="9"/>
      <c r="U1814" s="9"/>
    </row>
    <row r="1815" spans="2:21" x14ac:dyDescent="0.4">
      <c r="B1815" s="16">
        <f t="shared" si="150"/>
        <v>44476</v>
      </c>
      <c r="C1815" s="1">
        <f t="shared" si="151"/>
        <v>5921</v>
      </c>
      <c r="D1815" s="1">
        <f t="shared" si="152"/>
        <v>1136</v>
      </c>
      <c r="E1815" s="1">
        <f t="shared" si="153"/>
        <v>2840</v>
      </c>
      <c r="F1815" s="1"/>
      <c r="L1815" s="11">
        <v>44476</v>
      </c>
      <c r="M1815" s="9">
        <v>0</v>
      </c>
      <c r="N1815" s="9">
        <v>1136</v>
      </c>
      <c r="O1815" s="9">
        <v>0</v>
      </c>
      <c r="P1815" s="9">
        <v>0</v>
      </c>
      <c r="R1815" s="11"/>
      <c r="S1815" s="9"/>
      <c r="T1815" s="9"/>
      <c r="U1815" s="9"/>
    </row>
    <row r="1816" spans="2:21" x14ac:dyDescent="0.4">
      <c r="B1816" s="16">
        <f t="shared" si="150"/>
        <v>44477</v>
      </c>
      <c r="C1816" s="1">
        <f t="shared" si="151"/>
        <v>6048</v>
      </c>
      <c r="D1816" s="1">
        <f t="shared" si="152"/>
        <v>1151</v>
      </c>
      <c r="E1816" s="1">
        <f t="shared" si="153"/>
        <v>2960</v>
      </c>
      <c r="F1816" s="1"/>
      <c r="L1816" s="11">
        <v>44477</v>
      </c>
      <c r="M1816" s="9">
        <v>6048</v>
      </c>
      <c r="N1816" s="9">
        <v>1151</v>
      </c>
      <c r="O1816" s="9">
        <v>2960</v>
      </c>
      <c r="P1816" s="9">
        <v>0</v>
      </c>
      <c r="R1816" s="11"/>
      <c r="S1816" s="9"/>
      <c r="T1816" s="9"/>
      <c r="U1816" s="9"/>
    </row>
    <row r="1817" spans="2:21" x14ac:dyDescent="0.4">
      <c r="B1817" s="16">
        <f t="shared" si="150"/>
        <v>44478</v>
      </c>
      <c r="C1817" s="1">
        <f t="shared" si="151"/>
        <v>6231</v>
      </c>
      <c r="D1817" s="1">
        <f t="shared" si="152"/>
        <v>1151</v>
      </c>
      <c r="E1817" s="1">
        <f t="shared" si="153"/>
        <v>3000</v>
      </c>
      <c r="F1817" s="1"/>
      <c r="L1817" s="11">
        <v>44478</v>
      </c>
      <c r="M1817" s="9">
        <v>6231</v>
      </c>
      <c r="N1817" s="9">
        <v>0</v>
      </c>
      <c r="O1817" s="9">
        <v>3000</v>
      </c>
      <c r="P1817" s="9">
        <v>0</v>
      </c>
      <c r="R1817" s="11"/>
      <c r="S1817" s="9"/>
      <c r="T1817" s="9"/>
      <c r="U1817" s="9"/>
    </row>
    <row r="1818" spans="2:21" x14ac:dyDescent="0.4">
      <c r="B1818" s="16">
        <f t="shared" si="150"/>
        <v>44480</v>
      </c>
      <c r="C1818" s="1">
        <f t="shared" si="151"/>
        <v>6382</v>
      </c>
      <c r="D1818" s="1">
        <f t="shared" si="152"/>
        <v>1151</v>
      </c>
      <c r="E1818" s="1">
        <f t="shared" si="153"/>
        <v>3025</v>
      </c>
      <c r="F1818" s="1"/>
      <c r="L1818" s="11">
        <v>44480</v>
      </c>
      <c r="M1818" s="9">
        <v>6382</v>
      </c>
      <c r="N1818" s="9">
        <v>1151</v>
      </c>
      <c r="O1818" s="9">
        <v>3025</v>
      </c>
      <c r="P1818" s="9">
        <v>0</v>
      </c>
      <c r="R1818" s="11"/>
      <c r="S1818" s="9"/>
      <c r="T1818" s="9"/>
      <c r="U1818" s="9"/>
    </row>
    <row r="1819" spans="2:21" x14ac:dyDescent="0.4">
      <c r="B1819" s="16">
        <f t="shared" si="150"/>
        <v>44481</v>
      </c>
      <c r="C1819" s="1">
        <f t="shared" si="151"/>
        <v>6455</v>
      </c>
      <c r="D1819" s="1">
        <f t="shared" si="152"/>
        <v>1161</v>
      </c>
      <c r="E1819" s="1">
        <f t="shared" si="153"/>
        <v>3050</v>
      </c>
      <c r="F1819" s="1"/>
      <c r="L1819" s="11">
        <v>44481</v>
      </c>
      <c r="M1819" s="9">
        <v>6455</v>
      </c>
      <c r="N1819" s="9">
        <v>1161</v>
      </c>
      <c r="O1819" s="9">
        <v>3050</v>
      </c>
      <c r="P1819" s="9">
        <v>0</v>
      </c>
      <c r="R1819" s="11"/>
      <c r="S1819" s="9"/>
      <c r="T1819" s="9"/>
      <c r="U1819" s="9"/>
    </row>
    <row r="1820" spans="2:21" x14ac:dyDescent="0.4">
      <c r="B1820" s="16">
        <f t="shared" si="150"/>
        <v>44482</v>
      </c>
      <c r="C1820" s="1">
        <f t="shared" si="151"/>
        <v>6440</v>
      </c>
      <c r="D1820" s="1">
        <f t="shared" si="152"/>
        <v>1161</v>
      </c>
      <c r="E1820" s="1">
        <f t="shared" si="153"/>
        <v>3080</v>
      </c>
      <c r="F1820" s="1"/>
      <c r="L1820" s="11">
        <v>44482</v>
      </c>
      <c r="M1820" s="9">
        <v>6440</v>
      </c>
      <c r="N1820" s="9">
        <v>1161</v>
      </c>
      <c r="O1820" s="9">
        <v>3080</v>
      </c>
      <c r="P1820" s="9">
        <v>0</v>
      </c>
      <c r="R1820" s="11"/>
      <c r="S1820" s="9"/>
      <c r="T1820" s="9"/>
      <c r="U1820" s="9"/>
    </row>
    <row r="1821" spans="2:21" x14ac:dyDescent="0.4">
      <c r="B1821" s="16">
        <f t="shared" si="150"/>
        <v>44483</v>
      </c>
      <c r="C1821" s="1">
        <f t="shared" si="151"/>
        <v>6388</v>
      </c>
      <c r="D1821" s="1">
        <f t="shared" si="152"/>
        <v>1161</v>
      </c>
      <c r="E1821" s="1">
        <f t="shared" si="153"/>
        <v>3070</v>
      </c>
      <c r="F1821" s="1"/>
      <c r="L1821" s="11">
        <v>44483</v>
      </c>
      <c r="M1821" s="9">
        <v>6388</v>
      </c>
      <c r="N1821" s="9">
        <v>1161</v>
      </c>
      <c r="O1821" s="9">
        <v>3070</v>
      </c>
      <c r="P1821" s="9">
        <v>0</v>
      </c>
      <c r="R1821" s="11"/>
      <c r="S1821" s="9"/>
      <c r="T1821" s="9"/>
      <c r="U1821" s="9"/>
    </row>
    <row r="1822" spans="2:21" x14ac:dyDescent="0.4">
      <c r="B1822" s="16">
        <f t="shared" si="150"/>
        <v>44484</v>
      </c>
      <c r="C1822" s="1">
        <f t="shared" si="151"/>
        <v>6401</v>
      </c>
      <c r="D1822" s="1">
        <f t="shared" si="152"/>
        <v>1166</v>
      </c>
      <c r="E1822" s="1">
        <f t="shared" si="153"/>
        <v>3080</v>
      </c>
      <c r="F1822" s="1"/>
      <c r="L1822" s="11">
        <v>44484</v>
      </c>
      <c r="M1822" s="9">
        <v>6401</v>
      </c>
      <c r="N1822" s="9">
        <v>1166</v>
      </c>
      <c r="O1822" s="9">
        <v>3080</v>
      </c>
      <c r="P1822" s="9">
        <v>0</v>
      </c>
      <c r="R1822" s="11"/>
      <c r="S1822" s="9"/>
      <c r="T1822" s="9"/>
      <c r="U1822" s="9"/>
    </row>
    <row r="1823" spans="2:21" x14ac:dyDescent="0.4">
      <c r="B1823" s="16">
        <f t="shared" si="150"/>
        <v>44487</v>
      </c>
      <c r="C1823" s="1">
        <f t="shared" si="151"/>
        <v>6445</v>
      </c>
      <c r="D1823" s="1">
        <f t="shared" si="152"/>
        <v>1166</v>
      </c>
      <c r="E1823" s="1">
        <f t="shared" si="153"/>
        <v>3130</v>
      </c>
      <c r="F1823" s="1"/>
      <c r="L1823" s="11">
        <v>44487</v>
      </c>
      <c r="M1823" s="9">
        <v>6445</v>
      </c>
      <c r="N1823" s="9">
        <v>1166</v>
      </c>
      <c r="O1823" s="9">
        <v>3130</v>
      </c>
      <c r="P1823" s="9">
        <v>0</v>
      </c>
      <c r="R1823" s="11"/>
      <c r="S1823" s="9"/>
      <c r="T1823" s="9"/>
      <c r="U1823" s="9"/>
    </row>
    <row r="1824" spans="2:21" x14ac:dyDescent="0.4">
      <c r="B1824" s="16">
        <f t="shared" si="150"/>
        <v>44488</v>
      </c>
      <c r="C1824" s="1">
        <f t="shared" si="151"/>
        <v>6467</v>
      </c>
      <c r="D1824" s="1">
        <f t="shared" si="152"/>
        <v>1191</v>
      </c>
      <c r="E1824" s="1">
        <f t="shared" si="153"/>
        <v>3140</v>
      </c>
      <c r="F1824" s="1"/>
      <c r="L1824" s="11">
        <v>44488</v>
      </c>
      <c r="M1824" s="9">
        <v>6467</v>
      </c>
      <c r="N1824" s="9">
        <v>1191</v>
      </c>
      <c r="O1824" s="9">
        <v>3140</v>
      </c>
      <c r="P1824" s="9">
        <v>0</v>
      </c>
      <c r="R1824" s="11"/>
      <c r="S1824" s="9"/>
      <c r="T1824" s="9"/>
      <c r="U1824" s="9"/>
    </row>
    <row r="1825" spans="2:21" x14ac:dyDescent="0.4">
      <c r="B1825" s="16">
        <f t="shared" si="150"/>
        <v>44489</v>
      </c>
      <c r="C1825" s="1">
        <f t="shared" si="151"/>
        <v>6433</v>
      </c>
      <c r="D1825" s="1">
        <f t="shared" si="152"/>
        <v>1191</v>
      </c>
      <c r="E1825" s="1">
        <f t="shared" si="153"/>
        <v>3150</v>
      </c>
      <c r="F1825" s="1"/>
      <c r="L1825" s="11">
        <v>44489</v>
      </c>
      <c r="M1825" s="9">
        <v>6433</v>
      </c>
      <c r="N1825" s="9">
        <v>1191</v>
      </c>
      <c r="O1825" s="9">
        <v>3150</v>
      </c>
      <c r="P1825" s="9">
        <v>0</v>
      </c>
      <c r="R1825" s="11"/>
      <c r="S1825" s="9"/>
      <c r="T1825" s="9"/>
      <c r="U1825" s="9"/>
    </row>
    <row r="1826" spans="2:21" x14ac:dyDescent="0.4">
      <c r="B1826" s="16">
        <f t="shared" si="150"/>
        <v>44490</v>
      </c>
      <c r="C1826" s="1">
        <f t="shared" si="151"/>
        <v>6379</v>
      </c>
      <c r="D1826" s="1">
        <f t="shared" si="152"/>
        <v>1191</v>
      </c>
      <c r="E1826" s="1">
        <f t="shared" si="153"/>
        <v>3160</v>
      </c>
      <c r="F1826" s="1"/>
      <c r="L1826" s="11">
        <v>44490</v>
      </c>
      <c r="M1826" s="9">
        <v>6379</v>
      </c>
      <c r="N1826" s="9">
        <v>1191</v>
      </c>
      <c r="O1826" s="9">
        <v>3160</v>
      </c>
      <c r="P1826" s="9">
        <v>0</v>
      </c>
      <c r="R1826" s="11"/>
      <c r="S1826" s="9"/>
      <c r="T1826" s="9"/>
      <c r="U1826" s="9"/>
    </row>
    <row r="1827" spans="2:21" x14ac:dyDescent="0.4">
      <c r="B1827" s="16">
        <f t="shared" si="150"/>
        <v>44491</v>
      </c>
      <c r="C1827" s="1">
        <f t="shared" si="151"/>
        <v>6324</v>
      </c>
      <c r="D1827" s="1">
        <f t="shared" si="152"/>
        <v>1201</v>
      </c>
      <c r="E1827" s="1">
        <f t="shared" si="153"/>
        <v>3165</v>
      </c>
      <c r="F1827" s="1"/>
      <c r="L1827" s="11">
        <v>44491</v>
      </c>
      <c r="M1827" s="9">
        <v>6324</v>
      </c>
      <c r="N1827" s="9">
        <v>1201</v>
      </c>
      <c r="O1827" s="9">
        <v>3165</v>
      </c>
      <c r="P1827" s="9">
        <v>0</v>
      </c>
      <c r="R1827" s="11"/>
      <c r="S1827" s="9"/>
      <c r="T1827" s="9"/>
      <c r="U1827" s="9"/>
    </row>
    <row r="1828" spans="2:21" x14ac:dyDescent="0.4">
      <c r="B1828" s="16">
        <f t="shared" si="150"/>
        <v>44494</v>
      </c>
      <c r="C1828" s="1">
        <f t="shared" si="151"/>
        <v>6205</v>
      </c>
      <c r="D1828" s="1">
        <f t="shared" si="152"/>
        <v>1201</v>
      </c>
      <c r="E1828" s="1">
        <f t="shared" si="153"/>
        <v>3160</v>
      </c>
      <c r="F1828" s="1"/>
      <c r="L1828" s="11">
        <v>44494</v>
      </c>
      <c r="M1828" s="9">
        <v>6205</v>
      </c>
      <c r="N1828" s="9">
        <v>1201</v>
      </c>
      <c r="O1828" s="9">
        <v>3160</v>
      </c>
      <c r="P1828" s="9">
        <v>0</v>
      </c>
      <c r="R1828" s="11"/>
      <c r="S1828" s="9"/>
      <c r="T1828" s="9"/>
      <c r="U1828" s="9"/>
    </row>
    <row r="1829" spans="2:21" x14ac:dyDescent="0.4">
      <c r="B1829" s="16">
        <f t="shared" si="150"/>
        <v>44495</v>
      </c>
      <c r="C1829" s="1">
        <f t="shared" si="151"/>
        <v>6101</v>
      </c>
      <c r="D1829" s="1">
        <f t="shared" si="152"/>
        <v>1201</v>
      </c>
      <c r="E1829" s="1">
        <f t="shared" si="153"/>
        <v>3115</v>
      </c>
      <c r="F1829" s="1"/>
      <c r="L1829" s="11">
        <v>44495</v>
      </c>
      <c r="M1829" s="9">
        <v>6101</v>
      </c>
      <c r="N1829" s="9">
        <v>1201</v>
      </c>
      <c r="O1829" s="9">
        <v>3115</v>
      </c>
      <c r="P1829" s="9">
        <v>0</v>
      </c>
      <c r="R1829" s="11"/>
      <c r="S1829" s="9"/>
      <c r="T1829" s="9"/>
      <c r="U1829" s="9"/>
    </row>
    <row r="1830" spans="2:21" x14ac:dyDescent="0.4">
      <c r="B1830" s="16">
        <f t="shared" si="150"/>
        <v>44496</v>
      </c>
      <c r="C1830" s="1">
        <f t="shared" si="151"/>
        <v>6022</v>
      </c>
      <c r="D1830" s="1">
        <f t="shared" si="152"/>
        <v>1201</v>
      </c>
      <c r="E1830" s="1">
        <f t="shared" si="153"/>
        <v>3120</v>
      </c>
      <c r="F1830" s="1"/>
      <c r="L1830" s="11">
        <v>44496</v>
      </c>
      <c r="M1830" s="9">
        <v>6022</v>
      </c>
      <c r="N1830" s="9">
        <v>1201</v>
      </c>
      <c r="O1830" s="9">
        <v>3120</v>
      </c>
      <c r="P1830" s="9">
        <v>0</v>
      </c>
      <c r="R1830" s="11"/>
      <c r="S1830" s="9"/>
      <c r="T1830" s="9"/>
      <c r="U1830" s="9"/>
    </row>
    <row r="1831" spans="2:21" x14ac:dyDescent="0.4">
      <c r="B1831" s="16">
        <f t="shared" si="150"/>
        <v>44497</v>
      </c>
      <c r="C1831" s="1">
        <f t="shared" si="151"/>
        <v>5982</v>
      </c>
      <c r="D1831" s="1">
        <f t="shared" si="152"/>
        <v>1201</v>
      </c>
      <c r="E1831" s="1">
        <f t="shared" si="153"/>
        <v>3100</v>
      </c>
      <c r="F1831" s="1"/>
      <c r="L1831" s="11">
        <v>44497</v>
      </c>
      <c r="M1831" s="9">
        <v>5982</v>
      </c>
      <c r="N1831" s="9">
        <v>1201</v>
      </c>
      <c r="O1831" s="9">
        <v>3100</v>
      </c>
      <c r="P1831" s="9">
        <v>0</v>
      </c>
      <c r="R1831" s="11"/>
      <c r="S1831" s="9"/>
      <c r="T1831" s="9"/>
      <c r="U1831" s="9"/>
    </row>
    <row r="1832" spans="2:21" x14ac:dyDescent="0.4">
      <c r="B1832" s="16">
        <f t="shared" si="150"/>
        <v>44498</v>
      </c>
      <c r="C1832" s="1">
        <f t="shared" si="151"/>
        <v>5957</v>
      </c>
      <c r="D1832" s="1">
        <f t="shared" si="152"/>
        <v>1201</v>
      </c>
      <c r="E1832" s="1">
        <f t="shared" si="153"/>
        <v>3080</v>
      </c>
      <c r="F1832" s="1"/>
      <c r="L1832" s="11">
        <v>44498</v>
      </c>
      <c r="M1832" s="9">
        <v>5957</v>
      </c>
      <c r="N1832" s="9">
        <v>1201</v>
      </c>
      <c r="O1832" s="9">
        <v>3080</v>
      </c>
      <c r="P1832" s="9">
        <v>0</v>
      </c>
      <c r="R1832" s="11"/>
      <c r="S1832" s="9"/>
      <c r="T1832" s="9"/>
      <c r="U1832" s="9"/>
    </row>
    <row r="1833" spans="2:21" x14ac:dyDescent="0.4">
      <c r="B1833" s="16">
        <f t="shared" si="150"/>
        <v>44501</v>
      </c>
      <c r="C1833" s="1">
        <f t="shared" si="151"/>
        <v>5887</v>
      </c>
      <c r="D1833" s="1">
        <f t="shared" si="152"/>
        <v>1201</v>
      </c>
      <c r="E1833" s="1">
        <f t="shared" si="153"/>
        <v>2780</v>
      </c>
      <c r="F1833" s="1"/>
      <c r="L1833" s="11">
        <v>44501</v>
      </c>
      <c r="M1833" s="9">
        <v>5887</v>
      </c>
      <c r="N1833" s="9">
        <v>1201</v>
      </c>
      <c r="O1833" s="9">
        <v>2780</v>
      </c>
      <c r="P1833" s="9">
        <v>0</v>
      </c>
      <c r="R1833" s="11"/>
      <c r="S1833" s="9"/>
      <c r="T1833" s="9"/>
      <c r="U1833" s="9"/>
    </row>
    <row r="1834" spans="2:21" x14ac:dyDescent="0.4">
      <c r="B1834" s="16">
        <f t="shared" si="150"/>
        <v>44502</v>
      </c>
      <c r="C1834" s="1">
        <f t="shared" si="151"/>
        <v>5831</v>
      </c>
      <c r="D1834" s="1">
        <f t="shared" si="152"/>
        <v>1201</v>
      </c>
      <c r="E1834" s="1">
        <f t="shared" si="153"/>
        <v>2680</v>
      </c>
      <c r="F1834" s="1"/>
      <c r="L1834" s="11">
        <v>44502</v>
      </c>
      <c r="M1834" s="9">
        <v>5831</v>
      </c>
      <c r="N1834" s="9">
        <v>1201</v>
      </c>
      <c r="O1834" s="9">
        <v>2680</v>
      </c>
      <c r="P1834" s="9">
        <v>0</v>
      </c>
      <c r="R1834" s="11"/>
      <c r="S1834" s="9"/>
      <c r="T1834" s="9"/>
      <c r="U1834" s="9"/>
    </row>
    <row r="1835" spans="2:21" x14ac:dyDescent="0.4">
      <c r="B1835" s="16">
        <f t="shared" si="150"/>
        <v>44503</v>
      </c>
      <c r="C1835" s="1">
        <f t="shared" si="151"/>
        <v>5769</v>
      </c>
      <c r="D1835" s="1">
        <f t="shared" si="152"/>
        <v>1201</v>
      </c>
      <c r="E1835" s="1">
        <f t="shared" si="153"/>
        <v>2650</v>
      </c>
      <c r="F1835" s="1"/>
      <c r="L1835" s="11">
        <v>44503</v>
      </c>
      <c r="M1835" s="9">
        <v>5769</v>
      </c>
      <c r="N1835" s="9">
        <v>1201</v>
      </c>
      <c r="O1835" s="9">
        <v>2650</v>
      </c>
      <c r="P1835" s="9">
        <v>0</v>
      </c>
      <c r="R1835" s="11"/>
      <c r="S1835" s="9"/>
      <c r="T1835" s="9"/>
      <c r="U1835" s="9"/>
    </row>
    <row r="1836" spans="2:21" x14ac:dyDescent="0.4">
      <c r="B1836" s="16">
        <f t="shared" si="150"/>
        <v>44504</v>
      </c>
      <c r="C1836" s="1">
        <f t="shared" si="151"/>
        <v>5691</v>
      </c>
      <c r="D1836" s="1">
        <f t="shared" si="152"/>
        <v>1201</v>
      </c>
      <c r="E1836" s="1">
        <f t="shared" si="153"/>
        <v>2610</v>
      </c>
      <c r="F1836" s="1"/>
      <c r="L1836" s="11">
        <v>44504</v>
      </c>
      <c r="M1836" s="9">
        <v>5691</v>
      </c>
      <c r="N1836" s="9">
        <v>1201</v>
      </c>
      <c r="O1836" s="9">
        <v>2610</v>
      </c>
      <c r="P1836" s="9">
        <v>0</v>
      </c>
      <c r="R1836" s="11"/>
      <c r="S1836" s="9"/>
      <c r="T1836" s="9"/>
      <c r="U1836" s="9"/>
    </row>
    <row r="1837" spans="2:21" x14ac:dyDescent="0.4">
      <c r="B1837" s="16">
        <f t="shared" si="150"/>
        <v>44505</v>
      </c>
      <c r="C1837" s="1">
        <f t="shared" si="151"/>
        <v>5660</v>
      </c>
      <c r="D1837" s="1">
        <f t="shared" si="152"/>
        <v>1171</v>
      </c>
      <c r="E1837" s="1">
        <f t="shared" si="153"/>
        <v>2610</v>
      </c>
      <c r="F1837" s="1"/>
      <c r="L1837" s="11">
        <v>44505</v>
      </c>
      <c r="M1837" s="9">
        <v>5660</v>
      </c>
      <c r="N1837" s="9">
        <v>1171</v>
      </c>
      <c r="O1837" s="9">
        <v>2610</v>
      </c>
      <c r="P1837" s="9">
        <v>0</v>
      </c>
      <c r="R1837" s="11"/>
      <c r="S1837" s="9"/>
      <c r="T1837" s="9"/>
      <c r="U1837" s="9"/>
    </row>
    <row r="1838" spans="2:21" x14ac:dyDescent="0.4">
      <c r="B1838" s="16">
        <f t="shared" si="150"/>
        <v>44508</v>
      </c>
      <c r="C1838" s="1">
        <f t="shared" si="151"/>
        <v>5627</v>
      </c>
      <c r="D1838" s="1">
        <f t="shared" si="152"/>
        <v>1161</v>
      </c>
      <c r="E1838" s="1">
        <f t="shared" si="153"/>
        <v>2610</v>
      </c>
      <c r="F1838" s="1"/>
      <c r="L1838" s="11">
        <v>44508</v>
      </c>
      <c r="M1838" s="9">
        <v>5627</v>
      </c>
      <c r="N1838" s="9">
        <v>1161</v>
      </c>
      <c r="O1838" s="9">
        <v>2610</v>
      </c>
      <c r="P1838" s="9">
        <v>0</v>
      </c>
      <c r="R1838" s="11"/>
      <c r="S1838" s="9"/>
      <c r="T1838" s="9"/>
      <c r="U1838" s="9"/>
    </row>
    <row r="1839" spans="2:21" x14ac:dyDescent="0.4">
      <c r="B1839" s="16">
        <f t="shared" si="150"/>
        <v>44509</v>
      </c>
      <c r="C1839" s="1">
        <f t="shared" si="151"/>
        <v>5580</v>
      </c>
      <c r="D1839" s="1">
        <f t="shared" si="152"/>
        <v>1161</v>
      </c>
      <c r="E1839" s="1">
        <f t="shared" si="153"/>
        <v>2615</v>
      </c>
      <c r="F1839" s="1"/>
      <c r="L1839" s="11">
        <v>44509</v>
      </c>
      <c r="M1839" s="9">
        <v>5580</v>
      </c>
      <c r="N1839" s="9">
        <v>1161</v>
      </c>
      <c r="O1839" s="9">
        <v>2615</v>
      </c>
      <c r="P1839" s="9">
        <v>0</v>
      </c>
      <c r="R1839" s="11"/>
      <c r="S1839" s="9"/>
      <c r="T1839" s="9"/>
      <c r="U1839" s="9"/>
    </row>
    <row r="1840" spans="2:21" x14ac:dyDescent="0.4">
      <c r="B1840" s="16">
        <f t="shared" si="150"/>
        <v>44510</v>
      </c>
      <c r="C1840" s="1">
        <f t="shared" si="151"/>
        <v>5560</v>
      </c>
      <c r="D1840" s="1">
        <f t="shared" si="152"/>
        <v>1161</v>
      </c>
      <c r="E1840" s="1">
        <f t="shared" si="153"/>
        <v>2615</v>
      </c>
      <c r="F1840" s="1"/>
      <c r="L1840" s="11">
        <v>44510</v>
      </c>
      <c r="M1840" s="9">
        <v>5560</v>
      </c>
      <c r="N1840" s="9">
        <v>1161</v>
      </c>
      <c r="O1840" s="9">
        <v>2615</v>
      </c>
      <c r="P1840" s="9">
        <v>0</v>
      </c>
      <c r="R1840" s="11"/>
      <c r="S1840" s="9"/>
      <c r="T1840" s="9"/>
      <c r="U1840" s="9"/>
    </row>
    <row r="1841" spans="2:21" x14ac:dyDescent="0.4">
      <c r="B1841" s="16">
        <f t="shared" si="150"/>
        <v>44511</v>
      </c>
      <c r="C1841" s="1">
        <f t="shared" si="151"/>
        <v>5531</v>
      </c>
      <c r="D1841" s="1">
        <f t="shared" si="152"/>
        <v>1161</v>
      </c>
      <c r="E1841" s="1">
        <f t="shared" si="153"/>
        <v>2600</v>
      </c>
      <c r="F1841" s="1"/>
      <c r="L1841" s="11">
        <v>44511</v>
      </c>
      <c r="M1841" s="9">
        <v>5531</v>
      </c>
      <c r="N1841" s="9">
        <v>1161</v>
      </c>
      <c r="O1841" s="9">
        <v>2600</v>
      </c>
      <c r="P1841" s="9">
        <v>0</v>
      </c>
      <c r="R1841" s="11"/>
      <c r="S1841" s="9"/>
      <c r="T1841" s="9"/>
      <c r="U1841" s="9"/>
    </row>
    <row r="1842" spans="2:21" x14ac:dyDescent="0.4">
      <c r="B1842" s="16">
        <f t="shared" si="150"/>
        <v>44512</v>
      </c>
      <c r="C1842" s="1">
        <f t="shared" si="151"/>
        <v>5506</v>
      </c>
      <c r="D1842" s="1">
        <f t="shared" si="152"/>
        <v>1161</v>
      </c>
      <c r="E1842" s="1">
        <f t="shared" si="153"/>
        <v>2590</v>
      </c>
      <c r="F1842" s="1"/>
      <c r="L1842" s="11">
        <v>44512</v>
      </c>
      <c r="M1842" s="9">
        <v>5506</v>
      </c>
      <c r="N1842" s="9">
        <v>1161</v>
      </c>
      <c r="O1842" s="9">
        <v>2590</v>
      </c>
      <c r="P1842" s="9">
        <v>0</v>
      </c>
      <c r="R1842" s="11"/>
      <c r="S1842" s="9"/>
      <c r="T1842" s="9"/>
      <c r="U1842" s="9"/>
    </row>
    <row r="1843" spans="2:21" x14ac:dyDescent="0.4">
      <c r="B1843" s="16">
        <f t="shared" si="150"/>
        <v>44515</v>
      </c>
      <c r="C1843" s="1">
        <f t="shared" si="151"/>
        <v>5433</v>
      </c>
      <c r="D1843" s="1">
        <f t="shared" si="152"/>
        <v>1151</v>
      </c>
      <c r="E1843" s="1">
        <f t="shared" si="153"/>
        <v>2565</v>
      </c>
      <c r="F1843" s="1"/>
      <c r="L1843" s="11">
        <v>44515</v>
      </c>
      <c r="M1843" s="9">
        <v>5433</v>
      </c>
      <c r="N1843" s="9">
        <v>1151</v>
      </c>
      <c r="O1843" s="9">
        <v>2565</v>
      </c>
      <c r="P1843" s="9">
        <v>0</v>
      </c>
      <c r="R1843" s="11"/>
      <c r="S1843" s="9"/>
      <c r="T1843" s="9"/>
      <c r="U1843" s="9"/>
    </row>
    <row r="1844" spans="2:21" x14ac:dyDescent="0.4">
      <c r="B1844" s="16">
        <f t="shared" si="150"/>
        <v>44516</v>
      </c>
      <c r="C1844" s="1">
        <f t="shared" si="151"/>
        <v>5375</v>
      </c>
      <c r="D1844" s="1">
        <f t="shared" si="152"/>
        <v>1151</v>
      </c>
      <c r="E1844" s="1">
        <f t="shared" si="153"/>
        <v>2550</v>
      </c>
      <c r="F1844" s="1"/>
      <c r="L1844" s="11">
        <v>44516</v>
      </c>
      <c r="M1844" s="9">
        <v>5375</v>
      </c>
      <c r="N1844" s="9">
        <v>1151</v>
      </c>
      <c r="O1844" s="9">
        <v>2550</v>
      </c>
      <c r="P1844" s="9">
        <v>0</v>
      </c>
      <c r="R1844" s="11"/>
      <c r="S1844" s="9"/>
      <c r="T1844" s="9"/>
      <c r="U1844" s="9"/>
    </row>
    <row r="1845" spans="2:21" x14ac:dyDescent="0.4">
      <c r="B1845" s="16">
        <f t="shared" si="150"/>
        <v>44517</v>
      </c>
      <c r="C1845" s="1">
        <f t="shared" si="151"/>
        <v>5362</v>
      </c>
      <c r="D1845" s="1">
        <f t="shared" si="152"/>
        <v>1151</v>
      </c>
      <c r="E1845" s="1">
        <f t="shared" si="153"/>
        <v>2500</v>
      </c>
      <c r="F1845" s="1"/>
      <c r="L1845" s="11">
        <v>44517</v>
      </c>
      <c r="M1845" s="9">
        <v>5362</v>
      </c>
      <c r="N1845" s="9">
        <v>1151</v>
      </c>
      <c r="O1845" s="9">
        <v>2500</v>
      </c>
      <c r="P1845" s="9">
        <v>0</v>
      </c>
      <c r="R1845" s="11"/>
      <c r="S1845" s="9"/>
      <c r="T1845" s="9"/>
      <c r="U1845" s="9"/>
    </row>
    <row r="1846" spans="2:21" x14ac:dyDescent="0.4">
      <c r="B1846" s="16">
        <f t="shared" si="150"/>
        <v>44518</v>
      </c>
      <c r="C1846" s="1">
        <f t="shared" si="151"/>
        <v>5339</v>
      </c>
      <c r="D1846" s="1">
        <f t="shared" si="152"/>
        <v>1151</v>
      </c>
      <c r="E1846" s="1">
        <f t="shared" si="153"/>
        <v>2500</v>
      </c>
      <c r="F1846" s="1"/>
      <c r="L1846" s="11">
        <v>44518</v>
      </c>
      <c r="M1846" s="9">
        <v>5339</v>
      </c>
      <c r="N1846" s="9">
        <v>1151</v>
      </c>
      <c r="O1846" s="9">
        <v>2500</v>
      </c>
      <c r="P1846" s="9">
        <v>0</v>
      </c>
      <c r="R1846" s="11"/>
      <c r="S1846" s="9"/>
      <c r="T1846" s="9"/>
      <c r="U1846" s="9"/>
    </row>
    <row r="1847" spans="2:21" x14ac:dyDescent="0.4">
      <c r="B1847" s="16">
        <f t="shared" si="150"/>
        <v>44519</v>
      </c>
      <c r="C1847" s="1">
        <f t="shared" si="151"/>
        <v>5321</v>
      </c>
      <c r="D1847" s="1">
        <f t="shared" si="152"/>
        <v>1141</v>
      </c>
      <c r="E1847" s="1">
        <f t="shared" si="153"/>
        <v>2445</v>
      </c>
      <c r="F1847" s="1"/>
      <c r="L1847" s="11">
        <v>44519</v>
      </c>
      <c r="M1847" s="9">
        <v>5321</v>
      </c>
      <c r="N1847" s="9">
        <v>1141</v>
      </c>
      <c r="O1847" s="9">
        <v>2445</v>
      </c>
      <c r="P1847" s="9">
        <v>0</v>
      </c>
      <c r="R1847" s="11"/>
      <c r="S1847" s="9"/>
      <c r="T1847" s="9"/>
      <c r="U1847" s="9"/>
    </row>
    <row r="1848" spans="2:21" x14ac:dyDescent="0.4">
      <c r="B1848" s="16">
        <f t="shared" si="150"/>
        <v>44522</v>
      </c>
      <c r="C1848" s="1">
        <f t="shared" si="151"/>
        <v>5360</v>
      </c>
      <c r="D1848" s="1">
        <f t="shared" si="152"/>
        <v>1131</v>
      </c>
      <c r="E1848" s="1">
        <f t="shared" si="153"/>
        <v>2420</v>
      </c>
      <c r="F1848" s="1"/>
      <c r="L1848" s="11">
        <v>44522</v>
      </c>
      <c r="M1848" s="9">
        <v>5360</v>
      </c>
      <c r="N1848" s="9">
        <v>1131</v>
      </c>
      <c r="O1848" s="9">
        <v>2420</v>
      </c>
      <c r="P1848" s="9">
        <v>0</v>
      </c>
      <c r="R1848" s="11"/>
      <c r="S1848" s="9"/>
      <c r="T1848" s="9"/>
      <c r="U1848" s="9"/>
    </row>
    <row r="1849" spans="2:21" x14ac:dyDescent="0.4">
      <c r="B1849" s="16">
        <f t="shared" si="150"/>
        <v>44523</v>
      </c>
      <c r="C1849" s="1">
        <f t="shared" si="151"/>
        <v>5341</v>
      </c>
      <c r="D1849" s="1">
        <f t="shared" si="152"/>
        <v>1131</v>
      </c>
      <c r="E1849" s="1">
        <f t="shared" si="153"/>
        <v>2405</v>
      </c>
      <c r="F1849" s="1"/>
      <c r="L1849" s="11">
        <v>44523</v>
      </c>
      <c r="M1849" s="9">
        <v>5341</v>
      </c>
      <c r="N1849" s="9">
        <v>1131</v>
      </c>
      <c r="O1849" s="9">
        <v>2405</v>
      </c>
      <c r="P1849" s="9">
        <v>0</v>
      </c>
      <c r="R1849" s="11"/>
      <c r="S1849" s="9"/>
      <c r="T1849" s="9"/>
      <c r="U1849" s="9"/>
    </row>
    <row r="1850" spans="2:21" x14ac:dyDescent="0.4">
      <c r="B1850" s="16">
        <f t="shared" si="150"/>
        <v>44524</v>
      </c>
      <c r="C1850" s="1">
        <f t="shared" si="151"/>
        <v>5350</v>
      </c>
      <c r="D1850" s="1">
        <f t="shared" si="152"/>
        <v>1131</v>
      </c>
      <c r="E1850" s="1">
        <f t="shared" si="153"/>
        <v>2410</v>
      </c>
      <c r="F1850" s="1"/>
      <c r="L1850" s="11">
        <v>44524</v>
      </c>
      <c r="M1850" s="9">
        <v>5350</v>
      </c>
      <c r="N1850" s="9">
        <v>1131</v>
      </c>
      <c r="O1850" s="9">
        <v>2410</v>
      </c>
      <c r="P1850" s="9">
        <v>0</v>
      </c>
      <c r="R1850" s="11"/>
      <c r="S1850" s="9"/>
      <c r="T1850" s="9"/>
      <c r="U1850" s="9"/>
    </row>
    <row r="1851" spans="2:21" x14ac:dyDescent="0.4">
      <c r="B1851" s="16">
        <f t="shared" si="150"/>
        <v>44525</v>
      </c>
      <c r="C1851" s="1">
        <f t="shared" si="151"/>
        <v>5352</v>
      </c>
      <c r="D1851" s="1">
        <f t="shared" si="152"/>
        <v>1131</v>
      </c>
      <c r="E1851" s="1">
        <f t="shared" si="153"/>
        <v>2415</v>
      </c>
      <c r="F1851" s="1"/>
      <c r="L1851" s="11">
        <v>44525</v>
      </c>
      <c r="M1851" s="9">
        <v>5352</v>
      </c>
      <c r="N1851" s="9">
        <v>1131</v>
      </c>
      <c r="O1851" s="9">
        <v>2415</v>
      </c>
      <c r="P1851" s="9">
        <v>0</v>
      </c>
      <c r="R1851" s="11"/>
      <c r="S1851" s="9"/>
      <c r="T1851" s="9"/>
      <c r="U1851" s="9"/>
    </row>
    <row r="1852" spans="2:21" x14ac:dyDescent="0.4">
      <c r="B1852" s="16">
        <f t="shared" si="150"/>
        <v>44526</v>
      </c>
      <c r="C1852" s="1">
        <f t="shared" si="151"/>
        <v>5328</v>
      </c>
      <c r="D1852" s="1">
        <f t="shared" si="152"/>
        <v>1131</v>
      </c>
      <c r="E1852" s="1">
        <f t="shared" si="153"/>
        <v>2450</v>
      </c>
      <c r="F1852" s="1"/>
      <c r="L1852" s="11">
        <v>44526</v>
      </c>
      <c r="M1852" s="9">
        <v>5328</v>
      </c>
      <c r="N1852" s="9">
        <v>1131</v>
      </c>
      <c r="O1852" s="9">
        <v>2450</v>
      </c>
      <c r="P1852" s="9">
        <v>0</v>
      </c>
      <c r="R1852" s="11"/>
      <c r="S1852" s="9"/>
      <c r="T1852" s="9"/>
      <c r="U1852" s="9"/>
    </row>
    <row r="1853" spans="2:21" x14ac:dyDescent="0.4">
      <c r="B1853" s="16">
        <f t="shared" si="150"/>
        <v>44529</v>
      </c>
      <c r="C1853" s="1">
        <f t="shared" si="151"/>
        <v>5303</v>
      </c>
      <c r="D1853" s="1">
        <f t="shared" si="152"/>
        <v>1131</v>
      </c>
      <c r="E1853" s="1">
        <f t="shared" si="153"/>
        <v>2495</v>
      </c>
      <c r="F1853" s="1"/>
      <c r="L1853" s="11">
        <v>44529</v>
      </c>
      <c r="M1853" s="9">
        <v>5303</v>
      </c>
      <c r="N1853" s="9">
        <v>1131</v>
      </c>
      <c r="O1853" s="9">
        <v>2495</v>
      </c>
      <c r="P1853" s="9">
        <v>0</v>
      </c>
      <c r="R1853" s="11"/>
      <c r="S1853" s="9"/>
      <c r="T1853" s="9"/>
      <c r="U1853" s="9"/>
    </row>
    <row r="1854" spans="2:21" x14ac:dyDescent="0.4">
      <c r="B1854" s="16">
        <f t="shared" si="150"/>
        <v>44530</v>
      </c>
      <c r="C1854" s="1">
        <f t="shared" si="151"/>
        <v>5264</v>
      </c>
      <c r="D1854" s="1">
        <f t="shared" si="152"/>
        <v>1121</v>
      </c>
      <c r="E1854" s="1">
        <f t="shared" si="153"/>
        <v>2510</v>
      </c>
      <c r="F1854" s="1"/>
      <c r="L1854" s="11">
        <v>44530</v>
      </c>
      <c r="M1854" s="9">
        <v>5264</v>
      </c>
      <c r="N1854" s="9">
        <v>1121</v>
      </c>
      <c r="O1854" s="9">
        <v>2510</v>
      </c>
      <c r="P1854" s="9">
        <v>0</v>
      </c>
      <c r="R1854" s="11"/>
      <c r="S1854" s="9"/>
      <c r="T1854" s="9"/>
      <c r="U1854" s="9"/>
    </row>
    <row r="1855" spans="2:21" x14ac:dyDescent="0.4">
      <c r="B1855" s="16">
        <f t="shared" si="150"/>
        <v>44531</v>
      </c>
      <c r="C1855" s="1">
        <f t="shared" si="151"/>
        <v>5257</v>
      </c>
      <c r="D1855" s="1">
        <f t="shared" si="152"/>
        <v>1101</v>
      </c>
      <c r="E1855" s="1">
        <f t="shared" si="153"/>
        <v>2510</v>
      </c>
      <c r="F1855" s="1"/>
      <c r="L1855" s="11">
        <v>44531</v>
      </c>
      <c r="M1855" s="9">
        <v>5257</v>
      </c>
      <c r="N1855" s="9">
        <v>1101</v>
      </c>
      <c r="O1855" s="9">
        <v>2510</v>
      </c>
      <c r="P1855" s="9">
        <v>0</v>
      </c>
      <c r="R1855" s="11"/>
      <c r="S1855" s="9"/>
      <c r="T1855" s="9"/>
      <c r="U1855" s="9"/>
    </row>
    <row r="1856" spans="2:21" x14ac:dyDescent="0.4">
      <c r="B1856" s="16">
        <f t="shared" si="150"/>
        <v>44532</v>
      </c>
      <c r="C1856" s="1">
        <f t="shared" si="151"/>
        <v>5221</v>
      </c>
      <c r="D1856" s="1">
        <f t="shared" si="152"/>
        <v>1101</v>
      </c>
      <c r="E1856" s="1">
        <f t="shared" si="153"/>
        <v>2510</v>
      </c>
      <c r="F1856" s="1"/>
      <c r="L1856" s="11">
        <v>44532</v>
      </c>
      <c r="M1856" s="9">
        <v>5221</v>
      </c>
      <c r="N1856" s="9">
        <v>1101</v>
      </c>
      <c r="O1856" s="9">
        <v>2510</v>
      </c>
      <c r="P1856" s="9">
        <v>0</v>
      </c>
      <c r="R1856" s="11"/>
      <c r="S1856" s="9"/>
      <c r="T1856" s="9"/>
      <c r="U1856" s="9"/>
    </row>
    <row r="1857" spans="2:21" x14ac:dyDescent="0.4">
      <c r="B1857" s="16">
        <f t="shared" si="150"/>
        <v>44533</v>
      </c>
      <c r="C1857" s="1">
        <f t="shared" si="151"/>
        <v>5210</v>
      </c>
      <c r="D1857" s="1">
        <f t="shared" si="152"/>
        <v>1091</v>
      </c>
      <c r="E1857" s="1">
        <f t="shared" si="153"/>
        <v>2490</v>
      </c>
      <c r="F1857" s="1"/>
      <c r="L1857" s="11">
        <v>44533</v>
      </c>
      <c r="M1857" s="9">
        <v>5210</v>
      </c>
      <c r="N1857" s="9">
        <v>1091</v>
      </c>
      <c r="O1857" s="9">
        <v>2490</v>
      </c>
      <c r="P1857" s="9">
        <v>0</v>
      </c>
      <c r="R1857" s="11"/>
      <c r="S1857" s="9"/>
      <c r="T1857" s="9"/>
      <c r="U1857" s="9"/>
    </row>
    <row r="1858" spans="2:21" x14ac:dyDescent="0.4">
      <c r="B1858" s="16">
        <f t="shared" si="150"/>
        <v>44536</v>
      </c>
      <c r="C1858" s="1">
        <f t="shared" si="151"/>
        <v>5194</v>
      </c>
      <c r="D1858" s="1">
        <f t="shared" si="152"/>
        <v>1091</v>
      </c>
      <c r="E1858" s="1">
        <f t="shared" si="153"/>
        <v>2450</v>
      </c>
      <c r="F1858" s="1"/>
      <c r="L1858" s="11">
        <v>44536</v>
      </c>
      <c r="M1858" s="9">
        <v>5194</v>
      </c>
      <c r="N1858" s="9">
        <v>1091</v>
      </c>
      <c r="O1858" s="9">
        <v>2450</v>
      </c>
      <c r="P1858" s="9">
        <v>0</v>
      </c>
      <c r="R1858" s="11"/>
      <c r="S1858" s="9"/>
      <c r="T1858" s="9"/>
      <c r="U1858" s="9"/>
    </row>
    <row r="1859" spans="2:21" x14ac:dyDescent="0.4">
      <c r="B1859" s="16">
        <f t="shared" si="150"/>
        <v>44537</v>
      </c>
      <c r="C1859" s="1">
        <f t="shared" si="151"/>
        <v>5201</v>
      </c>
      <c r="D1859" s="1">
        <f t="shared" si="152"/>
        <v>1081</v>
      </c>
      <c r="E1859" s="1">
        <f t="shared" si="153"/>
        <v>2420</v>
      </c>
      <c r="F1859" s="1"/>
      <c r="L1859" s="11">
        <v>44537</v>
      </c>
      <c r="M1859" s="9">
        <v>5201</v>
      </c>
      <c r="N1859" s="9">
        <v>1081</v>
      </c>
      <c r="O1859" s="9">
        <v>2420</v>
      </c>
      <c r="P1859" s="9">
        <v>0</v>
      </c>
      <c r="R1859" s="11"/>
      <c r="S1859" s="9"/>
      <c r="T1859" s="9"/>
      <c r="U1859" s="9"/>
    </row>
    <row r="1860" spans="2:21" x14ac:dyDescent="0.4">
      <c r="B1860" s="16">
        <f t="shared" si="150"/>
        <v>44538</v>
      </c>
      <c r="C1860" s="1">
        <f t="shared" si="151"/>
        <v>5194</v>
      </c>
      <c r="D1860" s="1">
        <f t="shared" si="152"/>
        <v>1081</v>
      </c>
      <c r="E1860" s="1">
        <f t="shared" si="153"/>
        <v>2435</v>
      </c>
      <c r="F1860" s="1"/>
      <c r="L1860" s="11">
        <v>44538</v>
      </c>
      <c r="M1860" s="9">
        <v>5194</v>
      </c>
      <c r="N1860" s="9">
        <v>1081</v>
      </c>
      <c r="O1860" s="9">
        <v>2435</v>
      </c>
      <c r="P1860" s="9">
        <v>0</v>
      </c>
      <c r="R1860" s="11"/>
      <c r="S1860" s="9"/>
      <c r="T1860" s="9"/>
      <c r="U1860" s="9"/>
    </row>
    <row r="1861" spans="2:21" x14ac:dyDescent="0.4">
      <c r="B1861" s="16">
        <f t="shared" si="150"/>
        <v>44539</v>
      </c>
      <c r="C1861" s="1">
        <f t="shared" si="151"/>
        <v>5179</v>
      </c>
      <c r="D1861" s="1">
        <f t="shared" si="152"/>
        <v>1061</v>
      </c>
      <c r="E1861" s="1">
        <f t="shared" si="153"/>
        <v>2445</v>
      </c>
      <c r="F1861" s="1"/>
      <c r="L1861" s="11">
        <v>44539</v>
      </c>
      <c r="M1861" s="9">
        <v>5179</v>
      </c>
      <c r="N1861" s="9">
        <v>1061</v>
      </c>
      <c r="O1861" s="9">
        <v>2445</v>
      </c>
      <c r="P1861" s="9">
        <v>0</v>
      </c>
      <c r="R1861" s="11"/>
      <c r="S1861" s="9"/>
      <c r="T1861" s="9"/>
      <c r="U1861" s="9"/>
    </row>
    <row r="1862" spans="2:21" x14ac:dyDescent="0.4">
      <c r="B1862" s="16">
        <f t="shared" ref="B1862:B1925" si="154">L1862</f>
        <v>44540</v>
      </c>
      <c r="C1862" s="1">
        <f t="shared" si="151"/>
        <v>5158</v>
      </c>
      <c r="D1862" s="1">
        <f t="shared" si="152"/>
        <v>1061</v>
      </c>
      <c r="E1862" s="1">
        <f t="shared" si="153"/>
        <v>2445</v>
      </c>
      <c r="F1862" s="1"/>
      <c r="L1862" s="11">
        <v>44540</v>
      </c>
      <c r="M1862" s="9">
        <v>5158</v>
      </c>
      <c r="N1862" s="9">
        <v>1061</v>
      </c>
      <c r="O1862" s="9">
        <v>2445</v>
      </c>
      <c r="P1862" s="9">
        <v>0</v>
      </c>
      <c r="R1862" s="11"/>
      <c r="S1862" s="9"/>
      <c r="T1862" s="9"/>
      <c r="U1862" s="9"/>
    </row>
    <row r="1863" spans="2:21" x14ac:dyDescent="0.4">
      <c r="B1863" s="16">
        <f t="shared" si="154"/>
        <v>44543</v>
      </c>
      <c r="C1863" s="1">
        <f t="shared" ref="C1863:C1926" si="155">IF(M1863&lt;&gt;0,M1863,C1862)</f>
        <v>5138</v>
      </c>
      <c r="D1863" s="1">
        <f t="shared" ref="D1863:D1926" si="156">IF(N1863&lt;&gt;0,N1863,D1862)</f>
        <v>1061</v>
      </c>
      <c r="E1863" s="1">
        <f t="shared" ref="E1863:E1926" si="157">IF(O1863&lt;&gt;0,O1863,E1862)</f>
        <v>2445</v>
      </c>
      <c r="F1863" s="1"/>
      <c r="L1863" s="11">
        <v>44543</v>
      </c>
      <c r="M1863" s="9">
        <v>5138</v>
      </c>
      <c r="N1863" s="9">
        <v>1061</v>
      </c>
      <c r="O1863" s="9">
        <v>2445</v>
      </c>
      <c r="P1863" s="9">
        <v>0</v>
      </c>
      <c r="R1863" s="11"/>
      <c r="S1863" s="9"/>
      <c r="T1863" s="9"/>
      <c r="U1863" s="9"/>
    </row>
    <row r="1864" spans="2:21" x14ac:dyDescent="0.4">
      <c r="B1864" s="16">
        <f t="shared" si="154"/>
        <v>44544</v>
      </c>
      <c r="C1864" s="1">
        <f t="shared" si="155"/>
        <v>5158</v>
      </c>
      <c r="D1864" s="1">
        <f t="shared" si="156"/>
        <v>1061</v>
      </c>
      <c r="E1864" s="1">
        <f t="shared" si="157"/>
        <v>2460</v>
      </c>
      <c r="F1864" s="1"/>
      <c r="L1864" s="11">
        <v>44544</v>
      </c>
      <c r="M1864" s="9">
        <v>5158</v>
      </c>
      <c r="N1864" s="9">
        <v>1061</v>
      </c>
      <c r="O1864" s="9">
        <v>2460</v>
      </c>
      <c r="P1864" s="9">
        <v>0</v>
      </c>
      <c r="R1864" s="11"/>
      <c r="S1864" s="9"/>
      <c r="T1864" s="9"/>
      <c r="U1864" s="9"/>
    </row>
    <row r="1865" spans="2:21" x14ac:dyDescent="0.4">
      <c r="B1865" s="16">
        <f t="shared" si="154"/>
        <v>44545</v>
      </c>
      <c r="C1865" s="1">
        <f t="shared" si="155"/>
        <v>5157</v>
      </c>
      <c r="D1865" s="1">
        <f t="shared" si="156"/>
        <v>1061</v>
      </c>
      <c r="E1865" s="1">
        <f t="shared" si="157"/>
        <v>2475</v>
      </c>
      <c r="F1865" s="1"/>
      <c r="L1865" s="11">
        <v>44545</v>
      </c>
      <c r="M1865" s="9">
        <v>5157</v>
      </c>
      <c r="N1865" s="9">
        <v>1061</v>
      </c>
      <c r="O1865" s="9">
        <v>2475</v>
      </c>
      <c r="P1865" s="9">
        <v>0</v>
      </c>
      <c r="R1865" s="11"/>
      <c r="S1865" s="9"/>
      <c r="T1865" s="9"/>
      <c r="U1865" s="9"/>
    </row>
    <row r="1866" spans="2:21" x14ac:dyDescent="0.4">
      <c r="B1866" s="16">
        <f t="shared" si="154"/>
        <v>44546</v>
      </c>
      <c r="C1866" s="1">
        <f t="shared" si="155"/>
        <v>5158</v>
      </c>
      <c r="D1866" s="1">
        <f t="shared" si="156"/>
        <v>1061</v>
      </c>
      <c r="E1866" s="1">
        <f t="shared" si="157"/>
        <v>2515</v>
      </c>
      <c r="F1866" s="1"/>
      <c r="L1866" s="11">
        <v>44546</v>
      </c>
      <c r="M1866" s="9">
        <v>5158</v>
      </c>
      <c r="N1866" s="9">
        <v>1061</v>
      </c>
      <c r="O1866" s="9">
        <v>2515</v>
      </c>
      <c r="P1866" s="9">
        <v>0</v>
      </c>
      <c r="R1866" s="11"/>
      <c r="S1866" s="9"/>
      <c r="T1866" s="9"/>
      <c r="U1866" s="9"/>
    </row>
    <row r="1867" spans="2:21" x14ac:dyDescent="0.4">
      <c r="B1867" s="16">
        <f t="shared" si="154"/>
        <v>44547</v>
      </c>
      <c r="C1867" s="1">
        <f t="shared" si="155"/>
        <v>5163</v>
      </c>
      <c r="D1867" s="1">
        <f t="shared" si="156"/>
        <v>1056</v>
      </c>
      <c r="E1867" s="1">
        <f t="shared" si="157"/>
        <v>2535</v>
      </c>
      <c r="F1867" s="1"/>
      <c r="L1867" s="11">
        <v>44547</v>
      </c>
      <c r="M1867" s="9">
        <v>5163</v>
      </c>
      <c r="N1867" s="9">
        <v>1056</v>
      </c>
      <c r="O1867" s="9">
        <v>2535</v>
      </c>
      <c r="P1867" s="9">
        <v>0</v>
      </c>
      <c r="R1867" s="11"/>
      <c r="S1867" s="9"/>
      <c r="T1867" s="9"/>
      <c r="U1867" s="9"/>
    </row>
    <row r="1868" spans="2:21" x14ac:dyDescent="0.4">
      <c r="B1868" s="16">
        <f t="shared" si="154"/>
        <v>44550</v>
      </c>
      <c r="C1868" s="1">
        <f t="shared" si="155"/>
        <v>5172</v>
      </c>
      <c r="D1868" s="1">
        <f t="shared" si="156"/>
        <v>1056</v>
      </c>
      <c r="E1868" s="1">
        <f t="shared" si="157"/>
        <v>2535</v>
      </c>
      <c r="F1868" s="1"/>
      <c r="L1868" s="11">
        <v>44550</v>
      </c>
      <c r="M1868" s="9">
        <v>5172</v>
      </c>
      <c r="N1868" s="9">
        <v>1056</v>
      </c>
      <c r="O1868" s="9">
        <v>2535</v>
      </c>
      <c r="P1868" s="9">
        <v>0</v>
      </c>
      <c r="R1868" s="11"/>
      <c r="S1868" s="9"/>
      <c r="T1868" s="9"/>
      <c r="U1868" s="9"/>
    </row>
    <row r="1869" spans="2:21" x14ac:dyDescent="0.4">
      <c r="B1869" s="16">
        <f t="shared" si="154"/>
        <v>44551</v>
      </c>
      <c r="C1869" s="1">
        <f t="shared" si="155"/>
        <v>5162</v>
      </c>
      <c r="D1869" s="1">
        <f t="shared" si="156"/>
        <v>1056</v>
      </c>
      <c r="E1869" s="1">
        <f t="shared" si="157"/>
        <v>2530</v>
      </c>
      <c r="F1869" s="1"/>
      <c r="L1869" s="11">
        <v>44551</v>
      </c>
      <c r="M1869" s="9">
        <v>5162</v>
      </c>
      <c r="N1869" s="9">
        <v>1056</v>
      </c>
      <c r="O1869" s="9">
        <v>2530</v>
      </c>
      <c r="P1869" s="9">
        <v>0</v>
      </c>
      <c r="R1869" s="11"/>
      <c r="S1869" s="9"/>
      <c r="T1869" s="9"/>
      <c r="U1869" s="9"/>
    </row>
    <row r="1870" spans="2:21" x14ac:dyDescent="0.4">
      <c r="B1870" s="16">
        <f t="shared" si="154"/>
        <v>44552</v>
      </c>
      <c r="C1870" s="1">
        <f t="shared" si="155"/>
        <v>5184</v>
      </c>
      <c r="D1870" s="1">
        <f t="shared" si="156"/>
        <v>1056</v>
      </c>
      <c r="E1870" s="1">
        <f t="shared" si="157"/>
        <v>2520</v>
      </c>
      <c r="F1870" s="1"/>
      <c r="L1870" s="11">
        <v>44552</v>
      </c>
      <c r="M1870" s="9">
        <v>5184</v>
      </c>
      <c r="N1870" s="9">
        <v>1056</v>
      </c>
      <c r="O1870" s="9">
        <v>2520</v>
      </c>
      <c r="P1870" s="9">
        <v>0</v>
      </c>
      <c r="R1870" s="11"/>
      <c r="S1870" s="9"/>
      <c r="T1870" s="9"/>
      <c r="U1870" s="9"/>
    </row>
    <row r="1871" spans="2:21" x14ac:dyDescent="0.4">
      <c r="B1871" s="16">
        <f t="shared" si="154"/>
        <v>44553</v>
      </c>
      <c r="C1871" s="1">
        <f t="shared" si="155"/>
        <v>5188</v>
      </c>
      <c r="D1871" s="1">
        <f t="shared" si="156"/>
        <v>1021</v>
      </c>
      <c r="E1871" s="1">
        <f t="shared" si="157"/>
        <v>2515</v>
      </c>
      <c r="F1871" s="1"/>
      <c r="L1871" s="11">
        <v>44553</v>
      </c>
      <c r="M1871" s="9">
        <v>5188</v>
      </c>
      <c r="N1871" s="9">
        <v>1021</v>
      </c>
      <c r="O1871" s="9">
        <v>2515</v>
      </c>
      <c r="P1871" s="9">
        <v>0</v>
      </c>
      <c r="R1871" s="11"/>
      <c r="S1871" s="9"/>
      <c r="T1871" s="9"/>
      <c r="U1871" s="9"/>
    </row>
    <row r="1872" spans="2:21" x14ac:dyDescent="0.4">
      <c r="B1872" s="16">
        <f t="shared" si="154"/>
        <v>44554</v>
      </c>
      <c r="C1872" s="1">
        <f t="shared" si="155"/>
        <v>5189</v>
      </c>
      <c r="D1872" s="1">
        <f t="shared" si="156"/>
        <v>1021</v>
      </c>
      <c r="E1872" s="1">
        <f t="shared" si="157"/>
        <v>2510</v>
      </c>
      <c r="F1872" s="1"/>
      <c r="L1872" s="11">
        <v>44554</v>
      </c>
      <c r="M1872" s="9">
        <v>5189</v>
      </c>
      <c r="N1872" s="9">
        <v>1021</v>
      </c>
      <c r="O1872" s="9">
        <v>2510</v>
      </c>
      <c r="P1872" s="9">
        <v>0</v>
      </c>
      <c r="R1872" s="11"/>
      <c r="S1872" s="9"/>
      <c r="T1872" s="9"/>
      <c r="U1872" s="9"/>
    </row>
    <row r="1873" spans="2:21" x14ac:dyDescent="0.4">
      <c r="B1873" s="16">
        <f t="shared" si="154"/>
        <v>44557</v>
      </c>
      <c r="C1873" s="1">
        <f t="shared" si="155"/>
        <v>5168</v>
      </c>
      <c r="D1873" s="1">
        <f t="shared" si="156"/>
        <v>1021</v>
      </c>
      <c r="E1873" s="1">
        <f t="shared" si="157"/>
        <v>2525</v>
      </c>
      <c r="F1873" s="1"/>
      <c r="L1873" s="11">
        <v>44557</v>
      </c>
      <c r="M1873" s="9">
        <v>5168</v>
      </c>
      <c r="N1873" s="9">
        <v>1021</v>
      </c>
      <c r="O1873" s="9">
        <v>2525</v>
      </c>
      <c r="P1873" s="9">
        <v>0</v>
      </c>
      <c r="R1873" s="11"/>
      <c r="S1873" s="9"/>
      <c r="T1873" s="9"/>
      <c r="U1873" s="9"/>
    </row>
    <row r="1874" spans="2:21" x14ac:dyDescent="0.4">
      <c r="B1874" s="16">
        <f t="shared" si="154"/>
        <v>44558</v>
      </c>
      <c r="C1874" s="1">
        <f t="shared" si="155"/>
        <v>5157</v>
      </c>
      <c r="D1874" s="1">
        <f t="shared" si="156"/>
        <v>1021</v>
      </c>
      <c r="E1874" s="1">
        <f t="shared" si="157"/>
        <v>2525</v>
      </c>
      <c r="F1874" s="1"/>
      <c r="L1874" s="11">
        <v>44558</v>
      </c>
      <c r="M1874" s="9">
        <v>5157</v>
      </c>
      <c r="N1874" s="9">
        <v>1021</v>
      </c>
      <c r="O1874" s="9">
        <v>2525</v>
      </c>
      <c r="P1874" s="9">
        <v>0</v>
      </c>
      <c r="R1874" s="11"/>
      <c r="S1874" s="9"/>
      <c r="T1874" s="9"/>
      <c r="U1874" s="9"/>
    </row>
    <row r="1875" spans="2:21" x14ac:dyDescent="0.4">
      <c r="B1875" s="16">
        <f t="shared" si="154"/>
        <v>44559</v>
      </c>
      <c r="C1875" s="1">
        <f t="shared" si="155"/>
        <v>5155</v>
      </c>
      <c r="D1875" s="1">
        <f t="shared" si="156"/>
        <v>1021</v>
      </c>
      <c r="E1875" s="1">
        <f t="shared" si="157"/>
        <v>2525</v>
      </c>
      <c r="F1875" s="1"/>
      <c r="L1875" s="11">
        <v>44559</v>
      </c>
      <c r="M1875" s="9">
        <v>5155</v>
      </c>
      <c r="N1875" s="9">
        <v>1021</v>
      </c>
      <c r="O1875" s="9">
        <v>2525</v>
      </c>
      <c r="P1875" s="9">
        <v>0</v>
      </c>
      <c r="R1875" s="11"/>
      <c r="S1875" s="9"/>
      <c r="T1875" s="9"/>
      <c r="U1875" s="9"/>
    </row>
    <row r="1876" spans="2:21" x14ac:dyDescent="0.4">
      <c r="B1876" s="16">
        <f t="shared" si="154"/>
        <v>44560</v>
      </c>
      <c r="C1876" s="1">
        <f t="shared" si="155"/>
        <v>5154</v>
      </c>
      <c r="D1876" s="1">
        <f t="shared" si="156"/>
        <v>1021</v>
      </c>
      <c r="E1876" s="1">
        <f t="shared" si="157"/>
        <v>2525</v>
      </c>
      <c r="F1876" s="1"/>
      <c r="L1876" s="11">
        <v>44560</v>
      </c>
      <c r="M1876" s="9">
        <v>5154</v>
      </c>
      <c r="N1876" s="9">
        <v>1021</v>
      </c>
      <c r="O1876" s="9">
        <v>2525</v>
      </c>
      <c r="P1876" s="9">
        <v>0</v>
      </c>
      <c r="R1876" s="11"/>
      <c r="S1876" s="9"/>
      <c r="T1876" s="9"/>
      <c r="U1876" s="9"/>
    </row>
    <row r="1877" spans="2:21" x14ac:dyDescent="0.4">
      <c r="B1877" s="16">
        <f t="shared" si="154"/>
        <v>44561</v>
      </c>
      <c r="C1877" s="1">
        <f t="shared" si="155"/>
        <v>5153</v>
      </c>
      <c r="D1877" s="1">
        <f t="shared" si="156"/>
        <v>1021</v>
      </c>
      <c r="E1877" s="1">
        <f t="shared" si="157"/>
        <v>2525</v>
      </c>
      <c r="F1877" s="1"/>
      <c r="L1877" s="11">
        <v>44561</v>
      </c>
      <c r="M1877" s="9">
        <v>5153</v>
      </c>
      <c r="N1877" s="9">
        <v>0</v>
      </c>
      <c r="O1877" s="9">
        <v>2525</v>
      </c>
      <c r="P1877" s="9">
        <v>0</v>
      </c>
      <c r="R1877" s="11"/>
      <c r="S1877" s="9"/>
      <c r="T1877" s="9"/>
      <c r="U1877" s="9"/>
    </row>
    <row r="1878" spans="2:21" x14ac:dyDescent="0.4">
      <c r="B1878" s="16">
        <f t="shared" si="154"/>
        <v>44564</v>
      </c>
      <c r="C1878" s="1">
        <f t="shared" si="155"/>
        <v>5153</v>
      </c>
      <c r="D1878" s="1">
        <f t="shared" si="156"/>
        <v>1021</v>
      </c>
      <c r="E1878" s="1">
        <f t="shared" si="157"/>
        <v>2525</v>
      </c>
      <c r="F1878" s="1"/>
      <c r="L1878" s="11">
        <v>44564</v>
      </c>
      <c r="M1878" s="9">
        <v>0</v>
      </c>
      <c r="N1878" s="9">
        <v>1021</v>
      </c>
      <c r="O1878" s="9">
        <v>0</v>
      </c>
      <c r="P1878" s="9">
        <v>0</v>
      </c>
      <c r="R1878" s="11"/>
      <c r="S1878" s="9"/>
      <c r="T1878" s="9"/>
      <c r="U1878" s="9"/>
    </row>
    <row r="1879" spans="2:21" x14ac:dyDescent="0.4">
      <c r="B1879" s="16">
        <f t="shared" si="154"/>
        <v>44565</v>
      </c>
      <c r="C1879" s="1">
        <f t="shared" si="155"/>
        <v>5187</v>
      </c>
      <c r="D1879" s="1">
        <f t="shared" si="156"/>
        <v>1021</v>
      </c>
      <c r="E1879" s="1">
        <f t="shared" si="157"/>
        <v>2540</v>
      </c>
      <c r="F1879" s="1"/>
      <c r="L1879" s="11">
        <v>44565</v>
      </c>
      <c r="M1879" s="9">
        <v>5187</v>
      </c>
      <c r="N1879" s="9">
        <v>1021</v>
      </c>
      <c r="O1879" s="9">
        <v>2540</v>
      </c>
      <c r="P1879" s="9">
        <v>0</v>
      </c>
      <c r="R1879" s="11"/>
      <c r="S1879" s="9"/>
      <c r="T1879" s="9"/>
      <c r="U1879" s="9"/>
    </row>
    <row r="1880" spans="2:21" x14ac:dyDescent="0.4">
      <c r="B1880" s="16">
        <f t="shared" si="154"/>
        <v>44566</v>
      </c>
      <c r="C1880" s="1">
        <f t="shared" si="155"/>
        <v>5215</v>
      </c>
      <c r="D1880" s="1">
        <f t="shared" si="156"/>
        <v>1021</v>
      </c>
      <c r="E1880" s="1">
        <f t="shared" si="157"/>
        <v>2560</v>
      </c>
      <c r="F1880" s="1"/>
      <c r="L1880" s="11">
        <v>44566</v>
      </c>
      <c r="M1880" s="9">
        <v>5215</v>
      </c>
      <c r="N1880" s="9">
        <v>1021</v>
      </c>
      <c r="O1880" s="9">
        <v>2560</v>
      </c>
      <c r="P1880" s="9">
        <v>0</v>
      </c>
      <c r="R1880" s="11"/>
      <c r="S1880" s="9"/>
      <c r="T1880" s="9"/>
      <c r="U1880" s="9"/>
    </row>
    <row r="1881" spans="2:21" x14ac:dyDescent="0.4">
      <c r="B1881" s="16">
        <f t="shared" si="154"/>
        <v>44567</v>
      </c>
      <c r="C1881" s="1">
        <f t="shared" si="155"/>
        <v>5229</v>
      </c>
      <c r="D1881" s="1">
        <f t="shared" si="156"/>
        <v>1021</v>
      </c>
      <c r="E1881" s="1">
        <f t="shared" si="157"/>
        <v>2565</v>
      </c>
      <c r="F1881" s="1"/>
      <c r="L1881" s="11">
        <v>44567</v>
      </c>
      <c r="M1881" s="9">
        <v>5229</v>
      </c>
      <c r="N1881" s="9">
        <v>1021</v>
      </c>
      <c r="O1881" s="9">
        <v>2565</v>
      </c>
      <c r="P1881" s="9">
        <v>0</v>
      </c>
      <c r="R1881" s="11"/>
      <c r="S1881" s="9"/>
      <c r="T1881" s="9"/>
      <c r="U1881" s="9"/>
    </row>
    <row r="1882" spans="2:21" x14ac:dyDescent="0.4">
      <c r="B1882" s="16">
        <f t="shared" si="154"/>
        <v>44568</v>
      </c>
      <c r="C1882" s="1">
        <f t="shared" si="155"/>
        <v>5230</v>
      </c>
      <c r="D1882" s="1">
        <f t="shared" si="156"/>
        <v>976</v>
      </c>
      <c r="E1882" s="1">
        <f t="shared" si="157"/>
        <v>2565</v>
      </c>
      <c r="F1882" s="1"/>
      <c r="L1882" s="11">
        <v>44568</v>
      </c>
      <c r="M1882" s="9">
        <v>5230</v>
      </c>
      <c r="N1882" s="9">
        <v>976</v>
      </c>
      <c r="O1882" s="9">
        <v>2565</v>
      </c>
      <c r="P1882" s="9">
        <v>0</v>
      </c>
      <c r="R1882" s="11"/>
      <c r="S1882" s="9"/>
      <c r="T1882" s="9"/>
      <c r="U1882" s="9"/>
    </row>
    <row r="1883" spans="2:21" x14ac:dyDescent="0.4">
      <c r="B1883" s="16">
        <f t="shared" si="154"/>
        <v>44571</v>
      </c>
      <c r="C1883" s="1">
        <f t="shared" si="155"/>
        <v>5227</v>
      </c>
      <c r="D1883" s="1">
        <f t="shared" si="156"/>
        <v>976</v>
      </c>
      <c r="E1883" s="1">
        <f t="shared" si="157"/>
        <v>2595</v>
      </c>
      <c r="F1883" s="1"/>
      <c r="L1883" s="11">
        <v>44571</v>
      </c>
      <c r="M1883" s="9">
        <v>5227</v>
      </c>
      <c r="N1883" s="9">
        <v>976</v>
      </c>
      <c r="O1883" s="9">
        <v>2595</v>
      </c>
      <c r="P1883" s="9">
        <v>0</v>
      </c>
      <c r="R1883" s="11"/>
      <c r="S1883" s="9"/>
      <c r="T1883" s="9"/>
      <c r="U1883" s="9"/>
    </row>
    <row r="1884" spans="2:21" x14ac:dyDescent="0.4">
      <c r="B1884" s="16">
        <f t="shared" si="154"/>
        <v>44572</v>
      </c>
      <c r="C1884" s="1">
        <f t="shared" si="155"/>
        <v>5240</v>
      </c>
      <c r="D1884" s="1">
        <f t="shared" si="156"/>
        <v>976</v>
      </c>
      <c r="E1884" s="1">
        <f t="shared" si="157"/>
        <v>2630</v>
      </c>
      <c r="F1884" s="1"/>
      <c r="L1884" s="11">
        <v>44572</v>
      </c>
      <c r="M1884" s="9">
        <v>5240</v>
      </c>
      <c r="N1884" s="9">
        <v>976</v>
      </c>
      <c r="O1884" s="9">
        <v>2630</v>
      </c>
      <c r="P1884" s="9">
        <v>0</v>
      </c>
      <c r="R1884" s="11"/>
      <c r="S1884" s="9"/>
      <c r="T1884" s="9"/>
      <c r="U1884" s="9"/>
    </row>
    <row r="1885" spans="2:21" x14ac:dyDescent="0.4">
      <c r="B1885" s="16">
        <f t="shared" si="154"/>
        <v>44573</v>
      </c>
      <c r="C1885" s="1">
        <f t="shared" si="155"/>
        <v>5242</v>
      </c>
      <c r="D1885" s="1">
        <f t="shared" si="156"/>
        <v>976</v>
      </c>
      <c r="E1885" s="1">
        <f t="shared" si="157"/>
        <v>2645</v>
      </c>
      <c r="F1885" s="1"/>
      <c r="L1885" s="11">
        <v>44573</v>
      </c>
      <c r="M1885" s="9">
        <v>5242</v>
      </c>
      <c r="N1885" s="9">
        <v>976</v>
      </c>
      <c r="O1885" s="9">
        <v>2645</v>
      </c>
      <c r="P1885" s="9">
        <v>0</v>
      </c>
      <c r="R1885" s="11"/>
      <c r="S1885" s="9"/>
      <c r="T1885" s="9"/>
      <c r="U1885" s="9"/>
    </row>
    <row r="1886" spans="2:21" x14ac:dyDescent="0.4">
      <c r="B1886" s="16">
        <f t="shared" si="154"/>
        <v>44574</v>
      </c>
      <c r="C1886" s="1">
        <f t="shared" si="155"/>
        <v>5282</v>
      </c>
      <c r="D1886" s="1">
        <f t="shared" si="156"/>
        <v>976</v>
      </c>
      <c r="E1886" s="1">
        <f t="shared" si="157"/>
        <v>2665</v>
      </c>
      <c r="F1886" s="1"/>
      <c r="L1886" s="11">
        <v>44574</v>
      </c>
      <c r="M1886" s="9">
        <v>5282</v>
      </c>
      <c r="N1886" s="9">
        <v>976</v>
      </c>
      <c r="O1886" s="9">
        <v>2665</v>
      </c>
      <c r="P1886" s="9">
        <v>0</v>
      </c>
      <c r="R1886" s="11"/>
      <c r="S1886" s="9"/>
      <c r="T1886" s="9"/>
      <c r="U1886" s="9"/>
    </row>
    <row r="1887" spans="2:21" x14ac:dyDescent="0.4">
      <c r="B1887" s="16">
        <f t="shared" si="154"/>
        <v>44575</v>
      </c>
      <c r="C1887" s="1">
        <f t="shared" si="155"/>
        <v>5328</v>
      </c>
      <c r="D1887" s="1">
        <f t="shared" si="156"/>
        <v>951</v>
      </c>
      <c r="E1887" s="1">
        <f t="shared" si="157"/>
        <v>2665</v>
      </c>
      <c r="F1887" s="1"/>
      <c r="L1887" s="11">
        <v>44575</v>
      </c>
      <c r="M1887" s="9">
        <v>5328</v>
      </c>
      <c r="N1887" s="9">
        <v>951</v>
      </c>
      <c r="O1887" s="9">
        <v>2665</v>
      </c>
      <c r="P1887" s="9">
        <v>0</v>
      </c>
      <c r="R1887" s="11"/>
      <c r="S1887" s="9"/>
      <c r="T1887" s="9"/>
      <c r="U1887" s="9"/>
    </row>
    <row r="1888" spans="2:21" x14ac:dyDescent="0.4">
      <c r="B1888" s="16">
        <f t="shared" si="154"/>
        <v>44578</v>
      </c>
      <c r="C1888" s="1">
        <f t="shared" si="155"/>
        <v>5357</v>
      </c>
      <c r="D1888" s="1">
        <f t="shared" si="156"/>
        <v>926</v>
      </c>
      <c r="E1888" s="1">
        <f t="shared" si="157"/>
        <v>2645</v>
      </c>
      <c r="F1888" s="1"/>
      <c r="L1888" s="11">
        <v>44578</v>
      </c>
      <c r="M1888" s="9">
        <v>5357</v>
      </c>
      <c r="N1888" s="9">
        <v>926</v>
      </c>
      <c r="O1888" s="9">
        <v>2645</v>
      </c>
      <c r="P1888" s="9">
        <v>0</v>
      </c>
      <c r="R1888" s="11"/>
      <c r="S1888" s="9"/>
      <c r="T1888" s="9"/>
      <c r="U1888" s="9"/>
    </row>
    <row r="1889" spans="2:21" x14ac:dyDescent="0.4">
      <c r="B1889" s="16">
        <f t="shared" si="154"/>
        <v>44579</v>
      </c>
      <c r="C1889" s="1">
        <f t="shared" si="155"/>
        <v>5347</v>
      </c>
      <c r="D1889" s="1">
        <f t="shared" si="156"/>
        <v>926</v>
      </c>
      <c r="E1889" s="1">
        <f t="shared" si="157"/>
        <v>2635</v>
      </c>
      <c r="F1889" s="1"/>
      <c r="L1889" s="11">
        <v>44579</v>
      </c>
      <c r="M1889" s="9">
        <v>5347</v>
      </c>
      <c r="N1889" s="9">
        <v>926</v>
      </c>
      <c r="O1889" s="9">
        <v>2635</v>
      </c>
      <c r="P1889" s="9">
        <v>0</v>
      </c>
      <c r="R1889" s="11"/>
      <c r="S1889" s="9"/>
      <c r="T1889" s="9"/>
      <c r="U1889" s="9"/>
    </row>
    <row r="1890" spans="2:21" x14ac:dyDescent="0.4">
      <c r="B1890" s="16">
        <f t="shared" si="154"/>
        <v>44580</v>
      </c>
      <c r="C1890" s="1">
        <f t="shared" si="155"/>
        <v>5360</v>
      </c>
      <c r="D1890" s="1">
        <f t="shared" si="156"/>
        <v>926</v>
      </c>
      <c r="E1890" s="1">
        <f t="shared" si="157"/>
        <v>2635</v>
      </c>
      <c r="F1890" s="1"/>
      <c r="L1890" s="11">
        <v>44580</v>
      </c>
      <c r="M1890" s="9">
        <v>5360</v>
      </c>
      <c r="N1890" s="9">
        <v>926</v>
      </c>
      <c r="O1890" s="9">
        <v>2635</v>
      </c>
      <c r="P1890" s="9">
        <v>0</v>
      </c>
      <c r="R1890" s="11"/>
      <c r="S1890" s="9"/>
      <c r="T1890" s="9"/>
      <c r="U1890" s="9"/>
    </row>
    <row r="1891" spans="2:21" x14ac:dyDescent="0.4">
      <c r="B1891" s="16">
        <f t="shared" si="154"/>
        <v>44581</v>
      </c>
      <c r="C1891" s="1">
        <f t="shared" si="155"/>
        <v>5364</v>
      </c>
      <c r="D1891" s="1">
        <f t="shared" si="156"/>
        <v>926</v>
      </c>
      <c r="E1891" s="1">
        <f t="shared" si="157"/>
        <v>2650</v>
      </c>
      <c r="F1891" s="1"/>
      <c r="L1891" s="11">
        <v>44581</v>
      </c>
      <c r="M1891" s="9">
        <v>5364</v>
      </c>
      <c r="N1891" s="9">
        <v>926</v>
      </c>
      <c r="O1891" s="9">
        <v>2650</v>
      </c>
      <c r="P1891" s="9">
        <v>0</v>
      </c>
      <c r="R1891" s="11"/>
      <c r="S1891" s="9"/>
      <c r="T1891" s="9"/>
      <c r="U1891" s="9"/>
    </row>
    <row r="1892" spans="2:21" x14ac:dyDescent="0.4">
      <c r="B1892" s="16">
        <f t="shared" si="154"/>
        <v>44582</v>
      </c>
      <c r="C1892" s="1">
        <f t="shared" si="155"/>
        <v>5344</v>
      </c>
      <c r="D1892" s="1">
        <f t="shared" si="156"/>
        <v>926</v>
      </c>
      <c r="E1892" s="1">
        <f t="shared" si="157"/>
        <v>2655</v>
      </c>
      <c r="F1892" s="1"/>
      <c r="L1892" s="11">
        <v>44582</v>
      </c>
      <c r="M1892" s="9">
        <v>5344</v>
      </c>
      <c r="N1892" s="9">
        <v>926</v>
      </c>
      <c r="O1892" s="9">
        <v>2655</v>
      </c>
      <c r="P1892" s="9">
        <v>0</v>
      </c>
      <c r="R1892" s="11"/>
      <c r="S1892" s="9"/>
      <c r="T1892" s="9"/>
      <c r="U1892" s="9"/>
    </row>
    <row r="1893" spans="2:21" x14ac:dyDescent="0.4">
      <c r="B1893" s="16">
        <f t="shared" si="154"/>
        <v>44585</v>
      </c>
      <c r="C1893" s="1">
        <f t="shared" si="155"/>
        <v>5342</v>
      </c>
      <c r="D1893" s="1">
        <f t="shared" si="156"/>
        <v>926</v>
      </c>
      <c r="E1893" s="1">
        <f t="shared" si="157"/>
        <v>2650</v>
      </c>
      <c r="F1893" s="1"/>
      <c r="L1893" s="11">
        <v>44585</v>
      </c>
      <c r="M1893" s="9">
        <v>5342</v>
      </c>
      <c r="N1893" s="9">
        <v>926</v>
      </c>
      <c r="O1893" s="9">
        <v>2650</v>
      </c>
      <c r="P1893" s="9">
        <v>0</v>
      </c>
      <c r="R1893" s="11"/>
      <c r="S1893" s="9"/>
      <c r="T1893" s="9"/>
      <c r="U1893" s="9"/>
    </row>
    <row r="1894" spans="2:21" x14ac:dyDescent="0.4">
      <c r="B1894" s="16">
        <f t="shared" si="154"/>
        <v>44586</v>
      </c>
      <c r="C1894" s="1">
        <f t="shared" si="155"/>
        <v>5335</v>
      </c>
      <c r="D1894" s="1">
        <f t="shared" si="156"/>
        <v>981</v>
      </c>
      <c r="E1894" s="1">
        <f t="shared" si="157"/>
        <v>2650</v>
      </c>
      <c r="F1894" s="1"/>
      <c r="L1894" s="11">
        <v>44586</v>
      </c>
      <c r="M1894" s="9">
        <v>5335</v>
      </c>
      <c r="N1894" s="9">
        <v>981</v>
      </c>
      <c r="O1894" s="9">
        <v>2650</v>
      </c>
      <c r="P1894" s="9">
        <v>0</v>
      </c>
      <c r="R1894" s="11"/>
      <c r="S1894" s="9"/>
      <c r="T1894" s="9"/>
      <c r="U1894" s="9"/>
    </row>
    <row r="1895" spans="2:21" x14ac:dyDescent="0.4">
      <c r="B1895" s="16">
        <f t="shared" si="154"/>
        <v>44587</v>
      </c>
      <c r="C1895" s="1">
        <f t="shared" si="155"/>
        <v>5347</v>
      </c>
      <c r="D1895" s="1">
        <f t="shared" si="156"/>
        <v>981</v>
      </c>
      <c r="E1895" s="1">
        <f t="shared" si="157"/>
        <v>2650</v>
      </c>
      <c r="F1895" s="1"/>
      <c r="L1895" s="11">
        <v>44587</v>
      </c>
      <c r="M1895" s="9">
        <v>5347</v>
      </c>
      <c r="N1895" s="9">
        <v>981</v>
      </c>
      <c r="O1895" s="9">
        <v>2650</v>
      </c>
      <c r="P1895" s="9">
        <v>0</v>
      </c>
      <c r="R1895" s="11"/>
      <c r="S1895" s="9"/>
      <c r="T1895" s="9"/>
      <c r="U1895" s="9"/>
    </row>
    <row r="1896" spans="2:21" x14ac:dyDescent="0.4">
      <c r="B1896" s="16">
        <f t="shared" si="154"/>
        <v>44588</v>
      </c>
      <c r="C1896" s="1">
        <f t="shared" si="155"/>
        <v>5374</v>
      </c>
      <c r="D1896" s="1">
        <f t="shared" si="156"/>
        <v>981</v>
      </c>
      <c r="E1896" s="1">
        <f t="shared" si="157"/>
        <v>2650</v>
      </c>
      <c r="F1896" s="1"/>
      <c r="L1896" s="11">
        <v>44588</v>
      </c>
      <c r="M1896" s="9">
        <v>5374</v>
      </c>
      <c r="N1896" s="9">
        <v>981</v>
      </c>
      <c r="O1896" s="9">
        <v>2650</v>
      </c>
      <c r="P1896" s="9">
        <v>0</v>
      </c>
      <c r="R1896" s="11"/>
      <c r="S1896" s="9"/>
      <c r="T1896" s="9"/>
      <c r="U1896" s="9"/>
    </row>
    <row r="1897" spans="2:21" x14ac:dyDescent="0.4">
      <c r="B1897" s="16">
        <f t="shared" si="154"/>
        <v>44589</v>
      </c>
      <c r="C1897" s="1">
        <f t="shared" si="155"/>
        <v>5401</v>
      </c>
      <c r="D1897" s="1">
        <f t="shared" si="156"/>
        <v>1001</v>
      </c>
      <c r="E1897" s="1">
        <f t="shared" si="157"/>
        <v>2650</v>
      </c>
      <c r="F1897" s="1"/>
      <c r="L1897" s="11">
        <v>44589</v>
      </c>
      <c r="M1897" s="9">
        <v>5401</v>
      </c>
      <c r="N1897" s="9">
        <v>1001</v>
      </c>
      <c r="O1897" s="9">
        <v>2650</v>
      </c>
      <c r="P1897" s="9">
        <v>0</v>
      </c>
      <c r="R1897" s="11"/>
      <c r="S1897" s="9"/>
      <c r="T1897" s="9"/>
      <c r="U1897" s="9"/>
    </row>
    <row r="1898" spans="2:21" x14ac:dyDescent="0.4">
      <c r="B1898" s="16">
        <f t="shared" si="154"/>
        <v>44590</v>
      </c>
      <c r="C1898" s="1">
        <f t="shared" si="155"/>
        <v>5402</v>
      </c>
      <c r="D1898" s="1">
        <f t="shared" si="156"/>
        <v>1001</v>
      </c>
      <c r="E1898" s="1">
        <f t="shared" si="157"/>
        <v>2650</v>
      </c>
      <c r="F1898" s="1"/>
      <c r="L1898" s="11">
        <v>44590</v>
      </c>
      <c r="M1898" s="9">
        <v>5402</v>
      </c>
      <c r="N1898" s="9">
        <v>0</v>
      </c>
      <c r="O1898" s="9">
        <v>0</v>
      </c>
      <c r="P1898" s="9">
        <v>0</v>
      </c>
      <c r="R1898" s="11"/>
      <c r="S1898" s="9"/>
      <c r="T1898" s="9"/>
      <c r="U1898" s="9"/>
    </row>
    <row r="1899" spans="2:21" x14ac:dyDescent="0.4">
      <c r="B1899" s="16">
        <f t="shared" si="154"/>
        <v>44591</v>
      </c>
      <c r="C1899" s="1">
        <f t="shared" si="155"/>
        <v>5401</v>
      </c>
      <c r="D1899" s="1">
        <f t="shared" si="156"/>
        <v>1001</v>
      </c>
      <c r="E1899" s="1">
        <f t="shared" si="157"/>
        <v>2650</v>
      </c>
      <c r="F1899" s="1"/>
      <c r="L1899" s="11">
        <v>44591</v>
      </c>
      <c r="M1899" s="9">
        <v>5401</v>
      </c>
      <c r="N1899" s="9">
        <v>0</v>
      </c>
      <c r="O1899" s="9">
        <v>0</v>
      </c>
      <c r="P1899" s="9">
        <v>0</v>
      </c>
      <c r="R1899" s="11"/>
      <c r="S1899" s="9"/>
      <c r="T1899" s="9"/>
      <c r="U1899" s="9"/>
    </row>
    <row r="1900" spans="2:21" x14ac:dyDescent="0.4">
      <c r="B1900" s="16">
        <f t="shared" si="154"/>
        <v>44592</v>
      </c>
      <c r="C1900" s="1">
        <f t="shared" si="155"/>
        <v>5401</v>
      </c>
      <c r="D1900" s="1">
        <f t="shared" si="156"/>
        <v>1001</v>
      </c>
      <c r="E1900" s="1">
        <f t="shared" si="157"/>
        <v>2650</v>
      </c>
      <c r="F1900" s="1"/>
      <c r="L1900" s="11">
        <v>44592</v>
      </c>
      <c r="M1900" s="9">
        <v>0</v>
      </c>
      <c r="N1900" s="9">
        <v>1001</v>
      </c>
      <c r="O1900" s="9">
        <v>0</v>
      </c>
      <c r="P1900" s="9">
        <v>0</v>
      </c>
      <c r="R1900" s="11"/>
      <c r="S1900" s="9"/>
      <c r="T1900" s="9"/>
      <c r="U1900" s="9"/>
    </row>
    <row r="1901" spans="2:21" x14ac:dyDescent="0.4">
      <c r="B1901" s="16">
        <f t="shared" si="154"/>
        <v>44593</v>
      </c>
      <c r="C1901" s="1">
        <f t="shared" si="155"/>
        <v>5401</v>
      </c>
      <c r="D1901" s="1">
        <f t="shared" si="156"/>
        <v>1001</v>
      </c>
      <c r="E1901" s="1">
        <f t="shared" si="157"/>
        <v>2650</v>
      </c>
      <c r="F1901" s="1"/>
      <c r="L1901" s="11">
        <v>44593</v>
      </c>
      <c r="M1901" s="9">
        <v>0</v>
      </c>
      <c r="N1901" s="9">
        <v>1001</v>
      </c>
      <c r="O1901" s="9">
        <v>0</v>
      </c>
      <c r="P1901" s="9">
        <v>0</v>
      </c>
      <c r="R1901" s="11"/>
      <c r="S1901" s="9"/>
      <c r="T1901" s="9"/>
      <c r="U1901" s="9"/>
    </row>
    <row r="1902" spans="2:21" x14ac:dyDescent="0.4">
      <c r="B1902" s="16">
        <f t="shared" si="154"/>
        <v>44594</v>
      </c>
      <c r="C1902" s="1">
        <f t="shared" si="155"/>
        <v>5401</v>
      </c>
      <c r="D1902" s="1">
        <f t="shared" si="156"/>
        <v>1001</v>
      </c>
      <c r="E1902" s="1">
        <f t="shared" si="157"/>
        <v>2650</v>
      </c>
      <c r="F1902" s="1"/>
      <c r="L1902" s="11">
        <v>44594</v>
      </c>
      <c r="M1902" s="9">
        <v>0</v>
      </c>
      <c r="N1902" s="9">
        <v>1001</v>
      </c>
      <c r="O1902" s="9">
        <v>0</v>
      </c>
      <c r="P1902" s="9">
        <v>0</v>
      </c>
      <c r="R1902" s="11"/>
      <c r="S1902" s="9"/>
      <c r="T1902" s="9"/>
      <c r="U1902" s="9"/>
    </row>
    <row r="1903" spans="2:21" x14ac:dyDescent="0.4">
      <c r="B1903" s="16">
        <f t="shared" si="154"/>
        <v>44595</v>
      </c>
      <c r="C1903" s="1">
        <f t="shared" si="155"/>
        <v>5401</v>
      </c>
      <c r="D1903" s="1">
        <f t="shared" si="156"/>
        <v>1001</v>
      </c>
      <c r="E1903" s="1">
        <f t="shared" si="157"/>
        <v>2650</v>
      </c>
      <c r="F1903" s="1"/>
      <c r="L1903" s="11">
        <v>44595</v>
      </c>
      <c r="M1903" s="9">
        <v>0</v>
      </c>
      <c r="N1903" s="9">
        <v>1001</v>
      </c>
      <c r="O1903" s="9">
        <v>0</v>
      </c>
      <c r="P1903" s="9">
        <v>0</v>
      </c>
      <c r="R1903" s="11"/>
      <c r="S1903" s="9"/>
      <c r="T1903" s="9"/>
      <c r="U1903" s="9"/>
    </row>
    <row r="1904" spans="2:21" x14ac:dyDescent="0.4">
      <c r="B1904" s="16">
        <f t="shared" si="154"/>
        <v>44596</v>
      </c>
      <c r="C1904" s="1">
        <f t="shared" si="155"/>
        <v>5401</v>
      </c>
      <c r="D1904" s="1">
        <f t="shared" si="156"/>
        <v>1001</v>
      </c>
      <c r="E1904" s="1">
        <f t="shared" si="157"/>
        <v>2650</v>
      </c>
      <c r="F1904" s="1"/>
      <c r="L1904" s="11">
        <v>44596</v>
      </c>
      <c r="M1904" s="9">
        <v>0</v>
      </c>
      <c r="N1904" s="9">
        <v>1001</v>
      </c>
      <c r="O1904" s="9">
        <v>0</v>
      </c>
      <c r="P1904" s="9">
        <v>0</v>
      </c>
      <c r="R1904" s="11"/>
      <c r="S1904" s="9"/>
      <c r="T1904" s="9"/>
      <c r="U1904" s="9"/>
    </row>
    <row r="1905" spans="2:21" x14ac:dyDescent="0.4">
      <c r="B1905" s="16">
        <f t="shared" si="154"/>
        <v>44599</v>
      </c>
      <c r="C1905" s="1">
        <f t="shared" si="155"/>
        <v>5468</v>
      </c>
      <c r="D1905" s="1">
        <f t="shared" si="156"/>
        <v>1101</v>
      </c>
      <c r="E1905" s="1">
        <f t="shared" si="157"/>
        <v>2660</v>
      </c>
      <c r="F1905" s="1"/>
      <c r="L1905" s="11">
        <v>44599</v>
      </c>
      <c r="M1905" s="9">
        <v>5468</v>
      </c>
      <c r="N1905" s="9">
        <v>1101</v>
      </c>
      <c r="O1905" s="9">
        <v>2660</v>
      </c>
      <c r="P1905" s="9">
        <v>0</v>
      </c>
      <c r="R1905" s="11"/>
      <c r="S1905" s="9"/>
      <c r="T1905" s="9"/>
      <c r="U1905" s="9"/>
    </row>
    <row r="1906" spans="2:21" x14ac:dyDescent="0.4">
      <c r="B1906" s="16">
        <f t="shared" si="154"/>
        <v>44600</v>
      </c>
      <c r="C1906" s="1">
        <f t="shared" si="155"/>
        <v>5514</v>
      </c>
      <c r="D1906" s="1">
        <f t="shared" si="156"/>
        <v>1101</v>
      </c>
      <c r="E1906" s="1">
        <f t="shared" si="157"/>
        <v>2675</v>
      </c>
      <c r="F1906" s="1"/>
      <c r="L1906" s="11">
        <v>44600</v>
      </c>
      <c r="M1906" s="9">
        <v>5514</v>
      </c>
      <c r="N1906" s="9">
        <v>1101</v>
      </c>
      <c r="O1906" s="9">
        <v>2675</v>
      </c>
      <c r="P1906" s="9">
        <v>0</v>
      </c>
      <c r="R1906" s="11"/>
      <c r="S1906" s="9"/>
      <c r="T1906" s="9"/>
      <c r="U1906" s="9"/>
    </row>
    <row r="1907" spans="2:21" x14ac:dyDescent="0.4">
      <c r="B1907" s="16">
        <f t="shared" si="154"/>
        <v>44601</v>
      </c>
      <c r="C1907" s="1">
        <f t="shared" si="155"/>
        <v>5544</v>
      </c>
      <c r="D1907" s="1">
        <f t="shared" si="156"/>
        <v>1101</v>
      </c>
      <c r="E1907" s="1">
        <f t="shared" si="157"/>
        <v>2690</v>
      </c>
      <c r="F1907" s="1"/>
      <c r="L1907" s="11">
        <v>44601</v>
      </c>
      <c r="M1907" s="9">
        <v>5544</v>
      </c>
      <c r="N1907" s="9">
        <v>1101</v>
      </c>
      <c r="O1907" s="9">
        <v>2690</v>
      </c>
      <c r="P1907" s="9">
        <v>0</v>
      </c>
      <c r="R1907" s="11"/>
      <c r="S1907" s="9"/>
      <c r="T1907" s="9"/>
      <c r="U1907" s="9"/>
    </row>
    <row r="1908" spans="2:21" x14ac:dyDescent="0.4">
      <c r="B1908" s="16">
        <f t="shared" si="154"/>
        <v>44602</v>
      </c>
      <c r="C1908" s="1">
        <f t="shared" si="155"/>
        <v>5532</v>
      </c>
      <c r="D1908" s="1">
        <f t="shared" si="156"/>
        <v>1191</v>
      </c>
      <c r="E1908" s="1">
        <f t="shared" si="157"/>
        <v>2700</v>
      </c>
      <c r="F1908" s="1"/>
      <c r="L1908" s="11">
        <v>44602</v>
      </c>
      <c r="M1908" s="9">
        <v>5532</v>
      </c>
      <c r="N1908" s="9">
        <v>1191</v>
      </c>
      <c r="O1908" s="9">
        <v>2700</v>
      </c>
      <c r="P1908" s="9">
        <v>0</v>
      </c>
      <c r="R1908" s="11"/>
      <c r="S1908" s="9"/>
      <c r="T1908" s="9"/>
      <c r="U1908" s="9"/>
    </row>
    <row r="1909" spans="2:21" x14ac:dyDescent="0.4">
      <c r="B1909" s="16">
        <f t="shared" si="154"/>
        <v>44603</v>
      </c>
      <c r="C1909" s="1">
        <f t="shared" si="155"/>
        <v>5530</v>
      </c>
      <c r="D1909" s="1">
        <f t="shared" si="156"/>
        <v>1201</v>
      </c>
      <c r="E1909" s="1">
        <f t="shared" si="157"/>
        <v>2720</v>
      </c>
      <c r="F1909" s="1"/>
      <c r="L1909" s="11">
        <v>44603</v>
      </c>
      <c r="M1909" s="9">
        <v>5530</v>
      </c>
      <c r="N1909" s="9">
        <v>1201</v>
      </c>
      <c r="O1909" s="9">
        <v>2720</v>
      </c>
      <c r="P1909" s="9">
        <v>0</v>
      </c>
      <c r="R1909" s="11"/>
      <c r="S1909" s="9"/>
      <c r="T1909" s="9"/>
      <c r="U1909" s="9"/>
    </row>
    <row r="1910" spans="2:21" x14ac:dyDescent="0.4">
      <c r="B1910" s="16">
        <f t="shared" si="154"/>
        <v>44606</v>
      </c>
      <c r="C1910" s="1">
        <f t="shared" si="155"/>
        <v>5521</v>
      </c>
      <c r="D1910" s="1">
        <f t="shared" si="156"/>
        <v>1211</v>
      </c>
      <c r="E1910" s="1">
        <f t="shared" si="157"/>
        <v>2720</v>
      </c>
      <c r="F1910" s="1"/>
      <c r="L1910" s="11">
        <v>44606</v>
      </c>
      <c r="M1910" s="9">
        <v>5521</v>
      </c>
      <c r="N1910" s="9">
        <v>1211</v>
      </c>
      <c r="O1910" s="9">
        <v>2720</v>
      </c>
      <c r="P1910" s="9">
        <v>0</v>
      </c>
      <c r="R1910" s="11"/>
      <c r="S1910" s="9"/>
      <c r="T1910" s="9"/>
      <c r="U1910" s="9"/>
    </row>
    <row r="1911" spans="2:21" x14ac:dyDescent="0.4">
      <c r="B1911" s="16">
        <f t="shared" si="154"/>
        <v>44607</v>
      </c>
      <c r="C1911" s="1">
        <f t="shared" si="155"/>
        <v>5522</v>
      </c>
      <c r="D1911" s="1">
        <f t="shared" si="156"/>
        <v>1211</v>
      </c>
      <c r="E1911" s="1">
        <f t="shared" si="157"/>
        <v>2705</v>
      </c>
      <c r="F1911" s="1"/>
      <c r="L1911" s="11">
        <v>44607</v>
      </c>
      <c r="M1911" s="9">
        <v>5522</v>
      </c>
      <c r="N1911" s="9">
        <v>1211</v>
      </c>
      <c r="O1911" s="9">
        <v>2705</v>
      </c>
      <c r="P1911" s="9">
        <v>0</v>
      </c>
      <c r="R1911" s="11"/>
      <c r="S1911" s="9"/>
      <c r="T1911" s="9"/>
      <c r="U1911" s="9"/>
    </row>
    <row r="1912" spans="2:21" x14ac:dyDescent="0.4">
      <c r="B1912" s="16">
        <f t="shared" si="154"/>
        <v>44608</v>
      </c>
      <c r="C1912" s="1">
        <f t="shared" si="155"/>
        <v>5502</v>
      </c>
      <c r="D1912" s="1">
        <f t="shared" si="156"/>
        <v>1211</v>
      </c>
      <c r="E1912" s="1">
        <f t="shared" si="157"/>
        <v>2685</v>
      </c>
      <c r="F1912" s="1"/>
      <c r="L1912" s="11">
        <v>44608</v>
      </c>
      <c r="M1912" s="9">
        <v>5502</v>
      </c>
      <c r="N1912" s="9">
        <v>1211</v>
      </c>
      <c r="O1912" s="9">
        <v>2685</v>
      </c>
      <c r="P1912" s="9">
        <v>0</v>
      </c>
      <c r="R1912" s="11"/>
      <c r="S1912" s="9"/>
      <c r="T1912" s="9"/>
      <c r="U1912" s="9"/>
    </row>
    <row r="1913" spans="2:21" x14ac:dyDescent="0.4">
      <c r="B1913" s="16">
        <f t="shared" si="154"/>
        <v>44609</v>
      </c>
      <c r="C1913" s="1">
        <f t="shared" si="155"/>
        <v>5483</v>
      </c>
      <c r="D1913" s="1">
        <f t="shared" si="156"/>
        <v>1211</v>
      </c>
      <c r="E1913" s="1">
        <f t="shared" si="157"/>
        <v>2660</v>
      </c>
      <c r="F1913" s="1"/>
      <c r="L1913" s="11">
        <v>44609</v>
      </c>
      <c r="M1913" s="9">
        <v>5483</v>
      </c>
      <c r="N1913" s="9">
        <v>1211</v>
      </c>
      <c r="O1913" s="9">
        <v>2660</v>
      </c>
      <c r="P1913" s="9">
        <v>0</v>
      </c>
      <c r="R1913" s="11"/>
      <c r="S1913" s="9"/>
      <c r="T1913" s="9"/>
      <c r="U1913" s="9"/>
    </row>
    <row r="1914" spans="2:21" x14ac:dyDescent="0.4">
      <c r="B1914" s="16">
        <f t="shared" si="154"/>
        <v>44610</v>
      </c>
      <c r="C1914" s="1">
        <f t="shared" si="155"/>
        <v>5499</v>
      </c>
      <c r="D1914" s="1">
        <f t="shared" si="156"/>
        <v>1221</v>
      </c>
      <c r="E1914" s="1">
        <f t="shared" si="157"/>
        <v>2660</v>
      </c>
      <c r="F1914" s="1"/>
      <c r="L1914" s="11">
        <v>44610</v>
      </c>
      <c r="M1914" s="9">
        <v>5499</v>
      </c>
      <c r="N1914" s="9">
        <v>1221</v>
      </c>
      <c r="O1914" s="9">
        <v>2660</v>
      </c>
      <c r="P1914" s="9">
        <v>0</v>
      </c>
      <c r="R1914" s="11"/>
      <c r="S1914" s="9"/>
      <c r="T1914" s="9"/>
      <c r="U1914" s="9"/>
    </row>
    <row r="1915" spans="2:21" x14ac:dyDescent="0.4">
      <c r="B1915" s="16">
        <f t="shared" si="154"/>
        <v>44613</v>
      </c>
      <c r="C1915" s="1">
        <f t="shared" si="155"/>
        <v>5486</v>
      </c>
      <c r="D1915" s="1">
        <f t="shared" si="156"/>
        <v>1221</v>
      </c>
      <c r="E1915" s="1">
        <f t="shared" si="157"/>
        <v>2670</v>
      </c>
      <c r="F1915" s="1"/>
      <c r="L1915" s="11">
        <v>44613</v>
      </c>
      <c r="M1915" s="9">
        <v>5486</v>
      </c>
      <c r="N1915" s="9">
        <v>1221</v>
      </c>
      <c r="O1915" s="9">
        <v>2670</v>
      </c>
      <c r="P1915" s="9">
        <v>0</v>
      </c>
      <c r="R1915" s="11"/>
      <c r="S1915" s="9"/>
      <c r="T1915" s="9"/>
      <c r="U1915" s="9"/>
    </row>
    <row r="1916" spans="2:21" x14ac:dyDescent="0.4">
      <c r="B1916" s="16">
        <f t="shared" si="154"/>
        <v>44614</v>
      </c>
      <c r="C1916" s="1">
        <f t="shared" si="155"/>
        <v>5498</v>
      </c>
      <c r="D1916" s="1">
        <f t="shared" si="156"/>
        <v>1221</v>
      </c>
      <c r="E1916" s="1">
        <f t="shared" si="157"/>
        <v>2675</v>
      </c>
      <c r="F1916" s="1"/>
      <c r="L1916" s="11">
        <v>44614</v>
      </c>
      <c r="M1916" s="9">
        <v>5498</v>
      </c>
      <c r="N1916" s="9">
        <v>1221</v>
      </c>
      <c r="O1916" s="9">
        <v>2675</v>
      </c>
      <c r="P1916" s="9">
        <v>0</v>
      </c>
      <c r="R1916" s="11"/>
      <c r="S1916" s="9"/>
      <c r="T1916" s="9"/>
      <c r="U1916" s="9"/>
    </row>
    <row r="1917" spans="2:21" x14ac:dyDescent="0.4">
      <c r="B1917" s="16">
        <f t="shared" si="154"/>
        <v>44615</v>
      </c>
      <c r="C1917" s="1">
        <f t="shared" si="155"/>
        <v>5509</v>
      </c>
      <c r="D1917" s="1">
        <f t="shared" si="156"/>
        <v>1221</v>
      </c>
      <c r="E1917" s="1">
        <f t="shared" si="157"/>
        <v>2675</v>
      </c>
      <c r="F1917" s="1"/>
      <c r="L1917" s="11">
        <v>44615</v>
      </c>
      <c r="M1917" s="9">
        <v>5509</v>
      </c>
      <c r="N1917" s="9">
        <v>1221</v>
      </c>
      <c r="O1917" s="9">
        <v>2675</v>
      </c>
      <c r="P1917" s="9">
        <v>0</v>
      </c>
      <c r="R1917" s="11"/>
      <c r="S1917" s="9"/>
      <c r="T1917" s="9"/>
      <c r="U1917" s="9"/>
    </row>
    <row r="1918" spans="2:21" x14ac:dyDescent="0.4">
      <c r="B1918" s="16">
        <f t="shared" si="154"/>
        <v>44616</v>
      </c>
      <c r="C1918" s="1">
        <f t="shared" si="155"/>
        <v>5523</v>
      </c>
      <c r="D1918" s="1">
        <f t="shared" si="156"/>
        <v>1261</v>
      </c>
      <c r="E1918" s="1">
        <f t="shared" si="157"/>
        <v>2660</v>
      </c>
      <c r="F1918" s="1"/>
      <c r="L1918" s="11">
        <v>44616</v>
      </c>
      <c r="M1918" s="9">
        <v>5523</v>
      </c>
      <c r="N1918" s="9">
        <v>1261</v>
      </c>
      <c r="O1918" s="9">
        <v>2660</v>
      </c>
      <c r="P1918" s="9">
        <v>0</v>
      </c>
      <c r="R1918" s="11"/>
      <c r="S1918" s="9"/>
      <c r="T1918" s="9"/>
      <c r="U1918" s="9"/>
    </row>
    <row r="1919" spans="2:21" x14ac:dyDescent="0.4">
      <c r="B1919" s="16">
        <f t="shared" si="154"/>
        <v>44617</v>
      </c>
      <c r="C1919" s="1">
        <f t="shared" si="155"/>
        <v>5546</v>
      </c>
      <c r="D1919" s="1">
        <f t="shared" si="156"/>
        <v>1231</v>
      </c>
      <c r="E1919" s="1">
        <f t="shared" si="157"/>
        <v>2650</v>
      </c>
      <c r="F1919" s="1"/>
      <c r="L1919" s="11">
        <v>44617</v>
      </c>
      <c r="M1919" s="9">
        <v>5546</v>
      </c>
      <c r="N1919" s="9">
        <v>1231</v>
      </c>
      <c r="O1919" s="9">
        <v>2650</v>
      </c>
      <c r="P1919" s="9">
        <v>0</v>
      </c>
      <c r="R1919" s="11"/>
      <c r="S1919" s="9"/>
      <c r="T1919" s="9"/>
      <c r="U1919" s="9"/>
    </row>
    <row r="1920" spans="2:21" x14ac:dyDescent="0.4">
      <c r="B1920" s="16">
        <f t="shared" si="154"/>
        <v>44620</v>
      </c>
      <c r="C1920" s="1">
        <f t="shared" si="155"/>
        <v>5526</v>
      </c>
      <c r="D1920" s="1">
        <f t="shared" si="156"/>
        <v>1231</v>
      </c>
      <c r="E1920" s="1">
        <f t="shared" si="157"/>
        <v>2650</v>
      </c>
      <c r="F1920" s="1"/>
      <c r="L1920" s="11">
        <v>44620</v>
      </c>
      <c r="M1920" s="9">
        <v>5526</v>
      </c>
      <c r="N1920" s="9">
        <v>1231</v>
      </c>
      <c r="O1920" s="9">
        <v>2650</v>
      </c>
      <c r="P1920" s="9">
        <v>0</v>
      </c>
      <c r="R1920" s="11"/>
      <c r="S1920" s="9"/>
      <c r="T1920" s="9"/>
      <c r="U1920" s="9"/>
    </row>
    <row r="1921" spans="2:21" x14ac:dyDescent="0.4">
      <c r="B1921" s="16">
        <f t="shared" si="154"/>
        <v>44621</v>
      </c>
      <c r="C1921" s="1">
        <f t="shared" si="155"/>
        <v>5538</v>
      </c>
      <c r="D1921" s="1">
        <f t="shared" si="156"/>
        <v>1231</v>
      </c>
      <c r="E1921" s="1">
        <f t="shared" si="157"/>
        <v>2655</v>
      </c>
      <c r="F1921" s="1"/>
      <c r="L1921" s="11">
        <v>44621</v>
      </c>
      <c r="M1921" s="9">
        <v>5538</v>
      </c>
      <c r="N1921" s="9">
        <v>1231</v>
      </c>
      <c r="O1921" s="9">
        <v>2655</v>
      </c>
      <c r="P1921" s="9">
        <v>0</v>
      </c>
      <c r="R1921" s="11"/>
      <c r="S1921" s="9"/>
      <c r="T1921" s="9"/>
      <c r="U1921" s="9"/>
    </row>
    <row r="1922" spans="2:21" x14ac:dyDescent="0.4">
      <c r="B1922" s="16">
        <f t="shared" si="154"/>
        <v>44622</v>
      </c>
      <c r="C1922" s="1">
        <f t="shared" si="155"/>
        <v>5583</v>
      </c>
      <c r="D1922" s="1">
        <f t="shared" si="156"/>
        <v>1251</v>
      </c>
      <c r="E1922" s="1">
        <f t="shared" si="157"/>
        <v>2660</v>
      </c>
      <c r="F1922" s="1"/>
      <c r="L1922" s="11">
        <v>44622</v>
      </c>
      <c r="M1922" s="9">
        <v>5583</v>
      </c>
      <c r="N1922" s="9">
        <v>1251</v>
      </c>
      <c r="O1922" s="9">
        <v>2660</v>
      </c>
      <c r="P1922" s="9">
        <v>0</v>
      </c>
      <c r="R1922" s="11"/>
      <c r="S1922" s="9"/>
      <c r="T1922" s="9"/>
      <c r="U1922" s="9"/>
    </row>
    <row r="1923" spans="2:21" x14ac:dyDescent="0.4">
      <c r="B1923" s="16">
        <f t="shared" si="154"/>
        <v>44623</v>
      </c>
      <c r="C1923" s="1">
        <f t="shared" si="155"/>
        <v>5683</v>
      </c>
      <c r="D1923" s="1">
        <f t="shared" si="156"/>
        <v>1251</v>
      </c>
      <c r="E1923" s="1">
        <f t="shared" si="157"/>
        <v>2685</v>
      </c>
      <c r="F1923" s="1"/>
      <c r="L1923" s="11">
        <v>44623</v>
      </c>
      <c r="M1923" s="9">
        <v>5683</v>
      </c>
      <c r="N1923" s="9">
        <v>1251</v>
      </c>
      <c r="O1923" s="9">
        <v>2685</v>
      </c>
      <c r="P1923" s="9">
        <v>0</v>
      </c>
      <c r="R1923" s="11"/>
      <c r="S1923" s="9"/>
      <c r="T1923" s="9"/>
      <c r="U1923" s="9"/>
    </row>
    <row r="1924" spans="2:21" x14ac:dyDescent="0.4">
      <c r="B1924" s="16">
        <f t="shared" si="154"/>
        <v>44624</v>
      </c>
      <c r="C1924" s="1">
        <f t="shared" si="155"/>
        <v>5725</v>
      </c>
      <c r="D1924" s="1">
        <f t="shared" si="156"/>
        <v>1261</v>
      </c>
      <c r="E1924" s="1">
        <f t="shared" si="157"/>
        <v>2720</v>
      </c>
      <c r="F1924" s="1"/>
      <c r="L1924" s="11">
        <v>44624</v>
      </c>
      <c r="M1924" s="9">
        <v>5725</v>
      </c>
      <c r="N1924" s="9">
        <v>1261</v>
      </c>
      <c r="O1924" s="9">
        <v>2720</v>
      </c>
      <c r="P1924" s="9">
        <v>0</v>
      </c>
      <c r="R1924" s="11"/>
      <c r="S1924" s="9"/>
      <c r="T1924" s="9"/>
      <c r="U1924" s="9"/>
    </row>
    <row r="1925" spans="2:21" x14ac:dyDescent="0.4">
      <c r="B1925" s="16">
        <f t="shared" si="154"/>
        <v>44627</v>
      </c>
      <c r="C1925" s="1">
        <f t="shared" si="155"/>
        <v>5792</v>
      </c>
      <c r="D1925" s="1">
        <f t="shared" si="156"/>
        <v>1281</v>
      </c>
      <c r="E1925" s="1">
        <f t="shared" si="157"/>
        <v>2790</v>
      </c>
      <c r="F1925" s="1"/>
      <c r="L1925" s="11">
        <v>44627</v>
      </c>
      <c r="M1925" s="9">
        <v>5792</v>
      </c>
      <c r="N1925" s="9">
        <v>1281</v>
      </c>
      <c r="O1925" s="9">
        <v>2790</v>
      </c>
      <c r="P1925" s="9">
        <v>0</v>
      </c>
      <c r="R1925" s="11"/>
      <c r="S1925" s="9"/>
      <c r="T1925" s="9"/>
      <c r="U1925" s="9"/>
    </row>
    <row r="1926" spans="2:21" x14ac:dyDescent="0.4">
      <c r="B1926" s="16">
        <f t="shared" ref="B1926:B1989" si="158">L1926</f>
        <v>44628</v>
      </c>
      <c r="C1926" s="1">
        <f t="shared" si="155"/>
        <v>5848</v>
      </c>
      <c r="D1926" s="1">
        <f t="shared" si="156"/>
        <v>1311</v>
      </c>
      <c r="E1926" s="1">
        <f t="shared" si="157"/>
        <v>2840</v>
      </c>
      <c r="F1926" s="1"/>
      <c r="L1926" s="11">
        <v>44628</v>
      </c>
      <c r="M1926" s="9">
        <v>5848</v>
      </c>
      <c r="N1926" s="9">
        <v>1311</v>
      </c>
      <c r="O1926" s="9">
        <v>2840</v>
      </c>
      <c r="P1926" s="9">
        <v>0</v>
      </c>
      <c r="R1926" s="11"/>
      <c r="S1926" s="9"/>
      <c r="T1926" s="9"/>
      <c r="U1926" s="9"/>
    </row>
    <row r="1927" spans="2:21" x14ac:dyDescent="0.4">
      <c r="B1927" s="16">
        <f t="shared" si="158"/>
        <v>44629</v>
      </c>
      <c r="C1927" s="1">
        <f t="shared" ref="C1927:C1990" si="159">IF(M1927&lt;&gt;0,M1927,C1926)</f>
        <v>5942</v>
      </c>
      <c r="D1927" s="1">
        <f t="shared" ref="D1927:D1990" si="160">IF(N1927&lt;&gt;0,N1927,D1926)</f>
        <v>1361</v>
      </c>
      <c r="E1927" s="1">
        <f t="shared" ref="E1927:E1990" si="161">IF(O1927&lt;&gt;0,O1927,E1926)</f>
        <v>2870</v>
      </c>
      <c r="F1927" s="1"/>
      <c r="L1927" s="11">
        <v>44629</v>
      </c>
      <c r="M1927" s="9">
        <v>5942</v>
      </c>
      <c r="N1927" s="9">
        <v>1361</v>
      </c>
      <c r="O1927" s="9">
        <v>2870</v>
      </c>
      <c r="P1927" s="9">
        <v>0</v>
      </c>
      <c r="R1927" s="11"/>
      <c r="S1927" s="9"/>
      <c r="T1927" s="9"/>
      <c r="U1927" s="9"/>
    </row>
    <row r="1928" spans="2:21" x14ac:dyDescent="0.4">
      <c r="B1928" s="16">
        <f t="shared" si="158"/>
        <v>44630</v>
      </c>
      <c r="C1928" s="1">
        <f t="shared" si="159"/>
        <v>5941</v>
      </c>
      <c r="D1928" s="1">
        <f t="shared" si="160"/>
        <v>1361</v>
      </c>
      <c r="E1928" s="1">
        <f t="shared" si="161"/>
        <v>2900</v>
      </c>
      <c r="F1928" s="1"/>
      <c r="L1928" s="11">
        <v>44630</v>
      </c>
      <c r="M1928" s="9">
        <v>5941</v>
      </c>
      <c r="N1928" s="9">
        <v>1361</v>
      </c>
      <c r="O1928" s="9">
        <v>2900</v>
      </c>
      <c r="P1928" s="9">
        <v>0</v>
      </c>
      <c r="R1928" s="11"/>
      <c r="S1928" s="9"/>
      <c r="T1928" s="9"/>
      <c r="U1928" s="9"/>
    </row>
    <row r="1929" spans="2:21" x14ac:dyDescent="0.4">
      <c r="B1929" s="16">
        <f t="shared" si="158"/>
        <v>44631</v>
      </c>
      <c r="C1929" s="1">
        <f t="shared" si="159"/>
        <v>5908</v>
      </c>
      <c r="D1929" s="1">
        <f t="shared" si="160"/>
        <v>1351</v>
      </c>
      <c r="E1929" s="1">
        <f t="shared" si="161"/>
        <v>2900</v>
      </c>
      <c r="F1929" s="1"/>
      <c r="L1929" s="11">
        <v>44631</v>
      </c>
      <c r="M1929" s="9">
        <v>5908</v>
      </c>
      <c r="N1929" s="9">
        <v>1351</v>
      </c>
      <c r="O1929" s="9">
        <v>2900</v>
      </c>
      <c r="P1929" s="9">
        <v>0</v>
      </c>
      <c r="R1929" s="11"/>
      <c r="S1929" s="9"/>
      <c r="T1929" s="9"/>
      <c r="U1929" s="9"/>
    </row>
    <row r="1930" spans="2:21" x14ac:dyDescent="0.4">
      <c r="B1930" s="16">
        <f t="shared" si="158"/>
        <v>44634</v>
      </c>
      <c r="C1930" s="1">
        <f t="shared" si="159"/>
        <v>5873</v>
      </c>
      <c r="D1930" s="1">
        <f t="shared" si="160"/>
        <v>1351</v>
      </c>
      <c r="E1930" s="1">
        <f t="shared" si="161"/>
        <v>2880</v>
      </c>
      <c r="F1930" s="1"/>
      <c r="L1930" s="11">
        <v>44634</v>
      </c>
      <c r="M1930" s="9">
        <v>5873</v>
      </c>
      <c r="N1930" s="9">
        <v>1351</v>
      </c>
      <c r="O1930" s="9">
        <v>2880</v>
      </c>
      <c r="P1930" s="9">
        <v>0</v>
      </c>
      <c r="R1930" s="11"/>
      <c r="S1930" s="9"/>
      <c r="T1930" s="9"/>
      <c r="U1930" s="9"/>
    </row>
    <row r="1931" spans="2:21" x14ac:dyDescent="0.4">
      <c r="B1931" s="16">
        <f t="shared" si="158"/>
        <v>44635</v>
      </c>
      <c r="C1931" s="1">
        <f t="shared" si="159"/>
        <v>5810</v>
      </c>
      <c r="D1931" s="1">
        <f t="shared" si="160"/>
        <v>1301</v>
      </c>
      <c r="E1931" s="1">
        <f t="shared" si="161"/>
        <v>2875</v>
      </c>
      <c r="F1931" s="1"/>
      <c r="L1931" s="11">
        <v>44635</v>
      </c>
      <c r="M1931" s="9">
        <v>5810</v>
      </c>
      <c r="N1931" s="9">
        <v>1301</v>
      </c>
      <c r="O1931" s="9">
        <v>2875</v>
      </c>
      <c r="P1931" s="9">
        <v>0</v>
      </c>
      <c r="R1931" s="11"/>
      <c r="S1931" s="9"/>
      <c r="T1931" s="9"/>
      <c r="U1931" s="9"/>
    </row>
    <row r="1932" spans="2:21" x14ac:dyDescent="0.4">
      <c r="B1932" s="16">
        <f t="shared" si="158"/>
        <v>44636</v>
      </c>
      <c r="C1932" s="1">
        <f t="shared" si="159"/>
        <v>5714</v>
      </c>
      <c r="D1932" s="1">
        <f t="shared" si="160"/>
        <v>1301</v>
      </c>
      <c r="E1932" s="1">
        <f t="shared" si="161"/>
        <v>2875</v>
      </c>
      <c r="F1932" s="1"/>
      <c r="L1932" s="11">
        <v>44636</v>
      </c>
      <c r="M1932" s="9">
        <v>5714</v>
      </c>
      <c r="N1932" s="9">
        <v>1301</v>
      </c>
      <c r="O1932" s="9">
        <v>2875</v>
      </c>
      <c r="P1932" s="9">
        <v>0</v>
      </c>
      <c r="R1932" s="11"/>
      <c r="S1932" s="9"/>
      <c r="T1932" s="9"/>
      <c r="U1932" s="9"/>
    </row>
    <row r="1933" spans="2:21" x14ac:dyDescent="0.4">
      <c r="B1933" s="16">
        <f t="shared" si="158"/>
        <v>44637</v>
      </c>
      <c r="C1933" s="1">
        <f t="shared" si="159"/>
        <v>5698</v>
      </c>
      <c r="D1933" s="1">
        <f t="shared" si="160"/>
        <v>1301</v>
      </c>
      <c r="E1933" s="1">
        <f t="shared" si="161"/>
        <v>2890</v>
      </c>
      <c r="F1933" s="1"/>
      <c r="L1933" s="11">
        <v>44637</v>
      </c>
      <c r="M1933" s="9">
        <v>5698</v>
      </c>
      <c r="N1933" s="9">
        <v>1301</v>
      </c>
      <c r="O1933" s="9">
        <v>2890</v>
      </c>
      <c r="P1933" s="9">
        <v>0</v>
      </c>
      <c r="R1933" s="11"/>
      <c r="S1933" s="9"/>
      <c r="T1933" s="9"/>
      <c r="U1933" s="9"/>
    </row>
    <row r="1934" spans="2:21" x14ac:dyDescent="0.4">
      <c r="B1934" s="16">
        <f t="shared" si="158"/>
        <v>44638</v>
      </c>
      <c r="C1934" s="1">
        <f t="shared" si="159"/>
        <v>5711</v>
      </c>
      <c r="D1934" s="1">
        <f t="shared" si="160"/>
        <v>1351</v>
      </c>
      <c r="E1934" s="1">
        <f t="shared" si="161"/>
        <v>2890</v>
      </c>
      <c r="F1934" s="1"/>
      <c r="L1934" s="11">
        <v>44638</v>
      </c>
      <c r="M1934" s="9">
        <v>5711</v>
      </c>
      <c r="N1934" s="9">
        <v>1351</v>
      </c>
      <c r="O1934" s="9">
        <v>2890</v>
      </c>
      <c r="P1934" s="9">
        <v>0</v>
      </c>
      <c r="R1934" s="11"/>
      <c r="S1934" s="9"/>
      <c r="T1934" s="9"/>
      <c r="U1934" s="9"/>
    </row>
    <row r="1935" spans="2:21" x14ac:dyDescent="0.4">
      <c r="B1935" s="16">
        <f t="shared" si="158"/>
        <v>44641</v>
      </c>
      <c r="C1935" s="1">
        <f t="shared" si="159"/>
        <v>5738</v>
      </c>
      <c r="D1935" s="1">
        <f t="shared" si="160"/>
        <v>1351</v>
      </c>
      <c r="E1935" s="1">
        <f t="shared" si="161"/>
        <v>2950</v>
      </c>
      <c r="F1935" s="1"/>
      <c r="L1935" s="11">
        <v>44641</v>
      </c>
      <c r="M1935" s="9">
        <v>5738</v>
      </c>
      <c r="N1935" s="9">
        <v>1351</v>
      </c>
      <c r="O1935" s="9">
        <v>2950</v>
      </c>
      <c r="P1935" s="9">
        <v>0</v>
      </c>
      <c r="R1935" s="11"/>
      <c r="S1935" s="9"/>
      <c r="T1935" s="9"/>
      <c r="U1935" s="9"/>
    </row>
    <row r="1936" spans="2:21" x14ac:dyDescent="0.4">
      <c r="B1936" s="16">
        <f t="shared" si="158"/>
        <v>44642</v>
      </c>
      <c r="C1936" s="1">
        <f t="shared" si="159"/>
        <v>5804</v>
      </c>
      <c r="D1936" s="1">
        <f t="shared" si="160"/>
        <v>1351</v>
      </c>
      <c r="E1936" s="1">
        <f t="shared" si="161"/>
        <v>2980</v>
      </c>
      <c r="F1936" s="1"/>
      <c r="L1936" s="11">
        <v>44642</v>
      </c>
      <c r="M1936" s="9">
        <v>5804</v>
      </c>
      <c r="N1936" s="9">
        <v>1351</v>
      </c>
      <c r="O1936" s="9">
        <v>2980</v>
      </c>
      <c r="P1936" s="9">
        <v>0</v>
      </c>
      <c r="R1936" s="11"/>
      <c r="S1936" s="9"/>
      <c r="T1936" s="9"/>
      <c r="U1936" s="9"/>
    </row>
    <row r="1937" spans="2:21" x14ac:dyDescent="0.4">
      <c r="B1937" s="16">
        <f t="shared" si="158"/>
        <v>44643</v>
      </c>
      <c r="C1937" s="1">
        <f t="shared" si="159"/>
        <v>5829</v>
      </c>
      <c r="D1937" s="1">
        <f t="shared" si="160"/>
        <v>1351</v>
      </c>
      <c r="E1937" s="1">
        <f t="shared" si="161"/>
        <v>3000</v>
      </c>
      <c r="F1937" s="1"/>
      <c r="L1937" s="11">
        <v>44643</v>
      </c>
      <c r="M1937" s="9">
        <v>5829</v>
      </c>
      <c r="N1937" s="9">
        <v>1351</v>
      </c>
      <c r="O1937" s="9">
        <v>3000</v>
      </c>
      <c r="P1937" s="9">
        <v>0</v>
      </c>
      <c r="R1937" s="11"/>
      <c r="S1937" s="9"/>
      <c r="T1937" s="9"/>
      <c r="U1937" s="9"/>
    </row>
    <row r="1938" spans="2:21" x14ac:dyDescent="0.4">
      <c r="B1938" s="16">
        <f t="shared" si="158"/>
        <v>44644</v>
      </c>
      <c r="C1938" s="1">
        <f t="shared" si="159"/>
        <v>5872</v>
      </c>
      <c r="D1938" s="1">
        <f t="shared" si="160"/>
        <v>1351</v>
      </c>
      <c r="E1938" s="1">
        <f t="shared" si="161"/>
        <v>2995</v>
      </c>
      <c r="F1938" s="1"/>
      <c r="L1938" s="11">
        <v>44644</v>
      </c>
      <c r="M1938" s="9">
        <v>5872</v>
      </c>
      <c r="N1938" s="9">
        <v>1351</v>
      </c>
      <c r="O1938" s="9">
        <v>2995</v>
      </c>
      <c r="P1938" s="9">
        <v>0</v>
      </c>
      <c r="R1938" s="11"/>
      <c r="S1938" s="9"/>
      <c r="T1938" s="9"/>
      <c r="U1938" s="9"/>
    </row>
    <row r="1939" spans="2:21" x14ac:dyDescent="0.4">
      <c r="B1939" s="16">
        <f t="shared" si="158"/>
        <v>44645</v>
      </c>
      <c r="C1939" s="1">
        <f t="shared" si="159"/>
        <v>5890</v>
      </c>
      <c r="D1939" s="1">
        <f t="shared" si="160"/>
        <v>1371</v>
      </c>
      <c r="E1939" s="1">
        <f t="shared" si="161"/>
        <v>2995</v>
      </c>
      <c r="F1939" s="1"/>
      <c r="L1939" s="11">
        <v>44645</v>
      </c>
      <c r="M1939" s="9">
        <v>5890</v>
      </c>
      <c r="N1939" s="9">
        <v>1371</v>
      </c>
      <c r="O1939" s="9">
        <v>2995</v>
      </c>
      <c r="P1939" s="9">
        <v>0</v>
      </c>
      <c r="R1939" s="11"/>
      <c r="S1939" s="9"/>
      <c r="T1939" s="9"/>
      <c r="U1939" s="9"/>
    </row>
    <row r="1940" spans="2:21" x14ac:dyDescent="0.4">
      <c r="B1940" s="16">
        <f t="shared" si="158"/>
        <v>44648</v>
      </c>
      <c r="C1940" s="1">
        <f t="shared" si="159"/>
        <v>5877</v>
      </c>
      <c r="D1940" s="1">
        <f t="shared" si="160"/>
        <v>1371</v>
      </c>
      <c r="E1940" s="1">
        <f t="shared" si="161"/>
        <v>2965</v>
      </c>
      <c r="F1940" s="1"/>
      <c r="L1940" s="11">
        <v>44648</v>
      </c>
      <c r="M1940" s="9">
        <v>5877</v>
      </c>
      <c r="N1940" s="9">
        <v>1371</v>
      </c>
      <c r="O1940" s="9">
        <v>2965</v>
      </c>
      <c r="P1940" s="9">
        <v>0</v>
      </c>
      <c r="R1940" s="11"/>
      <c r="S1940" s="9"/>
      <c r="T1940" s="9"/>
      <c r="U1940" s="9"/>
    </row>
    <row r="1941" spans="2:21" x14ac:dyDescent="0.4">
      <c r="B1941" s="16">
        <f t="shared" si="158"/>
        <v>44649</v>
      </c>
      <c r="C1941" s="1">
        <f t="shared" si="159"/>
        <v>5843</v>
      </c>
      <c r="D1941" s="1">
        <f t="shared" si="160"/>
        <v>1371</v>
      </c>
      <c r="E1941" s="1">
        <f t="shared" si="161"/>
        <v>2945</v>
      </c>
      <c r="F1941" s="1"/>
      <c r="L1941" s="11">
        <v>44649</v>
      </c>
      <c r="M1941" s="9">
        <v>5843</v>
      </c>
      <c r="N1941" s="9">
        <v>1371</v>
      </c>
      <c r="O1941" s="9">
        <v>2945</v>
      </c>
      <c r="P1941" s="9">
        <v>0</v>
      </c>
      <c r="R1941" s="11"/>
      <c r="S1941" s="9"/>
      <c r="T1941" s="9"/>
      <c r="U1941" s="9"/>
    </row>
    <row r="1942" spans="2:21" x14ac:dyDescent="0.4">
      <c r="B1942" s="16">
        <f t="shared" si="158"/>
        <v>44650</v>
      </c>
      <c r="C1942" s="1">
        <f t="shared" si="159"/>
        <v>5810</v>
      </c>
      <c r="D1942" s="1">
        <f t="shared" si="160"/>
        <v>1371</v>
      </c>
      <c r="E1942" s="1">
        <f t="shared" si="161"/>
        <v>2945</v>
      </c>
      <c r="F1942" s="1"/>
      <c r="L1942" s="11">
        <v>44650</v>
      </c>
      <c r="M1942" s="9">
        <v>5810</v>
      </c>
      <c r="N1942" s="9">
        <v>1371</v>
      </c>
      <c r="O1942" s="9">
        <v>2945</v>
      </c>
      <c r="P1942" s="9">
        <v>0</v>
      </c>
      <c r="R1942" s="11"/>
      <c r="S1942" s="9"/>
      <c r="T1942" s="9"/>
      <c r="U1942" s="9"/>
    </row>
    <row r="1943" spans="2:21" x14ac:dyDescent="0.4">
      <c r="B1943" s="16">
        <f t="shared" si="158"/>
        <v>44651</v>
      </c>
      <c r="C1943" s="1">
        <f t="shared" si="159"/>
        <v>5793</v>
      </c>
      <c r="D1943" s="1">
        <f t="shared" si="160"/>
        <v>1401</v>
      </c>
      <c r="E1943" s="1">
        <f t="shared" si="161"/>
        <v>2945</v>
      </c>
      <c r="F1943" s="1"/>
      <c r="L1943" s="11">
        <v>44651</v>
      </c>
      <c r="M1943" s="9">
        <v>5793</v>
      </c>
      <c r="N1943" s="9">
        <v>1401</v>
      </c>
      <c r="O1943" s="9">
        <v>2945</v>
      </c>
      <c r="P1943" s="9">
        <v>0</v>
      </c>
      <c r="R1943" s="11"/>
      <c r="S1943" s="9"/>
      <c r="T1943" s="9"/>
      <c r="U1943" s="9"/>
    </row>
    <row r="1944" spans="2:21" x14ac:dyDescent="0.4">
      <c r="B1944" s="16">
        <f t="shared" si="158"/>
        <v>44652</v>
      </c>
      <c r="C1944" s="1">
        <f t="shared" si="159"/>
        <v>5789</v>
      </c>
      <c r="D1944" s="1">
        <f t="shared" si="160"/>
        <v>1401</v>
      </c>
      <c r="E1944" s="1">
        <f t="shared" si="161"/>
        <v>2945</v>
      </c>
      <c r="F1944" s="1"/>
      <c r="L1944" s="11">
        <v>44652</v>
      </c>
      <c r="M1944" s="9">
        <v>5789</v>
      </c>
      <c r="N1944" s="9">
        <v>1401</v>
      </c>
      <c r="O1944" s="9">
        <v>2945</v>
      </c>
      <c r="P1944" s="9">
        <v>0</v>
      </c>
      <c r="R1944" s="11"/>
      <c r="S1944" s="9"/>
      <c r="T1944" s="9"/>
      <c r="U1944" s="9"/>
    </row>
    <row r="1945" spans="2:21" x14ac:dyDescent="0.4">
      <c r="B1945" s="16">
        <f t="shared" si="158"/>
        <v>44653</v>
      </c>
      <c r="C1945" s="1">
        <f t="shared" si="159"/>
        <v>5786</v>
      </c>
      <c r="D1945" s="1">
        <f t="shared" si="160"/>
        <v>1401</v>
      </c>
      <c r="E1945" s="1">
        <f t="shared" si="161"/>
        <v>2945</v>
      </c>
      <c r="F1945" s="1"/>
      <c r="L1945" s="11">
        <v>44653</v>
      </c>
      <c r="M1945" s="9">
        <v>5786</v>
      </c>
      <c r="N1945" s="9">
        <v>0</v>
      </c>
      <c r="O1945" s="9">
        <v>2945</v>
      </c>
      <c r="P1945" s="9">
        <v>0</v>
      </c>
      <c r="R1945" s="11"/>
      <c r="S1945" s="9"/>
      <c r="T1945" s="9"/>
      <c r="U1945" s="9"/>
    </row>
    <row r="1946" spans="2:21" x14ac:dyDescent="0.4">
      <c r="B1946" s="16">
        <f t="shared" si="158"/>
        <v>44655</v>
      </c>
      <c r="C1946" s="1">
        <f t="shared" si="159"/>
        <v>5786</v>
      </c>
      <c r="D1946" s="1">
        <f t="shared" si="160"/>
        <v>1401</v>
      </c>
      <c r="E1946" s="1">
        <f t="shared" si="161"/>
        <v>2945</v>
      </c>
      <c r="F1946" s="1"/>
      <c r="L1946" s="11">
        <v>44655</v>
      </c>
      <c r="M1946" s="9">
        <v>0</v>
      </c>
      <c r="N1946" s="9">
        <v>1401</v>
      </c>
      <c r="O1946" s="9">
        <v>0</v>
      </c>
      <c r="P1946" s="9">
        <v>0</v>
      </c>
      <c r="R1946" s="11"/>
      <c r="S1946" s="9"/>
      <c r="T1946" s="9"/>
      <c r="U1946" s="9"/>
    </row>
    <row r="1947" spans="2:21" x14ac:dyDescent="0.4">
      <c r="B1947" s="16">
        <f t="shared" si="158"/>
        <v>44656</v>
      </c>
      <c r="C1947" s="1">
        <f t="shared" si="159"/>
        <v>5786</v>
      </c>
      <c r="D1947" s="1">
        <f t="shared" si="160"/>
        <v>1401</v>
      </c>
      <c r="E1947" s="1">
        <f t="shared" si="161"/>
        <v>2945</v>
      </c>
      <c r="F1947" s="1"/>
      <c r="L1947" s="11">
        <v>44656</v>
      </c>
      <c r="M1947" s="9">
        <v>0</v>
      </c>
      <c r="N1947" s="9">
        <v>1401</v>
      </c>
      <c r="O1947" s="9">
        <v>0</v>
      </c>
      <c r="P1947" s="9">
        <v>0</v>
      </c>
      <c r="R1947" s="11"/>
      <c r="S1947" s="9"/>
      <c r="T1947" s="9"/>
      <c r="U1947" s="9"/>
    </row>
    <row r="1948" spans="2:21" x14ac:dyDescent="0.4">
      <c r="B1948" s="16">
        <f t="shared" si="158"/>
        <v>44657</v>
      </c>
      <c r="C1948" s="1">
        <f t="shared" si="159"/>
        <v>5824</v>
      </c>
      <c r="D1948" s="1">
        <f t="shared" si="160"/>
        <v>1381</v>
      </c>
      <c r="E1948" s="1">
        <f t="shared" si="161"/>
        <v>2935</v>
      </c>
      <c r="F1948" s="1"/>
      <c r="L1948" s="11">
        <v>44657</v>
      </c>
      <c r="M1948" s="9">
        <v>5824</v>
      </c>
      <c r="N1948" s="9">
        <v>1381</v>
      </c>
      <c r="O1948" s="9">
        <v>2935</v>
      </c>
      <c r="P1948" s="9">
        <v>0</v>
      </c>
      <c r="R1948" s="11"/>
      <c r="S1948" s="9"/>
      <c r="T1948" s="9"/>
      <c r="U1948" s="9"/>
    </row>
    <row r="1949" spans="2:21" x14ac:dyDescent="0.4">
      <c r="B1949" s="16">
        <f t="shared" si="158"/>
        <v>44658</v>
      </c>
      <c r="C1949" s="1">
        <f t="shared" si="159"/>
        <v>5834</v>
      </c>
      <c r="D1949" s="1">
        <f t="shared" si="160"/>
        <v>1381</v>
      </c>
      <c r="E1949" s="1">
        <f t="shared" si="161"/>
        <v>2935</v>
      </c>
      <c r="F1949" s="1"/>
      <c r="L1949" s="11">
        <v>44658</v>
      </c>
      <c r="M1949" s="9">
        <v>5834</v>
      </c>
      <c r="N1949" s="9">
        <v>1381</v>
      </c>
      <c r="O1949" s="9">
        <v>2935</v>
      </c>
      <c r="P1949" s="9">
        <v>0</v>
      </c>
      <c r="R1949" s="11"/>
      <c r="S1949" s="9"/>
      <c r="T1949" s="9"/>
      <c r="U1949" s="9"/>
    </row>
    <row r="1950" spans="2:21" x14ac:dyDescent="0.4">
      <c r="B1950" s="16">
        <f t="shared" si="158"/>
        <v>44659</v>
      </c>
      <c r="C1950" s="1">
        <f t="shared" si="159"/>
        <v>5816</v>
      </c>
      <c r="D1950" s="1">
        <f t="shared" si="160"/>
        <v>1371</v>
      </c>
      <c r="E1950" s="1">
        <f t="shared" si="161"/>
        <v>2935</v>
      </c>
      <c r="F1950" s="1"/>
      <c r="L1950" s="11">
        <v>44659</v>
      </c>
      <c r="M1950" s="9">
        <v>5816</v>
      </c>
      <c r="N1950" s="9">
        <v>1371</v>
      </c>
      <c r="O1950" s="9">
        <v>2935</v>
      </c>
      <c r="P1950" s="9">
        <v>0</v>
      </c>
      <c r="R1950" s="11"/>
      <c r="S1950" s="9"/>
      <c r="T1950" s="9"/>
      <c r="U1950" s="9"/>
    </row>
    <row r="1951" spans="2:21" x14ac:dyDescent="0.4">
      <c r="B1951" s="16">
        <f t="shared" si="158"/>
        <v>44662</v>
      </c>
      <c r="C1951" s="1">
        <f t="shared" si="159"/>
        <v>5768</v>
      </c>
      <c r="D1951" s="1">
        <f t="shared" si="160"/>
        <v>1351</v>
      </c>
      <c r="E1951" s="1">
        <f t="shared" si="161"/>
        <v>2930</v>
      </c>
      <c r="F1951" s="1"/>
      <c r="L1951" s="11">
        <v>44662</v>
      </c>
      <c r="M1951" s="9">
        <v>5768</v>
      </c>
      <c r="N1951" s="9">
        <v>1351</v>
      </c>
      <c r="O1951" s="9">
        <v>2930</v>
      </c>
      <c r="P1951" s="9">
        <v>0</v>
      </c>
      <c r="R1951" s="11"/>
      <c r="S1951" s="9"/>
      <c r="T1951" s="9"/>
      <c r="U1951" s="9"/>
    </row>
    <row r="1952" spans="2:21" x14ac:dyDescent="0.4">
      <c r="B1952" s="16">
        <f t="shared" si="158"/>
        <v>44663</v>
      </c>
      <c r="C1952" s="1">
        <f t="shared" si="159"/>
        <v>5751</v>
      </c>
      <c r="D1952" s="1">
        <f t="shared" si="160"/>
        <v>1351</v>
      </c>
      <c r="E1952" s="1">
        <f t="shared" si="161"/>
        <v>2930</v>
      </c>
      <c r="F1952" s="1"/>
      <c r="L1952" s="11">
        <v>44663</v>
      </c>
      <c r="M1952" s="9">
        <v>5751</v>
      </c>
      <c r="N1952" s="9">
        <v>1351</v>
      </c>
      <c r="O1952" s="9">
        <v>2930</v>
      </c>
      <c r="P1952" s="9">
        <v>0</v>
      </c>
      <c r="R1952" s="11"/>
      <c r="S1952" s="9"/>
      <c r="T1952" s="9"/>
      <c r="U1952" s="9"/>
    </row>
    <row r="1953" spans="2:21" x14ac:dyDescent="0.4">
      <c r="B1953" s="16">
        <f t="shared" si="158"/>
        <v>44664</v>
      </c>
      <c r="C1953" s="1">
        <f t="shared" si="159"/>
        <v>5752</v>
      </c>
      <c r="D1953" s="1">
        <f t="shared" si="160"/>
        <v>1311</v>
      </c>
      <c r="E1953" s="1">
        <f t="shared" si="161"/>
        <v>2925</v>
      </c>
      <c r="F1953" s="1"/>
      <c r="L1953" s="11">
        <v>44664</v>
      </c>
      <c r="M1953" s="9">
        <v>5752</v>
      </c>
      <c r="N1953" s="9">
        <v>1311</v>
      </c>
      <c r="O1953" s="9">
        <v>2925</v>
      </c>
      <c r="P1953" s="9">
        <v>0</v>
      </c>
      <c r="R1953" s="11"/>
      <c r="S1953" s="9"/>
      <c r="T1953" s="9"/>
      <c r="U1953" s="9"/>
    </row>
    <row r="1954" spans="2:21" x14ac:dyDescent="0.4">
      <c r="B1954" s="16">
        <f t="shared" si="158"/>
        <v>44665</v>
      </c>
      <c r="C1954" s="1">
        <f t="shared" si="159"/>
        <v>5749</v>
      </c>
      <c r="D1954" s="1">
        <f t="shared" si="160"/>
        <v>1311</v>
      </c>
      <c r="E1954" s="1">
        <f t="shared" si="161"/>
        <v>2925</v>
      </c>
      <c r="F1954" s="1"/>
      <c r="L1954" s="11">
        <v>44665</v>
      </c>
      <c r="M1954" s="9">
        <v>5749</v>
      </c>
      <c r="N1954" s="9">
        <v>1311</v>
      </c>
      <c r="O1954" s="9">
        <v>2925</v>
      </c>
      <c r="P1954" s="9">
        <v>0</v>
      </c>
      <c r="R1954" s="11"/>
      <c r="S1954" s="9"/>
      <c r="T1954" s="9"/>
      <c r="U1954" s="9"/>
    </row>
    <row r="1955" spans="2:21" x14ac:dyDescent="0.4">
      <c r="B1955" s="16">
        <f t="shared" si="158"/>
        <v>44666</v>
      </c>
      <c r="C1955" s="1">
        <f t="shared" si="159"/>
        <v>5763</v>
      </c>
      <c r="D1955" s="1">
        <f t="shared" si="160"/>
        <v>1311</v>
      </c>
      <c r="E1955" s="1">
        <f t="shared" si="161"/>
        <v>2935</v>
      </c>
      <c r="F1955" s="1"/>
      <c r="L1955" s="11">
        <v>44666</v>
      </c>
      <c r="M1955" s="9">
        <v>5763</v>
      </c>
      <c r="N1955" s="9">
        <v>1311</v>
      </c>
      <c r="O1955" s="9">
        <v>2935</v>
      </c>
      <c r="P1955" s="9">
        <v>0</v>
      </c>
      <c r="R1955" s="11"/>
      <c r="S1955" s="9"/>
      <c r="T1955" s="9"/>
      <c r="U1955" s="9"/>
    </row>
    <row r="1956" spans="2:21" x14ac:dyDescent="0.4">
      <c r="B1956" s="16">
        <f t="shared" si="158"/>
        <v>44669</v>
      </c>
      <c r="C1956" s="1">
        <f t="shared" si="159"/>
        <v>5794</v>
      </c>
      <c r="D1956" s="1">
        <f t="shared" si="160"/>
        <v>1311</v>
      </c>
      <c r="E1956" s="1">
        <f t="shared" si="161"/>
        <v>2940</v>
      </c>
      <c r="F1956" s="1"/>
      <c r="L1956" s="11">
        <v>44669</v>
      </c>
      <c r="M1956" s="9">
        <v>5794</v>
      </c>
      <c r="N1956" s="9">
        <v>1311</v>
      </c>
      <c r="O1956" s="9">
        <v>2940</v>
      </c>
      <c r="P1956" s="9">
        <v>0</v>
      </c>
      <c r="R1956" s="11"/>
      <c r="S1956" s="9"/>
      <c r="T1956" s="9"/>
      <c r="U1956" s="9"/>
    </row>
    <row r="1957" spans="2:21" x14ac:dyDescent="0.4">
      <c r="B1957" s="16">
        <f t="shared" si="158"/>
        <v>44670</v>
      </c>
      <c r="C1957" s="1">
        <f t="shared" si="159"/>
        <v>5829</v>
      </c>
      <c r="D1957" s="1">
        <f t="shared" si="160"/>
        <v>1311</v>
      </c>
      <c r="E1957" s="1">
        <f t="shared" si="161"/>
        <v>2940</v>
      </c>
      <c r="F1957" s="1"/>
      <c r="L1957" s="11">
        <v>44670</v>
      </c>
      <c r="M1957" s="9">
        <v>5829</v>
      </c>
      <c r="N1957" s="9">
        <v>1311</v>
      </c>
      <c r="O1957" s="9">
        <v>2940</v>
      </c>
      <c r="P1957" s="9">
        <v>0</v>
      </c>
      <c r="R1957" s="11"/>
      <c r="S1957" s="9"/>
      <c r="T1957" s="9"/>
      <c r="U1957" s="9"/>
    </row>
    <row r="1958" spans="2:21" x14ac:dyDescent="0.4">
      <c r="B1958" s="16">
        <f t="shared" si="158"/>
        <v>44671</v>
      </c>
      <c r="C1958" s="1">
        <f t="shared" si="159"/>
        <v>5840</v>
      </c>
      <c r="D1958" s="1">
        <f t="shared" si="160"/>
        <v>1311</v>
      </c>
      <c r="E1958" s="1">
        <f t="shared" si="161"/>
        <v>2940</v>
      </c>
      <c r="F1958" s="1"/>
      <c r="L1958" s="11">
        <v>44671</v>
      </c>
      <c r="M1958" s="9">
        <v>5840</v>
      </c>
      <c r="N1958" s="9">
        <v>1311</v>
      </c>
      <c r="O1958" s="9">
        <v>2940</v>
      </c>
      <c r="P1958" s="9">
        <v>0</v>
      </c>
      <c r="R1958" s="11"/>
      <c r="S1958" s="9"/>
      <c r="T1958" s="9"/>
      <c r="U1958" s="9"/>
    </row>
    <row r="1959" spans="2:21" x14ac:dyDescent="0.4">
      <c r="B1959" s="16">
        <f t="shared" si="158"/>
        <v>44672</v>
      </c>
      <c r="C1959" s="1">
        <f t="shared" si="159"/>
        <v>5843</v>
      </c>
      <c r="D1959" s="1">
        <f t="shared" si="160"/>
        <v>1311</v>
      </c>
      <c r="E1959" s="1">
        <f t="shared" si="161"/>
        <v>2940</v>
      </c>
      <c r="F1959" s="1"/>
      <c r="L1959" s="11">
        <v>44672</v>
      </c>
      <c r="M1959" s="9">
        <v>5843</v>
      </c>
      <c r="N1959" s="9">
        <v>1311</v>
      </c>
      <c r="O1959" s="9">
        <v>2940</v>
      </c>
      <c r="P1959" s="9">
        <v>0</v>
      </c>
      <c r="R1959" s="11"/>
      <c r="S1959" s="9"/>
      <c r="T1959" s="9"/>
      <c r="U1959" s="9"/>
    </row>
    <row r="1960" spans="2:21" x14ac:dyDescent="0.4">
      <c r="B1960" s="16">
        <f t="shared" si="158"/>
        <v>44673</v>
      </c>
      <c r="C1960" s="1">
        <f t="shared" si="159"/>
        <v>5843</v>
      </c>
      <c r="D1960" s="1">
        <f t="shared" si="160"/>
        <v>1301</v>
      </c>
      <c r="E1960" s="1">
        <f t="shared" si="161"/>
        <v>2945</v>
      </c>
      <c r="F1960" s="1"/>
      <c r="L1960" s="11">
        <v>44673</v>
      </c>
      <c r="M1960" s="9">
        <v>5843</v>
      </c>
      <c r="N1960" s="9">
        <v>1301</v>
      </c>
      <c r="O1960" s="9">
        <v>2945</v>
      </c>
      <c r="P1960" s="9">
        <v>0</v>
      </c>
      <c r="R1960" s="11"/>
      <c r="S1960" s="9"/>
      <c r="T1960" s="9"/>
      <c r="U1960" s="9"/>
    </row>
    <row r="1961" spans="2:21" x14ac:dyDescent="0.4">
      <c r="B1961" s="16">
        <f t="shared" si="158"/>
        <v>44675</v>
      </c>
      <c r="C1961" s="1">
        <f t="shared" si="159"/>
        <v>5818</v>
      </c>
      <c r="D1961" s="1">
        <f t="shared" si="160"/>
        <v>1301</v>
      </c>
      <c r="E1961" s="1">
        <f t="shared" si="161"/>
        <v>2960</v>
      </c>
      <c r="F1961" s="1"/>
      <c r="L1961" s="11">
        <v>44675</v>
      </c>
      <c r="M1961" s="9">
        <v>5818</v>
      </c>
      <c r="N1961" s="9">
        <v>0</v>
      </c>
      <c r="O1961" s="9">
        <v>2960</v>
      </c>
      <c r="P1961" s="9">
        <v>0</v>
      </c>
      <c r="R1961" s="11"/>
      <c r="S1961" s="9"/>
      <c r="T1961" s="9"/>
      <c r="U1961" s="9"/>
    </row>
    <row r="1962" spans="2:21" x14ac:dyDescent="0.4">
      <c r="B1962" s="16">
        <f t="shared" si="158"/>
        <v>44676</v>
      </c>
      <c r="C1962" s="1">
        <f t="shared" si="159"/>
        <v>5785</v>
      </c>
      <c r="D1962" s="1">
        <f t="shared" si="160"/>
        <v>1281</v>
      </c>
      <c r="E1962" s="1">
        <f t="shared" si="161"/>
        <v>2990</v>
      </c>
      <c r="F1962" s="1"/>
      <c r="L1962" s="11">
        <v>44676</v>
      </c>
      <c r="M1962" s="9">
        <v>5785</v>
      </c>
      <c r="N1962" s="9">
        <v>1281</v>
      </c>
      <c r="O1962" s="9">
        <v>2990</v>
      </c>
      <c r="P1962" s="9">
        <v>0</v>
      </c>
      <c r="R1962" s="11"/>
      <c r="S1962" s="9"/>
      <c r="T1962" s="9"/>
      <c r="U1962" s="9"/>
    </row>
    <row r="1963" spans="2:21" x14ac:dyDescent="0.4">
      <c r="B1963" s="16">
        <f t="shared" si="158"/>
        <v>44677</v>
      </c>
      <c r="C1963" s="1">
        <f t="shared" si="159"/>
        <v>5750</v>
      </c>
      <c r="D1963" s="1">
        <f t="shared" si="160"/>
        <v>1281</v>
      </c>
      <c r="E1963" s="1">
        <f t="shared" si="161"/>
        <v>3005</v>
      </c>
      <c r="F1963" s="1"/>
      <c r="L1963" s="11">
        <v>44677</v>
      </c>
      <c r="M1963" s="9">
        <v>5750</v>
      </c>
      <c r="N1963" s="9">
        <v>1281</v>
      </c>
      <c r="O1963" s="9">
        <v>3005</v>
      </c>
      <c r="P1963" s="9">
        <v>0</v>
      </c>
      <c r="R1963" s="11"/>
      <c r="S1963" s="9"/>
      <c r="T1963" s="9"/>
      <c r="U1963" s="9"/>
    </row>
    <row r="1964" spans="2:21" x14ac:dyDescent="0.4">
      <c r="B1964" s="16">
        <f t="shared" si="158"/>
        <v>44678</v>
      </c>
      <c r="C1964" s="1">
        <f t="shared" si="159"/>
        <v>5751</v>
      </c>
      <c r="D1964" s="1">
        <f t="shared" si="160"/>
        <v>1281</v>
      </c>
      <c r="E1964" s="1">
        <f t="shared" si="161"/>
        <v>3025</v>
      </c>
      <c r="F1964" s="1"/>
      <c r="L1964" s="11">
        <v>44678</v>
      </c>
      <c r="M1964" s="9">
        <v>5751</v>
      </c>
      <c r="N1964" s="9">
        <v>1281</v>
      </c>
      <c r="O1964" s="9">
        <v>3025</v>
      </c>
      <c r="P1964" s="9">
        <v>0</v>
      </c>
      <c r="R1964" s="11"/>
      <c r="S1964" s="9"/>
      <c r="T1964" s="9"/>
      <c r="U1964" s="9"/>
    </row>
    <row r="1965" spans="2:21" x14ac:dyDescent="0.4">
      <c r="B1965" s="16">
        <f t="shared" si="158"/>
        <v>44679</v>
      </c>
      <c r="C1965" s="1">
        <f t="shared" si="159"/>
        <v>5758</v>
      </c>
      <c r="D1965" s="1">
        <f t="shared" si="160"/>
        <v>1241</v>
      </c>
      <c r="E1965" s="1">
        <f t="shared" si="161"/>
        <v>3050</v>
      </c>
      <c r="F1965" s="1"/>
      <c r="L1965" s="11">
        <v>44679</v>
      </c>
      <c r="M1965" s="9">
        <v>5758</v>
      </c>
      <c r="N1965" s="9">
        <v>1241</v>
      </c>
      <c r="O1965" s="9">
        <v>3050</v>
      </c>
      <c r="P1965" s="9">
        <v>0</v>
      </c>
      <c r="R1965" s="11"/>
      <c r="S1965" s="9"/>
      <c r="T1965" s="9"/>
      <c r="U1965" s="9"/>
    </row>
    <row r="1966" spans="2:21" x14ac:dyDescent="0.4">
      <c r="B1966" s="16">
        <f t="shared" si="158"/>
        <v>44680</v>
      </c>
      <c r="C1966" s="1">
        <f t="shared" si="159"/>
        <v>5782</v>
      </c>
      <c r="D1966" s="1">
        <f t="shared" si="160"/>
        <v>1211</v>
      </c>
      <c r="E1966" s="1">
        <f t="shared" si="161"/>
        <v>3065</v>
      </c>
      <c r="F1966" s="1"/>
      <c r="L1966" s="11">
        <v>44680</v>
      </c>
      <c r="M1966" s="9">
        <v>5782</v>
      </c>
      <c r="N1966" s="9">
        <v>1211</v>
      </c>
      <c r="O1966" s="9">
        <v>3065</v>
      </c>
      <c r="P1966" s="9">
        <v>0</v>
      </c>
      <c r="R1966" s="11"/>
      <c r="S1966" s="9"/>
      <c r="T1966" s="9"/>
      <c r="U1966" s="9"/>
    </row>
    <row r="1967" spans="2:21" x14ac:dyDescent="0.4">
      <c r="B1967" s="16">
        <f t="shared" si="158"/>
        <v>44683</v>
      </c>
      <c r="C1967" s="1">
        <f t="shared" si="159"/>
        <v>5782</v>
      </c>
      <c r="D1967" s="1">
        <f t="shared" si="160"/>
        <v>1211</v>
      </c>
      <c r="E1967" s="1">
        <f t="shared" si="161"/>
        <v>3065</v>
      </c>
      <c r="F1967" s="1"/>
      <c r="L1967" s="11">
        <v>44683</v>
      </c>
      <c r="M1967" s="9">
        <v>0</v>
      </c>
      <c r="N1967" s="9">
        <v>1211</v>
      </c>
      <c r="O1967" s="9">
        <v>0</v>
      </c>
      <c r="P1967" s="9">
        <v>0</v>
      </c>
      <c r="R1967" s="11"/>
      <c r="S1967" s="9"/>
      <c r="T1967" s="9"/>
      <c r="U1967" s="9"/>
    </row>
    <row r="1968" spans="2:21" x14ac:dyDescent="0.4">
      <c r="B1968" s="16">
        <f t="shared" si="158"/>
        <v>44685</v>
      </c>
      <c r="C1968" s="1">
        <f t="shared" si="159"/>
        <v>5782</v>
      </c>
      <c r="D1968" s="1">
        <f t="shared" si="160"/>
        <v>1211</v>
      </c>
      <c r="E1968" s="1">
        <f t="shared" si="161"/>
        <v>3065</v>
      </c>
      <c r="F1968" s="1"/>
      <c r="L1968" s="11">
        <v>44685</v>
      </c>
      <c r="M1968" s="9">
        <v>0</v>
      </c>
      <c r="N1968" s="9">
        <v>1211</v>
      </c>
      <c r="O1968" s="9">
        <v>0</v>
      </c>
      <c r="P1968" s="9">
        <v>0</v>
      </c>
      <c r="R1968" s="11"/>
      <c r="S1968" s="9"/>
      <c r="T1968" s="9"/>
      <c r="U1968" s="9"/>
    </row>
    <row r="1969" spans="2:21" x14ac:dyDescent="0.4">
      <c r="B1969" s="16">
        <f t="shared" si="158"/>
        <v>44686</v>
      </c>
      <c r="C1969" s="1">
        <f t="shared" si="159"/>
        <v>5851</v>
      </c>
      <c r="D1969" s="1">
        <f t="shared" si="160"/>
        <v>1211</v>
      </c>
      <c r="E1969" s="1">
        <f t="shared" si="161"/>
        <v>3085</v>
      </c>
      <c r="F1969" s="1">
        <f>IF(P1969&lt;&gt;0,P1969,F1968)</f>
        <v>3000</v>
      </c>
      <c r="L1969" s="11">
        <v>44686</v>
      </c>
      <c r="M1969" s="9">
        <v>5851</v>
      </c>
      <c r="N1969" s="9">
        <v>1211</v>
      </c>
      <c r="O1969" s="9">
        <v>3085</v>
      </c>
      <c r="P1969" s="9">
        <v>3000</v>
      </c>
      <c r="R1969" s="11"/>
      <c r="S1969" s="9"/>
      <c r="T1969" s="9"/>
      <c r="U1969" s="9"/>
    </row>
    <row r="1970" spans="2:21" x14ac:dyDescent="0.4">
      <c r="B1970" s="16">
        <f t="shared" si="158"/>
        <v>44687</v>
      </c>
      <c r="C1970" s="1">
        <f t="shared" si="159"/>
        <v>5882</v>
      </c>
      <c r="D1970" s="1">
        <f t="shared" si="160"/>
        <v>1191</v>
      </c>
      <c r="E1970" s="1">
        <f t="shared" si="161"/>
        <v>3110</v>
      </c>
      <c r="F1970" s="1">
        <f t="shared" ref="F1970:F2033" si="162">IF(P1970&lt;&gt;0,P1970,F1969)</f>
        <v>3000</v>
      </c>
      <c r="L1970" s="11">
        <v>44687</v>
      </c>
      <c r="M1970" s="9">
        <v>5882</v>
      </c>
      <c r="N1970" s="9">
        <v>1191</v>
      </c>
      <c r="O1970" s="9">
        <v>3110</v>
      </c>
      <c r="P1970" s="9">
        <v>3000</v>
      </c>
      <c r="R1970" s="11"/>
      <c r="S1970" s="9"/>
      <c r="T1970" s="9"/>
      <c r="U1970" s="9"/>
    </row>
    <row r="1971" spans="2:21" x14ac:dyDescent="0.4">
      <c r="B1971" s="16">
        <f t="shared" si="158"/>
        <v>44688</v>
      </c>
      <c r="C1971" s="1">
        <f t="shared" si="159"/>
        <v>5880</v>
      </c>
      <c r="D1971" s="1">
        <f t="shared" si="160"/>
        <v>1191</v>
      </c>
      <c r="E1971" s="1">
        <f t="shared" si="161"/>
        <v>3150</v>
      </c>
      <c r="F1971" s="1">
        <f t="shared" si="162"/>
        <v>3000</v>
      </c>
      <c r="L1971" s="11">
        <v>44688</v>
      </c>
      <c r="M1971" s="9">
        <v>5880</v>
      </c>
      <c r="N1971" s="9">
        <v>0</v>
      </c>
      <c r="O1971" s="9">
        <v>3150</v>
      </c>
      <c r="P1971" s="9">
        <v>3000</v>
      </c>
      <c r="R1971" s="11"/>
      <c r="S1971" s="9"/>
      <c r="T1971" s="9"/>
      <c r="U1971" s="9"/>
    </row>
    <row r="1972" spans="2:21" x14ac:dyDescent="0.4">
      <c r="B1972" s="16">
        <f t="shared" si="158"/>
        <v>44690</v>
      </c>
      <c r="C1972" s="1">
        <f t="shared" si="159"/>
        <v>5908</v>
      </c>
      <c r="D1972" s="1">
        <f t="shared" si="160"/>
        <v>1191</v>
      </c>
      <c r="E1972" s="1">
        <f t="shared" si="161"/>
        <v>3190</v>
      </c>
      <c r="F1972" s="1">
        <f t="shared" si="162"/>
        <v>3000</v>
      </c>
      <c r="L1972" s="11">
        <v>44690</v>
      </c>
      <c r="M1972" s="9">
        <v>5908</v>
      </c>
      <c r="N1972" s="9">
        <v>1191</v>
      </c>
      <c r="O1972" s="9">
        <v>3190</v>
      </c>
      <c r="P1972" s="9">
        <v>3000</v>
      </c>
      <c r="R1972" s="11"/>
      <c r="S1972" s="9"/>
      <c r="T1972" s="9"/>
      <c r="U1972" s="9"/>
    </row>
    <row r="1973" spans="2:21" x14ac:dyDescent="0.4">
      <c r="B1973" s="16">
        <f t="shared" si="158"/>
        <v>44691</v>
      </c>
      <c r="C1973" s="1">
        <f t="shared" si="159"/>
        <v>5899</v>
      </c>
      <c r="D1973" s="1">
        <f t="shared" si="160"/>
        <v>1191</v>
      </c>
      <c r="E1973" s="1">
        <f t="shared" si="161"/>
        <v>3240</v>
      </c>
      <c r="F1973" s="1">
        <f t="shared" si="162"/>
        <v>3000</v>
      </c>
      <c r="L1973" s="11">
        <v>44691</v>
      </c>
      <c r="M1973" s="9">
        <v>5899</v>
      </c>
      <c r="N1973" s="9">
        <v>1191</v>
      </c>
      <c r="O1973" s="9">
        <v>3240</v>
      </c>
      <c r="P1973" s="9">
        <v>3000</v>
      </c>
      <c r="R1973" s="11"/>
      <c r="S1973" s="9"/>
      <c r="T1973" s="9"/>
      <c r="U1973" s="9"/>
    </row>
    <row r="1974" spans="2:21" x14ac:dyDescent="0.4">
      <c r="B1974" s="16">
        <f t="shared" si="158"/>
        <v>44692</v>
      </c>
      <c r="C1974" s="1">
        <f t="shared" si="159"/>
        <v>5929</v>
      </c>
      <c r="D1974" s="1">
        <f t="shared" si="160"/>
        <v>1171</v>
      </c>
      <c r="E1974" s="1">
        <f t="shared" si="161"/>
        <v>3250</v>
      </c>
      <c r="F1974" s="1">
        <f t="shared" si="162"/>
        <v>3000</v>
      </c>
      <c r="L1974" s="11">
        <v>44692</v>
      </c>
      <c r="M1974" s="9">
        <v>5929</v>
      </c>
      <c r="N1974" s="9">
        <v>1171</v>
      </c>
      <c r="O1974" s="9">
        <v>3250</v>
      </c>
      <c r="P1974" s="9">
        <v>3000</v>
      </c>
      <c r="R1974" s="11"/>
      <c r="S1974" s="9"/>
      <c r="T1974" s="9"/>
      <c r="U1974" s="9"/>
    </row>
    <row r="1975" spans="2:21" x14ac:dyDescent="0.4">
      <c r="B1975" s="16">
        <f t="shared" si="158"/>
        <v>44693</v>
      </c>
      <c r="C1975" s="1">
        <f t="shared" si="159"/>
        <v>5969</v>
      </c>
      <c r="D1975" s="1">
        <f t="shared" si="160"/>
        <v>1171</v>
      </c>
      <c r="E1975" s="1">
        <f t="shared" si="161"/>
        <v>3265</v>
      </c>
      <c r="F1975" s="1">
        <f t="shared" si="162"/>
        <v>3000</v>
      </c>
      <c r="L1975" s="11">
        <v>44693</v>
      </c>
      <c r="M1975" s="9">
        <v>5969</v>
      </c>
      <c r="N1975" s="9">
        <v>1171</v>
      </c>
      <c r="O1975" s="9">
        <v>3265</v>
      </c>
      <c r="P1975" s="9">
        <v>3000</v>
      </c>
      <c r="R1975" s="11"/>
      <c r="S1975" s="9"/>
      <c r="T1975" s="9"/>
      <c r="U1975" s="9"/>
    </row>
    <row r="1976" spans="2:21" x14ac:dyDescent="0.4">
      <c r="B1976" s="16">
        <f t="shared" si="158"/>
        <v>44694</v>
      </c>
      <c r="C1976" s="1">
        <f t="shared" si="159"/>
        <v>5996</v>
      </c>
      <c r="D1976" s="1">
        <f t="shared" si="160"/>
        <v>1171</v>
      </c>
      <c r="E1976" s="1">
        <f t="shared" si="161"/>
        <v>3265</v>
      </c>
      <c r="F1976" s="1">
        <f t="shared" si="162"/>
        <v>3000</v>
      </c>
      <c r="L1976" s="11">
        <v>44694</v>
      </c>
      <c r="M1976" s="9">
        <v>5996</v>
      </c>
      <c r="N1976" s="9">
        <v>1171</v>
      </c>
      <c r="O1976" s="9">
        <v>3265</v>
      </c>
      <c r="P1976" s="9">
        <v>3000</v>
      </c>
      <c r="R1976" s="11"/>
      <c r="S1976" s="9"/>
      <c r="T1976" s="9"/>
      <c r="U1976" s="9"/>
    </row>
    <row r="1977" spans="2:21" x14ac:dyDescent="0.4">
      <c r="B1977" s="16">
        <f t="shared" si="158"/>
        <v>44697</v>
      </c>
      <c r="C1977" s="1">
        <f t="shared" si="159"/>
        <v>6014</v>
      </c>
      <c r="D1977" s="1">
        <f t="shared" si="160"/>
        <v>1171</v>
      </c>
      <c r="E1977" s="1">
        <f t="shared" si="161"/>
        <v>3265</v>
      </c>
      <c r="F1977" s="1">
        <f t="shared" si="162"/>
        <v>3000</v>
      </c>
      <c r="L1977" s="11">
        <v>44697</v>
      </c>
      <c r="M1977" s="9">
        <v>6014</v>
      </c>
      <c r="N1977" s="9">
        <v>0</v>
      </c>
      <c r="O1977" s="9">
        <v>3265</v>
      </c>
      <c r="P1977" s="9">
        <v>3000</v>
      </c>
      <c r="R1977" s="11"/>
      <c r="S1977" s="9"/>
      <c r="T1977" s="9"/>
      <c r="U1977" s="9"/>
    </row>
    <row r="1978" spans="2:21" x14ac:dyDescent="0.4">
      <c r="B1978" s="16">
        <f t="shared" si="158"/>
        <v>44698</v>
      </c>
      <c r="C1978" s="1">
        <f t="shared" si="159"/>
        <v>6010</v>
      </c>
      <c r="D1978" s="1">
        <f t="shared" si="160"/>
        <v>1151</v>
      </c>
      <c r="E1978" s="1">
        <f t="shared" si="161"/>
        <v>3265</v>
      </c>
      <c r="F1978" s="1">
        <f t="shared" si="162"/>
        <v>3000</v>
      </c>
      <c r="L1978" s="11">
        <v>44698</v>
      </c>
      <c r="M1978" s="9">
        <v>6010</v>
      </c>
      <c r="N1978" s="9">
        <v>1151</v>
      </c>
      <c r="O1978" s="9">
        <v>3265</v>
      </c>
      <c r="P1978" s="9">
        <v>3000</v>
      </c>
      <c r="R1978" s="11"/>
      <c r="S1978" s="9"/>
      <c r="T1978" s="9"/>
      <c r="U1978" s="9"/>
    </row>
    <row r="1979" spans="2:21" x14ac:dyDescent="0.4">
      <c r="B1979" s="16">
        <f t="shared" si="158"/>
        <v>44699</v>
      </c>
      <c r="C1979" s="1">
        <f t="shared" si="159"/>
        <v>6009</v>
      </c>
      <c r="D1979" s="1">
        <f t="shared" si="160"/>
        <v>1101</v>
      </c>
      <c r="E1979" s="1">
        <f t="shared" si="161"/>
        <v>3265</v>
      </c>
      <c r="F1979" s="1">
        <f t="shared" si="162"/>
        <v>3000</v>
      </c>
      <c r="L1979" s="11">
        <v>44699</v>
      </c>
      <c r="M1979" s="9">
        <v>6009</v>
      </c>
      <c r="N1979" s="9">
        <v>1101</v>
      </c>
      <c r="O1979" s="9">
        <v>3265</v>
      </c>
      <c r="P1979" s="9">
        <v>3000</v>
      </c>
      <c r="R1979" s="11"/>
      <c r="S1979" s="9"/>
      <c r="T1979" s="9"/>
      <c r="U1979" s="9"/>
    </row>
    <row r="1980" spans="2:21" x14ac:dyDescent="0.4">
      <c r="B1980" s="16">
        <f t="shared" si="158"/>
        <v>44700</v>
      </c>
      <c r="C1980" s="1">
        <f t="shared" si="159"/>
        <v>5989</v>
      </c>
      <c r="D1980" s="1">
        <f t="shared" si="160"/>
        <v>1101</v>
      </c>
      <c r="E1980" s="1">
        <f t="shared" si="161"/>
        <v>3270</v>
      </c>
      <c r="F1980" s="1">
        <f t="shared" si="162"/>
        <v>3000</v>
      </c>
      <c r="L1980" s="11">
        <v>44700</v>
      </c>
      <c r="M1980" s="9">
        <v>5989</v>
      </c>
      <c r="N1980" s="9">
        <v>1101</v>
      </c>
      <c r="O1980" s="9">
        <v>3270</v>
      </c>
      <c r="P1980" s="9">
        <v>3000</v>
      </c>
      <c r="R1980" s="11"/>
      <c r="S1980" s="9"/>
      <c r="T1980" s="9"/>
      <c r="U1980" s="9"/>
    </row>
    <row r="1981" spans="2:21" x14ac:dyDescent="0.4">
      <c r="B1981" s="16">
        <f t="shared" si="158"/>
        <v>44701</v>
      </c>
      <c r="C1981" s="1">
        <f t="shared" si="159"/>
        <v>5986</v>
      </c>
      <c r="D1981" s="1">
        <f t="shared" si="160"/>
        <v>1101</v>
      </c>
      <c r="E1981" s="1">
        <f t="shared" si="161"/>
        <v>3270</v>
      </c>
      <c r="F1981" s="1">
        <f t="shared" si="162"/>
        <v>3000</v>
      </c>
      <c r="L1981" s="11">
        <v>44701</v>
      </c>
      <c r="M1981" s="9">
        <v>5986</v>
      </c>
      <c r="N1981" s="9">
        <v>1101</v>
      </c>
      <c r="O1981" s="9">
        <v>3270</v>
      </c>
      <c r="P1981" s="9">
        <v>3000</v>
      </c>
      <c r="R1981" s="11"/>
      <c r="S1981" s="9"/>
      <c r="T1981" s="9"/>
      <c r="U1981" s="9"/>
    </row>
    <row r="1982" spans="2:21" x14ac:dyDescent="0.4">
      <c r="B1982" s="16">
        <f t="shared" si="158"/>
        <v>44704</v>
      </c>
      <c r="C1982" s="1">
        <f t="shared" si="159"/>
        <v>6016</v>
      </c>
      <c r="D1982" s="1">
        <f t="shared" si="160"/>
        <v>1101</v>
      </c>
      <c r="E1982" s="1">
        <f t="shared" si="161"/>
        <v>3260</v>
      </c>
      <c r="F1982" s="1">
        <f t="shared" si="162"/>
        <v>3000</v>
      </c>
      <c r="L1982" s="11">
        <v>44704</v>
      </c>
      <c r="M1982" s="9">
        <v>6016</v>
      </c>
      <c r="N1982" s="9">
        <v>1101</v>
      </c>
      <c r="O1982" s="9">
        <v>3260</v>
      </c>
      <c r="P1982" s="9">
        <v>3000</v>
      </c>
      <c r="R1982" s="11"/>
      <c r="S1982" s="9"/>
      <c r="T1982" s="9"/>
      <c r="U1982" s="9"/>
    </row>
    <row r="1983" spans="2:21" x14ac:dyDescent="0.4">
      <c r="B1983" s="16">
        <f t="shared" si="158"/>
        <v>44705</v>
      </c>
      <c r="C1983" s="1">
        <f t="shared" si="159"/>
        <v>6019</v>
      </c>
      <c r="D1983" s="1">
        <f t="shared" si="160"/>
        <v>1101</v>
      </c>
      <c r="E1983" s="1">
        <f t="shared" si="161"/>
        <v>3245</v>
      </c>
      <c r="F1983" s="1">
        <f t="shared" si="162"/>
        <v>3000</v>
      </c>
      <c r="L1983" s="11">
        <v>44705</v>
      </c>
      <c r="M1983" s="9">
        <v>6019</v>
      </c>
      <c r="N1983" s="9">
        <v>1101</v>
      </c>
      <c r="O1983" s="9">
        <v>3245</v>
      </c>
      <c r="P1983" s="9">
        <v>3000</v>
      </c>
      <c r="R1983" s="11"/>
      <c r="S1983" s="9"/>
      <c r="T1983" s="9"/>
      <c r="U1983" s="9"/>
    </row>
    <row r="1984" spans="2:21" x14ac:dyDescent="0.4">
      <c r="B1984" s="16">
        <f t="shared" si="158"/>
        <v>44706</v>
      </c>
      <c r="C1984" s="1">
        <f t="shared" si="159"/>
        <v>6010</v>
      </c>
      <c r="D1984" s="1">
        <f t="shared" si="160"/>
        <v>1071</v>
      </c>
      <c r="E1984" s="1">
        <f t="shared" si="161"/>
        <v>3245</v>
      </c>
      <c r="F1984" s="1">
        <f t="shared" si="162"/>
        <v>3000</v>
      </c>
      <c r="L1984" s="11">
        <v>44706</v>
      </c>
      <c r="M1984" s="9">
        <v>6010</v>
      </c>
      <c r="N1984" s="9">
        <v>1071</v>
      </c>
      <c r="O1984" s="9">
        <v>3245</v>
      </c>
      <c r="P1984" s="9">
        <v>3000</v>
      </c>
      <c r="R1984" s="11"/>
      <c r="S1984" s="9"/>
      <c r="T1984" s="9"/>
      <c r="U1984" s="9"/>
    </row>
    <row r="1985" spans="2:21" x14ac:dyDescent="0.4">
      <c r="B1985" s="16">
        <f t="shared" si="158"/>
        <v>44707</v>
      </c>
      <c r="C1985" s="1">
        <f t="shared" si="159"/>
        <v>6004</v>
      </c>
      <c r="D1985" s="1">
        <f t="shared" si="160"/>
        <v>1071</v>
      </c>
      <c r="E1985" s="1">
        <f t="shared" si="161"/>
        <v>3245</v>
      </c>
      <c r="F1985" s="1">
        <f t="shared" si="162"/>
        <v>3000</v>
      </c>
      <c r="L1985" s="11">
        <v>44707</v>
      </c>
      <c r="M1985" s="9">
        <v>6004</v>
      </c>
      <c r="N1985" s="9">
        <v>1071</v>
      </c>
      <c r="O1985" s="9">
        <v>3245</v>
      </c>
      <c r="P1985" s="9">
        <v>3000</v>
      </c>
      <c r="R1985" s="11"/>
      <c r="S1985" s="9"/>
      <c r="T1985" s="9"/>
      <c r="U1985" s="9"/>
    </row>
    <row r="1986" spans="2:21" x14ac:dyDescent="0.4">
      <c r="B1986" s="16">
        <f t="shared" si="158"/>
        <v>44708</v>
      </c>
      <c r="C1986" s="1">
        <f t="shared" si="159"/>
        <v>6022</v>
      </c>
      <c r="D1986" s="1">
        <f t="shared" si="160"/>
        <v>1051</v>
      </c>
      <c r="E1986" s="1">
        <f t="shared" si="161"/>
        <v>3245</v>
      </c>
      <c r="F1986" s="1">
        <f t="shared" si="162"/>
        <v>3000</v>
      </c>
      <c r="L1986" s="11">
        <v>44708</v>
      </c>
      <c r="M1986" s="9">
        <v>6022</v>
      </c>
      <c r="N1986" s="9">
        <v>1051</v>
      </c>
      <c r="O1986" s="9">
        <v>3245</v>
      </c>
      <c r="P1986" s="9">
        <v>3000</v>
      </c>
      <c r="R1986" s="11"/>
      <c r="S1986" s="9"/>
      <c r="T1986" s="9"/>
      <c r="U1986" s="9"/>
    </row>
    <row r="1987" spans="2:21" x14ac:dyDescent="0.4">
      <c r="B1987" s="16">
        <f t="shared" si="158"/>
        <v>44711</v>
      </c>
      <c r="C1987" s="1">
        <f t="shared" si="159"/>
        <v>6029</v>
      </c>
      <c r="D1987" s="1">
        <f t="shared" si="160"/>
        <v>1051</v>
      </c>
      <c r="E1987" s="1">
        <f t="shared" si="161"/>
        <v>3240</v>
      </c>
      <c r="F1987" s="1">
        <f t="shared" si="162"/>
        <v>3000</v>
      </c>
      <c r="L1987" s="11">
        <v>44711</v>
      </c>
      <c r="M1987" s="9">
        <v>6029</v>
      </c>
      <c r="N1987" s="9">
        <v>1051</v>
      </c>
      <c r="O1987" s="9">
        <v>3240</v>
      </c>
      <c r="P1987" s="9">
        <v>3000</v>
      </c>
      <c r="R1987" s="11"/>
      <c r="S1987" s="9"/>
      <c r="T1987" s="9"/>
      <c r="U1987" s="9"/>
    </row>
    <row r="1988" spans="2:21" x14ac:dyDescent="0.4">
      <c r="B1988" s="16">
        <f t="shared" si="158"/>
        <v>44712</v>
      </c>
      <c r="C1988" s="1">
        <f t="shared" si="159"/>
        <v>6052</v>
      </c>
      <c r="D1988" s="1">
        <f t="shared" si="160"/>
        <v>1051</v>
      </c>
      <c r="E1988" s="1">
        <f t="shared" si="161"/>
        <v>3235</v>
      </c>
      <c r="F1988" s="1">
        <f t="shared" si="162"/>
        <v>3000</v>
      </c>
      <c r="L1988" s="11">
        <v>44712</v>
      </c>
      <c r="M1988" s="9">
        <v>6052</v>
      </c>
      <c r="N1988" s="9">
        <v>1051</v>
      </c>
      <c r="O1988" s="9">
        <v>3235</v>
      </c>
      <c r="P1988" s="9">
        <v>3000</v>
      </c>
      <c r="R1988" s="11"/>
      <c r="S1988" s="9"/>
      <c r="T1988" s="9"/>
      <c r="U1988" s="9"/>
    </row>
    <row r="1989" spans="2:21" x14ac:dyDescent="0.4">
      <c r="B1989" s="16">
        <f t="shared" si="158"/>
        <v>44713</v>
      </c>
      <c r="C1989" s="1">
        <f t="shared" si="159"/>
        <v>6044</v>
      </c>
      <c r="D1989" s="1">
        <f t="shared" si="160"/>
        <v>1051</v>
      </c>
      <c r="E1989" s="1">
        <f t="shared" si="161"/>
        <v>3235</v>
      </c>
      <c r="F1989" s="1">
        <f t="shared" si="162"/>
        <v>3050</v>
      </c>
      <c r="L1989" s="11">
        <v>44713</v>
      </c>
      <c r="M1989" s="9">
        <v>6044</v>
      </c>
      <c r="N1989" s="9">
        <v>1051</v>
      </c>
      <c r="O1989" s="9">
        <v>3235</v>
      </c>
      <c r="P1989" s="9">
        <v>3050</v>
      </c>
      <c r="R1989" s="11"/>
      <c r="S1989" s="9"/>
      <c r="T1989" s="9"/>
      <c r="U1989" s="9"/>
    </row>
    <row r="1990" spans="2:21" x14ac:dyDescent="0.4">
      <c r="B1990" s="16">
        <f t="shared" ref="B1990:B2053" si="163">L1990</f>
        <v>44714</v>
      </c>
      <c r="C1990" s="1">
        <f t="shared" si="159"/>
        <v>6038</v>
      </c>
      <c r="D1990" s="1">
        <f t="shared" si="160"/>
        <v>1031</v>
      </c>
      <c r="E1990" s="1">
        <f t="shared" si="161"/>
        <v>3240</v>
      </c>
      <c r="F1990" s="1">
        <f t="shared" si="162"/>
        <v>3150</v>
      </c>
      <c r="L1990" s="11">
        <v>44714</v>
      </c>
      <c r="M1990" s="9">
        <v>6038</v>
      </c>
      <c r="N1990" s="9">
        <v>1031</v>
      </c>
      <c r="O1990" s="9">
        <v>3240</v>
      </c>
      <c r="P1990" s="9">
        <v>3150</v>
      </c>
      <c r="R1990" s="11"/>
      <c r="S1990" s="9"/>
      <c r="T1990" s="9"/>
      <c r="U1990" s="9"/>
    </row>
    <row r="1991" spans="2:21" x14ac:dyDescent="0.4">
      <c r="B1991" s="16">
        <f t="shared" si="163"/>
        <v>44715</v>
      </c>
      <c r="C1991" s="1">
        <f t="shared" ref="C1991:C2054" si="164">IF(M1991&lt;&gt;0,M1991,C1990)</f>
        <v>6038</v>
      </c>
      <c r="D1991" s="1">
        <f t="shared" ref="D1991:D2054" si="165">IF(N1991&lt;&gt;0,N1991,D1990)</f>
        <v>1031</v>
      </c>
      <c r="E1991" s="1">
        <f t="shared" ref="E1991:E2054" si="166">IF(O1991&lt;&gt;0,O1991,E1990)</f>
        <v>3240</v>
      </c>
      <c r="F1991" s="1">
        <f t="shared" si="162"/>
        <v>3150</v>
      </c>
      <c r="L1991" s="11">
        <v>44715</v>
      </c>
      <c r="M1991" s="9">
        <v>0</v>
      </c>
      <c r="N1991" s="9">
        <v>1031</v>
      </c>
      <c r="O1991" s="9">
        <v>0</v>
      </c>
      <c r="P1991" s="9">
        <v>0</v>
      </c>
      <c r="R1991" s="11"/>
      <c r="S1991" s="9"/>
      <c r="T1991" s="9"/>
      <c r="U1991" s="9"/>
    </row>
    <row r="1992" spans="2:21" x14ac:dyDescent="0.4">
      <c r="B1992" s="16">
        <f t="shared" si="163"/>
        <v>44718</v>
      </c>
      <c r="C1992" s="1">
        <f t="shared" si="164"/>
        <v>6119</v>
      </c>
      <c r="D1992" s="1">
        <f t="shared" si="165"/>
        <v>1031</v>
      </c>
      <c r="E1992" s="1">
        <f t="shared" si="166"/>
        <v>3245</v>
      </c>
      <c r="F1992" s="1">
        <f t="shared" si="162"/>
        <v>3150</v>
      </c>
      <c r="L1992" s="11">
        <v>44718</v>
      </c>
      <c r="M1992" s="9">
        <v>6119</v>
      </c>
      <c r="N1992" s="9">
        <v>1031</v>
      </c>
      <c r="O1992" s="9">
        <v>3245</v>
      </c>
      <c r="P1992" s="9">
        <v>3150</v>
      </c>
      <c r="R1992" s="11"/>
      <c r="S1992" s="9"/>
      <c r="T1992" s="9"/>
      <c r="U1992" s="9"/>
    </row>
    <row r="1993" spans="2:21" x14ac:dyDescent="0.4">
      <c r="B1993" s="16">
        <f t="shared" si="163"/>
        <v>44719</v>
      </c>
      <c r="C1993" s="1">
        <f t="shared" si="164"/>
        <v>6161</v>
      </c>
      <c r="D1993" s="1">
        <f t="shared" si="165"/>
        <v>1031</v>
      </c>
      <c r="E1993" s="1">
        <f t="shared" si="166"/>
        <v>3255</v>
      </c>
      <c r="F1993" s="1">
        <f t="shared" si="162"/>
        <v>3150</v>
      </c>
      <c r="L1993" s="11">
        <v>44719</v>
      </c>
      <c r="M1993" s="9">
        <v>6161</v>
      </c>
      <c r="N1993" s="9">
        <v>1031</v>
      </c>
      <c r="O1993" s="9">
        <v>3255</v>
      </c>
      <c r="P1993" s="9">
        <v>3150</v>
      </c>
      <c r="R1993" s="11"/>
      <c r="S1993" s="9"/>
      <c r="T1993" s="9"/>
      <c r="U1993" s="9"/>
    </row>
    <row r="1994" spans="2:21" x14ac:dyDescent="0.4">
      <c r="B1994" s="16">
        <f t="shared" si="163"/>
        <v>44720</v>
      </c>
      <c r="C1994" s="1">
        <f t="shared" si="164"/>
        <v>6205</v>
      </c>
      <c r="D1994" s="1">
        <f t="shared" si="165"/>
        <v>1031</v>
      </c>
      <c r="E1994" s="1">
        <f t="shared" si="166"/>
        <v>3275</v>
      </c>
      <c r="F1994" s="1">
        <f t="shared" si="162"/>
        <v>3150</v>
      </c>
      <c r="L1994" s="11">
        <v>44720</v>
      </c>
      <c r="M1994" s="9">
        <v>6205</v>
      </c>
      <c r="N1994" s="9">
        <v>1031</v>
      </c>
      <c r="O1994" s="9">
        <v>3275</v>
      </c>
      <c r="P1994" s="9">
        <v>3150</v>
      </c>
      <c r="R1994" s="11"/>
      <c r="S1994" s="9"/>
      <c r="T1994" s="9"/>
      <c r="U1994" s="9"/>
    </row>
    <row r="1995" spans="2:21" x14ac:dyDescent="0.4">
      <c r="B1995" s="16">
        <f t="shared" si="163"/>
        <v>44721</v>
      </c>
      <c r="C1995" s="1">
        <f t="shared" si="164"/>
        <v>6210</v>
      </c>
      <c r="D1995" s="1">
        <f t="shared" si="165"/>
        <v>1031</v>
      </c>
      <c r="E1995" s="1">
        <f t="shared" si="166"/>
        <v>3290</v>
      </c>
      <c r="F1995" s="1">
        <f t="shared" si="162"/>
        <v>3150</v>
      </c>
      <c r="L1995" s="11">
        <v>44721</v>
      </c>
      <c r="M1995" s="9">
        <v>6210</v>
      </c>
      <c r="N1995" s="9">
        <v>1031</v>
      </c>
      <c r="O1995" s="9">
        <v>3290</v>
      </c>
      <c r="P1995" s="9">
        <v>3150</v>
      </c>
      <c r="R1995" s="11"/>
      <c r="S1995" s="9"/>
      <c r="T1995" s="9"/>
      <c r="U1995" s="9"/>
    </row>
    <row r="1996" spans="2:21" x14ac:dyDescent="0.4">
      <c r="B1996" s="16">
        <f t="shared" si="163"/>
        <v>44722</v>
      </c>
      <c r="C1996" s="1">
        <f t="shared" si="164"/>
        <v>6243</v>
      </c>
      <c r="D1996" s="1">
        <f t="shared" si="165"/>
        <v>1011</v>
      </c>
      <c r="E1996" s="1">
        <f t="shared" si="166"/>
        <v>3295</v>
      </c>
      <c r="F1996" s="1">
        <f t="shared" si="162"/>
        <v>3150</v>
      </c>
      <c r="L1996" s="11">
        <v>44722</v>
      </c>
      <c r="M1996" s="9">
        <v>6243</v>
      </c>
      <c r="N1996" s="9">
        <v>1011</v>
      </c>
      <c r="O1996" s="9">
        <v>3295</v>
      </c>
      <c r="P1996" s="9">
        <v>3150</v>
      </c>
      <c r="R1996" s="11"/>
      <c r="S1996" s="9"/>
      <c r="T1996" s="9"/>
      <c r="U1996" s="9"/>
    </row>
    <row r="1997" spans="2:21" x14ac:dyDescent="0.4">
      <c r="B1997" s="16">
        <f t="shared" si="163"/>
        <v>44725</v>
      </c>
      <c r="C1997" s="1">
        <f t="shared" si="164"/>
        <v>6178</v>
      </c>
      <c r="D1997" s="1">
        <f t="shared" si="165"/>
        <v>1011</v>
      </c>
      <c r="E1997" s="1">
        <f t="shared" si="166"/>
        <v>3290</v>
      </c>
      <c r="F1997" s="1">
        <f t="shared" si="162"/>
        <v>3150</v>
      </c>
      <c r="L1997" s="11">
        <v>44725</v>
      </c>
      <c r="M1997" s="9">
        <v>6178</v>
      </c>
      <c r="N1997" s="9">
        <v>1011</v>
      </c>
      <c r="O1997" s="9">
        <v>3290</v>
      </c>
      <c r="P1997" s="9">
        <v>3150</v>
      </c>
      <c r="R1997" s="11"/>
      <c r="S1997" s="9"/>
      <c r="T1997" s="9"/>
      <c r="U1997" s="9"/>
    </row>
    <row r="1998" spans="2:21" x14ac:dyDescent="0.4">
      <c r="B1998" s="16">
        <f t="shared" si="163"/>
        <v>44726</v>
      </c>
      <c r="C1998" s="1">
        <f t="shared" si="164"/>
        <v>6128</v>
      </c>
      <c r="D1998" s="1">
        <f t="shared" si="165"/>
        <v>1011</v>
      </c>
      <c r="E1998" s="1">
        <f t="shared" si="166"/>
        <v>3270</v>
      </c>
      <c r="F1998" s="1">
        <f t="shared" si="162"/>
        <v>3150</v>
      </c>
      <c r="L1998" s="11">
        <v>44726</v>
      </c>
      <c r="M1998" s="9">
        <v>6128</v>
      </c>
      <c r="N1998" s="9">
        <v>1011</v>
      </c>
      <c r="O1998" s="9">
        <v>3270</v>
      </c>
      <c r="P1998" s="9">
        <v>3150</v>
      </c>
      <c r="R1998" s="11"/>
      <c r="S1998" s="9"/>
      <c r="T1998" s="9"/>
      <c r="U1998" s="9"/>
    </row>
    <row r="1999" spans="2:21" x14ac:dyDescent="0.4">
      <c r="B1999" s="16">
        <f t="shared" si="163"/>
        <v>44727</v>
      </c>
      <c r="C1999" s="1">
        <f t="shared" si="164"/>
        <v>6097</v>
      </c>
      <c r="D1999" s="1">
        <f t="shared" si="165"/>
        <v>1011</v>
      </c>
      <c r="E1999" s="1">
        <f t="shared" si="166"/>
        <v>3250</v>
      </c>
      <c r="F1999" s="1">
        <f t="shared" si="162"/>
        <v>3150</v>
      </c>
      <c r="L1999" s="11">
        <v>44727</v>
      </c>
      <c r="M1999" s="9">
        <v>6097</v>
      </c>
      <c r="N1999" s="9">
        <v>1011</v>
      </c>
      <c r="O1999" s="9">
        <v>3250</v>
      </c>
      <c r="P1999" s="9">
        <v>3150</v>
      </c>
      <c r="R1999" s="11"/>
      <c r="S1999" s="9"/>
      <c r="T1999" s="9"/>
      <c r="U1999" s="9"/>
    </row>
    <row r="2000" spans="2:21" x14ac:dyDescent="0.4">
      <c r="B2000" s="16">
        <f t="shared" si="163"/>
        <v>44728</v>
      </c>
      <c r="C2000" s="1">
        <f t="shared" si="164"/>
        <v>6034</v>
      </c>
      <c r="D2000" s="1">
        <f t="shared" si="165"/>
        <v>1011</v>
      </c>
      <c r="E2000" s="1">
        <f t="shared" si="166"/>
        <v>3220</v>
      </c>
      <c r="F2000" s="1">
        <f t="shared" si="162"/>
        <v>3150</v>
      </c>
      <c r="L2000" s="11">
        <v>44728</v>
      </c>
      <c r="M2000" s="9">
        <v>6034</v>
      </c>
      <c r="N2000" s="9">
        <v>1011</v>
      </c>
      <c r="O2000" s="9">
        <v>3220</v>
      </c>
      <c r="P2000" s="9">
        <v>3150</v>
      </c>
      <c r="R2000" s="11"/>
      <c r="S2000" s="9"/>
      <c r="T2000" s="9"/>
      <c r="U2000" s="9"/>
    </row>
    <row r="2001" spans="2:21" x14ac:dyDescent="0.4">
      <c r="B2001" s="16">
        <f t="shared" si="163"/>
        <v>44729</v>
      </c>
      <c r="C2001" s="1">
        <f t="shared" si="164"/>
        <v>5975</v>
      </c>
      <c r="D2001" s="1">
        <f t="shared" si="165"/>
        <v>991</v>
      </c>
      <c r="E2001" s="1">
        <f t="shared" si="166"/>
        <v>3210</v>
      </c>
      <c r="F2001" s="1">
        <f t="shared" si="162"/>
        <v>3150</v>
      </c>
      <c r="L2001" s="11">
        <v>44729</v>
      </c>
      <c r="M2001" s="9">
        <v>5975</v>
      </c>
      <c r="N2001" s="9">
        <v>991</v>
      </c>
      <c r="O2001" s="9">
        <v>3210</v>
      </c>
      <c r="P2001" s="9">
        <v>3150</v>
      </c>
      <c r="R2001" s="11"/>
      <c r="S2001" s="9"/>
      <c r="T2001" s="9"/>
      <c r="U2001" s="9"/>
    </row>
    <row r="2002" spans="2:21" x14ac:dyDescent="0.4">
      <c r="B2002" s="16">
        <f t="shared" si="163"/>
        <v>44732</v>
      </c>
      <c r="C2002" s="1">
        <f t="shared" si="164"/>
        <v>5945</v>
      </c>
      <c r="D2002" s="1">
        <f t="shared" si="165"/>
        <v>991</v>
      </c>
      <c r="E2002" s="1">
        <f t="shared" si="166"/>
        <v>3135</v>
      </c>
      <c r="F2002" s="1">
        <f t="shared" si="162"/>
        <v>3150</v>
      </c>
      <c r="L2002" s="11">
        <v>44732</v>
      </c>
      <c r="M2002" s="9">
        <v>5945</v>
      </c>
      <c r="N2002" s="9">
        <v>991</v>
      </c>
      <c r="O2002" s="9">
        <v>3135</v>
      </c>
      <c r="P2002" s="9">
        <v>3150</v>
      </c>
      <c r="R2002" s="11"/>
      <c r="S2002" s="9"/>
      <c r="T2002" s="9"/>
      <c r="U2002" s="9"/>
    </row>
    <row r="2003" spans="2:21" x14ac:dyDescent="0.4">
      <c r="B2003" s="16">
        <f t="shared" si="163"/>
        <v>44733</v>
      </c>
      <c r="C2003" s="1">
        <f t="shared" si="164"/>
        <v>5923</v>
      </c>
      <c r="D2003" s="1">
        <f t="shared" si="165"/>
        <v>991</v>
      </c>
      <c r="E2003" s="1">
        <f t="shared" si="166"/>
        <v>3110</v>
      </c>
      <c r="F2003" s="1">
        <f t="shared" si="162"/>
        <v>3150</v>
      </c>
      <c r="L2003" s="11">
        <v>44733</v>
      </c>
      <c r="M2003" s="9">
        <v>5923</v>
      </c>
      <c r="N2003" s="9">
        <v>991</v>
      </c>
      <c r="O2003" s="9">
        <v>3110</v>
      </c>
      <c r="P2003" s="9">
        <v>3150</v>
      </c>
      <c r="R2003" s="11"/>
      <c r="S2003" s="9"/>
      <c r="T2003" s="9"/>
      <c r="U2003" s="9"/>
    </row>
    <row r="2004" spans="2:21" x14ac:dyDescent="0.4">
      <c r="B2004" s="16">
        <f t="shared" si="163"/>
        <v>44734</v>
      </c>
      <c r="C2004" s="1">
        <f t="shared" si="164"/>
        <v>5877</v>
      </c>
      <c r="D2004" s="1">
        <f t="shared" si="165"/>
        <v>981</v>
      </c>
      <c r="E2004" s="1">
        <f t="shared" si="166"/>
        <v>3110</v>
      </c>
      <c r="F2004" s="1">
        <f t="shared" si="162"/>
        <v>3150</v>
      </c>
      <c r="L2004" s="11">
        <v>44734</v>
      </c>
      <c r="M2004" s="9">
        <v>5877</v>
      </c>
      <c r="N2004" s="9">
        <v>981</v>
      </c>
      <c r="O2004" s="9">
        <v>3110</v>
      </c>
      <c r="P2004" s="9">
        <v>3150</v>
      </c>
      <c r="R2004" s="11"/>
      <c r="S2004" s="9"/>
      <c r="T2004" s="9"/>
      <c r="U2004" s="9"/>
    </row>
    <row r="2005" spans="2:21" x14ac:dyDescent="0.4">
      <c r="B2005" s="16">
        <f t="shared" si="163"/>
        <v>44735</v>
      </c>
      <c r="C2005" s="1">
        <f t="shared" si="164"/>
        <v>5822</v>
      </c>
      <c r="D2005" s="1">
        <f t="shared" si="165"/>
        <v>981</v>
      </c>
      <c r="E2005" s="1">
        <f t="shared" si="166"/>
        <v>3120</v>
      </c>
      <c r="F2005" s="1">
        <f t="shared" si="162"/>
        <v>3150</v>
      </c>
      <c r="L2005" s="11">
        <v>44735</v>
      </c>
      <c r="M2005" s="9">
        <v>5822</v>
      </c>
      <c r="N2005" s="9">
        <v>981</v>
      </c>
      <c r="O2005" s="9">
        <v>3120</v>
      </c>
      <c r="P2005" s="9">
        <v>3150</v>
      </c>
      <c r="R2005" s="11"/>
      <c r="S2005" s="9"/>
      <c r="T2005" s="9"/>
      <c r="U2005" s="9"/>
    </row>
    <row r="2006" spans="2:21" x14ac:dyDescent="0.4">
      <c r="B2006" s="16">
        <f t="shared" si="163"/>
        <v>44736</v>
      </c>
      <c r="C2006" s="1">
        <f t="shared" si="164"/>
        <v>5787</v>
      </c>
      <c r="D2006" s="1">
        <f t="shared" si="165"/>
        <v>981</v>
      </c>
      <c r="E2006" s="1">
        <f t="shared" si="166"/>
        <v>3125</v>
      </c>
      <c r="F2006" s="1">
        <f t="shared" si="162"/>
        <v>3150</v>
      </c>
      <c r="L2006" s="11">
        <v>44736</v>
      </c>
      <c r="M2006" s="9">
        <v>5787</v>
      </c>
      <c r="N2006" s="9">
        <v>981</v>
      </c>
      <c r="O2006" s="9">
        <v>3125</v>
      </c>
      <c r="P2006" s="9">
        <v>3150</v>
      </c>
      <c r="R2006" s="11"/>
      <c r="S2006" s="9"/>
      <c r="T2006" s="9"/>
      <c r="U2006" s="9"/>
    </row>
    <row r="2007" spans="2:21" x14ac:dyDescent="0.4">
      <c r="B2007" s="16">
        <f t="shared" si="163"/>
        <v>44739</v>
      </c>
      <c r="C2007" s="1">
        <f t="shared" si="164"/>
        <v>5756</v>
      </c>
      <c r="D2007" s="1">
        <f t="shared" si="165"/>
        <v>981</v>
      </c>
      <c r="E2007" s="1">
        <f t="shared" si="166"/>
        <v>3125</v>
      </c>
      <c r="F2007" s="1">
        <f t="shared" si="162"/>
        <v>3150</v>
      </c>
      <c r="L2007" s="11">
        <v>44739</v>
      </c>
      <c r="M2007" s="9">
        <v>5756</v>
      </c>
      <c r="N2007" s="9">
        <v>981</v>
      </c>
      <c r="O2007" s="9">
        <v>3125</v>
      </c>
      <c r="P2007" s="9">
        <v>3150</v>
      </c>
      <c r="R2007" s="11"/>
      <c r="S2007" s="9"/>
      <c r="T2007" s="9"/>
      <c r="U2007" s="9"/>
    </row>
    <row r="2008" spans="2:21" x14ac:dyDescent="0.4">
      <c r="B2008" s="16">
        <f t="shared" si="163"/>
        <v>44740</v>
      </c>
      <c r="C2008" s="1">
        <f t="shared" si="164"/>
        <v>5751</v>
      </c>
      <c r="D2008" s="1">
        <f t="shared" si="165"/>
        <v>981</v>
      </c>
      <c r="E2008" s="1">
        <f t="shared" si="166"/>
        <v>3120</v>
      </c>
      <c r="F2008" s="1">
        <f t="shared" si="162"/>
        <v>3150</v>
      </c>
      <c r="L2008" s="11">
        <v>44740</v>
      </c>
      <c r="M2008" s="9">
        <v>5751</v>
      </c>
      <c r="N2008" s="9">
        <v>981</v>
      </c>
      <c r="O2008" s="9">
        <v>3120</v>
      </c>
      <c r="P2008" s="9">
        <v>3150</v>
      </c>
      <c r="R2008" s="11"/>
      <c r="S2008" s="9"/>
      <c r="T2008" s="9"/>
      <c r="U2008" s="9"/>
    </row>
    <row r="2009" spans="2:21" x14ac:dyDescent="0.4">
      <c r="B2009" s="16">
        <f t="shared" si="163"/>
        <v>44741</v>
      </c>
      <c r="C2009" s="1">
        <f t="shared" si="164"/>
        <v>5736</v>
      </c>
      <c r="D2009" s="1">
        <f t="shared" si="165"/>
        <v>951</v>
      </c>
      <c r="E2009" s="1">
        <f t="shared" si="166"/>
        <v>3115</v>
      </c>
      <c r="F2009" s="1">
        <f t="shared" si="162"/>
        <v>3150</v>
      </c>
      <c r="L2009" s="11">
        <v>44741</v>
      </c>
      <c r="M2009" s="9">
        <v>5736</v>
      </c>
      <c r="N2009" s="9">
        <v>951</v>
      </c>
      <c r="O2009" s="9">
        <v>3115</v>
      </c>
      <c r="P2009" s="9">
        <v>3150</v>
      </c>
      <c r="R2009" s="11"/>
      <c r="S2009" s="9"/>
      <c r="T2009" s="9"/>
      <c r="U2009" s="9"/>
    </row>
    <row r="2010" spans="2:21" x14ac:dyDescent="0.4">
      <c r="B2010" s="16">
        <f t="shared" si="163"/>
        <v>44742</v>
      </c>
      <c r="C2010" s="1">
        <f t="shared" si="164"/>
        <v>5723</v>
      </c>
      <c r="D2010" s="1">
        <f t="shared" si="165"/>
        <v>941</v>
      </c>
      <c r="E2010" s="1">
        <f t="shared" si="166"/>
        <v>3095</v>
      </c>
      <c r="F2010" s="1">
        <f t="shared" si="162"/>
        <v>3150</v>
      </c>
      <c r="L2010" s="11">
        <v>44742</v>
      </c>
      <c r="M2010" s="9">
        <v>5723</v>
      </c>
      <c r="N2010" s="9">
        <v>941</v>
      </c>
      <c r="O2010" s="9">
        <v>3095</v>
      </c>
      <c r="P2010" s="9">
        <v>3150</v>
      </c>
      <c r="R2010" s="11"/>
      <c r="S2010" s="9"/>
      <c r="T2010" s="9"/>
      <c r="U2010" s="9"/>
    </row>
    <row r="2011" spans="2:21" x14ac:dyDescent="0.4">
      <c r="B2011" s="16">
        <f t="shared" si="163"/>
        <v>44743</v>
      </c>
      <c r="C2011" s="1">
        <f t="shared" si="164"/>
        <v>5684</v>
      </c>
      <c r="D2011" s="1">
        <f t="shared" si="165"/>
        <v>941</v>
      </c>
      <c r="E2011" s="1">
        <f t="shared" si="166"/>
        <v>3075</v>
      </c>
      <c r="F2011" s="1">
        <f t="shared" si="162"/>
        <v>3150</v>
      </c>
      <c r="L2011" s="11">
        <v>44743</v>
      </c>
      <c r="M2011" s="9">
        <v>5684</v>
      </c>
      <c r="N2011" s="9">
        <v>941</v>
      </c>
      <c r="O2011" s="9">
        <v>3075</v>
      </c>
      <c r="P2011" s="9">
        <v>3150</v>
      </c>
      <c r="R2011" s="11"/>
      <c r="S2011" s="9"/>
      <c r="T2011" s="9"/>
      <c r="U2011" s="9"/>
    </row>
    <row r="2012" spans="2:21" x14ac:dyDescent="0.4">
      <c r="B2012" s="16">
        <f t="shared" si="163"/>
        <v>44746</v>
      </c>
      <c r="C2012" s="1">
        <f t="shared" si="164"/>
        <v>5662</v>
      </c>
      <c r="D2012" s="1">
        <f t="shared" si="165"/>
        <v>941</v>
      </c>
      <c r="E2012" s="1">
        <f t="shared" si="166"/>
        <v>2945</v>
      </c>
      <c r="F2012" s="1">
        <f t="shared" si="162"/>
        <v>3100</v>
      </c>
      <c r="L2012" s="11">
        <v>44746</v>
      </c>
      <c r="M2012" s="9">
        <v>5662</v>
      </c>
      <c r="N2012" s="9">
        <v>941</v>
      </c>
      <c r="O2012" s="9">
        <v>2945</v>
      </c>
      <c r="P2012" s="9">
        <v>3100</v>
      </c>
      <c r="R2012" s="11"/>
      <c r="S2012" s="9"/>
      <c r="T2012" s="9"/>
      <c r="U2012" s="9"/>
    </row>
    <row r="2013" spans="2:21" x14ac:dyDescent="0.4">
      <c r="B2013" s="16">
        <f t="shared" si="163"/>
        <v>44747</v>
      </c>
      <c r="C2013" s="1">
        <f t="shared" si="164"/>
        <v>5638</v>
      </c>
      <c r="D2013" s="1">
        <f t="shared" si="165"/>
        <v>941</v>
      </c>
      <c r="E2013" s="1">
        <f t="shared" si="166"/>
        <v>2945</v>
      </c>
      <c r="F2013" s="1">
        <f t="shared" si="162"/>
        <v>3100</v>
      </c>
      <c r="L2013" s="11">
        <v>44747</v>
      </c>
      <c r="M2013" s="9">
        <v>5638</v>
      </c>
      <c r="N2013" s="9">
        <v>941</v>
      </c>
      <c r="O2013" s="9">
        <v>2945</v>
      </c>
      <c r="P2013" s="9">
        <v>3100</v>
      </c>
      <c r="R2013" s="11"/>
      <c r="S2013" s="9"/>
      <c r="T2013" s="9"/>
      <c r="U2013" s="9"/>
    </row>
    <row r="2014" spans="2:21" x14ac:dyDescent="0.4">
      <c r="B2014" s="16">
        <f t="shared" si="163"/>
        <v>44748</v>
      </c>
      <c r="C2014" s="1">
        <f t="shared" si="164"/>
        <v>5559</v>
      </c>
      <c r="D2014" s="1">
        <f t="shared" si="165"/>
        <v>921</v>
      </c>
      <c r="E2014" s="1">
        <f t="shared" si="166"/>
        <v>2895</v>
      </c>
      <c r="F2014" s="1">
        <f t="shared" si="162"/>
        <v>3100</v>
      </c>
      <c r="L2014" s="11">
        <v>44748</v>
      </c>
      <c r="M2014" s="9">
        <v>5559</v>
      </c>
      <c r="N2014" s="9">
        <v>921</v>
      </c>
      <c r="O2014" s="9">
        <v>2895</v>
      </c>
      <c r="P2014" s="9">
        <v>3100</v>
      </c>
      <c r="R2014" s="11"/>
      <c r="S2014" s="9"/>
      <c r="T2014" s="9"/>
      <c r="U2014" s="9"/>
    </row>
    <row r="2015" spans="2:21" x14ac:dyDescent="0.4">
      <c r="B2015" s="16">
        <f t="shared" si="163"/>
        <v>44749</v>
      </c>
      <c r="C2015" s="1">
        <f t="shared" si="164"/>
        <v>5511</v>
      </c>
      <c r="D2015" s="1">
        <f t="shared" si="165"/>
        <v>921</v>
      </c>
      <c r="E2015" s="1">
        <f t="shared" si="166"/>
        <v>2850</v>
      </c>
      <c r="F2015" s="1">
        <f t="shared" si="162"/>
        <v>3100</v>
      </c>
      <c r="L2015" s="11">
        <v>44749</v>
      </c>
      <c r="M2015" s="9">
        <v>5511</v>
      </c>
      <c r="N2015" s="9">
        <v>921</v>
      </c>
      <c r="O2015" s="9">
        <v>2850</v>
      </c>
      <c r="P2015" s="9">
        <v>3100</v>
      </c>
      <c r="R2015" s="11"/>
      <c r="S2015" s="9"/>
      <c r="T2015" s="9"/>
      <c r="U2015" s="9"/>
    </row>
    <row r="2016" spans="2:21" x14ac:dyDescent="0.4">
      <c r="B2016" s="16">
        <f t="shared" si="163"/>
        <v>44750</v>
      </c>
      <c r="C2016" s="1">
        <f t="shared" si="164"/>
        <v>5487</v>
      </c>
      <c r="D2016" s="1">
        <f t="shared" si="165"/>
        <v>921</v>
      </c>
      <c r="E2016" s="1">
        <f t="shared" si="166"/>
        <v>2810</v>
      </c>
      <c r="F2016" s="1">
        <f t="shared" si="162"/>
        <v>3100</v>
      </c>
      <c r="L2016" s="11">
        <v>44750</v>
      </c>
      <c r="M2016" s="9">
        <v>5487</v>
      </c>
      <c r="N2016" s="9">
        <v>921</v>
      </c>
      <c r="O2016" s="9">
        <v>2810</v>
      </c>
      <c r="P2016" s="9">
        <v>3100</v>
      </c>
      <c r="R2016" s="11"/>
      <c r="S2016" s="9"/>
      <c r="T2016" s="9"/>
      <c r="U2016" s="9"/>
    </row>
    <row r="2017" spans="2:21" x14ac:dyDescent="0.4">
      <c r="B2017" s="16">
        <f t="shared" si="163"/>
        <v>44753</v>
      </c>
      <c r="C2017" s="1">
        <f t="shared" si="164"/>
        <v>5421</v>
      </c>
      <c r="D2017" s="1">
        <f t="shared" si="165"/>
        <v>921</v>
      </c>
      <c r="E2017" s="1">
        <f t="shared" si="166"/>
        <v>2680</v>
      </c>
      <c r="F2017" s="1">
        <f t="shared" si="162"/>
        <v>3100</v>
      </c>
      <c r="L2017" s="11">
        <v>44753</v>
      </c>
      <c r="M2017" s="9">
        <v>5421</v>
      </c>
      <c r="N2017" s="9">
        <v>0</v>
      </c>
      <c r="O2017" s="9">
        <v>2680</v>
      </c>
      <c r="P2017" s="9">
        <v>3100</v>
      </c>
      <c r="R2017" s="11"/>
      <c r="S2017" s="9"/>
      <c r="T2017" s="9"/>
      <c r="U2017" s="9"/>
    </row>
    <row r="2018" spans="2:21" x14ac:dyDescent="0.4">
      <c r="B2018" s="16">
        <f t="shared" si="163"/>
        <v>44754</v>
      </c>
      <c r="C2018" s="1">
        <f t="shared" si="164"/>
        <v>5352</v>
      </c>
      <c r="D2018" s="1">
        <f t="shared" si="165"/>
        <v>891</v>
      </c>
      <c r="E2018" s="1">
        <f t="shared" si="166"/>
        <v>2640</v>
      </c>
      <c r="F2018" s="1">
        <f t="shared" si="162"/>
        <v>3100</v>
      </c>
      <c r="L2018" s="11">
        <v>44754</v>
      </c>
      <c r="M2018" s="9">
        <v>5352</v>
      </c>
      <c r="N2018" s="9">
        <v>891</v>
      </c>
      <c r="O2018" s="9">
        <v>2640</v>
      </c>
      <c r="P2018" s="9">
        <v>3100</v>
      </c>
      <c r="R2018" s="11"/>
      <c r="S2018" s="9"/>
      <c r="T2018" s="9"/>
      <c r="U2018" s="9"/>
    </row>
    <row r="2019" spans="2:21" x14ac:dyDescent="0.4">
      <c r="B2019" s="16">
        <f t="shared" si="163"/>
        <v>44755</v>
      </c>
      <c r="C2019" s="1">
        <f t="shared" si="164"/>
        <v>5280</v>
      </c>
      <c r="D2019" s="1">
        <f t="shared" si="165"/>
        <v>891</v>
      </c>
      <c r="E2019" s="1">
        <f t="shared" si="166"/>
        <v>2615</v>
      </c>
      <c r="F2019" s="1">
        <f t="shared" si="162"/>
        <v>3100</v>
      </c>
      <c r="L2019" s="11">
        <v>44755</v>
      </c>
      <c r="M2019" s="9">
        <v>5280</v>
      </c>
      <c r="N2019" s="9">
        <v>891</v>
      </c>
      <c r="O2019" s="9">
        <v>2615</v>
      </c>
      <c r="P2019" s="9">
        <v>3100</v>
      </c>
      <c r="R2019" s="11"/>
      <c r="S2019" s="9"/>
      <c r="T2019" s="9"/>
      <c r="U2019" s="9"/>
    </row>
    <row r="2020" spans="2:21" x14ac:dyDescent="0.4">
      <c r="B2020" s="16">
        <f t="shared" si="163"/>
        <v>44756</v>
      </c>
      <c r="C2020" s="1">
        <f t="shared" si="164"/>
        <v>5250</v>
      </c>
      <c r="D2020" s="1">
        <f t="shared" si="165"/>
        <v>881</v>
      </c>
      <c r="E2020" s="1">
        <f t="shared" si="166"/>
        <v>2610</v>
      </c>
      <c r="F2020" s="1">
        <f t="shared" si="162"/>
        <v>3100</v>
      </c>
      <c r="L2020" s="11">
        <v>44756</v>
      </c>
      <c r="M2020" s="9">
        <v>5250</v>
      </c>
      <c r="N2020" s="9">
        <v>881</v>
      </c>
      <c r="O2020" s="9">
        <v>2610</v>
      </c>
      <c r="P2020" s="9">
        <v>3100</v>
      </c>
      <c r="R2020" s="11"/>
      <c r="S2020" s="9"/>
      <c r="T2020" s="9"/>
      <c r="U2020" s="9"/>
    </row>
    <row r="2021" spans="2:21" x14ac:dyDescent="0.4">
      <c r="B2021" s="16">
        <f t="shared" si="163"/>
        <v>44757</v>
      </c>
      <c r="C2021" s="1">
        <f t="shared" si="164"/>
        <v>5192</v>
      </c>
      <c r="D2021" s="1">
        <f t="shared" si="165"/>
        <v>861</v>
      </c>
      <c r="E2021" s="1">
        <f t="shared" si="166"/>
        <v>2615</v>
      </c>
      <c r="F2021" s="1">
        <f t="shared" si="162"/>
        <v>3100</v>
      </c>
      <c r="L2021" s="11">
        <v>44757</v>
      </c>
      <c r="M2021" s="9">
        <v>5192</v>
      </c>
      <c r="N2021" s="9">
        <v>861</v>
      </c>
      <c r="O2021" s="9">
        <v>2615</v>
      </c>
      <c r="P2021" s="9">
        <v>3100</v>
      </c>
      <c r="R2021" s="11"/>
      <c r="S2021" s="9"/>
      <c r="T2021" s="9"/>
      <c r="U2021" s="9"/>
    </row>
    <row r="2022" spans="2:21" x14ac:dyDescent="0.4">
      <c r="B2022" s="16">
        <f t="shared" si="163"/>
        <v>44760</v>
      </c>
      <c r="C2022" s="1">
        <f t="shared" si="164"/>
        <v>5189</v>
      </c>
      <c r="D2022" s="1">
        <f t="shared" si="165"/>
        <v>861</v>
      </c>
      <c r="E2022" s="1">
        <f t="shared" si="166"/>
        <v>2640</v>
      </c>
      <c r="F2022" s="1">
        <f t="shared" si="162"/>
        <v>3100</v>
      </c>
      <c r="L2022" s="11">
        <v>44760</v>
      </c>
      <c r="M2022" s="9">
        <v>5189</v>
      </c>
      <c r="N2022" s="9">
        <v>861</v>
      </c>
      <c r="O2022" s="9">
        <v>2640</v>
      </c>
      <c r="P2022" s="9">
        <v>3100</v>
      </c>
      <c r="R2022" s="11"/>
      <c r="S2022" s="9"/>
      <c r="T2022" s="9"/>
      <c r="U2022" s="9"/>
    </row>
    <row r="2023" spans="2:21" x14ac:dyDescent="0.4">
      <c r="B2023" s="16">
        <f t="shared" si="163"/>
        <v>44761</v>
      </c>
      <c r="C2023" s="1">
        <f t="shared" si="164"/>
        <v>5175</v>
      </c>
      <c r="D2023" s="1">
        <f t="shared" si="165"/>
        <v>861</v>
      </c>
      <c r="E2023" s="1">
        <f t="shared" si="166"/>
        <v>2650</v>
      </c>
      <c r="F2023" s="1">
        <f t="shared" si="162"/>
        <v>3050</v>
      </c>
      <c r="L2023" s="11">
        <v>44761</v>
      </c>
      <c r="M2023" s="9">
        <v>5175</v>
      </c>
      <c r="N2023" s="9">
        <v>861</v>
      </c>
      <c r="O2023" s="9">
        <v>2650</v>
      </c>
      <c r="P2023" s="9">
        <v>3050</v>
      </c>
      <c r="R2023" s="11"/>
      <c r="S2023" s="9"/>
      <c r="T2023" s="9"/>
      <c r="U2023" s="9"/>
    </row>
    <row r="2024" spans="2:21" x14ac:dyDescent="0.4">
      <c r="B2024" s="16">
        <f t="shared" si="163"/>
        <v>44762</v>
      </c>
      <c r="C2024" s="1">
        <f t="shared" si="164"/>
        <v>5153</v>
      </c>
      <c r="D2024" s="1">
        <f t="shared" si="165"/>
        <v>861</v>
      </c>
      <c r="E2024" s="1">
        <f t="shared" si="166"/>
        <v>2655</v>
      </c>
      <c r="F2024" s="1">
        <f t="shared" si="162"/>
        <v>3050</v>
      </c>
      <c r="L2024" s="11">
        <v>44762</v>
      </c>
      <c r="M2024" s="9">
        <v>5153</v>
      </c>
      <c r="N2024" s="9">
        <v>861</v>
      </c>
      <c r="O2024" s="9">
        <v>2655</v>
      </c>
      <c r="P2024" s="9">
        <v>3050</v>
      </c>
      <c r="R2024" s="11"/>
      <c r="S2024" s="9"/>
      <c r="T2024" s="9"/>
      <c r="U2024" s="9"/>
    </row>
    <row r="2025" spans="2:21" x14ac:dyDescent="0.4">
      <c r="B2025" s="16">
        <f t="shared" si="163"/>
        <v>44763</v>
      </c>
      <c r="C2025" s="1">
        <f t="shared" si="164"/>
        <v>5123</v>
      </c>
      <c r="D2025" s="1">
        <f t="shared" si="165"/>
        <v>861</v>
      </c>
      <c r="E2025" s="1">
        <f t="shared" si="166"/>
        <v>2655</v>
      </c>
      <c r="F2025" s="1">
        <f t="shared" si="162"/>
        <v>3050</v>
      </c>
      <c r="L2025" s="11">
        <v>44763</v>
      </c>
      <c r="M2025" s="9">
        <v>5123</v>
      </c>
      <c r="N2025" s="9">
        <v>861</v>
      </c>
      <c r="O2025" s="9">
        <v>2655</v>
      </c>
      <c r="P2025" s="9">
        <v>3050</v>
      </c>
      <c r="R2025" s="11"/>
      <c r="S2025" s="9"/>
      <c r="T2025" s="9"/>
      <c r="U2025" s="9"/>
    </row>
    <row r="2026" spans="2:21" x14ac:dyDescent="0.4">
      <c r="B2026" s="16">
        <f t="shared" si="163"/>
        <v>44764</v>
      </c>
      <c r="C2026" s="1">
        <f t="shared" si="164"/>
        <v>5117</v>
      </c>
      <c r="D2026" s="1">
        <f t="shared" si="165"/>
        <v>891</v>
      </c>
      <c r="E2026" s="1">
        <f t="shared" si="166"/>
        <v>2640</v>
      </c>
      <c r="F2026" s="1">
        <f t="shared" si="162"/>
        <v>3050</v>
      </c>
      <c r="L2026" s="11">
        <v>44764</v>
      </c>
      <c r="M2026" s="9">
        <v>5117</v>
      </c>
      <c r="N2026" s="9">
        <v>891</v>
      </c>
      <c r="O2026" s="9">
        <v>2640</v>
      </c>
      <c r="P2026" s="9">
        <v>3050</v>
      </c>
      <c r="R2026" s="11"/>
      <c r="S2026" s="9"/>
      <c r="T2026" s="9"/>
      <c r="U2026" s="9"/>
    </row>
    <row r="2027" spans="2:21" x14ac:dyDescent="0.4">
      <c r="B2027" s="16">
        <f t="shared" si="163"/>
        <v>44767</v>
      </c>
      <c r="C2027" s="1">
        <f t="shared" si="164"/>
        <v>5118</v>
      </c>
      <c r="D2027" s="1">
        <f t="shared" si="165"/>
        <v>901</v>
      </c>
      <c r="E2027" s="1">
        <f t="shared" si="166"/>
        <v>2570</v>
      </c>
      <c r="F2027" s="1">
        <f t="shared" si="162"/>
        <v>3050</v>
      </c>
      <c r="L2027" s="11">
        <v>44767</v>
      </c>
      <c r="M2027" s="9">
        <v>5118</v>
      </c>
      <c r="N2027" s="9">
        <v>901</v>
      </c>
      <c r="O2027" s="9">
        <v>2570</v>
      </c>
      <c r="P2027" s="9">
        <v>0</v>
      </c>
      <c r="R2027" s="11"/>
      <c r="S2027" s="9"/>
      <c r="T2027" s="9"/>
      <c r="U2027" s="9"/>
    </row>
    <row r="2028" spans="2:21" x14ac:dyDescent="0.4">
      <c r="B2028" s="16">
        <f t="shared" si="163"/>
        <v>44768</v>
      </c>
      <c r="C2028" s="1">
        <f t="shared" si="164"/>
        <v>5133</v>
      </c>
      <c r="D2028" s="1">
        <f t="shared" si="165"/>
        <v>901</v>
      </c>
      <c r="E2028" s="1">
        <f t="shared" si="166"/>
        <v>2530</v>
      </c>
      <c r="F2028" s="1">
        <f t="shared" si="162"/>
        <v>3050</v>
      </c>
      <c r="L2028" s="11">
        <v>44768</v>
      </c>
      <c r="M2028" s="9">
        <v>5133</v>
      </c>
      <c r="N2028" s="9">
        <v>901</v>
      </c>
      <c r="O2028" s="9">
        <v>2530</v>
      </c>
      <c r="P2028" s="9">
        <v>0</v>
      </c>
      <c r="R2028" s="11"/>
      <c r="S2028" s="9"/>
      <c r="T2028" s="9"/>
      <c r="U2028" s="9"/>
    </row>
    <row r="2029" spans="2:21" x14ac:dyDescent="0.4">
      <c r="B2029" s="16">
        <f t="shared" si="163"/>
        <v>44769</v>
      </c>
      <c r="C2029" s="1">
        <f t="shared" si="164"/>
        <v>5123</v>
      </c>
      <c r="D2029" s="1">
        <f t="shared" si="165"/>
        <v>901</v>
      </c>
      <c r="E2029" s="1">
        <f t="shared" si="166"/>
        <v>2465</v>
      </c>
      <c r="F2029" s="1">
        <f t="shared" si="162"/>
        <v>2950</v>
      </c>
      <c r="L2029" s="11">
        <v>44769</v>
      </c>
      <c r="M2029" s="9">
        <v>5123</v>
      </c>
      <c r="N2029" s="9">
        <v>901</v>
      </c>
      <c r="O2029" s="9">
        <v>2465</v>
      </c>
      <c r="P2029" s="9">
        <v>2950</v>
      </c>
      <c r="R2029" s="11"/>
      <c r="S2029" s="9"/>
      <c r="T2029" s="9"/>
      <c r="U2029" s="9"/>
    </row>
    <row r="2030" spans="2:21" x14ac:dyDescent="0.4">
      <c r="B2030" s="16">
        <f t="shared" si="163"/>
        <v>44770</v>
      </c>
      <c r="C2030" s="1">
        <f t="shared" si="164"/>
        <v>5136</v>
      </c>
      <c r="D2030" s="1">
        <f t="shared" si="165"/>
        <v>911</v>
      </c>
      <c r="E2030" s="1">
        <f t="shared" si="166"/>
        <v>2430</v>
      </c>
      <c r="F2030" s="1">
        <f t="shared" si="162"/>
        <v>2900</v>
      </c>
      <c r="L2030" s="11">
        <v>44770</v>
      </c>
      <c r="M2030" s="9">
        <v>5136</v>
      </c>
      <c r="N2030" s="9">
        <v>911</v>
      </c>
      <c r="O2030" s="9">
        <v>2430</v>
      </c>
      <c r="P2030" s="9">
        <v>2900</v>
      </c>
      <c r="R2030" s="11"/>
      <c r="S2030" s="9"/>
      <c r="T2030" s="9"/>
      <c r="U2030" s="9"/>
    </row>
    <row r="2031" spans="2:21" x14ac:dyDescent="0.4">
      <c r="B2031" s="16">
        <f t="shared" si="163"/>
        <v>44771</v>
      </c>
      <c r="C2031" s="1">
        <f t="shared" si="164"/>
        <v>5125</v>
      </c>
      <c r="D2031" s="1">
        <f t="shared" si="165"/>
        <v>901</v>
      </c>
      <c r="E2031" s="1">
        <f t="shared" si="166"/>
        <v>2410</v>
      </c>
      <c r="F2031" s="1">
        <f t="shared" si="162"/>
        <v>2900</v>
      </c>
      <c r="L2031" s="11">
        <v>44771</v>
      </c>
      <c r="M2031" s="9">
        <v>5125</v>
      </c>
      <c r="N2031" s="9">
        <v>901</v>
      </c>
      <c r="O2031" s="9">
        <v>2410</v>
      </c>
      <c r="P2031" s="9">
        <v>2900</v>
      </c>
      <c r="R2031" s="11"/>
      <c r="S2031" s="9"/>
      <c r="T2031" s="9"/>
      <c r="U2031" s="9"/>
    </row>
    <row r="2032" spans="2:21" x14ac:dyDescent="0.4">
      <c r="B2032" s="16">
        <f t="shared" si="163"/>
        <v>44774</v>
      </c>
      <c r="C2032" s="1">
        <f t="shared" si="164"/>
        <v>5111</v>
      </c>
      <c r="D2032" s="1">
        <f t="shared" si="165"/>
        <v>901</v>
      </c>
      <c r="E2032" s="1">
        <f t="shared" si="166"/>
        <v>2435</v>
      </c>
      <c r="F2032" s="1">
        <f t="shared" si="162"/>
        <v>2900</v>
      </c>
      <c r="L2032" s="11">
        <v>44774</v>
      </c>
      <c r="M2032" s="9">
        <v>5111</v>
      </c>
      <c r="N2032" s="9">
        <v>901</v>
      </c>
      <c r="O2032" s="9">
        <v>2435</v>
      </c>
      <c r="P2032" s="9">
        <v>2900</v>
      </c>
      <c r="R2032" s="11"/>
      <c r="S2032" s="9"/>
      <c r="T2032" s="9"/>
      <c r="U2032" s="9"/>
    </row>
    <row r="2033" spans="2:21" x14ac:dyDescent="0.4">
      <c r="B2033" s="16">
        <f t="shared" si="163"/>
        <v>44775</v>
      </c>
      <c r="C2033" s="1">
        <f t="shared" si="164"/>
        <v>5075</v>
      </c>
      <c r="D2033" s="1">
        <f t="shared" si="165"/>
        <v>901</v>
      </c>
      <c r="E2033" s="1">
        <f t="shared" si="166"/>
        <v>2435</v>
      </c>
      <c r="F2033" s="1">
        <f t="shared" si="162"/>
        <v>2850</v>
      </c>
      <c r="L2033" s="11">
        <v>44775</v>
      </c>
      <c r="M2033" s="9">
        <v>5075</v>
      </c>
      <c r="N2033" s="9">
        <v>901</v>
      </c>
      <c r="O2033" s="9">
        <v>2435</v>
      </c>
      <c r="P2033" s="9">
        <v>2850</v>
      </c>
      <c r="R2033" s="11"/>
      <c r="S2033" s="9"/>
      <c r="T2033" s="9"/>
      <c r="U2033" s="9"/>
    </row>
    <row r="2034" spans="2:21" x14ac:dyDescent="0.4">
      <c r="B2034" s="16">
        <f t="shared" si="163"/>
        <v>44776</v>
      </c>
      <c r="C2034" s="1">
        <f t="shared" si="164"/>
        <v>5068</v>
      </c>
      <c r="D2034" s="1">
        <f t="shared" si="165"/>
        <v>901</v>
      </c>
      <c r="E2034" s="1">
        <f t="shared" si="166"/>
        <v>2440</v>
      </c>
      <c r="F2034" s="1">
        <f t="shared" ref="F2034:F2097" si="167">IF(P2034&lt;&gt;0,P2034,F2033)</f>
        <v>2850</v>
      </c>
      <c r="L2034" s="11">
        <v>44776</v>
      </c>
      <c r="M2034" s="9">
        <v>5068</v>
      </c>
      <c r="N2034" s="9">
        <v>901</v>
      </c>
      <c r="O2034" s="9">
        <v>2440</v>
      </c>
      <c r="P2034" s="9">
        <v>2850</v>
      </c>
      <c r="R2034" s="11"/>
      <c r="S2034" s="9"/>
      <c r="T2034" s="9"/>
      <c r="U2034" s="9"/>
    </row>
    <row r="2035" spans="2:21" x14ac:dyDescent="0.4">
      <c r="B2035" s="16">
        <f t="shared" si="163"/>
        <v>44777</v>
      </c>
      <c r="C2035" s="1">
        <f t="shared" si="164"/>
        <v>5047</v>
      </c>
      <c r="D2035" s="1">
        <f t="shared" si="165"/>
        <v>901</v>
      </c>
      <c r="E2035" s="1">
        <f t="shared" si="166"/>
        <v>2440</v>
      </c>
      <c r="F2035" s="1">
        <f t="shared" si="167"/>
        <v>2850</v>
      </c>
      <c r="L2035" s="11">
        <v>44777</v>
      </c>
      <c r="M2035" s="9">
        <v>5047</v>
      </c>
      <c r="N2035" s="9">
        <v>901</v>
      </c>
      <c r="O2035" s="9">
        <v>2440</v>
      </c>
      <c r="P2035" s="9">
        <v>2850</v>
      </c>
      <c r="R2035" s="11"/>
      <c r="S2035" s="9"/>
      <c r="T2035" s="9"/>
      <c r="U2035" s="9"/>
    </row>
    <row r="2036" spans="2:21" x14ac:dyDescent="0.4">
      <c r="B2036" s="16">
        <f t="shared" si="163"/>
        <v>44778</v>
      </c>
      <c r="C2036" s="1">
        <f t="shared" si="164"/>
        <v>4999</v>
      </c>
      <c r="D2036" s="1">
        <f t="shared" si="165"/>
        <v>881</v>
      </c>
      <c r="E2036" s="1">
        <f t="shared" si="166"/>
        <v>2430</v>
      </c>
      <c r="F2036" s="1">
        <f t="shared" si="167"/>
        <v>2850</v>
      </c>
      <c r="L2036" s="11">
        <v>44778</v>
      </c>
      <c r="M2036" s="9">
        <v>4999</v>
      </c>
      <c r="N2036" s="9">
        <v>881</v>
      </c>
      <c r="O2036" s="9">
        <v>2430</v>
      </c>
      <c r="P2036" s="9">
        <v>2850</v>
      </c>
      <c r="R2036" s="11"/>
      <c r="S2036" s="9"/>
      <c r="T2036" s="9"/>
      <c r="U2036" s="9"/>
    </row>
    <row r="2037" spans="2:21" x14ac:dyDescent="0.4">
      <c r="B2037" s="16">
        <f t="shared" si="163"/>
        <v>44781</v>
      </c>
      <c r="C2037" s="1">
        <f t="shared" si="164"/>
        <v>4988</v>
      </c>
      <c r="D2037" s="1">
        <f t="shared" si="165"/>
        <v>881</v>
      </c>
      <c r="E2037" s="1">
        <f t="shared" si="166"/>
        <v>2385</v>
      </c>
      <c r="F2037" s="1">
        <f t="shared" si="167"/>
        <v>2850</v>
      </c>
      <c r="L2037" s="11">
        <v>44781</v>
      </c>
      <c r="M2037" s="9">
        <v>4988</v>
      </c>
      <c r="N2037" s="9">
        <v>881</v>
      </c>
      <c r="O2037" s="9">
        <v>2385</v>
      </c>
      <c r="P2037" s="9">
        <v>2850</v>
      </c>
      <c r="R2037" s="11"/>
      <c r="S2037" s="9"/>
      <c r="T2037" s="9"/>
      <c r="U2037" s="9"/>
    </row>
    <row r="2038" spans="2:21" x14ac:dyDescent="0.4">
      <c r="B2038" s="16">
        <f t="shared" si="163"/>
        <v>44782</v>
      </c>
      <c r="C2038" s="1">
        <f t="shared" si="164"/>
        <v>4977</v>
      </c>
      <c r="D2038" s="1">
        <f t="shared" si="165"/>
        <v>881</v>
      </c>
      <c r="E2038" s="1">
        <f t="shared" si="166"/>
        <v>2360</v>
      </c>
      <c r="F2038" s="1">
        <f t="shared" si="167"/>
        <v>2850</v>
      </c>
      <c r="L2038" s="11">
        <v>44782</v>
      </c>
      <c r="M2038" s="9">
        <v>4977</v>
      </c>
      <c r="N2038" s="9">
        <v>0</v>
      </c>
      <c r="O2038" s="9">
        <v>2360</v>
      </c>
      <c r="P2038" s="9">
        <v>2850</v>
      </c>
      <c r="R2038" s="11"/>
      <c r="S2038" s="9"/>
      <c r="T2038" s="9"/>
      <c r="U2038" s="9"/>
    </row>
    <row r="2039" spans="2:21" x14ac:dyDescent="0.4">
      <c r="B2039" s="16">
        <f t="shared" si="163"/>
        <v>44783</v>
      </c>
      <c r="C2039" s="1">
        <f t="shared" si="164"/>
        <v>4964</v>
      </c>
      <c r="D2039" s="1">
        <f t="shared" si="165"/>
        <v>861</v>
      </c>
      <c r="E2039" s="1">
        <f t="shared" si="166"/>
        <v>2355</v>
      </c>
      <c r="F2039" s="1">
        <f t="shared" si="167"/>
        <v>2850</v>
      </c>
      <c r="L2039" s="11">
        <v>44783</v>
      </c>
      <c r="M2039" s="9">
        <v>4964</v>
      </c>
      <c r="N2039" s="9">
        <v>861</v>
      </c>
      <c r="O2039" s="9">
        <v>2355</v>
      </c>
      <c r="P2039" s="9">
        <v>2850</v>
      </c>
      <c r="R2039" s="11"/>
      <c r="S2039" s="9"/>
      <c r="T2039" s="9"/>
      <c r="U2039" s="9"/>
    </row>
    <row r="2040" spans="2:21" x14ac:dyDescent="0.4">
      <c r="B2040" s="16">
        <f t="shared" si="163"/>
        <v>44784</v>
      </c>
      <c r="C2040" s="1">
        <f t="shared" si="164"/>
        <v>4969</v>
      </c>
      <c r="D2040" s="1">
        <f t="shared" si="165"/>
        <v>851</v>
      </c>
      <c r="E2040" s="1">
        <f t="shared" si="166"/>
        <v>2355</v>
      </c>
      <c r="F2040" s="1">
        <f t="shared" si="167"/>
        <v>2850</v>
      </c>
      <c r="L2040" s="11">
        <v>44784</v>
      </c>
      <c r="M2040" s="9">
        <v>4969</v>
      </c>
      <c r="N2040" s="9">
        <v>851</v>
      </c>
      <c r="O2040" s="9">
        <v>2355</v>
      </c>
      <c r="P2040" s="9">
        <v>2850</v>
      </c>
      <c r="R2040" s="11"/>
      <c r="S2040" s="9"/>
      <c r="T2040" s="9"/>
      <c r="U2040" s="9"/>
    </row>
    <row r="2041" spans="2:21" x14ac:dyDescent="0.4">
      <c r="B2041" s="16">
        <f t="shared" si="163"/>
        <v>44785</v>
      </c>
      <c r="C2041" s="1">
        <f t="shared" si="164"/>
        <v>4983</v>
      </c>
      <c r="D2041" s="1">
        <f t="shared" si="165"/>
        <v>821</v>
      </c>
      <c r="E2041" s="1">
        <f t="shared" si="166"/>
        <v>2370</v>
      </c>
      <c r="F2041" s="1">
        <f t="shared" si="167"/>
        <v>2850</v>
      </c>
      <c r="L2041" s="11">
        <v>44785</v>
      </c>
      <c r="M2041" s="9">
        <v>4983</v>
      </c>
      <c r="N2041" s="9">
        <v>821</v>
      </c>
      <c r="O2041" s="9">
        <v>2370</v>
      </c>
      <c r="P2041" s="9">
        <v>2850</v>
      </c>
      <c r="R2041" s="11"/>
      <c r="S2041" s="9"/>
      <c r="T2041" s="9"/>
      <c r="U2041" s="9"/>
    </row>
    <row r="2042" spans="2:21" x14ac:dyDescent="0.4">
      <c r="B2042" s="16">
        <f t="shared" si="163"/>
        <v>44788</v>
      </c>
      <c r="C2042" s="1">
        <f t="shared" si="164"/>
        <v>4983</v>
      </c>
      <c r="D2042" s="1">
        <f t="shared" si="165"/>
        <v>821</v>
      </c>
      <c r="E2042" s="1">
        <f t="shared" si="166"/>
        <v>2375</v>
      </c>
      <c r="F2042" s="1">
        <f t="shared" si="167"/>
        <v>2850</v>
      </c>
      <c r="L2042" s="11">
        <v>44788</v>
      </c>
      <c r="M2042" s="9">
        <v>4983</v>
      </c>
      <c r="N2042" s="9">
        <v>821</v>
      </c>
      <c r="O2042" s="9">
        <v>2375</v>
      </c>
      <c r="P2042" s="9">
        <v>2850</v>
      </c>
      <c r="R2042" s="11"/>
      <c r="S2042" s="9"/>
      <c r="T2042" s="9"/>
      <c r="U2042" s="9"/>
    </row>
    <row r="2043" spans="2:21" x14ac:dyDescent="0.4">
      <c r="B2043" s="16">
        <f t="shared" si="163"/>
        <v>44789</v>
      </c>
      <c r="C2043" s="1">
        <f t="shared" si="164"/>
        <v>4949</v>
      </c>
      <c r="D2043" s="1">
        <f t="shared" si="165"/>
        <v>821</v>
      </c>
      <c r="E2043" s="1">
        <f t="shared" si="166"/>
        <v>2375</v>
      </c>
      <c r="F2043" s="1">
        <f t="shared" si="167"/>
        <v>2850</v>
      </c>
      <c r="L2043" s="11">
        <v>44789</v>
      </c>
      <c r="M2043" s="9">
        <v>4949</v>
      </c>
      <c r="N2043" s="9">
        <v>821</v>
      </c>
      <c r="O2043" s="9">
        <v>2375</v>
      </c>
      <c r="P2043" s="9">
        <v>2850</v>
      </c>
      <c r="R2043" s="11"/>
      <c r="S2043" s="9"/>
      <c r="T2043" s="9"/>
      <c r="U2043" s="9"/>
    </row>
    <row r="2044" spans="2:21" x14ac:dyDescent="0.4">
      <c r="B2044" s="16">
        <f t="shared" si="163"/>
        <v>44790</v>
      </c>
      <c r="C2044" s="1">
        <f t="shared" si="164"/>
        <v>4922</v>
      </c>
      <c r="D2044" s="1">
        <f t="shared" si="165"/>
        <v>821</v>
      </c>
      <c r="E2044" s="1">
        <f t="shared" si="166"/>
        <v>2375</v>
      </c>
      <c r="F2044" s="1">
        <f t="shared" si="167"/>
        <v>2850</v>
      </c>
      <c r="L2044" s="11">
        <v>44790</v>
      </c>
      <c r="M2044" s="9">
        <v>4922</v>
      </c>
      <c r="N2044" s="9">
        <v>821</v>
      </c>
      <c r="O2044" s="9">
        <v>2375</v>
      </c>
      <c r="P2044" s="9">
        <v>2850</v>
      </c>
      <c r="R2044" s="11"/>
      <c r="S2044" s="9"/>
      <c r="T2044" s="9"/>
      <c r="U2044" s="9"/>
    </row>
    <row r="2045" spans="2:21" x14ac:dyDescent="0.4">
      <c r="B2045" s="16">
        <f t="shared" si="163"/>
        <v>44791</v>
      </c>
      <c r="C2045" s="1">
        <f t="shared" si="164"/>
        <v>4906</v>
      </c>
      <c r="D2045" s="1">
        <f t="shared" si="165"/>
        <v>821</v>
      </c>
      <c r="E2045" s="1">
        <f t="shared" si="166"/>
        <v>2365</v>
      </c>
      <c r="F2045" s="1">
        <f t="shared" si="167"/>
        <v>2850</v>
      </c>
      <c r="L2045" s="11">
        <v>44791</v>
      </c>
      <c r="M2045" s="9">
        <v>4906</v>
      </c>
      <c r="N2045" s="9">
        <v>821</v>
      </c>
      <c r="O2045" s="9">
        <v>2365</v>
      </c>
      <c r="P2045" s="9">
        <v>2850</v>
      </c>
      <c r="R2045" s="11"/>
      <c r="S2045" s="9"/>
      <c r="T2045" s="9"/>
      <c r="U2045" s="9"/>
    </row>
    <row r="2046" spans="2:21" x14ac:dyDescent="0.4">
      <c r="B2046" s="16">
        <f t="shared" si="163"/>
        <v>44792</v>
      </c>
      <c r="C2046" s="1">
        <f t="shared" si="164"/>
        <v>4902</v>
      </c>
      <c r="D2046" s="1">
        <f t="shared" si="165"/>
        <v>821</v>
      </c>
      <c r="E2046" s="1">
        <f t="shared" si="166"/>
        <v>2365</v>
      </c>
      <c r="F2046" s="1">
        <f t="shared" si="167"/>
        <v>2850</v>
      </c>
      <c r="L2046" s="11">
        <v>44792</v>
      </c>
      <c r="M2046" s="9">
        <v>4902</v>
      </c>
      <c r="N2046" s="9">
        <v>821</v>
      </c>
      <c r="O2046" s="9">
        <v>2365</v>
      </c>
      <c r="P2046" s="9">
        <v>2850</v>
      </c>
      <c r="R2046" s="11"/>
      <c r="S2046" s="9"/>
      <c r="T2046" s="9"/>
      <c r="U2046" s="9"/>
    </row>
    <row r="2047" spans="2:21" x14ac:dyDescent="0.4">
      <c r="B2047" s="16">
        <f t="shared" si="163"/>
        <v>44795</v>
      </c>
      <c r="C2047" s="1">
        <f t="shared" si="164"/>
        <v>4908</v>
      </c>
      <c r="D2047" s="1">
        <f t="shared" si="165"/>
        <v>821</v>
      </c>
      <c r="E2047" s="1">
        <f t="shared" si="166"/>
        <v>2335</v>
      </c>
      <c r="F2047" s="1">
        <f t="shared" si="167"/>
        <v>2850</v>
      </c>
      <c r="L2047" s="11">
        <v>44795</v>
      </c>
      <c r="M2047" s="9">
        <v>4908</v>
      </c>
      <c r="N2047" s="9">
        <v>821</v>
      </c>
      <c r="O2047" s="9">
        <v>2335</v>
      </c>
      <c r="P2047" s="9">
        <v>2850</v>
      </c>
      <c r="R2047" s="11"/>
      <c r="S2047" s="9"/>
      <c r="T2047" s="9"/>
      <c r="U2047" s="9"/>
    </row>
    <row r="2048" spans="2:21" x14ac:dyDescent="0.4">
      <c r="B2048" s="16">
        <f t="shared" si="163"/>
        <v>44796</v>
      </c>
      <c r="C2048" s="1">
        <f t="shared" si="164"/>
        <v>4914</v>
      </c>
      <c r="D2048" s="1">
        <f t="shared" si="165"/>
        <v>821</v>
      </c>
      <c r="E2048" s="1">
        <f t="shared" si="166"/>
        <v>2335</v>
      </c>
      <c r="F2048" s="1">
        <f t="shared" si="167"/>
        <v>2850</v>
      </c>
      <c r="L2048" s="11">
        <v>44796</v>
      </c>
      <c r="M2048" s="9">
        <v>4914</v>
      </c>
      <c r="N2048" s="9">
        <v>821</v>
      </c>
      <c r="O2048" s="9">
        <v>2335</v>
      </c>
      <c r="P2048" s="9">
        <v>2850</v>
      </c>
      <c r="R2048" s="11"/>
      <c r="S2048" s="9"/>
      <c r="T2048" s="9"/>
      <c r="U2048" s="9"/>
    </row>
    <row r="2049" spans="2:21" x14ac:dyDescent="0.4">
      <c r="B2049" s="16">
        <f t="shared" si="163"/>
        <v>44797</v>
      </c>
      <c r="C2049" s="1">
        <f t="shared" si="164"/>
        <v>4932</v>
      </c>
      <c r="D2049" s="1">
        <f t="shared" si="165"/>
        <v>821</v>
      </c>
      <c r="E2049" s="1">
        <f t="shared" si="166"/>
        <v>2355</v>
      </c>
      <c r="F2049" s="1">
        <f t="shared" si="167"/>
        <v>2850</v>
      </c>
      <c r="L2049" s="11">
        <v>44797</v>
      </c>
      <c r="M2049" s="9">
        <v>4932</v>
      </c>
      <c r="N2049" s="9">
        <v>821</v>
      </c>
      <c r="O2049" s="9">
        <v>2355</v>
      </c>
      <c r="P2049" s="9">
        <v>2850</v>
      </c>
      <c r="R2049" s="11"/>
      <c r="S2049" s="9"/>
      <c r="T2049" s="9"/>
      <c r="U2049" s="9"/>
    </row>
    <row r="2050" spans="2:21" x14ac:dyDescent="0.4">
      <c r="B2050" s="16">
        <f t="shared" si="163"/>
        <v>44798</v>
      </c>
      <c r="C2050" s="1">
        <f t="shared" si="164"/>
        <v>4953</v>
      </c>
      <c r="D2050" s="1">
        <f t="shared" si="165"/>
        <v>821</v>
      </c>
      <c r="E2050" s="1">
        <f t="shared" si="166"/>
        <v>2370</v>
      </c>
      <c r="F2050" s="1">
        <f t="shared" si="167"/>
        <v>2850</v>
      </c>
      <c r="L2050" s="11">
        <v>44798</v>
      </c>
      <c r="M2050" s="9">
        <v>4953</v>
      </c>
      <c r="N2050" s="9">
        <v>821</v>
      </c>
      <c r="O2050" s="9">
        <v>2370</v>
      </c>
      <c r="P2050" s="9">
        <v>2850</v>
      </c>
      <c r="R2050" s="11"/>
      <c r="S2050" s="9"/>
      <c r="T2050" s="9"/>
      <c r="U2050" s="9"/>
    </row>
    <row r="2051" spans="2:21" x14ac:dyDescent="0.4">
      <c r="B2051" s="16">
        <f t="shared" si="163"/>
        <v>44799</v>
      </c>
      <c r="C2051" s="1">
        <f t="shared" si="164"/>
        <v>4952</v>
      </c>
      <c r="D2051" s="1">
        <f t="shared" si="165"/>
        <v>861</v>
      </c>
      <c r="E2051" s="1">
        <f t="shared" si="166"/>
        <v>2385</v>
      </c>
      <c r="F2051" s="1">
        <f t="shared" si="167"/>
        <v>2850</v>
      </c>
      <c r="L2051" s="11">
        <v>44799</v>
      </c>
      <c r="M2051" s="9">
        <v>4952</v>
      </c>
      <c r="N2051" s="9">
        <v>861</v>
      </c>
      <c r="O2051" s="9">
        <v>2385</v>
      </c>
      <c r="P2051" s="9">
        <v>2850</v>
      </c>
      <c r="R2051" s="11"/>
      <c r="S2051" s="9"/>
      <c r="T2051" s="9"/>
      <c r="U2051" s="9"/>
    </row>
    <row r="2052" spans="2:21" x14ac:dyDescent="0.4">
      <c r="B2052" s="16">
        <f t="shared" si="163"/>
        <v>44802</v>
      </c>
      <c r="C2052" s="1">
        <f t="shared" si="164"/>
        <v>4962</v>
      </c>
      <c r="D2052" s="1">
        <f t="shared" si="165"/>
        <v>861</v>
      </c>
      <c r="E2052" s="1">
        <f t="shared" si="166"/>
        <v>2390</v>
      </c>
      <c r="F2052" s="1">
        <f t="shared" si="167"/>
        <v>2850</v>
      </c>
      <c r="L2052" s="11">
        <v>44802</v>
      </c>
      <c r="M2052" s="9">
        <v>4962</v>
      </c>
      <c r="N2052" s="9">
        <v>861</v>
      </c>
      <c r="O2052" s="9">
        <v>2390</v>
      </c>
      <c r="P2052" s="9">
        <v>2850</v>
      </c>
      <c r="R2052" s="11"/>
      <c r="S2052" s="9"/>
      <c r="T2052" s="9"/>
      <c r="U2052" s="9"/>
    </row>
    <row r="2053" spans="2:21" x14ac:dyDescent="0.4">
      <c r="B2053" s="16">
        <f t="shared" si="163"/>
        <v>44803</v>
      </c>
      <c r="C2053" s="1">
        <f t="shared" si="164"/>
        <v>4972</v>
      </c>
      <c r="D2053" s="1">
        <f t="shared" si="165"/>
        <v>901</v>
      </c>
      <c r="E2053" s="1">
        <f t="shared" si="166"/>
        <v>2390</v>
      </c>
      <c r="F2053" s="1">
        <f t="shared" si="167"/>
        <v>2850</v>
      </c>
      <c r="L2053" s="11">
        <v>44803</v>
      </c>
      <c r="M2053" s="9">
        <v>4972</v>
      </c>
      <c r="N2053" s="9">
        <v>901</v>
      </c>
      <c r="O2053" s="9">
        <v>2390</v>
      </c>
      <c r="P2053" s="9">
        <v>2850</v>
      </c>
      <c r="R2053" s="11"/>
      <c r="S2053" s="9"/>
      <c r="T2053" s="9"/>
      <c r="U2053" s="9"/>
    </row>
    <row r="2054" spans="2:21" x14ac:dyDescent="0.4">
      <c r="B2054" s="16">
        <f t="shared" ref="B2054:B2117" si="168">L2054</f>
        <v>44804</v>
      </c>
      <c r="C2054" s="1">
        <f t="shared" si="164"/>
        <v>4978</v>
      </c>
      <c r="D2054" s="1">
        <f t="shared" si="165"/>
        <v>951</v>
      </c>
      <c r="E2054" s="1">
        <f t="shared" si="166"/>
        <v>2385</v>
      </c>
      <c r="F2054" s="1">
        <f t="shared" si="167"/>
        <v>2850</v>
      </c>
      <c r="L2054" s="11">
        <v>44804</v>
      </c>
      <c r="M2054" s="9">
        <v>4978</v>
      </c>
      <c r="N2054" s="9">
        <v>951</v>
      </c>
      <c r="O2054" s="9">
        <v>2385</v>
      </c>
      <c r="P2054" s="9">
        <v>2850</v>
      </c>
      <c r="R2054" s="11"/>
      <c r="S2054" s="9"/>
      <c r="T2054" s="9"/>
      <c r="U2054" s="9"/>
    </row>
    <row r="2055" spans="2:21" x14ac:dyDescent="0.4">
      <c r="B2055" s="16">
        <f t="shared" si="168"/>
        <v>44805</v>
      </c>
      <c r="C2055" s="1">
        <f t="shared" ref="C2055:C2118" si="169">IF(M2055&lt;&gt;0,M2055,C2054)</f>
        <v>4993</v>
      </c>
      <c r="D2055" s="1">
        <f t="shared" ref="D2055:D2118" si="170">IF(N2055&lt;&gt;0,N2055,D2054)</f>
        <v>951</v>
      </c>
      <c r="E2055" s="1">
        <f t="shared" ref="E2055:E2118" si="171">IF(O2055&lt;&gt;0,O2055,E2054)</f>
        <v>2385</v>
      </c>
      <c r="F2055" s="1">
        <f t="shared" si="167"/>
        <v>2850</v>
      </c>
      <c r="L2055" s="11">
        <v>44805</v>
      </c>
      <c r="M2055" s="9">
        <v>4993</v>
      </c>
      <c r="N2055" s="9">
        <v>951</v>
      </c>
      <c r="O2055" s="9">
        <v>2385</v>
      </c>
      <c r="P2055" s="9">
        <v>2850</v>
      </c>
      <c r="R2055" s="11"/>
      <c r="S2055" s="9"/>
      <c r="T2055" s="9"/>
      <c r="U2055" s="9"/>
    </row>
    <row r="2056" spans="2:21" x14ac:dyDescent="0.4">
      <c r="B2056" s="16">
        <f t="shared" si="168"/>
        <v>44806</v>
      </c>
      <c r="C2056" s="1">
        <f t="shared" si="169"/>
        <v>5000</v>
      </c>
      <c r="D2056" s="1">
        <f t="shared" si="170"/>
        <v>971</v>
      </c>
      <c r="E2056" s="1">
        <f t="shared" si="171"/>
        <v>2395</v>
      </c>
      <c r="F2056" s="1">
        <f t="shared" si="167"/>
        <v>2850</v>
      </c>
      <c r="L2056" s="11">
        <v>44806</v>
      </c>
      <c r="M2056" s="9">
        <v>5000</v>
      </c>
      <c r="N2056" s="9">
        <v>971</v>
      </c>
      <c r="O2056" s="9">
        <v>2395</v>
      </c>
      <c r="P2056" s="9">
        <v>2850</v>
      </c>
      <c r="R2056" s="11"/>
      <c r="S2056" s="9"/>
      <c r="T2056" s="9"/>
      <c r="U2056" s="9"/>
    </row>
    <row r="2057" spans="2:21" x14ac:dyDescent="0.4">
      <c r="B2057" s="16">
        <f t="shared" si="168"/>
        <v>44809</v>
      </c>
      <c r="C2057" s="1">
        <f t="shared" si="169"/>
        <v>5077</v>
      </c>
      <c r="D2057" s="1">
        <f t="shared" si="170"/>
        <v>1001</v>
      </c>
      <c r="E2057" s="1">
        <f t="shared" si="171"/>
        <v>2445</v>
      </c>
      <c r="F2057" s="1">
        <f t="shared" si="167"/>
        <v>2850</v>
      </c>
      <c r="L2057" s="11">
        <v>44809</v>
      </c>
      <c r="M2057" s="9">
        <v>5077</v>
      </c>
      <c r="N2057" s="9">
        <v>1001</v>
      </c>
      <c r="O2057" s="9">
        <v>2445</v>
      </c>
      <c r="P2057" s="9">
        <v>2850</v>
      </c>
      <c r="R2057" s="11"/>
      <c r="S2057" s="9"/>
      <c r="T2057" s="9"/>
      <c r="U2057" s="9"/>
    </row>
    <row r="2058" spans="2:21" x14ac:dyDescent="0.4">
      <c r="B2058" s="16">
        <f t="shared" si="168"/>
        <v>44810</v>
      </c>
      <c r="C2058" s="1">
        <f t="shared" si="169"/>
        <v>5114</v>
      </c>
      <c r="D2058" s="1">
        <f t="shared" si="170"/>
        <v>1001</v>
      </c>
      <c r="E2058" s="1">
        <f t="shared" si="171"/>
        <v>2495</v>
      </c>
      <c r="F2058" s="1">
        <f t="shared" si="167"/>
        <v>2850</v>
      </c>
      <c r="L2058" s="11">
        <v>44810</v>
      </c>
      <c r="M2058" s="9">
        <v>5114</v>
      </c>
      <c r="N2058" s="9">
        <v>1001</v>
      </c>
      <c r="O2058" s="9">
        <v>2495</v>
      </c>
      <c r="P2058" s="9">
        <v>2850</v>
      </c>
      <c r="R2058" s="11"/>
      <c r="S2058" s="9"/>
      <c r="T2058" s="9"/>
      <c r="U2058" s="9"/>
    </row>
    <row r="2059" spans="2:21" x14ac:dyDescent="0.4">
      <c r="B2059" s="16">
        <f t="shared" si="168"/>
        <v>44811</v>
      </c>
      <c r="C2059" s="1">
        <f t="shared" si="169"/>
        <v>5096</v>
      </c>
      <c r="D2059" s="1">
        <f t="shared" si="170"/>
        <v>1001</v>
      </c>
      <c r="E2059" s="1">
        <f t="shared" si="171"/>
        <v>2520</v>
      </c>
      <c r="F2059" s="1">
        <f t="shared" si="167"/>
        <v>2850</v>
      </c>
      <c r="L2059" s="11">
        <v>44811</v>
      </c>
      <c r="M2059" s="9">
        <v>5096</v>
      </c>
      <c r="N2059" s="9">
        <v>1001</v>
      </c>
      <c r="O2059" s="9">
        <v>2520</v>
      </c>
      <c r="P2059" s="9">
        <v>2850</v>
      </c>
      <c r="R2059" s="11"/>
      <c r="S2059" s="9"/>
      <c r="T2059" s="9"/>
      <c r="U2059" s="9"/>
    </row>
    <row r="2060" spans="2:21" x14ac:dyDescent="0.4">
      <c r="B2060" s="16">
        <f t="shared" si="168"/>
        <v>44812</v>
      </c>
      <c r="C2060" s="1">
        <f t="shared" si="169"/>
        <v>5101</v>
      </c>
      <c r="D2060" s="1">
        <f t="shared" si="170"/>
        <v>1001</v>
      </c>
      <c r="E2060" s="1">
        <f t="shared" si="171"/>
        <v>2520</v>
      </c>
      <c r="F2060" s="1">
        <f t="shared" si="167"/>
        <v>2850</v>
      </c>
      <c r="L2060" s="11">
        <v>44812</v>
      </c>
      <c r="M2060" s="9">
        <v>5101</v>
      </c>
      <c r="N2060" s="9">
        <v>1001</v>
      </c>
      <c r="O2060" s="9">
        <v>2520</v>
      </c>
      <c r="P2060" s="9">
        <v>2850</v>
      </c>
      <c r="R2060" s="11"/>
      <c r="S2060" s="9"/>
      <c r="T2060" s="9"/>
      <c r="U2060" s="9"/>
    </row>
    <row r="2061" spans="2:21" x14ac:dyDescent="0.4">
      <c r="B2061" s="16">
        <f t="shared" si="168"/>
        <v>44813</v>
      </c>
      <c r="C2061" s="1">
        <f t="shared" si="169"/>
        <v>5125</v>
      </c>
      <c r="D2061" s="1">
        <f t="shared" si="170"/>
        <v>1001</v>
      </c>
      <c r="E2061" s="1">
        <f t="shared" si="171"/>
        <v>2520</v>
      </c>
      <c r="F2061" s="1">
        <f t="shared" si="167"/>
        <v>2850</v>
      </c>
      <c r="L2061" s="11">
        <v>44813</v>
      </c>
      <c r="M2061" s="9">
        <v>5125</v>
      </c>
      <c r="N2061" s="9">
        <v>1001</v>
      </c>
      <c r="O2061" s="9">
        <v>2520</v>
      </c>
      <c r="P2061" s="9">
        <v>2850</v>
      </c>
      <c r="R2061" s="11"/>
      <c r="S2061" s="9"/>
      <c r="T2061" s="9"/>
      <c r="U2061" s="9"/>
    </row>
    <row r="2062" spans="2:21" x14ac:dyDescent="0.4">
      <c r="B2062" s="16">
        <f t="shared" si="168"/>
        <v>44816</v>
      </c>
      <c r="C2062" s="1">
        <f t="shared" si="169"/>
        <v>5125</v>
      </c>
      <c r="D2062" s="1">
        <f t="shared" si="170"/>
        <v>1001</v>
      </c>
      <c r="E2062" s="1">
        <f t="shared" si="171"/>
        <v>2520</v>
      </c>
      <c r="F2062" s="1">
        <f t="shared" si="167"/>
        <v>2850</v>
      </c>
      <c r="L2062" s="11">
        <v>44816</v>
      </c>
      <c r="M2062" s="9">
        <v>0</v>
      </c>
      <c r="N2062" s="9">
        <v>1001</v>
      </c>
      <c r="O2062" s="9">
        <v>0</v>
      </c>
      <c r="P2062" s="9">
        <v>0</v>
      </c>
      <c r="R2062" s="11"/>
      <c r="S2062" s="9"/>
      <c r="T2062" s="9"/>
      <c r="U2062" s="9"/>
    </row>
    <row r="2063" spans="2:21" x14ac:dyDescent="0.4">
      <c r="B2063" s="16">
        <f t="shared" si="168"/>
        <v>44817</v>
      </c>
      <c r="C2063" s="1">
        <f t="shared" si="169"/>
        <v>5169</v>
      </c>
      <c r="D2063" s="1">
        <f t="shared" si="170"/>
        <v>1001</v>
      </c>
      <c r="E2063" s="1">
        <f t="shared" si="171"/>
        <v>2535</v>
      </c>
      <c r="F2063" s="1">
        <f t="shared" si="167"/>
        <v>2850</v>
      </c>
      <c r="L2063" s="11">
        <v>44817</v>
      </c>
      <c r="M2063" s="9">
        <v>5169</v>
      </c>
      <c r="N2063" s="9">
        <v>1001</v>
      </c>
      <c r="O2063" s="9">
        <v>2535</v>
      </c>
      <c r="P2063" s="9">
        <v>2850</v>
      </c>
      <c r="R2063" s="11"/>
      <c r="S2063" s="9"/>
      <c r="T2063" s="9"/>
      <c r="U2063" s="9"/>
    </row>
    <row r="2064" spans="2:21" x14ac:dyDescent="0.4">
      <c r="B2064" s="16">
        <f t="shared" si="168"/>
        <v>44818</v>
      </c>
      <c r="C2064" s="1">
        <f t="shared" si="169"/>
        <v>5202</v>
      </c>
      <c r="D2064" s="1">
        <f t="shared" si="170"/>
        <v>1001</v>
      </c>
      <c r="E2064" s="1">
        <f t="shared" si="171"/>
        <v>2535</v>
      </c>
      <c r="F2064" s="1">
        <f t="shared" si="167"/>
        <v>2850</v>
      </c>
      <c r="L2064" s="11">
        <v>44818</v>
      </c>
      <c r="M2064" s="9">
        <v>5202</v>
      </c>
      <c r="N2064" s="9">
        <v>1001</v>
      </c>
      <c r="O2064" s="9">
        <v>2535</v>
      </c>
      <c r="P2064" s="9">
        <v>2850</v>
      </c>
      <c r="R2064" s="11"/>
      <c r="S2064" s="9"/>
      <c r="T2064" s="9"/>
      <c r="U2064" s="9"/>
    </row>
    <row r="2065" spans="2:21" x14ac:dyDescent="0.4">
      <c r="B2065" s="16">
        <f t="shared" si="168"/>
        <v>44819</v>
      </c>
      <c r="C2065" s="1">
        <f t="shared" si="169"/>
        <v>5217</v>
      </c>
      <c r="D2065" s="1">
        <f t="shared" si="170"/>
        <v>971</v>
      </c>
      <c r="E2065" s="1">
        <f t="shared" si="171"/>
        <v>2585</v>
      </c>
      <c r="F2065" s="1">
        <f t="shared" si="167"/>
        <v>2850</v>
      </c>
      <c r="L2065" s="11">
        <v>44819</v>
      </c>
      <c r="M2065" s="9">
        <v>5217</v>
      </c>
      <c r="N2065" s="9">
        <v>971</v>
      </c>
      <c r="O2065" s="9">
        <v>2585</v>
      </c>
      <c r="P2065" s="9">
        <v>2850</v>
      </c>
      <c r="R2065" s="11"/>
      <c r="S2065" s="9"/>
      <c r="T2065" s="9"/>
      <c r="U2065" s="9"/>
    </row>
    <row r="2066" spans="2:21" x14ac:dyDescent="0.4">
      <c r="B2066" s="16">
        <f t="shared" si="168"/>
        <v>44820</v>
      </c>
      <c r="C2066" s="1">
        <f t="shared" si="169"/>
        <v>5199</v>
      </c>
      <c r="D2066" s="1">
        <f t="shared" si="170"/>
        <v>971</v>
      </c>
      <c r="E2066" s="1">
        <f t="shared" si="171"/>
        <v>2585</v>
      </c>
      <c r="F2066" s="1">
        <f t="shared" si="167"/>
        <v>2850</v>
      </c>
      <c r="L2066" s="11">
        <v>44820</v>
      </c>
      <c r="M2066" s="9">
        <v>5199</v>
      </c>
      <c r="N2066" s="9">
        <v>971</v>
      </c>
      <c r="O2066" s="9">
        <v>2585</v>
      </c>
      <c r="P2066" s="9">
        <v>2850</v>
      </c>
      <c r="R2066" s="11"/>
      <c r="S2066" s="9"/>
      <c r="T2066" s="9"/>
      <c r="U2066" s="9"/>
    </row>
    <row r="2067" spans="2:21" x14ac:dyDescent="0.4">
      <c r="B2067" s="16">
        <f t="shared" si="168"/>
        <v>44823</v>
      </c>
      <c r="C2067" s="1">
        <f t="shared" si="169"/>
        <v>5172</v>
      </c>
      <c r="D2067" s="1">
        <f t="shared" si="170"/>
        <v>971</v>
      </c>
      <c r="E2067" s="1">
        <f t="shared" si="171"/>
        <v>2580</v>
      </c>
      <c r="F2067" s="1">
        <f t="shared" si="167"/>
        <v>2850</v>
      </c>
      <c r="L2067" s="11">
        <v>44823</v>
      </c>
      <c r="M2067" s="9">
        <v>5172</v>
      </c>
      <c r="N2067" s="9">
        <v>971</v>
      </c>
      <c r="O2067" s="9">
        <v>2580</v>
      </c>
      <c r="P2067" s="9">
        <v>2850</v>
      </c>
      <c r="R2067" s="11"/>
      <c r="S2067" s="9"/>
      <c r="T2067" s="9"/>
      <c r="U2067" s="9"/>
    </row>
    <row r="2068" spans="2:21" x14ac:dyDescent="0.4">
      <c r="B2068" s="16">
        <f t="shared" si="168"/>
        <v>44824</v>
      </c>
      <c r="C2068" s="1">
        <f t="shared" si="169"/>
        <v>5162</v>
      </c>
      <c r="D2068" s="1">
        <f t="shared" si="170"/>
        <v>971</v>
      </c>
      <c r="E2068" s="1">
        <f t="shared" si="171"/>
        <v>2560</v>
      </c>
      <c r="F2068" s="1">
        <f t="shared" si="167"/>
        <v>2850</v>
      </c>
      <c r="L2068" s="11">
        <v>44824</v>
      </c>
      <c r="M2068" s="9">
        <v>5162</v>
      </c>
      <c r="N2068" s="9">
        <v>971</v>
      </c>
      <c r="O2068" s="9">
        <v>2560</v>
      </c>
      <c r="P2068" s="9">
        <v>2850</v>
      </c>
      <c r="R2068" s="11"/>
      <c r="S2068" s="9"/>
      <c r="T2068" s="9"/>
      <c r="U2068" s="9"/>
    </row>
    <row r="2069" spans="2:21" x14ac:dyDescent="0.4">
      <c r="B2069" s="16">
        <f t="shared" si="168"/>
        <v>44825</v>
      </c>
      <c r="C2069" s="1">
        <f t="shared" si="169"/>
        <v>5168</v>
      </c>
      <c r="D2069" s="1">
        <f t="shared" si="170"/>
        <v>941</v>
      </c>
      <c r="E2069" s="1">
        <f t="shared" si="171"/>
        <v>2555</v>
      </c>
      <c r="F2069" s="1">
        <f t="shared" si="167"/>
        <v>2850</v>
      </c>
      <c r="L2069" s="11">
        <v>44825</v>
      </c>
      <c r="M2069" s="9">
        <v>5168</v>
      </c>
      <c r="N2069" s="9">
        <v>941</v>
      </c>
      <c r="O2069" s="9">
        <v>2555</v>
      </c>
      <c r="P2069" s="9">
        <v>2850</v>
      </c>
      <c r="R2069" s="11"/>
      <c r="S2069" s="9"/>
      <c r="T2069" s="9"/>
      <c r="U2069" s="9"/>
    </row>
    <row r="2070" spans="2:21" x14ac:dyDescent="0.4">
      <c r="B2070" s="16">
        <f t="shared" si="168"/>
        <v>44826</v>
      </c>
      <c r="C2070" s="1">
        <f t="shared" si="169"/>
        <v>5174</v>
      </c>
      <c r="D2070" s="1">
        <f t="shared" si="170"/>
        <v>941</v>
      </c>
      <c r="E2070" s="1">
        <f t="shared" si="171"/>
        <v>2560</v>
      </c>
      <c r="F2070" s="1">
        <f t="shared" si="167"/>
        <v>2850</v>
      </c>
      <c r="L2070" s="11">
        <v>44826</v>
      </c>
      <c r="M2070" s="9">
        <v>5174</v>
      </c>
      <c r="N2070" s="9">
        <v>941</v>
      </c>
      <c r="O2070" s="9">
        <v>2560</v>
      </c>
      <c r="P2070" s="9">
        <v>2850</v>
      </c>
      <c r="R2070" s="11"/>
      <c r="S2070" s="9"/>
      <c r="T2070" s="9"/>
      <c r="U2070" s="9"/>
    </row>
    <row r="2071" spans="2:21" x14ac:dyDescent="0.4">
      <c r="B2071" s="16">
        <f t="shared" si="168"/>
        <v>44827</v>
      </c>
      <c r="C2071" s="1">
        <f t="shared" si="169"/>
        <v>5166</v>
      </c>
      <c r="D2071" s="1">
        <f t="shared" si="170"/>
        <v>901</v>
      </c>
      <c r="E2071" s="1">
        <f t="shared" si="171"/>
        <v>2565</v>
      </c>
      <c r="F2071" s="1">
        <f t="shared" si="167"/>
        <v>2850</v>
      </c>
      <c r="L2071" s="11">
        <v>44827</v>
      </c>
      <c r="M2071" s="9">
        <v>5166</v>
      </c>
      <c r="N2071" s="9">
        <v>901</v>
      </c>
      <c r="O2071" s="9">
        <v>2565</v>
      </c>
      <c r="P2071" s="9">
        <v>2850</v>
      </c>
      <c r="R2071" s="11"/>
      <c r="S2071" s="9"/>
      <c r="T2071" s="9"/>
      <c r="U2071" s="9"/>
    </row>
    <row r="2072" spans="2:21" x14ac:dyDescent="0.4">
      <c r="B2072" s="16">
        <f t="shared" si="168"/>
        <v>44830</v>
      </c>
      <c r="C2072" s="1">
        <f t="shared" si="169"/>
        <v>5150</v>
      </c>
      <c r="D2072" s="1">
        <f t="shared" si="170"/>
        <v>901</v>
      </c>
      <c r="E2072" s="1">
        <f t="shared" si="171"/>
        <v>2565</v>
      </c>
      <c r="F2072" s="1">
        <f t="shared" si="167"/>
        <v>2850</v>
      </c>
      <c r="L2072" s="11">
        <v>44830</v>
      </c>
      <c r="M2072" s="9">
        <v>5150</v>
      </c>
      <c r="N2072" s="9">
        <v>901</v>
      </c>
      <c r="O2072" s="9">
        <v>2565</v>
      </c>
      <c r="P2072" s="9">
        <v>2850</v>
      </c>
      <c r="R2072" s="11"/>
      <c r="S2072" s="9"/>
      <c r="T2072" s="9"/>
      <c r="U2072" s="9"/>
    </row>
    <row r="2073" spans="2:21" x14ac:dyDescent="0.4">
      <c r="B2073" s="16">
        <f t="shared" si="168"/>
        <v>44831</v>
      </c>
      <c r="C2073" s="1">
        <f t="shared" si="169"/>
        <v>5128</v>
      </c>
      <c r="D2073" s="1">
        <f t="shared" si="170"/>
        <v>901</v>
      </c>
      <c r="E2073" s="1">
        <f t="shared" si="171"/>
        <v>2550</v>
      </c>
      <c r="F2073" s="1">
        <f t="shared" si="167"/>
        <v>2850</v>
      </c>
      <c r="L2073" s="11">
        <v>44831</v>
      </c>
      <c r="M2073" s="9">
        <v>5128</v>
      </c>
      <c r="N2073" s="9">
        <v>901</v>
      </c>
      <c r="O2073" s="9">
        <v>2550</v>
      </c>
      <c r="P2073" s="9">
        <v>2850</v>
      </c>
      <c r="R2073" s="11"/>
      <c r="S2073" s="9"/>
      <c r="T2073" s="9"/>
      <c r="U2073" s="9"/>
    </row>
    <row r="2074" spans="2:21" x14ac:dyDescent="0.4">
      <c r="B2074" s="16">
        <f t="shared" si="168"/>
        <v>44832</v>
      </c>
      <c r="C2074" s="1">
        <f t="shared" si="169"/>
        <v>5125</v>
      </c>
      <c r="D2074" s="1">
        <f t="shared" si="170"/>
        <v>891</v>
      </c>
      <c r="E2074" s="1">
        <f t="shared" si="171"/>
        <v>2545</v>
      </c>
      <c r="F2074" s="1">
        <f t="shared" si="167"/>
        <v>2850</v>
      </c>
      <c r="L2074" s="11">
        <v>44832</v>
      </c>
      <c r="M2074" s="9">
        <v>5125</v>
      </c>
      <c r="N2074" s="9">
        <v>891</v>
      </c>
      <c r="O2074" s="9">
        <v>2545</v>
      </c>
      <c r="P2074" s="9">
        <v>2850</v>
      </c>
      <c r="R2074" s="11"/>
      <c r="S2074" s="9"/>
      <c r="T2074" s="9"/>
      <c r="U2074" s="9"/>
    </row>
    <row r="2075" spans="2:21" x14ac:dyDescent="0.4">
      <c r="B2075" s="16">
        <f t="shared" si="168"/>
        <v>44833</v>
      </c>
      <c r="C2075" s="1">
        <f t="shared" si="169"/>
        <v>5133</v>
      </c>
      <c r="D2075" s="1">
        <f t="shared" si="170"/>
        <v>851</v>
      </c>
      <c r="E2075" s="1">
        <f t="shared" si="171"/>
        <v>2545</v>
      </c>
      <c r="F2075" s="1">
        <f t="shared" si="167"/>
        <v>2850</v>
      </c>
      <c r="L2075" s="11">
        <v>44833</v>
      </c>
      <c r="M2075" s="9">
        <v>5133</v>
      </c>
      <c r="N2075" s="9">
        <v>851</v>
      </c>
      <c r="O2075" s="9">
        <v>2545</v>
      </c>
      <c r="P2075" s="9">
        <v>2850</v>
      </c>
      <c r="R2075" s="11"/>
      <c r="S2075" s="9"/>
      <c r="T2075" s="9"/>
      <c r="U2075" s="9"/>
    </row>
    <row r="2076" spans="2:21" x14ac:dyDescent="0.4">
      <c r="B2076" s="16">
        <f t="shared" si="168"/>
        <v>44834</v>
      </c>
      <c r="C2076" s="1">
        <f t="shared" si="169"/>
        <v>5146</v>
      </c>
      <c r="D2076" s="1">
        <f t="shared" si="170"/>
        <v>851</v>
      </c>
      <c r="E2076" s="1">
        <f t="shared" si="171"/>
        <v>2545</v>
      </c>
      <c r="F2076" s="1">
        <f t="shared" si="167"/>
        <v>2850</v>
      </c>
      <c r="L2076" s="11">
        <v>44834</v>
      </c>
      <c r="M2076" s="9">
        <v>5146</v>
      </c>
      <c r="N2076" s="9">
        <v>0</v>
      </c>
      <c r="O2076" s="9">
        <v>2545</v>
      </c>
      <c r="P2076" s="9">
        <v>2850</v>
      </c>
      <c r="R2076" s="11"/>
      <c r="S2076" s="9"/>
      <c r="T2076" s="9"/>
      <c r="U2076" s="9"/>
    </row>
    <row r="2077" spans="2:21" x14ac:dyDescent="0.4">
      <c r="B2077" s="16">
        <f t="shared" si="168"/>
        <v>44837</v>
      </c>
      <c r="C2077" s="1">
        <f t="shared" si="169"/>
        <v>5146</v>
      </c>
      <c r="D2077" s="1">
        <f t="shared" si="170"/>
        <v>866</v>
      </c>
      <c r="E2077" s="1">
        <f t="shared" si="171"/>
        <v>2545</v>
      </c>
      <c r="F2077" s="1">
        <f t="shared" si="167"/>
        <v>2850</v>
      </c>
      <c r="L2077" s="11">
        <v>44837</v>
      </c>
      <c r="M2077" s="9">
        <v>0</v>
      </c>
      <c r="N2077" s="9">
        <v>866</v>
      </c>
      <c r="O2077" s="9">
        <v>0</v>
      </c>
      <c r="P2077" s="9">
        <v>0</v>
      </c>
      <c r="R2077" s="11"/>
      <c r="S2077" s="9"/>
      <c r="T2077" s="9"/>
      <c r="U2077" s="9"/>
    </row>
    <row r="2078" spans="2:21" x14ac:dyDescent="0.4">
      <c r="B2078" s="16">
        <f t="shared" si="168"/>
        <v>44838</v>
      </c>
      <c r="C2078" s="1">
        <f t="shared" si="169"/>
        <v>5146</v>
      </c>
      <c r="D2078" s="1">
        <f t="shared" si="170"/>
        <v>861</v>
      </c>
      <c r="E2078" s="1">
        <f t="shared" si="171"/>
        <v>2545</v>
      </c>
      <c r="F2078" s="1">
        <f t="shared" si="167"/>
        <v>2850</v>
      </c>
      <c r="L2078" s="11">
        <v>44838</v>
      </c>
      <c r="M2078" s="9">
        <v>0</v>
      </c>
      <c r="N2078" s="9">
        <v>861</v>
      </c>
      <c r="O2078" s="9">
        <v>0</v>
      </c>
      <c r="P2078" s="9">
        <v>0</v>
      </c>
      <c r="R2078" s="11"/>
      <c r="S2078" s="9"/>
      <c r="T2078" s="9"/>
      <c r="U2078" s="9"/>
    </row>
    <row r="2079" spans="2:21" x14ac:dyDescent="0.4">
      <c r="B2079" s="16">
        <f t="shared" si="168"/>
        <v>44839</v>
      </c>
      <c r="C2079" s="1">
        <f t="shared" si="169"/>
        <v>5146</v>
      </c>
      <c r="D2079" s="1">
        <f t="shared" si="170"/>
        <v>861</v>
      </c>
      <c r="E2079" s="1">
        <f t="shared" si="171"/>
        <v>2545</v>
      </c>
      <c r="F2079" s="1">
        <f t="shared" si="167"/>
        <v>2850</v>
      </c>
      <c r="L2079" s="11">
        <v>44839</v>
      </c>
      <c r="M2079" s="9">
        <v>0</v>
      </c>
      <c r="N2079" s="9">
        <v>861</v>
      </c>
      <c r="O2079" s="9">
        <v>0</v>
      </c>
      <c r="P2079" s="9">
        <v>0</v>
      </c>
      <c r="R2079" s="11"/>
      <c r="S2079" s="9"/>
      <c r="T2079" s="9"/>
      <c r="U2079" s="9"/>
    </row>
    <row r="2080" spans="2:21" x14ac:dyDescent="0.4">
      <c r="B2080" s="16">
        <f t="shared" si="168"/>
        <v>44840</v>
      </c>
      <c r="C2080" s="1">
        <f t="shared" si="169"/>
        <v>5146</v>
      </c>
      <c r="D2080" s="1">
        <f t="shared" si="170"/>
        <v>841</v>
      </c>
      <c r="E2080" s="1">
        <f t="shared" si="171"/>
        <v>2545</v>
      </c>
      <c r="F2080" s="1">
        <f t="shared" si="167"/>
        <v>2850</v>
      </c>
      <c r="L2080" s="11">
        <v>44840</v>
      </c>
      <c r="M2080" s="9">
        <v>0</v>
      </c>
      <c r="N2080" s="9">
        <v>841</v>
      </c>
      <c r="O2080" s="9">
        <v>0</v>
      </c>
      <c r="P2080" s="9">
        <v>0</v>
      </c>
      <c r="R2080" s="11"/>
      <c r="S2080" s="9"/>
      <c r="T2080" s="9"/>
      <c r="U2080" s="9"/>
    </row>
    <row r="2081" spans="2:21" x14ac:dyDescent="0.4">
      <c r="B2081" s="16">
        <f t="shared" si="168"/>
        <v>44841</v>
      </c>
      <c r="C2081" s="1">
        <f t="shared" si="169"/>
        <v>5146</v>
      </c>
      <c r="D2081" s="1">
        <f t="shared" si="170"/>
        <v>831</v>
      </c>
      <c r="E2081" s="1">
        <f t="shared" si="171"/>
        <v>2545</v>
      </c>
      <c r="F2081" s="1">
        <f t="shared" si="167"/>
        <v>2850</v>
      </c>
      <c r="L2081" s="11">
        <v>44841</v>
      </c>
      <c r="M2081" s="9">
        <v>0</v>
      </c>
      <c r="N2081" s="9">
        <v>831</v>
      </c>
      <c r="O2081" s="9">
        <v>0</v>
      </c>
      <c r="P2081" s="9">
        <v>0</v>
      </c>
      <c r="R2081" s="11"/>
      <c r="S2081" s="9"/>
      <c r="T2081" s="9"/>
      <c r="U2081" s="9"/>
    </row>
    <row r="2082" spans="2:21" x14ac:dyDescent="0.4">
      <c r="B2082" s="16">
        <f t="shared" si="168"/>
        <v>44842</v>
      </c>
      <c r="C2082" s="1">
        <f t="shared" si="169"/>
        <v>5263</v>
      </c>
      <c r="D2082" s="1">
        <f t="shared" si="170"/>
        <v>831</v>
      </c>
      <c r="E2082" s="1">
        <f t="shared" si="171"/>
        <v>2540</v>
      </c>
      <c r="F2082" s="1">
        <f t="shared" si="167"/>
        <v>2850</v>
      </c>
      <c r="L2082" s="11">
        <v>44842</v>
      </c>
      <c r="M2082" s="9">
        <v>5263</v>
      </c>
      <c r="N2082" s="9">
        <v>0</v>
      </c>
      <c r="O2082" s="9">
        <v>2540</v>
      </c>
      <c r="P2082" s="9">
        <v>2850</v>
      </c>
      <c r="R2082" s="11"/>
      <c r="S2082" s="9"/>
      <c r="T2082" s="9"/>
      <c r="U2082" s="9"/>
    </row>
    <row r="2083" spans="2:21" x14ac:dyDescent="0.4">
      <c r="B2083" s="16">
        <f t="shared" si="168"/>
        <v>44843</v>
      </c>
      <c r="C2083" s="1">
        <f t="shared" si="169"/>
        <v>5265</v>
      </c>
      <c r="D2083" s="1">
        <f t="shared" si="170"/>
        <v>831</v>
      </c>
      <c r="E2083" s="1">
        <f t="shared" si="171"/>
        <v>2530</v>
      </c>
      <c r="F2083" s="1">
        <f t="shared" si="167"/>
        <v>2850</v>
      </c>
      <c r="L2083" s="11">
        <v>44843</v>
      </c>
      <c r="M2083" s="9">
        <v>5265</v>
      </c>
      <c r="N2083" s="9">
        <v>0</v>
      </c>
      <c r="O2083" s="9">
        <v>2530</v>
      </c>
      <c r="P2083" s="9">
        <v>2850</v>
      </c>
      <c r="R2083" s="11"/>
      <c r="S2083" s="9"/>
      <c r="T2083" s="9"/>
      <c r="U2083" s="9"/>
    </row>
    <row r="2084" spans="2:21" x14ac:dyDescent="0.4">
      <c r="B2084" s="16">
        <f t="shared" si="168"/>
        <v>44844</v>
      </c>
      <c r="C2084" s="1">
        <f t="shared" si="169"/>
        <v>5254</v>
      </c>
      <c r="D2084" s="1">
        <f t="shared" si="170"/>
        <v>831</v>
      </c>
      <c r="E2084" s="1">
        <f t="shared" si="171"/>
        <v>2530</v>
      </c>
      <c r="F2084" s="1">
        <f t="shared" si="167"/>
        <v>2850</v>
      </c>
      <c r="L2084" s="11">
        <v>44844</v>
      </c>
      <c r="M2084" s="9">
        <v>5254</v>
      </c>
      <c r="N2084" s="9">
        <v>831</v>
      </c>
      <c r="O2084" s="9">
        <v>2530</v>
      </c>
      <c r="P2084" s="9">
        <v>2850</v>
      </c>
      <c r="R2084" s="11"/>
      <c r="S2084" s="9"/>
      <c r="T2084" s="9"/>
      <c r="U2084" s="9"/>
    </row>
    <row r="2085" spans="2:21" x14ac:dyDescent="0.4">
      <c r="B2085" s="16">
        <f t="shared" si="168"/>
        <v>44845</v>
      </c>
      <c r="C2085" s="1">
        <f t="shared" si="169"/>
        <v>5237</v>
      </c>
      <c r="D2085" s="1">
        <f t="shared" si="170"/>
        <v>831</v>
      </c>
      <c r="E2085" s="1">
        <f t="shared" si="171"/>
        <v>2535</v>
      </c>
      <c r="F2085" s="1">
        <f t="shared" si="167"/>
        <v>2850</v>
      </c>
      <c r="L2085" s="11">
        <v>44845</v>
      </c>
      <c r="M2085" s="9">
        <v>5237</v>
      </c>
      <c r="N2085" s="9">
        <v>831</v>
      </c>
      <c r="O2085" s="9">
        <v>2535</v>
      </c>
      <c r="P2085" s="9">
        <v>2850</v>
      </c>
      <c r="R2085" s="11"/>
      <c r="S2085" s="9"/>
      <c r="T2085" s="9"/>
      <c r="U2085" s="9"/>
    </row>
    <row r="2086" spans="2:21" x14ac:dyDescent="0.4">
      <c r="B2086" s="16">
        <f t="shared" si="168"/>
        <v>44846</v>
      </c>
      <c r="C2086" s="1">
        <f t="shared" si="169"/>
        <v>5187</v>
      </c>
      <c r="D2086" s="1">
        <f t="shared" si="170"/>
        <v>831</v>
      </c>
      <c r="E2086" s="1">
        <f t="shared" si="171"/>
        <v>2540</v>
      </c>
      <c r="F2086" s="1">
        <f t="shared" si="167"/>
        <v>2850</v>
      </c>
      <c r="L2086" s="11">
        <v>44846</v>
      </c>
      <c r="M2086" s="9">
        <v>5187</v>
      </c>
      <c r="N2086" s="9">
        <v>831</v>
      </c>
      <c r="O2086" s="9">
        <v>2540</v>
      </c>
      <c r="P2086" s="9">
        <v>2850</v>
      </c>
      <c r="R2086" s="11"/>
      <c r="S2086" s="9"/>
      <c r="T2086" s="9"/>
      <c r="U2086" s="9"/>
    </row>
    <row r="2087" spans="2:21" x14ac:dyDescent="0.4">
      <c r="B2087" s="16">
        <f t="shared" si="168"/>
        <v>44847</v>
      </c>
      <c r="C2087" s="1">
        <f t="shared" si="169"/>
        <v>5174</v>
      </c>
      <c r="D2087" s="1">
        <f t="shared" si="170"/>
        <v>851</v>
      </c>
      <c r="E2087" s="1">
        <f t="shared" si="171"/>
        <v>2540</v>
      </c>
      <c r="F2087" s="1">
        <f t="shared" si="167"/>
        <v>2850</v>
      </c>
      <c r="L2087" s="11">
        <v>44847</v>
      </c>
      <c r="M2087" s="9">
        <v>5174</v>
      </c>
      <c r="N2087" s="9">
        <v>851</v>
      </c>
      <c r="O2087" s="9">
        <v>2540</v>
      </c>
      <c r="P2087" s="9">
        <v>2850</v>
      </c>
      <c r="R2087" s="11"/>
      <c r="S2087" s="9"/>
      <c r="T2087" s="9"/>
      <c r="U2087" s="9"/>
    </row>
    <row r="2088" spans="2:21" x14ac:dyDescent="0.4">
      <c r="B2088" s="16">
        <f t="shared" si="168"/>
        <v>44848</v>
      </c>
      <c r="C2088" s="1">
        <f t="shared" si="169"/>
        <v>5164</v>
      </c>
      <c r="D2088" s="1">
        <f t="shared" si="170"/>
        <v>851</v>
      </c>
      <c r="E2088" s="1">
        <f t="shared" si="171"/>
        <v>2540</v>
      </c>
      <c r="F2088" s="1">
        <f t="shared" si="167"/>
        <v>2850</v>
      </c>
      <c r="L2088" s="11">
        <v>44848</v>
      </c>
      <c r="M2088" s="9">
        <v>5164</v>
      </c>
      <c r="N2088" s="9">
        <v>851</v>
      </c>
      <c r="O2088" s="9">
        <v>2540</v>
      </c>
      <c r="P2088" s="9">
        <v>2850</v>
      </c>
      <c r="R2088" s="11"/>
      <c r="S2088" s="9"/>
      <c r="T2088" s="9"/>
      <c r="U2088" s="9"/>
    </row>
    <row r="2089" spans="2:21" x14ac:dyDescent="0.4">
      <c r="B2089" s="16">
        <f t="shared" si="168"/>
        <v>44851</v>
      </c>
      <c r="C2089" s="1">
        <f t="shared" si="169"/>
        <v>5117</v>
      </c>
      <c r="D2089" s="1">
        <f t="shared" si="170"/>
        <v>851</v>
      </c>
      <c r="E2089" s="1">
        <f t="shared" si="171"/>
        <v>2535</v>
      </c>
      <c r="F2089" s="1">
        <f t="shared" si="167"/>
        <v>2850</v>
      </c>
      <c r="L2089" s="11">
        <v>44851</v>
      </c>
      <c r="M2089" s="9">
        <v>5117</v>
      </c>
      <c r="N2089" s="9">
        <v>851</v>
      </c>
      <c r="O2089" s="9">
        <v>2535</v>
      </c>
      <c r="P2089" s="9">
        <v>2850</v>
      </c>
      <c r="R2089" s="11"/>
      <c r="S2089" s="9"/>
      <c r="T2089" s="9"/>
      <c r="U2089" s="9"/>
    </row>
    <row r="2090" spans="2:21" x14ac:dyDescent="0.4">
      <c r="B2090" s="16">
        <f t="shared" si="168"/>
        <v>44852</v>
      </c>
      <c r="C2090" s="1">
        <f t="shared" si="169"/>
        <v>5082</v>
      </c>
      <c r="D2090" s="1">
        <f t="shared" si="170"/>
        <v>851</v>
      </c>
      <c r="E2090" s="1">
        <f t="shared" si="171"/>
        <v>2525</v>
      </c>
      <c r="F2090" s="1">
        <f t="shared" si="167"/>
        <v>2850</v>
      </c>
      <c r="L2090" s="11">
        <v>44852</v>
      </c>
      <c r="M2090" s="9">
        <v>5082</v>
      </c>
      <c r="N2090" s="9">
        <v>851</v>
      </c>
      <c r="O2090" s="9">
        <v>2525</v>
      </c>
      <c r="P2090" s="9">
        <v>2850</v>
      </c>
      <c r="R2090" s="11"/>
      <c r="S2090" s="9"/>
      <c r="T2090" s="9"/>
      <c r="U2090" s="9"/>
    </row>
    <row r="2091" spans="2:21" x14ac:dyDescent="0.4">
      <c r="B2091" s="16">
        <f t="shared" si="168"/>
        <v>44853</v>
      </c>
      <c r="C2091" s="1">
        <f t="shared" si="169"/>
        <v>5064</v>
      </c>
      <c r="D2091" s="1">
        <f t="shared" si="170"/>
        <v>851</v>
      </c>
      <c r="E2091" s="1">
        <f t="shared" si="171"/>
        <v>2515</v>
      </c>
      <c r="F2091" s="1">
        <f t="shared" si="167"/>
        <v>2850</v>
      </c>
      <c r="L2091" s="11">
        <v>44853</v>
      </c>
      <c r="M2091" s="9">
        <v>5064</v>
      </c>
      <c r="N2091" s="9">
        <v>851</v>
      </c>
      <c r="O2091" s="9">
        <v>2515</v>
      </c>
      <c r="P2091" s="9">
        <v>2850</v>
      </c>
      <c r="R2091" s="11"/>
      <c r="S2091" s="9"/>
      <c r="T2091" s="9"/>
      <c r="U2091" s="9"/>
    </row>
    <row r="2092" spans="2:21" x14ac:dyDescent="0.4">
      <c r="B2092" s="16">
        <f t="shared" si="168"/>
        <v>44854</v>
      </c>
      <c r="C2092" s="1">
        <f t="shared" si="169"/>
        <v>5058</v>
      </c>
      <c r="D2092" s="1">
        <f t="shared" si="170"/>
        <v>871</v>
      </c>
      <c r="E2092" s="1">
        <f t="shared" si="171"/>
        <v>2495</v>
      </c>
      <c r="F2092" s="1">
        <f t="shared" si="167"/>
        <v>2850</v>
      </c>
      <c r="L2092" s="11">
        <v>44854</v>
      </c>
      <c r="M2092" s="9">
        <v>5058</v>
      </c>
      <c r="N2092" s="9">
        <v>871</v>
      </c>
      <c r="O2092" s="9">
        <v>2495</v>
      </c>
      <c r="P2092" s="9">
        <v>2850</v>
      </c>
      <c r="R2092" s="11"/>
      <c r="S2092" s="9"/>
      <c r="T2092" s="9"/>
      <c r="U2092" s="9"/>
    </row>
    <row r="2093" spans="2:21" x14ac:dyDescent="0.4">
      <c r="B2093" s="16">
        <f t="shared" si="168"/>
        <v>44855</v>
      </c>
      <c r="C2093" s="1">
        <f t="shared" si="169"/>
        <v>5049</v>
      </c>
      <c r="D2093" s="1">
        <f t="shared" si="170"/>
        <v>871</v>
      </c>
      <c r="E2093" s="1">
        <f t="shared" si="171"/>
        <v>2480</v>
      </c>
      <c r="F2093" s="1">
        <f t="shared" si="167"/>
        <v>2850</v>
      </c>
      <c r="L2093" s="11">
        <v>44855</v>
      </c>
      <c r="M2093" s="9">
        <v>5049</v>
      </c>
      <c r="N2093" s="9">
        <v>871</v>
      </c>
      <c r="O2093" s="9">
        <v>2480</v>
      </c>
      <c r="P2093" s="9">
        <v>2850</v>
      </c>
      <c r="R2093" s="11"/>
      <c r="S2093" s="9"/>
      <c r="T2093" s="9"/>
      <c r="U2093" s="9"/>
    </row>
    <row r="2094" spans="2:21" x14ac:dyDescent="0.4">
      <c r="B2094" s="16">
        <f t="shared" si="168"/>
        <v>44858</v>
      </c>
      <c r="C2094" s="1">
        <f t="shared" si="169"/>
        <v>5023</v>
      </c>
      <c r="D2094" s="1">
        <f t="shared" si="170"/>
        <v>871</v>
      </c>
      <c r="E2094" s="1">
        <f t="shared" si="171"/>
        <v>2445</v>
      </c>
      <c r="F2094" s="1">
        <f t="shared" si="167"/>
        <v>2800</v>
      </c>
      <c r="L2094" s="11">
        <v>44858</v>
      </c>
      <c r="M2094" s="9">
        <v>5023</v>
      </c>
      <c r="N2094" s="9">
        <v>0</v>
      </c>
      <c r="O2094" s="9">
        <v>2445</v>
      </c>
      <c r="P2094" s="9">
        <v>2800</v>
      </c>
      <c r="R2094" s="11"/>
      <c r="S2094" s="9"/>
      <c r="T2094" s="9"/>
      <c r="U2094" s="9"/>
    </row>
    <row r="2095" spans="2:21" x14ac:dyDescent="0.4">
      <c r="B2095" s="16">
        <f t="shared" si="168"/>
        <v>44859</v>
      </c>
      <c r="C2095" s="1">
        <f t="shared" si="169"/>
        <v>5002</v>
      </c>
      <c r="D2095" s="1">
        <f t="shared" si="170"/>
        <v>871</v>
      </c>
      <c r="E2095" s="1">
        <f t="shared" si="171"/>
        <v>2445</v>
      </c>
      <c r="F2095" s="1">
        <f t="shared" si="167"/>
        <v>2800</v>
      </c>
      <c r="L2095" s="11">
        <v>44859</v>
      </c>
      <c r="M2095" s="9">
        <v>5002</v>
      </c>
      <c r="N2095" s="9">
        <v>871</v>
      </c>
      <c r="O2095" s="9">
        <v>2445</v>
      </c>
      <c r="P2095" s="9">
        <v>2800</v>
      </c>
      <c r="R2095" s="11"/>
      <c r="S2095" s="9"/>
      <c r="T2095" s="9"/>
      <c r="U2095" s="9"/>
    </row>
    <row r="2096" spans="2:21" x14ac:dyDescent="0.4">
      <c r="B2096" s="16">
        <f t="shared" si="168"/>
        <v>44860</v>
      </c>
      <c r="C2096" s="1">
        <f t="shared" si="169"/>
        <v>4976</v>
      </c>
      <c r="D2096" s="1">
        <f t="shared" si="170"/>
        <v>871</v>
      </c>
      <c r="E2096" s="1">
        <f t="shared" si="171"/>
        <v>2455</v>
      </c>
      <c r="F2096" s="1">
        <f t="shared" si="167"/>
        <v>2800</v>
      </c>
      <c r="L2096" s="11">
        <v>44860</v>
      </c>
      <c r="M2096" s="9">
        <v>4976</v>
      </c>
      <c r="N2096" s="9">
        <v>871</v>
      </c>
      <c r="O2096" s="9">
        <v>2455</v>
      </c>
      <c r="P2096" s="9">
        <v>2800</v>
      </c>
      <c r="R2096" s="11"/>
      <c r="S2096" s="9"/>
      <c r="T2096" s="9"/>
      <c r="U2096" s="9"/>
    </row>
    <row r="2097" spans="2:21" x14ac:dyDescent="0.4">
      <c r="B2097" s="16">
        <f t="shared" si="168"/>
        <v>44861</v>
      </c>
      <c r="C2097" s="1">
        <f t="shared" si="169"/>
        <v>4952</v>
      </c>
      <c r="D2097" s="1">
        <f t="shared" si="170"/>
        <v>871</v>
      </c>
      <c r="E2097" s="1">
        <f t="shared" si="171"/>
        <v>2465</v>
      </c>
      <c r="F2097" s="1">
        <f t="shared" si="167"/>
        <v>2800</v>
      </c>
      <c r="L2097" s="11">
        <v>44861</v>
      </c>
      <c r="M2097" s="9">
        <v>4952</v>
      </c>
      <c r="N2097" s="9">
        <v>871</v>
      </c>
      <c r="O2097" s="9">
        <v>2465</v>
      </c>
      <c r="P2097" s="9">
        <v>2800</v>
      </c>
      <c r="R2097" s="11"/>
      <c r="S2097" s="9"/>
      <c r="T2097" s="9"/>
      <c r="U2097" s="9"/>
    </row>
    <row r="2098" spans="2:21" x14ac:dyDescent="0.4">
      <c r="B2098" s="16">
        <f t="shared" si="168"/>
        <v>44862</v>
      </c>
      <c r="C2098" s="1">
        <f t="shared" si="169"/>
        <v>4929</v>
      </c>
      <c r="D2098" s="1">
        <f t="shared" si="170"/>
        <v>871</v>
      </c>
      <c r="E2098" s="1">
        <f t="shared" si="171"/>
        <v>2465</v>
      </c>
      <c r="F2098" s="1">
        <f t="shared" ref="F2098:F2161" si="172">IF(P2098&lt;&gt;0,P2098,F2097)</f>
        <v>2800</v>
      </c>
      <c r="L2098" s="11">
        <v>44862</v>
      </c>
      <c r="M2098" s="9">
        <v>4929</v>
      </c>
      <c r="N2098" s="9">
        <v>871</v>
      </c>
      <c r="O2098" s="9">
        <v>2465</v>
      </c>
      <c r="P2098" s="9">
        <v>2800</v>
      </c>
      <c r="R2098" s="11"/>
      <c r="S2098" s="9"/>
      <c r="T2098" s="9"/>
      <c r="U2098" s="9"/>
    </row>
    <row r="2099" spans="2:21" x14ac:dyDescent="0.4">
      <c r="B2099" s="16">
        <f t="shared" si="168"/>
        <v>44865</v>
      </c>
      <c r="C2099" s="1">
        <f t="shared" si="169"/>
        <v>4878</v>
      </c>
      <c r="D2099" s="1">
        <f t="shared" si="170"/>
        <v>881</v>
      </c>
      <c r="E2099" s="1">
        <f t="shared" si="171"/>
        <v>2470</v>
      </c>
      <c r="F2099" s="1">
        <f t="shared" si="172"/>
        <v>2800</v>
      </c>
      <c r="L2099" s="11">
        <v>44865</v>
      </c>
      <c r="M2099" s="9">
        <v>4878</v>
      </c>
      <c r="N2099" s="9">
        <v>881</v>
      </c>
      <c r="O2099" s="9">
        <v>2470</v>
      </c>
      <c r="P2099" s="9">
        <v>2800</v>
      </c>
      <c r="R2099" s="11"/>
      <c r="S2099" s="9"/>
      <c r="T2099" s="9"/>
      <c r="U2099" s="9"/>
    </row>
    <row r="2100" spans="2:21" x14ac:dyDescent="0.4">
      <c r="B2100" s="16">
        <f t="shared" si="168"/>
        <v>44866</v>
      </c>
      <c r="C2100" s="1">
        <f t="shared" si="169"/>
        <v>4867</v>
      </c>
      <c r="D2100" s="1">
        <f t="shared" si="170"/>
        <v>881</v>
      </c>
      <c r="E2100" s="1">
        <f t="shared" si="171"/>
        <v>2470</v>
      </c>
      <c r="F2100" s="1">
        <f t="shared" si="172"/>
        <v>2800</v>
      </c>
      <c r="L2100" s="11">
        <v>44866</v>
      </c>
      <c r="M2100" s="9">
        <v>4867</v>
      </c>
      <c r="N2100" s="9">
        <v>881</v>
      </c>
      <c r="O2100" s="9">
        <v>2470</v>
      </c>
      <c r="P2100" s="9">
        <v>2800</v>
      </c>
      <c r="R2100" s="11"/>
      <c r="S2100" s="9"/>
      <c r="T2100" s="9"/>
      <c r="U2100" s="9"/>
    </row>
    <row r="2101" spans="2:21" x14ac:dyDescent="0.4">
      <c r="B2101" s="16">
        <f t="shared" si="168"/>
        <v>44867</v>
      </c>
      <c r="C2101" s="1">
        <f t="shared" si="169"/>
        <v>4860</v>
      </c>
      <c r="D2101" s="1">
        <f t="shared" si="170"/>
        <v>881</v>
      </c>
      <c r="E2101" s="1">
        <f t="shared" si="171"/>
        <v>2470</v>
      </c>
      <c r="F2101" s="1">
        <f t="shared" si="172"/>
        <v>2800</v>
      </c>
      <c r="L2101" s="11">
        <v>44867</v>
      </c>
      <c r="M2101" s="9">
        <v>4860</v>
      </c>
      <c r="N2101" s="9">
        <v>881</v>
      </c>
      <c r="O2101" s="9">
        <v>2470</v>
      </c>
      <c r="P2101" s="9">
        <v>2800</v>
      </c>
      <c r="R2101" s="11"/>
      <c r="S2101" s="9"/>
      <c r="T2101" s="9"/>
      <c r="U2101" s="9"/>
    </row>
    <row r="2102" spans="2:21" x14ac:dyDescent="0.4">
      <c r="B2102" s="16">
        <f t="shared" si="168"/>
        <v>44868</v>
      </c>
      <c r="C2102" s="1">
        <f t="shared" si="169"/>
        <v>4883</v>
      </c>
      <c r="D2102" s="1">
        <f t="shared" si="170"/>
        <v>881</v>
      </c>
      <c r="E2102" s="1">
        <f t="shared" si="171"/>
        <v>2470</v>
      </c>
      <c r="F2102" s="1">
        <f t="shared" si="172"/>
        <v>2800</v>
      </c>
      <c r="L2102" s="11">
        <v>44868</v>
      </c>
      <c r="M2102" s="9">
        <v>4883</v>
      </c>
      <c r="N2102" s="9">
        <v>881</v>
      </c>
      <c r="O2102" s="9">
        <v>2470</v>
      </c>
      <c r="P2102" s="9">
        <v>2800</v>
      </c>
      <c r="R2102" s="11"/>
      <c r="S2102" s="9"/>
      <c r="T2102" s="9"/>
      <c r="U2102" s="9"/>
    </row>
    <row r="2103" spans="2:21" x14ac:dyDescent="0.4">
      <c r="B2103" s="16">
        <f t="shared" si="168"/>
        <v>44869</v>
      </c>
      <c r="C2103" s="1">
        <f t="shared" si="169"/>
        <v>4885</v>
      </c>
      <c r="D2103" s="1">
        <f t="shared" si="170"/>
        <v>881</v>
      </c>
      <c r="E2103" s="1">
        <f t="shared" si="171"/>
        <v>2480</v>
      </c>
      <c r="F2103" s="1">
        <f t="shared" si="172"/>
        <v>2800</v>
      </c>
      <c r="L2103" s="11">
        <v>44869</v>
      </c>
      <c r="M2103" s="9">
        <v>4885</v>
      </c>
      <c r="N2103" s="9">
        <v>881</v>
      </c>
      <c r="O2103" s="9">
        <v>2480</v>
      </c>
      <c r="P2103" s="9">
        <v>2800</v>
      </c>
      <c r="R2103" s="11"/>
      <c r="S2103" s="9"/>
      <c r="T2103" s="9"/>
      <c r="U2103" s="9"/>
    </row>
    <row r="2104" spans="2:21" x14ac:dyDescent="0.4">
      <c r="B2104" s="16">
        <f t="shared" si="168"/>
        <v>44872</v>
      </c>
      <c r="C2104" s="1">
        <f t="shared" si="169"/>
        <v>4902</v>
      </c>
      <c r="D2104" s="1">
        <f t="shared" si="170"/>
        <v>881</v>
      </c>
      <c r="E2104" s="1">
        <f t="shared" si="171"/>
        <v>2490</v>
      </c>
      <c r="F2104" s="1">
        <f t="shared" si="172"/>
        <v>2800</v>
      </c>
      <c r="L2104" s="11">
        <v>44872</v>
      </c>
      <c r="M2104" s="9">
        <v>4902</v>
      </c>
      <c r="N2104" s="9">
        <v>881</v>
      </c>
      <c r="O2104" s="9">
        <v>2490</v>
      </c>
      <c r="P2104" s="9">
        <v>2800</v>
      </c>
      <c r="R2104" s="11"/>
      <c r="S2104" s="9"/>
      <c r="T2104" s="9"/>
      <c r="U2104" s="9"/>
    </row>
    <row r="2105" spans="2:21" x14ac:dyDescent="0.4">
      <c r="B2105" s="16">
        <f t="shared" si="168"/>
        <v>44873</v>
      </c>
      <c r="C2105" s="1">
        <f t="shared" si="169"/>
        <v>4890</v>
      </c>
      <c r="D2105" s="1">
        <f t="shared" si="170"/>
        <v>881</v>
      </c>
      <c r="E2105" s="1">
        <f t="shared" si="171"/>
        <v>2490</v>
      </c>
      <c r="F2105" s="1">
        <f t="shared" si="172"/>
        <v>2750</v>
      </c>
      <c r="L2105" s="11">
        <v>44873</v>
      </c>
      <c r="M2105" s="9">
        <v>4890</v>
      </c>
      <c r="N2105" s="9">
        <v>881</v>
      </c>
      <c r="O2105" s="9">
        <v>2490</v>
      </c>
      <c r="P2105" s="9">
        <v>2750</v>
      </c>
      <c r="R2105" s="11"/>
      <c r="S2105" s="9"/>
      <c r="T2105" s="9"/>
      <c r="U2105" s="9"/>
    </row>
    <row r="2106" spans="2:21" x14ac:dyDescent="0.4">
      <c r="B2106" s="16">
        <f t="shared" si="168"/>
        <v>44874</v>
      </c>
      <c r="C2106" s="1">
        <f t="shared" si="169"/>
        <v>4898</v>
      </c>
      <c r="D2106" s="1">
        <f t="shared" si="170"/>
        <v>881</v>
      </c>
      <c r="E2106" s="1">
        <f t="shared" si="171"/>
        <v>2545</v>
      </c>
      <c r="F2106" s="1">
        <f t="shared" si="172"/>
        <v>2750</v>
      </c>
      <c r="L2106" s="11">
        <v>44874</v>
      </c>
      <c r="M2106" s="9">
        <v>4898</v>
      </c>
      <c r="N2106" s="9">
        <v>881</v>
      </c>
      <c r="O2106" s="9">
        <v>2545</v>
      </c>
      <c r="P2106" s="9">
        <v>2750</v>
      </c>
      <c r="R2106" s="11"/>
      <c r="S2106" s="9"/>
      <c r="T2106" s="9"/>
      <c r="U2106" s="9"/>
    </row>
    <row r="2107" spans="2:21" x14ac:dyDescent="0.4">
      <c r="B2107" s="16">
        <f t="shared" si="168"/>
        <v>44875</v>
      </c>
      <c r="C2107" s="1">
        <f t="shared" si="169"/>
        <v>4878</v>
      </c>
      <c r="D2107" s="1">
        <f t="shared" si="170"/>
        <v>881</v>
      </c>
      <c r="E2107" s="1">
        <f t="shared" si="171"/>
        <v>2560</v>
      </c>
      <c r="F2107" s="1">
        <f t="shared" si="172"/>
        <v>2750</v>
      </c>
      <c r="L2107" s="11">
        <v>44875</v>
      </c>
      <c r="M2107" s="9">
        <v>4878</v>
      </c>
      <c r="N2107" s="9">
        <v>881</v>
      </c>
      <c r="O2107" s="9">
        <v>2560</v>
      </c>
      <c r="P2107" s="9">
        <v>2750</v>
      </c>
      <c r="R2107" s="11"/>
      <c r="S2107" s="9"/>
      <c r="T2107" s="9"/>
      <c r="U2107" s="9"/>
    </row>
    <row r="2108" spans="2:21" x14ac:dyDescent="0.4">
      <c r="B2108" s="16">
        <f t="shared" si="168"/>
        <v>44876</v>
      </c>
      <c r="C2108" s="1">
        <f t="shared" si="169"/>
        <v>4879</v>
      </c>
      <c r="D2108" s="1">
        <f t="shared" si="170"/>
        <v>881</v>
      </c>
      <c r="E2108" s="1">
        <f t="shared" si="171"/>
        <v>2585</v>
      </c>
      <c r="F2108" s="1">
        <f t="shared" si="172"/>
        <v>2750</v>
      </c>
      <c r="L2108" s="11">
        <v>44876</v>
      </c>
      <c r="M2108" s="9">
        <v>4879</v>
      </c>
      <c r="N2108" s="9">
        <v>881</v>
      </c>
      <c r="O2108" s="9">
        <v>2585</v>
      </c>
      <c r="P2108" s="9">
        <v>2750</v>
      </c>
      <c r="R2108" s="11"/>
      <c r="S2108" s="9"/>
      <c r="T2108" s="9"/>
      <c r="U2108" s="9"/>
    </row>
    <row r="2109" spans="2:21" x14ac:dyDescent="0.4">
      <c r="B2109" s="16">
        <f t="shared" si="168"/>
        <v>44879</v>
      </c>
      <c r="C2109" s="1">
        <f t="shared" si="169"/>
        <v>4911</v>
      </c>
      <c r="D2109" s="1">
        <f t="shared" si="170"/>
        <v>881</v>
      </c>
      <c r="E2109" s="1">
        <f t="shared" si="171"/>
        <v>2585</v>
      </c>
      <c r="F2109" s="1">
        <f t="shared" si="172"/>
        <v>2750</v>
      </c>
      <c r="L2109" s="11">
        <v>44879</v>
      </c>
      <c r="M2109" s="9">
        <v>4911</v>
      </c>
      <c r="N2109" s="9">
        <v>881</v>
      </c>
      <c r="O2109" s="9">
        <v>2585</v>
      </c>
      <c r="P2109" s="9">
        <v>2750</v>
      </c>
      <c r="R2109" s="11"/>
      <c r="S2109" s="9"/>
      <c r="T2109" s="9"/>
      <c r="U2109" s="9"/>
    </row>
    <row r="2110" spans="2:21" x14ac:dyDescent="0.4">
      <c r="B2110" s="16">
        <f t="shared" si="168"/>
        <v>44880</v>
      </c>
      <c r="C2110" s="1">
        <f t="shared" si="169"/>
        <v>4902</v>
      </c>
      <c r="D2110" s="1">
        <f t="shared" si="170"/>
        <v>881</v>
      </c>
      <c r="E2110" s="1">
        <f t="shared" si="171"/>
        <v>2625</v>
      </c>
      <c r="F2110" s="1">
        <f t="shared" si="172"/>
        <v>2750</v>
      </c>
      <c r="L2110" s="11">
        <v>44880</v>
      </c>
      <c r="M2110" s="9">
        <v>4902</v>
      </c>
      <c r="N2110" s="9">
        <v>881</v>
      </c>
      <c r="O2110" s="9">
        <v>2625</v>
      </c>
      <c r="P2110" s="9">
        <v>2750</v>
      </c>
      <c r="R2110" s="11"/>
      <c r="S2110" s="9"/>
      <c r="T2110" s="9"/>
      <c r="U2110" s="9"/>
    </row>
    <row r="2111" spans="2:21" x14ac:dyDescent="0.4">
      <c r="B2111" s="16">
        <f t="shared" si="168"/>
        <v>44881</v>
      </c>
      <c r="C2111" s="1">
        <f t="shared" si="169"/>
        <v>4893</v>
      </c>
      <c r="D2111" s="1">
        <f t="shared" si="170"/>
        <v>881</v>
      </c>
      <c r="E2111" s="1">
        <f t="shared" si="171"/>
        <v>2625</v>
      </c>
      <c r="F2111" s="1">
        <f t="shared" si="172"/>
        <v>2750</v>
      </c>
      <c r="L2111" s="11">
        <v>44881</v>
      </c>
      <c r="M2111" s="9">
        <v>4893</v>
      </c>
      <c r="N2111" s="9">
        <v>881</v>
      </c>
      <c r="O2111" s="9">
        <v>2625</v>
      </c>
      <c r="P2111" s="9">
        <v>2750</v>
      </c>
      <c r="R2111" s="11"/>
      <c r="S2111" s="9"/>
      <c r="T2111" s="9"/>
      <c r="U2111" s="9"/>
    </row>
    <row r="2112" spans="2:21" x14ac:dyDescent="0.4">
      <c r="B2112" s="16">
        <f t="shared" si="168"/>
        <v>44882</v>
      </c>
      <c r="C2112" s="1">
        <f t="shared" si="169"/>
        <v>4878</v>
      </c>
      <c r="D2112" s="1">
        <f t="shared" si="170"/>
        <v>881</v>
      </c>
      <c r="E2112" s="1">
        <f t="shared" si="171"/>
        <v>2625</v>
      </c>
      <c r="F2112" s="1">
        <f t="shared" si="172"/>
        <v>2750</v>
      </c>
      <c r="L2112" s="11">
        <v>44882</v>
      </c>
      <c r="M2112" s="9">
        <v>4878</v>
      </c>
      <c r="N2112" s="9">
        <v>881</v>
      </c>
      <c r="O2112" s="9">
        <v>2625</v>
      </c>
      <c r="P2112" s="9">
        <v>2750</v>
      </c>
      <c r="R2112" s="11"/>
      <c r="S2112" s="9"/>
      <c r="T2112" s="9"/>
      <c r="U2112" s="9"/>
    </row>
    <row r="2113" spans="2:21" x14ac:dyDescent="0.4">
      <c r="B2113" s="16">
        <f t="shared" si="168"/>
        <v>44883</v>
      </c>
      <c r="C2113" s="1">
        <f t="shared" si="169"/>
        <v>4883</v>
      </c>
      <c r="D2113" s="1">
        <f t="shared" si="170"/>
        <v>881</v>
      </c>
      <c r="E2113" s="1">
        <f t="shared" si="171"/>
        <v>2625</v>
      </c>
      <c r="F2113" s="1">
        <f t="shared" si="172"/>
        <v>2750</v>
      </c>
      <c r="L2113" s="11">
        <v>44883</v>
      </c>
      <c r="M2113" s="9">
        <v>4883</v>
      </c>
      <c r="N2113" s="9">
        <v>881</v>
      </c>
      <c r="O2113" s="9">
        <v>2625</v>
      </c>
      <c r="P2113" s="9">
        <v>2750</v>
      </c>
      <c r="R2113" s="11"/>
      <c r="S2113" s="9"/>
      <c r="T2113" s="9"/>
      <c r="U2113" s="9"/>
    </row>
    <row r="2114" spans="2:21" x14ac:dyDescent="0.4">
      <c r="B2114" s="16">
        <f t="shared" si="168"/>
        <v>44886</v>
      </c>
      <c r="C2114" s="1">
        <f t="shared" si="169"/>
        <v>4881</v>
      </c>
      <c r="D2114" s="1">
        <f t="shared" si="170"/>
        <v>881</v>
      </c>
      <c r="E2114" s="1">
        <f t="shared" si="171"/>
        <v>2675</v>
      </c>
      <c r="F2114" s="1">
        <f t="shared" si="172"/>
        <v>2750</v>
      </c>
      <c r="L2114" s="11">
        <v>44886</v>
      </c>
      <c r="M2114" s="9">
        <v>4881</v>
      </c>
      <c r="N2114" s="9">
        <v>881</v>
      </c>
      <c r="O2114" s="9">
        <v>2675</v>
      </c>
      <c r="P2114" s="9">
        <v>2750</v>
      </c>
      <c r="R2114" s="11"/>
      <c r="S2114" s="9"/>
      <c r="T2114" s="9"/>
      <c r="U2114" s="9"/>
    </row>
    <row r="2115" spans="2:21" x14ac:dyDescent="0.4">
      <c r="B2115" s="16">
        <f t="shared" si="168"/>
        <v>44887</v>
      </c>
      <c r="C2115" s="1">
        <f t="shared" si="169"/>
        <v>4871</v>
      </c>
      <c r="D2115" s="1">
        <f t="shared" si="170"/>
        <v>881</v>
      </c>
      <c r="E2115" s="1">
        <f t="shared" si="171"/>
        <v>2710</v>
      </c>
      <c r="F2115" s="1">
        <f t="shared" si="172"/>
        <v>2750</v>
      </c>
      <c r="L2115" s="11">
        <v>44887</v>
      </c>
      <c r="M2115" s="9">
        <v>4871</v>
      </c>
      <c r="N2115" s="9">
        <v>881</v>
      </c>
      <c r="O2115" s="9">
        <v>2710</v>
      </c>
      <c r="P2115" s="9">
        <v>2750</v>
      </c>
      <c r="R2115" s="11"/>
      <c r="S2115" s="9"/>
      <c r="T2115" s="9"/>
      <c r="U2115" s="9"/>
    </row>
    <row r="2116" spans="2:21" x14ac:dyDescent="0.4">
      <c r="B2116" s="16">
        <f t="shared" si="168"/>
        <v>44888</v>
      </c>
      <c r="C2116" s="1">
        <f t="shared" si="169"/>
        <v>4858</v>
      </c>
      <c r="D2116" s="1">
        <f t="shared" si="170"/>
        <v>881</v>
      </c>
      <c r="E2116" s="1">
        <f t="shared" si="171"/>
        <v>2725</v>
      </c>
      <c r="F2116" s="1">
        <f t="shared" si="172"/>
        <v>2750</v>
      </c>
      <c r="L2116" s="11">
        <v>44888</v>
      </c>
      <c r="M2116" s="9">
        <v>4858</v>
      </c>
      <c r="N2116" s="9">
        <v>881</v>
      </c>
      <c r="O2116" s="9">
        <v>2725</v>
      </c>
      <c r="P2116" s="9">
        <v>2750</v>
      </c>
      <c r="R2116" s="11"/>
      <c r="S2116" s="9"/>
      <c r="T2116" s="9"/>
      <c r="U2116" s="9"/>
    </row>
    <row r="2117" spans="2:21" x14ac:dyDescent="0.4">
      <c r="B2117" s="16">
        <f t="shared" si="168"/>
        <v>44889</v>
      </c>
      <c r="C2117" s="1">
        <f t="shared" si="169"/>
        <v>4855</v>
      </c>
      <c r="D2117" s="1">
        <f t="shared" si="170"/>
        <v>881</v>
      </c>
      <c r="E2117" s="1">
        <f t="shared" si="171"/>
        <v>2735</v>
      </c>
      <c r="F2117" s="1">
        <f t="shared" si="172"/>
        <v>2750</v>
      </c>
      <c r="L2117" s="11">
        <v>44889</v>
      </c>
      <c r="M2117" s="9">
        <v>4855</v>
      </c>
      <c r="N2117" s="9">
        <v>881</v>
      </c>
      <c r="O2117" s="9">
        <v>2735</v>
      </c>
      <c r="P2117" s="9">
        <v>2750</v>
      </c>
      <c r="R2117" s="11"/>
      <c r="S2117" s="9"/>
      <c r="T2117" s="9"/>
      <c r="U2117" s="9"/>
    </row>
    <row r="2118" spans="2:21" x14ac:dyDescent="0.4">
      <c r="B2118" s="16">
        <f t="shared" ref="B2118:B2181" si="173">L2118</f>
        <v>44890</v>
      </c>
      <c r="C2118" s="1">
        <f t="shared" si="169"/>
        <v>4853</v>
      </c>
      <c r="D2118" s="1">
        <f t="shared" si="170"/>
        <v>881</v>
      </c>
      <c r="E2118" s="1">
        <f t="shared" si="171"/>
        <v>2770</v>
      </c>
      <c r="F2118" s="1">
        <f t="shared" si="172"/>
        <v>2750</v>
      </c>
      <c r="L2118" s="11">
        <v>44890</v>
      </c>
      <c r="M2118" s="9">
        <v>4853</v>
      </c>
      <c r="N2118" s="9">
        <v>881</v>
      </c>
      <c r="O2118" s="9">
        <v>2770</v>
      </c>
      <c r="P2118" s="9">
        <v>2750</v>
      </c>
      <c r="R2118" s="11"/>
      <c r="S2118" s="9"/>
      <c r="T2118" s="9"/>
      <c r="U2118" s="9"/>
    </row>
    <row r="2119" spans="2:21" x14ac:dyDescent="0.4">
      <c r="B2119" s="16">
        <f t="shared" si="173"/>
        <v>44893</v>
      </c>
      <c r="C2119" s="1">
        <f t="shared" ref="C2119:C2182" si="174">IF(M2119&lt;&gt;0,M2119,C2118)</f>
        <v>4834</v>
      </c>
      <c r="D2119" s="1">
        <f t="shared" ref="D2119:D2182" si="175">IF(N2119&lt;&gt;0,N2119,D2118)</f>
        <v>881</v>
      </c>
      <c r="E2119" s="1">
        <f t="shared" ref="E2119:E2182" si="176">IF(O2119&lt;&gt;0,O2119,E2118)</f>
        <v>2795</v>
      </c>
      <c r="F2119" s="1">
        <f t="shared" si="172"/>
        <v>2750</v>
      </c>
      <c r="L2119" s="11">
        <v>44893</v>
      </c>
      <c r="M2119" s="9">
        <v>4834</v>
      </c>
      <c r="N2119" s="9">
        <v>881</v>
      </c>
      <c r="O2119" s="9">
        <v>2795</v>
      </c>
      <c r="P2119" s="9">
        <v>2750</v>
      </c>
      <c r="R2119" s="11"/>
      <c r="S2119" s="9"/>
      <c r="T2119" s="9"/>
      <c r="U2119" s="9"/>
    </row>
    <row r="2120" spans="2:21" x14ac:dyDescent="0.4">
      <c r="B2120" s="16">
        <f t="shared" si="173"/>
        <v>44894</v>
      </c>
      <c r="C2120" s="1">
        <f t="shared" si="174"/>
        <v>4834</v>
      </c>
      <c r="D2120" s="1">
        <f t="shared" si="175"/>
        <v>881</v>
      </c>
      <c r="E2120" s="1">
        <f t="shared" si="176"/>
        <v>2795</v>
      </c>
      <c r="F2120" s="1">
        <f t="shared" si="172"/>
        <v>2750</v>
      </c>
      <c r="L2120" s="11">
        <v>44894</v>
      </c>
      <c r="M2120" s="9">
        <v>4834</v>
      </c>
      <c r="N2120" s="9">
        <v>881</v>
      </c>
      <c r="O2120" s="9">
        <v>2795</v>
      </c>
      <c r="P2120" s="9">
        <v>2750</v>
      </c>
      <c r="R2120" s="11"/>
      <c r="S2120" s="9"/>
      <c r="T2120" s="9"/>
      <c r="U2120" s="9"/>
    </row>
    <row r="2121" spans="2:21" x14ac:dyDescent="0.4">
      <c r="B2121" s="16">
        <f t="shared" si="173"/>
        <v>44895</v>
      </c>
      <c r="C2121" s="1">
        <f t="shared" si="174"/>
        <v>4836</v>
      </c>
      <c r="D2121" s="1">
        <f t="shared" si="175"/>
        <v>881</v>
      </c>
      <c r="E2121" s="1">
        <f t="shared" si="176"/>
        <v>2795</v>
      </c>
      <c r="F2121" s="1">
        <f t="shared" si="172"/>
        <v>2750</v>
      </c>
      <c r="L2121" s="11">
        <v>44895</v>
      </c>
      <c r="M2121" s="9">
        <v>4836</v>
      </c>
      <c r="N2121" s="9">
        <v>881</v>
      </c>
      <c r="O2121" s="9">
        <v>2795</v>
      </c>
      <c r="P2121" s="9">
        <v>2750</v>
      </c>
      <c r="R2121" s="11"/>
      <c r="S2121" s="9"/>
      <c r="T2121" s="9"/>
      <c r="U2121" s="9"/>
    </row>
    <row r="2122" spans="2:21" x14ac:dyDescent="0.4">
      <c r="B2122" s="16">
        <f t="shared" si="173"/>
        <v>44896</v>
      </c>
      <c r="C2122" s="1">
        <f t="shared" si="174"/>
        <v>4832</v>
      </c>
      <c r="D2122" s="1">
        <f t="shared" si="175"/>
        <v>881</v>
      </c>
      <c r="E2122" s="1">
        <f t="shared" si="176"/>
        <v>2790</v>
      </c>
      <c r="F2122" s="1">
        <f t="shared" si="172"/>
        <v>2780</v>
      </c>
      <c r="L2122" s="11">
        <v>44896</v>
      </c>
      <c r="M2122" s="9">
        <v>4832</v>
      </c>
      <c r="N2122" s="9">
        <v>881</v>
      </c>
      <c r="O2122" s="9">
        <v>2790</v>
      </c>
      <c r="P2122" s="9">
        <v>2780</v>
      </c>
      <c r="R2122" s="11"/>
      <c r="S2122" s="9"/>
      <c r="T2122" s="9"/>
      <c r="U2122" s="9"/>
    </row>
    <row r="2123" spans="2:21" x14ac:dyDescent="0.4">
      <c r="B2123" s="16">
        <f t="shared" si="173"/>
        <v>44897</v>
      </c>
      <c r="C2123" s="1">
        <f t="shared" si="174"/>
        <v>4819</v>
      </c>
      <c r="D2123" s="1">
        <f t="shared" si="175"/>
        <v>881</v>
      </c>
      <c r="E2123" s="1">
        <f t="shared" si="176"/>
        <v>2780</v>
      </c>
      <c r="F2123" s="1">
        <f t="shared" si="172"/>
        <v>2780</v>
      </c>
      <c r="L2123" s="11">
        <v>44897</v>
      </c>
      <c r="M2123" s="9">
        <v>4819</v>
      </c>
      <c r="N2123" s="9">
        <v>881</v>
      </c>
      <c r="O2123" s="9">
        <v>2780</v>
      </c>
      <c r="P2123" s="9">
        <v>2780</v>
      </c>
      <c r="R2123" s="11"/>
      <c r="S2123" s="9"/>
      <c r="T2123" s="9"/>
      <c r="U2123" s="9"/>
    </row>
    <row r="2124" spans="2:21" x14ac:dyDescent="0.4">
      <c r="B2124" s="16">
        <f t="shared" si="173"/>
        <v>44900</v>
      </c>
      <c r="C2124" s="1">
        <f t="shared" si="174"/>
        <v>4834</v>
      </c>
      <c r="D2124" s="1">
        <f t="shared" si="175"/>
        <v>881</v>
      </c>
      <c r="E2124" s="1">
        <f t="shared" si="176"/>
        <v>2765</v>
      </c>
      <c r="F2124" s="1">
        <f t="shared" si="172"/>
        <v>2780</v>
      </c>
      <c r="L2124" s="11">
        <v>44900</v>
      </c>
      <c r="M2124" s="9">
        <v>4834</v>
      </c>
      <c r="N2124" s="9">
        <v>881</v>
      </c>
      <c r="O2124" s="9">
        <v>2765</v>
      </c>
      <c r="P2124" s="9">
        <v>2780</v>
      </c>
      <c r="R2124" s="11"/>
      <c r="S2124" s="9"/>
      <c r="T2124" s="9"/>
      <c r="U2124" s="9"/>
    </row>
    <row r="2125" spans="2:21" x14ac:dyDescent="0.4">
      <c r="B2125" s="16">
        <f t="shared" si="173"/>
        <v>44901</v>
      </c>
      <c r="C2125" s="1">
        <f t="shared" si="174"/>
        <v>4813</v>
      </c>
      <c r="D2125" s="1">
        <f t="shared" si="175"/>
        <v>881</v>
      </c>
      <c r="E2125" s="1">
        <f t="shared" si="176"/>
        <v>2765</v>
      </c>
      <c r="F2125" s="1">
        <f t="shared" si="172"/>
        <v>2780</v>
      </c>
      <c r="L2125" s="11">
        <v>44901</v>
      </c>
      <c r="M2125" s="9">
        <v>4813</v>
      </c>
      <c r="N2125" s="9">
        <v>881</v>
      </c>
      <c r="O2125" s="9">
        <v>2765</v>
      </c>
      <c r="P2125" s="9">
        <v>2780</v>
      </c>
      <c r="R2125" s="11"/>
      <c r="S2125" s="9"/>
      <c r="T2125" s="9"/>
      <c r="U2125" s="9"/>
    </row>
    <row r="2126" spans="2:21" x14ac:dyDescent="0.4">
      <c r="B2126" s="16">
        <f t="shared" si="173"/>
        <v>44902</v>
      </c>
      <c r="C2126" s="1">
        <f t="shared" si="174"/>
        <v>4798</v>
      </c>
      <c r="D2126" s="1">
        <f t="shared" si="175"/>
        <v>891</v>
      </c>
      <c r="E2126" s="1">
        <f t="shared" si="176"/>
        <v>2750</v>
      </c>
      <c r="F2126" s="1">
        <f t="shared" si="172"/>
        <v>2780</v>
      </c>
      <c r="L2126" s="11">
        <v>44902</v>
      </c>
      <c r="M2126" s="9">
        <v>4798</v>
      </c>
      <c r="N2126" s="9">
        <v>891</v>
      </c>
      <c r="O2126" s="9">
        <v>2750</v>
      </c>
      <c r="P2126" s="9">
        <v>2780</v>
      </c>
      <c r="R2126" s="11"/>
      <c r="S2126" s="9"/>
      <c r="T2126" s="9"/>
      <c r="U2126" s="9"/>
    </row>
    <row r="2127" spans="2:21" x14ac:dyDescent="0.4">
      <c r="B2127" s="16">
        <f t="shared" si="173"/>
        <v>44903</v>
      </c>
      <c r="C2127" s="1">
        <f t="shared" si="174"/>
        <v>4788</v>
      </c>
      <c r="D2127" s="1">
        <f t="shared" si="175"/>
        <v>891</v>
      </c>
      <c r="E2127" s="1">
        <f t="shared" si="176"/>
        <v>2745</v>
      </c>
      <c r="F2127" s="1">
        <f t="shared" si="172"/>
        <v>2780</v>
      </c>
      <c r="L2127" s="11">
        <v>44903</v>
      </c>
      <c r="M2127" s="9">
        <v>4788</v>
      </c>
      <c r="N2127" s="9">
        <v>891</v>
      </c>
      <c r="O2127" s="9">
        <v>2745</v>
      </c>
      <c r="P2127" s="9">
        <v>2780</v>
      </c>
      <c r="R2127" s="11"/>
      <c r="S2127" s="9"/>
      <c r="T2127" s="9"/>
      <c r="U2127" s="9"/>
    </row>
    <row r="2128" spans="2:21" x14ac:dyDescent="0.4">
      <c r="B2128" s="16">
        <f t="shared" si="173"/>
        <v>44904</v>
      </c>
      <c r="C2128" s="1">
        <f t="shared" si="174"/>
        <v>4800</v>
      </c>
      <c r="D2128" s="1">
        <f t="shared" si="175"/>
        <v>891</v>
      </c>
      <c r="E2128" s="1">
        <f t="shared" si="176"/>
        <v>2745</v>
      </c>
      <c r="F2128" s="1">
        <f t="shared" si="172"/>
        <v>2780</v>
      </c>
      <c r="L2128" s="11">
        <v>44904</v>
      </c>
      <c r="M2128" s="9">
        <v>4800</v>
      </c>
      <c r="N2128" s="9">
        <v>891</v>
      </c>
      <c r="O2128" s="9">
        <v>2745</v>
      </c>
      <c r="P2128" s="9">
        <v>2780</v>
      </c>
      <c r="R2128" s="11"/>
      <c r="S2128" s="9"/>
      <c r="T2128" s="9"/>
      <c r="U2128" s="9"/>
    </row>
    <row r="2129" spans="2:21" x14ac:dyDescent="0.4">
      <c r="B2129" s="16">
        <f t="shared" si="173"/>
        <v>44907</v>
      </c>
      <c r="C2129" s="1">
        <f t="shared" si="174"/>
        <v>4820</v>
      </c>
      <c r="D2129" s="1">
        <f t="shared" si="175"/>
        <v>891</v>
      </c>
      <c r="E2129" s="1">
        <f t="shared" si="176"/>
        <v>2765</v>
      </c>
      <c r="F2129" s="1">
        <f t="shared" si="172"/>
        <v>2780</v>
      </c>
      <c r="L2129" s="11">
        <v>44907</v>
      </c>
      <c r="M2129" s="9">
        <v>4820</v>
      </c>
      <c r="N2129" s="9">
        <v>891</v>
      </c>
      <c r="O2129" s="9">
        <v>2765</v>
      </c>
      <c r="P2129" s="9">
        <v>2780</v>
      </c>
      <c r="R2129" s="11"/>
      <c r="S2129" s="9"/>
      <c r="T2129" s="9"/>
      <c r="U2129" s="9"/>
    </row>
    <row r="2130" spans="2:21" x14ac:dyDescent="0.4">
      <c r="B2130" s="16">
        <f t="shared" si="173"/>
        <v>44908</v>
      </c>
      <c r="C2130" s="1">
        <f t="shared" si="174"/>
        <v>4818</v>
      </c>
      <c r="D2130" s="1">
        <f t="shared" si="175"/>
        <v>891</v>
      </c>
      <c r="E2130" s="1">
        <f t="shared" si="176"/>
        <v>2790</v>
      </c>
      <c r="F2130" s="1">
        <f t="shared" si="172"/>
        <v>2780</v>
      </c>
      <c r="L2130" s="11">
        <v>44908</v>
      </c>
      <c r="M2130" s="9">
        <v>4818</v>
      </c>
      <c r="N2130" s="9">
        <v>891</v>
      </c>
      <c r="O2130" s="9">
        <v>2790</v>
      </c>
      <c r="P2130" s="9">
        <v>2780</v>
      </c>
      <c r="R2130" s="11"/>
      <c r="S2130" s="9"/>
      <c r="T2130" s="9"/>
      <c r="U2130" s="9"/>
    </row>
    <row r="2131" spans="2:21" x14ac:dyDescent="0.4">
      <c r="B2131" s="16">
        <f t="shared" si="173"/>
        <v>44909</v>
      </c>
      <c r="C2131" s="1">
        <f t="shared" si="174"/>
        <v>4825</v>
      </c>
      <c r="D2131" s="1">
        <f t="shared" si="175"/>
        <v>896</v>
      </c>
      <c r="E2131" s="1">
        <f t="shared" si="176"/>
        <v>2810</v>
      </c>
      <c r="F2131" s="1">
        <f t="shared" si="172"/>
        <v>2780</v>
      </c>
      <c r="L2131" s="11">
        <v>44909</v>
      </c>
      <c r="M2131" s="9">
        <v>4825</v>
      </c>
      <c r="N2131" s="9">
        <v>896</v>
      </c>
      <c r="O2131" s="9">
        <v>2810</v>
      </c>
      <c r="P2131" s="9">
        <v>2780</v>
      </c>
      <c r="R2131" s="11"/>
      <c r="S2131" s="9"/>
      <c r="T2131" s="9"/>
      <c r="U2131" s="9"/>
    </row>
    <row r="2132" spans="2:21" x14ac:dyDescent="0.4">
      <c r="B2132" s="16">
        <f t="shared" si="173"/>
        <v>44910</v>
      </c>
      <c r="C2132" s="1">
        <f t="shared" si="174"/>
        <v>4830</v>
      </c>
      <c r="D2132" s="1">
        <f t="shared" si="175"/>
        <v>881</v>
      </c>
      <c r="E2132" s="1">
        <f t="shared" si="176"/>
        <v>2815</v>
      </c>
      <c r="F2132" s="1">
        <f t="shared" si="172"/>
        <v>2780</v>
      </c>
      <c r="L2132" s="11">
        <v>44910</v>
      </c>
      <c r="M2132" s="9">
        <v>4830</v>
      </c>
      <c r="N2132" s="9">
        <v>881</v>
      </c>
      <c r="O2132" s="9">
        <v>2815</v>
      </c>
      <c r="P2132" s="9">
        <v>2780</v>
      </c>
      <c r="R2132" s="11"/>
      <c r="S2132" s="9"/>
      <c r="T2132" s="9"/>
      <c r="U2132" s="9"/>
    </row>
    <row r="2133" spans="2:21" x14ac:dyDescent="0.4">
      <c r="B2133" s="16">
        <f t="shared" si="173"/>
        <v>44911</v>
      </c>
      <c r="C2133" s="1">
        <f t="shared" si="174"/>
        <v>4832</v>
      </c>
      <c r="D2133" s="1">
        <f t="shared" si="175"/>
        <v>871</v>
      </c>
      <c r="E2133" s="1">
        <f t="shared" si="176"/>
        <v>2815</v>
      </c>
      <c r="F2133" s="1">
        <f t="shared" si="172"/>
        <v>2780</v>
      </c>
      <c r="L2133" s="11">
        <v>44911</v>
      </c>
      <c r="M2133" s="9">
        <v>4832</v>
      </c>
      <c r="N2133" s="9">
        <v>871</v>
      </c>
      <c r="O2133" s="9">
        <v>2815</v>
      </c>
      <c r="P2133" s="9">
        <v>2780</v>
      </c>
      <c r="R2133" s="11"/>
      <c r="S2133" s="9"/>
      <c r="T2133" s="9"/>
      <c r="U2133" s="9"/>
    </row>
    <row r="2134" spans="2:21" x14ac:dyDescent="0.4">
      <c r="B2134" s="16">
        <f t="shared" si="173"/>
        <v>44914</v>
      </c>
      <c r="C2134" s="1">
        <f t="shared" si="174"/>
        <v>4825</v>
      </c>
      <c r="D2134" s="1">
        <f t="shared" si="175"/>
        <v>871</v>
      </c>
      <c r="E2134" s="1">
        <f t="shared" si="176"/>
        <v>2815</v>
      </c>
      <c r="F2134" s="1">
        <f t="shared" si="172"/>
        <v>2780</v>
      </c>
      <c r="L2134" s="11">
        <v>44914</v>
      </c>
      <c r="M2134" s="9">
        <v>4825</v>
      </c>
      <c r="N2134" s="9">
        <v>871</v>
      </c>
      <c r="O2134" s="9">
        <v>2815</v>
      </c>
      <c r="P2134" s="9">
        <v>2780</v>
      </c>
      <c r="R2134" s="11"/>
      <c r="S2134" s="9"/>
      <c r="T2134" s="9"/>
      <c r="U2134" s="9"/>
    </row>
    <row r="2135" spans="2:21" x14ac:dyDescent="0.4">
      <c r="B2135" s="16">
        <f t="shared" si="173"/>
        <v>44915</v>
      </c>
      <c r="C2135" s="1">
        <f t="shared" si="174"/>
        <v>4802</v>
      </c>
      <c r="D2135" s="1">
        <f t="shared" si="175"/>
        <v>871</v>
      </c>
      <c r="E2135" s="1">
        <f t="shared" si="176"/>
        <v>2780</v>
      </c>
      <c r="F2135" s="1">
        <f t="shared" si="172"/>
        <v>2780</v>
      </c>
      <c r="L2135" s="11">
        <v>44915</v>
      </c>
      <c r="M2135" s="9">
        <v>4802</v>
      </c>
      <c r="N2135" s="9">
        <v>871</v>
      </c>
      <c r="O2135" s="9">
        <v>2780</v>
      </c>
      <c r="P2135" s="9">
        <v>2780</v>
      </c>
      <c r="R2135" s="11"/>
      <c r="S2135" s="9"/>
      <c r="T2135" s="9"/>
      <c r="U2135" s="9"/>
    </row>
    <row r="2136" spans="2:21" x14ac:dyDescent="0.4">
      <c r="B2136" s="16">
        <f t="shared" si="173"/>
        <v>44916</v>
      </c>
      <c r="C2136" s="1">
        <f t="shared" si="174"/>
        <v>4804</v>
      </c>
      <c r="D2136" s="1">
        <f t="shared" si="175"/>
        <v>871</v>
      </c>
      <c r="E2136" s="1">
        <f t="shared" si="176"/>
        <v>2760</v>
      </c>
      <c r="F2136" s="1">
        <f t="shared" si="172"/>
        <v>2780</v>
      </c>
      <c r="L2136" s="11">
        <v>44916</v>
      </c>
      <c r="M2136" s="9">
        <v>4804</v>
      </c>
      <c r="N2136" s="9">
        <v>871</v>
      </c>
      <c r="O2136" s="9">
        <v>2760</v>
      </c>
      <c r="P2136" s="9">
        <v>2780</v>
      </c>
      <c r="R2136" s="11"/>
      <c r="S2136" s="9"/>
      <c r="T2136" s="9"/>
      <c r="U2136" s="9"/>
    </row>
    <row r="2137" spans="2:21" x14ac:dyDescent="0.4">
      <c r="B2137" s="16">
        <f t="shared" si="173"/>
        <v>44917</v>
      </c>
      <c r="C2137" s="1">
        <f t="shared" si="174"/>
        <v>4817</v>
      </c>
      <c r="D2137" s="1">
        <f t="shared" si="175"/>
        <v>871</v>
      </c>
      <c r="E2137" s="1">
        <f t="shared" si="176"/>
        <v>2760</v>
      </c>
      <c r="F2137" s="1">
        <f t="shared" si="172"/>
        <v>2780</v>
      </c>
      <c r="L2137" s="11">
        <v>44917</v>
      </c>
      <c r="M2137" s="9">
        <v>4817</v>
      </c>
      <c r="N2137" s="9">
        <v>871</v>
      </c>
      <c r="O2137" s="9">
        <v>2760</v>
      </c>
      <c r="P2137" s="9">
        <v>2780</v>
      </c>
      <c r="R2137" s="11"/>
      <c r="S2137" s="9"/>
      <c r="T2137" s="9"/>
      <c r="U2137" s="9"/>
    </row>
    <row r="2138" spans="2:21" x14ac:dyDescent="0.4">
      <c r="B2138" s="16">
        <f t="shared" si="173"/>
        <v>44918</v>
      </c>
      <c r="C2138" s="1">
        <f t="shared" si="174"/>
        <v>4803</v>
      </c>
      <c r="D2138" s="1">
        <f t="shared" si="175"/>
        <v>871</v>
      </c>
      <c r="E2138" s="1">
        <f t="shared" si="176"/>
        <v>2760</v>
      </c>
      <c r="F2138" s="1">
        <f t="shared" si="172"/>
        <v>2780</v>
      </c>
      <c r="L2138" s="11">
        <v>44918</v>
      </c>
      <c r="M2138" s="9">
        <v>4803</v>
      </c>
      <c r="N2138" s="9">
        <v>871</v>
      </c>
      <c r="O2138" s="9">
        <v>2760</v>
      </c>
      <c r="P2138" s="9">
        <v>2780</v>
      </c>
      <c r="R2138" s="11"/>
      <c r="S2138" s="9"/>
      <c r="T2138" s="9"/>
      <c r="U2138" s="9"/>
    </row>
    <row r="2139" spans="2:21" x14ac:dyDescent="0.4">
      <c r="B2139" s="16">
        <f t="shared" si="173"/>
        <v>44921</v>
      </c>
      <c r="C2139" s="1">
        <f t="shared" si="174"/>
        <v>4799</v>
      </c>
      <c r="D2139" s="1">
        <f t="shared" si="175"/>
        <v>871</v>
      </c>
      <c r="E2139" s="1">
        <f t="shared" si="176"/>
        <v>2760</v>
      </c>
      <c r="F2139" s="1">
        <f t="shared" si="172"/>
        <v>2780</v>
      </c>
      <c r="L2139" s="11">
        <v>44921</v>
      </c>
      <c r="M2139" s="9">
        <v>4799</v>
      </c>
      <c r="N2139" s="9">
        <v>0</v>
      </c>
      <c r="O2139" s="9">
        <v>2760</v>
      </c>
      <c r="P2139" s="9">
        <v>2780</v>
      </c>
      <c r="R2139" s="11"/>
      <c r="S2139" s="9"/>
      <c r="T2139" s="9"/>
      <c r="U2139" s="9"/>
    </row>
    <row r="2140" spans="2:21" x14ac:dyDescent="0.4">
      <c r="B2140" s="16">
        <f t="shared" si="173"/>
        <v>44922</v>
      </c>
      <c r="C2140" s="1">
        <f t="shared" si="174"/>
        <v>4800</v>
      </c>
      <c r="D2140" s="1">
        <f t="shared" si="175"/>
        <v>871</v>
      </c>
      <c r="E2140" s="1">
        <f t="shared" si="176"/>
        <v>2760</v>
      </c>
      <c r="F2140" s="1">
        <f t="shared" si="172"/>
        <v>2780</v>
      </c>
      <c r="L2140" s="11">
        <v>44922</v>
      </c>
      <c r="M2140" s="9">
        <v>4800</v>
      </c>
      <c r="N2140" s="9">
        <v>871</v>
      </c>
      <c r="O2140" s="9">
        <v>2760</v>
      </c>
      <c r="P2140" s="9">
        <v>2780</v>
      </c>
      <c r="R2140" s="11"/>
      <c r="S2140" s="9"/>
      <c r="T2140" s="9"/>
      <c r="U2140" s="9"/>
    </row>
    <row r="2141" spans="2:21" x14ac:dyDescent="0.4">
      <c r="B2141" s="16">
        <f t="shared" si="173"/>
        <v>44923</v>
      </c>
      <c r="C2141" s="1">
        <f t="shared" si="174"/>
        <v>4801</v>
      </c>
      <c r="D2141" s="1">
        <f t="shared" si="175"/>
        <v>871</v>
      </c>
      <c r="E2141" s="1">
        <f t="shared" si="176"/>
        <v>2745</v>
      </c>
      <c r="F2141" s="1">
        <f t="shared" si="172"/>
        <v>2830</v>
      </c>
      <c r="L2141" s="11">
        <v>44923</v>
      </c>
      <c r="M2141" s="9">
        <v>4801</v>
      </c>
      <c r="N2141" s="9">
        <v>871</v>
      </c>
      <c r="O2141" s="9">
        <v>2745</v>
      </c>
      <c r="P2141" s="9">
        <v>2830</v>
      </c>
      <c r="R2141" s="11"/>
      <c r="S2141" s="9"/>
      <c r="T2141" s="9"/>
      <c r="U2141" s="9"/>
    </row>
    <row r="2142" spans="2:21" x14ac:dyDescent="0.4">
      <c r="B2142" s="16">
        <f t="shared" si="173"/>
        <v>44924</v>
      </c>
      <c r="C2142" s="1">
        <f t="shared" si="174"/>
        <v>4804</v>
      </c>
      <c r="D2142" s="1">
        <f t="shared" si="175"/>
        <v>871</v>
      </c>
      <c r="E2142" s="1">
        <f t="shared" si="176"/>
        <v>2745</v>
      </c>
      <c r="F2142" s="1">
        <f t="shared" si="172"/>
        <v>2830</v>
      </c>
      <c r="L2142" s="11">
        <v>44924</v>
      </c>
      <c r="M2142" s="9">
        <v>4804</v>
      </c>
      <c r="N2142" s="9">
        <v>871</v>
      </c>
      <c r="O2142" s="9">
        <v>2745</v>
      </c>
      <c r="P2142" s="9">
        <v>2830</v>
      </c>
      <c r="R2142" s="11"/>
      <c r="S2142" s="9"/>
      <c r="T2142" s="9"/>
      <c r="U2142" s="9"/>
    </row>
    <row r="2143" spans="2:21" x14ac:dyDescent="0.4">
      <c r="B2143" s="16">
        <f t="shared" si="173"/>
        <v>44925</v>
      </c>
      <c r="C2143" s="1">
        <f t="shared" si="174"/>
        <v>4804</v>
      </c>
      <c r="D2143" s="1">
        <f t="shared" si="175"/>
        <v>871</v>
      </c>
      <c r="E2143" s="1">
        <f t="shared" si="176"/>
        <v>2745</v>
      </c>
      <c r="F2143" s="1">
        <f t="shared" si="172"/>
        <v>2830</v>
      </c>
      <c r="L2143" s="11">
        <v>44925</v>
      </c>
      <c r="M2143" s="9">
        <v>4804</v>
      </c>
      <c r="N2143" s="9">
        <v>871</v>
      </c>
      <c r="O2143" s="9">
        <v>2745</v>
      </c>
      <c r="P2143" s="9">
        <v>2830</v>
      </c>
      <c r="R2143" s="11"/>
      <c r="S2143" s="9"/>
      <c r="T2143" s="9"/>
      <c r="U2143" s="9"/>
    </row>
    <row r="2144" spans="2:21" x14ac:dyDescent="0.4">
      <c r="B2144" s="16">
        <f t="shared" si="173"/>
        <v>44929</v>
      </c>
      <c r="C2144" s="1">
        <f t="shared" si="174"/>
        <v>4815</v>
      </c>
      <c r="D2144" s="1">
        <f t="shared" si="175"/>
        <v>871</v>
      </c>
      <c r="E2144" s="1">
        <f t="shared" si="176"/>
        <v>2745</v>
      </c>
      <c r="F2144" s="1">
        <f t="shared" si="172"/>
        <v>2850</v>
      </c>
      <c r="L2144" s="11">
        <v>44929</v>
      </c>
      <c r="M2144" s="9">
        <v>4815</v>
      </c>
      <c r="N2144" s="9">
        <v>871</v>
      </c>
      <c r="O2144" s="9">
        <v>2745</v>
      </c>
      <c r="P2144" s="9">
        <v>2850</v>
      </c>
      <c r="R2144" s="11"/>
      <c r="S2144" s="9"/>
      <c r="T2144" s="9"/>
      <c r="U2144" s="9"/>
    </row>
    <row r="2145" spans="2:21" x14ac:dyDescent="0.4">
      <c r="B2145" s="16">
        <f t="shared" si="173"/>
        <v>44930</v>
      </c>
      <c r="C2145" s="1">
        <f t="shared" si="174"/>
        <v>4797</v>
      </c>
      <c r="D2145" s="1">
        <f t="shared" si="175"/>
        <v>871</v>
      </c>
      <c r="E2145" s="1">
        <f t="shared" si="176"/>
        <v>2755</v>
      </c>
      <c r="F2145" s="1">
        <f t="shared" si="172"/>
        <v>2850</v>
      </c>
      <c r="L2145" s="11">
        <v>44930</v>
      </c>
      <c r="M2145" s="9">
        <v>4797</v>
      </c>
      <c r="N2145" s="9">
        <v>871</v>
      </c>
      <c r="O2145" s="9">
        <v>2755</v>
      </c>
      <c r="P2145" s="9">
        <v>2850</v>
      </c>
      <c r="R2145" s="11"/>
      <c r="S2145" s="9"/>
      <c r="T2145" s="9"/>
      <c r="U2145" s="9"/>
    </row>
    <row r="2146" spans="2:21" x14ac:dyDescent="0.4">
      <c r="B2146" s="16">
        <f t="shared" si="173"/>
        <v>44931</v>
      </c>
      <c r="C2146" s="1">
        <f t="shared" si="174"/>
        <v>4785</v>
      </c>
      <c r="D2146" s="1">
        <f t="shared" si="175"/>
        <v>851</v>
      </c>
      <c r="E2146" s="1">
        <f t="shared" si="176"/>
        <v>2770</v>
      </c>
      <c r="F2146" s="1">
        <f t="shared" si="172"/>
        <v>2850</v>
      </c>
      <c r="L2146" s="11">
        <v>44931</v>
      </c>
      <c r="M2146" s="9">
        <v>4785</v>
      </c>
      <c r="N2146" s="9">
        <v>851</v>
      </c>
      <c r="O2146" s="9">
        <v>2770</v>
      </c>
      <c r="P2146" s="9">
        <v>2850</v>
      </c>
      <c r="R2146" s="11"/>
      <c r="S2146" s="9"/>
      <c r="T2146" s="9"/>
      <c r="U2146" s="9"/>
    </row>
    <row r="2147" spans="2:21" x14ac:dyDescent="0.4">
      <c r="B2147" s="16">
        <f t="shared" si="173"/>
        <v>44932</v>
      </c>
      <c r="C2147" s="1">
        <f t="shared" si="174"/>
        <v>4782</v>
      </c>
      <c r="D2147" s="1">
        <f t="shared" si="175"/>
        <v>831</v>
      </c>
      <c r="E2147" s="1">
        <f t="shared" si="176"/>
        <v>2775</v>
      </c>
      <c r="F2147" s="1">
        <f t="shared" si="172"/>
        <v>2850</v>
      </c>
      <c r="L2147" s="11">
        <v>44932</v>
      </c>
      <c r="M2147" s="9">
        <v>4782</v>
      </c>
      <c r="N2147" s="9">
        <v>831</v>
      </c>
      <c r="O2147" s="9">
        <v>2775</v>
      </c>
      <c r="P2147" s="9">
        <v>2850</v>
      </c>
      <c r="R2147" s="11"/>
      <c r="S2147" s="9"/>
      <c r="T2147" s="9"/>
      <c r="U2147" s="9"/>
    </row>
    <row r="2148" spans="2:21" x14ac:dyDescent="0.4">
      <c r="B2148" s="16">
        <f t="shared" si="173"/>
        <v>44935</v>
      </c>
      <c r="C2148" s="1">
        <f t="shared" si="174"/>
        <v>4778</v>
      </c>
      <c r="D2148" s="1">
        <f t="shared" si="175"/>
        <v>821</v>
      </c>
      <c r="E2148" s="1">
        <f t="shared" si="176"/>
        <v>2775</v>
      </c>
      <c r="F2148" s="1">
        <f t="shared" si="172"/>
        <v>2850</v>
      </c>
      <c r="L2148" s="11">
        <v>44935</v>
      </c>
      <c r="M2148" s="9">
        <v>4778</v>
      </c>
      <c r="N2148" s="9">
        <v>821</v>
      </c>
      <c r="O2148" s="9">
        <v>2775</v>
      </c>
      <c r="P2148" s="9">
        <v>2850</v>
      </c>
      <c r="R2148" s="11"/>
      <c r="S2148" s="9"/>
      <c r="T2148" s="9"/>
      <c r="U2148" s="9"/>
    </row>
    <row r="2149" spans="2:21" x14ac:dyDescent="0.4">
      <c r="B2149" s="16">
        <f t="shared" si="173"/>
        <v>44936</v>
      </c>
      <c r="C2149" s="1">
        <f t="shared" si="174"/>
        <v>4783</v>
      </c>
      <c r="D2149" s="1">
        <f t="shared" si="175"/>
        <v>821</v>
      </c>
      <c r="E2149" s="1">
        <f t="shared" si="176"/>
        <v>2775</v>
      </c>
      <c r="F2149" s="1">
        <f t="shared" si="172"/>
        <v>2850</v>
      </c>
      <c r="L2149" s="11">
        <v>44936</v>
      </c>
      <c r="M2149" s="9">
        <v>4783</v>
      </c>
      <c r="N2149" s="9">
        <v>821</v>
      </c>
      <c r="O2149" s="9">
        <v>2775</v>
      </c>
      <c r="P2149" s="9">
        <v>2850</v>
      </c>
      <c r="R2149" s="11"/>
      <c r="S2149" s="9"/>
      <c r="T2149" s="9"/>
      <c r="U2149" s="9"/>
    </row>
    <row r="2150" spans="2:21" x14ac:dyDescent="0.4">
      <c r="B2150" s="16">
        <f t="shared" si="173"/>
        <v>44937</v>
      </c>
      <c r="C2150" s="1">
        <f t="shared" si="174"/>
        <v>4792</v>
      </c>
      <c r="D2150" s="1">
        <f t="shared" si="175"/>
        <v>821</v>
      </c>
      <c r="E2150" s="1">
        <f t="shared" si="176"/>
        <v>2775</v>
      </c>
      <c r="F2150" s="1">
        <f t="shared" si="172"/>
        <v>2850</v>
      </c>
      <c r="L2150" s="11">
        <v>44937</v>
      </c>
      <c r="M2150" s="9">
        <v>4792</v>
      </c>
      <c r="N2150" s="9">
        <v>821</v>
      </c>
      <c r="O2150" s="9">
        <v>2775</v>
      </c>
      <c r="P2150" s="9">
        <v>2850</v>
      </c>
      <c r="R2150" s="11"/>
      <c r="S2150" s="9"/>
      <c r="T2150" s="9"/>
      <c r="U2150" s="9"/>
    </row>
    <row r="2151" spans="2:21" x14ac:dyDescent="0.4">
      <c r="B2151" s="16">
        <f t="shared" si="173"/>
        <v>44938</v>
      </c>
      <c r="C2151" s="1">
        <f t="shared" si="174"/>
        <v>4804</v>
      </c>
      <c r="D2151" s="1">
        <f t="shared" si="175"/>
        <v>811</v>
      </c>
      <c r="E2151" s="1">
        <f t="shared" si="176"/>
        <v>2775</v>
      </c>
      <c r="F2151" s="1">
        <f t="shared" si="172"/>
        <v>2850</v>
      </c>
      <c r="L2151" s="11">
        <v>44938</v>
      </c>
      <c r="M2151" s="9">
        <v>4804</v>
      </c>
      <c r="N2151" s="9">
        <v>811</v>
      </c>
      <c r="O2151" s="9">
        <v>2775</v>
      </c>
      <c r="P2151" s="9">
        <v>2850</v>
      </c>
      <c r="R2151" s="11"/>
      <c r="S2151" s="9"/>
      <c r="T2151" s="9"/>
      <c r="U2151" s="9"/>
    </row>
    <row r="2152" spans="2:21" x14ac:dyDescent="0.4">
      <c r="B2152" s="16">
        <f t="shared" si="173"/>
        <v>44939</v>
      </c>
      <c r="C2152" s="1">
        <f t="shared" si="174"/>
        <v>4831</v>
      </c>
      <c r="D2152" s="1">
        <f t="shared" si="175"/>
        <v>801</v>
      </c>
      <c r="E2152" s="1">
        <f t="shared" si="176"/>
        <v>2775</v>
      </c>
      <c r="F2152" s="1">
        <f t="shared" si="172"/>
        <v>2850</v>
      </c>
      <c r="L2152" s="11">
        <v>44939</v>
      </c>
      <c r="M2152" s="9">
        <v>4831</v>
      </c>
      <c r="N2152" s="9">
        <v>801</v>
      </c>
      <c r="O2152" s="9">
        <v>2775</v>
      </c>
      <c r="P2152" s="9">
        <v>2850</v>
      </c>
      <c r="R2152" s="11"/>
      <c r="S2152" s="9"/>
      <c r="T2152" s="9"/>
      <c r="U2152" s="9"/>
    </row>
    <row r="2153" spans="2:21" x14ac:dyDescent="0.4">
      <c r="B2153" s="16">
        <f t="shared" si="173"/>
        <v>44942</v>
      </c>
      <c r="C2153" s="1">
        <f t="shared" si="174"/>
        <v>4848</v>
      </c>
      <c r="D2153" s="1">
        <f t="shared" si="175"/>
        <v>766</v>
      </c>
      <c r="E2153" s="1">
        <f t="shared" si="176"/>
        <v>2780</v>
      </c>
      <c r="F2153" s="1">
        <f t="shared" si="172"/>
        <v>2850</v>
      </c>
      <c r="L2153" s="11">
        <v>44942</v>
      </c>
      <c r="M2153" s="9">
        <v>4848</v>
      </c>
      <c r="N2153" s="9">
        <v>766</v>
      </c>
      <c r="O2153" s="9">
        <v>2780</v>
      </c>
      <c r="P2153" s="9">
        <v>2850</v>
      </c>
      <c r="R2153" s="11"/>
      <c r="S2153" s="9"/>
      <c r="T2153" s="9"/>
      <c r="U2153" s="9"/>
    </row>
    <row r="2154" spans="2:21" x14ac:dyDescent="0.4">
      <c r="B2154" s="16">
        <f t="shared" si="173"/>
        <v>44943</v>
      </c>
      <c r="C2154" s="1">
        <f t="shared" si="174"/>
        <v>4859</v>
      </c>
      <c r="D2154" s="1">
        <f t="shared" si="175"/>
        <v>766</v>
      </c>
      <c r="E2154" s="1">
        <f t="shared" si="176"/>
        <v>2780</v>
      </c>
      <c r="F2154" s="1">
        <f t="shared" si="172"/>
        <v>2900</v>
      </c>
      <c r="L2154" s="11">
        <v>44943</v>
      </c>
      <c r="M2154" s="9">
        <v>4859</v>
      </c>
      <c r="N2154" s="9">
        <v>766</v>
      </c>
      <c r="O2154" s="9">
        <v>2780</v>
      </c>
      <c r="P2154" s="9">
        <v>2900</v>
      </c>
      <c r="R2154" s="11"/>
      <c r="S2154" s="9"/>
      <c r="T2154" s="9"/>
      <c r="U2154" s="9"/>
    </row>
    <row r="2155" spans="2:21" x14ac:dyDescent="0.4">
      <c r="B2155" s="16">
        <f t="shared" si="173"/>
        <v>44944</v>
      </c>
      <c r="C2155" s="1">
        <f t="shared" si="174"/>
        <v>4876</v>
      </c>
      <c r="D2155" s="1">
        <f t="shared" si="175"/>
        <v>766</v>
      </c>
      <c r="E2155" s="1">
        <f t="shared" si="176"/>
        <v>2780</v>
      </c>
      <c r="F2155" s="1">
        <f t="shared" si="172"/>
        <v>2900</v>
      </c>
      <c r="L2155" s="11">
        <v>44944</v>
      </c>
      <c r="M2155" s="9">
        <v>4876</v>
      </c>
      <c r="N2155" s="9">
        <v>766</v>
      </c>
      <c r="O2155" s="9">
        <v>2780</v>
      </c>
      <c r="P2155" s="9">
        <v>2900</v>
      </c>
      <c r="R2155" s="11"/>
      <c r="S2155" s="9"/>
      <c r="T2155" s="9"/>
      <c r="U2155" s="9"/>
    </row>
    <row r="2156" spans="2:21" x14ac:dyDescent="0.4">
      <c r="B2156" s="16">
        <f t="shared" si="173"/>
        <v>44945</v>
      </c>
      <c r="C2156" s="1">
        <f t="shared" si="174"/>
        <v>4885</v>
      </c>
      <c r="D2156" s="1">
        <f t="shared" si="175"/>
        <v>766</v>
      </c>
      <c r="E2156" s="1">
        <f t="shared" si="176"/>
        <v>2780</v>
      </c>
      <c r="F2156" s="1">
        <f t="shared" si="172"/>
        <v>2900</v>
      </c>
      <c r="L2156" s="11">
        <v>44945</v>
      </c>
      <c r="M2156" s="9">
        <v>4885</v>
      </c>
      <c r="N2156" s="9">
        <v>766</v>
      </c>
      <c r="O2156" s="9">
        <v>2780</v>
      </c>
      <c r="P2156" s="9">
        <v>2900</v>
      </c>
      <c r="R2156" s="11"/>
      <c r="S2156" s="9"/>
      <c r="T2156" s="9"/>
      <c r="U2156" s="9"/>
    </row>
    <row r="2157" spans="2:21" x14ac:dyDescent="0.4">
      <c r="B2157" s="16">
        <f t="shared" si="173"/>
        <v>44946</v>
      </c>
      <c r="C2157" s="1">
        <f t="shared" si="174"/>
        <v>4893</v>
      </c>
      <c r="D2157" s="1">
        <f t="shared" si="175"/>
        <v>766</v>
      </c>
      <c r="E2157" s="1">
        <f t="shared" si="176"/>
        <v>2780</v>
      </c>
      <c r="F2157" s="1">
        <f t="shared" si="172"/>
        <v>2900</v>
      </c>
      <c r="L2157" s="11">
        <v>44946</v>
      </c>
      <c r="M2157" s="9">
        <v>4893</v>
      </c>
      <c r="N2157" s="9">
        <v>766</v>
      </c>
      <c r="O2157" s="9">
        <v>2780</v>
      </c>
      <c r="P2157" s="9">
        <v>2900</v>
      </c>
      <c r="R2157" s="11"/>
      <c r="S2157" s="9"/>
      <c r="T2157" s="9"/>
      <c r="U2157" s="9"/>
    </row>
    <row r="2158" spans="2:21" x14ac:dyDescent="0.4">
      <c r="B2158" s="16">
        <f t="shared" si="173"/>
        <v>44951</v>
      </c>
      <c r="C2158" s="1">
        <f t="shared" si="174"/>
        <v>4893</v>
      </c>
      <c r="D2158" s="1">
        <f t="shared" si="175"/>
        <v>771</v>
      </c>
      <c r="E2158" s="1">
        <f t="shared" si="176"/>
        <v>2780</v>
      </c>
      <c r="F2158" s="1">
        <f t="shared" si="172"/>
        <v>2900</v>
      </c>
      <c r="L2158" s="11">
        <v>44951</v>
      </c>
      <c r="M2158" s="9">
        <v>0</v>
      </c>
      <c r="N2158" s="9">
        <v>771</v>
      </c>
      <c r="O2158" s="9">
        <v>0</v>
      </c>
      <c r="P2158" s="9">
        <v>0</v>
      </c>
      <c r="R2158" s="11"/>
      <c r="S2158" s="9"/>
      <c r="T2158" s="9"/>
      <c r="U2158" s="9"/>
    </row>
    <row r="2159" spans="2:21" x14ac:dyDescent="0.4">
      <c r="B2159" s="16">
        <f t="shared" si="173"/>
        <v>44952</v>
      </c>
      <c r="C2159" s="1">
        <f t="shared" si="174"/>
        <v>4893</v>
      </c>
      <c r="D2159" s="1">
        <f t="shared" si="175"/>
        <v>771</v>
      </c>
      <c r="E2159" s="1">
        <f t="shared" si="176"/>
        <v>2780</v>
      </c>
      <c r="F2159" s="1">
        <f t="shared" si="172"/>
        <v>2900</v>
      </c>
      <c r="L2159" s="11">
        <v>44952</v>
      </c>
      <c r="M2159" s="9">
        <v>0</v>
      </c>
      <c r="N2159" s="9">
        <v>771</v>
      </c>
      <c r="O2159" s="9">
        <v>0</v>
      </c>
      <c r="P2159" s="9">
        <v>0</v>
      </c>
      <c r="R2159" s="11"/>
      <c r="S2159" s="9"/>
      <c r="T2159" s="9"/>
      <c r="U2159" s="9"/>
    </row>
    <row r="2160" spans="2:21" x14ac:dyDescent="0.4">
      <c r="B2160" s="16">
        <f t="shared" si="173"/>
        <v>44953</v>
      </c>
      <c r="C2160" s="1">
        <f t="shared" si="174"/>
        <v>4893</v>
      </c>
      <c r="D2160" s="1">
        <f t="shared" si="175"/>
        <v>781</v>
      </c>
      <c r="E2160" s="1">
        <f t="shared" si="176"/>
        <v>2780</v>
      </c>
      <c r="F2160" s="1">
        <f t="shared" si="172"/>
        <v>2900</v>
      </c>
      <c r="L2160" s="11">
        <v>44953</v>
      </c>
      <c r="M2160" s="9">
        <v>0</v>
      </c>
      <c r="N2160" s="9">
        <v>781</v>
      </c>
      <c r="O2160" s="9">
        <v>0</v>
      </c>
      <c r="P2160" s="9">
        <v>0</v>
      </c>
      <c r="R2160" s="11"/>
      <c r="S2160" s="9"/>
      <c r="T2160" s="9"/>
      <c r="U2160" s="9"/>
    </row>
    <row r="2161" spans="2:21" x14ac:dyDescent="0.4">
      <c r="B2161" s="16">
        <f t="shared" si="173"/>
        <v>44954</v>
      </c>
      <c r="C2161" s="1">
        <f t="shared" si="174"/>
        <v>4909</v>
      </c>
      <c r="D2161" s="1">
        <f t="shared" si="175"/>
        <v>781</v>
      </c>
      <c r="E2161" s="1">
        <f t="shared" si="176"/>
        <v>2790</v>
      </c>
      <c r="F2161" s="1">
        <f t="shared" si="172"/>
        <v>2900</v>
      </c>
      <c r="L2161" s="11">
        <v>44954</v>
      </c>
      <c r="M2161" s="9">
        <v>4909</v>
      </c>
      <c r="N2161" s="9">
        <v>0</v>
      </c>
      <c r="O2161" s="9">
        <v>2790</v>
      </c>
      <c r="P2161" s="9">
        <v>2900</v>
      </c>
      <c r="R2161" s="11"/>
      <c r="S2161" s="9"/>
      <c r="T2161" s="9"/>
      <c r="U2161" s="9"/>
    </row>
    <row r="2162" spans="2:21" x14ac:dyDescent="0.4">
      <c r="B2162" s="16">
        <f t="shared" si="173"/>
        <v>44955</v>
      </c>
      <c r="C2162" s="1">
        <f t="shared" si="174"/>
        <v>4929</v>
      </c>
      <c r="D2162" s="1">
        <f t="shared" si="175"/>
        <v>781</v>
      </c>
      <c r="E2162" s="1">
        <f t="shared" si="176"/>
        <v>2790</v>
      </c>
      <c r="F2162" s="1">
        <f t="shared" ref="F2162:F2225" si="177">IF(P2162&lt;&gt;0,P2162,F2161)</f>
        <v>2900</v>
      </c>
      <c r="L2162" s="11">
        <v>44955</v>
      </c>
      <c r="M2162" s="9">
        <v>4929</v>
      </c>
      <c r="N2162" s="9">
        <v>0</v>
      </c>
      <c r="O2162" s="9">
        <v>2790</v>
      </c>
      <c r="P2162" s="9">
        <v>2900</v>
      </c>
      <c r="R2162" s="11"/>
      <c r="S2162" s="9"/>
      <c r="T2162" s="9"/>
      <c r="U2162" s="9"/>
    </row>
    <row r="2163" spans="2:21" x14ac:dyDescent="0.4">
      <c r="B2163" s="16">
        <f t="shared" si="173"/>
        <v>44956</v>
      </c>
      <c r="C2163" s="1">
        <f t="shared" si="174"/>
        <v>4954</v>
      </c>
      <c r="D2163" s="1">
        <f t="shared" si="175"/>
        <v>781</v>
      </c>
      <c r="E2163" s="1">
        <f t="shared" si="176"/>
        <v>2795</v>
      </c>
      <c r="F2163" s="1">
        <f t="shared" si="177"/>
        <v>3000</v>
      </c>
      <c r="L2163" s="11">
        <v>44956</v>
      </c>
      <c r="M2163" s="9">
        <v>4954</v>
      </c>
      <c r="N2163" s="9">
        <v>781</v>
      </c>
      <c r="O2163" s="9">
        <v>2795</v>
      </c>
      <c r="P2163" s="9">
        <v>3000</v>
      </c>
      <c r="R2163" s="11"/>
      <c r="S2163" s="9"/>
      <c r="T2163" s="9"/>
      <c r="U2163" s="9"/>
    </row>
    <row r="2164" spans="2:21" x14ac:dyDescent="0.4">
      <c r="B2164" s="16">
        <f t="shared" si="173"/>
        <v>44957</v>
      </c>
      <c r="C2164" s="1">
        <f t="shared" si="174"/>
        <v>4962</v>
      </c>
      <c r="D2164" s="1">
        <f t="shared" si="175"/>
        <v>781</v>
      </c>
      <c r="E2164" s="1">
        <f t="shared" si="176"/>
        <v>2800</v>
      </c>
      <c r="F2164" s="1">
        <f t="shared" si="177"/>
        <v>3000</v>
      </c>
      <c r="L2164" s="11">
        <v>44957</v>
      </c>
      <c r="M2164" s="9">
        <v>4962</v>
      </c>
      <c r="N2164" s="9">
        <v>781</v>
      </c>
      <c r="O2164" s="9">
        <v>2800</v>
      </c>
      <c r="P2164" s="9">
        <v>3000</v>
      </c>
      <c r="R2164" s="11"/>
      <c r="S2164" s="9"/>
      <c r="T2164" s="9"/>
      <c r="U2164" s="9"/>
    </row>
    <row r="2165" spans="2:21" x14ac:dyDescent="0.4">
      <c r="B2165" s="16">
        <f t="shared" si="173"/>
        <v>44958</v>
      </c>
      <c r="C2165" s="1">
        <f t="shared" si="174"/>
        <v>4953</v>
      </c>
      <c r="D2165" s="1">
        <f t="shared" si="175"/>
        <v>831</v>
      </c>
      <c r="E2165" s="1">
        <f t="shared" si="176"/>
        <v>2810</v>
      </c>
      <c r="F2165" s="1">
        <f t="shared" si="177"/>
        <v>3000</v>
      </c>
      <c r="L2165" s="11">
        <v>44958</v>
      </c>
      <c r="M2165" s="9">
        <v>4953</v>
      </c>
      <c r="N2165" s="9">
        <v>831</v>
      </c>
      <c r="O2165" s="9">
        <v>2810</v>
      </c>
      <c r="P2165" s="9">
        <v>3000</v>
      </c>
      <c r="R2165" s="11"/>
      <c r="S2165" s="9"/>
      <c r="T2165" s="9"/>
      <c r="U2165" s="9"/>
    </row>
    <row r="2166" spans="2:21" x14ac:dyDescent="0.4">
      <c r="B2166" s="16">
        <f t="shared" si="173"/>
        <v>44959</v>
      </c>
      <c r="C2166" s="1">
        <f t="shared" si="174"/>
        <v>4938</v>
      </c>
      <c r="D2166" s="1">
        <f t="shared" si="175"/>
        <v>831</v>
      </c>
      <c r="E2166" s="1">
        <f t="shared" si="176"/>
        <v>2810</v>
      </c>
      <c r="F2166" s="1">
        <f t="shared" si="177"/>
        <v>3000</v>
      </c>
      <c r="L2166" s="11">
        <v>44959</v>
      </c>
      <c r="M2166" s="9">
        <v>4938</v>
      </c>
      <c r="N2166" s="9">
        <v>831</v>
      </c>
      <c r="O2166" s="9">
        <v>2810</v>
      </c>
      <c r="P2166" s="9">
        <v>3000</v>
      </c>
      <c r="R2166" s="11"/>
      <c r="S2166" s="9"/>
      <c r="T2166" s="9"/>
      <c r="U2166" s="9"/>
    </row>
    <row r="2167" spans="2:21" x14ac:dyDescent="0.4">
      <c r="B2167" s="16">
        <f t="shared" si="173"/>
        <v>44960</v>
      </c>
      <c r="C2167" s="1">
        <f t="shared" si="174"/>
        <v>4890</v>
      </c>
      <c r="D2167" s="1">
        <f t="shared" si="175"/>
        <v>861</v>
      </c>
      <c r="E2167" s="1">
        <f t="shared" si="176"/>
        <v>2810</v>
      </c>
      <c r="F2167" s="1">
        <f t="shared" si="177"/>
        <v>3000</v>
      </c>
      <c r="L2167" s="11">
        <v>44960</v>
      </c>
      <c r="M2167" s="9">
        <v>4890</v>
      </c>
      <c r="N2167" s="9">
        <v>861</v>
      </c>
      <c r="O2167" s="9">
        <v>2810</v>
      </c>
      <c r="P2167" s="9">
        <v>3000</v>
      </c>
      <c r="R2167" s="11"/>
      <c r="S2167" s="9"/>
      <c r="T2167" s="9"/>
      <c r="U2167" s="9"/>
    </row>
    <row r="2168" spans="2:21" x14ac:dyDescent="0.4">
      <c r="B2168" s="16">
        <f t="shared" si="173"/>
        <v>44963</v>
      </c>
      <c r="C2168" s="1">
        <f t="shared" si="174"/>
        <v>4876</v>
      </c>
      <c r="D2168" s="1">
        <f t="shared" si="175"/>
        <v>861</v>
      </c>
      <c r="E2168" s="1">
        <f t="shared" si="176"/>
        <v>2810</v>
      </c>
      <c r="F2168" s="1">
        <f t="shared" si="177"/>
        <v>3050</v>
      </c>
      <c r="L2168" s="11">
        <v>44963</v>
      </c>
      <c r="M2168" s="9">
        <v>4876</v>
      </c>
      <c r="N2168" s="9">
        <v>861</v>
      </c>
      <c r="O2168" s="9">
        <v>2810</v>
      </c>
      <c r="P2168" s="9">
        <v>3050</v>
      </c>
      <c r="R2168" s="11"/>
      <c r="S2168" s="9"/>
      <c r="T2168" s="9"/>
      <c r="U2168" s="9"/>
    </row>
    <row r="2169" spans="2:21" x14ac:dyDescent="0.4">
      <c r="B2169" s="16">
        <f t="shared" si="173"/>
        <v>44964</v>
      </c>
      <c r="C2169" s="1">
        <f t="shared" si="174"/>
        <v>4880</v>
      </c>
      <c r="D2169" s="1">
        <f t="shared" si="175"/>
        <v>861</v>
      </c>
      <c r="E2169" s="1">
        <f t="shared" si="176"/>
        <v>2810</v>
      </c>
      <c r="F2169" s="1">
        <f t="shared" si="177"/>
        <v>3050</v>
      </c>
      <c r="L2169" s="11">
        <v>44964</v>
      </c>
      <c r="M2169" s="9">
        <v>4880</v>
      </c>
      <c r="N2169" s="9">
        <v>861</v>
      </c>
      <c r="O2169" s="9">
        <v>2810</v>
      </c>
      <c r="P2169" s="9">
        <v>3050</v>
      </c>
      <c r="R2169" s="11"/>
      <c r="S2169" s="9"/>
      <c r="T2169" s="9"/>
      <c r="U2169" s="9"/>
    </row>
    <row r="2170" spans="2:21" x14ac:dyDescent="0.4">
      <c r="B2170" s="16">
        <f t="shared" si="173"/>
        <v>44965</v>
      </c>
      <c r="C2170" s="1">
        <f t="shared" si="174"/>
        <v>4875</v>
      </c>
      <c r="D2170" s="1">
        <f t="shared" si="175"/>
        <v>866</v>
      </c>
      <c r="E2170" s="1">
        <f t="shared" si="176"/>
        <v>2810</v>
      </c>
      <c r="F2170" s="1">
        <f t="shared" si="177"/>
        <v>3050</v>
      </c>
      <c r="L2170" s="11">
        <v>44965</v>
      </c>
      <c r="M2170" s="9">
        <v>4875</v>
      </c>
      <c r="N2170" s="9">
        <v>866</v>
      </c>
      <c r="O2170" s="9">
        <v>2810</v>
      </c>
      <c r="P2170" s="9">
        <v>3050</v>
      </c>
      <c r="R2170" s="11"/>
      <c r="S2170" s="9"/>
      <c r="T2170" s="9"/>
      <c r="U2170" s="9"/>
    </row>
    <row r="2171" spans="2:21" x14ac:dyDescent="0.4">
      <c r="B2171" s="16">
        <f t="shared" si="173"/>
        <v>44966</v>
      </c>
      <c r="C2171" s="1">
        <f t="shared" si="174"/>
        <v>4891</v>
      </c>
      <c r="D2171" s="1">
        <f t="shared" si="175"/>
        <v>876</v>
      </c>
      <c r="E2171" s="1">
        <f t="shared" si="176"/>
        <v>2810</v>
      </c>
      <c r="F2171" s="1">
        <f t="shared" si="177"/>
        <v>3050</v>
      </c>
      <c r="L2171" s="11">
        <v>44966</v>
      </c>
      <c r="M2171" s="9">
        <v>4891</v>
      </c>
      <c r="N2171" s="9">
        <v>876</v>
      </c>
      <c r="O2171" s="9">
        <v>2810</v>
      </c>
      <c r="P2171" s="9">
        <v>3050</v>
      </c>
      <c r="R2171" s="11"/>
      <c r="S2171" s="9"/>
      <c r="T2171" s="9"/>
      <c r="U2171" s="9"/>
    </row>
    <row r="2172" spans="2:21" x14ac:dyDescent="0.4">
      <c r="B2172" s="16">
        <f t="shared" si="173"/>
        <v>44967</v>
      </c>
      <c r="C2172" s="1">
        <f t="shared" si="174"/>
        <v>4875</v>
      </c>
      <c r="D2172" s="1">
        <f t="shared" si="175"/>
        <v>876</v>
      </c>
      <c r="E2172" s="1">
        <f t="shared" si="176"/>
        <v>2810</v>
      </c>
      <c r="F2172" s="1">
        <f t="shared" si="177"/>
        <v>3050</v>
      </c>
      <c r="L2172" s="11">
        <v>44967</v>
      </c>
      <c r="M2172" s="9">
        <v>4875</v>
      </c>
      <c r="N2172" s="9">
        <v>876</v>
      </c>
      <c r="O2172" s="9">
        <v>2810</v>
      </c>
      <c r="P2172" s="9">
        <v>3050</v>
      </c>
      <c r="R2172" s="11"/>
      <c r="S2172" s="9"/>
      <c r="T2172" s="9"/>
      <c r="U2172" s="9"/>
    </row>
    <row r="2173" spans="2:21" x14ac:dyDescent="0.4">
      <c r="B2173" s="16">
        <f t="shared" si="173"/>
        <v>44970</v>
      </c>
      <c r="C2173" s="1">
        <f t="shared" si="174"/>
        <v>4871</v>
      </c>
      <c r="D2173" s="1">
        <f t="shared" si="175"/>
        <v>876</v>
      </c>
      <c r="E2173" s="1">
        <f t="shared" si="176"/>
        <v>2785</v>
      </c>
      <c r="F2173" s="1">
        <f t="shared" si="177"/>
        <v>3050</v>
      </c>
      <c r="L2173" s="11">
        <v>44970</v>
      </c>
      <c r="M2173" s="9">
        <v>4871</v>
      </c>
      <c r="N2173" s="9">
        <v>876</v>
      </c>
      <c r="O2173" s="9">
        <v>2785</v>
      </c>
      <c r="P2173" s="9">
        <v>3050</v>
      </c>
      <c r="R2173" s="11"/>
      <c r="S2173" s="9"/>
      <c r="T2173" s="9"/>
      <c r="U2173" s="9"/>
    </row>
    <row r="2174" spans="2:21" x14ac:dyDescent="0.4">
      <c r="B2174" s="16">
        <f t="shared" si="173"/>
        <v>44971</v>
      </c>
      <c r="C2174" s="1">
        <f t="shared" si="174"/>
        <v>4874</v>
      </c>
      <c r="D2174" s="1">
        <f t="shared" si="175"/>
        <v>876</v>
      </c>
      <c r="E2174" s="1">
        <f t="shared" si="176"/>
        <v>2755</v>
      </c>
      <c r="F2174" s="1">
        <f t="shared" si="177"/>
        <v>3050</v>
      </c>
      <c r="L2174" s="11">
        <v>44971</v>
      </c>
      <c r="M2174" s="9">
        <v>4874</v>
      </c>
      <c r="N2174" s="9">
        <v>876</v>
      </c>
      <c r="O2174" s="9">
        <v>2755</v>
      </c>
      <c r="P2174" s="9">
        <v>3050</v>
      </c>
      <c r="R2174" s="11"/>
      <c r="S2174" s="9"/>
      <c r="T2174" s="9"/>
      <c r="U2174" s="9"/>
    </row>
    <row r="2175" spans="2:21" x14ac:dyDescent="0.4">
      <c r="B2175" s="16">
        <f t="shared" si="173"/>
        <v>44972</v>
      </c>
      <c r="C2175" s="1">
        <f t="shared" si="174"/>
        <v>4869</v>
      </c>
      <c r="D2175" s="1">
        <f t="shared" si="175"/>
        <v>901</v>
      </c>
      <c r="E2175" s="1">
        <f t="shared" si="176"/>
        <v>2755</v>
      </c>
      <c r="F2175" s="1">
        <f t="shared" si="177"/>
        <v>3050</v>
      </c>
      <c r="L2175" s="11">
        <v>44972</v>
      </c>
      <c r="M2175" s="9">
        <v>4869</v>
      </c>
      <c r="N2175" s="9">
        <v>901</v>
      </c>
      <c r="O2175" s="9">
        <v>2755</v>
      </c>
      <c r="P2175" s="9">
        <v>3050</v>
      </c>
      <c r="R2175" s="11"/>
      <c r="S2175" s="9"/>
      <c r="T2175" s="9"/>
      <c r="U2175" s="9"/>
    </row>
    <row r="2176" spans="2:21" x14ac:dyDescent="0.4">
      <c r="B2176" s="16">
        <f t="shared" si="173"/>
        <v>44973</v>
      </c>
      <c r="C2176" s="1">
        <f t="shared" si="174"/>
        <v>4876</v>
      </c>
      <c r="D2176" s="1">
        <f t="shared" si="175"/>
        <v>911</v>
      </c>
      <c r="E2176" s="1">
        <f t="shared" si="176"/>
        <v>2755</v>
      </c>
      <c r="F2176" s="1">
        <f t="shared" si="177"/>
        <v>3050</v>
      </c>
      <c r="L2176" s="11">
        <v>44973</v>
      </c>
      <c r="M2176" s="9">
        <v>4876</v>
      </c>
      <c r="N2176" s="9">
        <v>911</v>
      </c>
      <c r="O2176" s="9">
        <v>2755</v>
      </c>
      <c r="P2176" s="9">
        <v>3050</v>
      </c>
      <c r="R2176" s="11"/>
      <c r="S2176" s="9"/>
      <c r="T2176" s="9"/>
      <c r="U2176" s="9"/>
    </row>
    <row r="2177" spans="2:21" x14ac:dyDescent="0.4">
      <c r="B2177" s="16">
        <f t="shared" si="173"/>
        <v>44974</v>
      </c>
      <c r="C2177" s="1">
        <f t="shared" si="174"/>
        <v>4882</v>
      </c>
      <c r="D2177" s="1">
        <f t="shared" si="175"/>
        <v>936</v>
      </c>
      <c r="E2177" s="1">
        <f t="shared" si="176"/>
        <v>2760</v>
      </c>
      <c r="F2177" s="1">
        <f t="shared" si="177"/>
        <v>3050</v>
      </c>
      <c r="L2177" s="11">
        <v>44974</v>
      </c>
      <c r="M2177" s="9">
        <v>4882</v>
      </c>
      <c r="N2177" s="9">
        <v>936</v>
      </c>
      <c r="O2177" s="9">
        <v>2760</v>
      </c>
      <c r="P2177" s="9">
        <v>3050</v>
      </c>
      <c r="R2177" s="11"/>
      <c r="S2177" s="9"/>
      <c r="T2177" s="9"/>
      <c r="U2177" s="9"/>
    </row>
    <row r="2178" spans="2:21" x14ac:dyDescent="0.4">
      <c r="B2178" s="16">
        <f t="shared" si="173"/>
        <v>44977</v>
      </c>
      <c r="C2178" s="1">
        <f t="shared" si="174"/>
        <v>4848</v>
      </c>
      <c r="D2178" s="1">
        <f t="shared" si="175"/>
        <v>941</v>
      </c>
      <c r="E2178" s="1">
        <f t="shared" si="176"/>
        <v>2770</v>
      </c>
      <c r="F2178" s="1">
        <f t="shared" si="177"/>
        <v>3050</v>
      </c>
      <c r="L2178" s="11">
        <v>44977</v>
      </c>
      <c r="M2178" s="9">
        <v>4848</v>
      </c>
      <c r="N2178" s="9">
        <v>941</v>
      </c>
      <c r="O2178" s="9">
        <v>2770</v>
      </c>
      <c r="P2178" s="9">
        <v>3050</v>
      </c>
      <c r="R2178" s="11"/>
      <c r="S2178" s="9"/>
      <c r="T2178" s="9"/>
      <c r="U2178" s="9"/>
    </row>
    <row r="2179" spans="2:21" x14ac:dyDescent="0.4">
      <c r="B2179" s="16">
        <f t="shared" si="173"/>
        <v>44978</v>
      </c>
      <c r="C2179" s="1">
        <f t="shared" si="174"/>
        <v>4868</v>
      </c>
      <c r="D2179" s="1">
        <f t="shared" si="175"/>
        <v>941</v>
      </c>
      <c r="E2179" s="1">
        <f t="shared" si="176"/>
        <v>2775</v>
      </c>
      <c r="F2179" s="1">
        <f t="shared" si="177"/>
        <v>3050</v>
      </c>
      <c r="L2179" s="11">
        <v>44978</v>
      </c>
      <c r="M2179" s="9">
        <v>4868</v>
      </c>
      <c r="N2179" s="9">
        <v>941</v>
      </c>
      <c r="O2179" s="9">
        <v>2775</v>
      </c>
      <c r="P2179" s="9">
        <v>3050</v>
      </c>
      <c r="R2179" s="11"/>
      <c r="S2179" s="9"/>
      <c r="T2179" s="9"/>
      <c r="U2179" s="9"/>
    </row>
    <row r="2180" spans="2:21" x14ac:dyDescent="0.4">
      <c r="B2180" s="16">
        <f t="shared" si="173"/>
        <v>44979</v>
      </c>
      <c r="C2180" s="1">
        <f t="shared" si="174"/>
        <v>4881</v>
      </c>
      <c r="D2180" s="1">
        <f t="shared" si="175"/>
        <v>941</v>
      </c>
      <c r="E2180" s="1">
        <f t="shared" si="176"/>
        <v>2780</v>
      </c>
      <c r="F2180" s="1">
        <f t="shared" si="177"/>
        <v>3050</v>
      </c>
      <c r="L2180" s="11">
        <v>44979</v>
      </c>
      <c r="M2180" s="9">
        <v>4881</v>
      </c>
      <c r="N2180" s="9">
        <v>941</v>
      </c>
      <c r="O2180" s="9">
        <v>2780</v>
      </c>
      <c r="P2180" s="9">
        <v>3050</v>
      </c>
      <c r="R2180" s="11"/>
      <c r="S2180" s="9"/>
      <c r="T2180" s="9"/>
      <c r="U2180" s="9"/>
    </row>
    <row r="2181" spans="2:21" x14ac:dyDescent="0.4">
      <c r="B2181" s="16">
        <f t="shared" si="173"/>
        <v>44980</v>
      </c>
      <c r="C2181" s="1">
        <f t="shared" si="174"/>
        <v>4897</v>
      </c>
      <c r="D2181" s="1">
        <f t="shared" si="175"/>
        <v>941</v>
      </c>
      <c r="E2181" s="1">
        <f t="shared" si="176"/>
        <v>2790</v>
      </c>
      <c r="F2181" s="1">
        <f t="shared" si="177"/>
        <v>3050</v>
      </c>
      <c r="L2181" s="11">
        <v>44980</v>
      </c>
      <c r="M2181" s="9">
        <v>4897</v>
      </c>
      <c r="N2181" s="9">
        <v>941</v>
      </c>
      <c r="O2181" s="9">
        <v>2790</v>
      </c>
      <c r="P2181" s="9">
        <v>3050</v>
      </c>
      <c r="R2181" s="11"/>
      <c r="S2181" s="9"/>
      <c r="T2181" s="9"/>
      <c r="U2181" s="9"/>
    </row>
    <row r="2182" spans="2:21" x14ac:dyDescent="0.4">
      <c r="B2182" s="16">
        <f t="shared" ref="B2182:B2245" si="178">L2182</f>
        <v>44981</v>
      </c>
      <c r="C2182" s="1">
        <f t="shared" si="174"/>
        <v>4905</v>
      </c>
      <c r="D2182" s="1">
        <f t="shared" si="175"/>
        <v>961</v>
      </c>
      <c r="E2182" s="1">
        <f t="shared" si="176"/>
        <v>2790</v>
      </c>
      <c r="F2182" s="1">
        <f t="shared" si="177"/>
        <v>3050</v>
      </c>
      <c r="L2182" s="11">
        <v>44981</v>
      </c>
      <c r="M2182" s="9">
        <v>4905</v>
      </c>
      <c r="N2182" s="9">
        <v>961</v>
      </c>
      <c r="O2182" s="9">
        <v>2790</v>
      </c>
      <c r="P2182" s="9">
        <v>3050</v>
      </c>
      <c r="R2182" s="11"/>
      <c r="S2182" s="9"/>
      <c r="T2182" s="9"/>
      <c r="U2182" s="9"/>
    </row>
    <row r="2183" spans="2:21" x14ac:dyDescent="0.4">
      <c r="B2183" s="16">
        <f t="shared" si="178"/>
        <v>44984</v>
      </c>
      <c r="C2183" s="1">
        <f t="shared" ref="C2183:C2246" si="179">IF(M2183&lt;&gt;0,M2183,C2182)</f>
        <v>4936</v>
      </c>
      <c r="D2183" s="1">
        <f t="shared" ref="D2183:D2246" si="180">IF(N2183&lt;&gt;0,N2183,D2182)</f>
        <v>961</v>
      </c>
      <c r="E2183" s="1">
        <f t="shared" ref="E2183:E2246" si="181">IF(O2183&lt;&gt;0,O2183,E2182)</f>
        <v>2800</v>
      </c>
      <c r="F2183" s="1">
        <f t="shared" si="177"/>
        <v>3050</v>
      </c>
      <c r="L2183" s="11">
        <v>44984</v>
      </c>
      <c r="M2183" s="9">
        <v>4936</v>
      </c>
      <c r="N2183" s="9">
        <v>961</v>
      </c>
      <c r="O2183" s="9">
        <v>2800</v>
      </c>
      <c r="P2183" s="9">
        <v>3050</v>
      </c>
      <c r="R2183" s="11"/>
      <c r="S2183" s="9"/>
      <c r="T2183" s="9"/>
      <c r="U2183" s="9"/>
    </row>
    <row r="2184" spans="2:21" x14ac:dyDescent="0.4">
      <c r="B2184" s="16">
        <f t="shared" si="178"/>
        <v>44985</v>
      </c>
      <c r="C2184" s="1">
        <f t="shared" si="179"/>
        <v>4921</v>
      </c>
      <c r="D2184" s="1">
        <f t="shared" si="180"/>
        <v>961</v>
      </c>
      <c r="E2184" s="1">
        <f t="shared" si="181"/>
        <v>2785</v>
      </c>
      <c r="F2184" s="1">
        <f t="shared" si="177"/>
        <v>3100</v>
      </c>
      <c r="L2184" s="11">
        <v>44985</v>
      </c>
      <c r="M2184" s="9">
        <v>4921</v>
      </c>
      <c r="N2184" s="9">
        <v>961</v>
      </c>
      <c r="O2184" s="9">
        <v>2785</v>
      </c>
      <c r="P2184" s="9">
        <v>3100</v>
      </c>
      <c r="R2184" s="11"/>
      <c r="S2184" s="9"/>
      <c r="T2184" s="9"/>
      <c r="U2184" s="9"/>
    </row>
    <row r="2185" spans="2:21" x14ac:dyDescent="0.4">
      <c r="B2185" s="16">
        <f t="shared" si="178"/>
        <v>44986</v>
      </c>
      <c r="C2185" s="1">
        <f t="shared" si="179"/>
        <v>4929</v>
      </c>
      <c r="D2185" s="1">
        <f t="shared" si="180"/>
        <v>961</v>
      </c>
      <c r="E2185" s="1">
        <f t="shared" si="181"/>
        <v>2770</v>
      </c>
      <c r="F2185" s="1">
        <f t="shared" si="177"/>
        <v>3100</v>
      </c>
      <c r="L2185" s="11">
        <v>44986</v>
      </c>
      <c r="M2185" s="9">
        <v>4929</v>
      </c>
      <c r="N2185" s="9">
        <v>961</v>
      </c>
      <c r="O2185" s="9">
        <v>2770</v>
      </c>
      <c r="P2185" s="9">
        <v>3100</v>
      </c>
      <c r="R2185" s="11"/>
      <c r="S2185" s="9"/>
      <c r="T2185" s="9"/>
      <c r="U2185" s="9"/>
    </row>
    <row r="2186" spans="2:21" x14ac:dyDescent="0.4">
      <c r="B2186" s="16">
        <f t="shared" si="178"/>
        <v>44987</v>
      </c>
      <c r="C2186" s="1">
        <f t="shared" si="179"/>
        <v>4931</v>
      </c>
      <c r="D2186" s="1">
        <f t="shared" si="180"/>
        <v>961</v>
      </c>
      <c r="E2186" s="1">
        <f t="shared" si="181"/>
        <v>2775</v>
      </c>
      <c r="F2186" s="1">
        <f t="shared" si="177"/>
        <v>3100</v>
      </c>
      <c r="L2186" s="11">
        <v>44987</v>
      </c>
      <c r="M2186" s="9">
        <v>4931</v>
      </c>
      <c r="N2186" s="9">
        <v>961</v>
      </c>
      <c r="O2186" s="9">
        <v>2775</v>
      </c>
      <c r="P2186" s="9">
        <v>3100</v>
      </c>
      <c r="R2186" s="11"/>
      <c r="S2186" s="9"/>
      <c r="T2186" s="9"/>
      <c r="U2186" s="9"/>
    </row>
    <row r="2187" spans="2:21" x14ac:dyDescent="0.4">
      <c r="B2187" s="16">
        <f t="shared" si="178"/>
        <v>44988</v>
      </c>
      <c r="C2187" s="1">
        <f t="shared" si="179"/>
        <v>4933</v>
      </c>
      <c r="D2187" s="1">
        <f t="shared" si="180"/>
        <v>961</v>
      </c>
      <c r="E2187" s="1">
        <f t="shared" si="181"/>
        <v>2775</v>
      </c>
      <c r="F2187" s="1">
        <f t="shared" si="177"/>
        <v>3100</v>
      </c>
      <c r="L2187" s="11">
        <v>44988</v>
      </c>
      <c r="M2187" s="9">
        <v>4933</v>
      </c>
      <c r="N2187" s="9">
        <v>961</v>
      </c>
      <c r="O2187" s="9">
        <v>2775</v>
      </c>
      <c r="P2187" s="9">
        <v>3100</v>
      </c>
      <c r="R2187" s="11"/>
      <c r="S2187" s="9"/>
      <c r="T2187" s="9"/>
      <c r="U2187" s="9"/>
    </row>
    <row r="2188" spans="2:21" x14ac:dyDescent="0.4">
      <c r="B2188" s="16">
        <f t="shared" si="178"/>
        <v>44991</v>
      </c>
      <c r="C2188" s="1">
        <f t="shared" si="179"/>
        <v>4932</v>
      </c>
      <c r="D2188" s="1">
        <f t="shared" si="180"/>
        <v>961</v>
      </c>
      <c r="E2188" s="1">
        <f t="shared" si="181"/>
        <v>2785</v>
      </c>
      <c r="F2188" s="1">
        <f t="shared" si="177"/>
        <v>3100</v>
      </c>
      <c r="L2188" s="11">
        <v>44991</v>
      </c>
      <c r="M2188" s="9">
        <v>4932</v>
      </c>
      <c r="N2188" s="9">
        <v>961</v>
      </c>
      <c r="O2188" s="9">
        <v>2785</v>
      </c>
      <c r="P2188" s="9">
        <v>3100</v>
      </c>
      <c r="R2188" s="11"/>
      <c r="S2188" s="9"/>
      <c r="T2188" s="9"/>
      <c r="U2188" s="9"/>
    </row>
    <row r="2189" spans="2:21" x14ac:dyDescent="0.4">
      <c r="B2189" s="16">
        <f t="shared" si="178"/>
        <v>44992</v>
      </c>
      <c r="C2189" s="1">
        <f t="shared" si="179"/>
        <v>4943</v>
      </c>
      <c r="D2189" s="1">
        <f t="shared" si="180"/>
        <v>961</v>
      </c>
      <c r="E2189" s="1">
        <f t="shared" si="181"/>
        <v>2785</v>
      </c>
      <c r="F2189" s="1">
        <f t="shared" si="177"/>
        <v>3100</v>
      </c>
      <c r="L2189" s="11">
        <v>44992</v>
      </c>
      <c r="M2189" s="9">
        <v>4943</v>
      </c>
      <c r="N2189" s="9">
        <v>961</v>
      </c>
      <c r="O2189" s="9">
        <v>2785</v>
      </c>
      <c r="P2189" s="9">
        <v>3100</v>
      </c>
      <c r="R2189" s="11"/>
      <c r="S2189" s="9"/>
      <c r="T2189" s="9"/>
      <c r="U2189" s="9"/>
    </row>
    <row r="2190" spans="2:21" x14ac:dyDescent="0.4">
      <c r="B2190" s="16">
        <f t="shared" si="178"/>
        <v>44993</v>
      </c>
      <c r="C2190" s="1">
        <f t="shared" si="179"/>
        <v>4942</v>
      </c>
      <c r="D2190" s="1">
        <f t="shared" si="180"/>
        <v>961</v>
      </c>
      <c r="E2190" s="1">
        <f t="shared" si="181"/>
        <v>2785</v>
      </c>
      <c r="F2190" s="1">
        <f t="shared" si="177"/>
        <v>3100</v>
      </c>
      <c r="L2190" s="11">
        <v>44993</v>
      </c>
      <c r="M2190" s="9">
        <v>4942</v>
      </c>
      <c r="N2190" s="9">
        <v>961</v>
      </c>
      <c r="O2190" s="9">
        <v>2785</v>
      </c>
      <c r="P2190" s="9">
        <v>3100</v>
      </c>
      <c r="R2190" s="11"/>
      <c r="S2190" s="9"/>
      <c r="T2190" s="9"/>
      <c r="U2190" s="9"/>
    </row>
    <row r="2191" spans="2:21" x14ac:dyDescent="0.4">
      <c r="B2191" s="16">
        <f t="shared" si="178"/>
        <v>44994</v>
      </c>
      <c r="C2191" s="1">
        <f t="shared" si="179"/>
        <v>4931</v>
      </c>
      <c r="D2191" s="1">
        <f t="shared" si="180"/>
        <v>961</v>
      </c>
      <c r="E2191" s="1">
        <f t="shared" si="181"/>
        <v>2785</v>
      </c>
      <c r="F2191" s="1">
        <f t="shared" si="177"/>
        <v>3100</v>
      </c>
      <c r="L2191" s="11">
        <v>44994</v>
      </c>
      <c r="M2191" s="9">
        <v>4931</v>
      </c>
      <c r="N2191" s="9">
        <v>961</v>
      </c>
      <c r="O2191" s="9">
        <v>2785</v>
      </c>
      <c r="P2191" s="9">
        <v>3100</v>
      </c>
      <c r="R2191" s="11"/>
      <c r="S2191" s="9"/>
      <c r="T2191" s="9"/>
      <c r="U2191" s="9"/>
    </row>
    <row r="2192" spans="2:21" x14ac:dyDescent="0.4">
      <c r="B2192" s="16">
        <f t="shared" si="178"/>
        <v>44995</v>
      </c>
      <c r="C2192" s="1">
        <f t="shared" si="179"/>
        <v>4921</v>
      </c>
      <c r="D2192" s="1">
        <f t="shared" si="180"/>
        <v>961</v>
      </c>
      <c r="E2192" s="1">
        <f t="shared" si="181"/>
        <v>2785</v>
      </c>
      <c r="F2192" s="1">
        <f t="shared" si="177"/>
        <v>3100</v>
      </c>
      <c r="L2192" s="11">
        <v>44995</v>
      </c>
      <c r="M2192" s="9">
        <v>4921</v>
      </c>
      <c r="N2192" s="9">
        <v>961</v>
      </c>
      <c r="O2192" s="9">
        <v>2785</v>
      </c>
      <c r="P2192" s="9">
        <v>3100</v>
      </c>
      <c r="R2192" s="11"/>
      <c r="S2192" s="9"/>
      <c r="T2192" s="9"/>
      <c r="U2192" s="9"/>
    </row>
    <row r="2193" spans="2:21" x14ac:dyDescent="0.4">
      <c r="B2193" s="16">
        <f t="shared" si="178"/>
        <v>44998</v>
      </c>
      <c r="C2193" s="1">
        <f t="shared" si="179"/>
        <v>4918</v>
      </c>
      <c r="D2193" s="1">
        <f t="shared" si="180"/>
        <v>961</v>
      </c>
      <c r="E2193" s="1">
        <f t="shared" si="181"/>
        <v>2775</v>
      </c>
      <c r="F2193" s="1">
        <f t="shared" si="177"/>
        <v>3100</v>
      </c>
      <c r="L2193" s="11">
        <v>44998</v>
      </c>
      <c r="M2193" s="9">
        <v>4918</v>
      </c>
      <c r="N2193" s="9">
        <v>961</v>
      </c>
      <c r="O2193" s="9">
        <v>2775</v>
      </c>
      <c r="P2193" s="9">
        <v>3100</v>
      </c>
      <c r="R2193" s="11"/>
      <c r="S2193" s="9"/>
      <c r="T2193" s="9"/>
      <c r="U2193" s="9"/>
    </row>
    <row r="2194" spans="2:21" x14ac:dyDescent="0.4">
      <c r="B2194" s="16">
        <f t="shared" si="178"/>
        <v>44999</v>
      </c>
      <c r="C2194" s="1">
        <f t="shared" si="179"/>
        <v>4879</v>
      </c>
      <c r="D2194" s="1">
        <f t="shared" si="180"/>
        <v>961</v>
      </c>
      <c r="E2194" s="1">
        <f t="shared" si="181"/>
        <v>2760</v>
      </c>
      <c r="F2194" s="1">
        <f t="shared" si="177"/>
        <v>3100</v>
      </c>
      <c r="L2194" s="11">
        <v>44999</v>
      </c>
      <c r="M2194" s="9">
        <v>4879</v>
      </c>
      <c r="N2194" s="9">
        <v>961</v>
      </c>
      <c r="O2194" s="9">
        <v>2760</v>
      </c>
      <c r="P2194" s="9">
        <v>3100</v>
      </c>
      <c r="R2194" s="11"/>
      <c r="S2194" s="9"/>
      <c r="T2194" s="9"/>
      <c r="U2194" s="9"/>
    </row>
    <row r="2195" spans="2:21" x14ac:dyDescent="0.4">
      <c r="B2195" s="16">
        <f t="shared" si="178"/>
        <v>45000</v>
      </c>
      <c r="C2195" s="1">
        <f t="shared" si="179"/>
        <v>4856</v>
      </c>
      <c r="D2195" s="1">
        <f t="shared" si="180"/>
        <v>961</v>
      </c>
      <c r="E2195" s="1">
        <f t="shared" si="181"/>
        <v>2760</v>
      </c>
      <c r="F2195" s="1">
        <f t="shared" si="177"/>
        <v>3100</v>
      </c>
      <c r="L2195" s="11">
        <v>45000</v>
      </c>
      <c r="M2195" s="9">
        <v>4856</v>
      </c>
      <c r="N2195" s="9">
        <v>961</v>
      </c>
      <c r="O2195" s="9">
        <v>2760</v>
      </c>
      <c r="P2195" s="9">
        <v>3100</v>
      </c>
      <c r="R2195" s="11"/>
      <c r="S2195" s="9"/>
      <c r="T2195" s="9"/>
      <c r="U2195" s="9"/>
    </row>
    <row r="2196" spans="2:21" x14ac:dyDescent="0.4">
      <c r="B2196" s="16">
        <f t="shared" si="178"/>
        <v>45001</v>
      </c>
      <c r="C2196" s="1">
        <f t="shared" si="179"/>
        <v>4839</v>
      </c>
      <c r="D2196" s="1">
        <f t="shared" si="180"/>
        <v>961</v>
      </c>
      <c r="E2196" s="1">
        <f t="shared" si="181"/>
        <v>2765</v>
      </c>
      <c r="F2196" s="1">
        <f t="shared" si="177"/>
        <v>3100</v>
      </c>
      <c r="L2196" s="11">
        <v>45001</v>
      </c>
      <c r="M2196" s="9">
        <v>4839</v>
      </c>
      <c r="N2196" s="9">
        <v>961</v>
      </c>
      <c r="O2196" s="9">
        <v>2765</v>
      </c>
      <c r="P2196" s="9">
        <v>3100</v>
      </c>
      <c r="R2196" s="11"/>
      <c r="S2196" s="9"/>
      <c r="T2196" s="9"/>
      <c r="U2196" s="9"/>
    </row>
    <row r="2197" spans="2:21" x14ac:dyDescent="0.4">
      <c r="B2197" s="16">
        <f t="shared" si="178"/>
        <v>45002</v>
      </c>
      <c r="C2197" s="1">
        <f t="shared" si="179"/>
        <v>4837</v>
      </c>
      <c r="D2197" s="1">
        <f t="shared" si="180"/>
        <v>951</v>
      </c>
      <c r="E2197" s="1">
        <f t="shared" si="181"/>
        <v>2770</v>
      </c>
      <c r="F2197" s="1">
        <f t="shared" si="177"/>
        <v>3100</v>
      </c>
      <c r="L2197" s="11">
        <v>45002</v>
      </c>
      <c r="M2197" s="9">
        <v>4837</v>
      </c>
      <c r="N2197" s="9">
        <v>951</v>
      </c>
      <c r="O2197" s="9">
        <v>2770</v>
      </c>
      <c r="P2197" s="9">
        <v>3100</v>
      </c>
      <c r="R2197" s="11"/>
      <c r="S2197" s="9"/>
      <c r="T2197" s="9"/>
      <c r="U2197" s="9"/>
    </row>
    <row r="2198" spans="2:21" x14ac:dyDescent="0.4">
      <c r="B2198" s="16">
        <f t="shared" si="178"/>
        <v>45005</v>
      </c>
      <c r="C2198" s="1">
        <f t="shared" si="179"/>
        <v>4838</v>
      </c>
      <c r="D2198" s="1">
        <f t="shared" si="180"/>
        <v>951</v>
      </c>
      <c r="E2198" s="1">
        <f t="shared" si="181"/>
        <v>2775</v>
      </c>
      <c r="F2198" s="1">
        <f t="shared" si="177"/>
        <v>3100</v>
      </c>
      <c r="L2198" s="11">
        <v>45005</v>
      </c>
      <c r="M2198" s="9">
        <v>4838</v>
      </c>
      <c r="N2198" s="9">
        <v>951</v>
      </c>
      <c r="O2198" s="9">
        <v>2775</v>
      </c>
      <c r="P2198" s="9">
        <v>3100</v>
      </c>
      <c r="R2198" s="11"/>
      <c r="S2198" s="9"/>
      <c r="T2198" s="9"/>
      <c r="U2198" s="9"/>
    </row>
    <row r="2199" spans="2:21" x14ac:dyDescent="0.4">
      <c r="B2199" s="16">
        <f t="shared" si="178"/>
        <v>45006</v>
      </c>
      <c r="C2199" s="1">
        <f t="shared" si="179"/>
        <v>4829</v>
      </c>
      <c r="D2199" s="1">
        <f t="shared" si="180"/>
        <v>951</v>
      </c>
      <c r="E2199" s="1">
        <f t="shared" si="181"/>
        <v>2775</v>
      </c>
      <c r="F2199" s="1">
        <f t="shared" si="177"/>
        <v>3100</v>
      </c>
      <c r="L2199" s="11">
        <v>45006</v>
      </c>
      <c r="M2199" s="9">
        <v>4829</v>
      </c>
      <c r="N2199" s="9">
        <v>951</v>
      </c>
      <c r="O2199" s="9">
        <v>2775</v>
      </c>
      <c r="P2199" s="9">
        <v>3100</v>
      </c>
      <c r="R2199" s="11"/>
      <c r="S2199" s="9"/>
      <c r="T2199" s="9"/>
      <c r="U2199" s="9"/>
    </row>
    <row r="2200" spans="2:21" x14ac:dyDescent="0.4">
      <c r="B2200" s="16">
        <f t="shared" si="178"/>
        <v>45007</v>
      </c>
      <c r="C2200" s="1">
        <f t="shared" si="179"/>
        <v>4804</v>
      </c>
      <c r="D2200" s="1">
        <f t="shared" si="180"/>
        <v>951</v>
      </c>
      <c r="E2200" s="1">
        <f t="shared" si="181"/>
        <v>2775</v>
      </c>
      <c r="F2200" s="1">
        <f t="shared" si="177"/>
        <v>3100</v>
      </c>
      <c r="L2200" s="11">
        <v>45007</v>
      </c>
      <c r="M2200" s="9">
        <v>4804</v>
      </c>
      <c r="N2200" s="9">
        <v>951</v>
      </c>
      <c r="O2200" s="9">
        <v>2775</v>
      </c>
      <c r="P2200" s="9">
        <v>3100</v>
      </c>
      <c r="R2200" s="11"/>
      <c r="S2200" s="9"/>
      <c r="T2200" s="9"/>
      <c r="U2200" s="9"/>
    </row>
    <row r="2201" spans="2:21" x14ac:dyDescent="0.4">
      <c r="B2201" s="16">
        <f t="shared" si="178"/>
        <v>45008</v>
      </c>
      <c r="C2201" s="1">
        <f t="shared" si="179"/>
        <v>4799</v>
      </c>
      <c r="D2201" s="1">
        <f t="shared" si="180"/>
        <v>951</v>
      </c>
      <c r="E2201" s="1">
        <f t="shared" si="181"/>
        <v>2765</v>
      </c>
      <c r="F2201" s="1">
        <f t="shared" si="177"/>
        <v>3100</v>
      </c>
      <c r="L2201" s="11">
        <v>45008</v>
      </c>
      <c r="M2201" s="9">
        <v>4799</v>
      </c>
      <c r="N2201" s="9">
        <v>951</v>
      </c>
      <c r="O2201" s="9">
        <v>2765</v>
      </c>
      <c r="P2201" s="9">
        <v>0</v>
      </c>
      <c r="R2201" s="11"/>
      <c r="S2201" s="9"/>
      <c r="T2201" s="9"/>
      <c r="U2201" s="9"/>
    </row>
    <row r="2202" spans="2:21" x14ac:dyDescent="0.4">
      <c r="B2202" s="16">
        <f t="shared" si="178"/>
        <v>45009</v>
      </c>
      <c r="C2202" s="1">
        <f t="shared" si="179"/>
        <v>4800</v>
      </c>
      <c r="D2202" s="1">
        <f t="shared" si="180"/>
        <v>951</v>
      </c>
      <c r="E2202" s="1">
        <f t="shared" si="181"/>
        <v>2765</v>
      </c>
      <c r="F2202" s="1">
        <f t="shared" si="177"/>
        <v>3100</v>
      </c>
      <c r="L2202" s="11">
        <v>45009</v>
      </c>
      <c r="M2202" s="9">
        <v>4800</v>
      </c>
      <c r="N2202" s="9">
        <v>951</v>
      </c>
      <c r="O2202" s="9">
        <v>2765</v>
      </c>
      <c r="P2202" s="9">
        <v>3100</v>
      </c>
      <c r="R2202" s="11"/>
      <c r="S2202" s="9"/>
      <c r="T2202" s="9"/>
      <c r="U2202" s="9"/>
    </row>
    <row r="2203" spans="2:21" x14ac:dyDescent="0.4">
      <c r="B2203" s="16">
        <f t="shared" si="178"/>
        <v>45012</v>
      </c>
      <c r="C2203" s="1">
        <f t="shared" si="179"/>
        <v>4814</v>
      </c>
      <c r="D2203" s="1">
        <f t="shared" si="180"/>
        <v>951</v>
      </c>
      <c r="E2203" s="1">
        <f t="shared" si="181"/>
        <v>2750</v>
      </c>
      <c r="F2203" s="1">
        <f t="shared" si="177"/>
        <v>3100</v>
      </c>
      <c r="L2203" s="11">
        <v>45012</v>
      </c>
      <c r="M2203" s="9">
        <v>4814</v>
      </c>
      <c r="N2203" s="9">
        <v>951</v>
      </c>
      <c r="O2203" s="9">
        <v>2750</v>
      </c>
      <c r="P2203" s="9">
        <v>3100</v>
      </c>
      <c r="R2203" s="11"/>
      <c r="S2203" s="9"/>
      <c r="T2203" s="9"/>
      <c r="U2203" s="9"/>
    </row>
    <row r="2204" spans="2:21" x14ac:dyDescent="0.4">
      <c r="B2204" s="16">
        <f t="shared" si="178"/>
        <v>45013</v>
      </c>
      <c r="C2204" s="1">
        <f t="shared" si="179"/>
        <v>4818</v>
      </c>
      <c r="D2204" s="1">
        <f t="shared" si="180"/>
        <v>951</v>
      </c>
      <c r="E2204" s="1">
        <f t="shared" si="181"/>
        <v>2735</v>
      </c>
      <c r="F2204" s="1">
        <f t="shared" si="177"/>
        <v>3100</v>
      </c>
      <c r="L2204" s="11">
        <v>45013</v>
      </c>
      <c r="M2204" s="9">
        <v>4818</v>
      </c>
      <c r="N2204" s="9">
        <v>951</v>
      </c>
      <c r="O2204" s="9">
        <v>2735</v>
      </c>
      <c r="P2204" s="9">
        <v>3100</v>
      </c>
      <c r="R2204" s="11"/>
      <c r="S2204" s="9"/>
      <c r="T2204" s="9"/>
      <c r="U2204" s="9"/>
    </row>
    <row r="2205" spans="2:21" x14ac:dyDescent="0.4">
      <c r="B2205" s="16">
        <f t="shared" si="178"/>
        <v>45014</v>
      </c>
      <c r="C2205" s="1">
        <f t="shared" si="179"/>
        <v>4820</v>
      </c>
      <c r="D2205" s="1">
        <f t="shared" si="180"/>
        <v>951</v>
      </c>
      <c r="E2205" s="1">
        <f t="shared" si="181"/>
        <v>2730</v>
      </c>
      <c r="F2205" s="1">
        <f t="shared" si="177"/>
        <v>3100</v>
      </c>
      <c r="L2205" s="11">
        <v>45014</v>
      </c>
      <c r="M2205" s="9">
        <v>4820</v>
      </c>
      <c r="N2205" s="9">
        <v>951</v>
      </c>
      <c r="O2205" s="9">
        <v>2730</v>
      </c>
      <c r="P2205" s="9">
        <v>3100</v>
      </c>
      <c r="R2205" s="11"/>
      <c r="S2205" s="9"/>
      <c r="T2205" s="9"/>
      <c r="U2205" s="9"/>
    </row>
    <row r="2206" spans="2:21" x14ac:dyDescent="0.4">
      <c r="B2206" s="16">
        <f t="shared" si="178"/>
        <v>45015</v>
      </c>
      <c r="C2206" s="1">
        <f t="shared" si="179"/>
        <v>4818</v>
      </c>
      <c r="D2206" s="1">
        <f t="shared" si="180"/>
        <v>941</v>
      </c>
      <c r="E2206" s="1">
        <f t="shared" si="181"/>
        <v>2710</v>
      </c>
      <c r="F2206" s="1">
        <f t="shared" si="177"/>
        <v>3100</v>
      </c>
      <c r="L2206" s="11">
        <v>45015</v>
      </c>
      <c r="M2206" s="9">
        <v>4818</v>
      </c>
      <c r="N2206" s="9">
        <v>941</v>
      </c>
      <c r="O2206" s="9">
        <v>2710</v>
      </c>
      <c r="P2206" s="9">
        <v>3100</v>
      </c>
      <c r="R2206" s="11"/>
      <c r="S2206" s="9"/>
      <c r="T2206" s="9"/>
      <c r="U2206" s="9"/>
    </row>
    <row r="2207" spans="2:21" x14ac:dyDescent="0.4">
      <c r="B2207" s="16">
        <f t="shared" si="178"/>
        <v>45016</v>
      </c>
      <c r="C2207" s="1">
        <f t="shared" si="179"/>
        <v>4812</v>
      </c>
      <c r="D2207" s="1">
        <f t="shared" si="180"/>
        <v>941</v>
      </c>
      <c r="E2207" s="1">
        <f t="shared" si="181"/>
        <v>2690</v>
      </c>
      <c r="F2207" s="1">
        <f t="shared" si="177"/>
        <v>3100</v>
      </c>
      <c r="L2207" s="11">
        <v>45016</v>
      </c>
      <c r="M2207" s="9">
        <v>4812</v>
      </c>
      <c r="N2207" s="9">
        <v>941</v>
      </c>
      <c r="O2207" s="9">
        <v>2690</v>
      </c>
      <c r="P2207" s="9">
        <v>3100</v>
      </c>
      <c r="R2207" s="11"/>
      <c r="S2207" s="9"/>
      <c r="T2207" s="9"/>
      <c r="U2207" s="9"/>
    </row>
    <row r="2208" spans="2:21" x14ac:dyDescent="0.4">
      <c r="B2208" s="16">
        <f t="shared" si="178"/>
        <v>45019</v>
      </c>
      <c r="C2208" s="1">
        <f t="shared" si="179"/>
        <v>4818</v>
      </c>
      <c r="D2208" s="1">
        <f t="shared" si="180"/>
        <v>941</v>
      </c>
      <c r="E2208" s="1">
        <f t="shared" si="181"/>
        <v>2655</v>
      </c>
      <c r="F2208" s="1">
        <f t="shared" si="177"/>
        <v>3100</v>
      </c>
      <c r="L2208" s="11">
        <v>45019</v>
      </c>
      <c r="M2208" s="9">
        <v>4818</v>
      </c>
      <c r="N2208" s="9">
        <v>941</v>
      </c>
      <c r="O2208" s="9">
        <v>2655</v>
      </c>
      <c r="P2208" s="9">
        <v>3100</v>
      </c>
      <c r="R2208" s="11"/>
      <c r="S2208" s="9"/>
      <c r="T2208" s="9"/>
      <c r="U2208" s="9"/>
    </row>
    <row r="2209" spans="2:21" x14ac:dyDescent="0.4">
      <c r="B2209" s="16">
        <f t="shared" si="178"/>
        <v>45020</v>
      </c>
      <c r="C2209" s="1">
        <f t="shared" si="179"/>
        <v>4794</v>
      </c>
      <c r="D2209" s="1">
        <f t="shared" si="180"/>
        <v>941</v>
      </c>
      <c r="E2209" s="1">
        <f t="shared" si="181"/>
        <v>2630</v>
      </c>
      <c r="F2209" s="1">
        <f t="shared" si="177"/>
        <v>3100</v>
      </c>
      <c r="L2209" s="11">
        <v>45020</v>
      </c>
      <c r="M2209" s="9">
        <v>4794</v>
      </c>
      <c r="N2209" s="9">
        <v>941</v>
      </c>
      <c r="O2209" s="9">
        <v>2630</v>
      </c>
      <c r="P2209" s="9">
        <v>3100</v>
      </c>
      <c r="R2209" s="11"/>
      <c r="S2209" s="9"/>
      <c r="T2209" s="9"/>
      <c r="U2209" s="9"/>
    </row>
    <row r="2210" spans="2:21" x14ac:dyDescent="0.4">
      <c r="B2210" s="16">
        <f t="shared" si="178"/>
        <v>45021</v>
      </c>
      <c r="C2210" s="1">
        <f t="shared" si="179"/>
        <v>4794</v>
      </c>
      <c r="D2210" s="1">
        <f t="shared" si="180"/>
        <v>941</v>
      </c>
      <c r="E2210" s="1">
        <f t="shared" si="181"/>
        <v>2630</v>
      </c>
      <c r="F2210" s="1">
        <f t="shared" si="177"/>
        <v>3100</v>
      </c>
      <c r="L2210" s="11">
        <v>45021</v>
      </c>
      <c r="M2210" s="9">
        <v>0</v>
      </c>
      <c r="N2210" s="9">
        <v>941</v>
      </c>
      <c r="O2210" s="9">
        <v>0</v>
      </c>
      <c r="P2210" s="9">
        <v>0</v>
      </c>
      <c r="R2210" s="11"/>
      <c r="S2210" s="9"/>
      <c r="T2210" s="9"/>
      <c r="U2210" s="9"/>
    </row>
    <row r="2211" spans="2:21" x14ac:dyDescent="0.4">
      <c r="B2211" s="16">
        <f t="shared" si="178"/>
        <v>45022</v>
      </c>
      <c r="C2211" s="1">
        <f t="shared" si="179"/>
        <v>4775</v>
      </c>
      <c r="D2211" s="1">
        <f t="shared" si="180"/>
        <v>941</v>
      </c>
      <c r="E2211" s="1">
        <f t="shared" si="181"/>
        <v>2590</v>
      </c>
      <c r="F2211" s="1">
        <f t="shared" si="177"/>
        <v>3100</v>
      </c>
      <c r="L2211" s="11">
        <v>45022</v>
      </c>
      <c r="M2211" s="9">
        <v>4775</v>
      </c>
      <c r="N2211" s="9">
        <v>0</v>
      </c>
      <c r="O2211" s="9">
        <v>2590</v>
      </c>
      <c r="P2211" s="9">
        <v>3100</v>
      </c>
      <c r="R2211" s="11"/>
      <c r="S2211" s="9"/>
      <c r="T2211" s="9"/>
      <c r="U2211" s="9"/>
    </row>
    <row r="2212" spans="2:21" x14ac:dyDescent="0.4">
      <c r="B2212" s="16">
        <f t="shared" si="178"/>
        <v>45023</v>
      </c>
      <c r="C2212" s="1">
        <f t="shared" si="179"/>
        <v>4748</v>
      </c>
      <c r="D2212" s="1">
        <f t="shared" si="180"/>
        <v>941</v>
      </c>
      <c r="E2212" s="1">
        <f t="shared" si="181"/>
        <v>2555</v>
      </c>
      <c r="F2212" s="1">
        <f t="shared" si="177"/>
        <v>3100</v>
      </c>
      <c r="L2212" s="11">
        <v>45023</v>
      </c>
      <c r="M2212" s="9">
        <v>4748</v>
      </c>
      <c r="N2212" s="9">
        <v>941</v>
      </c>
      <c r="O2212" s="9">
        <v>2555</v>
      </c>
      <c r="P2212" s="9">
        <v>3100</v>
      </c>
      <c r="R2212" s="11"/>
      <c r="S2212" s="9"/>
      <c r="T2212" s="9"/>
      <c r="U2212" s="9"/>
    </row>
    <row r="2213" spans="2:21" x14ac:dyDescent="0.4">
      <c r="B2213" s="16">
        <f t="shared" si="178"/>
        <v>45026</v>
      </c>
      <c r="C2213" s="1">
        <f t="shared" si="179"/>
        <v>4714</v>
      </c>
      <c r="D2213" s="1">
        <f t="shared" si="180"/>
        <v>941</v>
      </c>
      <c r="E2213" s="1">
        <f t="shared" si="181"/>
        <v>2520</v>
      </c>
      <c r="F2213" s="1">
        <f t="shared" si="177"/>
        <v>3100</v>
      </c>
      <c r="L2213" s="11">
        <v>45026</v>
      </c>
      <c r="M2213" s="9">
        <v>4714</v>
      </c>
      <c r="N2213" s="9">
        <v>941</v>
      </c>
      <c r="O2213" s="9">
        <v>2520</v>
      </c>
      <c r="P2213" s="9">
        <v>3100</v>
      </c>
      <c r="R2213" s="11"/>
      <c r="S2213" s="9"/>
      <c r="T2213" s="9"/>
      <c r="U2213" s="9"/>
    </row>
    <row r="2214" spans="2:21" x14ac:dyDescent="0.4">
      <c r="B2214" s="16">
        <f t="shared" si="178"/>
        <v>45027</v>
      </c>
      <c r="C2214" s="1">
        <f t="shared" si="179"/>
        <v>4712</v>
      </c>
      <c r="D2214" s="1">
        <f t="shared" si="180"/>
        <v>941</v>
      </c>
      <c r="E2214" s="1">
        <f t="shared" si="181"/>
        <v>2525</v>
      </c>
      <c r="F2214" s="1">
        <f t="shared" si="177"/>
        <v>3100</v>
      </c>
      <c r="L2214" s="11">
        <v>45027</v>
      </c>
      <c r="M2214" s="9">
        <v>4712</v>
      </c>
      <c r="N2214" s="9">
        <v>941</v>
      </c>
      <c r="O2214" s="9">
        <v>2525</v>
      </c>
      <c r="P2214" s="9">
        <v>3100</v>
      </c>
      <c r="R2214" s="11"/>
      <c r="S2214" s="9"/>
      <c r="T2214" s="9"/>
      <c r="U2214" s="9"/>
    </row>
    <row r="2215" spans="2:21" x14ac:dyDescent="0.4">
      <c r="B2215" s="16">
        <f t="shared" si="178"/>
        <v>45028</v>
      </c>
      <c r="C2215" s="1">
        <f t="shared" si="179"/>
        <v>4717</v>
      </c>
      <c r="D2215" s="1">
        <f t="shared" si="180"/>
        <v>941</v>
      </c>
      <c r="E2215" s="1">
        <f t="shared" si="181"/>
        <v>2540</v>
      </c>
      <c r="F2215" s="1">
        <f t="shared" si="177"/>
        <v>3100</v>
      </c>
      <c r="L2215" s="11">
        <v>45028</v>
      </c>
      <c r="M2215" s="9">
        <v>4717</v>
      </c>
      <c r="N2215" s="9">
        <v>941</v>
      </c>
      <c r="O2215" s="9">
        <v>2540</v>
      </c>
      <c r="P2215" s="9">
        <v>3100</v>
      </c>
      <c r="R2215" s="11"/>
      <c r="S2215" s="9"/>
      <c r="T2215" s="9"/>
      <c r="U2215" s="9"/>
    </row>
    <row r="2216" spans="2:21" x14ac:dyDescent="0.4">
      <c r="B2216" s="16">
        <f t="shared" si="178"/>
        <v>45029</v>
      </c>
      <c r="C2216" s="1">
        <f t="shared" si="179"/>
        <v>4712</v>
      </c>
      <c r="D2216" s="1">
        <f t="shared" si="180"/>
        <v>941</v>
      </c>
      <c r="E2216" s="1">
        <f t="shared" si="181"/>
        <v>2540</v>
      </c>
      <c r="F2216" s="1">
        <f t="shared" si="177"/>
        <v>3100</v>
      </c>
      <c r="L2216" s="11">
        <v>45029</v>
      </c>
      <c r="M2216" s="9">
        <v>4712</v>
      </c>
      <c r="N2216" s="9">
        <v>941</v>
      </c>
      <c r="O2216" s="9">
        <v>2540</v>
      </c>
      <c r="P2216" s="9">
        <v>3100</v>
      </c>
      <c r="R2216" s="11"/>
      <c r="S2216" s="9"/>
      <c r="T2216" s="9"/>
      <c r="U2216" s="9"/>
    </row>
    <row r="2217" spans="2:21" x14ac:dyDescent="0.4">
      <c r="B2217" s="16">
        <f t="shared" si="178"/>
        <v>45030</v>
      </c>
      <c r="C2217" s="1">
        <f t="shared" si="179"/>
        <v>4716</v>
      </c>
      <c r="D2217" s="1">
        <f t="shared" si="180"/>
        <v>941</v>
      </c>
      <c r="E2217" s="1">
        <f t="shared" si="181"/>
        <v>2540</v>
      </c>
      <c r="F2217" s="1">
        <f t="shared" si="177"/>
        <v>3100</v>
      </c>
      <c r="L2217" s="11">
        <v>45030</v>
      </c>
      <c r="M2217" s="9">
        <v>4716</v>
      </c>
      <c r="N2217" s="9">
        <v>941</v>
      </c>
      <c r="O2217" s="9">
        <v>2540</v>
      </c>
      <c r="P2217" s="9">
        <v>3100</v>
      </c>
      <c r="R2217" s="11"/>
      <c r="S2217" s="9"/>
      <c r="T2217" s="9"/>
      <c r="U2217" s="9"/>
    </row>
    <row r="2218" spans="2:21" x14ac:dyDescent="0.4">
      <c r="B2218" s="16">
        <f t="shared" si="178"/>
        <v>45033</v>
      </c>
      <c r="C2218" s="1">
        <f t="shared" si="179"/>
        <v>4716</v>
      </c>
      <c r="D2218" s="1">
        <f t="shared" si="180"/>
        <v>941</v>
      </c>
      <c r="E2218" s="1">
        <f t="shared" si="181"/>
        <v>2540</v>
      </c>
      <c r="F2218" s="1">
        <f t="shared" si="177"/>
        <v>3100</v>
      </c>
      <c r="L2218" s="11">
        <v>45033</v>
      </c>
      <c r="M2218" s="9">
        <v>4716</v>
      </c>
      <c r="N2218" s="9">
        <v>941</v>
      </c>
      <c r="O2218" s="9">
        <v>2540</v>
      </c>
      <c r="P2218" s="9">
        <v>3100</v>
      </c>
      <c r="R2218" s="11"/>
      <c r="S2218" s="9"/>
      <c r="T2218" s="9"/>
      <c r="U2218" s="9"/>
    </row>
    <row r="2219" spans="2:21" x14ac:dyDescent="0.4">
      <c r="B2219" s="16">
        <f t="shared" si="178"/>
        <v>45034</v>
      </c>
      <c r="C2219" s="1">
        <f t="shared" si="179"/>
        <v>4713</v>
      </c>
      <c r="D2219" s="1">
        <f t="shared" si="180"/>
        <v>921</v>
      </c>
      <c r="E2219" s="1">
        <f t="shared" si="181"/>
        <v>2535</v>
      </c>
      <c r="F2219" s="1">
        <f t="shared" si="177"/>
        <v>3100</v>
      </c>
      <c r="L2219" s="11">
        <v>45034</v>
      </c>
      <c r="M2219" s="9">
        <v>4713</v>
      </c>
      <c r="N2219" s="9">
        <v>921</v>
      </c>
      <c r="O2219" s="9">
        <v>2535</v>
      </c>
      <c r="P2219" s="9">
        <v>3100</v>
      </c>
      <c r="R2219" s="11"/>
      <c r="S2219" s="9"/>
      <c r="T2219" s="9"/>
      <c r="U2219" s="9"/>
    </row>
    <row r="2220" spans="2:21" x14ac:dyDescent="0.4">
      <c r="B2220" s="16">
        <f t="shared" si="178"/>
        <v>45035</v>
      </c>
      <c r="C2220" s="1">
        <f t="shared" si="179"/>
        <v>4710</v>
      </c>
      <c r="D2220" s="1">
        <f t="shared" si="180"/>
        <v>921</v>
      </c>
      <c r="E2220" s="1">
        <f t="shared" si="181"/>
        <v>2525</v>
      </c>
      <c r="F2220" s="1">
        <f t="shared" si="177"/>
        <v>3100</v>
      </c>
      <c r="L2220" s="11">
        <v>45035</v>
      </c>
      <c r="M2220" s="9">
        <v>4710</v>
      </c>
      <c r="N2220" s="9">
        <v>921</v>
      </c>
      <c r="O2220" s="9">
        <v>2525</v>
      </c>
      <c r="P2220" s="9">
        <v>3100</v>
      </c>
      <c r="R2220" s="11"/>
      <c r="S2220" s="9"/>
      <c r="T2220" s="9"/>
      <c r="U2220" s="9"/>
    </row>
    <row r="2221" spans="2:21" x14ac:dyDescent="0.4">
      <c r="B2221" s="16">
        <f t="shared" si="178"/>
        <v>45036</v>
      </c>
      <c r="C2221" s="1">
        <f t="shared" si="179"/>
        <v>4696</v>
      </c>
      <c r="D2221" s="1">
        <f t="shared" si="180"/>
        <v>921</v>
      </c>
      <c r="E2221" s="1">
        <f t="shared" si="181"/>
        <v>2505</v>
      </c>
      <c r="F2221" s="1">
        <f t="shared" si="177"/>
        <v>3100</v>
      </c>
      <c r="L2221" s="11">
        <v>45036</v>
      </c>
      <c r="M2221" s="9">
        <v>4696</v>
      </c>
      <c r="N2221" s="9">
        <v>921</v>
      </c>
      <c r="O2221" s="9">
        <v>2505</v>
      </c>
      <c r="P2221" s="9">
        <v>3100</v>
      </c>
      <c r="R2221" s="11"/>
      <c r="S2221" s="9"/>
      <c r="T2221" s="9"/>
      <c r="U2221" s="9"/>
    </row>
    <row r="2222" spans="2:21" x14ac:dyDescent="0.4">
      <c r="B2222" s="16">
        <f t="shared" si="178"/>
        <v>45037</v>
      </c>
      <c r="C2222" s="1">
        <f t="shared" si="179"/>
        <v>4679</v>
      </c>
      <c r="D2222" s="1">
        <f t="shared" si="180"/>
        <v>921</v>
      </c>
      <c r="E2222" s="1">
        <f t="shared" si="181"/>
        <v>2505</v>
      </c>
      <c r="F2222" s="1">
        <f t="shared" si="177"/>
        <v>3100</v>
      </c>
      <c r="L2222" s="11">
        <v>45037</v>
      </c>
      <c r="M2222" s="9">
        <v>4679</v>
      </c>
      <c r="N2222" s="9">
        <v>921</v>
      </c>
      <c r="O2222" s="9">
        <v>2505</v>
      </c>
      <c r="P2222" s="9">
        <v>3100</v>
      </c>
      <c r="R2222" s="11"/>
      <c r="S2222" s="9"/>
      <c r="T2222" s="9"/>
      <c r="U2222" s="9"/>
    </row>
    <row r="2223" spans="2:21" x14ac:dyDescent="0.4">
      <c r="B2223" s="16">
        <f t="shared" si="178"/>
        <v>45039</v>
      </c>
      <c r="C2223" s="1">
        <f t="shared" si="179"/>
        <v>4670</v>
      </c>
      <c r="D2223" s="1">
        <f t="shared" si="180"/>
        <v>921</v>
      </c>
      <c r="E2223" s="1">
        <f t="shared" si="181"/>
        <v>2505</v>
      </c>
      <c r="F2223" s="1">
        <f t="shared" si="177"/>
        <v>3100</v>
      </c>
      <c r="L2223" s="11">
        <v>45039</v>
      </c>
      <c r="M2223" s="9">
        <v>4670</v>
      </c>
      <c r="N2223" s="9">
        <v>0</v>
      </c>
      <c r="O2223" s="9">
        <v>2505</v>
      </c>
      <c r="P2223" s="9">
        <v>3100</v>
      </c>
      <c r="R2223" s="11"/>
      <c r="S2223" s="9"/>
      <c r="T2223" s="9"/>
      <c r="U2223" s="9"/>
    </row>
    <row r="2224" spans="2:21" x14ac:dyDescent="0.4">
      <c r="B2224" s="16">
        <f t="shared" si="178"/>
        <v>45040</v>
      </c>
      <c r="C2224" s="1">
        <f t="shared" si="179"/>
        <v>4651</v>
      </c>
      <c r="D2224" s="1">
        <f t="shared" si="180"/>
        <v>921</v>
      </c>
      <c r="E2224" s="1">
        <f t="shared" si="181"/>
        <v>2500</v>
      </c>
      <c r="F2224" s="1">
        <f t="shared" si="177"/>
        <v>3100</v>
      </c>
      <c r="L2224" s="11">
        <v>45040</v>
      </c>
      <c r="M2224" s="9">
        <v>4651</v>
      </c>
      <c r="N2224" s="9">
        <v>921</v>
      </c>
      <c r="O2224" s="9">
        <v>2500</v>
      </c>
      <c r="P2224" s="9">
        <v>3100</v>
      </c>
      <c r="R2224" s="11"/>
      <c r="S2224" s="9"/>
      <c r="T2224" s="9"/>
      <c r="U2224" s="9"/>
    </row>
    <row r="2225" spans="2:21" x14ac:dyDescent="0.4">
      <c r="B2225" s="16">
        <f t="shared" si="178"/>
        <v>45041</v>
      </c>
      <c r="C2225" s="1">
        <f t="shared" si="179"/>
        <v>4636</v>
      </c>
      <c r="D2225" s="1">
        <f t="shared" si="180"/>
        <v>921</v>
      </c>
      <c r="E2225" s="1">
        <f t="shared" si="181"/>
        <v>2480</v>
      </c>
      <c r="F2225" s="1">
        <f t="shared" si="177"/>
        <v>3050</v>
      </c>
      <c r="L2225" s="11">
        <v>45041</v>
      </c>
      <c r="M2225" s="9">
        <v>4636</v>
      </c>
      <c r="N2225" s="9">
        <v>921</v>
      </c>
      <c r="O2225" s="9">
        <v>2480</v>
      </c>
      <c r="P2225" s="9">
        <v>3050</v>
      </c>
      <c r="R2225" s="11"/>
      <c r="S2225" s="9"/>
      <c r="T2225" s="9"/>
      <c r="U2225" s="9"/>
    </row>
    <row r="2226" spans="2:21" x14ac:dyDescent="0.4">
      <c r="B2226" s="16">
        <f t="shared" si="178"/>
        <v>45042</v>
      </c>
      <c r="C2226" s="1">
        <f t="shared" si="179"/>
        <v>4628</v>
      </c>
      <c r="D2226" s="1">
        <f t="shared" si="180"/>
        <v>921</v>
      </c>
      <c r="E2226" s="1">
        <f t="shared" si="181"/>
        <v>2455</v>
      </c>
      <c r="F2226" s="1">
        <f t="shared" ref="F2226:F2289" si="182">IF(P2226&lt;&gt;0,P2226,F2225)</f>
        <v>3050</v>
      </c>
      <c r="L2226" s="11">
        <v>45042</v>
      </c>
      <c r="M2226" s="9">
        <v>4628</v>
      </c>
      <c r="N2226" s="9">
        <v>921</v>
      </c>
      <c r="O2226" s="9">
        <v>2455</v>
      </c>
      <c r="P2226" s="9">
        <v>3050</v>
      </c>
      <c r="R2226" s="11"/>
      <c r="S2226" s="9"/>
      <c r="T2226" s="9"/>
      <c r="U2226" s="9"/>
    </row>
    <row r="2227" spans="2:21" x14ac:dyDescent="0.4">
      <c r="B2227" s="16">
        <f t="shared" si="178"/>
        <v>45043</v>
      </c>
      <c r="C2227" s="1">
        <f t="shared" si="179"/>
        <v>4613</v>
      </c>
      <c r="D2227" s="1">
        <f t="shared" si="180"/>
        <v>921</v>
      </c>
      <c r="E2227" s="1">
        <f t="shared" si="181"/>
        <v>2430</v>
      </c>
      <c r="F2227" s="1">
        <f t="shared" si="182"/>
        <v>3050</v>
      </c>
      <c r="L2227" s="11">
        <v>45043</v>
      </c>
      <c r="M2227" s="9">
        <v>4613</v>
      </c>
      <c r="N2227" s="9">
        <v>921</v>
      </c>
      <c r="O2227" s="9">
        <v>2430</v>
      </c>
      <c r="P2227" s="9">
        <v>3050</v>
      </c>
      <c r="R2227" s="11"/>
      <c r="S2227" s="9"/>
      <c r="T2227" s="9"/>
      <c r="U2227" s="9"/>
    </row>
    <row r="2228" spans="2:21" x14ac:dyDescent="0.4">
      <c r="B2228" s="16">
        <f t="shared" si="178"/>
        <v>45044</v>
      </c>
      <c r="C2228" s="1">
        <f t="shared" si="179"/>
        <v>4604</v>
      </c>
      <c r="D2228" s="1">
        <f t="shared" si="180"/>
        <v>921</v>
      </c>
      <c r="E2228" s="1">
        <f t="shared" si="181"/>
        <v>2430</v>
      </c>
      <c r="F2228" s="1">
        <f t="shared" si="182"/>
        <v>2880</v>
      </c>
      <c r="L2228" s="11">
        <v>45044</v>
      </c>
      <c r="M2228" s="9">
        <v>4604</v>
      </c>
      <c r="N2228" s="9">
        <v>0</v>
      </c>
      <c r="O2228" s="9">
        <v>2430</v>
      </c>
      <c r="P2228" s="9">
        <v>2880</v>
      </c>
      <c r="R2228" s="11"/>
      <c r="S2228" s="9"/>
      <c r="T2228" s="9"/>
      <c r="U2228" s="9"/>
    </row>
    <row r="2229" spans="2:21" x14ac:dyDescent="0.4">
      <c r="B2229" s="16">
        <f t="shared" si="178"/>
        <v>45047</v>
      </c>
      <c r="C2229" s="1">
        <f t="shared" si="179"/>
        <v>4604</v>
      </c>
      <c r="D2229" s="1">
        <f t="shared" si="180"/>
        <v>921</v>
      </c>
      <c r="E2229" s="1">
        <f t="shared" si="181"/>
        <v>2430</v>
      </c>
      <c r="F2229" s="1">
        <f t="shared" si="182"/>
        <v>2880</v>
      </c>
      <c r="L2229" s="11">
        <v>45047</v>
      </c>
      <c r="M2229" s="9">
        <v>0</v>
      </c>
      <c r="N2229" s="9">
        <v>921</v>
      </c>
      <c r="O2229" s="9">
        <v>0</v>
      </c>
      <c r="P2229" s="9">
        <v>0</v>
      </c>
      <c r="R2229" s="11"/>
      <c r="S2229" s="9"/>
      <c r="T2229" s="9"/>
      <c r="U2229" s="9"/>
    </row>
    <row r="2230" spans="2:21" x14ac:dyDescent="0.4">
      <c r="B2230" s="16">
        <f t="shared" si="178"/>
        <v>45048</v>
      </c>
      <c r="C2230" s="1">
        <f t="shared" si="179"/>
        <v>4604</v>
      </c>
      <c r="D2230" s="1">
        <f t="shared" si="180"/>
        <v>921</v>
      </c>
      <c r="E2230" s="1">
        <f t="shared" si="181"/>
        <v>2430</v>
      </c>
      <c r="F2230" s="1">
        <f t="shared" si="182"/>
        <v>2880</v>
      </c>
      <c r="L2230" s="11">
        <v>45048</v>
      </c>
      <c r="M2230" s="9">
        <v>0</v>
      </c>
      <c r="N2230" s="9">
        <v>921</v>
      </c>
      <c r="O2230" s="9">
        <v>0</v>
      </c>
      <c r="P2230" s="9">
        <v>0</v>
      </c>
      <c r="R2230" s="11"/>
      <c r="S2230" s="9"/>
      <c r="T2230" s="9"/>
      <c r="U2230" s="9"/>
    </row>
    <row r="2231" spans="2:21" x14ac:dyDescent="0.4">
      <c r="B2231" s="16">
        <f t="shared" si="178"/>
        <v>45049</v>
      </c>
      <c r="C2231" s="1">
        <f t="shared" si="179"/>
        <v>4604</v>
      </c>
      <c r="D2231" s="1">
        <f t="shared" si="180"/>
        <v>901</v>
      </c>
      <c r="E2231" s="1">
        <f t="shared" si="181"/>
        <v>2430</v>
      </c>
      <c r="F2231" s="1">
        <f t="shared" si="182"/>
        <v>2880</v>
      </c>
      <c r="L2231" s="11">
        <v>45049</v>
      </c>
      <c r="M2231" s="9">
        <v>0</v>
      </c>
      <c r="N2231" s="9">
        <v>901</v>
      </c>
      <c r="O2231" s="9">
        <v>0</v>
      </c>
      <c r="P2231" s="9">
        <v>0</v>
      </c>
      <c r="R2231" s="11"/>
      <c r="S2231" s="9"/>
      <c r="T2231" s="9"/>
      <c r="U2231" s="9"/>
    </row>
    <row r="2232" spans="2:21" x14ac:dyDescent="0.4">
      <c r="B2232" s="16">
        <f t="shared" si="178"/>
        <v>45050</v>
      </c>
      <c r="C2232" s="1">
        <f t="shared" si="179"/>
        <v>4561</v>
      </c>
      <c r="D2232" s="1">
        <f t="shared" si="180"/>
        <v>891</v>
      </c>
      <c r="E2232" s="1">
        <f t="shared" si="181"/>
        <v>2400</v>
      </c>
      <c r="F2232" s="1">
        <f t="shared" si="182"/>
        <v>2850</v>
      </c>
      <c r="L2232" s="11">
        <v>45050</v>
      </c>
      <c r="M2232" s="9">
        <v>4561</v>
      </c>
      <c r="N2232" s="9">
        <v>891</v>
      </c>
      <c r="O2232" s="9">
        <v>2400</v>
      </c>
      <c r="P2232" s="9">
        <v>2850</v>
      </c>
      <c r="R2232" s="11"/>
      <c r="S2232" s="9"/>
      <c r="T2232" s="9"/>
      <c r="U2232" s="9"/>
    </row>
    <row r="2233" spans="2:21" x14ac:dyDescent="0.4">
      <c r="B2233" s="16">
        <f t="shared" si="178"/>
        <v>45051</v>
      </c>
      <c r="C2233" s="1">
        <f t="shared" si="179"/>
        <v>4537</v>
      </c>
      <c r="D2233" s="1">
        <f t="shared" si="180"/>
        <v>891</v>
      </c>
      <c r="E2233" s="1">
        <f t="shared" si="181"/>
        <v>2400</v>
      </c>
      <c r="F2233" s="1">
        <f t="shared" si="182"/>
        <v>2850</v>
      </c>
      <c r="L2233" s="11">
        <v>45051</v>
      </c>
      <c r="M2233" s="9">
        <v>4537</v>
      </c>
      <c r="N2233" s="9">
        <v>891</v>
      </c>
      <c r="O2233" s="9">
        <v>2400</v>
      </c>
      <c r="P2233" s="9">
        <v>2850</v>
      </c>
      <c r="R2233" s="11"/>
      <c r="S2233" s="9"/>
      <c r="T2233" s="9"/>
      <c r="U2233" s="9"/>
    </row>
    <row r="2234" spans="2:21" x14ac:dyDescent="0.4">
      <c r="B2234" s="16">
        <f t="shared" si="178"/>
        <v>45052</v>
      </c>
      <c r="C2234" s="1">
        <f t="shared" si="179"/>
        <v>4547</v>
      </c>
      <c r="D2234" s="1">
        <f t="shared" si="180"/>
        <v>891</v>
      </c>
      <c r="E2234" s="1">
        <f t="shared" si="181"/>
        <v>2400</v>
      </c>
      <c r="F2234" s="1">
        <f t="shared" si="182"/>
        <v>2850</v>
      </c>
      <c r="L2234" s="11">
        <v>45052</v>
      </c>
      <c r="M2234" s="9">
        <v>4547</v>
      </c>
      <c r="N2234" s="9">
        <v>0</v>
      </c>
      <c r="O2234" s="9">
        <v>2400</v>
      </c>
      <c r="P2234" s="9">
        <v>2850</v>
      </c>
      <c r="R2234" s="11"/>
      <c r="S2234" s="9"/>
      <c r="T2234" s="9"/>
      <c r="U2234" s="9"/>
    </row>
    <row r="2235" spans="2:21" x14ac:dyDescent="0.4">
      <c r="B2235" s="16">
        <f t="shared" si="178"/>
        <v>45054</v>
      </c>
      <c r="C2235" s="1">
        <f t="shared" si="179"/>
        <v>4541</v>
      </c>
      <c r="D2235" s="1">
        <f t="shared" si="180"/>
        <v>891</v>
      </c>
      <c r="E2235" s="1">
        <f t="shared" si="181"/>
        <v>2400</v>
      </c>
      <c r="F2235" s="1">
        <f t="shared" si="182"/>
        <v>2850</v>
      </c>
      <c r="L2235" s="11">
        <v>45054</v>
      </c>
      <c r="M2235" s="9">
        <v>4541</v>
      </c>
      <c r="N2235" s="9">
        <v>891</v>
      </c>
      <c r="O2235" s="9">
        <v>2400</v>
      </c>
      <c r="P2235" s="9">
        <v>2850</v>
      </c>
      <c r="R2235" s="11"/>
      <c r="S2235" s="9"/>
      <c r="T2235" s="9"/>
      <c r="U2235" s="9"/>
    </row>
    <row r="2236" spans="2:21" x14ac:dyDescent="0.4">
      <c r="B2236" s="16">
        <f t="shared" si="178"/>
        <v>45055</v>
      </c>
      <c r="C2236" s="1">
        <f t="shared" si="179"/>
        <v>4521</v>
      </c>
      <c r="D2236" s="1">
        <f t="shared" si="180"/>
        <v>891</v>
      </c>
      <c r="E2236" s="1">
        <f t="shared" si="181"/>
        <v>2400</v>
      </c>
      <c r="F2236" s="1">
        <f t="shared" si="182"/>
        <v>2850</v>
      </c>
      <c r="L2236" s="11">
        <v>45055</v>
      </c>
      <c r="M2236" s="9">
        <v>4521</v>
      </c>
      <c r="N2236" s="9">
        <v>891</v>
      </c>
      <c r="O2236" s="9">
        <v>2400</v>
      </c>
      <c r="P2236" s="9">
        <v>2850</v>
      </c>
      <c r="R2236" s="11"/>
      <c r="S2236" s="9"/>
      <c r="T2236" s="9"/>
      <c r="U2236" s="9"/>
    </row>
    <row r="2237" spans="2:21" x14ac:dyDescent="0.4">
      <c r="B2237" s="16">
        <f t="shared" si="178"/>
        <v>45056</v>
      </c>
      <c r="C2237" s="1">
        <f t="shared" si="179"/>
        <v>4496</v>
      </c>
      <c r="D2237" s="1">
        <f t="shared" si="180"/>
        <v>871</v>
      </c>
      <c r="E2237" s="1">
        <f t="shared" si="181"/>
        <v>2395</v>
      </c>
      <c r="F2237" s="1">
        <f t="shared" si="182"/>
        <v>2850</v>
      </c>
      <c r="L2237" s="11">
        <v>45056</v>
      </c>
      <c r="M2237" s="9">
        <v>4496</v>
      </c>
      <c r="N2237" s="9">
        <v>871</v>
      </c>
      <c r="O2237" s="9">
        <v>2395</v>
      </c>
      <c r="P2237" s="9">
        <v>2850</v>
      </c>
      <c r="R2237" s="11"/>
      <c r="S2237" s="9"/>
      <c r="T2237" s="9"/>
      <c r="U2237" s="9"/>
    </row>
    <row r="2238" spans="2:21" x14ac:dyDescent="0.4">
      <c r="B2238" s="16">
        <f t="shared" si="178"/>
        <v>45057</v>
      </c>
      <c r="C2238" s="1">
        <f t="shared" si="179"/>
        <v>4479</v>
      </c>
      <c r="D2238" s="1">
        <f t="shared" si="180"/>
        <v>866</v>
      </c>
      <c r="E2238" s="1">
        <f t="shared" si="181"/>
        <v>2395</v>
      </c>
      <c r="F2238" s="1">
        <f t="shared" si="182"/>
        <v>2850</v>
      </c>
      <c r="L2238" s="11">
        <v>45057</v>
      </c>
      <c r="M2238" s="9">
        <v>4479</v>
      </c>
      <c r="N2238" s="9">
        <v>866</v>
      </c>
      <c r="O2238" s="9">
        <v>2395</v>
      </c>
      <c r="P2238" s="9">
        <v>2850</v>
      </c>
      <c r="R2238" s="11"/>
      <c r="S2238" s="9"/>
      <c r="T2238" s="9"/>
      <c r="U2238" s="9"/>
    </row>
    <row r="2239" spans="2:21" x14ac:dyDescent="0.4">
      <c r="B2239" s="16">
        <f t="shared" si="178"/>
        <v>45058</v>
      </c>
      <c r="C2239" s="1">
        <f t="shared" si="179"/>
        <v>4464</v>
      </c>
      <c r="D2239" s="1">
        <f t="shared" si="180"/>
        <v>866</v>
      </c>
      <c r="E2239" s="1">
        <f t="shared" si="181"/>
        <v>2395</v>
      </c>
      <c r="F2239" s="1">
        <f t="shared" si="182"/>
        <v>2600</v>
      </c>
      <c r="L2239" s="11">
        <v>45058</v>
      </c>
      <c r="M2239" s="9">
        <v>4464</v>
      </c>
      <c r="N2239" s="9">
        <v>866</v>
      </c>
      <c r="O2239" s="9">
        <v>2395</v>
      </c>
      <c r="P2239" s="9">
        <v>2600</v>
      </c>
      <c r="R2239" s="11"/>
      <c r="S2239" s="9"/>
      <c r="T2239" s="9"/>
      <c r="U2239" s="9"/>
    </row>
    <row r="2240" spans="2:21" x14ac:dyDescent="0.4">
      <c r="B2240" s="16">
        <f t="shared" si="178"/>
        <v>45061</v>
      </c>
      <c r="C2240" s="1">
        <f t="shared" si="179"/>
        <v>4430</v>
      </c>
      <c r="D2240" s="1">
        <f t="shared" si="180"/>
        <v>866</v>
      </c>
      <c r="E2240" s="1">
        <f t="shared" si="181"/>
        <v>2350</v>
      </c>
      <c r="F2240" s="1">
        <f t="shared" si="182"/>
        <v>2550</v>
      </c>
      <c r="L2240" s="11">
        <v>45061</v>
      </c>
      <c r="M2240" s="9">
        <v>4430</v>
      </c>
      <c r="N2240" s="9">
        <v>866</v>
      </c>
      <c r="O2240" s="9">
        <v>2350</v>
      </c>
      <c r="P2240" s="9">
        <v>2550</v>
      </c>
      <c r="R2240" s="11"/>
      <c r="S2240" s="9"/>
      <c r="T2240" s="9"/>
      <c r="U2240" s="9"/>
    </row>
    <row r="2241" spans="2:21" x14ac:dyDescent="0.4">
      <c r="B2241" s="16">
        <f t="shared" si="178"/>
        <v>45062</v>
      </c>
      <c r="C2241" s="1">
        <f t="shared" si="179"/>
        <v>4410</v>
      </c>
      <c r="D2241" s="1">
        <f t="shared" si="180"/>
        <v>866</v>
      </c>
      <c r="E2241" s="1">
        <f t="shared" si="181"/>
        <v>2320</v>
      </c>
      <c r="F2241" s="1">
        <f t="shared" si="182"/>
        <v>2550</v>
      </c>
      <c r="L2241" s="11">
        <v>45062</v>
      </c>
      <c r="M2241" s="9">
        <v>4410</v>
      </c>
      <c r="N2241" s="9">
        <v>866</v>
      </c>
      <c r="O2241" s="9">
        <v>2320</v>
      </c>
      <c r="P2241" s="9">
        <v>2550</v>
      </c>
      <c r="R2241" s="11"/>
      <c r="S2241" s="9"/>
      <c r="T2241" s="9"/>
      <c r="U2241" s="9"/>
    </row>
    <row r="2242" spans="2:21" x14ac:dyDescent="0.4">
      <c r="B2242" s="16">
        <f t="shared" si="178"/>
        <v>45063</v>
      </c>
      <c r="C2242" s="1">
        <f t="shared" si="179"/>
        <v>4398</v>
      </c>
      <c r="D2242" s="1">
        <f t="shared" si="180"/>
        <v>866</v>
      </c>
      <c r="E2242" s="1">
        <f t="shared" si="181"/>
        <v>2300</v>
      </c>
      <c r="F2242" s="1">
        <f t="shared" si="182"/>
        <v>2550</v>
      </c>
      <c r="L2242" s="11">
        <v>45063</v>
      </c>
      <c r="M2242" s="9">
        <v>4398</v>
      </c>
      <c r="N2242" s="9">
        <v>866</v>
      </c>
      <c r="O2242" s="9">
        <v>2300</v>
      </c>
      <c r="P2242" s="9">
        <v>2550</v>
      </c>
      <c r="R2242" s="11"/>
      <c r="S2242" s="9"/>
      <c r="T2242" s="9"/>
      <c r="U2242" s="9"/>
    </row>
    <row r="2243" spans="2:21" x14ac:dyDescent="0.4">
      <c r="B2243" s="16">
        <f t="shared" si="178"/>
        <v>45064</v>
      </c>
      <c r="C2243" s="1">
        <f t="shared" si="179"/>
        <v>4406</v>
      </c>
      <c r="D2243" s="1">
        <f t="shared" si="180"/>
        <v>851</v>
      </c>
      <c r="E2243" s="1">
        <f t="shared" si="181"/>
        <v>2285</v>
      </c>
      <c r="F2243" s="1">
        <f t="shared" si="182"/>
        <v>2500</v>
      </c>
      <c r="L2243" s="11">
        <v>45064</v>
      </c>
      <c r="M2243" s="9">
        <v>4406</v>
      </c>
      <c r="N2243" s="9">
        <v>851</v>
      </c>
      <c r="O2243" s="9">
        <v>2285</v>
      </c>
      <c r="P2243" s="9">
        <v>2500</v>
      </c>
      <c r="R2243" s="11"/>
      <c r="S2243" s="9"/>
      <c r="T2243" s="9"/>
      <c r="U2243" s="9"/>
    </row>
    <row r="2244" spans="2:21" x14ac:dyDescent="0.4">
      <c r="B2244" s="16">
        <f t="shared" si="178"/>
        <v>45065</v>
      </c>
      <c r="C2244" s="1">
        <f t="shared" si="179"/>
        <v>4403</v>
      </c>
      <c r="D2244" s="1">
        <f t="shared" si="180"/>
        <v>841</v>
      </c>
      <c r="E2244" s="1">
        <f t="shared" si="181"/>
        <v>2280</v>
      </c>
      <c r="F2244" s="1">
        <f t="shared" si="182"/>
        <v>2500</v>
      </c>
      <c r="L2244" s="11">
        <v>45065</v>
      </c>
      <c r="M2244" s="9">
        <v>4403</v>
      </c>
      <c r="N2244" s="9">
        <v>841</v>
      </c>
      <c r="O2244" s="9">
        <v>2280</v>
      </c>
      <c r="P2244" s="9">
        <v>2500</v>
      </c>
      <c r="R2244" s="11"/>
      <c r="S2244" s="9"/>
      <c r="T2244" s="9"/>
      <c r="U2244" s="9"/>
    </row>
    <row r="2245" spans="2:21" x14ac:dyDescent="0.4">
      <c r="B2245" s="16">
        <f t="shared" si="178"/>
        <v>45068</v>
      </c>
      <c r="C2245" s="1">
        <f t="shared" si="179"/>
        <v>4378</v>
      </c>
      <c r="D2245" s="1">
        <f t="shared" si="180"/>
        <v>841</v>
      </c>
      <c r="E2245" s="1">
        <f t="shared" si="181"/>
        <v>2225</v>
      </c>
      <c r="F2245" s="1">
        <f t="shared" si="182"/>
        <v>2450</v>
      </c>
      <c r="L2245" s="11">
        <v>45068</v>
      </c>
      <c r="M2245" s="9">
        <v>4378</v>
      </c>
      <c r="N2245" s="9">
        <v>841</v>
      </c>
      <c r="O2245" s="9">
        <v>2225</v>
      </c>
      <c r="P2245" s="9">
        <v>2450</v>
      </c>
      <c r="R2245" s="11"/>
      <c r="S2245" s="9"/>
      <c r="T2245" s="9"/>
      <c r="U2245" s="9"/>
    </row>
    <row r="2246" spans="2:21" x14ac:dyDescent="0.4">
      <c r="B2246" s="16">
        <f t="shared" ref="B2246:B2309" si="183">L2246</f>
        <v>45069</v>
      </c>
      <c r="C2246" s="1">
        <f t="shared" si="179"/>
        <v>4361</v>
      </c>
      <c r="D2246" s="1">
        <f t="shared" si="180"/>
        <v>831</v>
      </c>
      <c r="E2246" s="1">
        <f t="shared" si="181"/>
        <v>2215</v>
      </c>
      <c r="F2246" s="1">
        <f t="shared" si="182"/>
        <v>2300</v>
      </c>
      <c r="L2246" s="11">
        <v>45069</v>
      </c>
      <c r="M2246" s="9">
        <v>4361</v>
      </c>
      <c r="N2246" s="9">
        <v>831</v>
      </c>
      <c r="O2246" s="9">
        <v>2215</v>
      </c>
      <c r="P2246" s="9">
        <v>2300</v>
      </c>
      <c r="R2246" s="11"/>
      <c r="S2246" s="9"/>
      <c r="T2246" s="9"/>
      <c r="U2246" s="9"/>
    </row>
    <row r="2247" spans="2:21" x14ac:dyDescent="0.4">
      <c r="B2247" s="16">
        <f t="shared" si="183"/>
        <v>45070</v>
      </c>
      <c r="C2247" s="1">
        <f t="shared" ref="C2247:C2310" si="184">IF(M2247&lt;&gt;0,M2247,C2246)</f>
        <v>4348</v>
      </c>
      <c r="D2247" s="1">
        <f t="shared" ref="D2247:D2310" si="185">IF(N2247&lt;&gt;0,N2247,D2246)</f>
        <v>831</v>
      </c>
      <c r="E2247" s="1">
        <f t="shared" ref="E2247:E2310" si="186">IF(O2247&lt;&gt;0,O2247,E2246)</f>
        <v>2205</v>
      </c>
      <c r="F2247" s="1">
        <f t="shared" si="182"/>
        <v>2300</v>
      </c>
      <c r="L2247" s="11">
        <v>45070</v>
      </c>
      <c r="M2247" s="9">
        <v>4348</v>
      </c>
      <c r="N2247" s="9">
        <v>831</v>
      </c>
      <c r="O2247" s="9">
        <v>2205</v>
      </c>
      <c r="P2247" s="9">
        <v>2300</v>
      </c>
      <c r="R2247" s="11"/>
      <c r="S2247" s="9"/>
      <c r="T2247" s="9"/>
      <c r="U2247" s="9"/>
    </row>
    <row r="2248" spans="2:21" x14ac:dyDescent="0.4">
      <c r="B2248" s="16">
        <f t="shared" si="183"/>
        <v>45071</v>
      </c>
      <c r="C2248" s="1">
        <f t="shared" si="184"/>
        <v>4334</v>
      </c>
      <c r="D2248" s="1">
        <f t="shared" si="185"/>
        <v>821</v>
      </c>
      <c r="E2248" s="1">
        <f t="shared" si="186"/>
        <v>2190</v>
      </c>
      <c r="F2248" s="1">
        <f t="shared" si="182"/>
        <v>2300</v>
      </c>
      <c r="L2248" s="11">
        <v>45071</v>
      </c>
      <c r="M2248" s="9">
        <v>4334</v>
      </c>
      <c r="N2248" s="9">
        <v>821</v>
      </c>
      <c r="O2248" s="9">
        <v>2190</v>
      </c>
      <c r="P2248" s="9">
        <v>2300</v>
      </c>
      <c r="R2248" s="11"/>
      <c r="S2248" s="9"/>
      <c r="T2248" s="9"/>
      <c r="U2248" s="9"/>
    </row>
    <row r="2249" spans="2:21" x14ac:dyDescent="0.4">
      <c r="B2249" s="16">
        <f t="shared" si="183"/>
        <v>45072</v>
      </c>
      <c r="C2249" s="1">
        <f t="shared" si="184"/>
        <v>4325</v>
      </c>
      <c r="D2249" s="1">
        <f t="shared" si="185"/>
        <v>821</v>
      </c>
      <c r="E2249" s="1">
        <f t="shared" si="186"/>
        <v>2190</v>
      </c>
      <c r="F2249" s="1">
        <f t="shared" si="182"/>
        <v>2300</v>
      </c>
      <c r="L2249" s="11">
        <v>45072</v>
      </c>
      <c r="M2249" s="9">
        <v>4325</v>
      </c>
      <c r="N2249" s="9">
        <v>821</v>
      </c>
      <c r="O2249" s="9">
        <v>2190</v>
      </c>
      <c r="P2249" s="9">
        <v>2300</v>
      </c>
      <c r="R2249" s="11"/>
      <c r="S2249" s="9"/>
      <c r="T2249" s="9"/>
      <c r="U2249" s="9"/>
    </row>
    <row r="2250" spans="2:21" x14ac:dyDescent="0.4">
      <c r="B2250" s="16">
        <f t="shared" si="183"/>
        <v>45075</v>
      </c>
      <c r="C2250" s="1">
        <f t="shared" si="184"/>
        <v>4322</v>
      </c>
      <c r="D2250" s="1">
        <f t="shared" si="185"/>
        <v>821</v>
      </c>
      <c r="E2250" s="1">
        <f t="shared" si="186"/>
        <v>2140</v>
      </c>
      <c r="F2250" s="1">
        <f t="shared" si="182"/>
        <v>2300</v>
      </c>
      <c r="L2250" s="11">
        <v>45075</v>
      </c>
      <c r="M2250" s="9">
        <v>4322</v>
      </c>
      <c r="N2250" s="9">
        <v>821</v>
      </c>
      <c r="O2250" s="9">
        <v>2140</v>
      </c>
      <c r="P2250" s="9">
        <v>2300</v>
      </c>
      <c r="R2250" s="11"/>
      <c r="S2250" s="9"/>
      <c r="T2250" s="9"/>
      <c r="U2250" s="9"/>
    </row>
    <row r="2251" spans="2:21" x14ac:dyDescent="0.4">
      <c r="B2251" s="16">
        <f t="shared" si="183"/>
        <v>45076</v>
      </c>
      <c r="C2251" s="1">
        <f t="shared" si="184"/>
        <v>4323</v>
      </c>
      <c r="D2251" s="1">
        <f t="shared" si="185"/>
        <v>821</v>
      </c>
      <c r="E2251" s="1">
        <f t="shared" si="186"/>
        <v>2130</v>
      </c>
      <c r="F2251" s="1">
        <f t="shared" si="182"/>
        <v>2000</v>
      </c>
      <c r="L2251" s="11">
        <v>45076</v>
      </c>
      <c r="M2251" s="9">
        <v>4323</v>
      </c>
      <c r="N2251" s="9">
        <v>821</v>
      </c>
      <c r="O2251" s="9">
        <v>2130</v>
      </c>
      <c r="P2251" s="9">
        <v>2000</v>
      </c>
      <c r="R2251" s="11"/>
      <c r="S2251" s="9"/>
      <c r="T2251" s="9"/>
      <c r="U2251" s="9"/>
    </row>
    <row r="2252" spans="2:21" x14ac:dyDescent="0.4">
      <c r="B2252" s="16">
        <f t="shared" si="183"/>
        <v>45077</v>
      </c>
      <c r="C2252" s="1">
        <f t="shared" si="184"/>
        <v>4291</v>
      </c>
      <c r="D2252" s="1">
        <f t="shared" si="185"/>
        <v>821</v>
      </c>
      <c r="E2252" s="1">
        <f t="shared" si="186"/>
        <v>2125</v>
      </c>
      <c r="F2252" s="1">
        <f t="shared" si="182"/>
        <v>2000</v>
      </c>
      <c r="L2252" s="11">
        <v>45077</v>
      </c>
      <c r="M2252" s="9">
        <v>4291</v>
      </c>
      <c r="N2252" s="9">
        <v>821</v>
      </c>
      <c r="O2252" s="9">
        <v>2125</v>
      </c>
      <c r="P2252" s="9">
        <v>2000</v>
      </c>
      <c r="R2252" s="11"/>
      <c r="S2252" s="9"/>
      <c r="T2252" s="9"/>
      <c r="U2252" s="9"/>
    </row>
    <row r="2253" spans="2:21" x14ac:dyDescent="0.4">
      <c r="B2253" s="16">
        <f t="shared" si="183"/>
        <v>45078</v>
      </c>
      <c r="C2253" s="1">
        <f t="shared" si="184"/>
        <v>4289</v>
      </c>
      <c r="D2253" s="1">
        <f t="shared" si="185"/>
        <v>821</v>
      </c>
      <c r="E2253" s="1">
        <f t="shared" si="186"/>
        <v>2140</v>
      </c>
      <c r="F2253" s="1">
        <f t="shared" si="182"/>
        <v>2000</v>
      </c>
      <c r="L2253" s="11">
        <v>45078</v>
      </c>
      <c r="M2253" s="9">
        <v>4289</v>
      </c>
      <c r="N2253" s="9">
        <v>821</v>
      </c>
      <c r="O2253" s="9">
        <v>2140</v>
      </c>
      <c r="P2253" s="9">
        <v>2000</v>
      </c>
      <c r="R2253" s="11"/>
      <c r="S2253" s="9"/>
      <c r="T2253" s="9"/>
      <c r="U2253" s="9"/>
    </row>
    <row r="2254" spans="2:21" x14ac:dyDescent="0.4">
      <c r="B2254" s="16">
        <f t="shared" si="183"/>
        <v>45079</v>
      </c>
      <c r="C2254" s="1">
        <f t="shared" si="184"/>
        <v>4292</v>
      </c>
      <c r="D2254" s="1">
        <f t="shared" si="185"/>
        <v>771</v>
      </c>
      <c r="E2254" s="1">
        <f t="shared" si="186"/>
        <v>2155</v>
      </c>
      <c r="F2254" s="1">
        <f t="shared" si="182"/>
        <v>2000</v>
      </c>
      <c r="L2254" s="11">
        <v>45079</v>
      </c>
      <c r="M2254" s="9">
        <v>4292</v>
      </c>
      <c r="N2254" s="9">
        <v>771</v>
      </c>
      <c r="O2254" s="9">
        <v>2155</v>
      </c>
      <c r="P2254" s="9">
        <v>2000</v>
      </c>
      <c r="R2254" s="11"/>
      <c r="S2254" s="9"/>
      <c r="T2254" s="9"/>
      <c r="U2254" s="9"/>
    </row>
    <row r="2255" spans="2:21" x14ac:dyDescent="0.4">
      <c r="B2255" s="16">
        <f t="shared" si="183"/>
        <v>45082</v>
      </c>
      <c r="C2255" s="1">
        <f t="shared" si="184"/>
        <v>4301</v>
      </c>
      <c r="D2255" s="1">
        <f t="shared" si="185"/>
        <v>771</v>
      </c>
      <c r="E2255" s="1">
        <f t="shared" si="186"/>
        <v>2210</v>
      </c>
      <c r="F2255" s="1">
        <f t="shared" si="182"/>
        <v>2150</v>
      </c>
      <c r="L2255" s="11">
        <v>45082</v>
      </c>
      <c r="M2255" s="9">
        <v>4301</v>
      </c>
      <c r="N2255" s="9">
        <v>771</v>
      </c>
      <c r="O2255" s="9">
        <v>2210</v>
      </c>
      <c r="P2255" s="9">
        <v>2150</v>
      </c>
      <c r="R2255" s="11"/>
      <c r="S2255" s="9"/>
      <c r="T2255" s="9"/>
      <c r="U2255" s="9"/>
    </row>
    <row r="2256" spans="2:21" x14ac:dyDescent="0.4">
      <c r="B2256" s="16">
        <f t="shared" si="183"/>
        <v>45083</v>
      </c>
      <c r="C2256" s="1">
        <f t="shared" si="184"/>
        <v>4319</v>
      </c>
      <c r="D2256" s="1">
        <f t="shared" si="185"/>
        <v>761</v>
      </c>
      <c r="E2256" s="1">
        <f t="shared" si="186"/>
        <v>2270</v>
      </c>
      <c r="F2256" s="1">
        <f t="shared" si="182"/>
        <v>2150</v>
      </c>
      <c r="L2256" s="11">
        <v>45083</v>
      </c>
      <c r="M2256" s="9">
        <v>4319</v>
      </c>
      <c r="N2256" s="9">
        <v>761</v>
      </c>
      <c r="O2256" s="9">
        <v>2270</v>
      </c>
      <c r="P2256" s="9">
        <v>2150</v>
      </c>
      <c r="R2256" s="11"/>
      <c r="S2256" s="9"/>
      <c r="T2256" s="9"/>
      <c r="U2256" s="9"/>
    </row>
    <row r="2257" spans="2:21" x14ac:dyDescent="0.4">
      <c r="B2257" s="16">
        <f t="shared" si="183"/>
        <v>45084</v>
      </c>
      <c r="C2257" s="1">
        <f t="shared" si="184"/>
        <v>4313</v>
      </c>
      <c r="D2257" s="1">
        <f t="shared" si="185"/>
        <v>761</v>
      </c>
      <c r="E2257" s="1">
        <f t="shared" si="186"/>
        <v>2300</v>
      </c>
      <c r="F2257" s="1">
        <f t="shared" si="182"/>
        <v>2150</v>
      </c>
      <c r="L2257" s="11">
        <v>45084</v>
      </c>
      <c r="M2257" s="9">
        <v>4313</v>
      </c>
      <c r="N2257" s="9">
        <v>761</v>
      </c>
      <c r="O2257" s="9">
        <v>2300</v>
      </c>
      <c r="P2257" s="9">
        <v>2150</v>
      </c>
      <c r="R2257" s="11"/>
      <c r="S2257" s="9"/>
      <c r="T2257" s="9"/>
      <c r="U2257" s="9"/>
    </row>
    <row r="2258" spans="2:21" x14ac:dyDescent="0.4">
      <c r="B2258" s="16">
        <f t="shared" si="183"/>
        <v>45085</v>
      </c>
      <c r="C2258" s="1">
        <f t="shared" si="184"/>
        <v>4304</v>
      </c>
      <c r="D2258" s="1">
        <f t="shared" si="185"/>
        <v>751</v>
      </c>
      <c r="E2258" s="1">
        <f t="shared" si="186"/>
        <v>2300</v>
      </c>
      <c r="F2258" s="1">
        <f t="shared" si="182"/>
        <v>2150</v>
      </c>
      <c r="L2258" s="11">
        <v>45085</v>
      </c>
      <c r="M2258" s="9">
        <v>4304</v>
      </c>
      <c r="N2258" s="9">
        <v>751</v>
      </c>
      <c r="O2258" s="9">
        <v>2300</v>
      </c>
      <c r="P2258" s="9">
        <v>2150</v>
      </c>
      <c r="R2258" s="11"/>
      <c r="S2258" s="9"/>
      <c r="T2258" s="9"/>
      <c r="U2258" s="9"/>
    </row>
    <row r="2259" spans="2:21" x14ac:dyDescent="0.4">
      <c r="B2259" s="16">
        <f t="shared" si="183"/>
        <v>45086</v>
      </c>
      <c r="C2259" s="1">
        <f t="shared" si="184"/>
        <v>4291</v>
      </c>
      <c r="D2259" s="1">
        <f t="shared" si="185"/>
        <v>731</v>
      </c>
      <c r="E2259" s="1">
        <f t="shared" si="186"/>
        <v>2310</v>
      </c>
      <c r="F2259" s="1">
        <f t="shared" si="182"/>
        <v>2150</v>
      </c>
      <c r="L2259" s="11">
        <v>45086</v>
      </c>
      <c r="M2259" s="9">
        <v>4291</v>
      </c>
      <c r="N2259" s="9">
        <v>731</v>
      </c>
      <c r="O2259" s="9">
        <v>2310</v>
      </c>
      <c r="P2259" s="9">
        <v>2150</v>
      </c>
      <c r="R2259" s="11"/>
      <c r="S2259" s="9"/>
      <c r="T2259" s="9"/>
      <c r="U2259" s="9"/>
    </row>
    <row r="2260" spans="2:21" x14ac:dyDescent="0.4">
      <c r="B2260" s="16">
        <f t="shared" si="183"/>
        <v>45089</v>
      </c>
      <c r="C2260" s="1">
        <f t="shared" si="184"/>
        <v>4273</v>
      </c>
      <c r="D2260" s="1">
        <f t="shared" si="185"/>
        <v>726</v>
      </c>
      <c r="E2260" s="1">
        <f t="shared" si="186"/>
        <v>2270</v>
      </c>
      <c r="F2260" s="1">
        <f t="shared" si="182"/>
        <v>2150</v>
      </c>
      <c r="L2260" s="11">
        <v>45089</v>
      </c>
      <c r="M2260" s="9">
        <v>4273</v>
      </c>
      <c r="N2260" s="9">
        <v>726</v>
      </c>
      <c r="O2260" s="9">
        <v>2270</v>
      </c>
      <c r="P2260" s="9">
        <v>2150</v>
      </c>
      <c r="R2260" s="11"/>
      <c r="S2260" s="9"/>
      <c r="T2260" s="9"/>
      <c r="U2260" s="9"/>
    </row>
    <row r="2261" spans="2:21" x14ac:dyDescent="0.4">
      <c r="B2261" s="16">
        <f t="shared" si="183"/>
        <v>45090</v>
      </c>
      <c r="C2261" s="1">
        <f t="shared" si="184"/>
        <v>4252</v>
      </c>
      <c r="D2261" s="1">
        <f t="shared" si="185"/>
        <v>726</v>
      </c>
      <c r="E2261" s="1">
        <f t="shared" si="186"/>
        <v>2210</v>
      </c>
      <c r="F2261" s="1">
        <f t="shared" si="182"/>
        <v>2150</v>
      </c>
      <c r="L2261" s="11">
        <v>45090</v>
      </c>
      <c r="M2261" s="9">
        <v>4252</v>
      </c>
      <c r="N2261" s="9">
        <v>726</v>
      </c>
      <c r="O2261" s="9">
        <v>2210</v>
      </c>
      <c r="P2261" s="9">
        <v>2150</v>
      </c>
      <c r="R2261" s="11"/>
      <c r="S2261" s="9"/>
      <c r="T2261" s="9"/>
      <c r="U2261" s="9"/>
    </row>
    <row r="2262" spans="2:21" x14ac:dyDescent="0.4">
      <c r="B2262" s="16">
        <f t="shared" si="183"/>
        <v>45091</v>
      </c>
      <c r="C2262" s="1">
        <f t="shared" si="184"/>
        <v>4267</v>
      </c>
      <c r="D2262" s="1">
        <f t="shared" si="185"/>
        <v>716</v>
      </c>
      <c r="E2262" s="1">
        <f t="shared" si="186"/>
        <v>2180</v>
      </c>
      <c r="F2262" s="1">
        <f t="shared" si="182"/>
        <v>2150</v>
      </c>
      <c r="L2262" s="11">
        <v>45091</v>
      </c>
      <c r="M2262" s="9">
        <v>4267</v>
      </c>
      <c r="N2262" s="9">
        <v>716</v>
      </c>
      <c r="O2262" s="9">
        <v>2180</v>
      </c>
      <c r="P2262" s="9">
        <v>2150</v>
      </c>
      <c r="R2262" s="11"/>
      <c r="S2262" s="9"/>
      <c r="T2262" s="9"/>
      <c r="U2262" s="9"/>
    </row>
    <row r="2263" spans="2:21" x14ac:dyDescent="0.4">
      <c r="B2263" s="16">
        <f t="shared" si="183"/>
        <v>45092</v>
      </c>
      <c r="C2263" s="1">
        <f t="shared" si="184"/>
        <v>4255</v>
      </c>
      <c r="D2263" s="1">
        <f t="shared" si="185"/>
        <v>716</v>
      </c>
      <c r="E2263" s="1">
        <f t="shared" si="186"/>
        <v>2140</v>
      </c>
      <c r="F2263" s="1">
        <f t="shared" si="182"/>
        <v>2150</v>
      </c>
      <c r="L2263" s="11">
        <v>45092</v>
      </c>
      <c r="M2263" s="9">
        <v>4255</v>
      </c>
      <c r="N2263" s="9">
        <v>716</v>
      </c>
      <c r="O2263" s="9">
        <v>2140</v>
      </c>
      <c r="P2263" s="9">
        <v>2150</v>
      </c>
      <c r="R2263" s="11"/>
      <c r="S2263" s="9"/>
      <c r="T2263" s="9"/>
      <c r="U2263" s="9"/>
    </row>
    <row r="2264" spans="2:21" x14ac:dyDescent="0.4">
      <c r="B2264" s="16">
        <f t="shared" si="183"/>
        <v>45093</v>
      </c>
      <c r="C2264" s="1">
        <f t="shared" si="184"/>
        <v>4261</v>
      </c>
      <c r="D2264" s="1">
        <f t="shared" si="185"/>
        <v>716</v>
      </c>
      <c r="E2264" s="1">
        <f t="shared" si="186"/>
        <v>2140</v>
      </c>
      <c r="F2264" s="1">
        <f t="shared" si="182"/>
        <v>2150</v>
      </c>
      <c r="L2264" s="11">
        <v>45093</v>
      </c>
      <c r="M2264" s="9">
        <v>4261</v>
      </c>
      <c r="N2264" s="9">
        <v>716</v>
      </c>
      <c r="O2264" s="9">
        <v>2140</v>
      </c>
      <c r="P2264" s="9">
        <v>2150</v>
      </c>
      <c r="R2264" s="11"/>
      <c r="S2264" s="9"/>
      <c r="T2264" s="9"/>
      <c r="U2264" s="9"/>
    </row>
    <row r="2265" spans="2:21" x14ac:dyDescent="0.4">
      <c r="B2265" s="16">
        <f t="shared" si="183"/>
        <v>45096</v>
      </c>
      <c r="C2265" s="1">
        <f t="shared" si="184"/>
        <v>4241</v>
      </c>
      <c r="D2265" s="1">
        <f t="shared" si="185"/>
        <v>716</v>
      </c>
      <c r="E2265" s="1">
        <f t="shared" si="186"/>
        <v>2130</v>
      </c>
      <c r="F2265" s="1">
        <f t="shared" si="182"/>
        <v>2150</v>
      </c>
      <c r="L2265" s="11">
        <v>45096</v>
      </c>
      <c r="M2265" s="9">
        <v>4241</v>
      </c>
      <c r="N2265" s="9">
        <v>716</v>
      </c>
      <c r="O2265" s="9">
        <v>2130</v>
      </c>
      <c r="P2265" s="9">
        <v>2150</v>
      </c>
      <c r="R2265" s="11"/>
      <c r="S2265" s="9"/>
      <c r="T2265" s="9"/>
      <c r="U2265" s="9"/>
    </row>
    <row r="2266" spans="2:21" x14ac:dyDescent="0.4">
      <c r="B2266" s="16">
        <f t="shared" si="183"/>
        <v>45097</v>
      </c>
      <c r="C2266" s="1">
        <f t="shared" si="184"/>
        <v>4238</v>
      </c>
      <c r="D2266" s="1">
        <f t="shared" si="185"/>
        <v>716</v>
      </c>
      <c r="E2266" s="1">
        <f t="shared" si="186"/>
        <v>2150</v>
      </c>
      <c r="F2266" s="1">
        <f t="shared" si="182"/>
        <v>2150</v>
      </c>
      <c r="L2266" s="11">
        <v>45097</v>
      </c>
      <c r="M2266" s="9">
        <v>4238</v>
      </c>
      <c r="N2266" s="9">
        <v>716</v>
      </c>
      <c r="O2266" s="9">
        <v>2150</v>
      </c>
      <c r="P2266" s="9">
        <v>2150</v>
      </c>
      <c r="R2266" s="11"/>
      <c r="S2266" s="9"/>
      <c r="T2266" s="9"/>
      <c r="U2266" s="9"/>
    </row>
    <row r="2267" spans="2:21" x14ac:dyDescent="0.4">
      <c r="B2267" s="16">
        <f t="shared" si="183"/>
        <v>45098</v>
      </c>
      <c r="C2267" s="1">
        <f t="shared" si="184"/>
        <v>4250</v>
      </c>
      <c r="D2267" s="1">
        <f t="shared" si="185"/>
        <v>716</v>
      </c>
      <c r="E2267" s="1">
        <f t="shared" si="186"/>
        <v>2150</v>
      </c>
      <c r="F2267" s="1">
        <f t="shared" si="182"/>
        <v>2150</v>
      </c>
      <c r="L2267" s="11">
        <v>45098</v>
      </c>
      <c r="M2267" s="9">
        <v>4250</v>
      </c>
      <c r="N2267" s="9">
        <v>716</v>
      </c>
      <c r="O2267" s="9">
        <v>2150</v>
      </c>
      <c r="P2267" s="9">
        <v>2150</v>
      </c>
      <c r="R2267" s="11"/>
      <c r="S2267" s="9"/>
      <c r="T2267" s="9"/>
      <c r="U2267" s="9"/>
    </row>
    <row r="2268" spans="2:21" x14ac:dyDescent="0.4">
      <c r="B2268" s="16">
        <f t="shared" si="183"/>
        <v>45099</v>
      </c>
      <c r="C2268" s="1">
        <f t="shared" si="184"/>
        <v>4250</v>
      </c>
      <c r="D2268" s="1">
        <f t="shared" si="185"/>
        <v>716</v>
      </c>
      <c r="E2268" s="1">
        <f t="shared" si="186"/>
        <v>2150</v>
      </c>
      <c r="F2268" s="1">
        <f t="shared" si="182"/>
        <v>2150</v>
      </c>
      <c r="L2268" s="11">
        <v>45099</v>
      </c>
      <c r="M2268" s="9">
        <v>0</v>
      </c>
      <c r="N2268" s="9">
        <v>716</v>
      </c>
      <c r="O2268" s="9">
        <v>0</v>
      </c>
      <c r="P2268" s="9">
        <v>0</v>
      </c>
      <c r="R2268" s="11"/>
      <c r="S2268" s="9"/>
      <c r="T2268" s="9"/>
      <c r="U2268" s="9"/>
    </row>
    <row r="2269" spans="2:21" x14ac:dyDescent="0.4">
      <c r="B2269" s="16">
        <f t="shared" si="183"/>
        <v>45100</v>
      </c>
      <c r="C2269" s="1">
        <f t="shared" si="184"/>
        <v>4250</v>
      </c>
      <c r="D2269" s="1">
        <f t="shared" si="185"/>
        <v>731</v>
      </c>
      <c r="E2269" s="1">
        <f t="shared" si="186"/>
        <v>2150</v>
      </c>
      <c r="F2269" s="1">
        <f t="shared" si="182"/>
        <v>2150</v>
      </c>
      <c r="L2269" s="11">
        <v>45100</v>
      </c>
      <c r="M2269" s="9">
        <v>0</v>
      </c>
      <c r="N2269" s="9">
        <v>731</v>
      </c>
      <c r="O2269" s="9">
        <v>0</v>
      </c>
      <c r="P2269" s="9">
        <v>0</v>
      </c>
      <c r="R2269" s="11"/>
      <c r="S2269" s="9"/>
      <c r="T2269" s="9"/>
      <c r="U2269" s="9"/>
    </row>
    <row r="2270" spans="2:21" x14ac:dyDescent="0.4">
      <c r="B2270" s="16">
        <f t="shared" si="183"/>
        <v>45102</v>
      </c>
      <c r="C2270" s="1">
        <f t="shared" si="184"/>
        <v>4252</v>
      </c>
      <c r="D2270" s="1">
        <f t="shared" si="185"/>
        <v>731</v>
      </c>
      <c r="E2270" s="1">
        <f t="shared" si="186"/>
        <v>2150</v>
      </c>
      <c r="F2270" s="1">
        <f t="shared" si="182"/>
        <v>2150</v>
      </c>
      <c r="L2270" s="11">
        <v>45102</v>
      </c>
      <c r="M2270" s="9">
        <v>4252</v>
      </c>
      <c r="N2270" s="9">
        <v>0</v>
      </c>
      <c r="O2270" s="9">
        <v>2150</v>
      </c>
      <c r="P2270" s="9">
        <v>2150</v>
      </c>
      <c r="R2270" s="11"/>
      <c r="S2270" s="9"/>
      <c r="T2270" s="9"/>
      <c r="U2270" s="9"/>
    </row>
    <row r="2271" spans="2:21" x14ac:dyDescent="0.4">
      <c r="B2271" s="16">
        <f t="shared" si="183"/>
        <v>45103</v>
      </c>
      <c r="C2271" s="1">
        <f t="shared" si="184"/>
        <v>4240</v>
      </c>
      <c r="D2271" s="1">
        <f t="shared" si="185"/>
        <v>731</v>
      </c>
      <c r="E2271" s="1">
        <f t="shared" si="186"/>
        <v>2130</v>
      </c>
      <c r="F2271" s="1">
        <f t="shared" si="182"/>
        <v>2150</v>
      </c>
      <c r="L2271" s="11">
        <v>45103</v>
      </c>
      <c r="M2271" s="9">
        <v>4240</v>
      </c>
      <c r="N2271" s="9">
        <v>731</v>
      </c>
      <c r="O2271" s="9">
        <v>2130</v>
      </c>
      <c r="P2271" s="9">
        <v>2150</v>
      </c>
      <c r="R2271" s="11"/>
      <c r="S2271" s="9"/>
      <c r="T2271" s="9"/>
      <c r="U2271" s="9"/>
    </row>
    <row r="2272" spans="2:21" x14ac:dyDescent="0.4">
      <c r="B2272" s="16">
        <f t="shared" si="183"/>
        <v>45104</v>
      </c>
      <c r="C2272" s="1">
        <f t="shared" si="184"/>
        <v>4217</v>
      </c>
      <c r="D2272" s="1">
        <f t="shared" si="185"/>
        <v>731</v>
      </c>
      <c r="E2272" s="1">
        <f t="shared" si="186"/>
        <v>2130</v>
      </c>
      <c r="F2272" s="1">
        <f t="shared" si="182"/>
        <v>2150</v>
      </c>
      <c r="L2272" s="11">
        <v>45104</v>
      </c>
      <c r="M2272" s="9">
        <v>4217</v>
      </c>
      <c r="N2272" s="9">
        <v>731</v>
      </c>
      <c r="O2272" s="9">
        <v>2130</v>
      </c>
      <c r="P2272" s="9">
        <v>2150</v>
      </c>
      <c r="R2272" s="11"/>
      <c r="S2272" s="9"/>
      <c r="T2272" s="9"/>
      <c r="U2272" s="9"/>
    </row>
    <row r="2273" spans="2:21" x14ac:dyDescent="0.4">
      <c r="B2273" s="16">
        <f t="shared" si="183"/>
        <v>45105</v>
      </c>
      <c r="C2273" s="1">
        <f t="shared" si="184"/>
        <v>4222</v>
      </c>
      <c r="D2273" s="1">
        <f t="shared" si="185"/>
        <v>731</v>
      </c>
      <c r="E2273" s="1">
        <f t="shared" si="186"/>
        <v>2160</v>
      </c>
      <c r="F2273" s="1">
        <f t="shared" si="182"/>
        <v>2150</v>
      </c>
      <c r="L2273" s="11">
        <v>45105</v>
      </c>
      <c r="M2273" s="9">
        <v>4222</v>
      </c>
      <c r="N2273" s="9">
        <v>731</v>
      </c>
      <c r="O2273" s="9">
        <v>2160</v>
      </c>
      <c r="P2273" s="9">
        <v>2150</v>
      </c>
      <c r="R2273" s="11"/>
      <c r="S2273" s="9"/>
      <c r="T2273" s="9"/>
      <c r="U2273" s="9"/>
    </row>
    <row r="2274" spans="2:21" x14ac:dyDescent="0.4">
      <c r="B2274" s="16">
        <f t="shared" si="183"/>
        <v>45106</v>
      </c>
      <c r="C2274" s="1">
        <f t="shared" si="184"/>
        <v>4233</v>
      </c>
      <c r="D2274" s="1">
        <f t="shared" si="185"/>
        <v>751</v>
      </c>
      <c r="E2274" s="1">
        <f t="shared" si="186"/>
        <v>2190</v>
      </c>
      <c r="F2274" s="1">
        <f t="shared" si="182"/>
        <v>2150</v>
      </c>
      <c r="L2274" s="11">
        <v>45106</v>
      </c>
      <c r="M2274" s="9">
        <v>4233</v>
      </c>
      <c r="N2274" s="9">
        <v>751</v>
      </c>
      <c r="O2274" s="9">
        <v>2190</v>
      </c>
      <c r="P2274" s="9">
        <v>2150</v>
      </c>
      <c r="R2274" s="11"/>
      <c r="S2274" s="9"/>
      <c r="T2274" s="9"/>
      <c r="U2274" s="9"/>
    </row>
    <row r="2275" spans="2:21" x14ac:dyDescent="0.4">
      <c r="B2275" s="16">
        <f t="shared" si="183"/>
        <v>45107</v>
      </c>
      <c r="C2275" s="1">
        <f t="shared" si="184"/>
        <v>4244</v>
      </c>
      <c r="D2275" s="1">
        <f t="shared" si="185"/>
        <v>751</v>
      </c>
      <c r="E2275" s="1">
        <f t="shared" si="186"/>
        <v>2220</v>
      </c>
      <c r="F2275" s="1">
        <f t="shared" si="182"/>
        <v>2150</v>
      </c>
      <c r="L2275" s="11">
        <v>45107</v>
      </c>
      <c r="M2275" s="9">
        <v>4244</v>
      </c>
      <c r="N2275" s="9">
        <v>751</v>
      </c>
      <c r="O2275" s="9">
        <v>2220</v>
      </c>
      <c r="P2275" s="9">
        <v>2150</v>
      </c>
      <c r="R2275" s="11"/>
      <c r="S2275" s="9"/>
      <c r="T2275" s="9"/>
      <c r="U2275" s="9"/>
    </row>
    <row r="2276" spans="2:21" x14ac:dyDescent="0.4">
      <c r="B2276" s="16">
        <f t="shared" si="183"/>
        <v>45110</v>
      </c>
      <c r="C2276" s="1">
        <f t="shared" si="184"/>
        <v>4261</v>
      </c>
      <c r="D2276" s="1">
        <f t="shared" si="185"/>
        <v>751</v>
      </c>
      <c r="E2276" s="1">
        <f t="shared" si="186"/>
        <v>2275</v>
      </c>
      <c r="F2276" s="1">
        <f t="shared" si="182"/>
        <v>2150</v>
      </c>
      <c r="L2276" s="11">
        <v>45110</v>
      </c>
      <c r="M2276" s="9">
        <v>4261</v>
      </c>
      <c r="N2276" s="9">
        <v>751</v>
      </c>
      <c r="O2276" s="9">
        <v>2275</v>
      </c>
      <c r="P2276" s="9">
        <v>2150</v>
      </c>
      <c r="R2276" s="11"/>
      <c r="S2276" s="9"/>
      <c r="T2276" s="9"/>
      <c r="U2276" s="9"/>
    </row>
    <row r="2277" spans="2:21" x14ac:dyDescent="0.4">
      <c r="B2277" s="16">
        <f t="shared" si="183"/>
        <v>45111</v>
      </c>
      <c r="C2277" s="1">
        <f t="shared" si="184"/>
        <v>4270</v>
      </c>
      <c r="D2277" s="1">
        <f t="shared" si="185"/>
        <v>751</v>
      </c>
      <c r="E2277" s="1">
        <f t="shared" si="186"/>
        <v>2285</v>
      </c>
      <c r="F2277" s="1">
        <f t="shared" si="182"/>
        <v>2150</v>
      </c>
      <c r="L2277" s="11">
        <v>45111</v>
      </c>
      <c r="M2277" s="9">
        <v>4270</v>
      </c>
      <c r="N2277" s="9">
        <v>751</v>
      </c>
      <c r="O2277" s="9">
        <v>2285</v>
      </c>
      <c r="P2277" s="9">
        <v>2150</v>
      </c>
      <c r="R2277" s="11"/>
      <c r="S2277" s="9"/>
      <c r="T2277" s="9"/>
      <c r="U2277" s="9"/>
    </row>
    <row r="2278" spans="2:21" x14ac:dyDescent="0.4">
      <c r="B2278" s="16">
        <f t="shared" si="183"/>
        <v>45112</v>
      </c>
      <c r="C2278" s="1">
        <f t="shared" si="184"/>
        <v>4267</v>
      </c>
      <c r="D2278" s="1">
        <f t="shared" si="185"/>
        <v>751</v>
      </c>
      <c r="E2278" s="1">
        <f t="shared" si="186"/>
        <v>2290</v>
      </c>
      <c r="F2278" s="1">
        <f t="shared" si="182"/>
        <v>2150</v>
      </c>
      <c r="L2278" s="11">
        <v>45112</v>
      </c>
      <c r="M2278" s="9">
        <v>4267</v>
      </c>
      <c r="N2278" s="9">
        <v>751</v>
      </c>
      <c r="O2278" s="9">
        <v>2290</v>
      </c>
      <c r="P2278" s="9">
        <v>2150</v>
      </c>
      <c r="R2278" s="11"/>
      <c r="S2278" s="9"/>
      <c r="T2278" s="9"/>
      <c r="U2278" s="9"/>
    </row>
    <row r="2279" spans="2:21" x14ac:dyDescent="0.4">
      <c r="B2279" s="16">
        <f t="shared" si="183"/>
        <v>45113</v>
      </c>
      <c r="C2279" s="1">
        <f t="shared" si="184"/>
        <v>4273</v>
      </c>
      <c r="D2279" s="1">
        <f t="shared" si="185"/>
        <v>751</v>
      </c>
      <c r="E2279" s="1">
        <f t="shared" si="186"/>
        <v>2290</v>
      </c>
      <c r="F2279" s="1">
        <f t="shared" si="182"/>
        <v>2150</v>
      </c>
      <c r="L2279" s="11">
        <v>45113</v>
      </c>
      <c r="M2279" s="9">
        <v>4273</v>
      </c>
      <c r="N2279" s="9">
        <v>751</v>
      </c>
      <c r="O2279" s="9">
        <v>2290</v>
      </c>
      <c r="P2279" s="9">
        <v>2150</v>
      </c>
      <c r="R2279" s="11"/>
      <c r="S2279" s="9"/>
      <c r="T2279" s="9"/>
      <c r="U2279" s="9"/>
    </row>
    <row r="2280" spans="2:21" x14ac:dyDescent="0.4">
      <c r="B2280" s="16">
        <f t="shared" si="183"/>
        <v>45114</v>
      </c>
      <c r="C2280" s="1">
        <f t="shared" si="184"/>
        <v>4285</v>
      </c>
      <c r="D2280" s="1">
        <f t="shared" si="185"/>
        <v>751</v>
      </c>
      <c r="E2280" s="1">
        <f t="shared" si="186"/>
        <v>2290</v>
      </c>
      <c r="F2280" s="1">
        <f t="shared" si="182"/>
        <v>2150</v>
      </c>
      <c r="L2280" s="11">
        <v>45114</v>
      </c>
      <c r="M2280" s="9">
        <v>4285</v>
      </c>
      <c r="N2280" s="9">
        <v>751</v>
      </c>
      <c r="O2280" s="9">
        <v>2290</v>
      </c>
      <c r="P2280" s="9">
        <v>2150</v>
      </c>
      <c r="R2280" s="11"/>
      <c r="S2280" s="9"/>
      <c r="T2280" s="9"/>
      <c r="U2280" s="9"/>
    </row>
    <row r="2281" spans="2:21" x14ac:dyDescent="0.4">
      <c r="B2281" s="16">
        <f t="shared" si="183"/>
        <v>45117</v>
      </c>
      <c r="C2281" s="1">
        <f t="shared" si="184"/>
        <v>4317</v>
      </c>
      <c r="D2281" s="1">
        <f t="shared" si="185"/>
        <v>751</v>
      </c>
      <c r="E2281" s="1">
        <f t="shared" si="186"/>
        <v>2290</v>
      </c>
      <c r="F2281" s="1">
        <f t="shared" si="182"/>
        <v>2150</v>
      </c>
      <c r="L2281" s="11">
        <v>45117</v>
      </c>
      <c r="M2281" s="9">
        <v>4317</v>
      </c>
      <c r="N2281" s="9">
        <v>751</v>
      </c>
      <c r="O2281" s="9">
        <v>2290</v>
      </c>
      <c r="P2281" s="9">
        <v>2150</v>
      </c>
      <c r="R2281" s="11"/>
      <c r="S2281" s="9"/>
      <c r="T2281" s="9"/>
      <c r="U2281" s="9"/>
    </row>
    <row r="2282" spans="2:21" x14ac:dyDescent="0.4">
      <c r="B2282" s="16">
        <f t="shared" si="183"/>
        <v>45118</v>
      </c>
      <c r="C2282" s="1">
        <f t="shared" si="184"/>
        <v>4340</v>
      </c>
      <c r="D2282" s="1">
        <f t="shared" si="185"/>
        <v>751</v>
      </c>
      <c r="E2282" s="1">
        <f t="shared" si="186"/>
        <v>2310</v>
      </c>
      <c r="F2282" s="1">
        <f t="shared" si="182"/>
        <v>2150</v>
      </c>
      <c r="L2282" s="11">
        <v>45118</v>
      </c>
      <c r="M2282" s="9">
        <v>4340</v>
      </c>
      <c r="N2282" s="9">
        <v>751</v>
      </c>
      <c r="O2282" s="9">
        <v>2310</v>
      </c>
      <c r="P2282" s="9">
        <v>2150</v>
      </c>
      <c r="R2282" s="11"/>
      <c r="S2282" s="9"/>
      <c r="T2282" s="9"/>
      <c r="U2282" s="9"/>
    </row>
    <row r="2283" spans="2:21" x14ac:dyDescent="0.4">
      <c r="B2283" s="16">
        <f t="shared" si="183"/>
        <v>45119</v>
      </c>
      <c r="C2283" s="1">
        <f t="shared" si="184"/>
        <v>4360</v>
      </c>
      <c r="D2283" s="1">
        <f t="shared" si="185"/>
        <v>751</v>
      </c>
      <c r="E2283" s="1">
        <f t="shared" si="186"/>
        <v>2345</v>
      </c>
      <c r="F2283" s="1">
        <f t="shared" si="182"/>
        <v>2150</v>
      </c>
      <c r="L2283" s="11">
        <v>45119</v>
      </c>
      <c r="M2283" s="9">
        <v>4360</v>
      </c>
      <c r="N2283" s="9">
        <v>751</v>
      </c>
      <c r="O2283" s="9">
        <v>2345</v>
      </c>
      <c r="P2283" s="9">
        <v>2150</v>
      </c>
      <c r="R2283" s="11"/>
      <c r="S2283" s="9"/>
      <c r="T2283" s="9"/>
      <c r="U2283" s="9"/>
    </row>
    <row r="2284" spans="2:21" x14ac:dyDescent="0.4">
      <c r="B2284" s="16">
        <f t="shared" si="183"/>
        <v>45120</v>
      </c>
      <c r="C2284" s="1">
        <f t="shared" si="184"/>
        <v>4375</v>
      </c>
      <c r="D2284" s="1">
        <f t="shared" si="185"/>
        <v>751</v>
      </c>
      <c r="E2284" s="1">
        <f t="shared" si="186"/>
        <v>2390</v>
      </c>
      <c r="F2284" s="1">
        <f t="shared" si="182"/>
        <v>2150</v>
      </c>
      <c r="L2284" s="11">
        <v>45120</v>
      </c>
      <c r="M2284" s="9">
        <v>4375</v>
      </c>
      <c r="N2284" s="9">
        <v>751</v>
      </c>
      <c r="O2284" s="9">
        <v>2390</v>
      </c>
      <c r="P2284" s="9">
        <v>2150</v>
      </c>
      <c r="R2284" s="11"/>
      <c r="S2284" s="9"/>
      <c r="T2284" s="9"/>
      <c r="U2284" s="9"/>
    </row>
    <row r="2285" spans="2:21" x14ac:dyDescent="0.4">
      <c r="B2285" s="16">
        <f t="shared" si="183"/>
        <v>45121</v>
      </c>
      <c r="C2285" s="1">
        <f t="shared" si="184"/>
        <v>4405</v>
      </c>
      <c r="D2285" s="1">
        <f t="shared" si="185"/>
        <v>751</v>
      </c>
      <c r="E2285" s="1">
        <f t="shared" si="186"/>
        <v>2405</v>
      </c>
      <c r="F2285" s="1">
        <f t="shared" si="182"/>
        <v>2150</v>
      </c>
      <c r="L2285" s="11">
        <v>45121</v>
      </c>
      <c r="M2285" s="9">
        <v>4405</v>
      </c>
      <c r="N2285" s="9">
        <v>751</v>
      </c>
      <c r="O2285" s="9">
        <v>2405</v>
      </c>
      <c r="P2285" s="9">
        <v>2150</v>
      </c>
      <c r="R2285" s="11"/>
      <c r="S2285" s="9"/>
      <c r="T2285" s="9"/>
      <c r="U2285" s="9"/>
    </row>
    <row r="2286" spans="2:21" x14ac:dyDescent="0.4">
      <c r="B2286" s="16">
        <f t="shared" si="183"/>
        <v>45124</v>
      </c>
      <c r="C2286" s="1">
        <f t="shared" si="184"/>
        <v>4403</v>
      </c>
      <c r="D2286" s="1">
        <f t="shared" si="185"/>
        <v>751</v>
      </c>
      <c r="E2286" s="1">
        <f t="shared" si="186"/>
        <v>2405</v>
      </c>
      <c r="F2286" s="1">
        <f t="shared" si="182"/>
        <v>2150</v>
      </c>
      <c r="L2286" s="11">
        <v>45124</v>
      </c>
      <c r="M2286" s="9">
        <v>4403</v>
      </c>
      <c r="N2286" s="9">
        <v>751</v>
      </c>
      <c r="O2286" s="9">
        <v>2405</v>
      </c>
      <c r="P2286" s="9">
        <v>2150</v>
      </c>
      <c r="R2286" s="11"/>
      <c r="S2286" s="9"/>
      <c r="T2286" s="9"/>
      <c r="U2286" s="9"/>
    </row>
    <row r="2287" spans="2:21" x14ac:dyDescent="0.4">
      <c r="B2287" s="16">
        <f t="shared" si="183"/>
        <v>45125</v>
      </c>
      <c r="C2287" s="1">
        <f t="shared" si="184"/>
        <v>4397</v>
      </c>
      <c r="D2287" s="1">
        <f t="shared" si="185"/>
        <v>751</v>
      </c>
      <c r="E2287" s="1">
        <f t="shared" si="186"/>
        <v>2390</v>
      </c>
      <c r="F2287" s="1">
        <f t="shared" si="182"/>
        <v>2150</v>
      </c>
      <c r="L2287" s="11">
        <v>45125</v>
      </c>
      <c r="M2287" s="9">
        <v>4397</v>
      </c>
      <c r="N2287" s="9">
        <v>751</v>
      </c>
      <c r="O2287" s="9">
        <v>2390</v>
      </c>
      <c r="P2287" s="9">
        <v>2150</v>
      </c>
      <c r="R2287" s="11"/>
      <c r="S2287" s="9"/>
      <c r="T2287" s="9"/>
      <c r="U2287" s="9"/>
    </row>
    <row r="2288" spans="2:21" x14ac:dyDescent="0.4">
      <c r="B2288" s="16">
        <f t="shared" si="183"/>
        <v>45126</v>
      </c>
      <c r="C2288" s="1">
        <f t="shared" si="184"/>
        <v>4419</v>
      </c>
      <c r="D2288" s="1">
        <f t="shared" si="185"/>
        <v>771</v>
      </c>
      <c r="E2288" s="1">
        <f t="shared" si="186"/>
        <v>2385</v>
      </c>
      <c r="F2288" s="1">
        <f t="shared" si="182"/>
        <v>2150</v>
      </c>
      <c r="L2288" s="11">
        <v>45126</v>
      </c>
      <c r="M2288" s="9">
        <v>4419</v>
      </c>
      <c r="N2288" s="9">
        <v>771</v>
      </c>
      <c r="O2288" s="9">
        <v>2385</v>
      </c>
      <c r="P2288" s="9">
        <v>2150</v>
      </c>
      <c r="R2288" s="11"/>
      <c r="S2288" s="9"/>
      <c r="T2288" s="9"/>
      <c r="U2288" s="9"/>
    </row>
    <row r="2289" spans="2:21" x14ac:dyDescent="0.4">
      <c r="B2289" s="16">
        <f t="shared" si="183"/>
        <v>45127</v>
      </c>
      <c r="C2289" s="1">
        <f t="shared" si="184"/>
        <v>4424</v>
      </c>
      <c r="D2289" s="1">
        <f t="shared" si="185"/>
        <v>771</v>
      </c>
      <c r="E2289" s="1">
        <f t="shared" si="186"/>
        <v>2390</v>
      </c>
      <c r="F2289" s="1">
        <f t="shared" si="182"/>
        <v>2150</v>
      </c>
      <c r="L2289" s="11">
        <v>45127</v>
      </c>
      <c r="M2289" s="9">
        <v>4424</v>
      </c>
      <c r="N2289" s="9">
        <v>771</v>
      </c>
      <c r="O2289" s="9">
        <v>2390</v>
      </c>
      <c r="P2289" s="9">
        <v>2150</v>
      </c>
      <c r="R2289" s="11"/>
      <c r="S2289" s="9"/>
      <c r="T2289" s="9"/>
      <c r="U2289" s="9"/>
    </row>
    <row r="2290" spans="2:21" x14ac:dyDescent="0.4">
      <c r="B2290" s="16">
        <f t="shared" si="183"/>
        <v>45128</v>
      </c>
      <c r="C2290" s="1">
        <f t="shared" si="184"/>
        <v>4431</v>
      </c>
      <c r="D2290" s="1">
        <f t="shared" si="185"/>
        <v>771</v>
      </c>
      <c r="E2290" s="1">
        <f t="shared" si="186"/>
        <v>2410</v>
      </c>
      <c r="F2290" s="1">
        <f t="shared" ref="F2290:F2353" si="187">IF(P2290&lt;&gt;0,P2290,F2289)</f>
        <v>2150</v>
      </c>
      <c r="L2290" s="11">
        <v>45128</v>
      </c>
      <c r="M2290" s="9">
        <v>4431</v>
      </c>
      <c r="N2290" s="9">
        <v>771</v>
      </c>
      <c r="O2290" s="9">
        <v>2410</v>
      </c>
      <c r="P2290" s="9">
        <v>2150</v>
      </c>
      <c r="R2290" s="11"/>
      <c r="S2290" s="9"/>
      <c r="T2290" s="9"/>
      <c r="U2290" s="9"/>
    </row>
    <row r="2291" spans="2:21" x14ac:dyDescent="0.4">
      <c r="B2291" s="16">
        <f t="shared" si="183"/>
        <v>45131</v>
      </c>
      <c r="C2291" s="1">
        <f t="shared" si="184"/>
        <v>4422</v>
      </c>
      <c r="D2291" s="1">
        <f t="shared" si="185"/>
        <v>771</v>
      </c>
      <c r="E2291" s="1">
        <f t="shared" si="186"/>
        <v>2410</v>
      </c>
      <c r="F2291" s="1">
        <f t="shared" si="187"/>
        <v>2150</v>
      </c>
      <c r="L2291" s="11">
        <v>45131</v>
      </c>
      <c r="M2291" s="9">
        <v>4422</v>
      </c>
      <c r="N2291" s="9">
        <v>771</v>
      </c>
      <c r="O2291" s="9">
        <v>2410</v>
      </c>
      <c r="P2291" s="9">
        <v>2150</v>
      </c>
      <c r="R2291" s="11"/>
      <c r="S2291" s="9"/>
      <c r="T2291" s="9"/>
      <c r="U2291" s="9"/>
    </row>
    <row r="2292" spans="2:21" x14ac:dyDescent="0.4">
      <c r="B2292" s="16">
        <f t="shared" si="183"/>
        <v>45132</v>
      </c>
      <c r="C2292" s="1">
        <f t="shared" si="184"/>
        <v>4439</v>
      </c>
      <c r="D2292" s="1">
        <f t="shared" si="185"/>
        <v>771</v>
      </c>
      <c r="E2292" s="1">
        <f t="shared" si="186"/>
        <v>2410</v>
      </c>
      <c r="F2292" s="1">
        <f t="shared" si="187"/>
        <v>2150</v>
      </c>
      <c r="L2292" s="11">
        <v>45132</v>
      </c>
      <c r="M2292" s="9">
        <v>4439</v>
      </c>
      <c r="N2292" s="9">
        <v>771</v>
      </c>
      <c r="O2292" s="9">
        <v>2410</v>
      </c>
      <c r="P2292" s="9">
        <v>2150</v>
      </c>
      <c r="R2292" s="11"/>
      <c r="S2292" s="9"/>
      <c r="T2292" s="9"/>
      <c r="U2292" s="9"/>
    </row>
    <row r="2293" spans="2:21" x14ac:dyDescent="0.4">
      <c r="B2293" s="16">
        <f t="shared" si="183"/>
        <v>45133</v>
      </c>
      <c r="C2293" s="1">
        <f t="shared" si="184"/>
        <v>4473</v>
      </c>
      <c r="D2293" s="1">
        <f t="shared" si="185"/>
        <v>771</v>
      </c>
      <c r="E2293" s="1">
        <f t="shared" si="186"/>
        <v>2410</v>
      </c>
      <c r="F2293" s="1">
        <f t="shared" si="187"/>
        <v>2150</v>
      </c>
      <c r="L2293" s="11">
        <v>45133</v>
      </c>
      <c r="M2293" s="9">
        <v>4473</v>
      </c>
      <c r="N2293" s="9">
        <v>771</v>
      </c>
      <c r="O2293" s="9">
        <v>2410</v>
      </c>
      <c r="P2293" s="9">
        <v>2150</v>
      </c>
      <c r="R2293" s="11"/>
      <c r="S2293" s="9"/>
      <c r="T2293" s="9"/>
      <c r="U2293" s="9"/>
    </row>
    <row r="2294" spans="2:21" x14ac:dyDescent="0.4">
      <c r="B2294" s="16">
        <f t="shared" si="183"/>
        <v>45134</v>
      </c>
      <c r="C2294" s="1">
        <f t="shared" si="184"/>
        <v>4503</v>
      </c>
      <c r="D2294" s="1">
        <f t="shared" si="185"/>
        <v>771</v>
      </c>
      <c r="E2294" s="1">
        <f t="shared" si="186"/>
        <v>2520</v>
      </c>
      <c r="F2294" s="1">
        <f t="shared" si="187"/>
        <v>2150</v>
      </c>
      <c r="L2294" s="11">
        <v>45134</v>
      </c>
      <c r="M2294" s="9">
        <v>4503</v>
      </c>
      <c r="N2294" s="9">
        <v>771</v>
      </c>
      <c r="O2294" s="9">
        <v>2520</v>
      </c>
      <c r="P2294" s="9">
        <v>2150</v>
      </c>
      <c r="R2294" s="11"/>
      <c r="S2294" s="9"/>
      <c r="T2294" s="9"/>
      <c r="U2294" s="9"/>
    </row>
    <row r="2295" spans="2:21" x14ac:dyDescent="0.4">
      <c r="B2295" s="16">
        <f t="shared" si="183"/>
        <v>45135</v>
      </c>
      <c r="C2295" s="1">
        <f t="shared" si="184"/>
        <v>4547</v>
      </c>
      <c r="D2295" s="1">
        <f t="shared" si="185"/>
        <v>776</v>
      </c>
      <c r="E2295" s="1">
        <f t="shared" si="186"/>
        <v>2610</v>
      </c>
      <c r="F2295" s="1">
        <f t="shared" si="187"/>
        <v>2200</v>
      </c>
      <c r="L2295" s="11">
        <v>45135</v>
      </c>
      <c r="M2295" s="9">
        <v>4547</v>
      </c>
      <c r="N2295" s="9">
        <v>776</v>
      </c>
      <c r="O2295" s="9">
        <v>2610</v>
      </c>
      <c r="P2295" s="9">
        <v>2200</v>
      </c>
      <c r="R2295" s="11"/>
      <c r="S2295" s="9"/>
      <c r="T2295" s="9"/>
      <c r="U2295" s="9"/>
    </row>
    <row r="2296" spans="2:21" x14ac:dyDescent="0.4">
      <c r="B2296" s="16">
        <f t="shared" si="183"/>
        <v>45138</v>
      </c>
      <c r="C2296" s="1">
        <f t="shared" si="184"/>
        <v>4607</v>
      </c>
      <c r="D2296" s="1">
        <f t="shared" si="185"/>
        <v>776</v>
      </c>
      <c r="E2296" s="1">
        <f t="shared" si="186"/>
        <v>2605</v>
      </c>
      <c r="F2296" s="1">
        <f t="shared" si="187"/>
        <v>2200</v>
      </c>
      <c r="L2296" s="11">
        <v>45138</v>
      </c>
      <c r="M2296" s="9">
        <v>4607</v>
      </c>
      <c r="N2296" s="9">
        <v>776</v>
      </c>
      <c r="O2296" s="9">
        <v>2605</v>
      </c>
      <c r="P2296" s="9">
        <v>2200</v>
      </c>
      <c r="R2296" s="11"/>
      <c r="S2296" s="9"/>
      <c r="T2296" s="9"/>
      <c r="U2296" s="9"/>
    </row>
    <row r="2297" spans="2:21" x14ac:dyDescent="0.4">
      <c r="B2297" s="16">
        <f t="shared" si="183"/>
        <v>45139</v>
      </c>
      <c r="C2297" s="1">
        <f t="shared" si="184"/>
        <v>4622</v>
      </c>
      <c r="D2297" s="1">
        <f t="shared" si="185"/>
        <v>776</v>
      </c>
      <c r="E2297" s="1">
        <f t="shared" si="186"/>
        <v>2575</v>
      </c>
      <c r="F2297" s="1">
        <f t="shared" si="187"/>
        <v>2200</v>
      </c>
      <c r="L2297" s="11">
        <v>45139</v>
      </c>
      <c r="M2297" s="9">
        <v>4622</v>
      </c>
      <c r="N2297" s="9">
        <v>776</v>
      </c>
      <c r="O2297" s="9">
        <v>2575</v>
      </c>
      <c r="P2297" s="9">
        <v>2200</v>
      </c>
      <c r="R2297" s="11"/>
      <c r="S2297" s="9"/>
      <c r="T2297" s="9"/>
      <c r="U2297" s="9"/>
    </row>
    <row r="2298" spans="2:21" x14ac:dyDescent="0.4">
      <c r="B2298" s="16">
        <f t="shared" si="183"/>
        <v>45140</v>
      </c>
      <c r="C2298" s="1">
        <f t="shared" si="184"/>
        <v>4636</v>
      </c>
      <c r="D2298" s="1">
        <f t="shared" si="185"/>
        <v>791</v>
      </c>
      <c r="E2298" s="1">
        <f t="shared" si="186"/>
        <v>2545</v>
      </c>
      <c r="F2298" s="1">
        <f t="shared" si="187"/>
        <v>2200</v>
      </c>
      <c r="L2298" s="11">
        <v>45140</v>
      </c>
      <c r="M2298" s="9">
        <v>4636</v>
      </c>
      <c r="N2298" s="9">
        <v>791</v>
      </c>
      <c r="O2298" s="9">
        <v>2545</v>
      </c>
      <c r="P2298" s="9">
        <v>2200</v>
      </c>
      <c r="R2298" s="11"/>
      <c r="S2298" s="9"/>
      <c r="T2298" s="9"/>
      <c r="U2298" s="9"/>
    </row>
    <row r="2299" spans="2:21" x14ac:dyDescent="0.4">
      <c r="B2299" s="16">
        <f t="shared" si="183"/>
        <v>45141</v>
      </c>
      <c r="C2299" s="1">
        <f t="shared" si="184"/>
        <v>4627</v>
      </c>
      <c r="D2299" s="1">
        <f t="shared" si="185"/>
        <v>811</v>
      </c>
      <c r="E2299" s="1">
        <f t="shared" si="186"/>
        <v>2535</v>
      </c>
      <c r="F2299" s="1">
        <f t="shared" si="187"/>
        <v>2200</v>
      </c>
      <c r="L2299" s="11">
        <v>45141</v>
      </c>
      <c r="M2299" s="9">
        <v>4627</v>
      </c>
      <c r="N2299" s="9">
        <v>811</v>
      </c>
      <c r="O2299" s="9">
        <v>2535</v>
      </c>
      <c r="P2299" s="9">
        <v>2200</v>
      </c>
      <c r="R2299" s="11"/>
      <c r="S2299" s="9"/>
      <c r="T2299" s="9"/>
      <c r="U2299" s="9"/>
    </row>
    <row r="2300" spans="2:21" x14ac:dyDescent="0.4">
      <c r="B2300" s="16">
        <f t="shared" si="183"/>
        <v>45142</v>
      </c>
      <c r="C2300" s="1">
        <f t="shared" si="184"/>
        <v>4627</v>
      </c>
      <c r="D2300" s="1">
        <f t="shared" si="185"/>
        <v>811</v>
      </c>
      <c r="E2300" s="1">
        <f t="shared" si="186"/>
        <v>2525</v>
      </c>
      <c r="F2300" s="1">
        <f t="shared" si="187"/>
        <v>2200</v>
      </c>
      <c r="L2300" s="11">
        <v>45142</v>
      </c>
      <c r="M2300" s="9">
        <v>4627</v>
      </c>
      <c r="N2300" s="9">
        <v>811</v>
      </c>
      <c r="O2300" s="9">
        <v>2525</v>
      </c>
      <c r="P2300" s="9">
        <v>2200</v>
      </c>
      <c r="R2300" s="11"/>
      <c r="S2300" s="9"/>
      <c r="T2300" s="9"/>
      <c r="U2300" s="9"/>
    </row>
    <row r="2301" spans="2:21" x14ac:dyDescent="0.4">
      <c r="B2301" s="16">
        <f t="shared" si="183"/>
        <v>45145</v>
      </c>
      <c r="C2301" s="1">
        <f t="shared" si="184"/>
        <v>4598</v>
      </c>
      <c r="D2301" s="1">
        <f t="shared" si="185"/>
        <v>811</v>
      </c>
      <c r="E2301" s="1">
        <f t="shared" si="186"/>
        <v>2485</v>
      </c>
      <c r="F2301" s="1">
        <f t="shared" si="187"/>
        <v>2250</v>
      </c>
      <c r="L2301" s="11">
        <v>45145</v>
      </c>
      <c r="M2301" s="9">
        <v>4598</v>
      </c>
      <c r="N2301" s="9">
        <v>811</v>
      </c>
      <c r="O2301" s="9">
        <v>2485</v>
      </c>
      <c r="P2301" s="9">
        <v>2250</v>
      </c>
      <c r="R2301" s="11"/>
      <c r="S2301" s="9"/>
      <c r="T2301" s="9"/>
      <c r="U2301" s="9"/>
    </row>
    <row r="2302" spans="2:21" x14ac:dyDescent="0.4">
      <c r="B2302" s="16">
        <f t="shared" si="183"/>
        <v>45146</v>
      </c>
      <c r="C2302" s="1">
        <f t="shared" si="184"/>
        <v>4592</v>
      </c>
      <c r="D2302" s="1">
        <f t="shared" si="185"/>
        <v>811</v>
      </c>
      <c r="E2302" s="1">
        <f t="shared" si="186"/>
        <v>2475</v>
      </c>
      <c r="F2302" s="1">
        <f t="shared" si="187"/>
        <v>2250</v>
      </c>
      <c r="L2302" s="11">
        <v>45146</v>
      </c>
      <c r="M2302" s="9">
        <v>4592</v>
      </c>
      <c r="N2302" s="9">
        <v>811</v>
      </c>
      <c r="O2302" s="9">
        <v>2475</v>
      </c>
      <c r="P2302" s="9">
        <v>2250</v>
      </c>
      <c r="R2302" s="11"/>
      <c r="S2302" s="9"/>
      <c r="T2302" s="9"/>
      <c r="U2302" s="9"/>
    </row>
    <row r="2303" spans="2:21" x14ac:dyDescent="0.4">
      <c r="B2303" s="16">
        <f t="shared" si="183"/>
        <v>45147</v>
      </c>
      <c r="C2303" s="1">
        <f t="shared" si="184"/>
        <v>4609</v>
      </c>
      <c r="D2303" s="1">
        <f t="shared" si="185"/>
        <v>811</v>
      </c>
      <c r="E2303" s="1">
        <f t="shared" si="186"/>
        <v>2480</v>
      </c>
      <c r="F2303" s="1">
        <f t="shared" si="187"/>
        <v>2250</v>
      </c>
      <c r="L2303" s="11">
        <v>45147</v>
      </c>
      <c r="M2303" s="9">
        <v>4609</v>
      </c>
      <c r="N2303" s="9">
        <v>811</v>
      </c>
      <c r="O2303" s="9">
        <v>2480</v>
      </c>
      <c r="P2303" s="9">
        <v>2250</v>
      </c>
      <c r="R2303" s="11"/>
      <c r="S2303" s="9"/>
      <c r="T2303" s="9"/>
      <c r="U2303" s="9"/>
    </row>
    <row r="2304" spans="2:21" x14ac:dyDescent="0.4">
      <c r="B2304" s="16">
        <f t="shared" si="183"/>
        <v>45148</v>
      </c>
      <c r="C2304" s="1">
        <f t="shared" si="184"/>
        <v>4625</v>
      </c>
      <c r="D2304" s="1">
        <f t="shared" si="185"/>
        <v>811</v>
      </c>
      <c r="E2304" s="1">
        <f t="shared" si="186"/>
        <v>2520</v>
      </c>
      <c r="F2304" s="1">
        <f t="shared" si="187"/>
        <v>2250</v>
      </c>
      <c r="L2304" s="11">
        <v>45148</v>
      </c>
      <c r="M2304" s="9">
        <v>4625</v>
      </c>
      <c r="N2304" s="9">
        <v>811</v>
      </c>
      <c r="O2304" s="9">
        <v>2520</v>
      </c>
      <c r="P2304" s="9">
        <v>2250</v>
      </c>
      <c r="R2304" s="11"/>
      <c r="S2304" s="9"/>
      <c r="T2304" s="9"/>
      <c r="U2304" s="9"/>
    </row>
    <row r="2305" spans="2:21" x14ac:dyDescent="0.4">
      <c r="B2305" s="16">
        <f t="shared" si="183"/>
        <v>45149</v>
      </c>
      <c r="C2305" s="1">
        <f t="shared" si="184"/>
        <v>4644</v>
      </c>
      <c r="D2305" s="1">
        <f t="shared" si="185"/>
        <v>811</v>
      </c>
      <c r="E2305" s="1">
        <f t="shared" si="186"/>
        <v>2540</v>
      </c>
      <c r="F2305" s="1">
        <f t="shared" si="187"/>
        <v>2250</v>
      </c>
      <c r="L2305" s="11">
        <v>45149</v>
      </c>
      <c r="M2305" s="9">
        <v>4644</v>
      </c>
      <c r="N2305" s="9">
        <v>811</v>
      </c>
      <c r="O2305" s="9">
        <v>2540</v>
      </c>
      <c r="P2305" s="9">
        <v>2250</v>
      </c>
      <c r="R2305" s="11"/>
      <c r="S2305" s="9"/>
      <c r="T2305" s="9"/>
      <c r="U2305" s="9"/>
    </row>
    <row r="2306" spans="2:21" x14ac:dyDescent="0.4">
      <c r="B2306" s="16">
        <f t="shared" si="183"/>
        <v>45152</v>
      </c>
      <c r="C2306" s="1">
        <f t="shared" si="184"/>
        <v>4638</v>
      </c>
      <c r="D2306" s="1">
        <f t="shared" si="185"/>
        <v>831</v>
      </c>
      <c r="E2306" s="1">
        <f t="shared" si="186"/>
        <v>2540</v>
      </c>
      <c r="F2306" s="1">
        <f t="shared" si="187"/>
        <v>2250</v>
      </c>
      <c r="L2306" s="11">
        <v>45152</v>
      </c>
      <c r="M2306" s="9">
        <v>4638</v>
      </c>
      <c r="N2306" s="9">
        <v>831</v>
      </c>
      <c r="O2306" s="9">
        <v>2540</v>
      </c>
      <c r="P2306" s="9">
        <v>2250</v>
      </c>
      <c r="R2306" s="11"/>
      <c r="S2306" s="9"/>
      <c r="T2306" s="9"/>
      <c r="U2306" s="9"/>
    </row>
    <row r="2307" spans="2:21" x14ac:dyDescent="0.4">
      <c r="B2307" s="16">
        <f t="shared" si="183"/>
        <v>45153</v>
      </c>
      <c r="C2307" s="1">
        <f t="shared" si="184"/>
        <v>4642</v>
      </c>
      <c r="D2307" s="1">
        <f t="shared" si="185"/>
        <v>831</v>
      </c>
      <c r="E2307" s="1">
        <f t="shared" si="186"/>
        <v>2555</v>
      </c>
      <c r="F2307" s="1">
        <f t="shared" si="187"/>
        <v>2250</v>
      </c>
      <c r="L2307" s="11">
        <v>45153</v>
      </c>
      <c r="M2307" s="9">
        <v>4642</v>
      </c>
      <c r="N2307" s="9">
        <v>831</v>
      </c>
      <c r="O2307" s="9">
        <v>2555</v>
      </c>
      <c r="P2307" s="9">
        <v>2250</v>
      </c>
      <c r="R2307" s="11"/>
      <c r="S2307" s="9"/>
      <c r="T2307" s="9"/>
      <c r="U2307" s="9"/>
    </row>
    <row r="2308" spans="2:21" x14ac:dyDescent="0.4">
      <c r="B2308" s="16">
        <f t="shared" si="183"/>
        <v>45154</v>
      </c>
      <c r="C2308" s="1">
        <f t="shared" si="184"/>
        <v>4657</v>
      </c>
      <c r="D2308" s="1">
        <f t="shared" si="185"/>
        <v>831</v>
      </c>
      <c r="E2308" s="1">
        <f t="shared" si="186"/>
        <v>2570</v>
      </c>
      <c r="F2308" s="1">
        <f t="shared" si="187"/>
        <v>2250</v>
      </c>
      <c r="L2308" s="11">
        <v>45154</v>
      </c>
      <c r="M2308" s="9">
        <v>4657</v>
      </c>
      <c r="N2308" s="9">
        <v>831</v>
      </c>
      <c r="O2308" s="9">
        <v>2570</v>
      </c>
      <c r="P2308" s="9">
        <v>2250</v>
      </c>
      <c r="R2308" s="11"/>
      <c r="S2308" s="9"/>
      <c r="T2308" s="9"/>
      <c r="U2308" s="9"/>
    </row>
    <row r="2309" spans="2:21" x14ac:dyDescent="0.4">
      <c r="B2309" s="16">
        <f t="shared" si="183"/>
        <v>45155</v>
      </c>
      <c r="C2309" s="1">
        <f t="shared" si="184"/>
        <v>4657</v>
      </c>
      <c r="D2309" s="1">
        <f t="shared" si="185"/>
        <v>831</v>
      </c>
      <c r="E2309" s="1">
        <f t="shared" si="186"/>
        <v>2590</v>
      </c>
      <c r="F2309" s="1">
        <f t="shared" si="187"/>
        <v>2300</v>
      </c>
      <c r="L2309" s="11">
        <v>45155</v>
      </c>
      <c r="M2309" s="9">
        <v>4657</v>
      </c>
      <c r="N2309" s="9">
        <v>831</v>
      </c>
      <c r="O2309" s="9">
        <v>2590</v>
      </c>
      <c r="P2309" s="9">
        <v>2300</v>
      </c>
      <c r="R2309" s="11"/>
      <c r="S2309" s="9"/>
      <c r="T2309" s="9"/>
      <c r="U2309" s="9"/>
    </row>
    <row r="2310" spans="2:21" x14ac:dyDescent="0.4">
      <c r="B2310" s="16">
        <f t="shared" ref="B2310:B2373" si="188">L2310</f>
        <v>45156</v>
      </c>
      <c r="C2310" s="1">
        <f t="shared" si="184"/>
        <v>4669</v>
      </c>
      <c r="D2310" s="1">
        <f t="shared" si="185"/>
        <v>831</v>
      </c>
      <c r="E2310" s="1">
        <f t="shared" si="186"/>
        <v>2595</v>
      </c>
      <c r="F2310" s="1">
        <f t="shared" si="187"/>
        <v>2300</v>
      </c>
      <c r="L2310" s="11">
        <v>45156</v>
      </c>
      <c r="M2310" s="9">
        <v>4669</v>
      </c>
      <c r="N2310" s="9">
        <v>831</v>
      </c>
      <c r="O2310" s="9">
        <v>2595</v>
      </c>
      <c r="P2310" s="9">
        <v>2300</v>
      </c>
      <c r="R2310" s="11"/>
      <c r="S2310" s="9"/>
      <c r="T2310" s="9"/>
      <c r="U2310" s="9"/>
    </row>
    <row r="2311" spans="2:21" x14ac:dyDescent="0.4">
      <c r="B2311" s="16">
        <f t="shared" si="188"/>
        <v>45159</v>
      </c>
      <c r="C2311" s="1">
        <f t="shared" ref="C2311:C2374" si="189">IF(M2311&lt;&gt;0,M2311,C2310)</f>
        <v>4710</v>
      </c>
      <c r="D2311" s="1">
        <f t="shared" ref="D2311:D2374" si="190">IF(N2311&lt;&gt;0,N2311,D2310)</f>
        <v>831</v>
      </c>
      <c r="E2311" s="1">
        <f t="shared" ref="E2311:E2374" si="191">IF(O2311&lt;&gt;0,O2311,E2310)</f>
        <v>2595</v>
      </c>
      <c r="F2311" s="1">
        <f t="shared" si="187"/>
        <v>2300</v>
      </c>
      <c r="L2311" s="11">
        <v>45159</v>
      </c>
      <c r="M2311" s="9">
        <v>4710</v>
      </c>
      <c r="N2311" s="9">
        <v>831</v>
      </c>
      <c r="O2311" s="9">
        <v>2595</v>
      </c>
      <c r="P2311" s="9">
        <v>2300</v>
      </c>
      <c r="R2311" s="11"/>
      <c r="S2311" s="9"/>
      <c r="T2311" s="9"/>
      <c r="U2311" s="9"/>
    </row>
    <row r="2312" spans="2:21" x14ac:dyDescent="0.4">
      <c r="B2312" s="16">
        <f t="shared" si="188"/>
        <v>45160</v>
      </c>
      <c r="C2312" s="1">
        <f t="shared" si="189"/>
        <v>4740</v>
      </c>
      <c r="D2312" s="1">
        <f t="shared" si="190"/>
        <v>831</v>
      </c>
      <c r="E2312" s="1">
        <f t="shared" si="191"/>
        <v>2580</v>
      </c>
      <c r="F2312" s="1">
        <f t="shared" si="187"/>
        <v>2550</v>
      </c>
      <c r="L2312" s="11">
        <v>45160</v>
      </c>
      <c r="M2312" s="9">
        <v>4740</v>
      </c>
      <c r="N2312" s="9">
        <v>831</v>
      </c>
      <c r="O2312" s="9">
        <v>2580</v>
      </c>
      <c r="P2312" s="9">
        <v>2550</v>
      </c>
      <c r="R2312" s="11"/>
      <c r="S2312" s="9"/>
      <c r="T2312" s="9"/>
      <c r="U2312" s="9"/>
    </row>
    <row r="2313" spans="2:21" x14ac:dyDescent="0.4">
      <c r="B2313" s="16">
        <f t="shared" si="188"/>
        <v>45161</v>
      </c>
      <c r="C2313" s="1">
        <f t="shared" si="189"/>
        <v>4765</v>
      </c>
      <c r="D2313" s="1">
        <f t="shared" si="190"/>
        <v>831</v>
      </c>
      <c r="E2313" s="1">
        <f t="shared" si="191"/>
        <v>2580</v>
      </c>
      <c r="F2313" s="1">
        <f t="shared" si="187"/>
        <v>2550</v>
      </c>
      <c r="L2313" s="11">
        <v>45161</v>
      </c>
      <c r="M2313" s="9">
        <v>4765</v>
      </c>
      <c r="N2313" s="9">
        <v>831</v>
      </c>
      <c r="O2313" s="9">
        <v>2580</v>
      </c>
      <c r="P2313" s="9">
        <v>2550</v>
      </c>
      <c r="R2313" s="11"/>
      <c r="S2313" s="9"/>
      <c r="T2313" s="9"/>
      <c r="U2313" s="9"/>
    </row>
    <row r="2314" spans="2:21" x14ac:dyDescent="0.4">
      <c r="B2314" s="16">
        <f t="shared" si="188"/>
        <v>45162</v>
      </c>
      <c r="C2314" s="1">
        <f t="shared" si="189"/>
        <v>4779</v>
      </c>
      <c r="D2314" s="1">
        <f t="shared" si="190"/>
        <v>831</v>
      </c>
      <c r="E2314" s="1">
        <f t="shared" si="191"/>
        <v>2600</v>
      </c>
      <c r="F2314" s="1">
        <f t="shared" si="187"/>
        <v>2550</v>
      </c>
      <c r="L2314" s="11">
        <v>45162</v>
      </c>
      <c r="M2314" s="9">
        <v>4779</v>
      </c>
      <c r="N2314" s="9">
        <v>831</v>
      </c>
      <c r="O2314" s="9">
        <v>2600</v>
      </c>
      <c r="P2314" s="9">
        <v>2550</v>
      </c>
      <c r="R2314" s="11"/>
      <c r="S2314" s="9"/>
      <c r="T2314" s="9"/>
      <c r="U2314" s="9"/>
    </row>
    <row r="2315" spans="2:21" x14ac:dyDescent="0.4">
      <c r="B2315" s="16">
        <f t="shared" si="188"/>
        <v>45163</v>
      </c>
      <c r="C2315" s="1">
        <f t="shared" si="189"/>
        <v>4795</v>
      </c>
      <c r="D2315" s="1">
        <f t="shared" si="190"/>
        <v>831</v>
      </c>
      <c r="E2315" s="1">
        <f t="shared" si="191"/>
        <v>2605</v>
      </c>
      <c r="F2315" s="1">
        <f t="shared" si="187"/>
        <v>3000</v>
      </c>
      <c r="L2315" s="11">
        <v>45163</v>
      </c>
      <c r="M2315" s="9">
        <v>4795</v>
      </c>
      <c r="N2315" s="9">
        <v>831</v>
      </c>
      <c r="O2315" s="9">
        <v>2605</v>
      </c>
      <c r="P2315" s="9">
        <v>3000</v>
      </c>
      <c r="R2315" s="11"/>
      <c r="S2315" s="9"/>
      <c r="T2315" s="9"/>
      <c r="U2315" s="9"/>
    </row>
    <row r="2316" spans="2:21" x14ac:dyDescent="0.4">
      <c r="B2316" s="16">
        <f t="shared" si="188"/>
        <v>45166</v>
      </c>
      <c r="C2316" s="1">
        <f t="shared" si="189"/>
        <v>4812</v>
      </c>
      <c r="D2316" s="1">
        <f t="shared" si="190"/>
        <v>831</v>
      </c>
      <c r="E2316" s="1">
        <f t="shared" si="191"/>
        <v>2605</v>
      </c>
      <c r="F2316" s="1">
        <f t="shared" si="187"/>
        <v>3100</v>
      </c>
      <c r="L2316" s="11">
        <v>45166</v>
      </c>
      <c r="M2316" s="9">
        <v>4812</v>
      </c>
      <c r="N2316" s="9">
        <v>831</v>
      </c>
      <c r="O2316" s="9">
        <v>2605</v>
      </c>
      <c r="P2316" s="9">
        <v>3100</v>
      </c>
      <c r="R2316" s="11"/>
      <c r="S2316" s="9"/>
      <c r="T2316" s="9"/>
      <c r="U2316" s="9"/>
    </row>
    <row r="2317" spans="2:21" x14ac:dyDescent="0.4">
      <c r="B2317" s="16">
        <f t="shared" si="188"/>
        <v>45167</v>
      </c>
      <c r="C2317" s="1">
        <f t="shared" si="189"/>
        <v>4818</v>
      </c>
      <c r="D2317" s="1">
        <f t="shared" si="190"/>
        <v>831</v>
      </c>
      <c r="E2317" s="1">
        <f t="shared" si="191"/>
        <v>2600</v>
      </c>
      <c r="F2317" s="1">
        <f t="shared" si="187"/>
        <v>3100</v>
      </c>
      <c r="L2317" s="11">
        <v>45167</v>
      </c>
      <c r="M2317" s="9">
        <v>4818</v>
      </c>
      <c r="N2317" s="9">
        <v>831</v>
      </c>
      <c r="O2317" s="9">
        <v>2600</v>
      </c>
      <c r="P2317" s="9">
        <v>3100</v>
      </c>
      <c r="R2317" s="11"/>
      <c r="S2317" s="9"/>
      <c r="T2317" s="9"/>
      <c r="U2317" s="9"/>
    </row>
    <row r="2318" spans="2:21" x14ac:dyDescent="0.4">
      <c r="B2318" s="16">
        <f t="shared" si="188"/>
        <v>45168</v>
      </c>
      <c r="C2318" s="1">
        <f t="shared" si="189"/>
        <v>4835</v>
      </c>
      <c r="D2318" s="1">
        <f t="shared" si="190"/>
        <v>831</v>
      </c>
      <c r="E2318" s="1">
        <f t="shared" si="191"/>
        <v>2595</v>
      </c>
      <c r="F2318" s="1">
        <f t="shared" si="187"/>
        <v>3100</v>
      </c>
      <c r="L2318" s="11">
        <v>45168</v>
      </c>
      <c r="M2318" s="9">
        <v>4835</v>
      </c>
      <c r="N2318" s="9">
        <v>831</v>
      </c>
      <c r="O2318" s="9">
        <v>2595</v>
      </c>
      <c r="P2318" s="9">
        <v>3100</v>
      </c>
      <c r="R2318" s="11"/>
      <c r="S2318" s="9"/>
      <c r="T2318" s="9"/>
      <c r="U2318" s="9"/>
    </row>
    <row r="2319" spans="2:21" x14ac:dyDescent="0.4">
      <c r="B2319" s="16">
        <f t="shared" si="188"/>
        <v>45169</v>
      </c>
      <c r="C2319" s="1">
        <f t="shared" si="189"/>
        <v>4846</v>
      </c>
      <c r="D2319" s="1">
        <f t="shared" si="190"/>
        <v>831</v>
      </c>
      <c r="E2319" s="1">
        <f t="shared" si="191"/>
        <v>2605</v>
      </c>
      <c r="F2319" s="1">
        <f t="shared" si="187"/>
        <v>3150</v>
      </c>
      <c r="L2319" s="11">
        <v>45169</v>
      </c>
      <c r="M2319" s="9">
        <v>4846</v>
      </c>
      <c r="N2319" s="9">
        <v>831</v>
      </c>
      <c r="O2319" s="9">
        <v>2605</v>
      </c>
      <c r="P2319" s="9">
        <v>3150</v>
      </c>
      <c r="R2319" s="11"/>
      <c r="S2319" s="9"/>
      <c r="T2319" s="9"/>
      <c r="U2319" s="9"/>
    </row>
    <row r="2320" spans="2:21" x14ac:dyDescent="0.4">
      <c r="B2320" s="16">
        <f t="shared" si="188"/>
        <v>45170</v>
      </c>
      <c r="C2320" s="1">
        <f t="shared" si="189"/>
        <v>4873</v>
      </c>
      <c r="D2320" s="1">
        <f t="shared" si="190"/>
        <v>831</v>
      </c>
      <c r="E2320" s="1">
        <f t="shared" si="191"/>
        <v>2605</v>
      </c>
      <c r="F2320" s="1">
        <f t="shared" si="187"/>
        <v>3150</v>
      </c>
      <c r="L2320" s="11">
        <v>45170</v>
      </c>
      <c r="M2320" s="9">
        <v>4873</v>
      </c>
      <c r="N2320" s="9">
        <v>0</v>
      </c>
      <c r="O2320" s="9">
        <v>2605</v>
      </c>
      <c r="P2320" s="9">
        <v>3150</v>
      </c>
      <c r="R2320" s="11"/>
      <c r="S2320" s="9"/>
      <c r="T2320" s="9"/>
      <c r="U2320" s="9"/>
    </row>
    <row r="2321" spans="2:21" x14ac:dyDescent="0.4">
      <c r="B2321" s="16">
        <f t="shared" si="188"/>
        <v>45173</v>
      </c>
      <c r="C2321" s="1">
        <f t="shared" si="189"/>
        <v>4904</v>
      </c>
      <c r="D2321" s="1">
        <f t="shared" si="190"/>
        <v>821</v>
      </c>
      <c r="E2321" s="1">
        <f t="shared" si="191"/>
        <v>2650</v>
      </c>
      <c r="F2321" s="1">
        <f t="shared" si="187"/>
        <v>3200</v>
      </c>
      <c r="L2321" s="11">
        <v>45173</v>
      </c>
      <c r="M2321" s="9">
        <v>4904</v>
      </c>
      <c r="N2321" s="9">
        <v>821</v>
      </c>
      <c r="O2321" s="9">
        <v>2650</v>
      </c>
      <c r="P2321" s="9">
        <v>3200</v>
      </c>
      <c r="R2321" s="11"/>
      <c r="S2321" s="9"/>
      <c r="T2321" s="9"/>
      <c r="U2321" s="9"/>
    </row>
    <row r="2322" spans="2:21" x14ac:dyDescent="0.4">
      <c r="B2322" s="16">
        <f t="shared" si="188"/>
        <v>45174</v>
      </c>
      <c r="C2322" s="1">
        <f t="shared" si="189"/>
        <v>4915</v>
      </c>
      <c r="D2322" s="1">
        <f t="shared" si="190"/>
        <v>821</v>
      </c>
      <c r="E2322" s="1">
        <f t="shared" si="191"/>
        <v>2650</v>
      </c>
      <c r="F2322" s="1">
        <f t="shared" si="187"/>
        <v>3200</v>
      </c>
      <c r="L2322" s="11">
        <v>45174</v>
      </c>
      <c r="M2322" s="9">
        <v>4915</v>
      </c>
      <c r="N2322" s="9">
        <v>821</v>
      </c>
      <c r="O2322" s="9">
        <v>2650</v>
      </c>
      <c r="P2322" s="9">
        <v>3200</v>
      </c>
      <c r="R2322" s="11"/>
      <c r="S2322" s="9"/>
      <c r="T2322" s="9"/>
      <c r="U2322" s="9"/>
    </row>
    <row r="2323" spans="2:21" x14ac:dyDescent="0.4">
      <c r="B2323" s="16">
        <f t="shared" si="188"/>
        <v>45175</v>
      </c>
      <c r="C2323" s="1">
        <f t="shared" si="189"/>
        <v>4935</v>
      </c>
      <c r="D2323" s="1">
        <f t="shared" si="190"/>
        <v>821</v>
      </c>
      <c r="E2323" s="1">
        <f t="shared" si="191"/>
        <v>2645</v>
      </c>
      <c r="F2323" s="1">
        <f t="shared" si="187"/>
        <v>3200</v>
      </c>
      <c r="L2323" s="11">
        <v>45175</v>
      </c>
      <c r="M2323" s="9">
        <v>4935</v>
      </c>
      <c r="N2323" s="9">
        <v>821</v>
      </c>
      <c r="O2323" s="9">
        <v>2645</v>
      </c>
      <c r="P2323" s="9">
        <v>3200</v>
      </c>
      <c r="R2323" s="11"/>
      <c r="S2323" s="9"/>
      <c r="T2323" s="9"/>
      <c r="U2323" s="9"/>
    </row>
    <row r="2324" spans="2:21" x14ac:dyDescent="0.4">
      <c r="B2324" s="16">
        <f t="shared" si="188"/>
        <v>45176</v>
      </c>
      <c r="C2324" s="1">
        <f t="shared" si="189"/>
        <v>4951</v>
      </c>
      <c r="D2324" s="1">
        <f t="shared" si="190"/>
        <v>821</v>
      </c>
      <c r="E2324" s="1">
        <f t="shared" si="191"/>
        <v>2630</v>
      </c>
      <c r="F2324" s="1">
        <f t="shared" si="187"/>
        <v>3200</v>
      </c>
      <c r="L2324" s="11">
        <v>45176</v>
      </c>
      <c r="M2324" s="9">
        <v>4951</v>
      </c>
      <c r="N2324" s="9">
        <v>821</v>
      </c>
      <c r="O2324" s="9">
        <v>2630</v>
      </c>
      <c r="P2324" s="9">
        <v>3200</v>
      </c>
      <c r="R2324" s="11"/>
      <c r="S2324" s="9"/>
      <c r="T2324" s="9"/>
      <c r="U2324" s="9"/>
    </row>
    <row r="2325" spans="2:21" x14ac:dyDescent="0.4">
      <c r="B2325" s="16">
        <f t="shared" si="188"/>
        <v>45177</v>
      </c>
      <c r="C2325" s="1">
        <f t="shared" si="189"/>
        <v>4949</v>
      </c>
      <c r="D2325" s="1">
        <f t="shared" si="190"/>
        <v>826</v>
      </c>
      <c r="E2325" s="1">
        <f t="shared" si="191"/>
        <v>2635</v>
      </c>
      <c r="F2325" s="1">
        <f t="shared" si="187"/>
        <v>3200</v>
      </c>
      <c r="L2325" s="11">
        <v>45177</v>
      </c>
      <c r="M2325" s="9">
        <v>4949</v>
      </c>
      <c r="N2325" s="9">
        <v>826</v>
      </c>
      <c r="O2325" s="9">
        <v>2635</v>
      </c>
      <c r="P2325" s="9">
        <v>3200</v>
      </c>
      <c r="R2325" s="11"/>
      <c r="S2325" s="9"/>
      <c r="T2325" s="9"/>
      <c r="U2325" s="9"/>
    </row>
    <row r="2326" spans="2:21" x14ac:dyDescent="0.4">
      <c r="B2326" s="16">
        <f t="shared" si="188"/>
        <v>45180</v>
      </c>
      <c r="C2326" s="1">
        <f t="shared" si="189"/>
        <v>4962</v>
      </c>
      <c r="D2326" s="1">
        <f t="shared" si="190"/>
        <v>826</v>
      </c>
      <c r="E2326" s="1">
        <f t="shared" si="191"/>
        <v>2605</v>
      </c>
      <c r="F2326" s="1">
        <f t="shared" si="187"/>
        <v>3200</v>
      </c>
      <c r="L2326" s="11">
        <v>45180</v>
      </c>
      <c r="M2326" s="9">
        <v>4962</v>
      </c>
      <c r="N2326" s="9">
        <v>826</v>
      </c>
      <c r="O2326" s="9">
        <v>2605</v>
      </c>
      <c r="P2326" s="9">
        <v>3200</v>
      </c>
      <c r="R2326" s="11"/>
      <c r="S2326" s="9"/>
      <c r="T2326" s="9"/>
      <c r="U2326" s="9"/>
    </row>
    <row r="2327" spans="2:21" x14ac:dyDescent="0.4">
      <c r="B2327" s="16">
        <f t="shared" si="188"/>
        <v>45181</v>
      </c>
      <c r="C2327" s="1">
        <f t="shared" si="189"/>
        <v>5001</v>
      </c>
      <c r="D2327" s="1">
        <f t="shared" si="190"/>
        <v>826</v>
      </c>
      <c r="E2327" s="1">
        <f t="shared" si="191"/>
        <v>2590</v>
      </c>
      <c r="F2327" s="1">
        <f t="shared" si="187"/>
        <v>3200</v>
      </c>
      <c r="L2327" s="11">
        <v>45181</v>
      </c>
      <c r="M2327" s="9">
        <v>5001</v>
      </c>
      <c r="N2327" s="9">
        <v>826</v>
      </c>
      <c r="O2327" s="9">
        <v>2590</v>
      </c>
      <c r="P2327" s="9">
        <v>3200</v>
      </c>
      <c r="R2327" s="11"/>
      <c r="S2327" s="9"/>
      <c r="T2327" s="9"/>
      <c r="U2327" s="9"/>
    </row>
    <row r="2328" spans="2:21" x14ac:dyDescent="0.4">
      <c r="B2328" s="16">
        <f t="shared" si="188"/>
        <v>45182</v>
      </c>
      <c r="C2328" s="1">
        <f t="shared" si="189"/>
        <v>5036</v>
      </c>
      <c r="D2328" s="1">
        <f t="shared" si="190"/>
        <v>826</v>
      </c>
      <c r="E2328" s="1">
        <f t="shared" si="191"/>
        <v>2595</v>
      </c>
      <c r="F2328" s="1">
        <f t="shared" si="187"/>
        <v>3200</v>
      </c>
      <c r="L2328" s="11">
        <v>45182</v>
      </c>
      <c r="M2328" s="9">
        <v>5036</v>
      </c>
      <c r="N2328" s="9">
        <v>826</v>
      </c>
      <c r="O2328" s="9">
        <v>2595</v>
      </c>
      <c r="P2328" s="9">
        <v>3200</v>
      </c>
      <c r="R2328" s="11"/>
      <c r="S2328" s="9"/>
      <c r="T2328" s="9"/>
      <c r="U2328" s="9"/>
    </row>
    <row r="2329" spans="2:21" x14ac:dyDescent="0.4">
      <c r="B2329" s="16">
        <f t="shared" si="188"/>
        <v>45183</v>
      </c>
      <c r="C2329" s="1">
        <f t="shared" si="189"/>
        <v>5050</v>
      </c>
      <c r="D2329" s="1">
        <f t="shared" si="190"/>
        <v>826</v>
      </c>
      <c r="E2329" s="1">
        <f t="shared" si="191"/>
        <v>2600</v>
      </c>
      <c r="F2329" s="1">
        <f t="shared" si="187"/>
        <v>3200</v>
      </c>
      <c r="L2329" s="11">
        <v>45183</v>
      </c>
      <c r="M2329" s="9">
        <v>5050</v>
      </c>
      <c r="N2329" s="9">
        <v>826</v>
      </c>
      <c r="O2329" s="9">
        <v>2600</v>
      </c>
      <c r="P2329" s="9">
        <v>3200</v>
      </c>
      <c r="R2329" s="11"/>
      <c r="S2329" s="9"/>
      <c r="T2329" s="9"/>
      <c r="U2329" s="9"/>
    </row>
    <row r="2330" spans="2:21" x14ac:dyDescent="0.4">
      <c r="B2330" s="16">
        <f t="shared" si="188"/>
        <v>45184</v>
      </c>
      <c r="C2330" s="1">
        <f t="shared" si="189"/>
        <v>5071</v>
      </c>
      <c r="D2330" s="1">
        <f t="shared" si="190"/>
        <v>841</v>
      </c>
      <c r="E2330" s="1">
        <f t="shared" si="191"/>
        <v>2600</v>
      </c>
      <c r="F2330" s="1">
        <f t="shared" si="187"/>
        <v>3200</v>
      </c>
      <c r="L2330" s="11">
        <v>45184</v>
      </c>
      <c r="M2330" s="9">
        <v>5071</v>
      </c>
      <c r="N2330" s="9">
        <v>841</v>
      </c>
      <c r="O2330" s="9">
        <v>2600</v>
      </c>
      <c r="P2330" s="9">
        <v>3200</v>
      </c>
      <c r="R2330" s="11"/>
      <c r="S2330" s="9"/>
      <c r="T2330" s="9"/>
      <c r="U2330" s="9"/>
    </row>
    <row r="2331" spans="2:21" x14ac:dyDescent="0.4">
      <c r="B2331" s="16">
        <f t="shared" si="188"/>
        <v>45187</v>
      </c>
      <c r="C2331" s="1">
        <f t="shared" si="189"/>
        <v>5045</v>
      </c>
      <c r="D2331" s="1">
        <f t="shared" si="190"/>
        <v>841</v>
      </c>
      <c r="E2331" s="1">
        <f t="shared" si="191"/>
        <v>2600</v>
      </c>
      <c r="F2331" s="1">
        <f t="shared" si="187"/>
        <v>3200</v>
      </c>
      <c r="L2331" s="11">
        <v>45187</v>
      </c>
      <c r="M2331" s="9">
        <v>5045</v>
      </c>
      <c r="N2331" s="9">
        <v>841</v>
      </c>
      <c r="O2331" s="9">
        <v>2600</v>
      </c>
      <c r="P2331" s="9">
        <v>3200</v>
      </c>
      <c r="R2331" s="11"/>
      <c r="S2331" s="9"/>
      <c r="T2331" s="9"/>
      <c r="U2331" s="9"/>
    </row>
    <row r="2332" spans="2:21" x14ac:dyDescent="0.4">
      <c r="B2332" s="16">
        <f t="shared" si="188"/>
        <v>45188</v>
      </c>
      <c r="C2332" s="1">
        <f t="shared" si="189"/>
        <v>5041</v>
      </c>
      <c r="D2332" s="1">
        <f t="shared" si="190"/>
        <v>841</v>
      </c>
      <c r="E2332" s="1">
        <f t="shared" si="191"/>
        <v>2605</v>
      </c>
      <c r="F2332" s="1">
        <f t="shared" si="187"/>
        <v>3200</v>
      </c>
      <c r="L2332" s="11">
        <v>45188</v>
      </c>
      <c r="M2332" s="9">
        <v>5041</v>
      </c>
      <c r="N2332" s="9">
        <v>841</v>
      </c>
      <c r="O2332" s="9">
        <v>2605</v>
      </c>
      <c r="P2332" s="9">
        <v>3200</v>
      </c>
      <c r="R2332" s="11"/>
      <c r="S2332" s="9"/>
      <c r="T2332" s="9"/>
      <c r="U2332" s="9"/>
    </row>
    <row r="2333" spans="2:21" x14ac:dyDescent="0.4">
      <c r="B2333" s="16">
        <f t="shared" si="188"/>
        <v>45189</v>
      </c>
      <c r="C2333" s="1">
        <f t="shared" si="189"/>
        <v>5022</v>
      </c>
      <c r="D2333" s="1">
        <f t="shared" si="190"/>
        <v>841</v>
      </c>
      <c r="E2333" s="1">
        <f t="shared" si="191"/>
        <v>2605</v>
      </c>
      <c r="F2333" s="1">
        <f t="shared" si="187"/>
        <v>3200</v>
      </c>
      <c r="L2333" s="11">
        <v>45189</v>
      </c>
      <c r="M2333" s="9">
        <v>5022</v>
      </c>
      <c r="N2333" s="9">
        <v>841</v>
      </c>
      <c r="O2333" s="9">
        <v>2605</v>
      </c>
      <c r="P2333" s="9">
        <v>3200</v>
      </c>
      <c r="R2333" s="11"/>
      <c r="S2333" s="9"/>
      <c r="T2333" s="9"/>
      <c r="U2333" s="9"/>
    </row>
    <row r="2334" spans="2:21" x14ac:dyDescent="0.4">
      <c r="B2334" s="16">
        <f t="shared" si="188"/>
        <v>45190</v>
      </c>
      <c r="C2334" s="1">
        <f t="shared" si="189"/>
        <v>5005</v>
      </c>
      <c r="D2334" s="1">
        <f t="shared" si="190"/>
        <v>871</v>
      </c>
      <c r="E2334" s="1">
        <f t="shared" si="191"/>
        <v>2605</v>
      </c>
      <c r="F2334" s="1">
        <f t="shared" si="187"/>
        <v>3200</v>
      </c>
      <c r="L2334" s="11">
        <v>45190</v>
      </c>
      <c r="M2334" s="9">
        <v>5005</v>
      </c>
      <c r="N2334" s="9">
        <v>871</v>
      </c>
      <c r="O2334" s="9">
        <v>2605</v>
      </c>
      <c r="P2334" s="9">
        <v>3200</v>
      </c>
      <c r="R2334" s="11"/>
      <c r="S2334" s="9"/>
      <c r="T2334" s="9"/>
      <c r="U2334" s="9"/>
    </row>
    <row r="2335" spans="2:21" x14ac:dyDescent="0.4">
      <c r="B2335" s="16">
        <f t="shared" si="188"/>
        <v>45191</v>
      </c>
      <c r="C2335" s="1">
        <f t="shared" si="189"/>
        <v>4988</v>
      </c>
      <c r="D2335" s="1">
        <f t="shared" si="190"/>
        <v>891</v>
      </c>
      <c r="E2335" s="1">
        <f t="shared" si="191"/>
        <v>2605</v>
      </c>
      <c r="F2335" s="1">
        <f t="shared" si="187"/>
        <v>3200</v>
      </c>
      <c r="L2335" s="11">
        <v>45191</v>
      </c>
      <c r="M2335" s="9">
        <v>4988</v>
      </c>
      <c r="N2335" s="9">
        <v>891</v>
      </c>
      <c r="O2335" s="9">
        <v>2605</v>
      </c>
      <c r="P2335" s="9">
        <v>3200</v>
      </c>
      <c r="R2335" s="11"/>
      <c r="S2335" s="9"/>
      <c r="T2335" s="9"/>
      <c r="U2335" s="9"/>
    </row>
    <row r="2336" spans="2:21" x14ac:dyDescent="0.4">
      <c r="B2336" s="16">
        <f t="shared" si="188"/>
        <v>45194</v>
      </c>
      <c r="C2336" s="1">
        <f t="shared" si="189"/>
        <v>4978</v>
      </c>
      <c r="D2336" s="1">
        <f t="shared" si="190"/>
        <v>891</v>
      </c>
      <c r="E2336" s="1">
        <f t="shared" si="191"/>
        <v>2570</v>
      </c>
      <c r="F2336" s="1">
        <f t="shared" si="187"/>
        <v>3200</v>
      </c>
      <c r="L2336" s="11">
        <v>45194</v>
      </c>
      <c r="M2336" s="9">
        <v>4978</v>
      </c>
      <c r="N2336" s="9">
        <v>891</v>
      </c>
      <c r="O2336" s="9">
        <v>2570</v>
      </c>
      <c r="P2336" s="9">
        <v>3200</v>
      </c>
      <c r="R2336" s="11"/>
      <c r="S2336" s="9"/>
      <c r="T2336" s="9"/>
      <c r="U2336" s="9"/>
    </row>
    <row r="2337" spans="2:21" x14ac:dyDescent="0.4">
      <c r="B2337" s="16">
        <f t="shared" si="188"/>
        <v>45195</v>
      </c>
      <c r="C2337" s="1">
        <f t="shared" si="189"/>
        <v>4966</v>
      </c>
      <c r="D2337" s="1">
        <f t="shared" si="190"/>
        <v>891</v>
      </c>
      <c r="E2337" s="1">
        <f t="shared" si="191"/>
        <v>2530</v>
      </c>
      <c r="F2337" s="1">
        <f t="shared" si="187"/>
        <v>3200</v>
      </c>
      <c r="L2337" s="11">
        <v>45195</v>
      </c>
      <c r="M2337" s="9">
        <v>4966</v>
      </c>
      <c r="N2337" s="9">
        <v>891</v>
      </c>
      <c r="O2337" s="9">
        <v>2530</v>
      </c>
      <c r="P2337" s="9">
        <v>3200</v>
      </c>
      <c r="R2337" s="11"/>
      <c r="S2337" s="9"/>
      <c r="T2337" s="9"/>
      <c r="U2337" s="9"/>
    </row>
    <row r="2338" spans="2:21" x14ac:dyDescent="0.4">
      <c r="B2338" s="16">
        <f t="shared" si="188"/>
        <v>45196</v>
      </c>
      <c r="C2338" s="1">
        <f t="shared" si="189"/>
        <v>4955</v>
      </c>
      <c r="D2338" s="1">
        <f t="shared" si="190"/>
        <v>891</v>
      </c>
      <c r="E2338" s="1">
        <f t="shared" si="191"/>
        <v>2510</v>
      </c>
      <c r="F2338" s="1">
        <f t="shared" si="187"/>
        <v>3200</v>
      </c>
      <c r="L2338" s="11">
        <v>45196</v>
      </c>
      <c r="M2338" s="9">
        <v>4955</v>
      </c>
      <c r="N2338" s="9">
        <v>891</v>
      </c>
      <c r="O2338" s="9">
        <v>2510</v>
      </c>
      <c r="P2338" s="9">
        <v>3200</v>
      </c>
      <c r="R2338" s="11"/>
      <c r="S2338" s="9"/>
      <c r="T2338" s="9"/>
      <c r="U2338" s="9"/>
    </row>
    <row r="2339" spans="2:21" x14ac:dyDescent="0.4">
      <c r="B2339" s="16">
        <f t="shared" si="188"/>
        <v>45197</v>
      </c>
      <c r="C2339" s="1">
        <f t="shared" si="189"/>
        <v>4957</v>
      </c>
      <c r="D2339" s="1">
        <f t="shared" si="190"/>
        <v>891</v>
      </c>
      <c r="E2339" s="1">
        <f t="shared" si="191"/>
        <v>2510</v>
      </c>
      <c r="F2339" s="1">
        <f t="shared" si="187"/>
        <v>3200</v>
      </c>
      <c r="L2339" s="11">
        <v>45197</v>
      </c>
      <c r="M2339" s="9">
        <v>4957</v>
      </c>
      <c r="N2339" s="9">
        <v>891</v>
      </c>
      <c r="O2339" s="9">
        <v>2510</v>
      </c>
      <c r="P2339" s="9">
        <v>3200</v>
      </c>
      <c r="R2339" s="11"/>
      <c r="S2339" s="9"/>
      <c r="T2339" s="9"/>
      <c r="U2339" s="9"/>
    </row>
    <row r="2340" spans="2:21" x14ac:dyDescent="0.4">
      <c r="B2340" s="16">
        <f t="shared" si="188"/>
        <v>45198</v>
      </c>
      <c r="C2340" s="1">
        <f t="shared" si="189"/>
        <v>4957</v>
      </c>
      <c r="D2340" s="1">
        <f t="shared" si="190"/>
        <v>891</v>
      </c>
      <c r="E2340" s="1">
        <f t="shared" si="191"/>
        <v>2510</v>
      </c>
      <c r="F2340" s="1">
        <f t="shared" si="187"/>
        <v>3200</v>
      </c>
      <c r="L2340" s="11">
        <v>45198</v>
      </c>
      <c r="M2340" s="9">
        <v>0</v>
      </c>
      <c r="N2340" s="9">
        <v>891</v>
      </c>
      <c r="O2340" s="9">
        <v>0</v>
      </c>
      <c r="P2340" s="9">
        <v>0</v>
      </c>
      <c r="R2340" s="11"/>
      <c r="S2340" s="9"/>
      <c r="T2340" s="9"/>
      <c r="U2340" s="9"/>
    </row>
    <row r="2341" spans="2:21" x14ac:dyDescent="0.4">
      <c r="B2341" s="16">
        <f t="shared" si="188"/>
        <v>45201</v>
      </c>
      <c r="C2341" s="1">
        <f t="shared" si="189"/>
        <v>4957</v>
      </c>
      <c r="D2341" s="1">
        <f t="shared" si="190"/>
        <v>891</v>
      </c>
      <c r="E2341" s="1">
        <f t="shared" si="191"/>
        <v>2510</v>
      </c>
      <c r="F2341" s="1">
        <f t="shared" si="187"/>
        <v>3200</v>
      </c>
      <c r="L2341" s="11">
        <v>45201</v>
      </c>
      <c r="M2341" s="9">
        <v>0</v>
      </c>
      <c r="N2341" s="9">
        <v>891</v>
      </c>
      <c r="O2341" s="9">
        <v>0</v>
      </c>
      <c r="P2341" s="9">
        <v>0</v>
      </c>
      <c r="R2341" s="11"/>
      <c r="S2341" s="9"/>
      <c r="T2341" s="9"/>
      <c r="U2341" s="9"/>
    </row>
    <row r="2342" spans="2:21" x14ac:dyDescent="0.4">
      <c r="B2342" s="16">
        <f t="shared" si="188"/>
        <v>45202</v>
      </c>
      <c r="C2342" s="1">
        <f t="shared" si="189"/>
        <v>4957</v>
      </c>
      <c r="D2342" s="1">
        <f t="shared" si="190"/>
        <v>891</v>
      </c>
      <c r="E2342" s="1">
        <f t="shared" si="191"/>
        <v>2510</v>
      </c>
      <c r="F2342" s="1">
        <f t="shared" si="187"/>
        <v>3200</v>
      </c>
      <c r="L2342" s="11">
        <v>45202</v>
      </c>
      <c r="M2342" s="9">
        <v>0</v>
      </c>
      <c r="N2342" s="9">
        <v>891</v>
      </c>
      <c r="O2342" s="9">
        <v>0</v>
      </c>
      <c r="P2342" s="9">
        <v>0</v>
      </c>
      <c r="R2342" s="11"/>
      <c r="S2342" s="9"/>
      <c r="T2342" s="9"/>
      <c r="U2342" s="9"/>
    </row>
    <row r="2343" spans="2:21" x14ac:dyDescent="0.4">
      <c r="B2343" s="16">
        <f t="shared" si="188"/>
        <v>45203</v>
      </c>
      <c r="C2343" s="1">
        <f t="shared" si="189"/>
        <v>4957</v>
      </c>
      <c r="D2343" s="1">
        <f t="shared" si="190"/>
        <v>891</v>
      </c>
      <c r="E2343" s="1">
        <f t="shared" si="191"/>
        <v>2510</v>
      </c>
      <c r="F2343" s="1">
        <f t="shared" si="187"/>
        <v>3200</v>
      </c>
      <c r="L2343" s="11">
        <v>45203</v>
      </c>
      <c r="M2343" s="9">
        <v>0</v>
      </c>
      <c r="N2343" s="9">
        <v>891</v>
      </c>
      <c r="O2343" s="9">
        <v>0</v>
      </c>
      <c r="P2343" s="9">
        <v>0</v>
      </c>
      <c r="R2343" s="11"/>
      <c r="S2343" s="9"/>
      <c r="T2343" s="9"/>
      <c r="U2343" s="9"/>
    </row>
    <row r="2344" spans="2:21" x14ac:dyDescent="0.4">
      <c r="B2344" s="16">
        <f t="shared" si="188"/>
        <v>45204</v>
      </c>
      <c r="C2344" s="1">
        <f t="shared" si="189"/>
        <v>4957</v>
      </c>
      <c r="D2344" s="1">
        <f t="shared" si="190"/>
        <v>891</v>
      </c>
      <c r="E2344" s="1">
        <f t="shared" si="191"/>
        <v>2510</v>
      </c>
      <c r="F2344" s="1">
        <f t="shared" si="187"/>
        <v>3200</v>
      </c>
      <c r="L2344" s="11">
        <v>45204</v>
      </c>
      <c r="M2344" s="9">
        <v>0</v>
      </c>
      <c r="N2344" s="9">
        <v>891</v>
      </c>
      <c r="O2344" s="9">
        <v>0</v>
      </c>
      <c r="P2344" s="9">
        <v>0</v>
      </c>
      <c r="R2344" s="11"/>
      <c r="S2344" s="9"/>
      <c r="T2344" s="9"/>
      <c r="U2344" s="9"/>
    </row>
    <row r="2345" spans="2:21" x14ac:dyDescent="0.4">
      <c r="B2345" s="16">
        <f t="shared" si="188"/>
        <v>45205</v>
      </c>
      <c r="C2345" s="1">
        <f t="shared" si="189"/>
        <v>4957</v>
      </c>
      <c r="D2345" s="1">
        <f t="shared" si="190"/>
        <v>891</v>
      </c>
      <c r="E2345" s="1">
        <f t="shared" si="191"/>
        <v>2510</v>
      </c>
      <c r="F2345" s="1">
        <f t="shared" si="187"/>
        <v>3200</v>
      </c>
      <c r="L2345" s="11">
        <v>45205</v>
      </c>
      <c r="M2345" s="9">
        <v>0</v>
      </c>
      <c r="N2345" s="9">
        <v>891</v>
      </c>
      <c r="O2345" s="9">
        <v>0</v>
      </c>
      <c r="P2345" s="9">
        <v>0</v>
      </c>
      <c r="R2345" s="11"/>
      <c r="S2345" s="9"/>
      <c r="T2345" s="9"/>
      <c r="U2345" s="9"/>
    </row>
    <row r="2346" spans="2:21" x14ac:dyDescent="0.4">
      <c r="B2346" s="16">
        <f t="shared" si="188"/>
        <v>45206</v>
      </c>
      <c r="C2346" s="1">
        <f t="shared" si="189"/>
        <v>4894</v>
      </c>
      <c r="D2346" s="1">
        <f t="shared" si="190"/>
        <v>891</v>
      </c>
      <c r="E2346" s="1">
        <f t="shared" si="191"/>
        <v>2470</v>
      </c>
      <c r="F2346" s="1">
        <f t="shared" si="187"/>
        <v>3200</v>
      </c>
      <c r="L2346" s="11">
        <v>45206</v>
      </c>
      <c r="M2346" s="9">
        <v>4894</v>
      </c>
      <c r="N2346" s="9">
        <v>0</v>
      </c>
      <c r="O2346" s="9">
        <v>2470</v>
      </c>
      <c r="P2346" s="9">
        <v>3200</v>
      </c>
      <c r="R2346" s="11"/>
      <c r="S2346" s="9"/>
      <c r="T2346" s="9"/>
      <c r="U2346" s="9"/>
    </row>
    <row r="2347" spans="2:21" x14ac:dyDescent="0.4">
      <c r="B2347" s="16">
        <f t="shared" si="188"/>
        <v>45207</v>
      </c>
      <c r="C2347" s="1">
        <f t="shared" si="189"/>
        <v>4874</v>
      </c>
      <c r="D2347" s="1">
        <f t="shared" si="190"/>
        <v>891</v>
      </c>
      <c r="E2347" s="1">
        <f t="shared" si="191"/>
        <v>2450</v>
      </c>
      <c r="F2347" s="1">
        <f t="shared" si="187"/>
        <v>3200</v>
      </c>
      <c r="L2347" s="11">
        <v>45207</v>
      </c>
      <c r="M2347" s="9">
        <v>4874</v>
      </c>
      <c r="N2347" s="9">
        <v>0</v>
      </c>
      <c r="O2347" s="9">
        <v>2450</v>
      </c>
      <c r="P2347" s="9">
        <v>3200</v>
      </c>
      <c r="R2347" s="11"/>
      <c r="S2347" s="9"/>
      <c r="T2347" s="9"/>
      <c r="U2347" s="9"/>
    </row>
    <row r="2348" spans="2:21" x14ac:dyDescent="0.4">
      <c r="B2348" s="16">
        <f t="shared" si="188"/>
        <v>45208</v>
      </c>
      <c r="C2348" s="1">
        <f t="shared" si="189"/>
        <v>4867</v>
      </c>
      <c r="D2348" s="1">
        <f t="shared" si="190"/>
        <v>891</v>
      </c>
      <c r="E2348" s="1">
        <f t="shared" si="191"/>
        <v>2440</v>
      </c>
      <c r="F2348" s="1">
        <f t="shared" si="187"/>
        <v>3150</v>
      </c>
      <c r="L2348" s="11">
        <v>45208</v>
      </c>
      <c r="M2348" s="9">
        <v>4867</v>
      </c>
      <c r="N2348" s="9">
        <v>891</v>
      </c>
      <c r="O2348" s="9">
        <v>2440</v>
      </c>
      <c r="P2348" s="9">
        <v>3150</v>
      </c>
      <c r="R2348" s="11"/>
      <c r="S2348" s="9"/>
      <c r="T2348" s="9"/>
      <c r="U2348" s="9"/>
    </row>
    <row r="2349" spans="2:21" x14ac:dyDescent="0.4">
      <c r="B2349" s="16">
        <f t="shared" si="188"/>
        <v>45209</v>
      </c>
      <c r="C2349" s="1">
        <f t="shared" si="189"/>
        <v>4815</v>
      </c>
      <c r="D2349" s="1">
        <f t="shared" si="190"/>
        <v>891</v>
      </c>
      <c r="E2349" s="1">
        <f t="shared" si="191"/>
        <v>2400</v>
      </c>
      <c r="F2349" s="1">
        <f t="shared" si="187"/>
        <v>3150</v>
      </c>
      <c r="L2349" s="11">
        <v>45209</v>
      </c>
      <c r="M2349" s="9">
        <v>4815</v>
      </c>
      <c r="N2349" s="9">
        <v>891</v>
      </c>
      <c r="O2349" s="9">
        <v>2400</v>
      </c>
      <c r="P2349" s="9">
        <v>3150</v>
      </c>
      <c r="R2349" s="11"/>
      <c r="S2349" s="9"/>
      <c r="T2349" s="9"/>
      <c r="U2349" s="9"/>
    </row>
    <row r="2350" spans="2:21" x14ac:dyDescent="0.4">
      <c r="B2350" s="16">
        <f t="shared" si="188"/>
        <v>45210</v>
      </c>
      <c r="C2350" s="1">
        <f t="shared" si="189"/>
        <v>4796</v>
      </c>
      <c r="D2350" s="1">
        <f t="shared" si="190"/>
        <v>881</v>
      </c>
      <c r="E2350" s="1">
        <f t="shared" si="191"/>
        <v>2390</v>
      </c>
      <c r="F2350" s="1">
        <f t="shared" si="187"/>
        <v>3150</v>
      </c>
      <c r="L2350" s="11">
        <v>45210</v>
      </c>
      <c r="M2350" s="9">
        <v>4796</v>
      </c>
      <c r="N2350" s="9">
        <v>881</v>
      </c>
      <c r="O2350" s="9">
        <v>2390</v>
      </c>
      <c r="P2350" s="9">
        <v>3150</v>
      </c>
      <c r="R2350" s="11"/>
      <c r="S2350" s="9"/>
      <c r="T2350" s="9"/>
      <c r="U2350" s="9"/>
    </row>
    <row r="2351" spans="2:21" x14ac:dyDescent="0.4">
      <c r="B2351" s="16">
        <f t="shared" si="188"/>
        <v>45211</v>
      </c>
      <c r="C2351" s="1">
        <f t="shared" si="189"/>
        <v>4751</v>
      </c>
      <c r="D2351" s="1">
        <f t="shared" si="190"/>
        <v>881</v>
      </c>
      <c r="E2351" s="1">
        <f t="shared" si="191"/>
        <v>2370</v>
      </c>
      <c r="F2351" s="1">
        <f t="shared" si="187"/>
        <v>3150</v>
      </c>
      <c r="L2351" s="11">
        <v>45211</v>
      </c>
      <c r="M2351" s="9">
        <v>4751</v>
      </c>
      <c r="N2351" s="9">
        <v>881</v>
      </c>
      <c r="O2351" s="9">
        <v>2370</v>
      </c>
      <c r="P2351" s="9">
        <v>3150</v>
      </c>
      <c r="R2351" s="11"/>
      <c r="S2351" s="9"/>
      <c r="T2351" s="9"/>
      <c r="U2351" s="9"/>
    </row>
    <row r="2352" spans="2:21" x14ac:dyDescent="0.4">
      <c r="B2352" s="16">
        <f t="shared" si="188"/>
        <v>45212</v>
      </c>
      <c r="C2352" s="1">
        <f t="shared" si="189"/>
        <v>4755</v>
      </c>
      <c r="D2352" s="1">
        <f t="shared" si="190"/>
        <v>881</v>
      </c>
      <c r="E2352" s="1">
        <f t="shared" si="191"/>
        <v>2370</v>
      </c>
      <c r="F2352" s="1">
        <f t="shared" si="187"/>
        <v>3150</v>
      </c>
      <c r="L2352" s="11">
        <v>45212</v>
      </c>
      <c r="M2352" s="9">
        <v>4755</v>
      </c>
      <c r="N2352" s="9">
        <v>881</v>
      </c>
      <c r="O2352" s="9">
        <v>2370</v>
      </c>
      <c r="P2352" s="9">
        <v>3150</v>
      </c>
      <c r="R2352" s="11"/>
      <c r="S2352" s="9"/>
      <c r="T2352" s="9"/>
      <c r="U2352" s="9"/>
    </row>
    <row r="2353" spans="2:21" x14ac:dyDescent="0.4">
      <c r="B2353" s="16">
        <f t="shared" si="188"/>
        <v>45215</v>
      </c>
      <c r="C2353" s="1">
        <f t="shared" si="189"/>
        <v>4738</v>
      </c>
      <c r="D2353" s="1">
        <f t="shared" si="190"/>
        <v>881</v>
      </c>
      <c r="E2353" s="1">
        <f t="shared" si="191"/>
        <v>2400</v>
      </c>
      <c r="F2353" s="1">
        <f t="shared" si="187"/>
        <v>3000</v>
      </c>
      <c r="L2353" s="11">
        <v>45215</v>
      </c>
      <c r="M2353" s="9">
        <v>4738</v>
      </c>
      <c r="N2353" s="9">
        <v>881</v>
      </c>
      <c r="O2353" s="9">
        <v>2400</v>
      </c>
      <c r="P2353" s="9">
        <v>3000</v>
      </c>
      <c r="R2353" s="11"/>
      <c r="S2353" s="9"/>
      <c r="T2353" s="9"/>
      <c r="U2353" s="9"/>
    </row>
    <row r="2354" spans="2:21" x14ac:dyDescent="0.4">
      <c r="B2354" s="16">
        <f t="shared" si="188"/>
        <v>45216</v>
      </c>
      <c r="C2354" s="1">
        <f t="shared" si="189"/>
        <v>4728</v>
      </c>
      <c r="D2354" s="1">
        <f t="shared" si="190"/>
        <v>881</v>
      </c>
      <c r="E2354" s="1">
        <f t="shared" si="191"/>
        <v>2410</v>
      </c>
      <c r="F2354" s="1">
        <f t="shared" ref="F2354:F2417" si="192">IF(P2354&lt;&gt;0,P2354,F2353)</f>
        <v>3000</v>
      </c>
      <c r="L2354" s="11">
        <v>45216</v>
      </c>
      <c r="M2354" s="9">
        <v>4728</v>
      </c>
      <c r="N2354" s="9">
        <v>881</v>
      </c>
      <c r="O2354" s="9">
        <v>2410</v>
      </c>
      <c r="P2354" s="9">
        <v>3000</v>
      </c>
      <c r="R2354" s="11"/>
      <c r="S2354" s="9"/>
      <c r="T2354" s="9"/>
      <c r="U2354" s="9"/>
    </row>
    <row r="2355" spans="2:21" x14ac:dyDescent="0.4">
      <c r="B2355" s="16">
        <f t="shared" si="188"/>
        <v>45217</v>
      </c>
      <c r="C2355" s="1">
        <f t="shared" si="189"/>
        <v>4725</v>
      </c>
      <c r="D2355" s="1">
        <f t="shared" si="190"/>
        <v>881</v>
      </c>
      <c r="E2355" s="1">
        <f t="shared" si="191"/>
        <v>2410</v>
      </c>
      <c r="F2355" s="1">
        <f t="shared" si="192"/>
        <v>2900</v>
      </c>
      <c r="L2355" s="11">
        <v>45217</v>
      </c>
      <c r="M2355" s="9">
        <v>4725</v>
      </c>
      <c r="N2355" s="9">
        <v>881</v>
      </c>
      <c r="O2355" s="9">
        <v>2410</v>
      </c>
      <c r="P2355" s="9">
        <v>2900</v>
      </c>
      <c r="R2355" s="11"/>
      <c r="S2355" s="9"/>
      <c r="T2355" s="9"/>
      <c r="U2355" s="9"/>
    </row>
    <row r="2356" spans="2:21" x14ac:dyDescent="0.4">
      <c r="B2356" s="16">
        <f t="shared" si="188"/>
        <v>45218</v>
      </c>
      <c r="C2356" s="1">
        <f t="shared" si="189"/>
        <v>4730</v>
      </c>
      <c r="D2356" s="1">
        <f t="shared" si="190"/>
        <v>881</v>
      </c>
      <c r="E2356" s="1">
        <f t="shared" si="191"/>
        <v>2410</v>
      </c>
      <c r="F2356" s="1">
        <f t="shared" si="192"/>
        <v>2900</v>
      </c>
      <c r="L2356" s="11">
        <v>45218</v>
      </c>
      <c r="M2356" s="9">
        <v>4730</v>
      </c>
      <c r="N2356" s="9">
        <v>881</v>
      </c>
      <c r="O2356" s="9">
        <v>2410</v>
      </c>
      <c r="P2356" s="9">
        <v>2900</v>
      </c>
      <c r="R2356" s="11"/>
      <c r="S2356" s="9"/>
      <c r="T2356" s="9"/>
      <c r="U2356" s="9"/>
    </row>
    <row r="2357" spans="2:21" x14ac:dyDescent="0.4">
      <c r="B2357" s="16">
        <f t="shared" si="188"/>
        <v>45219</v>
      </c>
      <c r="C2357" s="1">
        <f t="shared" si="189"/>
        <v>4756</v>
      </c>
      <c r="D2357" s="1">
        <f t="shared" si="190"/>
        <v>881</v>
      </c>
      <c r="E2357" s="1">
        <f t="shared" si="191"/>
        <v>2440</v>
      </c>
      <c r="F2357" s="1">
        <f t="shared" si="192"/>
        <v>2800</v>
      </c>
      <c r="L2357" s="11">
        <v>45219</v>
      </c>
      <c r="M2357" s="9">
        <v>4756</v>
      </c>
      <c r="N2357" s="9">
        <v>881</v>
      </c>
      <c r="O2357" s="9">
        <v>2440</v>
      </c>
      <c r="P2357" s="9">
        <v>2800</v>
      </c>
      <c r="R2357" s="11"/>
      <c r="S2357" s="9"/>
      <c r="T2357" s="9"/>
      <c r="U2357" s="9"/>
    </row>
    <row r="2358" spans="2:21" x14ac:dyDescent="0.4">
      <c r="B2358" s="16">
        <f t="shared" si="188"/>
        <v>45222</v>
      </c>
      <c r="C2358" s="1">
        <f t="shared" si="189"/>
        <v>4742</v>
      </c>
      <c r="D2358" s="1">
        <f t="shared" si="190"/>
        <v>881</v>
      </c>
      <c r="E2358" s="1">
        <f t="shared" si="191"/>
        <v>2490</v>
      </c>
      <c r="F2358" s="1">
        <f t="shared" si="192"/>
        <v>2800</v>
      </c>
      <c r="L2358" s="11">
        <v>45222</v>
      </c>
      <c r="M2358" s="9">
        <v>4742</v>
      </c>
      <c r="N2358" s="9">
        <v>881</v>
      </c>
      <c r="O2358" s="9">
        <v>2490</v>
      </c>
      <c r="P2358" s="9">
        <v>2800</v>
      </c>
      <c r="R2358" s="11"/>
      <c r="S2358" s="9"/>
      <c r="T2358" s="9"/>
      <c r="U2358" s="9"/>
    </row>
    <row r="2359" spans="2:21" x14ac:dyDescent="0.4">
      <c r="B2359" s="16">
        <f t="shared" si="188"/>
        <v>45223</v>
      </c>
      <c r="C2359" s="1">
        <f t="shared" si="189"/>
        <v>4742</v>
      </c>
      <c r="D2359" s="1">
        <f t="shared" si="190"/>
        <v>881</v>
      </c>
      <c r="E2359" s="1">
        <f t="shared" si="191"/>
        <v>2500</v>
      </c>
      <c r="F2359" s="1">
        <f t="shared" si="192"/>
        <v>2700</v>
      </c>
      <c r="L2359" s="11">
        <v>45223</v>
      </c>
      <c r="M2359" s="9">
        <v>4742</v>
      </c>
      <c r="N2359" s="9">
        <v>881</v>
      </c>
      <c r="O2359" s="9">
        <v>2500</v>
      </c>
      <c r="P2359" s="9">
        <v>2700</v>
      </c>
      <c r="R2359" s="11"/>
      <c r="S2359" s="9"/>
      <c r="T2359" s="9"/>
      <c r="U2359" s="9"/>
    </row>
    <row r="2360" spans="2:21" x14ac:dyDescent="0.4">
      <c r="B2360" s="16">
        <f t="shared" si="188"/>
        <v>45224</v>
      </c>
      <c r="C2360" s="1">
        <f t="shared" si="189"/>
        <v>4733</v>
      </c>
      <c r="D2360" s="1">
        <f t="shared" si="190"/>
        <v>881</v>
      </c>
      <c r="E2360" s="1">
        <f t="shared" si="191"/>
        <v>2490</v>
      </c>
      <c r="F2360" s="1">
        <f t="shared" si="192"/>
        <v>2700</v>
      </c>
      <c r="L2360" s="11">
        <v>45224</v>
      </c>
      <c r="M2360" s="9">
        <v>4733</v>
      </c>
      <c r="N2360" s="9">
        <v>881</v>
      </c>
      <c r="O2360" s="9">
        <v>2490</v>
      </c>
      <c r="P2360" s="9">
        <v>2700</v>
      </c>
      <c r="R2360" s="11"/>
      <c r="S2360" s="9"/>
      <c r="T2360" s="9"/>
      <c r="U2360" s="9"/>
    </row>
    <row r="2361" spans="2:21" x14ac:dyDescent="0.4">
      <c r="B2361" s="16">
        <f t="shared" si="188"/>
        <v>45225</v>
      </c>
      <c r="C2361" s="1">
        <f t="shared" si="189"/>
        <v>4719</v>
      </c>
      <c r="D2361" s="1">
        <f t="shared" si="190"/>
        <v>881</v>
      </c>
      <c r="E2361" s="1">
        <f t="shared" si="191"/>
        <v>2480</v>
      </c>
      <c r="F2361" s="1">
        <f t="shared" si="192"/>
        <v>2650</v>
      </c>
      <c r="L2361" s="11">
        <v>45225</v>
      </c>
      <c r="M2361" s="9">
        <v>4719</v>
      </c>
      <c r="N2361" s="9">
        <v>881</v>
      </c>
      <c r="O2361" s="9">
        <v>2480</v>
      </c>
      <c r="P2361" s="9">
        <v>2650</v>
      </c>
      <c r="R2361" s="11"/>
      <c r="S2361" s="9"/>
      <c r="T2361" s="9"/>
      <c r="U2361" s="9"/>
    </row>
    <row r="2362" spans="2:21" x14ac:dyDescent="0.4">
      <c r="B2362" s="16">
        <f t="shared" si="188"/>
        <v>45226</v>
      </c>
      <c r="C2362" s="1">
        <f t="shared" si="189"/>
        <v>4713</v>
      </c>
      <c r="D2362" s="1">
        <f t="shared" si="190"/>
        <v>881</v>
      </c>
      <c r="E2362" s="1">
        <f t="shared" si="191"/>
        <v>2460</v>
      </c>
      <c r="F2362" s="1">
        <f t="shared" si="192"/>
        <v>2600</v>
      </c>
      <c r="L2362" s="11">
        <v>45226</v>
      </c>
      <c r="M2362" s="9">
        <v>4713</v>
      </c>
      <c r="N2362" s="9">
        <v>881</v>
      </c>
      <c r="O2362" s="9">
        <v>2460</v>
      </c>
      <c r="P2362" s="9">
        <v>2600</v>
      </c>
      <c r="R2362" s="11"/>
      <c r="S2362" s="9"/>
      <c r="T2362" s="9"/>
      <c r="U2362" s="9"/>
    </row>
    <row r="2363" spans="2:21" x14ac:dyDescent="0.4">
      <c r="B2363" s="16">
        <f t="shared" si="188"/>
        <v>45229</v>
      </c>
      <c r="C2363" s="1">
        <f t="shared" si="189"/>
        <v>4728</v>
      </c>
      <c r="D2363" s="1">
        <f t="shared" si="190"/>
        <v>881</v>
      </c>
      <c r="E2363" s="1">
        <f t="shared" si="191"/>
        <v>2470</v>
      </c>
      <c r="F2363" s="1">
        <f t="shared" si="192"/>
        <v>2600</v>
      </c>
      <c r="L2363" s="11">
        <v>45229</v>
      </c>
      <c r="M2363" s="9">
        <v>4728</v>
      </c>
      <c r="N2363" s="9">
        <v>881</v>
      </c>
      <c r="O2363" s="9">
        <v>2470</v>
      </c>
      <c r="P2363" s="9">
        <v>2600</v>
      </c>
      <c r="R2363" s="11"/>
      <c r="S2363" s="9"/>
      <c r="T2363" s="9"/>
      <c r="U2363" s="9"/>
    </row>
    <row r="2364" spans="2:21" x14ac:dyDescent="0.4">
      <c r="B2364" s="16">
        <f t="shared" si="188"/>
        <v>45230</v>
      </c>
      <c r="C2364" s="1">
        <f t="shared" si="189"/>
        <v>4734</v>
      </c>
      <c r="D2364" s="1">
        <f t="shared" si="190"/>
        <v>881</v>
      </c>
      <c r="E2364" s="1">
        <f t="shared" si="191"/>
        <v>2530</v>
      </c>
      <c r="F2364" s="1">
        <f t="shared" si="192"/>
        <v>2600</v>
      </c>
      <c r="L2364" s="11">
        <v>45230</v>
      </c>
      <c r="M2364" s="9">
        <v>4734</v>
      </c>
      <c r="N2364" s="9">
        <v>881</v>
      </c>
      <c r="O2364" s="9">
        <v>2530</v>
      </c>
      <c r="P2364" s="9">
        <v>2600</v>
      </c>
      <c r="R2364" s="11"/>
      <c r="S2364" s="9"/>
      <c r="T2364" s="9"/>
      <c r="U2364" s="9"/>
    </row>
    <row r="2365" spans="2:21" x14ac:dyDescent="0.4">
      <c r="B2365" s="16">
        <f t="shared" si="188"/>
        <v>45231</v>
      </c>
      <c r="C2365" s="1">
        <f t="shared" si="189"/>
        <v>4728</v>
      </c>
      <c r="D2365" s="1">
        <f t="shared" si="190"/>
        <v>881</v>
      </c>
      <c r="E2365" s="1">
        <f t="shared" si="191"/>
        <v>2530</v>
      </c>
      <c r="F2365" s="1">
        <f t="shared" si="192"/>
        <v>2300</v>
      </c>
      <c r="L2365" s="11">
        <v>45231</v>
      </c>
      <c r="M2365" s="9">
        <v>4728</v>
      </c>
      <c r="N2365" s="9">
        <v>881</v>
      </c>
      <c r="O2365" s="9">
        <v>2530</v>
      </c>
      <c r="P2365" s="9">
        <v>2300</v>
      </c>
      <c r="R2365" s="11"/>
      <c r="S2365" s="9"/>
      <c r="T2365" s="9"/>
      <c r="U2365" s="9"/>
    </row>
    <row r="2366" spans="2:21" x14ac:dyDescent="0.4">
      <c r="B2366" s="16">
        <f t="shared" si="188"/>
        <v>45232</v>
      </c>
      <c r="C2366" s="1">
        <f t="shared" si="189"/>
        <v>4716</v>
      </c>
      <c r="D2366" s="1">
        <f t="shared" si="190"/>
        <v>871</v>
      </c>
      <c r="E2366" s="1">
        <f t="shared" si="191"/>
        <v>2530</v>
      </c>
      <c r="F2366" s="1">
        <f t="shared" si="192"/>
        <v>2300</v>
      </c>
      <c r="L2366" s="11">
        <v>45232</v>
      </c>
      <c r="M2366" s="9">
        <v>4716</v>
      </c>
      <c r="N2366" s="9">
        <v>871</v>
      </c>
      <c r="O2366" s="9">
        <v>2530</v>
      </c>
      <c r="P2366" s="9">
        <v>2300</v>
      </c>
      <c r="R2366" s="11"/>
      <c r="S2366" s="9"/>
      <c r="T2366" s="9"/>
      <c r="U2366" s="9"/>
    </row>
    <row r="2367" spans="2:21" x14ac:dyDescent="0.4">
      <c r="B2367" s="16">
        <f t="shared" si="188"/>
        <v>45233</v>
      </c>
      <c r="C2367" s="1">
        <f t="shared" si="189"/>
        <v>4724</v>
      </c>
      <c r="D2367" s="1">
        <f t="shared" si="190"/>
        <v>866</v>
      </c>
      <c r="E2367" s="1">
        <f t="shared" si="191"/>
        <v>2530</v>
      </c>
      <c r="F2367" s="1">
        <f t="shared" si="192"/>
        <v>2250</v>
      </c>
      <c r="L2367" s="11">
        <v>45233</v>
      </c>
      <c r="M2367" s="9">
        <v>4724</v>
      </c>
      <c r="N2367" s="9">
        <v>866</v>
      </c>
      <c r="O2367" s="9">
        <v>2530</v>
      </c>
      <c r="P2367" s="9">
        <v>2250</v>
      </c>
      <c r="R2367" s="11"/>
      <c r="S2367" s="9"/>
      <c r="T2367" s="9"/>
      <c r="U2367" s="9"/>
    </row>
    <row r="2368" spans="2:21" x14ac:dyDescent="0.4">
      <c r="B2368" s="16">
        <f t="shared" si="188"/>
        <v>45236</v>
      </c>
      <c r="C2368" s="1">
        <f t="shared" si="189"/>
        <v>4722</v>
      </c>
      <c r="D2368" s="1">
        <f t="shared" si="190"/>
        <v>866</v>
      </c>
      <c r="E2368" s="1">
        <f t="shared" si="191"/>
        <v>2550</v>
      </c>
      <c r="F2368" s="1">
        <f t="shared" si="192"/>
        <v>2250</v>
      </c>
      <c r="L2368" s="11">
        <v>45236</v>
      </c>
      <c r="M2368" s="9">
        <v>4722</v>
      </c>
      <c r="N2368" s="9">
        <v>866</v>
      </c>
      <c r="O2368" s="9">
        <v>2550</v>
      </c>
      <c r="P2368" s="9">
        <v>2250</v>
      </c>
      <c r="R2368" s="11"/>
      <c r="S2368" s="9"/>
      <c r="T2368" s="9"/>
      <c r="U2368" s="9"/>
    </row>
    <row r="2369" spans="2:21" x14ac:dyDescent="0.4">
      <c r="B2369" s="16">
        <f t="shared" si="188"/>
        <v>45237</v>
      </c>
      <c r="C2369" s="1">
        <f t="shared" si="189"/>
        <v>4729</v>
      </c>
      <c r="D2369" s="1">
        <f t="shared" si="190"/>
        <v>866</v>
      </c>
      <c r="E2369" s="1">
        <f t="shared" si="191"/>
        <v>2570</v>
      </c>
      <c r="F2369" s="1">
        <f t="shared" si="192"/>
        <v>2250</v>
      </c>
      <c r="L2369" s="11">
        <v>45237</v>
      </c>
      <c r="M2369" s="9">
        <v>4729</v>
      </c>
      <c r="N2369" s="9">
        <v>866</v>
      </c>
      <c r="O2369" s="9">
        <v>2570</v>
      </c>
      <c r="P2369" s="9">
        <v>2250</v>
      </c>
      <c r="R2369" s="11"/>
      <c r="S2369" s="9"/>
      <c r="T2369" s="9"/>
      <c r="U2369" s="9"/>
    </row>
    <row r="2370" spans="2:21" x14ac:dyDescent="0.4">
      <c r="B2370" s="16">
        <f t="shared" si="188"/>
        <v>45238</v>
      </c>
      <c r="C2370" s="1">
        <f t="shared" si="189"/>
        <v>4723</v>
      </c>
      <c r="D2370" s="1">
        <f t="shared" si="190"/>
        <v>866</v>
      </c>
      <c r="E2370" s="1">
        <f t="shared" si="191"/>
        <v>2580</v>
      </c>
      <c r="F2370" s="1">
        <f t="shared" si="192"/>
        <v>2250</v>
      </c>
      <c r="L2370" s="11">
        <v>45238</v>
      </c>
      <c r="M2370" s="9">
        <v>4723</v>
      </c>
      <c r="N2370" s="9">
        <v>866</v>
      </c>
      <c r="O2370" s="9">
        <v>2580</v>
      </c>
      <c r="P2370" s="9">
        <v>2250</v>
      </c>
      <c r="R2370" s="11"/>
      <c r="S2370" s="9"/>
      <c r="T2370" s="9"/>
      <c r="U2370" s="9"/>
    </row>
    <row r="2371" spans="2:21" x14ac:dyDescent="0.4">
      <c r="B2371" s="16">
        <f t="shared" si="188"/>
        <v>45239</v>
      </c>
      <c r="C2371" s="1">
        <f t="shared" si="189"/>
        <v>4729</v>
      </c>
      <c r="D2371" s="1">
        <f t="shared" si="190"/>
        <v>861</v>
      </c>
      <c r="E2371" s="1">
        <f t="shared" si="191"/>
        <v>2580</v>
      </c>
      <c r="F2371" s="1">
        <f t="shared" si="192"/>
        <v>2250</v>
      </c>
      <c r="L2371" s="11">
        <v>45239</v>
      </c>
      <c r="M2371" s="9">
        <v>4729</v>
      </c>
      <c r="N2371" s="9">
        <v>861</v>
      </c>
      <c r="O2371" s="9">
        <v>2580</v>
      </c>
      <c r="P2371" s="9">
        <v>2250</v>
      </c>
      <c r="R2371" s="11"/>
      <c r="S2371" s="9"/>
      <c r="T2371" s="9"/>
      <c r="U2371" s="9"/>
    </row>
    <row r="2372" spans="2:21" x14ac:dyDescent="0.4">
      <c r="B2372" s="16">
        <f t="shared" si="188"/>
        <v>45240</v>
      </c>
      <c r="C2372" s="1">
        <f t="shared" si="189"/>
        <v>4736</v>
      </c>
      <c r="D2372" s="1">
        <f t="shared" si="190"/>
        <v>861</v>
      </c>
      <c r="E2372" s="1">
        <f t="shared" si="191"/>
        <v>2580</v>
      </c>
      <c r="F2372" s="1">
        <f t="shared" si="192"/>
        <v>2250</v>
      </c>
      <c r="L2372" s="11">
        <v>45240</v>
      </c>
      <c r="M2372" s="9">
        <v>4736</v>
      </c>
      <c r="N2372" s="9">
        <v>861</v>
      </c>
      <c r="O2372" s="9">
        <v>2580</v>
      </c>
      <c r="P2372" s="9">
        <v>2250</v>
      </c>
      <c r="R2372" s="11"/>
      <c r="S2372" s="9"/>
      <c r="T2372" s="9"/>
      <c r="U2372" s="9"/>
    </row>
    <row r="2373" spans="2:21" x14ac:dyDescent="0.4">
      <c r="B2373" s="16">
        <f t="shared" si="188"/>
        <v>45243</v>
      </c>
      <c r="C2373" s="1">
        <f t="shared" si="189"/>
        <v>4719</v>
      </c>
      <c r="D2373" s="1">
        <f t="shared" si="190"/>
        <v>861</v>
      </c>
      <c r="E2373" s="1">
        <f t="shared" si="191"/>
        <v>2520</v>
      </c>
      <c r="F2373" s="1">
        <f t="shared" si="192"/>
        <v>2400</v>
      </c>
      <c r="L2373" s="11">
        <v>45243</v>
      </c>
      <c r="M2373" s="9">
        <v>4719</v>
      </c>
      <c r="N2373" s="9">
        <v>0</v>
      </c>
      <c r="O2373" s="9">
        <v>2520</v>
      </c>
      <c r="P2373" s="9">
        <v>2400</v>
      </c>
      <c r="R2373" s="11"/>
      <c r="S2373" s="9"/>
      <c r="T2373" s="9"/>
      <c r="U2373" s="9"/>
    </row>
    <row r="2374" spans="2:21" x14ac:dyDescent="0.4">
      <c r="B2374" s="16">
        <f t="shared" ref="B2374:B2437" si="193">L2374</f>
        <v>45244</v>
      </c>
      <c r="C2374" s="1">
        <f t="shared" si="189"/>
        <v>4727</v>
      </c>
      <c r="D2374" s="1">
        <f t="shared" si="190"/>
        <v>861</v>
      </c>
      <c r="E2374" s="1">
        <f t="shared" si="191"/>
        <v>2520</v>
      </c>
      <c r="F2374" s="1">
        <f t="shared" si="192"/>
        <v>2400</v>
      </c>
      <c r="L2374" s="11">
        <v>45244</v>
      </c>
      <c r="M2374" s="9">
        <v>4727</v>
      </c>
      <c r="N2374" s="9">
        <v>861</v>
      </c>
      <c r="O2374" s="9">
        <v>2520</v>
      </c>
      <c r="P2374" s="9">
        <v>2400</v>
      </c>
      <c r="R2374" s="11"/>
      <c r="S2374" s="9"/>
      <c r="T2374" s="9"/>
      <c r="U2374" s="9"/>
    </row>
    <row r="2375" spans="2:21" x14ac:dyDescent="0.4">
      <c r="B2375" s="16">
        <f t="shared" si="193"/>
        <v>45245</v>
      </c>
      <c r="C2375" s="1">
        <f t="shared" ref="C2375:C2438" si="194">IF(M2375&lt;&gt;0,M2375,C2374)</f>
        <v>4738</v>
      </c>
      <c r="D2375" s="1">
        <f t="shared" ref="D2375:D2438" si="195">IF(N2375&lt;&gt;0,N2375,D2374)</f>
        <v>861</v>
      </c>
      <c r="E2375" s="1">
        <f t="shared" ref="E2375:E2438" si="196">IF(O2375&lt;&gt;0,O2375,E2374)</f>
        <v>2520</v>
      </c>
      <c r="F2375" s="1">
        <f t="shared" si="192"/>
        <v>2400</v>
      </c>
      <c r="L2375" s="11">
        <v>45245</v>
      </c>
      <c r="M2375" s="9">
        <v>4738</v>
      </c>
      <c r="N2375" s="9">
        <v>861</v>
      </c>
      <c r="O2375" s="9">
        <v>2520</v>
      </c>
      <c r="P2375" s="9">
        <v>2400</v>
      </c>
      <c r="R2375" s="11"/>
      <c r="S2375" s="9"/>
      <c r="T2375" s="9"/>
      <c r="U2375" s="9"/>
    </row>
    <row r="2376" spans="2:21" x14ac:dyDescent="0.4">
      <c r="B2376" s="16">
        <f t="shared" si="193"/>
        <v>45246</v>
      </c>
      <c r="C2376" s="1">
        <f t="shared" si="194"/>
        <v>4745</v>
      </c>
      <c r="D2376" s="1">
        <f t="shared" si="195"/>
        <v>861</v>
      </c>
      <c r="E2376" s="1">
        <f t="shared" si="196"/>
        <v>2520</v>
      </c>
      <c r="F2376" s="1">
        <f t="shared" si="192"/>
        <v>2400</v>
      </c>
      <c r="L2376" s="11">
        <v>45246</v>
      </c>
      <c r="M2376" s="9">
        <v>4745</v>
      </c>
      <c r="N2376" s="9">
        <v>861</v>
      </c>
      <c r="O2376" s="9">
        <v>2520</v>
      </c>
      <c r="P2376" s="9">
        <v>2400</v>
      </c>
      <c r="R2376" s="11"/>
      <c r="S2376" s="9"/>
      <c r="T2376" s="9"/>
      <c r="U2376" s="9"/>
    </row>
    <row r="2377" spans="2:21" x14ac:dyDescent="0.4">
      <c r="B2377" s="16">
        <f t="shared" si="193"/>
        <v>45247</v>
      </c>
      <c r="C2377" s="1">
        <f t="shared" si="194"/>
        <v>4751</v>
      </c>
      <c r="D2377" s="1">
        <f t="shared" si="195"/>
        <v>861</v>
      </c>
      <c r="E2377" s="1">
        <f t="shared" si="196"/>
        <v>2510</v>
      </c>
      <c r="F2377" s="1">
        <f t="shared" si="192"/>
        <v>2400</v>
      </c>
      <c r="L2377" s="11">
        <v>45247</v>
      </c>
      <c r="M2377" s="9">
        <v>4751</v>
      </c>
      <c r="N2377" s="9">
        <v>861</v>
      </c>
      <c r="O2377" s="9">
        <v>2510</v>
      </c>
      <c r="P2377" s="9">
        <v>2400</v>
      </c>
      <c r="R2377" s="11"/>
      <c r="S2377" s="9"/>
      <c r="T2377" s="9"/>
      <c r="U2377" s="9"/>
    </row>
    <row r="2378" spans="2:21" x14ac:dyDescent="0.4">
      <c r="B2378" s="16">
        <f t="shared" si="193"/>
        <v>45250</v>
      </c>
      <c r="C2378" s="1">
        <f t="shared" si="194"/>
        <v>4768</v>
      </c>
      <c r="D2378" s="1">
        <f t="shared" si="195"/>
        <v>861</v>
      </c>
      <c r="E2378" s="1">
        <f t="shared" si="196"/>
        <v>2470</v>
      </c>
      <c r="F2378" s="1">
        <f t="shared" si="192"/>
        <v>2450</v>
      </c>
      <c r="L2378" s="11">
        <v>45250</v>
      </c>
      <c r="M2378" s="9">
        <v>4768</v>
      </c>
      <c r="N2378" s="9">
        <v>861</v>
      </c>
      <c r="O2378" s="9">
        <v>2470</v>
      </c>
      <c r="P2378" s="9">
        <v>2450</v>
      </c>
      <c r="R2378" s="11"/>
      <c r="S2378" s="9"/>
      <c r="T2378" s="9"/>
      <c r="U2378" s="9"/>
    </row>
    <row r="2379" spans="2:21" x14ac:dyDescent="0.4">
      <c r="B2379" s="16">
        <f t="shared" si="193"/>
        <v>45251</v>
      </c>
      <c r="C2379" s="1">
        <f t="shared" si="194"/>
        <v>4746</v>
      </c>
      <c r="D2379" s="1">
        <f t="shared" si="195"/>
        <v>861</v>
      </c>
      <c r="E2379" s="1">
        <f t="shared" si="196"/>
        <v>2460</v>
      </c>
      <c r="F2379" s="1">
        <f t="shared" si="192"/>
        <v>2450</v>
      </c>
      <c r="L2379" s="11">
        <v>45251</v>
      </c>
      <c r="M2379" s="9">
        <v>4746</v>
      </c>
      <c r="N2379" s="9">
        <v>861</v>
      </c>
      <c r="O2379" s="9">
        <v>2460</v>
      </c>
      <c r="P2379" s="9">
        <v>2450</v>
      </c>
      <c r="R2379" s="11"/>
      <c r="S2379" s="9"/>
      <c r="T2379" s="9"/>
      <c r="U2379" s="9"/>
    </row>
    <row r="2380" spans="2:21" x14ac:dyDescent="0.4">
      <c r="B2380" s="16">
        <f t="shared" si="193"/>
        <v>45252</v>
      </c>
      <c r="C2380" s="1">
        <f t="shared" si="194"/>
        <v>4740</v>
      </c>
      <c r="D2380" s="1">
        <f t="shared" si="195"/>
        <v>861</v>
      </c>
      <c r="E2380" s="1">
        <f t="shared" si="196"/>
        <v>2470</v>
      </c>
      <c r="F2380" s="1">
        <f t="shared" si="192"/>
        <v>2450</v>
      </c>
      <c r="L2380" s="11">
        <v>45252</v>
      </c>
      <c r="M2380" s="9">
        <v>4740</v>
      </c>
      <c r="N2380" s="9">
        <v>861</v>
      </c>
      <c r="O2380" s="9">
        <v>2470</v>
      </c>
      <c r="P2380" s="9">
        <v>2450</v>
      </c>
      <c r="R2380" s="11"/>
      <c r="S2380" s="9"/>
      <c r="T2380" s="9"/>
      <c r="U2380" s="9"/>
    </row>
    <row r="2381" spans="2:21" x14ac:dyDescent="0.4">
      <c r="B2381" s="16">
        <f t="shared" si="193"/>
        <v>45253</v>
      </c>
      <c r="C2381" s="1">
        <f t="shared" si="194"/>
        <v>4721</v>
      </c>
      <c r="D2381" s="1">
        <f t="shared" si="195"/>
        <v>861</v>
      </c>
      <c r="E2381" s="1">
        <f t="shared" si="196"/>
        <v>2470</v>
      </c>
      <c r="F2381" s="1">
        <f t="shared" si="192"/>
        <v>2450</v>
      </c>
      <c r="L2381" s="11">
        <v>45253</v>
      </c>
      <c r="M2381" s="9">
        <v>4721</v>
      </c>
      <c r="N2381" s="9">
        <v>861</v>
      </c>
      <c r="O2381" s="9">
        <v>2470</v>
      </c>
      <c r="P2381" s="9">
        <v>2450</v>
      </c>
      <c r="R2381" s="11"/>
      <c r="S2381" s="9"/>
      <c r="T2381" s="9"/>
      <c r="U2381" s="9"/>
    </row>
    <row r="2382" spans="2:21" x14ac:dyDescent="0.4">
      <c r="B2382" s="16">
        <f t="shared" si="193"/>
        <v>45254</v>
      </c>
      <c r="C2382" s="1">
        <f t="shared" si="194"/>
        <v>4701</v>
      </c>
      <c r="D2382" s="1">
        <f t="shared" si="195"/>
        <v>861</v>
      </c>
      <c r="E2382" s="1">
        <f t="shared" si="196"/>
        <v>2470</v>
      </c>
      <c r="F2382" s="1">
        <f t="shared" si="192"/>
        <v>2450</v>
      </c>
      <c r="L2382" s="11">
        <v>45254</v>
      </c>
      <c r="M2382" s="9">
        <v>4701</v>
      </c>
      <c r="N2382" s="9">
        <v>861</v>
      </c>
      <c r="O2382" s="9">
        <v>2470</v>
      </c>
      <c r="P2382" s="9">
        <v>2450</v>
      </c>
      <c r="R2382" s="11"/>
      <c r="S2382" s="9"/>
      <c r="T2382" s="9"/>
      <c r="U2382" s="9"/>
    </row>
    <row r="2383" spans="2:21" x14ac:dyDescent="0.4">
      <c r="B2383" s="16">
        <f t="shared" si="193"/>
        <v>45257</v>
      </c>
      <c r="C2383" s="1">
        <f t="shared" si="194"/>
        <v>4684</v>
      </c>
      <c r="D2383" s="1">
        <f t="shared" si="195"/>
        <v>861</v>
      </c>
      <c r="E2383" s="1">
        <f t="shared" si="196"/>
        <v>2450</v>
      </c>
      <c r="F2383" s="1">
        <f t="shared" si="192"/>
        <v>2700</v>
      </c>
      <c r="L2383" s="11">
        <v>45257</v>
      </c>
      <c r="M2383" s="9">
        <v>4684</v>
      </c>
      <c r="N2383" s="9">
        <v>861</v>
      </c>
      <c r="O2383" s="9">
        <v>2450</v>
      </c>
      <c r="P2383" s="9">
        <v>2700</v>
      </c>
      <c r="R2383" s="11"/>
      <c r="S2383" s="9"/>
      <c r="T2383" s="9"/>
      <c r="U2383" s="9"/>
    </row>
    <row r="2384" spans="2:21" x14ac:dyDescent="0.4">
      <c r="B2384" s="16">
        <f t="shared" si="193"/>
        <v>45258</v>
      </c>
      <c r="C2384" s="1">
        <f t="shared" si="194"/>
        <v>4667</v>
      </c>
      <c r="D2384" s="1">
        <f t="shared" si="195"/>
        <v>861</v>
      </c>
      <c r="E2384" s="1">
        <f t="shared" si="196"/>
        <v>2440</v>
      </c>
      <c r="F2384" s="1">
        <f t="shared" si="192"/>
        <v>2700</v>
      </c>
      <c r="L2384" s="11">
        <v>45258</v>
      </c>
      <c r="M2384" s="9">
        <v>4667</v>
      </c>
      <c r="N2384" s="9">
        <v>861</v>
      </c>
      <c r="O2384" s="9">
        <v>2440</v>
      </c>
      <c r="P2384" s="9">
        <v>2700</v>
      </c>
      <c r="R2384" s="11"/>
      <c r="S2384" s="9"/>
      <c r="T2384" s="9"/>
      <c r="U2384" s="9"/>
    </row>
    <row r="2385" spans="2:21" x14ac:dyDescent="0.4">
      <c r="B2385" s="16">
        <f t="shared" si="193"/>
        <v>45259</v>
      </c>
      <c r="C2385" s="1">
        <f t="shared" si="194"/>
        <v>4642</v>
      </c>
      <c r="D2385" s="1">
        <f t="shared" si="195"/>
        <v>861</v>
      </c>
      <c r="E2385" s="1">
        <f t="shared" si="196"/>
        <v>2440</v>
      </c>
      <c r="F2385" s="1">
        <f t="shared" si="192"/>
        <v>2750</v>
      </c>
      <c r="L2385" s="11">
        <v>45259</v>
      </c>
      <c r="M2385" s="9">
        <v>4642</v>
      </c>
      <c r="N2385" s="9">
        <v>861</v>
      </c>
      <c r="O2385" s="9">
        <v>2440</v>
      </c>
      <c r="P2385" s="9">
        <v>2750</v>
      </c>
      <c r="R2385" s="11"/>
      <c r="S2385" s="9"/>
      <c r="T2385" s="9"/>
      <c r="U2385" s="9"/>
    </row>
    <row r="2386" spans="2:21" x14ac:dyDescent="0.4">
      <c r="B2386" s="16">
        <f t="shared" si="193"/>
        <v>45260</v>
      </c>
      <c r="C2386" s="1">
        <f t="shared" si="194"/>
        <v>4634</v>
      </c>
      <c r="D2386" s="1">
        <f t="shared" si="195"/>
        <v>861</v>
      </c>
      <c r="E2386" s="1">
        <f t="shared" si="196"/>
        <v>2450</v>
      </c>
      <c r="F2386" s="1">
        <f t="shared" si="192"/>
        <v>2750</v>
      </c>
      <c r="L2386" s="11">
        <v>45260</v>
      </c>
      <c r="M2386" s="9">
        <v>4634</v>
      </c>
      <c r="N2386" s="9">
        <v>861</v>
      </c>
      <c r="O2386" s="9">
        <v>2450</v>
      </c>
      <c r="P2386" s="9">
        <v>2750</v>
      </c>
      <c r="R2386" s="11"/>
      <c r="S2386" s="9"/>
      <c r="T2386" s="9"/>
      <c r="U2386" s="9"/>
    </row>
    <row r="2387" spans="2:21" x14ac:dyDescent="0.4">
      <c r="B2387" s="16">
        <f t="shared" si="193"/>
        <v>45261</v>
      </c>
      <c r="C2387" s="1">
        <f t="shared" si="194"/>
        <v>4629</v>
      </c>
      <c r="D2387" s="1">
        <f t="shared" si="195"/>
        <v>861</v>
      </c>
      <c r="E2387" s="1">
        <f t="shared" si="196"/>
        <v>2450</v>
      </c>
      <c r="F2387" s="1">
        <f t="shared" si="192"/>
        <v>2750</v>
      </c>
      <c r="L2387" s="11">
        <v>45261</v>
      </c>
      <c r="M2387" s="9">
        <v>4629</v>
      </c>
      <c r="N2387" s="9">
        <v>861</v>
      </c>
      <c r="O2387" s="9">
        <v>2450</v>
      </c>
      <c r="P2387" s="9">
        <v>2750</v>
      </c>
      <c r="R2387" s="11"/>
      <c r="S2387" s="9"/>
      <c r="T2387" s="9"/>
      <c r="U2387" s="9"/>
    </row>
    <row r="2388" spans="2:21" x14ac:dyDescent="0.4">
      <c r="B2388" s="16">
        <f t="shared" si="193"/>
        <v>45264</v>
      </c>
      <c r="C2388" s="1">
        <f t="shared" si="194"/>
        <v>4613</v>
      </c>
      <c r="D2388" s="1">
        <f t="shared" si="195"/>
        <v>861</v>
      </c>
      <c r="E2388" s="1">
        <f t="shared" si="196"/>
        <v>2440</v>
      </c>
      <c r="F2388" s="1">
        <f t="shared" si="192"/>
        <v>2900</v>
      </c>
      <c r="L2388" s="11">
        <v>45264</v>
      </c>
      <c r="M2388" s="9">
        <v>4613</v>
      </c>
      <c r="N2388" s="9">
        <v>861</v>
      </c>
      <c r="O2388" s="9">
        <v>2440</v>
      </c>
      <c r="P2388" s="9">
        <v>2900</v>
      </c>
      <c r="R2388" s="11"/>
      <c r="S2388" s="9"/>
      <c r="T2388" s="9"/>
      <c r="U2388" s="9"/>
    </row>
    <row r="2389" spans="2:21" x14ac:dyDescent="0.4">
      <c r="B2389" s="16">
        <f t="shared" si="193"/>
        <v>45265</v>
      </c>
      <c r="C2389" s="1">
        <f t="shared" si="194"/>
        <v>4597</v>
      </c>
      <c r="D2389" s="1">
        <f t="shared" si="195"/>
        <v>861</v>
      </c>
      <c r="E2389" s="1">
        <f t="shared" si="196"/>
        <v>2440</v>
      </c>
      <c r="F2389" s="1">
        <f t="shared" si="192"/>
        <v>2900</v>
      </c>
      <c r="L2389" s="11">
        <v>45265</v>
      </c>
      <c r="M2389" s="9">
        <v>4597</v>
      </c>
      <c r="N2389" s="9">
        <v>861</v>
      </c>
      <c r="O2389" s="9">
        <v>2440</v>
      </c>
      <c r="P2389" s="9">
        <v>2900</v>
      </c>
      <c r="R2389" s="11"/>
      <c r="S2389" s="9"/>
      <c r="T2389" s="9"/>
      <c r="U2389" s="9"/>
    </row>
    <row r="2390" spans="2:21" x14ac:dyDescent="0.4">
      <c r="B2390" s="16">
        <f t="shared" si="193"/>
        <v>45266</v>
      </c>
      <c r="C2390" s="1">
        <f t="shared" si="194"/>
        <v>4598</v>
      </c>
      <c r="D2390" s="1">
        <f t="shared" si="195"/>
        <v>851</v>
      </c>
      <c r="E2390" s="1">
        <f t="shared" si="196"/>
        <v>2450</v>
      </c>
      <c r="F2390" s="1">
        <f t="shared" si="192"/>
        <v>2900</v>
      </c>
      <c r="L2390" s="11">
        <v>45266</v>
      </c>
      <c r="M2390" s="9">
        <v>4598</v>
      </c>
      <c r="N2390" s="9">
        <v>851</v>
      </c>
      <c r="O2390" s="9">
        <v>2450</v>
      </c>
      <c r="P2390" s="9">
        <v>2900</v>
      </c>
      <c r="R2390" s="11"/>
      <c r="S2390" s="9"/>
      <c r="T2390" s="9"/>
      <c r="U2390" s="9"/>
    </row>
    <row r="2391" spans="2:21" x14ac:dyDescent="0.4">
      <c r="B2391" s="16">
        <f t="shared" si="193"/>
        <v>45267</v>
      </c>
      <c r="C2391" s="1">
        <f t="shared" si="194"/>
        <v>4600</v>
      </c>
      <c r="D2391" s="1">
        <f t="shared" si="195"/>
        <v>851</v>
      </c>
      <c r="E2391" s="1">
        <f t="shared" si="196"/>
        <v>2450</v>
      </c>
      <c r="F2391" s="1">
        <f t="shared" si="192"/>
        <v>2900</v>
      </c>
      <c r="L2391" s="11">
        <v>45267</v>
      </c>
      <c r="M2391" s="9">
        <v>4600</v>
      </c>
      <c r="N2391" s="9">
        <v>851</v>
      </c>
      <c r="O2391" s="9">
        <v>2450</v>
      </c>
      <c r="P2391" s="9">
        <v>2900</v>
      </c>
      <c r="R2391" s="11"/>
      <c r="S2391" s="9"/>
      <c r="T2391" s="9"/>
      <c r="U2391" s="9"/>
    </row>
    <row r="2392" spans="2:21" x14ac:dyDescent="0.4">
      <c r="B2392" s="16">
        <f t="shared" si="193"/>
        <v>45268</v>
      </c>
      <c r="C2392" s="1">
        <f t="shared" si="194"/>
        <v>4603</v>
      </c>
      <c r="D2392" s="1">
        <f t="shared" si="195"/>
        <v>851</v>
      </c>
      <c r="E2392" s="1">
        <f t="shared" si="196"/>
        <v>2450</v>
      </c>
      <c r="F2392" s="1">
        <f t="shared" si="192"/>
        <v>2900</v>
      </c>
      <c r="L2392" s="11">
        <v>45268</v>
      </c>
      <c r="M2392" s="9">
        <v>4603</v>
      </c>
      <c r="N2392" s="9">
        <v>851</v>
      </c>
      <c r="O2392" s="9">
        <v>2450</v>
      </c>
      <c r="P2392" s="9">
        <v>2900</v>
      </c>
      <c r="R2392" s="11"/>
      <c r="S2392" s="9"/>
      <c r="T2392" s="9"/>
      <c r="U2392" s="9"/>
    </row>
    <row r="2393" spans="2:21" x14ac:dyDescent="0.4">
      <c r="B2393" s="16">
        <f t="shared" si="193"/>
        <v>45271</v>
      </c>
      <c r="C2393" s="1">
        <f t="shared" si="194"/>
        <v>4610</v>
      </c>
      <c r="D2393" s="1">
        <f t="shared" si="195"/>
        <v>851</v>
      </c>
      <c r="E2393" s="1">
        <f t="shared" si="196"/>
        <v>2440</v>
      </c>
      <c r="F2393" s="1">
        <f t="shared" si="192"/>
        <v>2900</v>
      </c>
      <c r="L2393" s="11">
        <v>45271</v>
      </c>
      <c r="M2393" s="9">
        <v>4610</v>
      </c>
      <c r="N2393" s="9">
        <v>851</v>
      </c>
      <c r="O2393" s="9">
        <v>2440</v>
      </c>
      <c r="P2393" s="9">
        <v>2900</v>
      </c>
      <c r="R2393" s="11"/>
      <c r="S2393" s="9"/>
      <c r="T2393" s="9"/>
      <c r="U2393" s="9"/>
    </row>
    <row r="2394" spans="2:21" x14ac:dyDescent="0.4">
      <c r="B2394" s="16">
        <f t="shared" si="193"/>
        <v>45272</v>
      </c>
      <c r="C2394" s="1">
        <f t="shared" si="194"/>
        <v>4595</v>
      </c>
      <c r="D2394" s="1">
        <f t="shared" si="195"/>
        <v>851</v>
      </c>
      <c r="E2394" s="1">
        <f t="shared" si="196"/>
        <v>2440</v>
      </c>
      <c r="F2394" s="1">
        <f t="shared" si="192"/>
        <v>2900</v>
      </c>
      <c r="L2394" s="11">
        <v>45272</v>
      </c>
      <c r="M2394" s="9">
        <v>4595</v>
      </c>
      <c r="N2394" s="9">
        <v>851</v>
      </c>
      <c r="O2394" s="9">
        <v>2440</v>
      </c>
      <c r="P2394" s="9">
        <v>2900</v>
      </c>
      <c r="R2394" s="11"/>
      <c r="S2394" s="9"/>
      <c r="T2394" s="9"/>
      <c r="U2394" s="9"/>
    </row>
    <row r="2395" spans="2:21" x14ac:dyDescent="0.4">
      <c r="B2395" s="16">
        <f t="shared" si="193"/>
        <v>45273</v>
      </c>
      <c r="C2395" s="1">
        <f t="shared" si="194"/>
        <v>4595</v>
      </c>
      <c r="D2395" s="1">
        <f t="shared" si="195"/>
        <v>851</v>
      </c>
      <c r="E2395" s="1">
        <f t="shared" si="196"/>
        <v>2450</v>
      </c>
      <c r="F2395" s="1">
        <f t="shared" si="192"/>
        <v>2900</v>
      </c>
      <c r="L2395" s="11">
        <v>45273</v>
      </c>
      <c r="M2395" s="9">
        <v>4595</v>
      </c>
      <c r="N2395" s="9">
        <v>851</v>
      </c>
      <c r="O2395" s="9">
        <v>2450</v>
      </c>
      <c r="P2395" s="9">
        <v>2900</v>
      </c>
      <c r="R2395" s="11"/>
      <c r="S2395" s="9"/>
      <c r="T2395" s="9"/>
      <c r="U2395" s="9"/>
    </row>
    <row r="2396" spans="2:21" x14ac:dyDescent="0.4">
      <c r="B2396" s="16">
        <f t="shared" si="193"/>
        <v>45274</v>
      </c>
      <c r="C2396" s="1">
        <f t="shared" si="194"/>
        <v>4579</v>
      </c>
      <c r="D2396" s="1">
        <f t="shared" si="195"/>
        <v>866</v>
      </c>
      <c r="E2396" s="1">
        <f t="shared" si="196"/>
        <v>2450</v>
      </c>
      <c r="F2396" s="1">
        <f t="shared" si="192"/>
        <v>2900</v>
      </c>
      <c r="L2396" s="11">
        <v>45274</v>
      </c>
      <c r="M2396" s="9">
        <v>4579</v>
      </c>
      <c r="N2396" s="9">
        <v>866</v>
      </c>
      <c r="O2396" s="9">
        <v>2450</v>
      </c>
      <c r="P2396" s="9">
        <v>2900</v>
      </c>
      <c r="R2396" s="11"/>
      <c r="S2396" s="9"/>
      <c r="T2396" s="9"/>
      <c r="U2396" s="9"/>
    </row>
    <row r="2397" spans="2:21" x14ac:dyDescent="0.4">
      <c r="B2397" s="16">
        <f t="shared" si="193"/>
        <v>45275</v>
      </c>
      <c r="C2397" s="1">
        <f t="shared" si="194"/>
        <v>4586</v>
      </c>
      <c r="D2397" s="1">
        <f t="shared" si="195"/>
        <v>866</v>
      </c>
      <c r="E2397" s="1">
        <f t="shared" si="196"/>
        <v>2450</v>
      </c>
      <c r="F2397" s="1">
        <f t="shared" si="192"/>
        <v>2900</v>
      </c>
      <c r="L2397" s="11">
        <v>45275</v>
      </c>
      <c r="M2397" s="9">
        <v>4586</v>
      </c>
      <c r="N2397" s="9">
        <v>866</v>
      </c>
      <c r="O2397" s="9">
        <v>2450</v>
      </c>
      <c r="P2397" s="9">
        <v>2900</v>
      </c>
      <c r="R2397" s="11"/>
      <c r="S2397" s="9"/>
      <c r="T2397" s="9"/>
      <c r="U2397" s="9"/>
    </row>
    <row r="2398" spans="2:21" x14ac:dyDescent="0.4">
      <c r="B2398" s="16">
        <f t="shared" si="193"/>
        <v>45278</v>
      </c>
      <c r="C2398" s="1">
        <f t="shared" si="194"/>
        <v>4586</v>
      </c>
      <c r="D2398" s="1">
        <f t="shared" si="195"/>
        <v>866</v>
      </c>
      <c r="E2398" s="1">
        <f t="shared" si="196"/>
        <v>2440</v>
      </c>
      <c r="F2398" s="1">
        <f t="shared" si="192"/>
        <v>2900</v>
      </c>
      <c r="L2398" s="11">
        <v>45278</v>
      </c>
      <c r="M2398" s="9">
        <v>4586</v>
      </c>
      <c r="N2398" s="9">
        <v>866</v>
      </c>
      <c r="O2398" s="9">
        <v>2440</v>
      </c>
      <c r="P2398" s="9">
        <v>2900</v>
      </c>
      <c r="R2398" s="11"/>
      <c r="S2398" s="9"/>
      <c r="T2398" s="9"/>
      <c r="U2398" s="9"/>
    </row>
    <row r="2399" spans="2:21" x14ac:dyDescent="0.4">
      <c r="B2399" s="16">
        <f t="shared" si="193"/>
        <v>45279</v>
      </c>
      <c r="C2399" s="1">
        <f t="shared" si="194"/>
        <v>4605</v>
      </c>
      <c r="D2399" s="1">
        <f t="shared" si="195"/>
        <v>866</v>
      </c>
      <c r="E2399" s="1">
        <f t="shared" si="196"/>
        <v>2440</v>
      </c>
      <c r="F2399" s="1">
        <f t="shared" si="192"/>
        <v>2900</v>
      </c>
      <c r="L2399" s="11">
        <v>45279</v>
      </c>
      <c r="M2399" s="9">
        <v>4605</v>
      </c>
      <c r="N2399" s="9">
        <v>866</v>
      </c>
      <c r="O2399" s="9">
        <v>2440</v>
      </c>
      <c r="P2399" s="9">
        <v>2900</v>
      </c>
      <c r="R2399" s="11"/>
      <c r="S2399" s="9"/>
      <c r="T2399" s="9"/>
      <c r="U2399" s="9"/>
    </row>
    <row r="2400" spans="2:21" x14ac:dyDescent="0.4">
      <c r="B2400" s="16">
        <f t="shared" si="193"/>
        <v>45280</v>
      </c>
      <c r="C2400" s="1">
        <f t="shared" si="194"/>
        <v>4621</v>
      </c>
      <c r="D2400" s="1">
        <f t="shared" si="195"/>
        <v>866</v>
      </c>
      <c r="E2400" s="1">
        <f t="shared" si="196"/>
        <v>2430</v>
      </c>
      <c r="F2400" s="1">
        <f t="shared" si="192"/>
        <v>2900</v>
      </c>
      <c r="L2400" s="11">
        <v>45280</v>
      </c>
      <c r="M2400" s="9">
        <v>4621</v>
      </c>
      <c r="N2400" s="9">
        <v>866</v>
      </c>
      <c r="O2400" s="9">
        <v>2430</v>
      </c>
      <c r="P2400" s="9">
        <v>2900</v>
      </c>
      <c r="R2400" s="11"/>
      <c r="S2400" s="9"/>
      <c r="T2400" s="9"/>
      <c r="U2400" s="9"/>
    </row>
    <row r="2401" spans="2:21" x14ac:dyDescent="0.4">
      <c r="B2401" s="16">
        <f t="shared" si="193"/>
        <v>45281</v>
      </c>
      <c r="C2401" s="1">
        <f t="shared" si="194"/>
        <v>4649</v>
      </c>
      <c r="D2401" s="1">
        <f t="shared" si="195"/>
        <v>866</v>
      </c>
      <c r="E2401" s="1">
        <f t="shared" si="196"/>
        <v>2430</v>
      </c>
      <c r="F2401" s="1">
        <f t="shared" si="192"/>
        <v>2900</v>
      </c>
      <c r="L2401" s="11">
        <v>45281</v>
      </c>
      <c r="M2401" s="9">
        <v>4649</v>
      </c>
      <c r="N2401" s="9">
        <v>866</v>
      </c>
      <c r="O2401" s="9">
        <v>2430</v>
      </c>
      <c r="P2401" s="9">
        <v>2900</v>
      </c>
      <c r="R2401" s="11"/>
      <c r="S2401" s="9"/>
      <c r="T2401" s="9"/>
      <c r="U2401" s="9"/>
    </row>
    <row r="2402" spans="2:21" x14ac:dyDescent="0.4">
      <c r="B2402" s="16">
        <f t="shared" si="193"/>
        <v>45282</v>
      </c>
      <c r="C2402" s="1">
        <f t="shared" si="194"/>
        <v>4664</v>
      </c>
      <c r="D2402" s="1">
        <f t="shared" si="195"/>
        <v>866</v>
      </c>
      <c r="E2402" s="1">
        <f t="shared" si="196"/>
        <v>2430</v>
      </c>
      <c r="F2402" s="1">
        <f t="shared" si="192"/>
        <v>2900</v>
      </c>
      <c r="L2402" s="11">
        <v>45282</v>
      </c>
      <c r="M2402" s="9">
        <v>4664</v>
      </c>
      <c r="N2402" s="9">
        <v>866</v>
      </c>
      <c r="O2402" s="9">
        <v>2430</v>
      </c>
      <c r="P2402" s="9">
        <v>2900</v>
      </c>
      <c r="R2402" s="11"/>
      <c r="S2402" s="9"/>
      <c r="T2402" s="9"/>
      <c r="U2402" s="9"/>
    </row>
    <row r="2403" spans="2:21" x14ac:dyDescent="0.4">
      <c r="B2403" s="16">
        <f t="shared" si="193"/>
        <v>45285</v>
      </c>
      <c r="C2403" s="1">
        <f t="shared" si="194"/>
        <v>4680</v>
      </c>
      <c r="D2403" s="1">
        <f t="shared" si="195"/>
        <v>866</v>
      </c>
      <c r="E2403" s="1">
        <f t="shared" si="196"/>
        <v>2390</v>
      </c>
      <c r="F2403" s="1">
        <f t="shared" si="192"/>
        <v>2900</v>
      </c>
      <c r="L2403" s="11">
        <v>45285</v>
      </c>
      <c r="M2403" s="9">
        <v>4680</v>
      </c>
      <c r="N2403" s="9">
        <v>0</v>
      </c>
      <c r="O2403" s="9">
        <v>2390</v>
      </c>
      <c r="P2403" s="9">
        <v>2900</v>
      </c>
      <c r="R2403" s="11"/>
      <c r="S2403" s="9"/>
      <c r="T2403" s="9"/>
      <c r="U2403" s="9"/>
    </row>
    <row r="2404" spans="2:21" x14ac:dyDescent="0.4">
      <c r="B2404" s="16">
        <f t="shared" si="193"/>
        <v>45286</v>
      </c>
      <c r="C2404" s="1">
        <f t="shared" si="194"/>
        <v>4674</v>
      </c>
      <c r="D2404" s="1">
        <f t="shared" si="195"/>
        <v>861</v>
      </c>
      <c r="E2404" s="1">
        <f t="shared" si="196"/>
        <v>2370</v>
      </c>
      <c r="F2404" s="1">
        <f t="shared" si="192"/>
        <v>2900</v>
      </c>
      <c r="L2404" s="11">
        <v>45286</v>
      </c>
      <c r="M2404" s="9">
        <v>4674</v>
      </c>
      <c r="N2404" s="9">
        <v>861</v>
      </c>
      <c r="O2404" s="9">
        <v>2370</v>
      </c>
      <c r="P2404" s="9">
        <v>2900</v>
      </c>
      <c r="R2404" s="11"/>
      <c r="S2404" s="9"/>
      <c r="T2404" s="9"/>
      <c r="U2404" s="9"/>
    </row>
    <row r="2405" spans="2:21" x14ac:dyDescent="0.4">
      <c r="B2405" s="16">
        <f t="shared" si="193"/>
        <v>45287</v>
      </c>
      <c r="C2405" s="1">
        <f t="shared" si="194"/>
        <v>4661</v>
      </c>
      <c r="D2405" s="1">
        <f t="shared" si="195"/>
        <v>861</v>
      </c>
      <c r="E2405" s="1">
        <f t="shared" si="196"/>
        <v>2350</v>
      </c>
      <c r="F2405" s="1">
        <f t="shared" si="192"/>
        <v>2900</v>
      </c>
      <c r="L2405" s="11">
        <v>45287</v>
      </c>
      <c r="M2405" s="9">
        <v>4661</v>
      </c>
      <c r="N2405" s="9">
        <v>861</v>
      </c>
      <c r="O2405" s="9">
        <v>2350</v>
      </c>
      <c r="P2405" s="9">
        <v>2900</v>
      </c>
      <c r="R2405" s="11"/>
      <c r="S2405" s="9"/>
      <c r="T2405" s="9"/>
      <c r="U2405" s="9"/>
    </row>
    <row r="2406" spans="2:21" x14ac:dyDescent="0.4">
      <c r="B2406" s="16">
        <f t="shared" si="193"/>
        <v>45288</v>
      </c>
      <c r="C2406" s="1">
        <f t="shared" si="194"/>
        <v>4647</v>
      </c>
      <c r="D2406" s="1">
        <f t="shared" si="195"/>
        <v>861</v>
      </c>
      <c r="E2406" s="1">
        <f t="shared" si="196"/>
        <v>2330</v>
      </c>
      <c r="F2406" s="1">
        <f t="shared" si="192"/>
        <v>2850</v>
      </c>
      <c r="L2406" s="11">
        <v>45288</v>
      </c>
      <c r="M2406" s="9">
        <v>4647</v>
      </c>
      <c r="N2406" s="9">
        <v>861</v>
      </c>
      <c r="O2406" s="9">
        <v>2330</v>
      </c>
      <c r="P2406" s="9">
        <v>2850</v>
      </c>
      <c r="R2406" s="11"/>
      <c r="S2406" s="9"/>
      <c r="T2406" s="9"/>
      <c r="U2406" s="9"/>
    </row>
    <row r="2407" spans="2:21" x14ac:dyDescent="0.4">
      <c r="B2407" s="16">
        <f t="shared" si="193"/>
        <v>45289</v>
      </c>
      <c r="C2407" s="1">
        <f t="shared" si="194"/>
        <v>4635</v>
      </c>
      <c r="D2407" s="1">
        <f t="shared" si="195"/>
        <v>861</v>
      </c>
      <c r="E2407" s="1">
        <f t="shared" si="196"/>
        <v>2320</v>
      </c>
      <c r="F2407" s="1">
        <f t="shared" si="192"/>
        <v>2850</v>
      </c>
      <c r="L2407" s="11">
        <v>45289</v>
      </c>
      <c r="M2407" s="9">
        <v>4635</v>
      </c>
      <c r="N2407" s="9">
        <v>861</v>
      </c>
      <c r="O2407" s="9">
        <v>2320</v>
      </c>
      <c r="P2407" s="9">
        <v>2850</v>
      </c>
      <c r="R2407" s="11"/>
      <c r="S2407" s="9"/>
      <c r="T2407" s="9"/>
      <c r="U2407" s="9"/>
    </row>
    <row r="2408" spans="2:21" x14ac:dyDescent="0.4">
      <c r="B2408" s="16">
        <f t="shared" si="193"/>
        <v>45293</v>
      </c>
      <c r="C2408" s="1">
        <f t="shared" si="194"/>
        <v>4621</v>
      </c>
      <c r="D2408" s="1">
        <f t="shared" si="195"/>
        <v>861</v>
      </c>
      <c r="E2408" s="1">
        <f t="shared" si="196"/>
        <v>2330</v>
      </c>
      <c r="F2408" s="1">
        <f t="shared" si="192"/>
        <v>2800</v>
      </c>
      <c r="L2408" s="11">
        <v>45293</v>
      </c>
      <c r="M2408" s="9">
        <v>4621</v>
      </c>
      <c r="N2408" s="9">
        <v>861</v>
      </c>
      <c r="O2408" s="9">
        <v>2330</v>
      </c>
      <c r="P2408" s="9">
        <v>2800</v>
      </c>
      <c r="R2408" s="11"/>
      <c r="S2408" s="9"/>
      <c r="T2408" s="9"/>
      <c r="U2408" s="9"/>
    </row>
    <row r="2409" spans="2:21" x14ac:dyDescent="0.4">
      <c r="B2409" s="16">
        <f t="shared" si="193"/>
        <v>45294</v>
      </c>
      <c r="C2409" s="1">
        <f t="shared" si="194"/>
        <v>4623</v>
      </c>
      <c r="D2409" s="1">
        <f t="shared" si="195"/>
        <v>861</v>
      </c>
      <c r="E2409" s="1">
        <f t="shared" si="196"/>
        <v>2330</v>
      </c>
      <c r="F2409" s="1">
        <f t="shared" si="192"/>
        <v>2800</v>
      </c>
      <c r="L2409" s="11">
        <v>45294</v>
      </c>
      <c r="M2409" s="9">
        <v>4623</v>
      </c>
      <c r="N2409" s="9">
        <v>861</v>
      </c>
      <c r="O2409" s="9">
        <v>2330</v>
      </c>
      <c r="P2409" s="9">
        <v>2800</v>
      </c>
      <c r="R2409" s="11"/>
      <c r="S2409" s="9"/>
      <c r="T2409" s="9"/>
      <c r="U2409" s="9"/>
    </row>
    <row r="2410" spans="2:21" x14ac:dyDescent="0.4">
      <c r="B2410" s="16">
        <f t="shared" si="193"/>
        <v>45295</v>
      </c>
      <c r="C2410" s="1">
        <f t="shared" si="194"/>
        <v>4612</v>
      </c>
      <c r="D2410" s="1">
        <f t="shared" si="195"/>
        <v>861</v>
      </c>
      <c r="E2410" s="1">
        <f t="shared" si="196"/>
        <v>2350</v>
      </c>
      <c r="F2410" s="1">
        <f t="shared" si="192"/>
        <v>2800</v>
      </c>
      <c r="L2410" s="11">
        <v>45295</v>
      </c>
      <c r="M2410" s="9">
        <v>4612</v>
      </c>
      <c r="N2410" s="9">
        <v>861</v>
      </c>
      <c r="O2410" s="9">
        <v>2350</v>
      </c>
      <c r="P2410" s="9">
        <v>2800</v>
      </c>
      <c r="R2410" s="11"/>
      <c r="S2410" s="9"/>
      <c r="T2410" s="9"/>
      <c r="U2410" s="9"/>
    </row>
    <row r="2411" spans="2:21" x14ac:dyDescent="0.4">
      <c r="B2411" s="16">
        <f t="shared" si="193"/>
        <v>45296</v>
      </c>
      <c r="C2411" s="1">
        <f t="shared" si="194"/>
        <v>4614</v>
      </c>
      <c r="D2411" s="1">
        <f t="shared" si="195"/>
        <v>861</v>
      </c>
      <c r="E2411" s="1">
        <f t="shared" si="196"/>
        <v>2360</v>
      </c>
      <c r="F2411" s="1">
        <f t="shared" si="192"/>
        <v>2700</v>
      </c>
      <c r="L2411" s="11">
        <v>45296</v>
      </c>
      <c r="M2411" s="9">
        <v>4614</v>
      </c>
      <c r="N2411" s="9">
        <v>861</v>
      </c>
      <c r="O2411" s="9">
        <v>2360</v>
      </c>
      <c r="P2411" s="9">
        <v>2700</v>
      </c>
      <c r="R2411" s="11"/>
      <c r="S2411" s="9"/>
      <c r="T2411" s="9"/>
      <c r="U2411" s="9"/>
    </row>
    <row r="2412" spans="2:21" x14ac:dyDescent="0.4">
      <c r="B2412" s="16">
        <f t="shared" si="193"/>
        <v>45299</v>
      </c>
      <c r="C2412" s="1">
        <f t="shared" si="194"/>
        <v>4604</v>
      </c>
      <c r="D2412" s="1">
        <f t="shared" si="195"/>
        <v>861</v>
      </c>
      <c r="E2412" s="1">
        <f t="shared" si="196"/>
        <v>2360</v>
      </c>
      <c r="F2412" s="1">
        <f t="shared" si="192"/>
        <v>2650</v>
      </c>
      <c r="L2412" s="11">
        <v>45299</v>
      </c>
      <c r="M2412" s="9">
        <v>4604</v>
      </c>
      <c r="N2412" s="9">
        <v>861</v>
      </c>
      <c r="O2412" s="9">
        <v>2360</v>
      </c>
      <c r="P2412" s="9">
        <v>2650</v>
      </c>
      <c r="R2412" s="11"/>
      <c r="S2412" s="9"/>
      <c r="T2412" s="9"/>
      <c r="U2412" s="9"/>
    </row>
    <row r="2413" spans="2:21" x14ac:dyDescent="0.4">
      <c r="B2413" s="16">
        <f t="shared" si="193"/>
        <v>45300</v>
      </c>
      <c r="C2413" s="1">
        <f t="shared" si="194"/>
        <v>4586</v>
      </c>
      <c r="D2413" s="1">
        <f t="shared" si="195"/>
        <v>856</v>
      </c>
      <c r="E2413" s="1">
        <f t="shared" si="196"/>
        <v>2360</v>
      </c>
      <c r="F2413" s="1">
        <f t="shared" si="192"/>
        <v>2650</v>
      </c>
      <c r="L2413" s="11">
        <v>45300</v>
      </c>
      <c r="M2413" s="9">
        <v>4586</v>
      </c>
      <c r="N2413" s="9">
        <v>856</v>
      </c>
      <c r="O2413" s="9">
        <v>2360</v>
      </c>
      <c r="P2413" s="9">
        <v>2650</v>
      </c>
      <c r="R2413" s="11"/>
      <c r="S2413" s="9"/>
      <c r="T2413" s="9"/>
      <c r="U2413" s="9"/>
    </row>
    <row r="2414" spans="2:21" x14ac:dyDescent="0.4">
      <c r="B2414" s="16">
        <f t="shared" si="193"/>
        <v>45301</v>
      </c>
      <c r="C2414" s="1">
        <f t="shared" si="194"/>
        <v>4552</v>
      </c>
      <c r="D2414" s="1">
        <f t="shared" si="195"/>
        <v>861</v>
      </c>
      <c r="E2414" s="1">
        <f t="shared" si="196"/>
        <v>2340</v>
      </c>
      <c r="F2414" s="1">
        <f t="shared" si="192"/>
        <v>2650</v>
      </c>
      <c r="L2414" s="11">
        <v>45301</v>
      </c>
      <c r="M2414" s="9">
        <v>4552</v>
      </c>
      <c r="N2414" s="9">
        <v>861</v>
      </c>
      <c r="O2414" s="9">
        <v>2340</v>
      </c>
      <c r="P2414" s="9">
        <v>2650</v>
      </c>
      <c r="R2414" s="11"/>
      <c r="S2414" s="9"/>
      <c r="T2414" s="9"/>
      <c r="U2414" s="9"/>
    </row>
    <row r="2415" spans="2:21" x14ac:dyDescent="0.4">
      <c r="B2415" s="16">
        <f t="shared" si="193"/>
        <v>45302</v>
      </c>
      <c r="C2415" s="1">
        <f t="shared" si="194"/>
        <v>4543</v>
      </c>
      <c r="D2415" s="1">
        <f t="shared" si="195"/>
        <v>866</v>
      </c>
      <c r="E2415" s="1">
        <f t="shared" si="196"/>
        <v>2320</v>
      </c>
      <c r="F2415" s="1">
        <f t="shared" si="192"/>
        <v>2550</v>
      </c>
      <c r="L2415" s="11">
        <v>45302</v>
      </c>
      <c r="M2415" s="9">
        <v>4543</v>
      </c>
      <c r="N2415" s="9">
        <v>866</v>
      </c>
      <c r="O2415" s="9">
        <v>2320</v>
      </c>
      <c r="P2415" s="9">
        <v>2550</v>
      </c>
      <c r="R2415" s="11"/>
      <c r="S2415" s="9"/>
      <c r="T2415" s="9"/>
      <c r="U2415" s="9"/>
    </row>
    <row r="2416" spans="2:21" x14ac:dyDescent="0.4">
      <c r="B2416" s="16">
        <f t="shared" si="193"/>
        <v>45303</v>
      </c>
      <c r="C2416" s="1">
        <f t="shared" si="194"/>
        <v>4546</v>
      </c>
      <c r="D2416" s="1">
        <f t="shared" si="195"/>
        <v>871</v>
      </c>
      <c r="E2416" s="1">
        <f t="shared" si="196"/>
        <v>2320</v>
      </c>
      <c r="F2416" s="1">
        <f t="shared" si="192"/>
        <v>2500</v>
      </c>
      <c r="L2416" s="11">
        <v>45303</v>
      </c>
      <c r="M2416" s="9">
        <v>4546</v>
      </c>
      <c r="N2416" s="9">
        <v>871</v>
      </c>
      <c r="O2416" s="9">
        <v>2320</v>
      </c>
      <c r="P2416" s="9">
        <v>2500</v>
      </c>
      <c r="R2416" s="11"/>
      <c r="S2416" s="9"/>
      <c r="T2416" s="9"/>
      <c r="U2416" s="9"/>
    </row>
    <row r="2417" spans="2:21" x14ac:dyDescent="0.4">
      <c r="B2417" s="16">
        <f t="shared" si="193"/>
        <v>45306</v>
      </c>
      <c r="C2417" s="1">
        <f t="shared" si="194"/>
        <v>4549</v>
      </c>
      <c r="D2417" s="1">
        <f t="shared" si="195"/>
        <v>876</v>
      </c>
      <c r="E2417" s="1">
        <f t="shared" si="196"/>
        <v>2300</v>
      </c>
      <c r="F2417" s="1">
        <f t="shared" si="192"/>
        <v>2500</v>
      </c>
      <c r="L2417" s="11">
        <v>45306</v>
      </c>
      <c r="M2417" s="9">
        <v>4549</v>
      </c>
      <c r="N2417" s="9">
        <v>876</v>
      </c>
      <c r="O2417" s="9">
        <v>2300</v>
      </c>
      <c r="P2417" s="9">
        <v>2500</v>
      </c>
      <c r="R2417" s="11"/>
      <c r="S2417" s="9"/>
      <c r="T2417" s="9"/>
      <c r="U2417" s="9"/>
    </row>
    <row r="2418" spans="2:21" x14ac:dyDescent="0.4">
      <c r="B2418" s="16">
        <f t="shared" si="193"/>
        <v>45307</v>
      </c>
      <c r="C2418" s="1">
        <f t="shared" si="194"/>
        <v>4556</v>
      </c>
      <c r="D2418" s="1">
        <f t="shared" si="195"/>
        <v>876</v>
      </c>
      <c r="E2418" s="1">
        <f t="shared" si="196"/>
        <v>2300</v>
      </c>
      <c r="F2418" s="1">
        <f t="shared" ref="F2418:F2481" si="197">IF(P2418&lt;&gt;0,P2418,F2417)</f>
        <v>2450</v>
      </c>
      <c r="L2418" s="11">
        <v>45307</v>
      </c>
      <c r="M2418" s="9">
        <v>4556</v>
      </c>
      <c r="N2418" s="9">
        <v>876</v>
      </c>
      <c r="O2418" s="9">
        <v>2300</v>
      </c>
      <c r="P2418" s="9">
        <v>2450</v>
      </c>
      <c r="R2418" s="11"/>
      <c r="S2418" s="9"/>
      <c r="T2418" s="9"/>
      <c r="U2418" s="9"/>
    </row>
    <row r="2419" spans="2:21" x14ac:dyDescent="0.4">
      <c r="B2419" s="16">
        <f t="shared" si="193"/>
        <v>45308</v>
      </c>
      <c r="C2419" s="1">
        <f t="shared" si="194"/>
        <v>4559</v>
      </c>
      <c r="D2419" s="1">
        <f t="shared" si="195"/>
        <v>876</v>
      </c>
      <c r="E2419" s="1">
        <f t="shared" si="196"/>
        <v>2290</v>
      </c>
      <c r="F2419" s="1">
        <f t="shared" si="197"/>
        <v>2450</v>
      </c>
      <c r="L2419" s="11">
        <v>45308</v>
      </c>
      <c r="M2419" s="9">
        <v>4559</v>
      </c>
      <c r="N2419" s="9">
        <v>876</v>
      </c>
      <c r="O2419" s="9">
        <v>2290</v>
      </c>
      <c r="P2419" s="9">
        <v>2450</v>
      </c>
      <c r="R2419" s="11"/>
      <c r="S2419" s="9"/>
      <c r="T2419" s="9"/>
      <c r="U2419" s="9"/>
    </row>
    <row r="2420" spans="2:21" x14ac:dyDescent="0.4">
      <c r="B2420" s="16">
        <f t="shared" si="193"/>
        <v>45309</v>
      </c>
      <c r="C2420" s="1">
        <f t="shared" si="194"/>
        <v>4568</v>
      </c>
      <c r="D2420" s="1">
        <f t="shared" si="195"/>
        <v>876</v>
      </c>
      <c r="E2420" s="1">
        <f t="shared" si="196"/>
        <v>2290</v>
      </c>
      <c r="F2420" s="1">
        <f t="shared" si="197"/>
        <v>2450</v>
      </c>
      <c r="L2420" s="11">
        <v>45309</v>
      </c>
      <c r="M2420" s="9">
        <v>4568</v>
      </c>
      <c r="N2420" s="9">
        <v>876</v>
      </c>
      <c r="O2420" s="9">
        <v>2290</v>
      </c>
      <c r="P2420" s="9">
        <v>2450</v>
      </c>
      <c r="R2420" s="11"/>
      <c r="S2420" s="9"/>
      <c r="T2420" s="9"/>
      <c r="U2420" s="9"/>
    </row>
    <row r="2421" spans="2:21" x14ac:dyDescent="0.4">
      <c r="B2421" s="16">
        <f t="shared" si="193"/>
        <v>45310</v>
      </c>
      <c r="C2421" s="1">
        <f t="shared" si="194"/>
        <v>4564</v>
      </c>
      <c r="D2421" s="1">
        <f t="shared" si="195"/>
        <v>881</v>
      </c>
      <c r="E2421" s="1">
        <f t="shared" si="196"/>
        <v>2290</v>
      </c>
      <c r="F2421" s="1">
        <f t="shared" si="197"/>
        <v>2400</v>
      </c>
      <c r="L2421" s="11">
        <v>45310</v>
      </c>
      <c r="M2421" s="9">
        <v>4564</v>
      </c>
      <c r="N2421" s="9">
        <v>881</v>
      </c>
      <c r="O2421" s="9">
        <v>2290</v>
      </c>
      <c r="P2421" s="9">
        <v>2400</v>
      </c>
      <c r="R2421" s="11"/>
      <c r="S2421" s="9"/>
      <c r="T2421" s="9"/>
      <c r="U2421" s="9"/>
    </row>
    <row r="2422" spans="2:21" x14ac:dyDescent="0.4">
      <c r="B2422" s="16">
        <f t="shared" si="193"/>
        <v>45313</v>
      </c>
      <c r="C2422" s="1">
        <f t="shared" si="194"/>
        <v>4585</v>
      </c>
      <c r="D2422" s="1">
        <f t="shared" si="195"/>
        <v>881</v>
      </c>
      <c r="E2422" s="1">
        <f t="shared" si="196"/>
        <v>2240</v>
      </c>
      <c r="F2422" s="1">
        <f t="shared" si="197"/>
        <v>2400</v>
      </c>
      <c r="L2422" s="11">
        <v>45313</v>
      </c>
      <c r="M2422" s="9">
        <v>4585</v>
      </c>
      <c r="N2422" s="9">
        <v>881</v>
      </c>
      <c r="O2422" s="9">
        <v>2240</v>
      </c>
      <c r="P2422" s="9">
        <v>2400</v>
      </c>
      <c r="R2422" s="11"/>
      <c r="S2422" s="9"/>
      <c r="T2422" s="9"/>
      <c r="U2422" s="9"/>
    </row>
    <row r="2423" spans="2:21" x14ac:dyDescent="0.4">
      <c r="B2423" s="16">
        <f t="shared" si="193"/>
        <v>45314</v>
      </c>
      <c r="C2423" s="1">
        <f t="shared" si="194"/>
        <v>4590</v>
      </c>
      <c r="D2423" s="1">
        <f t="shared" si="195"/>
        <v>896</v>
      </c>
      <c r="E2423" s="1">
        <f t="shared" si="196"/>
        <v>2210</v>
      </c>
      <c r="F2423" s="1">
        <f t="shared" si="197"/>
        <v>2400</v>
      </c>
      <c r="L2423" s="11">
        <v>45314</v>
      </c>
      <c r="M2423" s="9">
        <v>4590</v>
      </c>
      <c r="N2423" s="9">
        <v>896</v>
      </c>
      <c r="O2423" s="9">
        <v>2210</v>
      </c>
      <c r="P2423" s="9">
        <v>2400</v>
      </c>
      <c r="R2423" s="11"/>
      <c r="S2423" s="9"/>
      <c r="T2423" s="9"/>
      <c r="U2423" s="9"/>
    </row>
    <row r="2424" spans="2:21" x14ac:dyDescent="0.4">
      <c r="B2424" s="16">
        <f t="shared" si="193"/>
        <v>45315</v>
      </c>
      <c r="C2424" s="1">
        <f t="shared" si="194"/>
        <v>4590</v>
      </c>
      <c r="D2424" s="1">
        <f t="shared" si="195"/>
        <v>896</v>
      </c>
      <c r="E2424" s="1">
        <f t="shared" si="196"/>
        <v>2200</v>
      </c>
      <c r="F2424" s="1">
        <f t="shared" si="197"/>
        <v>2400</v>
      </c>
      <c r="L2424" s="11">
        <v>45315</v>
      </c>
      <c r="M2424" s="9">
        <v>4590</v>
      </c>
      <c r="N2424" s="9">
        <v>896</v>
      </c>
      <c r="O2424" s="9">
        <v>2200</v>
      </c>
      <c r="P2424" s="9">
        <v>2400</v>
      </c>
      <c r="R2424" s="11"/>
      <c r="S2424" s="9"/>
      <c r="T2424" s="9"/>
      <c r="U2424" s="9"/>
    </row>
    <row r="2425" spans="2:21" x14ac:dyDescent="0.4">
      <c r="B2425" s="16">
        <f t="shared" si="193"/>
        <v>45316</v>
      </c>
      <c r="C2425" s="1">
        <f t="shared" si="194"/>
        <v>4595</v>
      </c>
      <c r="D2425" s="1">
        <f t="shared" si="195"/>
        <v>901</v>
      </c>
      <c r="E2425" s="1">
        <f t="shared" si="196"/>
        <v>2190</v>
      </c>
      <c r="F2425" s="1">
        <f t="shared" si="197"/>
        <v>2400</v>
      </c>
      <c r="L2425" s="11">
        <v>45316</v>
      </c>
      <c r="M2425" s="9">
        <v>4595</v>
      </c>
      <c r="N2425" s="9">
        <v>901</v>
      </c>
      <c r="O2425" s="9">
        <v>2190</v>
      </c>
      <c r="P2425" s="9">
        <v>2400</v>
      </c>
      <c r="R2425" s="11"/>
      <c r="S2425" s="9"/>
      <c r="T2425" s="9"/>
      <c r="U2425" s="9"/>
    </row>
    <row r="2426" spans="2:21" x14ac:dyDescent="0.4">
      <c r="B2426" s="16">
        <f t="shared" si="193"/>
        <v>45317</v>
      </c>
      <c r="C2426" s="1">
        <f t="shared" si="194"/>
        <v>4606</v>
      </c>
      <c r="D2426" s="1">
        <f t="shared" si="195"/>
        <v>911</v>
      </c>
      <c r="E2426" s="1">
        <f t="shared" si="196"/>
        <v>2190</v>
      </c>
      <c r="F2426" s="1">
        <f t="shared" si="197"/>
        <v>2400</v>
      </c>
      <c r="L2426" s="11">
        <v>45317</v>
      </c>
      <c r="M2426" s="9">
        <v>4606</v>
      </c>
      <c r="N2426" s="9">
        <v>911</v>
      </c>
      <c r="O2426" s="9">
        <v>2190</v>
      </c>
      <c r="P2426" s="9">
        <v>2400</v>
      </c>
      <c r="R2426" s="11"/>
      <c r="S2426" s="9"/>
      <c r="T2426" s="9"/>
      <c r="U2426" s="9"/>
    </row>
    <row r="2427" spans="2:21" x14ac:dyDescent="0.4">
      <c r="B2427" s="16">
        <f t="shared" si="193"/>
        <v>45320</v>
      </c>
      <c r="C2427" s="1">
        <f t="shared" si="194"/>
        <v>4600</v>
      </c>
      <c r="D2427" s="1">
        <f t="shared" si="195"/>
        <v>911</v>
      </c>
      <c r="E2427" s="1">
        <f t="shared" si="196"/>
        <v>2210</v>
      </c>
      <c r="F2427" s="1">
        <f t="shared" si="197"/>
        <v>2400</v>
      </c>
      <c r="L2427" s="11">
        <v>45320</v>
      </c>
      <c r="M2427" s="9">
        <v>4600</v>
      </c>
      <c r="N2427" s="9">
        <v>911</v>
      </c>
      <c r="O2427" s="9">
        <v>2210</v>
      </c>
      <c r="P2427" s="9">
        <v>2400</v>
      </c>
      <c r="R2427" s="11"/>
      <c r="S2427" s="9"/>
      <c r="T2427" s="9"/>
      <c r="U2427" s="9"/>
    </row>
    <row r="2428" spans="2:21" x14ac:dyDescent="0.4">
      <c r="B2428" s="16">
        <f t="shared" si="193"/>
        <v>45321</v>
      </c>
      <c r="C2428" s="1">
        <f t="shared" si="194"/>
        <v>4604</v>
      </c>
      <c r="D2428" s="1">
        <f t="shared" si="195"/>
        <v>911</v>
      </c>
      <c r="E2428" s="1">
        <f t="shared" si="196"/>
        <v>2220</v>
      </c>
      <c r="F2428" s="1">
        <f t="shared" si="197"/>
        <v>2400</v>
      </c>
      <c r="L2428" s="11">
        <v>45321</v>
      </c>
      <c r="M2428" s="9">
        <v>4604</v>
      </c>
      <c r="N2428" s="9">
        <v>911</v>
      </c>
      <c r="O2428" s="9">
        <v>2220</v>
      </c>
      <c r="P2428" s="9">
        <v>2400</v>
      </c>
      <c r="R2428" s="11"/>
      <c r="S2428" s="9"/>
      <c r="T2428" s="9"/>
      <c r="U2428" s="9"/>
    </row>
    <row r="2429" spans="2:21" x14ac:dyDescent="0.4">
      <c r="B2429" s="16">
        <f t="shared" si="193"/>
        <v>45322</v>
      </c>
      <c r="C2429" s="1">
        <f t="shared" si="194"/>
        <v>4591</v>
      </c>
      <c r="D2429" s="1">
        <f t="shared" si="195"/>
        <v>921</v>
      </c>
      <c r="E2429" s="1">
        <f t="shared" si="196"/>
        <v>2230</v>
      </c>
      <c r="F2429" s="1">
        <f t="shared" si="197"/>
        <v>2400</v>
      </c>
      <c r="L2429" s="11">
        <v>45322</v>
      </c>
      <c r="M2429" s="9">
        <v>4591</v>
      </c>
      <c r="N2429" s="9">
        <v>921</v>
      </c>
      <c r="O2429" s="9">
        <v>2230</v>
      </c>
      <c r="P2429" s="9">
        <v>2400</v>
      </c>
      <c r="R2429" s="11"/>
      <c r="S2429" s="9"/>
      <c r="T2429" s="9"/>
      <c r="U2429" s="9"/>
    </row>
    <row r="2430" spans="2:21" x14ac:dyDescent="0.4">
      <c r="B2430" s="16">
        <f t="shared" si="193"/>
        <v>45323</v>
      </c>
      <c r="C2430" s="1">
        <f t="shared" si="194"/>
        <v>4580</v>
      </c>
      <c r="D2430" s="1">
        <f t="shared" si="195"/>
        <v>941</v>
      </c>
      <c r="E2430" s="1">
        <f t="shared" si="196"/>
        <v>2230</v>
      </c>
      <c r="F2430" s="1">
        <f t="shared" si="197"/>
        <v>2400</v>
      </c>
      <c r="L2430" s="11">
        <v>45323</v>
      </c>
      <c r="M2430" s="9">
        <v>4580</v>
      </c>
      <c r="N2430" s="9">
        <v>941</v>
      </c>
      <c r="O2430" s="9">
        <v>2230</v>
      </c>
      <c r="P2430" s="9">
        <v>2400</v>
      </c>
      <c r="R2430" s="11"/>
      <c r="S2430" s="9"/>
      <c r="T2430" s="9"/>
      <c r="U2430" s="9"/>
    </row>
    <row r="2431" spans="2:21" x14ac:dyDescent="0.4">
      <c r="B2431" s="16">
        <f t="shared" si="193"/>
        <v>45324</v>
      </c>
      <c r="C2431" s="1">
        <f t="shared" si="194"/>
        <v>4567</v>
      </c>
      <c r="D2431" s="1">
        <f t="shared" si="195"/>
        <v>941</v>
      </c>
      <c r="E2431" s="1">
        <f t="shared" si="196"/>
        <v>2230</v>
      </c>
      <c r="F2431" s="1">
        <f t="shared" si="197"/>
        <v>2400</v>
      </c>
      <c r="L2431" s="11">
        <v>45324</v>
      </c>
      <c r="M2431" s="9">
        <v>4567</v>
      </c>
      <c r="N2431" s="9">
        <v>941</v>
      </c>
      <c r="O2431" s="9">
        <v>2230</v>
      </c>
      <c r="P2431" s="9">
        <v>2400</v>
      </c>
      <c r="R2431" s="11"/>
      <c r="S2431" s="9"/>
      <c r="T2431" s="9"/>
      <c r="U2431" s="9"/>
    </row>
    <row r="2432" spans="2:21" x14ac:dyDescent="0.4">
      <c r="B2432" s="16">
        <f t="shared" si="193"/>
        <v>45326</v>
      </c>
      <c r="C2432" s="1">
        <f t="shared" si="194"/>
        <v>4555</v>
      </c>
      <c r="D2432" s="1">
        <f t="shared" si="195"/>
        <v>941</v>
      </c>
      <c r="E2432" s="1">
        <f t="shared" si="196"/>
        <v>2230</v>
      </c>
      <c r="F2432" s="1">
        <f t="shared" si="197"/>
        <v>2400</v>
      </c>
      <c r="L2432" s="11">
        <v>45326</v>
      </c>
      <c r="M2432" s="9">
        <v>4555</v>
      </c>
      <c r="N2432" s="9">
        <v>0</v>
      </c>
      <c r="O2432" s="9">
        <v>2230</v>
      </c>
      <c r="P2432" s="9">
        <v>2400</v>
      </c>
      <c r="R2432" s="11"/>
      <c r="S2432" s="9"/>
      <c r="T2432" s="9"/>
      <c r="U2432" s="9"/>
    </row>
    <row r="2433" spans="2:21" x14ac:dyDescent="0.4">
      <c r="B2433" s="16">
        <f t="shared" si="193"/>
        <v>45327</v>
      </c>
      <c r="C2433" s="1">
        <f t="shared" si="194"/>
        <v>4552</v>
      </c>
      <c r="D2433" s="1">
        <f t="shared" si="195"/>
        <v>941</v>
      </c>
      <c r="E2433" s="1">
        <f t="shared" si="196"/>
        <v>2220</v>
      </c>
      <c r="F2433" s="1">
        <f t="shared" si="197"/>
        <v>2400</v>
      </c>
      <c r="L2433" s="11">
        <v>45327</v>
      </c>
      <c r="M2433" s="9">
        <v>4552</v>
      </c>
      <c r="N2433" s="9">
        <v>941</v>
      </c>
      <c r="O2433" s="9">
        <v>2220</v>
      </c>
      <c r="P2433" s="9">
        <v>2400</v>
      </c>
      <c r="R2433" s="11"/>
      <c r="S2433" s="9"/>
      <c r="T2433" s="9"/>
      <c r="U2433" s="9"/>
    </row>
    <row r="2434" spans="2:21" x14ac:dyDescent="0.4">
      <c r="B2434" s="16">
        <f t="shared" si="193"/>
        <v>45328</v>
      </c>
      <c r="C2434" s="1">
        <f t="shared" si="194"/>
        <v>4551</v>
      </c>
      <c r="D2434" s="1">
        <f t="shared" si="195"/>
        <v>941</v>
      </c>
      <c r="E2434" s="1">
        <f t="shared" si="196"/>
        <v>2220</v>
      </c>
      <c r="F2434" s="1">
        <f t="shared" si="197"/>
        <v>2400</v>
      </c>
      <c r="L2434" s="11">
        <v>45328</v>
      </c>
      <c r="M2434" s="9">
        <v>4551</v>
      </c>
      <c r="N2434" s="9">
        <v>941</v>
      </c>
      <c r="O2434" s="9">
        <v>2220</v>
      </c>
      <c r="P2434" s="9">
        <v>2400</v>
      </c>
      <c r="R2434" s="11"/>
      <c r="S2434" s="9"/>
      <c r="T2434" s="9"/>
      <c r="U2434" s="9"/>
    </row>
    <row r="2435" spans="2:21" x14ac:dyDescent="0.4">
      <c r="B2435" s="16">
        <f t="shared" si="193"/>
        <v>45329</v>
      </c>
      <c r="C2435" s="1">
        <f t="shared" si="194"/>
        <v>4558</v>
      </c>
      <c r="D2435" s="1">
        <f t="shared" si="195"/>
        <v>941</v>
      </c>
      <c r="E2435" s="1">
        <f t="shared" si="196"/>
        <v>2220</v>
      </c>
      <c r="F2435" s="1">
        <f t="shared" si="197"/>
        <v>2400</v>
      </c>
      <c r="L2435" s="11">
        <v>45329</v>
      </c>
      <c r="M2435" s="9">
        <v>4558</v>
      </c>
      <c r="N2435" s="9">
        <v>941</v>
      </c>
      <c r="O2435" s="9">
        <v>2220</v>
      </c>
      <c r="P2435" s="9">
        <v>2400</v>
      </c>
      <c r="R2435" s="11"/>
      <c r="S2435" s="9"/>
      <c r="T2435" s="9"/>
      <c r="U2435" s="9"/>
    </row>
    <row r="2436" spans="2:21" x14ac:dyDescent="0.4">
      <c r="B2436" s="16">
        <f t="shared" si="193"/>
        <v>45330</v>
      </c>
      <c r="C2436" s="1">
        <f t="shared" si="194"/>
        <v>4568</v>
      </c>
      <c r="D2436" s="1">
        <f t="shared" si="195"/>
        <v>941</v>
      </c>
      <c r="E2436" s="1">
        <f t="shared" si="196"/>
        <v>2220</v>
      </c>
      <c r="F2436" s="1">
        <f t="shared" si="197"/>
        <v>2400</v>
      </c>
      <c r="L2436" s="11">
        <v>45330</v>
      </c>
      <c r="M2436" s="9">
        <v>4568</v>
      </c>
      <c r="N2436" s="9">
        <v>941</v>
      </c>
      <c r="O2436" s="9">
        <v>2220</v>
      </c>
      <c r="P2436" s="9">
        <v>2400</v>
      </c>
      <c r="R2436" s="11"/>
      <c r="S2436" s="9"/>
      <c r="T2436" s="9"/>
      <c r="U2436" s="9"/>
    </row>
    <row r="2437" spans="2:21" x14ac:dyDescent="0.4">
      <c r="B2437" s="16">
        <f t="shared" si="193"/>
        <v>45331</v>
      </c>
      <c r="C2437" s="1">
        <f t="shared" si="194"/>
        <v>4568</v>
      </c>
      <c r="D2437" s="1">
        <f t="shared" si="195"/>
        <v>941</v>
      </c>
      <c r="E2437" s="1">
        <f t="shared" si="196"/>
        <v>2220</v>
      </c>
      <c r="F2437" s="1">
        <f t="shared" si="197"/>
        <v>2400</v>
      </c>
      <c r="L2437" s="11">
        <v>45331</v>
      </c>
      <c r="M2437" s="9">
        <v>4568</v>
      </c>
      <c r="N2437" s="9">
        <v>941</v>
      </c>
      <c r="O2437" s="9">
        <v>2220</v>
      </c>
      <c r="P2437" s="9">
        <v>0</v>
      </c>
      <c r="R2437" s="11"/>
      <c r="S2437" s="9"/>
      <c r="T2437" s="9"/>
      <c r="U2437" s="9"/>
    </row>
    <row r="2438" spans="2:21" x14ac:dyDescent="0.4">
      <c r="B2438" s="16">
        <f t="shared" ref="B2438:B2501" si="198">L2438</f>
        <v>45335</v>
      </c>
      <c r="C2438" s="1">
        <f t="shared" si="194"/>
        <v>4568</v>
      </c>
      <c r="D2438" s="1">
        <f t="shared" si="195"/>
        <v>941</v>
      </c>
      <c r="E2438" s="1">
        <f t="shared" si="196"/>
        <v>2220</v>
      </c>
      <c r="F2438" s="1">
        <f t="shared" si="197"/>
        <v>2400</v>
      </c>
      <c r="L2438" s="11">
        <v>45335</v>
      </c>
      <c r="M2438" s="9">
        <v>0</v>
      </c>
      <c r="N2438" s="9">
        <v>941</v>
      </c>
      <c r="O2438" s="9">
        <v>0</v>
      </c>
      <c r="P2438" s="9">
        <v>0</v>
      </c>
      <c r="R2438" s="11"/>
      <c r="S2438" s="9"/>
      <c r="T2438" s="9"/>
      <c r="U2438" s="9"/>
    </row>
    <row r="2439" spans="2:21" x14ac:dyDescent="0.4">
      <c r="B2439" s="16">
        <f t="shared" si="198"/>
        <v>45336</v>
      </c>
      <c r="C2439" s="1">
        <f t="shared" ref="C2439:C2502" si="199">IF(M2439&lt;&gt;0,M2439,C2438)</f>
        <v>4568</v>
      </c>
      <c r="D2439" s="1">
        <f t="shared" ref="D2439:D2502" si="200">IF(N2439&lt;&gt;0,N2439,D2438)</f>
        <v>941</v>
      </c>
      <c r="E2439" s="1">
        <f t="shared" ref="E2439:E2502" si="201">IF(O2439&lt;&gt;0,O2439,E2438)</f>
        <v>2220</v>
      </c>
      <c r="F2439" s="1">
        <f t="shared" si="197"/>
        <v>2400</v>
      </c>
      <c r="L2439" s="11">
        <v>45336</v>
      </c>
      <c r="M2439" s="9">
        <v>0</v>
      </c>
      <c r="N2439" s="9">
        <v>941</v>
      </c>
      <c r="O2439" s="9">
        <v>0</v>
      </c>
      <c r="P2439" s="9">
        <v>0</v>
      </c>
      <c r="R2439" s="11"/>
      <c r="S2439" s="9"/>
      <c r="T2439" s="9"/>
      <c r="U2439" s="9"/>
    </row>
    <row r="2440" spans="2:21" x14ac:dyDescent="0.4">
      <c r="B2440" s="16">
        <f t="shared" si="198"/>
        <v>45337</v>
      </c>
      <c r="C2440" s="1">
        <f t="shared" si="199"/>
        <v>4568</v>
      </c>
      <c r="D2440" s="1">
        <f t="shared" si="200"/>
        <v>941</v>
      </c>
      <c r="E2440" s="1">
        <f t="shared" si="201"/>
        <v>2220</v>
      </c>
      <c r="F2440" s="1">
        <f t="shared" si="197"/>
        <v>2400</v>
      </c>
      <c r="L2440" s="11">
        <v>45337</v>
      </c>
      <c r="M2440" s="9">
        <v>0</v>
      </c>
      <c r="N2440" s="9">
        <v>941</v>
      </c>
      <c r="O2440" s="9">
        <v>0</v>
      </c>
      <c r="P2440" s="9">
        <v>0</v>
      </c>
      <c r="R2440" s="11"/>
      <c r="S2440" s="9"/>
      <c r="T2440" s="9"/>
      <c r="U2440" s="9"/>
    </row>
    <row r="2441" spans="2:21" x14ac:dyDescent="0.4">
      <c r="B2441" s="16">
        <f t="shared" si="198"/>
        <v>45338</v>
      </c>
      <c r="C2441" s="1">
        <f t="shared" si="199"/>
        <v>4568</v>
      </c>
      <c r="D2441" s="1">
        <f t="shared" si="200"/>
        <v>941</v>
      </c>
      <c r="E2441" s="1">
        <f t="shared" si="201"/>
        <v>2220</v>
      </c>
      <c r="F2441" s="1">
        <f t="shared" si="197"/>
        <v>2400</v>
      </c>
      <c r="L2441" s="11">
        <v>45338</v>
      </c>
      <c r="M2441" s="9">
        <v>0</v>
      </c>
      <c r="N2441" s="9">
        <v>941</v>
      </c>
      <c r="O2441" s="9">
        <v>0</v>
      </c>
      <c r="P2441" s="9">
        <v>0</v>
      </c>
      <c r="R2441" s="11"/>
      <c r="S2441" s="9"/>
      <c r="T2441" s="9"/>
      <c r="U2441" s="9"/>
    </row>
    <row r="2442" spans="2:21" x14ac:dyDescent="0.4">
      <c r="B2442" s="16">
        <f t="shared" si="198"/>
        <v>45340</v>
      </c>
      <c r="C2442" s="1">
        <f t="shared" si="199"/>
        <v>4592</v>
      </c>
      <c r="D2442" s="1">
        <f t="shared" si="200"/>
        <v>941</v>
      </c>
      <c r="E2442" s="1">
        <f t="shared" si="201"/>
        <v>2220</v>
      </c>
      <c r="F2442" s="1">
        <f t="shared" si="197"/>
        <v>2400</v>
      </c>
      <c r="L2442" s="11">
        <v>45340</v>
      </c>
      <c r="M2442" s="9">
        <v>4592</v>
      </c>
      <c r="N2442" s="9">
        <v>0</v>
      </c>
      <c r="O2442" s="9">
        <v>2220</v>
      </c>
      <c r="P2442" s="9">
        <v>2400</v>
      </c>
      <c r="R2442" s="11"/>
      <c r="S2442" s="9"/>
      <c r="T2442" s="9"/>
      <c r="U2442" s="9"/>
    </row>
    <row r="2443" spans="2:21" x14ac:dyDescent="0.4">
      <c r="B2443" s="16">
        <f t="shared" si="198"/>
        <v>45341</v>
      </c>
      <c r="C2443" s="1">
        <f t="shared" si="199"/>
        <v>4605</v>
      </c>
      <c r="D2443" s="1">
        <f t="shared" si="200"/>
        <v>951</v>
      </c>
      <c r="E2443" s="1">
        <f t="shared" si="201"/>
        <v>2280</v>
      </c>
      <c r="F2443" s="1">
        <f t="shared" si="197"/>
        <v>2300</v>
      </c>
      <c r="L2443" s="11">
        <v>45341</v>
      </c>
      <c r="M2443" s="9">
        <v>4605</v>
      </c>
      <c r="N2443" s="9">
        <v>951</v>
      </c>
      <c r="O2443" s="9">
        <v>2280</v>
      </c>
      <c r="P2443" s="9">
        <v>2300</v>
      </c>
      <c r="R2443" s="11"/>
      <c r="S2443" s="9"/>
      <c r="T2443" s="9"/>
      <c r="U2443" s="9"/>
    </row>
    <row r="2444" spans="2:21" x14ac:dyDescent="0.4">
      <c r="B2444" s="16">
        <f t="shared" si="198"/>
        <v>45342</v>
      </c>
      <c r="C2444" s="1">
        <f t="shared" si="199"/>
        <v>4603</v>
      </c>
      <c r="D2444" s="1">
        <f t="shared" si="200"/>
        <v>956</v>
      </c>
      <c r="E2444" s="1">
        <f t="shared" si="201"/>
        <v>2300</v>
      </c>
      <c r="F2444" s="1">
        <f t="shared" si="197"/>
        <v>2300</v>
      </c>
      <c r="L2444" s="11">
        <v>45342</v>
      </c>
      <c r="M2444" s="9">
        <v>4603</v>
      </c>
      <c r="N2444" s="9">
        <v>956</v>
      </c>
      <c r="O2444" s="9">
        <v>2300</v>
      </c>
      <c r="P2444" s="9">
        <v>2300</v>
      </c>
      <c r="R2444" s="11"/>
      <c r="S2444" s="9"/>
      <c r="T2444" s="9"/>
      <c r="U2444" s="9"/>
    </row>
    <row r="2445" spans="2:21" x14ac:dyDescent="0.4">
      <c r="B2445" s="16">
        <f t="shared" si="198"/>
        <v>45343</v>
      </c>
      <c r="C2445" s="1">
        <f t="shared" si="199"/>
        <v>4596</v>
      </c>
      <c r="D2445" s="1">
        <f t="shared" si="200"/>
        <v>956</v>
      </c>
      <c r="E2445" s="1">
        <f t="shared" si="201"/>
        <v>2300</v>
      </c>
      <c r="F2445" s="1">
        <f t="shared" si="197"/>
        <v>2300</v>
      </c>
      <c r="L2445" s="11">
        <v>45343</v>
      </c>
      <c r="M2445" s="9">
        <v>4596</v>
      </c>
      <c r="N2445" s="9">
        <v>956</v>
      </c>
      <c r="O2445" s="9">
        <v>2300</v>
      </c>
      <c r="P2445" s="9">
        <v>2300</v>
      </c>
      <c r="R2445" s="11"/>
      <c r="S2445" s="9"/>
      <c r="T2445" s="9"/>
      <c r="U2445" s="9"/>
    </row>
    <row r="2446" spans="2:21" x14ac:dyDescent="0.4">
      <c r="B2446" s="16">
        <f t="shared" si="198"/>
        <v>45344</v>
      </c>
      <c r="C2446" s="1">
        <f t="shared" si="199"/>
        <v>4605</v>
      </c>
      <c r="D2446" s="1">
        <f t="shared" si="200"/>
        <v>956</v>
      </c>
      <c r="E2446" s="1">
        <f t="shared" si="201"/>
        <v>2300</v>
      </c>
      <c r="F2446" s="1">
        <f t="shared" si="197"/>
        <v>2300</v>
      </c>
      <c r="L2446" s="11">
        <v>45344</v>
      </c>
      <c r="M2446" s="9">
        <v>4605</v>
      </c>
      <c r="N2446" s="9">
        <v>956</v>
      </c>
      <c r="O2446" s="9">
        <v>2300</v>
      </c>
      <c r="P2446" s="9">
        <v>2300</v>
      </c>
      <c r="R2446" s="11"/>
      <c r="S2446" s="9"/>
      <c r="T2446" s="9"/>
      <c r="U2446" s="9"/>
    </row>
    <row r="2447" spans="2:21" x14ac:dyDescent="0.4">
      <c r="B2447" s="16">
        <f t="shared" si="198"/>
        <v>45345</v>
      </c>
      <c r="C2447" s="1">
        <f t="shared" si="199"/>
        <v>4605</v>
      </c>
      <c r="D2447" s="1">
        <f t="shared" si="200"/>
        <v>956</v>
      </c>
      <c r="E2447" s="1">
        <f t="shared" si="201"/>
        <v>2300</v>
      </c>
      <c r="F2447" s="1">
        <f t="shared" si="197"/>
        <v>2300</v>
      </c>
      <c r="L2447" s="11">
        <v>45345</v>
      </c>
      <c r="M2447" s="9">
        <v>4605</v>
      </c>
      <c r="N2447" s="9">
        <v>956</v>
      </c>
      <c r="O2447" s="9">
        <v>2300</v>
      </c>
      <c r="P2447" s="9">
        <v>2300</v>
      </c>
      <c r="R2447" s="11"/>
      <c r="S2447" s="9"/>
      <c r="T2447" s="9"/>
      <c r="U2447" s="9"/>
    </row>
    <row r="2448" spans="2:21" x14ac:dyDescent="0.4">
      <c r="B2448" s="16">
        <f t="shared" si="198"/>
        <v>45348</v>
      </c>
      <c r="C2448" s="1">
        <f t="shared" si="199"/>
        <v>4604</v>
      </c>
      <c r="D2448" s="1">
        <f t="shared" si="200"/>
        <v>956</v>
      </c>
      <c r="E2448" s="1">
        <f t="shared" si="201"/>
        <v>2270</v>
      </c>
      <c r="F2448" s="1">
        <f t="shared" si="197"/>
        <v>2250</v>
      </c>
      <c r="L2448" s="11">
        <v>45348</v>
      </c>
      <c r="M2448" s="9">
        <v>4604</v>
      </c>
      <c r="N2448" s="9">
        <v>956</v>
      </c>
      <c r="O2448" s="9">
        <v>2270</v>
      </c>
      <c r="P2448" s="9">
        <v>2250</v>
      </c>
      <c r="R2448" s="11"/>
      <c r="S2448" s="9"/>
      <c r="T2448" s="9"/>
      <c r="U2448" s="9"/>
    </row>
    <row r="2449" spans="2:21" x14ac:dyDescent="0.4">
      <c r="B2449" s="16">
        <f t="shared" si="198"/>
        <v>45349</v>
      </c>
      <c r="C2449" s="1">
        <f t="shared" si="199"/>
        <v>4611</v>
      </c>
      <c r="D2449" s="1">
        <f t="shared" si="200"/>
        <v>956</v>
      </c>
      <c r="E2449" s="1">
        <f t="shared" si="201"/>
        <v>2260</v>
      </c>
      <c r="F2449" s="1">
        <f t="shared" si="197"/>
        <v>2200</v>
      </c>
      <c r="L2449" s="11">
        <v>45349</v>
      </c>
      <c r="M2449" s="9">
        <v>4611</v>
      </c>
      <c r="N2449" s="9">
        <v>956</v>
      </c>
      <c r="O2449" s="9">
        <v>2260</v>
      </c>
      <c r="P2449" s="9">
        <v>2200</v>
      </c>
      <c r="R2449" s="11"/>
      <c r="S2449" s="9"/>
      <c r="T2449" s="9"/>
      <c r="U2449" s="9"/>
    </row>
    <row r="2450" spans="2:21" x14ac:dyDescent="0.4">
      <c r="B2450" s="16">
        <f t="shared" si="198"/>
        <v>45350</v>
      </c>
      <c r="C2450" s="1">
        <f t="shared" si="199"/>
        <v>4626</v>
      </c>
      <c r="D2450" s="1">
        <f t="shared" si="200"/>
        <v>951</v>
      </c>
      <c r="E2450" s="1">
        <f t="shared" si="201"/>
        <v>2270</v>
      </c>
      <c r="F2450" s="1">
        <f t="shared" si="197"/>
        <v>2200</v>
      </c>
      <c r="L2450" s="11">
        <v>45350</v>
      </c>
      <c r="M2450" s="9">
        <v>4626</v>
      </c>
      <c r="N2450" s="9">
        <v>951</v>
      </c>
      <c r="O2450" s="9">
        <v>2270</v>
      </c>
      <c r="P2450" s="9">
        <v>2200</v>
      </c>
      <c r="R2450" s="11"/>
      <c r="S2450" s="9"/>
      <c r="T2450" s="9"/>
      <c r="U2450" s="9"/>
    </row>
    <row r="2451" spans="2:21" x14ac:dyDescent="0.4">
      <c r="B2451" s="16">
        <f t="shared" si="198"/>
        <v>45351</v>
      </c>
      <c r="C2451" s="1">
        <f t="shared" si="199"/>
        <v>4623</v>
      </c>
      <c r="D2451" s="1">
        <f t="shared" si="200"/>
        <v>951</v>
      </c>
      <c r="E2451" s="1">
        <f t="shared" si="201"/>
        <v>2270</v>
      </c>
      <c r="F2451" s="1">
        <f t="shared" si="197"/>
        <v>2200</v>
      </c>
      <c r="L2451" s="11">
        <v>45351</v>
      </c>
      <c r="M2451" s="9">
        <v>4623</v>
      </c>
      <c r="N2451" s="9">
        <v>951</v>
      </c>
      <c r="O2451" s="9">
        <v>2270</v>
      </c>
      <c r="P2451" s="9">
        <v>2200</v>
      </c>
      <c r="R2451" s="11"/>
      <c r="S2451" s="9"/>
      <c r="T2451" s="9"/>
      <c r="U2451" s="9"/>
    </row>
    <row r="2452" spans="2:21" x14ac:dyDescent="0.4">
      <c r="B2452" s="16">
        <f t="shared" si="198"/>
        <v>45352</v>
      </c>
      <c r="C2452" s="1">
        <f t="shared" si="199"/>
        <v>4621</v>
      </c>
      <c r="D2452" s="1">
        <f t="shared" si="200"/>
        <v>951</v>
      </c>
      <c r="E2452" s="1">
        <f t="shared" si="201"/>
        <v>2270</v>
      </c>
      <c r="F2452" s="1">
        <f t="shared" si="197"/>
        <v>2150</v>
      </c>
      <c r="L2452" s="11">
        <v>45352</v>
      </c>
      <c r="M2452" s="9">
        <v>4621</v>
      </c>
      <c r="N2452" s="9">
        <v>951</v>
      </c>
      <c r="O2452" s="9">
        <v>2270</v>
      </c>
      <c r="P2452" s="9">
        <v>2150</v>
      </c>
      <c r="R2452" s="11"/>
      <c r="S2452" s="9"/>
      <c r="T2452" s="9"/>
      <c r="U2452" s="9"/>
    </row>
    <row r="2453" spans="2:21" x14ac:dyDescent="0.4">
      <c r="B2453" s="16">
        <f t="shared" si="198"/>
        <v>45355</v>
      </c>
      <c r="C2453" s="1">
        <f t="shared" si="199"/>
        <v>4639</v>
      </c>
      <c r="D2453" s="1">
        <f t="shared" si="200"/>
        <v>951</v>
      </c>
      <c r="E2453" s="1">
        <f t="shared" si="201"/>
        <v>2280</v>
      </c>
      <c r="F2453" s="1">
        <f t="shared" si="197"/>
        <v>2100</v>
      </c>
      <c r="L2453" s="11">
        <v>45355</v>
      </c>
      <c r="M2453" s="9">
        <v>4639</v>
      </c>
      <c r="N2453" s="9">
        <v>951</v>
      </c>
      <c r="O2453" s="9">
        <v>2280</v>
      </c>
      <c r="P2453" s="9">
        <v>2100</v>
      </c>
      <c r="R2453" s="11"/>
      <c r="S2453" s="9"/>
      <c r="T2453" s="9"/>
      <c r="U2453" s="9"/>
    </row>
    <row r="2454" spans="2:21" x14ac:dyDescent="0.4">
      <c r="B2454" s="16">
        <f t="shared" si="198"/>
        <v>45356</v>
      </c>
      <c r="C2454" s="1">
        <f t="shared" si="199"/>
        <v>4648</v>
      </c>
      <c r="D2454" s="1">
        <f t="shared" si="200"/>
        <v>951</v>
      </c>
      <c r="E2454" s="1">
        <f t="shared" si="201"/>
        <v>2290</v>
      </c>
      <c r="F2454" s="1">
        <f t="shared" si="197"/>
        <v>2050</v>
      </c>
      <c r="L2454" s="11">
        <v>45356</v>
      </c>
      <c r="M2454" s="9">
        <v>4648</v>
      </c>
      <c r="N2454" s="9">
        <v>951</v>
      </c>
      <c r="O2454" s="9">
        <v>2290</v>
      </c>
      <c r="P2454" s="9">
        <v>2050</v>
      </c>
      <c r="R2454" s="11"/>
      <c r="S2454" s="9"/>
      <c r="T2454" s="9"/>
      <c r="U2454" s="9"/>
    </row>
    <row r="2455" spans="2:21" x14ac:dyDescent="0.4">
      <c r="B2455" s="16">
        <f t="shared" si="198"/>
        <v>45357</v>
      </c>
      <c r="C2455" s="1">
        <f t="shared" si="199"/>
        <v>4647</v>
      </c>
      <c r="D2455" s="1">
        <f t="shared" si="200"/>
        <v>951</v>
      </c>
      <c r="E2455" s="1">
        <f t="shared" si="201"/>
        <v>2300</v>
      </c>
      <c r="F2455" s="1">
        <f t="shared" si="197"/>
        <v>2050</v>
      </c>
      <c r="L2455" s="11">
        <v>45357</v>
      </c>
      <c r="M2455" s="9">
        <v>4647</v>
      </c>
      <c r="N2455" s="9">
        <v>951</v>
      </c>
      <c r="O2455" s="9">
        <v>2300</v>
      </c>
      <c r="P2455" s="9">
        <v>2050</v>
      </c>
      <c r="R2455" s="11"/>
      <c r="S2455" s="9"/>
      <c r="T2455" s="9"/>
      <c r="U2455" s="9"/>
    </row>
    <row r="2456" spans="2:21" x14ac:dyDescent="0.4">
      <c r="B2456" s="16">
        <f t="shared" si="198"/>
        <v>45358</v>
      </c>
      <c r="C2456" s="1">
        <f t="shared" si="199"/>
        <v>4655</v>
      </c>
      <c r="D2456" s="1">
        <f t="shared" si="200"/>
        <v>931</v>
      </c>
      <c r="E2456" s="1">
        <f t="shared" si="201"/>
        <v>2300</v>
      </c>
      <c r="F2456" s="1">
        <f t="shared" si="197"/>
        <v>2050</v>
      </c>
      <c r="L2456" s="11">
        <v>45358</v>
      </c>
      <c r="M2456" s="9">
        <v>4655</v>
      </c>
      <c r="N2456" s="9">
        <v>931</v>
      </c>
      <c r="O2456" s="9">
        <v>2300</v>
      </c>
      <c r="P2456" s="9">
        <v>2050</v>
      </c>
      <c r="R2456" s="11"/>
      <c r="S2456" s="9"/>
      <c r="T2456" s="9"/>
      <c r="U2456" s="9"/>
    </row>
    <row r="2457" spans="2:21" x14ac:dyDescent="0.4">
      <c r="B2457" s="16">
        <f t="shared" si="198"/>
        <v>45359</v>
      </c>
      <c r="C2457" s="1">
        <f t="shared" si="199"/>
        <v>4648</v>
      </c>
      <c r="D2457" s="1">
        <f t="shared" si="200"/>
        <v>931</v>
      </c>
      <c r="E2457" s="1">
        <f t="shared" si="201"/>
        <v>2300</v>
      </c>
      <c r="F2457" s="1">
        <f t="shared" si="197"/>
        <v>2050</v>
      </c>
      <c r="L2457" s="11">
        <v>45359</v>
      </c>
      <c r="M2457" s="9">
        <v>4648</v>
      </c>
      <c r="N2457" s="9">
        <v>931</v>
      </c>
      <c r="O2457" s="9">
        <v>2300</v>
      </c>
      <c r="P2457" s="9">
        <v>2050</v>
      </c>
      <c r="R2457" s="11"/>
      <c r="S2457" s="9"/>
      <c r="T2457" s="9"/>
      <c r="U2457" s="9"/>
    </row>
    <row r="2458" spans="2:21" x14ac:dyDescent="0.4">
      <c r="B2458" s="16">
        <f t="shared" si="198"/>
        <v>45362</v>
      </c>
      <c r="C2458" s="1">
        <f t="shared" si="199"/>
        <v>4661</v>
      </c>
      <c r="D2458" s="1">
        <f t="shared" si="200"/>
        <v>931</v>
      </c>
      <c r="E2458" s="1">
        <f t="shared" si="201"/>
        <v>2290</v>
      </c>
      <c r="F2458" s="1">
        <f t="shared" si="197"/>
        <v>2050</v>
      </c>
      <c r="L2458" s="11">
        <v>45362</v>
      </c>
      <c r="M2458" s="9">
        <v>4661</v>
      </c>
      <c r="N2458" s="9">
        <v>931</v>
      </c>
      <c r="O2458" s="9">
        <v>2290</v>
      </c>
      <c r="P2458" s="9">
        <v>2050</v>
      </c>
      <c r="R2458" s="11"/>
      <c r="S2458" s="9"/>
      <c r="T2458" s="9"/>
      <c r="U2458" s="9"/>
    </row>
    <row r="2459" spans="2:21" x14ac:dyDescent="0.4">
      <c r="B2459" s="16">
        <f t="shared" si="198"/>
        <v>45363</v>
      </c>
      <c r="C2459" s="1">
        <f t="shared" si="199"/>
        <v>4669</v>
      </c>
      <c r="D2459" s="1">
        <f t="shared" si="200"/>
        <v>931</v>
      </c>
      <c r="E2459" s="1">
        <f t="shared" si="201"/>
        <v>2290</v>
      </c>
      <c r="F2459" s="1">
        <f t="shared" si="197"/>
        <v>2050</v>
      </c>
      <c r="L2459" s="11">
        <v>45363</v>
      </c>
      <c r="M2459" s="9">
        <v>4669</v>
      </c>
      <c r="N2459" s="9">
        <v>931</v>
      </c>
      <c r="O2459" s="9">
        <v>2290</v>
      </c>
      <c r="P2459" s="9">
        <v>2050</v>
      </c>
      <c r="R2459" s="11"/>
      <c r="S2459" s="9"/>
      <c r="T2459" s="9"/>
      <c r="U2459" s="9"/>
    </row>
    <row r="2460" spans="2:21" x14ac:dyDescent="0.4">
      <c r="B2460" s="16">
        <f t="shared" si="198"/>
        <v>45364</v>
      </c>
      <c r="C2460" s="1">
        <f t="shared" si="199"/>
        <v>4670</v>
      </c>
      <c r="D2460" s="1">
        <f t="shared" si="200"/>
        <v>931</v>
      </c>
      <c r="E2460" s="1">
        <f t="shared" si="201"/>
        <v>2290</v>
      </c>
      <c r="F2460" s="1">
        <f t="shared" si="197"/>
        <v>2050</v>
      </c>
      <c r="L2460" s="11">
        <v>45364</v>
      </c>
      <c r="M2460" s="9">
        <v>4670</v>
      </c>
      <c r="N2460" s="9">
        <v>931</v>
      </c>
      <c r="O2460" s="9">
        <v>2290</v>
      </c>
      <c r="P2460" s="9">
        <v>2050</v>
      </c>
      <c r="R2460" s="11"/>
      <c r="S2460" s="9"/>
      <c r="T2460" s="9"/>
      <c r="U2460" s="9"/>
    </row>
    <row r="2461" spans="2:21" x14ac:dyDescent="0.4">
      <c r="B2461" s="16">
        <f t="shared" si="198"/>
        <v>45365</v>
      </c>
      <c r="C2461" s="1">
        <f t="shared" si="199"/>
        <v>4680</v>
      </c>
      <c r="D2461" s="1">
        <f t="shared" si="200"/>
        <v>931</v>
      </c>
      <c r="E2461" s="1">
        <f t="shared" si="201"/>
        <v>2290</v>
      </c>
      <c r="F2461" s="1">
        <f t="shared" si="197"/>
        <v>2050</v>
      </c>
      <c r="L2461" s="11">
        <v>45365</v>
      </c>
      <c r="M2461" s="9">
        <v>4680</v>
      </c>
      <c r="N2461" s="9">
        <v>931</v>
      </c>
      <c r="O2461" s="9">
        <v>2290</v>
      </c>
      <c r="P2461" s="9">
        <v>2050</v>
      </c>
      <c r="R2461" s="11"/>
      <c r="S2461" s="9"/>
      <c r="T2461" s="9"/>
      <c r="U2461" s="9"/>
    </row>
    <row r="2462" spans="2:21" x14ac:dyDescent="0.4">
      <c r="B2462" s="16">
        <f t="shared" si="198"/>
        <v>45366</v>
      </c>
      <c r="C2462" s="1">
        <f t="shared" si="199"/>
        <v>4700</v>
      </c>
      <c r="D2462" s="1">
        <f t="shared" si="200"/>
        <v>931</v>
      </c>
      <c r="E2462" s="1">
        <f t="shared" si="201"/>
        <v>2280</v>
      </c>
      <c r="F2462" s="1">
        <f t="shared" si="197"/>
        <v>2050</v>
      </c>
      <c r="L2462" s="11">
        <v>45366</v>
      </c>
      <c r="M2462" s="9">
        <v>4700</v>
      </c>
      <c r="N2462" s="9">
        <v>931</v>
      </c>
      <c r="O2462" s="9">
        <v>2280</v>
      </c>
      <c r="P2462" s="9">
        <v>2050</v>
      </c>
      <c r="R2462" s="11"/>
      <c r="S2462" s="9"/>
      <c r="T2462" s="9"/>
      <c r="U2462" s="9"/>
    </row>
    <row r="2463" spans="2:21" x14ac:dyDescent="0.4">
      <c r="B2463" s="16">
        <f t="shared" si="198"/>
        <v>45369</v>
      </c>
      <c r="C2463" s="1">
        <f t="shared" si="199"/>
        <v>4665</v>
      </c>
      <c r="D2463" s="1">
        <f t="shared" si="200"/>
        <v>931</v>
      </c>
      <c r="E2463" s="1">
        <f t="shared" si="201"/>
        <v>2260</v>
      </c>
      <c r="F2463" s="1">
        <f t="shared" si="197"/>
        <v>2050</v>
      </c>
      <c r="L2463" s="11">
        <v>45369</v>
      </c>
      <c r="M2463" s="9">
        <v>4665</v>
      </c>
      <c r="N2463" s="9">
        <v>931</v>
      </c>
      <c r="O2463" s="9">
        <v>2260</v>
      </c>
      <c r="P2463" s="9">
        <v>2050</v>
      </c>
      <c r="R2463" s="11"/>
      <c r="S2463" s="9"/>
      <c r="T2463" s="9"/>
      <c r="U2463" s="9"/>
    </row>
    <row r="2464" spans="2:21" x14ac:dyDescent="0.4">
      <c r="B2464" s="16">
        <f t="shared" si="198"/>
        <v>45370</v>
      </c>
      <c r="C2464" s="1">
        <f t="shared" si="199"/>
        <v>4673</v>
      </c>
      <c r="D2464" s="1">
        <f t="shared" si="200"/>
        <v>931</v>
      </c>
      <c r="E2464" s="1">
        <f t="shared" si="201"/>
        <v>2230</v>
      </c>
      <c r="F2464" s="1">
        <f t="shared" si="197"/>
        <v>2050</v>
      </c>
      <c r="L2464" s="11">
        <v>45370</v>
      </c>
      <c r="M2464" s="9">
        <v>4673</v>
      </c>
      <c r="N2464" s="9">
        <v>931</v>
      </c>
      <c r="O2464" s="9">
        <v>2230</v>
      </c>
      <c r="P2464" s="9">
        <v>2050</v>
      </c>
      <c r="R2464" s="11"/>
      <c r="S2464" s="9"/>
      <c r="T2464" s="9"/>
      <c r="U2464" s="9"/>
    </row>
    <row r="2465" spans="2:21" x14ac:dyDescent="0.4">
      <c r="B2465" s="16">
        <f t="shared" si="198"/>
        <v>45371</v>
      </c>
      <c r="C2465" s="1">
        <f t="shared" si="199"/>
        <v>4674</v>
      </c>
      <c r="D2465" s="1">
        <f t="shared" si="200"/>
        <v>931</v>
      </c>
      <c r="E2465" s="1">
        <f t="shared" si="201"/>
        <v>2220</v>
      </c>
      <c r="F2465" s="1">
        <f t="shared" si="197"/>
        <v>2050</v>
      </c>
      <c r="L2465" s="11">
        <v>45371</v>
      </c>
      <c r="M2465" s="9">
        <v>4674</v>
      </c>
      <c r="N2465" s="9">
        <v>931</v>
      </c>
      <c r="O2465" s="9">
        <v>2220</v>
      </c>
      <c r="P2465" s="9">
        <v>2050</v>
      </c>
      <c r="R2465" s="11"/>
      <c r="S2465" s="9"/>
      <c r="T2465" s="9"/>
      <c r="U2465" s="9"/>
    </row>
    <row r="2466" spans="2:21" x14ac:dyDescent="0.4">
      <c r="B2466" s="16">
        <f t="shared" si="198"/>
        <v>45372</v>
      </c>
      <c r="C2466" s="1">
        <f t="shared" si="199"/>
        <v>4661</v>
      </c>
      <c r="D2466" s="1">
        <f t="shared" si="200"/>
        <v>936</v>
      </c>
      <c r="E2466" s="1">
        <f t="shared" si="201"/>
        <v>2220</v>
      </c>
      <c r="F2466" s="1">
        <f t="shared" si="197"/>
        <v>2050</v>
      </c>
      <c r="L2466" s="11">
        <v>45372</v>
      </c>
      <c r="M2466" s="9">
        <v>4661</v>
      </c>
      <c r="N2466" s="9">
        <v>936</v>
      </c>
      <c r="O2466" s="9">
        <v>2220</v>
      </c>
      <c r="P2466" s="9">
        <v>2050</v>
      </c>
      <c r="R2466" s="11"/>
      <c r="S2466" s="9"/>
      <c r="T2466" s="9"/>
      <c r="U2466" s="9"/>
    </row>
    <row r="2467" spans="2:21" x14ac:dyDescent="0.4">
      <c r="B2467" s="16">
        <f t="shared" si="198"/>
        <v>45373</v>
      </c>
      <c r="C2467" s="1">
        <f t="shared" si="199"/>
        <v>4659</v>
      </c>
      <c r="D2467" s="1">
        <f t="shared" si="200"/>
        <v>931</v>
      </c>
      <c r="E2467" s="1">
        <f t="shared" si="201"/>
        <v>2220</v>
      </c>
      <c r="F2467" s="1">
        <f t="shared" si="197"/>
        <v>2050</v>
      </c>
      <c r="L2467" s="11">
        <v>45373</v>
      </c>
      <c r="M2467" s="9">
        <v>4659</v>
      </c>
      <c r="N2467" s="9">
        <v>931</v>
      </c>
      <c r="O2467" s="9">
        <v>2220</v>
      </c>
      <c r="P2467" s="9">
        <v>2050</v>
      </c>
      <c r="R2467" s="11"/>
      <c r="S2467" s="9"/>
      <c r="T2467" s="9"/>
      <c r="U2467" s="9"/>
    </row>
    <row r="2468" spans="2:21" x14ac:dyDescent="0.4">
      <c r="B2468" s="16">
        <f t="shared" si="198"/>
        <v>45376</v>
      </c>
      <c r="C2468" s="1">
        <f t="shared" si="199"/>
        <v>4654</v>
      </c>
      <c r="D2468" s="1">
        <f t="shared" si="200"/>
        <v>931</v>
      </c>
      <c r="E2468" s="1">
        <f t="shared" si="201"/>
        <v>2150</v>
      </c>
      <c r="F2468" s="1">
        <f t="shared" si="197"/>
        <v>2050</v>
      </c>
      <c r="L2468" s="11">
        <v>45376</v>
      </c>
      <c r="M2468" s="9">
        <v>4654</v>
      </c>
      <c r="N2468" s="9">
        <v>931</v>
      </c>
      <c r="O2468" s="9">
        <v>2150</v>
      </c>
      <c r="P2468" s="9">
        <v>2050</v>
      </c>
      <c r="R2468" s="11"/>
      <c r="S2468" s="9"/>
      <c r="T2468" s="9"/>
      <c r="U2468" s="9"/>
    </row>
    <row r="2469" spans="2:21" x14ac:dyDescent="0.4">
      <c r="B2469" s="16">
        <f t="shared" si="198"/>
        <v>45377</v>
      </c>
      <c r="C2469" s="1">
        <f t="shared" si="199"/>
        <v>4654</v>
      </c>
      <c r="D2469" s="1">
        <f t="shared" si="200"/>
        <v>931</v>
      </c>
      <c r="E2469" s="1">
        <f t="shared" si="201"/>
        <v>2140</v>
      </c>
      <c r="F2469" s="1">
        <f t="shared" si="197"/>
        <v>2050</v>
      </c>
      <c r="L2469" s="11">
        <v>45377</v>
      </c>
      <c r="M2469" s="9">
        <v>4654</v>
      </c>
      <c r="N2469" s="9">
        <v>931</v>
      </c>
      <c r="O2469" s="9">
        <v>2140</v>
      </c>
      <c r="P2469" s="9">
        <v>2050</v>
      </c>
      <c r="R2469" s="11"/>
      <c r="S2469" s="9"/>
      <c r="T2469" s="9"/>
      <c r="U2469" s="9"/>
    </row>
    <row r="2470" spans="2:21" x14ac:dyDescent="0.4">
      <c r="B2470" s="16">
        <f t="shared" si="198"/>
        <v>45378</v>
      </c>
      <c r="C2470" s="1">
        <f t="shared" si="199"/>
        <v>4654</v>
      </c>
      <c r="D2470" s="1">
        <f t="shared" si="200"/>
        <v>931</v>
      </c>
      <c r="E2470" s="1">
        <f t="shared" si="201"/>
        <v>2140</v>
      </c>
      <c r="F2470" s="1">
        <f t="shared" si="197"/>
        <v>2050</v>
      </c>
      <c r="L2470" s="11">
        <v>45378</v>
      </c>
      <c r="M2470" s="9">
        <v>4654</v>
      </c>
      <c r="N2470" s="9">
        <v>931</v>
      </c>
      <c r="O2470" s="9">
        <v>2140</v>
      </c>
      <c r="P2470" s="9">
        <v>2050</v>
      </c>
      <c r="R2470" s="11"/>
      <c r="S2470" s="9"/>
      <c r="T2470" s="9"/>
      <c r="U2470" s="9"/>
    </row>
    <row r="2471" spans="2:21" x14ac:dyDescent="0.4">
      <c r="B2471" s="16">
        <f t="shared" si="198"/>
        <v>45379</v>
      </c>
      <c r="C2471" s="1">
        <f t="shared" si="199"/>
        <v>4654</v>
      </c>
      <c r="D2471" s="1">
        <f t="shared" si="200"/>
        <v>931</v>
      </c>
      <c r="E2471" s="1">
        <f t="shared" si="201"/>
        <v>2140</v>
      </c>
      <c r="F2471" s="1">
        <f t="shared" si="197"/>
        <v>2050</v>
      </c>
      <c r="L2471" s="11">
        <v>45379</v>
      </c>
      <c r="M2471" s="9">
        <v>4654</v>
      </c>
      <c r="N2471" s="9">
        <v>931</v>
      </c>
      <c r="O2471" s="9">
        <v>2140</v>
      </c>
      <c r="P2471" s="9">
        <v>2050</v>
      </c>
      <c r="R2471" s="11"/>
      <c r="S2471" s="9"/>
      <c r="T2471" s="9"/>
      <c r="U2471" s="9"/>
    </row>
    <row r="2472" spans="2:21" x14ac:dyDescent="0.4">
      <c r="B2472" s="16">
        <f t="shared" si="198"/>
        <v>45380</v>
      </c>
      <c r="C2472" s="1">
        <f t="shared" si="199"/>
        <v>4648</v>
      </c>
      <c r="D2472" s="1">
        <f t="shared" si="200"/>
        <v>931</v>
      </c>
      <c r="E2472" s="1">
        <f t="shared" si="201"/>
        <v>2140</v>
      </c>
      <c r="F2472" s="1">
        <f t="shared" si="197"/>
        <v>2050</v>
      </c>
      <c r="L2472" s="11">
        <v>45380</v>
      </c>
      <c r="M2472" s="9">
        <v>4648</v>
      </c>
      <c r="N2472" s="9">
        <v>0</v>
      </c>
      <c r="O2472" s="9">
        <v>2140</v>
      </c>
      <c r="P2472" s="9">
        <v>2050</v>
      </c>
      <c r="R2472" s="11"/>
      <c r="S2472" s="9"/>
      <c r="T2472" s="9"/>
      <c r="U2472" s="9"/>
    </row>
    <row r="2473" spans="2:21" x14ac:dyDescent="0.4">
      <c r="B2473" s="16">
        <f t="shared" si="198"/>
        <v>45383</v>
      </c>
      <c r="C2473" s="1">
        <f t="shared" si="199"/>
        <v>4648</v>
      </c>
      <c r="D2473" s="1">
        <f t="shared" si="200"/>
        <v>931</v>
      </c>
      <c r="E2473" s="1">
        <f t="shared" si="201"/>
        <v>2140</v>
      </c>
      <c r="F2473" s="1">
        <f t="shared" si="197"/>
        <v>2000</v>
      </c>
      <c r="L2473" s="11">
        <v>45383</v>
      </c>
      <c r="M2473" s="9">
        <v>4648</v>
      </c>
      <c r="N2473" s="9">
        <v>931</v>
      </c>
      <c r="O2473" s="9">
        <v>2140</v>
      </c>
      <c r="P2473" s="9">
        <v>2000</v>
      </c>
      <c r="R2473" s="11"/>
      <c r="S2473" s="9"/>
      <c r="T2473" s="9"/>
      <c r="U2473" s="9"/>
    </row>
    <row r="2474" spans="2:21" x14ac:dyDescent="0.4">
      <c r="B2474" s="16">
        <f t="shared" si="198"/>
        <v>45384</v>
      </c>
      <c r="C2474" s="1">
        <f t="shared" si="199"/>
        <v>4652</v>
      </c>
      <c r="D2474" s="1">
        <f t="shared" si="200"/>
        <v>931</v>
      </c>
      <c r="E2474" s="1">
        <f t="shared" si="201"/>
        <v>2090</v>
      </c>
      <c r="F2474" s="1">
        <f t="shared" si="197"/>
        <v>2000</v>
      </c>
      <c r="L2474" s="11">
        <v>45384</v>
      </c>
      <c r="M2474" s="9">
        <v>4652</v>
      </c>
      <c r="N2474" s="9">
        <v>931</v>
      </c>
      <c r="O2474" s="9">
        <v>2090</v>
      </c>
      <c r="P2474" s="9">
        <v>2000</v>
      </c>
      <c r="R2474" s="11"/>
      <c r="S2474" s="9"/>
      <c r="T2474" s="9"/>
      <c r="U2474" s="9"/>
    </row>
    <row r="2475" spans="2:21" x14ac:dyDescent="0.4">
      <c r="B2475" s="16">
        <f t="shared" si="198"/>
        <v>45385</v>
      </c>
      <c r="C2475" s="1">
        <f t="shared" si="199"/>
        <v>4654</v>
      </c>
      <c r="D2475" s="1">
        <f t="shared" si="200"/>
        <v>931</v>
      </c>
      <c r="E2475" s="1">
        <f t="shared" si="201"/>
        <v>2080</v>
      </c>
      <c r="F2475" s="1">
        <f t="shared" si="197"/>
        <v>2000</v>
      </c>
      <c r="L2475" s="11">
        <v>45385</v>
      </c>
      <c r="M2475" s="9">
        <v>4654</v>
      </c>
      <c r="N2475" s="9">
        <v>931</v>
      </c>
      <c r="O2475" s="9">
        <v>2080</v>
      </c>
      <c r="P2475" s="9">
        <v>2000</v>
      </c>
      <c r="R2475" s="11"/>
      <c r="S2475" s="9"/>
      <c r="T2475" s="9"/>
      <c r="U2475" s="9"/>
    </row>
    <row r="2476" spans="2:21" x14ac:dyDescent="0.4">
      <c r="B2476" s="16">
        <f t="shared" si="198"/>
        <v>45386</v>
      </c>
      <c r="C2476" s="1">
        <f t="shared" si="199"/>
        <v>4654</v>
      </c>
      <c r="D2476" s="1">
        <f t="shared" si="200"/>
        <v>931</v>
      </c>
      <c r="E2476" s="1">
        <f t="shared" si="201"/>
        <v>2080</v>
      </c>
      <c r="F2476" s="1">
        <f t="shared" si="197"/>
        <v>2000</v>
      </c>
      <c r="L2476" s="11">
        <v>45386</v>
      </c>
      <c r="M2476" s="9">
        <v>0</v>
      </c>
      <c r="N2476" s="9">
        <v>931</v>
      </c>
      <c r="O2476" s="9">
        <v>0</v>
      </c>
      <c r="P2476" s="9">
        <v>0</v>
      </c>
      <c r="R2476" s="11"/>
      <c r="S2476" s="9"/>
      <c r="T2476" s="9"/>
      <c r="U2476" s="9"/>
    </row>
    <row r="2477" spans="2:21" x14ac:dyDescent="0.4">
      <c r="B2477" s="16">
        <f t="shared" si="198"/>
        <v>45387</v>
      </c>
      <c r="C2477" s="1">
        <f t="shared" si="199"/>
        <v>4654</v>
      </c>
      <c r="D2477" s="1">
        <f t="shared" si="200"/>
        <v>931</v>
      </c>
      <c r="E2477" s="1">
        <f t="shared" si="201"/>
        <v>2080</v>
      </c>
      <c r="F2477" s="1">
        <f t="shared" si="197"/>
        <v>2000</v>
      </c>
      <c r="L2477" s="11">
        <v>45387</v>
      </c>
      <c r="M2477" s="9">
        <v>0</v>
      </c>
      <c r="N2477" s="9">
        <v>931</v>
      </c>
      <c r="O2477" s="9">
        <v>0</v>
      </c>
      <c r="P2477" s="9">
        <v>0</v>
      </c>
      <c r="R2477" s="11"/>
      <c r="S2477" s="9"/>
      <c r="T2477" s="9"/>
      <c r="U2477" s="9"/>
    </row>
    <row r="2478" spans="2:21" x14ac:dyDescent="0.4">
      <c r="B2478" s="16">
        <f t="shared" si="198"/>
        <v>45389</v>
      </c>
      <c r="C2478" s="1">
        <f t="shared" si="199"/>
        <v>4662</v>
      </c>
      <c r="D2478" s="1">
        <f t="shared" si="200"/>
        <v>931</v>
      </c>
      <c r="E2478" s="1">
        <f t="shared" si="201"/>
        <v>2080</v>
      </c>
      <c r="F2478" s="1">
        <f t="shared" si="197"/>
        <v>1950</v>
      </c>
      <c r="L2478" s="11">
        <v>45389</v>
      </c>
      <c r="M2478" s="9">
        <v>4662</v>
      </c>
      <c r="N2478" s="9">
        <v>0</v>
      </c>
      <c r="O2478" s="9">
        <v>2080</v>
      </c>
      <c r="P2478" s="9">
        <v>1950</v>
      </c>
      <c r="R2478" s="11"/>
      <c r="S2478" s="9"/>
      <c r="T2478" s="9"/>
      <c r="U2478" s="9"/>
    </row>
    <row r="2479" spans="2:21" x14ac:dyDescent="0.4">
      <c r="B2479" s="16">
        <f t="shared" si="198"/>
        <v>45390</v>
      </c>
      <c r="C2479" s="1">
        <f t="shared" si="199"/>
        <v>4665</v>
      </c>
      <c r="D2479" s="1">
        <f t="shared" si="200"/>
        <v>931</v>
      </c>
      <c r="E2479" s="1">
        <f t="shared" si="201"/>
        <v>2070</v>
      </c>
      <c r="F2479" s="1">
        <f t="shared" si="197"/>
        <v>1950</v>
      </c>
      <c r="L2479" s="11">
        <v>45390</v>
      </c>
      <c r="M2479" s="9">
        <v>4665</v>
      </c>
      <c r="N2479" s="9">
        <v>931</v>
      </c>
      <c r="O2479" s="9">
        <v>2070</v>
      </c>
      <c r="P2479" s="9">
        <v>1950</v>
      </c>
      <c r="R2479" s="11"/>
      <c r="S2479" s="9"/>
      <c r="T2479" s="9"/>
      <c r="U2479" s="9"/>
    </row>
    <row r="2480" spans="2:21" x14ac:dyDescent="0.4">
      <c r="B2480" s="16">
        <f t="shared" si="198"/>
        <v>45391</v>
      </c>
      <c r="C2480" s="1">
        <f t="shared" si="199"/>
        <v>4674</v>
      </c>
      <c r="D2480" s="1">
        <f t="shared" si="200"/>
        <v>931</v>
      </c>
      <c r="E2480" s="1">
        <f t="shared" si="201"/>
        <v>2080</v>
      </c>
      <c r="F2480" s="1">
        <f t="shared" si="197"/>
        <v>1950</v>
      </c>
      <c r="L2480" s="11">
        <v>45391</v>
      </c>
      <c r="M2480" s="9">
        <v>4674</v>
      </c>
      <c r="N2480" s="9">
        <v>931</v>
      </c>
      <c r="O2480" s="9">
        <v>2080</v>
      </c>
      <c r="P2480" s="9">
        <v>1950</v>
      </c>
      <c r="R2480" s="11"/>
      <c r="S2480" s="9"/>
      <c r="T2480" s="9"/>
      <c r="U2480" s="9"/>
    </row>
    <row r="2481" spans="2:21" x14ac:dyDescent="0.4">
      <c r="B2481" s="16">
        <f t="shared" si="198"/>
        <v>45392</v>
      </c>
      <c r="C2481" s="1">
        <f t="shared" si="199"/>
        <v>4684</v>
      </c>
      <c r="D2481" s="1">
        <f t="shared" si="200"/>
        <v>931</v>
      </c>
      <c r="E2481" s="1">
        <f t="shared" si="201"/>
        <v>2080</v>
      </c>
      <c r="F2481" s="1">
        <f t="shared" si="197"/>
        <v>1950</v>
      </c>
      <c r="L2481" s="11">
        <v>45392</v>
      </c>
      <c r="M2481" s="9">
        <v>4684</v>
      </c>
      <c r="N2481" s="9">
        <v>0</v>
      </c>
      <c r="O2481" s="9">
        <v>2080</v>
      </c>
      <c r="P2481" s="9">
        <v>1950</v>
      </c>
      <c r="R2481" s="11"/>
      <c r="S2481" s="9"/>
      <c r="T2481" s="9"/>
      <c r="U2481" s="9"/>
    </row>
    <row r="2482" spans="2:21" x14ac:dyDescent="0.4">
      <c r="B2482" s="16">
        <f t="shared" si="198"/>
        <v>45393</v>
      </c>
      <c r="C2482" s="1">
        <f t="shared" si="199"/>
        <v>4680</v>
      </c>
      <c r="D2482" s="1">
        <f t="shared" si="200"/>
        <v>931</v>
      </c>
      <c r="E2482" s="1">
        <f t="shared" si="201"/>
        <v>2080</v>
      </c>
      <c r="F2482" s="1">
        <f t="shared" ref="F2482:F2545" si="202">IF(P2482&lt;&gt;0,P2482,F2481)</f>
        <v>1950</v>
      </c>
      <c r="L2482" s="11">
        <v>45393</v>
      </c>
      <c r="M2482" s="9">
        <v>4680</v>
      </c>
      <c r="N2482" s="9">
        <v>931</v>
      </c>
      <c r="O2482" s="9">
        <v>2080</v>
      </c>
      <c r="P2482" s="9">
        <v>1950</v>
      </c>
      <c r="R2482" s="11"/>
      <c r="S2482" s="9"/>
      <c r="T2482" s="9"/>
      <c r="U2482" s="9"/>
    </row>
    <row r="2483" spans="2:21" x14ac:dyDescent="0.4">
      <c r="B2483" s="16">
        <f t="shared" si="198"/>
        <v>45394</v>
      </c>
      <c r="C2483" s="1">
        <f t="shared" si="199"/>
        <v>4677</v>
      </c>
      <c r="D2483" s="1">
        <f t="shared" si="200"/>
        <v>931</v>
      </c>
      <c r="E2483" s="1">
        <f t="shared" si="201"/>
        <v>2080</v>
      </c>
      <c r="F2483" s="1">
        <f t="shared" si="202"/>
        <v>1950</v>
      </c>
      <c r="L2483" s="11">
        <v>45394</v>
      </c>
      <c r="M2483" s="9">
        <v>4677</v>
      </c>
      <c r="N2483" s="9">
        <v>931</v>
      </c>
      <c r="O2483" s="9">
        <v>2080</v>
      </c>
      <c r="P2483" s="9">
        <v>1950</v>
      </c>
      <c r="R2483" s="11"/>
      <c r="S2483" s="9"/>
      <c r="T2483" s="9"/>
      <c r="U2483" s="9"/>
    </row>
    <row r="2484" spans="2:21" x14ac:dyDescent="0.4">
      <c r="B2484" s="16">
        <f t="shared" si="198"/>
        <v>45397</v>
      </c>
      <c r="C2484" s="1">
        <f t="shared" si="199"/>
        <v>4683</v>
      </c>
      <c r="D2484" s="1">
        <f t="shared" si="200"/>
        <v>916</v>
      </c>
      <c r="E2484" s="1">
        <f t="shared" si="201"/>
        <v>2160</v>
      </c>
      <c r="F2484" s="1">
        <f t="shared" si="202"/>
        <v>1950</v>
      </c>
      <c r="L2484" s="11">
        <v>45397</v>
      </c>
      <c r="M2484" s="9">
        <v>4683</v>
      </c>
      <c r="N2484" s="9">
        <v>916</v>
      </c>
      <c r="O2484" s="9">
        <v>2160</v>
      </c>
      <c r="P2484" s="9">
        <v>1950</v>
      </c>
      <c r="R2484" s="11"/>
      <c r="S2484" s="9"/>
      <c r="T2484" s="9"/>
      <c r="U2484" s="9"/>
    </row>
    <row r="2485" spans="2:21" x14ac:dyDescent="0.4">
      <c r="B2485" s="16">
        <f t="shared" si="198"/>
        <v>45398</v>
      </c>
      <c r="C2485" s="1">
        <f t="shared" si="199"/>
        <v>4697</v>
      </c>
      <c r="D2485" s="1">
        <f t="shared" si="200"/>
        <v>916</v>
      </c>
      <c r="E2485" s="1">
        <f t="shared" si="201"/>
        <v>2160</v>
      </c>
      <c r="F2485" s="1">
        <f t="shared" si="202"/>
        <v>1950</v>
      </c>
      <c r="L2485" s="11">
        <v>45398</v>
      </c>
      <c r="M2485" s="9">
        <v>4697</v>
      </c>
      <c r="N2485" s="9">
        <v>916</v>
      </c>
      <c r="O2485" s="9">
        <v>2160</v>
      </c>
      <c r="P2485" s="9">
        <v>1950</v>
      </c>
      <c r="R2485" s="11"/>
      <c r="S2485" s="9"/>
      <c r="T2485" s="9"/>
      <c r="U2485" s="9"/>
    </row>
    <row r="2486" spans="2:21" x14ac:dyDescent="0.4">
      <c r="B2486" s="16">
        <f t="shared" si="198"/>
        <v>45399</v>
      </c>
      <c r="C2486" s="1">
        <f t="shared" si="199"/>
        <v>4703</v>
      </c>
      <c r="D2486" s="1">
        <f t="shared" si="200"/>
        <v>916</v>
      </c>
      <c r="E2486" s="1">
        <f t="shared" si="201"/>
        <v>2160</v>
      </c>
      <c r="F2486" s="1">
        <f t="shared" si="202"/>
        <v>1950</v>
      </c>
      <c r="L2486" s="11">
        <v>45399</v>
      </c>
      <c r="M2486" s="9">
        <v>4703</v>
      </c>
      <c r="N2486" s="9">
        <v>916</v>
      </c>
      <c r="O2486" s="9">
        <v>2160</v>
      </c>
      <c r="P2486" s="9">
        <v>1950</v>
      </c>
      <c r="R2486" s="11"/>
      <c r="S2486" s="9"/>
      <c r="T2486" s="9"/>
      <c r="U2486" s="9"/>
    </row>
    <row r="2487" spans="2:21" x14ac:dyDescent="0.4">
      <c r="B2487" s="16">
        <f t="shared" si="198"/>
        <v>45400</v>
      </c>
      <c r="C2487" s="1">
        <f t="shared" si="199"/>
        <v>4703</v>
      </c>
      <c r="D2487" s="1">
        <f t="shared" si="200"/>
        <v>916</v>
      </c>
      <c r="E2487" s="1">
        <f t="shared" si="201"/>
        <v>2160</v>
      </c>
      <c r="F2487" s="1">
        <f t="shared" si="202"/>
        <v>1950</v>
      </c>
      <c r="L2487" s="11">
        <v>45400</v>
      </c>
      <c r="M2487" s="9">
        <v>4703</v>
      </c>
      <c r="N2487" s="9">
        <v>916</v>
      </c>
      <c r="O2487" s="9">
        <v>2160</v>
      </c>
      <c r="P2487" s="9">
        <v>1950</v>
      </c>
      <c r="R2487" s="11"/>
      <c r="S2487" s="9"/>
      <c r="T2487" s="9"/>
      <c r="U2487" s="9"/>
    </row>
    <row r="2488" spans="2:21" x14ac:dyDescent="0.4">
      <c r="B2488" s="16">
        <f t="shared" si="198"/>
        <v>45401</v>
      </c>
      <c r="C2488" s="1">
        <f t="shared" si="199"/>
        <v>4696</v>
      </c>
      <c r="D2488" s="1">
        <f t="shared" si="200"/>
        <v>916</v>
      </c>
      <c r="E2488" s="1">
        <f t="shared" si="201"/>
        <v>2180</v>
      </c>
      <c r="F2488" s="1">
        <f t="shared" si="202"/>
        <v>1950</v>
      </c>
      <c r="L2488" s="11">
        <v>45401</v>
      </c>
      <c r="M2488" s="9">
        <v>4696</v>
      </c>
      <c r="N2488" s="9">
        <v>916</v>
      </c>
      <c r="O2488" s="9">
        <v>2180</v>
      </c>
      <c r="P2488" s="9">
        <v>1950</v>
      </c>
      <c r="R2488" s="11"/>
      <c r="S2488" s="9"/>
      <c r="T2488" s="9"/>
      <c r="U2488" s="9"/>
    </row>
    <row r="2489" spans="2:21" x14ac:dyDescent="0.4">
      <c r="B2489" s="16">
        <f t="shared" si="198"/>
        <v>45404</v>
      </c>
      <c r="C2489" s="1">
        <f t="shared" si="199"/>
        <v>4703</v>
      </c>
      <c r="D2489" s="1">
        <f t="shared" si="200"/>
        <v>916</v>
      </c>
      <c r="E2489" s="1">
        <f t="shared" si="201"/>
        <v>2200</v>
      </c>
      <c r="F2489" s="1">
        <f t="shared" si="202"/>
        <v>2100</v>
      </c>
      <c r="L2489" s="11">
        <v>45404</v>
      </c>
      <c r="M2489" s="9">
        <v>4703</v>
      </c>
      <c r="N2489" s="9">
        <v>916</v>
      </c>
      <c r="O2489" s="9">
        <v>2200</v>
      </c>
      <c r="P2489" s="9">
        <v>2100</v>
      </c>
      <c r="R2489" s="11"/>
      <c r="S2489" s="9"/>
      <c r="T2489" s="9"/>
      <c r="U2489" s="9"/>
    </row>
    <row r="2490" spans="2:21" x14ac:dyDescent="0.4">
      <c r="B2490" s="16">
        <f t="shared" si="198"/>
        <v>45405</v>
      </c>
      <c r="C2490" s="1">
        <f t="shared" si="199"/>
        <v>4694</v>
      </c>
      <c r="D2490" s="1">
        <f t="shared" si="200"/>
        <v>911</v>
      </c>
      <c r="E2490" s="1">
        <f t="shared" si="201"/>
        <v>2200</v>
      </c>
      <c r="F2490" s="1">
        <f t="shared" si="202"/>
        <v>2100</v>
      </c>
      <c r="L2490" s="11">
        <v>45405</v>
      </c>
      <c r="M2490" s="9">
        <v>4694</v>
      </c>
      <c r="N2490" s="9">
        <v>911</v>
      </c>
      <c r="O2490" s="9">
        <v>2200</v>
      </c>
      <c r="P2490" s="9">
        <v>2100</v>
      </c>
      <c r="R2490" s="11"/>
      <c r="S2490" s="9"/>
      <c r="T2490" s="9"/>
      <c r="U2490" s="9"/>
    </row>
    <row r="2491" spans="2:21" x14ac:dyDescent="0.4">
      <c r="B2491" s="16">
        <f t="shared" si="198"/>
        <v>45406</v>
      </c>
      <c r="C2491" s="1">
        <f t="shared" si="199"/>
        <v>4688</v>
      </c>
      <c r="D2491" s="1">
        <f t="shared" si="200"/>
        <v>911</v>
      </c>
      <c r="E2491" s="1">
        <f t="shared" si="201"/>
        <v>2200</v>
      </c>
      <c r="F2491" s="1">
        <f t="shared" si="202"/>
        <v>2100</v>
      </c>
      <c r="L2491" s="11">
        <v>45406</v>
      </c>
      <c r="M2491" s="9">
        <v>4688</v>
      </c>
      <c r="N2491" s="9">
        <v>911</v>
      </c>
      <c r="O2491" s="9">
        <v>2200</v>
      </c>
      <c r="P2491" s="9">
        <v>2100</v>
      </c>
      <c r="R2491" s="11"/>
      <c r="S2491" s="9"/>
      <c r="T2491" s="9"/>
      <c r="U2491" s="9"/>
    </row>
    <row r="2492" spans="2:21" x14ac:dyDescent="0.4">
      <c r="B2492" s="16">
        <f t="shared" si="198"/>
        <v>45407</v>
      </c>
      <c r="C2492" s="1">
        <f t="shared" si="199"/>
        <v>4680</v>
      </c>
      <c r="D2492" s="1">
        <f t="shared" si="200"/>
        <v>911</v>
      </c>
      <c r="E2492" s="1">
        <f t="shared" si="201"/>
        <v>2200</v>
      </c>
      <c r="F2492" s="1">
        <f t="shared" si="202"/>
        <v>2100</v>
      </c>
      <c r="L2492" s="11">
        <v>45407</v>
      </c>
      <c r="M2492" s="9">
        <v>4680</v>
      </c>
      <c r="N2492" s="9">
        <v>911</v>
      </c>
      <c r="O2492" s="9">
        <v>2200</v>
      </c>
      <c r="P2492" s="9">
        <v>2100</v>
      </c>
      <c r="R2492" s="11"/>
      <c r="S2492" s="9"/>
      <c r="T2492" s="9"/>
      <c r="U2492" s="9"/>
    </row>
    <row r="2493" spans="2:21" x14ac:dyDescent="0.4">
      <c r="B2493" s="16">
        <f t="shared" si="198"/>
        <v>45408</v>
      </c>
      <c r="C2493" s="1">
        <f t="shared" si="199"/>
        <v>4685</v>
      </c>
      <c r="D2493" s="1">
        <f t="shared" si="200"/>
        <v>906</v>
      </c>
      <c r="E2493" s="1">
        <f t="shared" si="201"/>
        <v>2220</v>
      </c>
      <c r="F2493" s="1">
        <f t="shared" si="202"/>
        <v>2200</v>
      </c>
      <c r="L2493" s="11">
        <v>45408</v>
      </c>
      <c r="M2493" s="9">
        <v>4685</v>
      </c>
      <c r="N2493" s="9">
        <v>906</v>
      </c>
      <c r="O2493" s="9">
        <v>2220</v>
      </c>
      <c r="P2493" s="9">
        <v>2200</v>
      </c>
      <c r="R2493" s="11"/>
      <c r="S2493" s="9"/>
      <c r="T2493" s="9"/>
      <c r="U2493" s="9"/>
    </row>
    <row r="2494" spans="2:21" x14ac:dyDescent="0.4">
      <c r="B2494" s="16">
        <f t="shared" si="198"/>
        <v>45410</v>
      </c>
      <c r="C2494" s="1">
        <f t="shared" si="199"/>
        <v>4693</v>
      </c>
      <c r="D2494" s="1">
        <f t="shared" si="200"/>
        <v>906</v>
      </c>
      <c r="E2494" s="1">
        <f t="shared" si="201"/>
        <v>2220</v>
      </c>
      <c r="F2494" s="1">
        <f t="shared" si="202"/>
        <v>2200</v>
      </c>
      <c r="L2494" s="11">
        <v>45410</v>
      </c>
      <c r="M2494" s="9">
        <v>4693</v>
      </c>
      <c r="N2494" s="9">
        <v>0</v>
      </c>
      <c r="O2494" s="9">
        <v>2220</v>
      </c>
      <c r="P2494" s="9">
        <v>2200</v>
      </c>
      <c r="R2494" s="11"/>
      <c r="S2494" s="9"/>
      <c r="T2494" s="9"/>
      <c r="U2494" s="9"/>
    </row>
    <row r="2495" spans="2:21" x14ac:dyDescent="0.4">
      <c r="B2495" s="16">
        <f t="shared" si="198"/>
        <v>45411</v>
      </c>
      <c r="C2495" s="1">
        <f t="shared" si="199"/>
        <v>4698</v>
      </c>
      <c r="D2495" s="1">
        <f t="shared" si="200"/>
        <v>906</v>
      </c>
      <c r="E2495" s="1">
        <f t="shared" si="201"/>
        <v>2230</v>
      </c>
      <c r="F2495" s="1">
        <f t="shared" si="202"/>
        <v>2250</v>
      </c>
      <c r="L2495" s="11">
        <v>45411</v>
      </c>
      <c r="M2495" s="9">
        <v>4698</v>
      </c>
      <c r="N2495" s="9">
        <v>906</v>
      </c>
      <c r="O2495" s="9">
        <v>2230</v>
      </c>
      <c r="P2495" s="9">
        <v>2250</v>
      </c>
      <c r="R2495" s="11"/>
      <c r="S2495" s="9"/>
      <c r="T2495" s="9"/>
      <c r="U2495" s="9"/>
    </row>
    <row r="2496" spans="2:21" x14ac:dyDescent="0.4">
      <c r="B2496" s="16">
        <f t="shared" si="198"/>
        <v>45412</v>
      </c>
      <c r="C2496" s="1">
        <f t="shared" si="199"/>
        <v>4702</v>
      </c>
      <c r="D2496" s="1">
        <f t="shared" si="200"/>
        <v>906</v>
      </c>
      <c r="E2496" s="1">
        <f t="shared" si="201"/>
        <v>2230</v>
      </c>
      <c r="F2496" s="1">
        <f t="shared" si="202"/>
        <v>2250</v>
      </c>
      <c r="L2496" s="11">
        <v>45412</v>
      </c>
      <c r="M2496" s="9">
        <v>4702</v>
      </c>
      <c r="N2496" s="9">
        <v>906</v>
      </c>
      <c r="O2496" s="9">
        <v>2230</v>
      </c>
      <c r="P2496" s="9">
        <v>2250</v>
      </c>
      <c r="R2496" s="11"/>
      <c r="S2496" s="9"/>
      <c r="T2496" s="9"/>
      <c r="U2496" s="9"/>
    </row>
    <row r="2497" spans="2:21" x14ac:dyDescent="0.4">
      <c r="B2497" s="16">
        <f t="shared" si="198"/>
        <v>45414</v>
      </c>
      <c r="C2497" s="1">
        <f t="shared" si="199"/>
        <v>4702</v>
      </c>
      <c r="D2497" s="1">
        <f t="shared" si="200"/>
        <v>906</v>
      </c>
      <c r="E2497" s="1">
        <f t="shared" si="201"/>
        <v>2230</v>
      </c>
      <c r="F2497" s="1">
        <f t="shared" si="202"/>
        <v>2250</v>
      </c>
      <c r="L2497" s="11">
        <v>45414</v>
      </c>
      <c r="M2497" s="9">
        <v>0</v>
      </c>
      <c r="N2497" s="9">
        <v>906</v>
      </c>
      <c r="O2497" s="9">
        <v>0</v>
      </c>
      <c r="P2497" s="9">
        <v>0</v>
      </c>
      <c r="R2497" s="11"/>
      <c r="S2497" s="9"/>
      <c r="T2497" s="9"/>
      <c r="U2497" s="9"/>
    </row>
    <row r="2498" spans="2:21" x14ac:dyDescent="0.4">
      <c r="B2498" s="16">
        <f t="shared" si="198"/>
        <v>45415</v>
      </c>
      <c r="C2498" s="1">
        <f t="shared" si="199"/>
        <v>4702</v>
      </c>
      <c r="D2498" s="1">
        <f t="shared" si="200"/>
        <v>871</v>
      </c>
      <c r="E2498" s="1">
        <f t="shared" si="201"/>
        <v>2230</v>
      </c>
      <c r="F2498" s="1">
        <f t="shared" si="202"/>
        <v>2250</v>
      </c>
      <c r="L2498" s="11">
        <v>45415</v>
      </c>
      <c r="M2498" s="9">
        <v>0</v>
      </c>
      <c r="N2498" s="9">
        <v>871</v>
      </c>
      <c r="O2498" s="9">
        <v>0</v>
      </c>
      <c r="P2498" s="9">
        <v>0</v>
      </c>
      <c r="R2498" s="11"/>
      <c r="S2498" s="9"/>
      <c r="T2498" s="9"/>
      <c r="U2498" s="9"/>
    </row>
    <row r="2499" spans="2:21" x14ac:dyDescent="0.4">
      <c r="B2499" s="16">
        <f t="shared" si="198"/>
        <v>45418</v>
      </c>
      <c r="C2499" s="1">
        <f t="shared" si="199"/>
        <v>4704</v>
      </c>
      <c r="D2499" s="1">
        <f t="shared" si="200"/>
        <v>861</v>
      </c>
      <c r="E2499" s="1">
        <f t="shared" si="201"/>
        <v>2240</v>
      </c>
      <c r="F2499" s="1">
        <f t="shared" si="202"/>
        <v>2250</v>
      </c>
      <c r="L2499" s="11">
        <v>45418</v>
      </c>
      <c r="M2499" s="9">
        <v>4704</v>
      </c>
      <c r="N2499" s="9">
        <v>861</v>
      </c>
      <c r="O2499" s="9">
        <v>2240</v>
      </c>
      <c r="P2499" s="9">
        <v>2250</v>
      </c>
      <c r="R2499" s="11"/>
      <c r="S2499" s="9"/>
      <c r="T2499" s="9"/>
      <c r="U2499" s="9"/>
    </row>
    <row r="2500" spans="2:21" x14ac:dyDescent="0.4">
      <c r="B2500" s="16">
        <f t="shared" si="198"/>
        <v>45419</v>
      </c>
      <c r="C2500" s="1">
        <f t="shared" si="199"/>
        <v>4707</v>
      </c>
      <c r="D2500" s="1">
        <f t="shared" si="200"/>
        <v>861</v>
      </c>
      <c r="E2500" s="1">
        <f t="shared" si="201"/>
        <v>2260</v>
      </c>
      <c r="F2500" s="1">
        <f t="shared" si="202"/>
        <v>2250</v>
      </c>
      <c r="L2500" s="11">
        <v>45419</v>
      </c>
      <c r="M2500" s="9">
        <v>4707</v>
      </c>
      <c r="N2500" s="9">
        <v>861</v>
      </c>
      <c r="O2500" s="9">
        <v>2260</v>
      </c>
      <c r="P2500" s="9">
        <v>2250</v>
      </c>
      <c r="R2500" s="11"/>
      <c r="S2500" s="9"/>
      <c r="T2500" s="9"/>
      <c r="U2500" s="9"/>
    </row>
    <row r="2501" spans="2:21" x14ac:dyDescent="0.4">
      <c r="B2501" s="16">
        <f t="shared" si="198"/>
        <v>45420</v>
      </c>
      <c r="C2501" s="1">
        <f t="shared" si="199"/>
        <v>4714</v>
      </c>
      <c r="D2501" s="1">
        <f t="shared" si="200"/>
        <v>861</v>
      </c>
      <c r="E2501" s="1">
        <f t="shared" si="201"/>
        <v>2290</v>
      </c>
      <c r="F2501" s="1">
        <f t="shared" si="202"/>
        <v>2250</v>
      </c>
      <c r="L2501" s="11">
        <v>45420</v>
      </c>
      <c r="M2501" s="9">
        <v>4714</v>
      </c>
      <c r="N2501" s="9">
        <v>861</v>
      </c>
      <c r="O2501" s="9">
        <v>2290</v>
      </c>
      <c r="P2501" s="9">
        <v>2250</v>
      </c>
      <c r="R2501" s="11"/>
      <c r="S2501" s="9"/>
      <c r="T2501" s="9"/>
      <c r="U2501" s="9"/>
    </row>
    <row r="2502" spans="2:21" x14ac:dyDescent="0.4">
      <c r="B2502" s="16">
        <f t="shared" ref="B2502:B2565" si="203">L2502</f>
        <v>45421</v>
      </c>
      <c r="C2502" s="1">
        <f t="shared" si="199"/>
        <v>4710</v>
      </c>
      <c r="D2502" s="1">
        <f t="shared" si="200"/>
        <v>861</v>
      </c>
      <c r="E2502" s="1">
        <f t="shared" si="201"/>
        <v>2290</v>
      </c>
      <c r="F2502" s="1">
        <f t="shared" si="202"/>
        <v>2250</v>
      </c>
      <c r="L2502" s="11">
        <v>45421</v>
      </c>
      <c r="M2502" s="9">
        <v>4710</v>
      </c>
      <c r="N2502" s="9">
        <v>861</v>
      </c>
      <c r="O2502" s="9">
        <v>2290</v>
      </c>
      <c r="P2502" s="9">
        <v>2250</v>
      </c>
      <c r="R2502" s="11"/>
      <c r="S2502" s="9"/>
      <c r="T2502" s="9"/>
      <c r="U2502" s="9"/>
    </row>
    <row r="2503" spans="2:21" x14ac:dyDescent="0.4">
      <c r="B2503" s="16">
        <f t="shared" si="203"/>
        <v>45422</v>
      </c>
      <c r="C2503" s="1">
        <f t="shared" ref="C2503:C2566" si="204">IF(M2503&lt;&gt;0,M2503,C2502)</f>
        <v>4711</v>
      </c>
      <c r="D2503" s="1">
        <f t="shared" ref="D2503:D2566" si="205">IF(N2503&lt;&gt;0,N2503,D2502)</f>
        <v>861</v>
      </c>
      <c r="E2503" s="1">
        <f t="shared" ref="E2503:E2566" si="206">IF(O2503&lt;&gt;0,O2503,E2502)</f>
        <v>2290</v>
      </c>
      <c r="F2503" s="1">
        <f t="shared" si="202"/>
        <v>2250</v>
      </c>
      <c r="L2503" s="11">
        <v>45422</v>
      </c>
      <c r="M2503" s="9">
        <v>4711</v>
      </c>
      <c r="N2503" s="9">
        <v>861</v>
      </c>
      <c r="O2503" s="9">
        <v>2290</v>
      </c>
      <c r="P2503" s="9">
        <v>2250</v>
      </c>
      <c r="R2503" s="11"/>
      <c r="S2503" s="9"/>
      <c r="T2503" s="9"/>
      <c r="U2503" s="9"/>
    </row>
    <row r="2504" spans="2:21" x14ac:dyDescent="0.4">
      <c r="B2504" s="16">
        <f t="shared" si="203"/>
        <v>45423</v>
      </c>
      <c r="C2504" s="1">
        <f t="shared" si="204"/>
        <v>4712</v>
      </c>
      <c r="D2504" s="1">
        <f t="shared" si="205"/>
        <v>861</v>
      </c>
      <c r="E2504" s="1">
        <f t="shared" si="206"/>
        <v>2290</v>
      </c>
      <c r="F2504" s="1">
        <f t="shared" si="202"/>
        <v>2250</v>
      </c>
      <c r="L2504" s="11">
        <v>45423</v>
      </c>
      <c r="M2504" s="9">
        <v>4712</v>
      </c>
      <c r="N2504" s="9">
        <v>0</v>
      </c>
      <c r="O2504" s="9">
        <v>2290</v>
      </c>
      <c r="P2504" s="9">
        <v>2250</v>
      </c>
      <c r="R2504" s="11"/>
      <c r="S2504" s="9"/>
      <c r="T2504" s="9"/>
      <c r="U2504" s="9"/>
    </row>
    <row r="2505" spans="2:21" x14ac:dyDescent="0.4">
      <c r="B2505" s="16">
        <f t="shared" si="203"/>
        <v>45425</v>
      </c>
      <c r="C2505" s="1">
        <f t="shared" si="204"/>
        <v>4719</v>
      </c>
      <c r="D2505" s="1">
        <f t="shared" si="205"/>
        <v>856</v>
      </c>
      <c r="E2505" s="1">
        <f t="shared" si="206"/>
        <v>2300</v>
      </c>
      <c r="F2505" s="1">
        <f t="shared" si="202"/>
        <v>2250</v>
      </c>
      <c r="L2505" s="11">
        <v>45425</v>
      </c>
      <c r="M2505" s="9">
        <v>4719</v>
      </c>
      <c r="N2505" s="9">
        <v>856</v>
      </c>
      <c r="O2505" s="9">
        <v>2300</v>
      </c>
      <c r="P2505" s="9">
        <v>2250</v>
      </c>
      <c r="R2505" s="11"/>
      <c r="S2505" s="9"/>
      <c r="T2505" s="9"/>
      <c r="U2505" s="9"/>
    </row>
    <row r="2506" spans="2:21" x14ac:dyDescent="0.4">
      <c r="B2506" s="16">
        <f t="shared" si="203"/>
        <v>45426</v>
      </c>
      <c r="C2506" s="1">
        <f t="shared" si="204"/>
        <v>4725</v>
      </c>
      <c r="D2506" s="1">
        <f t="shared" si="205"/>
        <v>856</v>
      </c>
      <c r="E2506" s="1">
        <f t="shared" si="206"/>
        <v>2300</v>
      </c>
      <c r="F2506" s="1">
        <f t="shared" si="202"/>
        <v>2250</v>
      </c>
      <c r="L2506" s="11">
        <v>45426</v>
      </c>
      <c r="M2506" s="9">
        <v>4725</v>
      </c>
      <c r="N2506" s="9">
        <v>856</v>
      </c>
      <c r="O2506" s="9">
        <v>2300</v>
      </c>
      <c r="P2506" s="9">
        <v>2250</v>
      </c>
      <c r="R2506" s="11"/>
      <c r="S2506" s="9"/>
      <c r="T2506" s="9"/>
      <c r="U2506" s="9"/>
    </row>
    <row r="2507" spans="2:21" x14ac:dyDescent="0.4">
      <c r="B2507" s="16">
        <f t="shared" si="203"/>
        <v>45427</v>
      </c>
      <c r="C2507" s="1">
        <f t="shared" si="204"/>
        <v>4735</v>
      </c>
      <c r="D2507" s="1">
        <f t="shared" si="205"/>
        <v>856</v>
      </c>
      <c r="E2507" s="1">
        <f t="shared" si="206"/>
        <v>2360</v>
      </c>
      <c r="F2507" s="1">
        <f t="shared" si="202"/>
        <v>2250</v>
      </c>
      <c r="L2507" s="11">
        <v>45427</v>
      </c>
      <c r="M2507" s="9">
        <v>4735</v>
      </c>
      <c r="N2507" s="9">
        <v>856</v>
      </c>
      <c r="O2507" s="9">
        <v>2360</v>
      </c>
      <c r="P2507" s="9">
        <v>2250</v>
      </c>
      <c r="R2507" s="11"/>
      <c r="S2507" s="9"/>
      <c r="T2507" s="9"/>
      <c r="U2507" s="9"/>
    </row>
    <row r="2508" spans="2:21" x14ac:dyDescent="0.4">
      <c r="B2508" s="16">
        <f t="shared" si="203"/>
        <v>45428</v>
      </c>
      <c r="C2508" s="1">
        <f t="shared" si="204"/>
        <v>4740</v>
      </c>
      <c r="D2508" s="1">
        <f t="shared" si="205"/>
        <v>856</v>
      </c>
      <c r="E2508" s="1">
        <f t="shared" si="206"/>
        <v>2370</v>
      </c>
      <c r="F2508" s="1">
        <f t="shared" si="202"/>
        <v>2250</v>
      </c>
      <c r="L2508" s="11">
        <v>45428</v>
      </c>
      <c r="M2508" s="9">
        <v>4740</v>
      </c>
      <c r="N2508" s="9">
        <v>856</v>
      </c>
      <c r="O2508" s="9">
        <v>2370</v>
      </c>
      <c r="P2508" s="9">
        <v>2250</v>
      </c>
      <c r="R2508" s="11"/>
      <c r="S2508" s="9"/>
      <c r="T2508" s="9"/>
      <c r="U2508" s="9"/>
    </row>
    <row r="2509" spans="2:21" x14ac:dyDescent="0.4">
      <c r="B2509" s="16">
        <f t="shared" si="203"/>
        <v>45429</v>
      </c>
      <c r="C2509" s="1">
        <f t="shared" si="204"/>
        <v>4766</v>
      </c>
      <c r="D2509" s="1">
        <f t="shared" si="205"/>
        <v>856</v>
      </c>
      <c r="E2509" s="1">
        <f t="shared" si="206"/>
        <v>2370</v>
      </c>
      <c r="F2509" s="1">
        <f t="shared" si="202"/>
        <v>2250</v>
      </c>
      <c r="L2509" s="11">
        <v>45429</v>
      </c>
      <c r="M2509" s="9">
        <v>4766</v>
      </c>
      <c r="N2509" s="9">
        <v>856</v>
      </c>
      <c r="O2509" s="9">
        <v>2370</v>
      </c>
      <c r="P2509" s="9">
        <v>2250</v>
      </c>
      <c r="R2509" s="11"/>
      <c r="S2509" s="9"/>
      <c r="T2509" s="9"/>
      <c r="U2509" s="9"/>
    </row>
    <row r="2510" spans="2:21" x14ac:dyDescent="0.4">
      <c r="B2510" s="16">
        <f t="shared" si="203"/>
        <v>45432</v>
      </c>
      <c r="C2510" s="1">
        <f t="shared" si="204"/>
        <v>4782</v>
      </c>
      <c r="D2510" s="1">
        <f t="shared" si="205"/>
        <v>856</v>
      </c>
      <c r="E2510" s="1">
        <f t="shared" si="206"/>
        <v>2360</v>
      </c>
      <c r="F2510" s="1">
        <f t="shared" si="202"/>
        <v>2300</v>
      </c>
      <c r="L2510" s="11">
        <v>45432</v>
      </c>
      <c r="M2510" s="9">
        <v>4782</v>
      </c>
      <c r="N2510" s="9">
        <v>856</v>
      </c>
      <c r="O2510" s="9">
        <v>2360</v>
      </c>
      <c r="P2510" s="9">
        <v>2300</v>
      </c>
      <c r="R2510" s="11"/>
      <c r="S2510" s="9"/>
      <c r="T2510" s="9"/>
      <c r="U2510" s="9"/>
    </row>
    <row r="2511" spans="2:21" x14ac:dyDescent="0.4">
      <c r="B2511" s="16">
        <f t="shared" si="203"/>
        <v>45433</v>
      </c>
      <c r="C2511" s="1">
        <f t="shared" si="204"/>
        <v>4781</v>
      </c>
      <c r="D2511" s="1">
        <f t="shared" si="205"/>
        <v>856</v>
      </c>
      <c r="E2511" s="1">
        <f t="shared" si="206"/>
        <v>2370</v>
      </c>
      <c r="F2511" s="1">
        <f t="shared" si="202"/>
        <v>2300</v>
      </c>
      <c r="L2511" s="11">
        <v>45433</v>
      </c>
      <c r="M2511" s="9">
        <v>4781</v>
      </c>
      <c r="N2511" s="9">
        <v>856</v>
      </c>
      <c r="O2511" s="9">
        <v>2370</v>
      </c>
      <c r="P2511" s="9">
        <v>2300</v>
      </c>
      <c r="R2511" s="11"/>
      <c r="S2511" s="9"/>
      <c r="T2511" s="9"/>
      <c r="U2511" s="9"/>
    </row>
    <row r="2512" spans="2:21" x14ac:dyDescent="0.4">
      <c r="B2512" s="16">
        <f t="shared" si="203"/>
        <v>45434</v>
      </c>
      <c r="C2512" s="1">
        <f t="shared" si="204"/>
        <v>4782</v>
      </c>
      <c r="D2512" s="1">
        <f t="shared" si="205"/>
        <v>856</v>
      </c>
      <c r="E2512" s="1">
        <f t="shared" si="206"/>
        <v>2370</v>
      </c>
      <c r="F2512" s="1">
        <f t="shared" si="202"/>
        <v>2300</v>
      </c>
      <c r="L2512" s="11">
        <v>45434</v>
      </c>
      <c r="M2512" s="9">
        <v>4782</v>
      </c>
      <c r="N2512" s="9">
        <v>0</v>
      </c>
      <c r="O2512" s="9">
        <v>2370</v>
      </c>
      <c r="P2512" s="9">
        <v>2300</v>
      </c>
      <c r="R2512" s="11"/>
      <c r="S2512" s="9"/>
      <c r="T2512" s="9"/>
      <c r="U2512" s="9"/>
    </row>
    <row r="2513" spans="2:21" x14ac:dyDescent="0.4">
      <c r="B2513" s="16">
        <f t="shared" si="203"/>
        <v>45435</v>
      </c>
      <c r="C2513" s="1">
        <f t="shared" si="204"/>
        <v>4767</v>
      </c>
      <c r="D2513" s="1">
        <f t="shared" si="205"/>
        <v>856</v>
      </c>
      <c r="E2513" s="1">
        <f t="shared" si="206"/>
        <v>2370</v>
      </c>
      <c r="F2513" s="1">
        <f t="shared" si="202"/>
        <v>2300</v>
      </c>
      <c r="L2513" s="11">
        <v>45435</v>
      </c>
      <c r="M2513" s="9">
        <v>4767</v>
      </c>
      <c r="N2513" s="9">
        <v>856</v>
      </c>
      <c r="O2513" s="9">
        <v>2370</v>
      </c>
      <c r="P2513" s="9">
        <v>2300</v>
      </c>
      <c r="R2513" s="11"/>
      <c r="S2513" s="9"/>
      <c r="T2513" s="9"/>
      <c r="U2513" s="9"/>
    </row>
    <row r="2514" spans="2:21" x14ac:dyDescent="0.4">
      <c r="B2514" s="16">
        <f t="shared" si="203"/>
        <v>45436</v>
      </c>
      <c r="C2514" s="1">
        <f t="shared" si="204"/>
        <v>4769</v>
      </c>
      <c r="D2514" s="1">
        <f t="shared" si="205"/>
        <v>856</v>
      </c>
      <c r="E2514" s="1">
        <f t="shared" si="206"/>
        <v>2370</v>
      </c>
      <c r="F2514" s="1">
        <f t="shared" si="202"/>
        <v>2300</v>
      </c>
      <c r="L2514" s="11">
        <v>45436</v>
      </c>
      <c r="M2514" s="9">
        <v>4769</v>
      </c>
      <c r="N2514" s="9">
        <v>856</v>
      </c>
      <c r="O2514" s="9">
        <v>2370</v>
      </c>
      <c r="P2514" s="9">
        <v>2300</v>
      </c>
      <c r="R2514" s="11"/>
      <c r="S2514" s="9"/>
      <c r="T2514" s="9"/>
      <c r="U2514" s="9"/>
    </row>
    <row r="2515" spans="2:21" x14ac:dyDescent="0.4">
      <c r="B2515" s="16">
        <f t="shared" si="203"/>
        <v>45439</v>
      </c>
      <c r="C2515" s="1">
        <f t="shared" si="204"/>
        <v>4776</v>
      </c>
      <c r="D2515" s="1">
        <f t="shared" si="205"/>
        <v>856</v>
      </c>
      <c r="E2515" s="1">
        <f t="shared" si="206"/>
        <v>2370</v>
      </c>
      <c r="F2515" s="1">
        <f t="shared" si="202"/>
        <v>2400</v>
      </c>
      <c r="L2515" s="11">
        <v>45439</v>
      </c>
      <c r="M2515" s="9">
        <v>4776</v>
      </c>
      <c r="N2515" s="9">
        <v>856</v>
      </c>
      <c r="O2515" s="9">
        <v>2370</v>
      </c>
      <c r="P2515" s="9">
        <v>2400</v>
      </c>
      <c r="R2515" s="11"/>
      <c r="S2515" s="9"/>
      <c r="T2515" s="9"/>
      <c r="U2515" s="9"/>
    </row>
    <row r="2516" spans="2:21" x14ac:dyDescent="0.4">
      <c r="B2516" s="16">
        <f t="shared" si="203"/>
        <v>45440</v>
      </c>
      <c r="C2516" s="1">
        <f t="shared" si="204"/>
        <v>4788</v>
      </c>
      <c r="D2516" s="1">
        <f t="shared" si="205"/>
        <v>856</v>
      </c>
      <c r="E2516" s="1">
        <f t="shared" si="206"/>
        <v>2350</v>
      </c>
      <c r="F2516" s="1">
        <f t="shared" si="202"/>
        <v>2400</v>
      </c>
      <c r="L2516" s="11">
        <v>45440</v>
      </c>
      <c r="M2516" s="9">
        <v>4788</v>
      </c>
      <c r="N2516" s="9">
        <v>856</v>
      </c>
      <c r="O2516" s="9">
        <v>2350</v>
      </c>
      <c r="P2516" s="9">
        <v>2400</v>
      </c>
      <c r="R2516" s="11"/>
      <c r="S2516" s="9"/>
      <c r="T2516" s="9"/>
      <c r="U2516" s="9"/>
    </row>
    <row r="2517" spans="2:21" x14ac:dyDescent="0.4">
      <c r="B2517" s="16">
        <f t="shared" si="203"/>
        <v>45441</v>
      </c>
      <c r="C2517" s="1">
        <f t="shared" si="204"/>
        <v>4803</v>
      </c>
      <c r="D2517" s="1">
        <f t="shared" si="205"/>
        <v>856</v>
      </c>
      <c r="E2517" s="1">
        <f t="shared" si="206"/>
        <v>2350</v>
      </c>
      <c r="F2517" s="1">
        <f t="shared" si="202"/>
        <v>2400</v>
      </c>
      <c r="L2517" s="11">
        <v>45441</v>
      </c>
      <c r="M2517" s="9">
        <v>4803</v>
      </c>
      <c r="N2517" s="9">
        <v>856</v>
      </c>
      <c r="O2517" s="9">
        <v>2350</v>
      </c>
      <c r="P2517" s="9">
        <v>2400</v>
      </c>
      <c r="R2517" s="11"/>
      <c r="S2517" s="9"/>
      <c r="T2517" s="9"/>
      <c r="U2517" s="9"/>
    </row>
    <row r="2518" spans="2:21" x14ac:dyDescent="0.4">
      <c r="B2518" s="16">
        <f t="shared" si="203"/>
        <v>45442</v>
      </c>
      <c r="C2518" s="1">
        <f t="shared" si="204"/>
        <v>4830</v>
      </c>
      <c r="D2518" s="1">
        <f t="shared" si="205"/>
        <v>856</v>
      </c>
      <c r="E2518" s="1">
        <f t="shared" si="206"/>
        <v>2360</v>
      </c>
      <c r="F2518" s="1">
        <f t="shared" si="202"/>
        <v>2400</v>
      </c>
      <c r="L2518" s="11">
        <v>45442</v>
      </c>
      <c r="M2518" s="9">
        <v>4830</v>
      </c>
      <c r="N2518" s="9">
        <v>856</v>
      </c>
      <c r="O2518" s="9">
        <v>2360</v>
      </c>
      <c r="P2518" s="9">
        <v>2400</v>
      </c>
      <c r="R2518" s="11"/>
      <c r="S2518" s="9"/>
      <c r="T2518" s="9"/>
      <c r="U2518" s="9"/>
    </row>
    <row r="2519" spans="2:21" x14ac:dyDescent="0.4">
      <c r="B2519" s="16">
        <f t="shared" si="203"/>
        <v>45443</v>
      </c>
      <c r="C2519" s="1">
        <f t="shared" si="204"/>
        <v>4836</v>
      </c>
      <c r="D2519" s="1">
        <f t="shared" si="205"/>
        <v>851</v>
      </c>
      <c r="E2519" s="1">
        <f t="shared" si="206"/>
        <v>2360</v>
      </c>
      <c r="F2519" s="1">
        <f t="shared" si="202"/>
        <v>2400</v>
      </c>
      <c r="L2519" s="11">
        <v>45443</v>
      </c>
      <c r="M2519" s="9">
        <v>4836</v>
      </c>
      <c r="N2519" s="9">
        <v>851</v>
      </c>
      <c r="O2519" s="9">
        <v>2360</v>
      </c>
      <c r="P2519" s="9">
        <v>2400</v>
      </c>
      <c r="R2519" s="11"/>
      <c r="S2519" s="9"/>
      <c r="T2519" s="9"/>
      <c r="U2519" s="9"/>
    </row>
    <row r="2520" spans="2:21" x14ac:dyDescent="0.4">
      <c r="B2520" s="16">
        <f t="shared" si="203"/>
        <v>45446</v>
      </c>
      <c r="C2520" s="1">
        <f t="shared" si="204"/>
        <v>4812</v>
      </c>
      <c r="D2520" s="1">
        <f t="shared" si="205"/>
        <v>851</v>
      </c>
      <c r="E2520" s="1">
        <f t="shared" si="206"/>
        <v>2360</v>
      </c>
      <c r="F2520" s="1">
        <f t="shared" si="202"/>
        <v>2400</v>
      </c>
      <c r="L2520" s="11">
        <v>45446</v>
      </c>
      <c r="M2520" s="9">
        <v>4812</v>
      </c>
      <c r="N2520" s="9">
        <v>851</v>
      </c>
      <c r="O2520" s="9">
        <v>2360</v>
      </c>
      <c r="P2520" s="9">
        <v>2400</v>
      </c>
      <c r="R2520" s="11"/>
      <c r="S2520" s="9"/>
      <c r="T2520" s="9"/>
      <c r="U2520" s="9"/>
    </row>
    <row r="2521" spans="2:21" x14ac:dyDescent="0.4">
      <c r="B2521" s="16">
        <f t="shared" si="203"/>
        <v>45447</v>
      </c>
      <c r="C2521" s="1">
        <f t="shared" si="204"/>
        <v>4780</v>
      </c>
      <c r="D2521" s="1">
        <f t="shared" si="205"/>
        <v>851</v>
      </c>
      <c r="E2521" s="1">
        <f t="shared" si="206"/>
        <v>2360</v>
      </c>
      <c r="F2521" s="1">
        <f t="shared" si="202"/>
        <v>2400</v>
      </c>
      <c r="L2521" s="11">
        <v>45447</v>
      </c>
      <c r="M2521" s="9">
        <v>4780</v>
      </c>
      <c r="N2521" s="9">
        <v>851</v>
      </c>
      <c r="O2521" s="9">
        <v>2360</v>
      </c>
      <c r="P2521" s="9">
        <v>2400</v>
      </c>
      <c r="R2521" s="11"/>
      <c r="S2521" s="9"/>
      <c r="T2521" s="9"/>
      <c r="U2521" s="9"/>
    </row>
    <row r="2522" spans="2:21" x14ac:dyDescent="0.4">
      <c r="B2522" s="16">
        <f t="shared" si="203"/>
        <v>45448</v>
      </c>
      <c r="C2522" s="1">
        <f t="shared" si="204"/>
        <v>4780</v>
      </c>
      <c r="D2522" s="1">
        <f t="shared" si="205"/>
        <v>846</v>
      </c>
      <c r="E2522" s="1">
        <f t="shared" si="206"/>
        <v>2380</v>
      </c>
      <c r="F2522" s="1">
        <f t="shared" si="202"/>
        <v>2400</v>
      </c>
      <c r="L2522" s="11">
        <v>45448</v>
      </c>
      <c r="M2522" s="9">
        <v>4780</v>
      </c>
      <c r="N2522" s="9">
        <v>846</v>
      </c>
      <c r="O2522" s="9">
        <v>2380</v>
      </c>
      <c r="P2522" s="9">
        <v>2400</v>
      </c>
      <c r="R2522" s="11"/>
      <c r="S2522" s="9"/>
      <c r="T2522" s="9"/>
      <c r="U2522" s="9"/>
    </row>
    <row r="2523" spans="2:21" x14ac:dyDescent="0.4">
      <c r="B2523" s="16">
        <f t="shared" si="203"/>
        <v>45449</v>
      </c>
      <c r="C2523" s="1">
        <f t="shared" si="204"/>
        <v>4779</v>
      </c>
      <c r="D2523" s="1">
        <f t="shared" si="205"/>
        <v>846</v>
      </c>
      <c r="E2523" s="1">
        <f t="shared" si="206"/>
        <v>2390</v>
      </c>
      <c r="F2523" s="1">
        <f t="shared" si="202"/>
        <v>2400</v>
      </c>
      <c r="L2523" s="11">
        <v>45449</v>
      </c>
      <c r="M2523" s="9">
        <v>4779</v>
      </c>
      <c r="N2523" s="9">
        <v>846</v>
      </c>
      <c r="O2523" s="9">
        <v>2390</v>
      </c>
      <c r="P2523" s="9">
        <v>0</v>
      </c>
      <c r="R2523" s="11"/>
      <c r="S2523" s="9"/>
      <c r="T2523" s="9"/>
      <c r="U2523" s="9"/>
    </row>
    <row r="2524" spans="2:21" x14ac:dyDescent="0.4">
      <c r="B2524" s="16">
        <f t="shared" si="203"/>
        <v>45450</v>
      </c>
      <c r="C2524" s="1">
        <f t="shared" si="204"/>
        <v>4784</v>
      </c>
      <c r="D2524" s="1">
        <f t="shared" si="205"/>
        <v>836</v>
      </c>
      <c r="E2524" s="1">
        <f t="shared" si="206"/>
        <v>2390</v>
      </c>
      <c r="F2524" s="1">
        <f t="shared" si="202"/>
        <v>2400</v>
      </c>
      <c r="L2524" s="11">
        <v>45450</v>
      </c>
      <c r="M2524" s="9">
        <v>4784</v>
      </c>
      <c r="N2524" s="9">
        <v>836</v>
      </c>
      <c r="O2524" s="9">
        <v>2390</v>
      </c>
      <c r="P2524" s="9">
        <v>2400</v>
      </c>
      <c r="R2524" s="11"/>
      <c r="S2524" s="9"/>
      <c r="T2524" s="9"/>
      <c r="U2524" s="9"/>
    </row>
    <row r="2525" spans="2:21" x14ac:dyDescent="0.4">
      <c r="B2525" s="16">
        <f t="shared" si="203"/>
        <v>45453</v>
      </c>
      <c r="C2525" s="1">
        <f t="shared" si="204"/>
        <v>4784</v>
      </c>
      <c r="D2525" s="1">
        <f t="shared" si="205"/>
        <v>836</v>
      </c>
      <c r="E2525" s="1">
        <f t="shared" si="206"/>
        <v>2390</v>
      </c>
      <c r="F2525" s="1">
        <f t="shared" si="202"/>
        <v>2400</v>
      </c>
      <c r="L2525" s="11">
        <v>45453</v>
      </c>
      <c r="M2525" s="9">
        <v>0</v>
      </c>
      <c r="N2525" s="9">
        <v>836</v>
      </c>
      <c r="O2525" s="9">
        <v>0</v>
      </c>
      <c r="P2525" s="9">
        <v>0</v>
      </c>
      <c r="R2525" s="11"/>
      <c r="S2525" s="9"/>
      <c r="T2525" s="9"/>
      <c r="U2525" s="9"/>
    </row>
    <row r="2526" spans="2:21" x14ac:dyDescent="0.4">
      <c r="B2526" s="16">
        <f t="shared" si="203"/>
        <v>45454</v>
      </c>
      <c r="C2526" s="1">
        <f t="shared" si="204"/>
        <v>4780</v>
      </c>
      <c r="D2526" s="1">
        <f t="shared" si="205"/>
        <v>836</v>
      </c>
      <c r="E2526" s="1">
        <f t="shared" si="206"/>
        <v>2400</v>
      </c>
      <c r="F2526" s="1">
        <f t="shared" si="202"/>
        <v>2350</v>
      </c>
      <c r="L2526" s="11">
        <v>45454</v>
      </c>
      <c r="M2526" s="9">
        <v>4780</v>
      </c>
      <c r="N2526" s="9">
        <v>836</v>
      </c>
      <c r="O2526" s="9">
        <v>2400</v>
      </c>
      <c r="P2526" s="9">
        <v>2350</v>
      </c>
      <c r="R2526" s="11"/>
      <c r="S2526" s="9"/>
      <c r="T2526" s="9"/>
      <c r="U2526" s="9"/>
    </row>
    <row r="2527" spans="2:21" x14ac:dyDescent="0.4">
      <c r="B2527" s="16">
        <f t="shared" si="203"/>
        <v>45455</v>
      </c>
      <c r="C2527" s="1">
        <f t="shared" si="204"/>
        <v>4780</v>
      </c>
      <c r="D2527" s="1">
        <f t="shared" si="205"/>
        <v>836</v>
      </c>
      <c r="E2527" s="1">
        <f t="shared" si="206"/>
        <v>2310</v>
      </c>
      <c r="F2527" s="1">
        <f t="shared" si="202"/>
        <v>2350</v>
      </c>
      <c r="L2527" s="11">
        <v>45455</v>
      </c>
      <c r="M2527" s="9">
        <v>4780</v>
      </c>
      <c r="N2527" s="9">
        <v>836</v>
      </c>
      <c r="O2527" s="9">
        <v>2310</v>
      </c>
      <c r="P2527" s="9">
        <v>2350</v>
      </c>
      <c r="R2527" s="11"/>
      <c r="S2527" s="9"/>
      <c r="T2527" s="9"/>
      <c r="U2527" s="9"/>
    </row>
    <row r="2528" spans="2:21" x14ac:dyDescent="0.4">
      <c r="B2528" s="16">
        <f t="shared" si="203"/>
        <v>45456</v>
      </c>
      <c r="C2528" s="1">
        <f t="shared" si="204"/>
        <v>4773</v>
      </c>
      <c r="D2528" s="1">
        <f t="shared" si="205"/>
        <v>836</v>
      </c>
      <c r="E2528" s="1">
        <f t="shared" si="206"/>
        <v>2270</v>
      </c>
      <c r="F2528" s="1">
        <f t="shared" si="202"/>
        <v>2350</v>
      </c>
      <c r="L2528" s="11">
        <v>45456</v>
      </c>
      <c r="M2528" s="9">
        <v>4773</v>
      </c>
      <c r="N2528" s="9">
        <v>836</v>
      </c>
      <c r="O2528" s="9">
        <v>2270</v>
      </c>
      <c r="P2528" s="9">
        <v>2350</v>
      </c>
      <c r="R2528" s="11"/>
      <c r="S2528" s="9"/>
      <c r="T2528" s="9"/>
      <c r="U2528" s="9"/>
    </row>
    <row r="2529" spans="2:21" x14ac:dyDescent="0.4">
      <c r="B2529" s="16">
        <f t="shared" si="203"/>
        <v>45457</v>
      </c>
      <c r="C2529" s="1">
        <f t="shared" si="204"/>
        <v>4769</v>
      </c>
      <c r="D2529" s="1">
        <f t="shared" si="205"/>
        <v>836</v>
      </c>
      <c r="E2529" s="1">
        <f t="shared" si="206"/>
        <v>2270</v>
      </c>
      <c r="F2529" s="1">
        <f t="shared" si="202"/>
        <v>2350</v>
      </c>
      <c r="L2529" s="11">
        <v>45457</v>
      </c>
      <c r="M2529" s="9">
        <v>4769</v>
      </c>
      <c r="N2529" s="9">
        <v>836</v>
      </c>
      <c r="O2529" s="9">
        <v>2270</v>
      </c>
      <c r="P2529" s="9">
        <v>2350</v>
      </c>
      <c r="R2529" s="11"/>
      <c r="S2529" s="9"/>
      <c r="T2529" s="9"/>
      <c r="U2529" s="9"/>
    </row>
    <row r="2530" spans="2:21" x14ac:dyDescent="0.4">
      <c r="B2530" s="16">
        <f t="shared" si="203"/>
        <v>45460</v>
      </c>
      <c r="C2530" s="1">
        <f t="shared" si="204"/>
        <v>4761</v>
      </c>
      <c r="D2530" s="1">
        <f t="shared" si="205"/>
        <v>836</v>
      </c>
      <c r="E2530" s="1">
        <f t="shared" si="206"/>
        <v>2280</v>
      </c>
      <c r="F2530" s="1">
        <f t="shared" si="202"/>
        <v>2300</v>
      </c>
      <c r="L2530" s="11">
        <v>45460</v>
      </c>
      <c r="M2530" s="9">
        <v>4761</v>
      </c>
      <c r="N2530" s="9">
        <v>0</v>
      </c>
      <c r="O2530" s="9">
        <v>2280</v>
      </c>
      <c r="P2530" s="9">
        <v>2300</v>
      </c>
      <c r="R2530" s="11"/>
      <c r="S2530" s="9"/>
      <c r="T2530" s="9"/>
      <c r="U2530" s="9"/>
    </row>
    <row r="2531" spans="2:21" x14ac:dyDescent="0.4">
      <c r="B2531" s="16">
        <f t="shared" si="203"/>
        <v>45461</v>
      </c>
      <c r="C2531" s="1">
        <f t="shared" si="204"/>
        <v>4754</v>
      </c>
      <c r="D2531" s="1">
        <f t="shared" si="205"/>
        <v>841</v>
      </c>
      <c r="E2531" s="1">
        <f t="shared" si="206"/>
        <v>2280</v>
      </c>
      <c r="F2531" s="1">
        <f t="shared" si="202"/>
        <v>2300</v>
      </c>
      <c r="L2531" s="11">
        <v>45461</v>
      </c>
      <c r="M2531" s="9">
        <v>4754</v>
      </c>
      <c r="N2531" s="9">
        <v>841</v>
      </c>
      <c r="O2531" s="9">
        <v>2280</v>
      </c>
      <c r="P2531" s="9">
        <v>2300</v>
      </c>
      <c r="R2531" s="11"/>
      <c r="S2531" s="9"/>
      <c r="T2531" s="9"/>
      <c r="U2531" s="9"/>
    </row>
    <row r="2532" spans="2:21" x14ac:dyDescent="0.4">
      <c r="B2532" s="16">
        <f t="shared" si="203"/>
        <v>45462</v>
      </c>
      <c r="C2532" s="1">
        <f t="shared" si="204"/>
        <v>4749</v>
      </c>
      <c r="D2532" s="1">
        <f t="shared" si="205"/>
        <v>841</v>
      </c>
      <c r="E2532" s="1">
        <f t="shared" si="206"/>
        <v>2280</v>
      </c>
      <c r="F2532" s="1">
        <f t="shared" si="202"/>
        <v>2250</v>
      </c>
      <c r="L2532" s="11">
        <v>45462</v>
      </c>
      <c r="M2532" s="9">
        <v>4749</v>
      </c>
      <c r="N2532" s="9">
        <v>841</v>
      </c>
      <c r="O2532" s="9">
        <v>2280</v>
      </c>
      <c r="P2532" s="9">
        <v>2250</v>
      </c>
      <c r="R2532" s="11"/>
      <c r="S2532" s="9"/>
      <c r="T2532" s="9"/>
      <c r="U2532" s="9"/>
    </row>
    <row r="2533" spans="2:21" x14ac:dyDescent="0.4">
      <c r="B2533" s="16">
        <f t="shared" si="203"/>
        <v>45463</v>
      </c>
      <c r="C2533" s="1">
        <f t="shared" si="204"/>
        <v>4752</v>
      </c>
      <c r="D2533" s="1">
        <f t="shared" si="205"/>
        <v>841</v>
      </c>
      <c r="E2533" s="1">
        <f t="shared" si="206"/>
        <v>2280</v>
      </c>
      <c r="F2533" s="1">
        <f t="shared" si="202"/>
        <v>2250</v>
      </c>
      <c r="L2533" s="11">
        <v>45463</v>
      </c>
      <c r="M2533" s="9">
        <v>4752</v>
      </c>
      <c r="N2533" s="9">
        <v>841</v>
      </c>
      <c r="O2533" s="9">
        <v>2280</v>
      </c>
      <c r="P2533" s="9">
        <v>2250</v>
      </c>
      <c r="R2533" s="11"/>
      <c r="S2533" s="9"/>
      <c r="T2533" s="9"/>
      <c r="U2533" s="9"/>
    </row>
    <row r="2534" spans="2:21" x14ac:dyDescent="0.4">
      <c r="B2534" s="16">
        <f t="shared" si="203"/>
        <v>45464</v>
      </c>
      <c r="C2534" s="1">
        <f t="shared" si="204"/>
        <v>4752</v>
      </c>
      <c r="D2534" s="1">
        <f t="shared" si="205"/>
        <v>846</v>
      </c>
      <c r="E2534" s="1">
        <f t="shared" si="206"/>
        <v>2270</v>
      </c>
      <c r="F2534" s="1">
        <f t="shared" si="202"/>
        <v>2250</v>
      </c>
      <c r="L2534" s="11">
        <v>45464</v>
      </c>
      <c r="M2534" s="9">
        <v>4752</v>
      </c>
      <c r="N2534" s="9">
        <v>846</v>
      </c>
      <c r="O2534" s="9">
        <v>2270</v>
      </c>
      <c r="P2534" s="9">
        <v>2250</v>
      </c>
      <c r="R2534" s="11"/>
      <c r="S2534" s="9"/>
      <c r="T2534" s="9"/>
      <c r="U2534" s="9"/>
    </row>
    <row r="2535" spans="2:21" x14ac:dyDescent="0.4">
      <c r="B2535" s="16">
        <f t="shared" si="203"/>
        <v>45467</v>
      </c>
      <c r="C2535" s="1">
        <f t="shared" si="204"/>
        <v>4737</v>
      </c>
      <c r="D2535" s="1">
        <f t="shared" si="205"/>
        <v>846</v>
      </c>
      <c r="E2535" s="1">
        <f t="shared" si="206"/>
        <v>2280</v>
      </c>
      <c r="F2535" s="1">
        <f t="shared" si="202"/>
        <v>2250</v>
      </c>
      <c r="L2535" s="11">
        <v>45467</v>
      </c>
      <c r="M2535" s="9">
        <v>4737</v>
      </c>
      <c r="N2535" s="9">
        <v>846</v>
      </c>
      <c r="O2535" s="9">
        <v>2280</v>
      </c>
      <c r="P2535" s="9">
        <v>2250</v>
      </c>
      <c r="R2535" s="11"/>
      <c r="S2535" s="9"/>
      <c r="T2535" s="9"/>
      <c r="U2535" s="9"/>
    </row>
    <row r="2536" spans="2:21" x14ac:dyDescent="0.4">
      <c r="B2536" s="16">
        <f t="shared" si="203"/>
        <v>45468</v>
      </c>
      <c r="C2536" s="1">
        <f t="shared" si="204"/>
        <v>4745</v>
      </c>
      <c r="D2536" s="1">
        <f t="shared" si="205"/>
        <v>846</v>
      </c>
      <c r="E2536" s="1">
        <f t="shared" si="206"/>
        <v>2290</v>
      </c>
      <c r="F2536" s="1">
        <f t="shared" si="202"/>
        <v>2250</v>
      </c>
      <c r="L2536" s="11">
        <v>45468</v>
      </c>
      <c r="M2536" s="9">
        <v>4745</v>
      </c>
      <c r="N2536" s="9">
        <v>846</v>
      </c>
      <c r="O2536" s="9">
        <v>2290</v>
      </c>
      <c r="P2536" s="9">
        <v>2250</v>
      </c>
      <c r="R2536" s="11"/>
      <c r="S2536" s="9"/>
      <c r="T2536" s="9"/>
      <c r="U2536" s="9"/>
    </row>
    <row r="2537" spans="2:21" x14ac:dyDescent="0.4">
      <c r="B2537" s="16">
        <f t="shared" si="203"/>
        <v>45469</v>
      </c>
      <c r="C2537" s="1">
        <f t="shared" si="204"/>
        <v>4751</v>
      </c>
      <c r="D2537" s="1">
        <f t="shared" si="205"/>
        <v>846</v>
      </c>
      <c r="E2537" s="1">
        <f t="shared" si="206"/>
        <v>2310</v>
      </c>
      <c r="F2537" s="1">
        <f t="shared" si="202"/>
        <v>2250</v>
      </c>
      <c r="L2537" s="11">
        <v>45469</v>
      </c>
      <c r="M2537" s="9">
        <v>4751</v>
      </c>
      <c r="N2537" s="9">
        <v>846</v>
      </c>
      <c r="O2537" s="9">
        <v>2310</v>
      </c>
      <c r="P2537" s="9">
        <v>2250</v>
      </c>
      <c r="R2537" s="11"/>
      <c r="S2537" s="9"/>
      <c r="T2537" s="9"/>
      <c r="U2537" s="9"/>
    </row>
    <row r="2538" spans="2:21" x14ac:dyDescent="0.4">
      <c r="B2538" s="16">
        <f t="shared" si="203"/>
        <v>45470</v>
      </c>
      <c r="C2538" s="1">
        <f t="shared" si="204"/>
        <v>4757</v>
      </c>
      <c r="D2538" s="1">
        <f t="shared" si="205"/>
        <v>846</v>
      </c>
      <c r="E2538" s="1">
        <f t="shared" si="206"/>
        <v>2310</v>
      </c>
      <c r="F2538" s="1">
        <f t="shared" si="202"/>
        <v>2250</v>
      </c>
      <c r="L2538" s="11">
        <v>45470</v>
      </c>
      <c r="M2538" s="9">
        <v>4757</v>
      </c>
      <c r="N2538" s="9">
        <v>846</v>
      </c>
      <c r="O2538" s="9">
        <v>2310</v>
      </c>
      <c r="P2538" s="9">
        <v>2250</v>
      </c>
      <c r="R2538" s="11"/>
      <c r="S2538" s="9"/>
      <c r="T2538" s="9"/>
      <c r="U2538" s="9"/>
    </row>
    <row r="2539" spans="2:21" x14ac:dyDescent="0.4">
      <c r="B2539" s="16">
        <f t="shared" si="203"/>
        <v>45471</v>
      </c>
      <c r="C2539" s="1">
        <f t="shared" si="204"/>
        <v>4757</v>
      </c>
      <c r="D2539" s="1">
        <f t="shared" si="205"/>
        <v>856</v>
      </c>
      <c r="E2539" s="1">
        <f t="shared" si="206"/>
        <v>2320</v>
      </c>
      <c r="F2539" s="1">
        <f t="shared" si="202"/>
        <v>2250</v>
      </c>
      <c r="L2539" s="11">
        <v>45471</v>
      </c>
      <c r="M2539" s="9">
        <v>4757</v>
      </c>
      <c r="N2539" s="9">
        <v>856</v>
      </c>
      <c r="O2539" s="9">
        <v>2320</v>
      </c>
      <c r="P2539" s="9">
        <v>2250</v>
      </c>
      <c r="R2539" s="11"/>
      <c r="S2539" s="9"/>
      <c r="T2539" s="9"/>
      <c r="U2539" s="9"/>
    </row>
    <row r="2540" spans="2:21" x14ac:dyDescent="0.4">
      <c r="B2540" s="16">
        <f t="shared" si="203"/>
        <v>45474</v>
      </c>
      <c r="C2540" s="1">
        <f t="shared" si="204"/>
        <v>4752</v>
      </c>
      <c r="D2540" s="1">
        <f t="shared" si="205"/>
        <v>856</v>
      </c>
      <c r="E2540" s="1">
        <f t="shared" si="206"/>
        <v>2310</v>
      </c>
      <c r="F2540" s="1">
        <f t="shared" si="202"/>
        <v>2200</v>
      </c>
      <c r="L2540" s="11">
        <v>45474</v>
      </c>
      <c r="M2540" s="9">
        <v>4752</v>
      </c>
      <c r="N2540" s="9">
        <v>856</v>
      </c>
      <c r="O2540" s="9">
        <v>2310</v>
      </c>
      <c r="P2540" s="9">
        <v>2200</v>
      </c>
      <c r="R2540" s="11"/>
      <c r="S2540" s="9"/>
      <c r="T2540" s="9"/>
      <c r="U2540" s="9"/>
    </row>
    <row r="2541" spans="2:21" x14ac:dyDescent="0.4">
      <c r="B2541" s="16">
        <f t="shared" si="203"/>
        <v>45475</v>
      </c>
      <c r="C2541" s="1">
        <f t="shared" si="204"/>
        <v>4755</v>
      </c>
      <c r="D2541" s="1">
        <f t="shared" si="205"/>
        <v>856</v>
      </c>
      <c r="E2541" s="1">
        <f t="shared" si="206"/>
        <v>2300</v>
      </c>
      <c r="F2541" s="1">
        <f t="shared" si="202"/>
        <v>2200</v>
      </c>
      <c r="L2541" s="11">
        <v>45475</v>
      </c>
      <c r="M2541" s="9">
        <v>4755</v>
      </c>
      <c r="N2541" s="9">
        <v>856</v>
      </c>
      <c r="O2541" s="9">
        <v>2300</v>
      </c>
      <c r="P2541" s="9">
        <v>2200</v>
      </c>
      <c r="R2541" s="11"/>
      <c r="S2541" s="9"/>
      <c r="T2541" s="9"/>
      <c r="U2541" s="9"/>
    </row>
    <row r="2542" spans="2:21" x14ac:dyDescent="0.4">
      <c r="B2542" s="16">
        <f t="shared" si="203"/>
        <v>45476</v>
      </c>
      <c r="C2542" s="1">
        <f t="shared" si="204"/>
        <v>4755</v>
      </c>
      <c r="D2542" s="1">
        <f t="shared" si="205"/>
        <v>856</v>
      </c>
      <c r="E2542" s="1">
        <f t="shared" si="206"/>
        <v>2290</v>
      </c>
      <c r="F2542" s="1">
        <f t="shared" si="202"/>
        <v>2200</v>
      </c>
      <c r="L2542" s="11">
        <v>45476</v>
      </c>
      <c r="M2542" s="9">
        <v>4755</v>
      </c>
      <c r="N2542" s="9">
        <v>856</v>
      </c>
      <c r="O2542" s="9">
        <v>2290</v>
      </c>
      <c r="P2542" s="9">
        <v>2200</v>
      </c>
      <c r="R2542" s="11"/>
      <c r="S2542" s="9"/>
      <c r="T2542" s="9"/>
      <c r="U2542" s="9"/>
    </row>
    <row r="2543" spans="2:21" x14ac:dyDescent="0.4">
      <c r="B2543" s="16">
        <f t="shared" si="203"/>
        <v>45477</v>
      </c>
      <c r="C2543" s="1">
        <f t="shared" si="204"/>
        <v>4758</v>
      </c>
      <c r="D2543" s="1">
        <f t="shared" si="205"/>
        <v>858</v>
      </c>
      <c r="E2543" s="1">
        <f t="shared" si="206"/>
        <v>2300</v>
      </c>
      <c r="F2543" s="1">
        <f t="shared" si="202"/>
        <v>2200</v>
      </c>
      <c r="L2543" s="11">
        <v>45477</v>
      </c>
      <c r="M2543" s="9">
        <v>4758</v>
      </c>
      <c r="N2543" s="9">
        <v>858</v>
      </c>
      <c r="O2543" s="9">
        <v>2300</v>
      </c>
      <c r="P2543" s="9">
        <v>2200</v>
      </c>
      <c r="R2543" s="11"/>
      <c r="S2543" s="9"/>
      <c r="T2543" s="9"/>
      <c r="U2543" s="9"/>
    </row>
    <row r="2544" spans="2:21" x14ac:dyDescent="0.4">
      <c r="B2544" s="16">
        <f t="shared" si="203"/>
        <v>45478</v>
      </c>
      <c r="C2544" s="1">
        <f t="shared" si="204"/>
        <v>4743</v>
      </c>
      <c r="D2544" s="1">
        <f t="shared" si="205"/>
        <v>858</v>
      </c>
      <c r="E2544" s="1">
        <f t="shared" si="206"/>
        <v>2300</v>
      </c>
      <c r="F2544" s="1">
        <f t="shared" si="202"/>
        <v>2200</v>
      </c>
      <c r="L2544" s="11">
        <v>45478</v>
      </c>
      <c r="M2544" s="9">
        <v>4743</v>
      </c>
      <c r="N2544" s="9">
        <v>858</v>
      </c>
      <c r="O2544" s="9">
        <v>2300</v>
      </c>
      <c r="P2544" s="9">
        <v>2200</v>
      </c>
      <c r="R2544" s="11"/>
      <c r="S2544" s="9"/>
      <c r="T2544" s="9"/>
      <c r="U2544" s="9"/>
    </row>
    <row r="2545" spans="2:21" x14ac:dyDescent="0.4">
      <c r="B2545" s="16">
        <f t="shared" si="203"/>
        <v>45481</v>
      </c>
      <c r="C2545" s="1">
        <f t="shared" si="204"/>
        <v>4733</v>
      </c>
      <c r="D2545" s="1">
        <f t="shared" si="205"/>
        <v>858</v>
      </c>
      <c r="E2545" s="1">
        <f t="shared" si="206"/>
        <v>2300</v>
      </c>
      <c r="F2545" s="1">
        <f t="shared" si="202"/>
        <v>2200</v>
      </c>
      <c r="L2545" s="11">
        <v>45481</v>
      </c>
      <c r="M2545" s="9">
        <v>4733</v>
      </c>
      <c r="N2545" s="9">
        <v>858</v>
      </c>
      <c r="O2545" s="9">
        <v>2300</v>
      </c>
      <c r="P2545" s="9">
        <v>2200</v>
      </c>
      <c r="R2545" s="11"/>
      <c r="S2545" s="9"/>
      <c r="T2545" s="9"/>
      <c r="U2545" s="9"/>
    </row>
    <row r="2546" spans="2:21" x14ac:dyDescent="0.4">
      <c r="B2546" s="16">
        <f t="shared" si="203"/>
        <v>45482</v>
      </c>
      <c r="C2546" s="1">
        <f t="shared" si="204"/>
        <v>4732</v>
      </c>
      <c r="D2546" s="1">
        <f t="shared" si="205"/>
        <v>858</v>
      </c>
      <c r="E2546" s="1">
        <f t="shared" si="206"/>
        <v>2290</v>
      </c>
      <c r="F2546" s="1">
        <f t="shared" ref="F2546:F2609" si="207">IF(P2546&lt;&gt;0,P2546,F2545)</f>
        <v>2200</v>
      </c>
      <c r="L2546" s="11">
        <v>45482</v>
      </c>
      <c r="M2546" s="9">
        <v>4732</v>
      </c>
      <c r="N2546" s="9">
        <v>858</v>
      </c>
      <c r="O2546" s="9">
        <v>2290</v>
      </c>
      <c r="P2546" s="9">
        <v>2200</v>
      </c>
      <c r="R2546" s="11"/>
      <c r="S2546" s="9"/>
      <c r="T2546" s="9"/>
      <c r="U2546" s="9"/>
    </row>
    <row r="2547" spans="2:21" x14ac:dyDescent="0.4">
      <c r="B2547" s="16">
        <f t="shared" si="203"/>
        <v>45483</v>
      </c>
      <c r="C2547" s="1">
        <f t="shared" si="204"/>
        <v>4713</v>
      </c>
      <c r="D2547" s="1">
        <f t="shared" si="205"/>
        <v>858</v>
      </c>
      <c r="E2547" s="1">
        <f t="shared" si="206"/>
        <v>2290</v>
      </c>
      <c r="F2547" s="1">
        <f t="shared" si="207"/>
        <v>2200</v>
      </c>
      <c r="L2547" s="11">
        <v>45483</v>
      </c>
      <c r="M2547" s="9">
        <v>4713</v>
      </c>
      <c r="N2547" s="9">
        <v>858</v>
      </c>
      <c r="O2547" s="9">
        <v>2290</v>
      </c>
      <c r="P2547" s="9">
        <v>2200</v>
      </c>
      <c r="R2547" s="11"/>
      <c r="S2547" s="9"/>
      <c r="T2547" s="9"/>
      <c r="U2547" s="9"/>
    </row>
    <row r="2548" spans="2:21" x14ac:dyDescent="0.4">
      <c r="B2548" s="16">
        <f t="shared" si="203"/>
        <v>45484</v>
      </c>
      <c r="C2548" s="1">
        <f t="shared" si="204"/>
        <v>4704</v>
      </c>
      <c r="D2548" s="1">
        <f t="shared" si="205"/>
        <v>858</v>
      </c>
      <c r="E2548" s="1">
        <f t="shared" si="206"/>
        <v>2280</v>
      </c>
      <c r="F2548" s="1">
        <f t="shared" si="207"/>
        <v>2200</v>
      </c>
      <c r="L2548" s="11">
        <v>45484</v>
      </c>
      <c r="M2548" s="9">
        <v>4704</v>
      </c>
      <c r="N2548" s="9">
        <v>858</v>
      </c>
      <c r="O2548" s="9">
        <v>2280</v>
      </c>
      <c r="P2548" s="9">
        <v>2200</v>
      </c>
      <c r="R2548" s="11"/>
      <c r="S2548" s="9"/>
      <c r="T2548" s="9"/>
      <c r="U2548" s="9"/>
    </row>
    <row r="2549" spans="2:21" x14ac:dyDescent="0.4">
      <c r="B2549" s="16">
        <f t="shared" si="203"/>
        <v>45485</v>
      </c>
      <c r="C2549" s="1">
        <f t="shared" si="204"/>
        <v>4706</v>
      </c>
      <c r="D2549" s="1">
        <f t="shared" si="205"/>
        <v>858</v>
      </c>
      <c r="E2549" s="1">
        <f t="shared" si="206"/>
        <v>2280</v>
      </c>
      <c r="F2549" s="1">
        <f t="shared" si="207"/>
        <v>2200</v>
      </c>
      <c r="L2549" s="11">
        <v>45485</v>
      </c>
      <c r="M2549" s="9">
        <v>4706</v>
      </c>
      <c r="N2549" s="9">
        <v>858</v>
      </c>
      <c r="O2549" s="9">
        <v>2280</v>
      </c>
      <c r="P2549" s="9">
        <v>2200</v>
      </c>
      <c r="R2549" s="11"/>
      <c r="S2549" s="9"/>
      <c r="T2549" s="9"/>
      <c r="U2549" s="9"/>
    </row>
    <row r="2550" spans="2:21" x14ac:dyDescent="0.4">
      <c r="B2550" s="16">
        <f t="shared" si="203"/>
        <v>45488</v>
      </c>
      <c r="C2550" s="1">
        <f t="shared" si="204"/>
        <v>4709</v>
      </c>
      <c r="D2550" s="1">
        <f t="shared" si="205"/>
        <v>858</v>
      </c>
      <c r="E2550" s="1">
        <f t="shared" si="206"/>
        <v>2280</v>
      </c>
      <c r="F2550" s="1">
        <f t="shared" si="207"/>
        <v>2100</v>
      </c>
      <c r="L2550" s="11">
        <v>45488</v>
      </c>
      <c r="M2550" s="9">
        <v>4709</v>
      </c>
      <c r="N2550" s="9">
        <v>858</v>
      </c>
      <c r="O2550" s="9">
        <v>2280</v>
      </c>
      <c r="P2550" s="9">
        <v>2100</v>
      </c>
      <c r="R2550" s="11"/>
      <c r="S2550" s="9"/>
      <c r="T2550" s="9"/>
      <c r="U2550" s="9"/>
    </row>
    <row r="2551" spans="2:21" x14ac:dyDescent="0.4">
      <c r="B2551" s="16">
        <f t="shared" si="203"/>
        <v>45489</v>
      </c>
      <c r="C2551" s="1">
        <f t="shared" si="204"/>
        <v>4698</v>
      </c>
      <c r="D2551" s="1">
        <f t="shared" si="205"/>
        <v>858</v>
      </c>
      <c r="E2551" s="1">
        <f t="shared" si="206"/>
        <v>2270</v>
      </c>
      <c r="F2551" s="1">
        <f t="shared" si="207"/>
        <v>2100</v>
      </c>
      <c r="L2551" s="11">
        <v>45489</v>
      </c>
      <c r="M2551" s="9">
        <v>4698</v>
      </c>
      <c r="N2551" s="9">
        <v>858</v>
      </c>
      <c r="O2551" s="9">
        <v>2270</v>
      </c>
      <c r="P2551" s="9">
        <v>2100</v>
      </c>
      <c r="R2551" s="11"/>
      <c r="S2551" s="9"/>
      <c r="T2551" s="9"/>
      <c r="U2551" s="9"/>
    </row>
    <row r="2552" spans="2:21" x14ac:dyDescent="0.4">
      <c r="B2552" s="16">
        <f t="shared" si="203"/>
        <v>45490</v>
      </c>
      <c r="C2552" s="1">
        <f t="shared" si="204"/>
        <v>4691</v>
      </c>
      <c r="D2552" s="1">
        <f t="shared" si="205"/>
        <v>858</v>
      </c>
      <c r="E2552" s="1">
        <f t="shared" si="206"/>
        <v>2270</v>
      </c>
      <c r="F2552" s="1">
        <f t="shared" si="207"/>
        <v>2100</v>
      </c>
      <c r="L2552" s="11">
        <v>45490</v>
      </c>
      <c r="M2552" s="9">
        <v>4691</v>
      </c>
      <c r="N2552" s="9">
        <v>858</v>
      </c>
      <c r="O2552" s="9">
        <v>2270</v>
      </c>
      <c r="P2552" s="9">
        <v>2100</v>
      </c>
      <c r="R2552" s="11"/>
      <c r="S2552" s="9"/>
      <c r="T2552" s="9"/>
      <c r="U2552" s="9"/>
    </row>
    <row r="2553" spans="2:21" x14ac:dyDescent="0.4">
      <c r="B2553" s="16">
        <f t="shared" si="203"/>
        <v>45491</v>
      </c>
      <c r="C2553" s="1">
        <f t="shared" si="204"/>
        <v>4689</v>
      </c>
      <c r="D2553" s="1">
        <f t="shared" si="205"/>
        <v>858</v>
      </c>
      <c r="E2553" s="1">
        <f t="shared" si="206"/>
        <v>2260</v>
      </c>
      <c r="F2553" s="1">
        <f t="shared" si="207"/>
        <v>2050</v>
      </c>
      <c r="L2553" s="11">
        <v>45491</v>
      </c>
      <c r="M2553" s="9">
        <v>4689</v>
      </c>
      <c r="N2553" s="9">
        <v>858</v>
      </c>
      <c r="O2553" s="9">
        <v>2260</v>
      </c>
      <c r="P2553" s="9">
        <v>2050</v>
      </c>
      <c r="R2553" s="11"/>
      <c r="S2553" s="9"/>
      <c r="T2553" s="9"/>
      <c r="U2553" s="9"/>
    </row>
    <row r="2554" spans="2:21" x14ac:dyDescent="0.4">
      <c r="B2554" s="16">
        <f t="shared" si="203"/>
        <v>45492</v>
      </c>
      <c r="C2554" s="1">
        <f t="shared" si="204"/>
        <v>4685</v>
      </c>
      <c r="D2554" s="1">
        <f t="shared" si="205"/>
        <v>858</v>
      </c>
      <c r="E2554" s="1">
        <f t="shared" si="206"/>
        <v>2260</v>
      </c>
      <c r="F2554" s="1">
        <f t="shared" si="207"/>
        <v>2050</v>
      </c>
      <c r="L2554" s="11">
        <v>45492</v>
      </c>
      <c r="M2554" s="9">
        <v>4685</v>
      </c>
      <c r="N2554" s="9">
        <v>858</v>
      </c>
      <c r="O2554" s="9">
        <v>2260</v>
      </c>
      <c r="P2554" s="9">
        <v>2050</v>
      </c>
      <c r="R2554" s="11"/>
      <c r="S2554" s="9"/>
      <c r="T2554" s="9"/>
      <c r="U2554" s="9"/>
    </row>
    <row r="2555" spans="2:21" x14ac:dyDescent="0.4">
      <c r="B2555" s="16">
        <f t="shared" si="203"/>
        <v>45495</v>
      </c>
      <c r="C2555" s="1">
        <f t="shared" si="204"/>
        <v>4685</v>
      </c>
      <c r="D2555" s="1">
        <f t="shared" si="205"/>
        <v>858</v>
      </c>
      <c r="E2555" s="1">
        <f t="shared" si="206"/>
        <v>2250</v>
      </c>
      <c r="F2555" s="1">
        <f t="shared" si="207"/>
        <v>2050</v>
      </c>
      <c r="L2555" s="11">
        <v>45495</v>
      </c>
      <c r="M2555" s="9">
        <v>4685</v>
      </c>
      <c r="N2555" s="9">
        <v>858</v>
      </c>
      <c r="O2555" s="9">
        <v>2250</v>
      </c>
      <c r="P2555" s="9">
        <v>2050</v>
      </c>
      <c r="R2555" s="11"/>
      <c r="S2555" s="9"/>
      <c r="T2555" s="9"/>
      <c r="U2555" s="9"/>
    </row>
    <row r="2556" spans="2:21" x14ac:dyDescent="0.4">
      <c r="B2556" s="16">
        <f t="shared" si="203"/>
        <v>45496</v>
      </c>
      <c r="C2556" s="1">
        <f t="shared" si="204"/>
        <v>4673</v>
      </c>
      <c r="D2556" s="1">
        <f t="shared" si="205"/>
        <v>858</v>
      </c>
      <c r="E2556" s="1">
        <f t="shared" si="206"/>
        <v>2190</v>
      </c>
      <c r="F2556" s="1">
        <f t="shared" si="207"/>
        <v>2050</v>
      </c>
      <c r="L2556" s="11">
        <v>45496</v>
      </c>
      <c r="M2556" s="9">
        <v>4673</v>
      </c>
      <c r="N2556" s="9">
        <v>858</v>
      </c>
      <c r="O2556" s="9">
        <v>2190</v>
      </c>
      <c r="P2556" s="9">
        <v>2050</v>
      </c>
      <c r="R2556" s="11"/>
      <c r="S2556" s="9"/>
      <c r="T2556" s="9"/>
      <c r="U2556" s="9"/>
    </row>
    <row r="2557" spans="2:21" x14ac:dyDescent="0.4">
      <c r="B2557" s="16">
        <f t="shared" si="203"/>
        <v>45497</v>
      </c>
      <c r="C2557" s="1">
        <f t="shared" si="204"/>
        <v>4658</v>
      </c>
      <c r="D2557" s="1">
        <f t="shared" si="205"/>
        <v>858</v>
      </c>
      <c r="E2557" s="1">
        <f t="shared" si="206"/>
        <v>2140</v>
      </c>
      <c r="F2557" s="1">
        <f t="shared" si="207"/>
        <v>2050</v>
      </c>
      <c r="L2557" s="11">
        <v>45497</v>
      </c>
      <c r="M2557" s="9">
        <v>4658</v>
      </c>
      <c r="N2557" s="9">
        <v>858</v>
      </c>
      <c r="O2557" s="9">
        <v>2140</v>
      </c>
      <c r="P2557" s="9">
        <v>2050</v>
      </c>
      <c r="R2557" s="11"/>
      <c r="S2557" s="9"/>
      <c r="T2557" s="9"/>
      <c r="U2557" s="9"/>
    </row>
    <row r="2558" spans="2:21" x14ac:dyDescent="0.4">
      <c r="B2558" s="16">
        <f t="shared" si="203"/>
        <v>45498</v>
      </c>
      <c r="C2558" s="1">
        <f t="shared" si="204"/>
        <v>4640</v>
      </c>
      <c r="D2558" s="1">
        <f t="shared" si="205"/>
        <v>858</v>
      </c>
      <c r="E2558" s="1">
        <f t="shared" si="206"/>
        <v>2140</v>
      </c>
      <c r="F2558" s="1">
        <f t="shared" si="207"/>
        <v>2050</v>
      </c>
      <c r="L2558" s="11">
        <v>45498</v>
      </c>
      <c r="M2558" s="9">
        <v>4640</v>
      </c>
      <c r="N2558" s="9">
        <v>858</v>
      </c>
      <c r="O2558" s="9">
        <v>2140</v>
      </c>
      <c r="P2558" s="9">
        <v>2050</v>
      </c>
      <c r="R2558" s="11"/>
      <c r="S2558" s="9"/>
      <c r="T2558" s="9"/>
      <c r="U2558" s="9"/>
    </row>
    <row r="2559" spans="2:21" x14ac:dyDescent="0.4">
      <c r="B2559" s="16">
        <f t="shared" si="203"/>
        <v>45499</v>
      </c>
      <c r="C2559" s="1">
        <f t="shared" si="204"/>
        <v>4631</v>
      </c>
      <c r="D2559" s="1">
        <f t="shared" si="205"/>
        <v>861</v>
      </c>
      <c r="E2559" s="1">
        <f t="shared" si="206"/>
        <v>2130</v>
      </c>
      <c r="F2559" s="1">
        <f t="shared" si="207"/>
        <v>2050</v>
      </c>
      <c r="L2559" s="11">
        <v>45499</v>
      </c>
      <c r="M2559" s="9">
        <v>4631</v>
      </c>
      <c r="N2559" s="9">
        <v>861</v>
      </c>
      <c r="O2559" s="9">
        <v>2130</v>
      </c>
      <c r="P2559" s="9">
        <v>2050</v>
      </c>
      <c r="R2559" s="11"/>
      <c r="S2559" s="9"/>
      <c r="T2559" s="9"/>
      <c r="U2559" s="9"/>
    </row>
    <row r="2560" spans="2:21" x14ac:dyDescent="0.4">
      <c r="B2560" s="16">
        <f t="shared" si="203"/>
        <v>45502</v>
      </c>
      <c r="C2560" s="1">
        <f t="shared" si="204"/>
        <v>4611</v>
      </c>
      <c r="D2560" s="1">
        <f t="shared" si="205"/>
        <v>861</v>
      </c>
      <c r="E2560" s="1">
        <f t="shared" si="206"/>
        <v>2130</v>
      </c>
      <c r="F2560" s="1">
        <f t="shared" si="207"/>
        <v>2000</v>
      </c>
      <c r="L2560" s="11">
        <v>45502</v>
      </c>
      <c r="M2560" s="9">
        <v>4611</v>
      </c>
      <c r="N2560" s="9">
        <v>861</v>
      </c>
      <c r="O2560" s="9">
        <v>2130</v>
      </c>
      <c r="P2560" s="9">
        <v>2000</v>
      </c>
      <c r="R2560" s="11"/>
      <c r="S2560" s="9"/>
      <c r="T2560" s="9"/>
      <c r="U2560" s="9"/>
    </row>
    <row r="2561" spans="2:21" x14ac:dyDescent="0.4">
      <c r="B2561" s="16">
        <f t="shared" si="203"/>
        <v>45503</v>
      </c>
      <c r="C2561" s="1">
        <f t="shared" si="204"/>
        <v>4586</v>
      </c>
      <c r="D2561" s="1">
        <f t="shared" si="205"/>
        <v>861</v>
      </c>
      <c r="E2561" s="1">
        <f t="shared" si="206"/>
        <v>2130</v>
      </c>
      <c r="F2561" s="1">
        <f t="shared" si="207"/>
        <v>2000</v>
      </c>
      <c r="L2561" s="11">
        <v>45503</v>
      </c>
      <c r="M2561" s="9">
        <v>4586</v>
      </c>
      <c r="N2561" s="9">
        <v>861</v>
      </c>
      <c r="O2561" s="9">
        <v>2130</v>
      </c>
      <c r="P2561" s="9">
        <v>2000</v>
      </c>
      <c r="R2561" s="11"/>
      <c r="S2561" s="9"/>
      <c r="T2561" s="9"/>
      <c r="U2561" s="9"/>
    </row>
    <row r="2562" spans="2:21" x14ac:dyDescent="0.4">
      <c r="B2562" s="16">
        <f t="shared" si="203"/>
        <v>45504</v>
      </c>
      <c r="C2562" s="1">
        <f t="shared" si="204"/>
        <v>4580</v>
      </c>
      <c r="D2562" s="1">
        <f t="shared" si="205"/>
        <v>861</v>
      </c>
      <c r="E2562" s="1">
        <f t="shared" si="206"/>
        <v>2150</v>
      </c>
      <c r="F2562" s="1">
        <f t="shared" si="207"/>
        <v>1950</v>
      </c>
      <c r="L2562" s="11">
        <v>45504</v>
      </c>
      <c r="M2562" s="9">
        <v>4580</v>
      </c>
      <c r="N2562" s="9">
        <v>861</v>
      </c>
      <c r="O2562" s="9">
        <v>2150</v>
      </c>
      <c r="P2562" s="9">
        <v>1950</v>
      </c>
      <c r="R2562" s="11"/>
      <c r="S2562" s="9"/>
      <c r="T2562" s="9"/>
      <c r="U2562" s="9"/>
    </row>
    <row r="2563" spans="2:21" x14ac:dyDescent="0.4">
      <c r="B2563" s="16">
        <f t="shared" si="203"/>
        <v>45505</v>
      </c>
      <c r="C2563" s="1">
        <f t="shared" si="204"/>
        <v>4590</v>
      </c>
      <c r="D2563" s="1">
        <f t="shared" si="205"/>
        <v>861</v>
      </c>
      <c r="E2563" s="1">
        <f t="shared" si="206"/>
        <v>2150</v>
      </c>
      <c r="F2563" s="1">
        <f t="shared" si="207"/>
        <v>1950</v>
      </c>
      <c r="L2563" s="11">
        <v>45505</v>
      </c>
      <c r="M2563" s="9">
        <v>4590</v>
      </c>
      <c r="N2563" s="9">
        <v>861</v>
      </c>
      <c r="O2563" s="9">
        <v>2150</v>
      </c>
      <c r="P2563" s="9">
        <v>1950</v>
      </c>
      <c r="R2563" s="11"/>
      <c r="S2563" s="9"/>
      <c r="T2563" s="9"/>
      <c r="U2563" s="9"/>
    </row>
    <row r="2564" spans="2:21" x14ac:dyDescent="0.4">
      <c r="B2564" s="16">
        <f t="shared" si="203"/>
        <v>45506</v>
      </c>
      <c r="C2564" s="1">
        <f t="shared" si="204"/>
        <v>4591</v>
      </c>
      <c r="D2564" s="1">
        <f t="shared" si="205"/>
        <v>866</v>
      </c>
      <c r="E2564" s="1">
        <f t="shared" si="206"/>
        <v>2150</v>
      </c>
      <c r="F2564" s="1">
        <f t="shared" si="207"/>
        <v>1950</v>
      </c>
      <c r="L2564" s="11">
        <v>45506</v>
      </c>
      <c r="M2564" s="9">
        <v>4591</v>
      </c>
      <c r="N2564" s="9">
        <v>866</v>
      </c>
      <c r="O2564" s="9">
        <v>2150</v>
      </c>
      <c r="P2564" s="9">
        <v>1950</v>
      </c>
      <c r="R2564" s="11"/>
      <c r="S2564" s="9"/>
      <c r="T2564" s="9"/>
      <c r="U2564" s="9"/>
    </row>
    <row r="2565" spans="2:21" x14ac:dyDescent="0.4">
      <c r="B2565" s="16">
        <f t="shared" si="203"/>
        <v>45509</v>
      </c>
      <c r="C2565" s="1">
        <f t="shared" si="204"/>
        <v>4567</v>
      </c>
      <c r="D2565" s="1">
        <f t="shared" si="205"/>
        <v>866</v>
      </c>
      <c r="E2565" s="1">
        <f t="shared" si="206"/>
        <v>2150</v>
      </c>
      <c r="F2565" s="1">
        <f t="shared" si="207"/>
        <v>1950</v>
      </c>
      <c r="L2565" s="11">
        <v>45509</v>
      </c>
      <c r="M2565" s="9">
        <v>4567</v>
      </c>
      <c r="N2565" s="9">
        <v>866</v>
      </c>
      <c r="O2565" s="9">
        <v>2150</v>
      </c>
      <c r="P2565" s="9">
        <v>1950</v>
      </c>
      <c r="R2565" s="11"/>
      <c r="S2565" s="9"/>
      <c r="T2565" s="9"/>
      <c r="U2565" s="9"/>
    </row>
    <row r="2566" spans="2:21" x14ac:dyDescent="0.4">
      <c r="B2566" s="16">
        <f t="shared" ref="B2566:B2629" si="208">L2566</f>
        <v>45510</v>
      </c>
      <c r="C2566" s="1">
        <f t="shared" si="204"/>
        <v>4555</v>
      </c>
      <c r="D2566" s="1">
        <f t="shared" si="205"/>
        <v>866</v>
      </c>
      <c r="E2566" s="1">
        <f t="shared" si="206"/>
        <v>2140</v>
      </c>
      <c r="F2566" s="1">
        <f t="shared" si="207"/>
        <v>1950</v>
      </c>
      <c r="L2566" s="11">
        <v>45510</v>
      </c>
      <c r="M2566" s="9">
        <v>4555</v>
      </c>
      <c r="N2566" s="9">
        <v>866</v>
      </c>
      <c r="O2566" s="9">
        <v>2140</v>
      </c>
      <c r="P2566" s="9">
        <v>1950</v>
      </c>
      <c r="R2566" s="11"/>
      <c r="S2566" s="9"/>
      <c r="T2566" s="9"/>
      <c r="U2566" s="9"/>
    </row>
    <row r="2567" spans="2:21" x14ac:dyDescent="0.4">
      <c r="B2567" s="16">
        <f t="shared" si="208"/>
        <v>45511</v>
      </c>
      <c r="C2567" s="1">
        <f t="shared" ref="C2567:C2630" si="209">IF(M2567&lt;&gt;0,M2567,C2566)</f>
        <v>4548</v>
      </c>
      <c r="D2567" s="1">
        <f t="shared" ref="D2567:D2630" si="210">IF(N2567&lt;&gt;0,N2567,D2566)</f>
        <v>871</v>
      </c>
      <c r="E2567" s="1">
        <f t="shared" ref="E2567:E2630" si="211">IF(O2567&lt;&gt;0,O2567,E2566)</f>
        <v>2120</v>
      </c>
      <c r="F2567" s="1">
        <f t="shared" si="207"/>
        <v>1950</v>
      </c>
      <c r="L2567" s="11">
        <v>45511</v>
      </c>
      <c r="M2567" s="9">
        <v>4548</v>
      </c>
      <c r="N2567" s="9">
        <v>871</v>
      </c>
      <c r="O2567" s="9">
        <v>2120</v>
      </c>
      <c r="P2567" s="9">
        <v>1950</v>
      </c>
      <c r="R2567" s="11"/>
      <c r="S2567" s="9"/>
      <c r="T2567" s="9"/>
      <c r="U2567" s="9"/>
    </row>
    <row r="2568" spans="2:21" x14ac:dyDescent="0.4">
      <c r="B2568" s="16">
        <f t="shared" si="208"/>
        <v>45512</v>
      </c>
      <c r="C2568" s="1">
        <f t="shared" si="209"/>
        <v>4541</v>
      </c>
      <c r="D2568" s="1">
        <f t="shared" si="210"/>
        <v>871</v>
      </c>
      <c r="E2568" s="1">
        <f t="shared" si="211"/>
        <v>2110</v>
      </c>
      <c r="F2568" s="1">
        <f t="shared" si="207"/>
        <v>1950</v>
      </c>
      <c r="L2568" s="11">
        <v>45512</v>
      </c>
      <c r="M2568" s="9">
        <v>4541</v>
      </c>
      <c r="N2568" s="9">
        <v>871</v>
      </c>
      <c r="O2568" s="9">
        <v>2110</v>
      </c>
      <c r="P2568" s="9">
        <v>1950</v>
      </c>
      <c r="R2568" s="11"/>
      <c r="S2568" s="9"/>
      <c r="T2568" s="9"/>
      <c r="U2568" s="9"/>
    </row>
    <row r="2569" spans="2:21" x14ac:dyDescent="0.4">
      <c r="B2569" s="16">
        <f t="shared" si="208"/>
        <v>45513</v>
      </c>
      <c r="C2569" s="1">
        <f t="shared" si="209"/>
        <v>4537</v>
      </c>
      <c r="D2569" s="1">
        <f t="shared" si="210"/>
        <v>871</v>
      </c>
      <c r="E2569" s="1">
        <f t="shared" si="211"/>
        <v>2110</v>
      </c>
      <c r="F2569" s="1">
        <f t="shared" si="207"/>
        <v>1950</v>
      </c>
      <c r="L2569" s="11">
        <v>45513</v>
      </c>
      <c r="M2569" s="9">
        <v>4537</v>
      </c>
      <c r="N2569" s="9">
        <v>0</v>
      </c>
      <c r="O2569" s="9">
        <v>2110</v>
      </c>
      <c r="P2569" s="9">
        <v>1950</v>
      </c>
      <c r="R2569" s="11"/>
      <c r="S2569" s="9"/>
      <c r="T2569" s="9"/>
      <c r="U2569" s="9"/>
    </row>
    <row r="2570" spans="2:21" x14ac:dyDescent="0.4">
      <c r="B2570" s="16">
        <f t="shared" si="208"/>
        <v>45516</v>
      </c>
      <c r="C2570" s="1">
        <f t="shared" si="209"/>
        <v>4545</v>
      </c>
      <c r="D2570" s="1">
        <f t="shared" si="210"/>
        <v>871</v>
      </c>
      <c r="E2570" s="1">
        <f t="shared" si="211"/>
        <v>2110</v>
      </c>
      <c r="F2570" s="1">
        <f t="shared" si="207"/>
        <v>1900</v>
      </c>
      <c r="L2570" s="11">
        <v>45516</v>
      </c>
      <c r="M2570" s="9">
        <v>4545</v>
      </c>
      <c r="N2570" s="9">
        <v>871</v>
      </c>
      <c r="O2570" s="9">
        <v>2110</v>
      </c>
      <c r="P2570" s="9">
        <v>1900</v>
      </c>
      <c r="R2570" s="11"/>
      <c r="S2570" s="9"/>
      <c r="T2570" s="9"/>
      <c r="U2570" s="9"/>
    </row>
    <row r="2571" spans="2:21" x14ac:dyDescent="0.4">
      <c r="B2571" s="16">
        <f t="shared" si="208"/>
        <v>45517</v>
      </c>
      <c r="C2571" s="1">
        <f t="shared" si="209"/>
        <v>4549</v>
      </c>
      <c r="D2571" s="1">
        <f t="shared" si="210"/>
        <v>876</v>
      </c>
      <c r="E2571" s="1">
        <f t="shared" si="211"/>
        <v>2120</v>
      </c>
      <c r="F2571" s="1">
        <f t="shared" si="207"/>
        <v>1900</v>
      </c>
      <c r="L2571" s="11">
        <v>45517</v>
      </c>
      <c r="M2571" s="9">
        <v>4549</v>
      </c>
      <c r="N2571" s="9">
        <v>876</v>
      </c>
      <c r="O2571" s="9">
        <v>2120</v>
      </c>
      <c r="P2571" s="9">
        <v>1900</v>
      </c>
      <c r="R2571" s="11"/>
      <c r="S2571" s="9"/>
      <c r="T2571" s="9"/>
      <c r="U2571" s="9"/>
    </row>
    <row r="2572" spans="2:21" x14ac:dyDescent="0.4">
      <c r="B2572" s="16">
        <f t="shared" si="208"/>
        <v>45518</v>
      </c>
      <c r="C2572" s="1">
        <f t="shared" si="209"/>
        <v>4545</v>
      </c>
      <c r="D2572" s="1">
        <f t="shared" si="210"/>
        <v>876</v>
      </c>
      <c r="E2572" s="1">
        <f t="shared" si="211"/>
        <v>2120</v>
      </c>
      <c r="F2572" s="1">
        <f t="shared" si="207"/>
        <v>1900</v>
      </c>
      <c r="L2572" s="11">
        <v>45518</v>
      </c>
      <c r="M2572" s="9">
        <v>4545</v>
      </c>
      <c r="N2572" s="9">
        <v>876</v>
      </c>
      <c r="O2572" s="9">
        <v>2120</v>
      </c>
      <c r="P2572" s="9">
        <v>1900</v>
      </c>
      <c r="R2572" s="11"/>
      <c r="S2572" s="9"/>
      <c r="T2572" s="9"/>
      <c r="U2572" s="9"/>
    </row>
    <row r="2573" spans="2:21" x14ac:dyDescent="0.4">
      <c r="B2573" s="16">
        <f t="shared" si="208"/>
        <v>45519</v>
      </c>
      <c r="C2573" s="1">
        <f t="shared" si="209"/>
        <v>4511</v>
      </c>
      <c r="D2573" s="1">
        <f t="shared" si="210"/>
        <v>876</v>
      </c>
      <c r="E2573" s="1">
        <f t="shared" si="211"/>
        <v>2120</v>
      </c>
      <c r="F2573" s="1">
        <f t="shared" si="207"/>
        <v>1900</v>
      </c>
      <c r="L2573" s="11">
        <v>45519</v>
      </c>
      <c r="M2573" s="9">
        <v>4511</v>
      </c>
      <c r="N2573" s="9">
        <v>876</v>
      </c>
      <c r="O2573" s="9">
        <v>2120</v>
      </c>
      <c r="P2573" s="9">
        <v>1900</v>
      </c>
      <c r="R2573" s="11"/>
      <c r="S2573" s="9"/>
      <c r="T2573" s="9"/>
      <c r="U2573" s="9"/>
    </row>
    <row r="2574" spans="2:21" x14ac:dyDescent="0.4">
      <c r="B2574" s="16">
        <f t="shared" si="208"/>
        <v>45520</v>
      </c>
      <c r="C2574" s="1">
        <f t="shared" si="209"/>
        <v>4506</v>
      </c>
      <c r="D2574" s="1">
        <f t="shared" si="210"/>
        <v>876</v>
      </c>
      <c r="E2574" s="1">
        <f t="shared" si="211"/>
        <v>2120</v>
      </c>
      <c r="F2574" s="1">
        <f t="shared" si="207"/>
        <v>1900</v>
      </c>
      <c r="L2574" s="11">
        <v>45520</v>
      </c>
      <c r="M2574" s="9">
        <v>4506</v>
      </c>
      <c r="N2574" s="9">
        <v>876</v>
      </c>
      <c r="O2574" s="9">
        <v>2120</v>
      </c>
      <c r="P2574" s="9">
        <v>1900</v>
      </c>
      <c r="R2574" s="11"/>
      <c r="S2574" s="9"/>
      <c r="T2574" s="9"/>
      <c r="U2574" s="9"/>
    </row>
    <row r="2575" spans="2:21" x14ac:dyDescent="0.4">
      <c r="B2575" s="16">
        <f t="shared" si="208"/>
        <v>45523</v>
      </c>
      <c r="C2575" s="1">
        <f t="shared" si="209"/>
        <v>4501</v>
      </c>
      <c r="D2575" s="1">
        <f t="shared" si="210"/>
        <v>881</v>
      </c>
      <c r="E2575" s="1">
        <f t="shared" si="211"/>
        <v>2100</v>
      </c>
      <c r="F2575" s="1">
        <f t="shared" si="207"/>
        <v>1850</v>
      </c>
      <c r="L2575" s="11">
        <v>45523</v>
      </c>
      <c r="M2575" s="9">
        <v>4501</v>
      </c>
      <c r="N2575" s="9">
        <v>881</v>
      </c>
      <c r="O2575" s="9">
        <v>2100</v>
      </c>
      <c r="P2575" s="9">
        <v>1850</v>
      </c>
      <c r="R2575" s="11"/>
      <c r="S2575" s="9"/>
      <c r="T2575" s="9"/>
      <c r="U2575" s="9"/>
    </row>
    <row r="2576" spans="2:21" x14ac:dyDescent="0.4">
      <c r="B2576" s="16">
        <f t="shared" si="208"/>
        <v>45524</v>
      </c>
      <c r="C2576" s="1">
        <f t="shared" si="209"/>
        <v>4490</v>
      </c>
      <c r="D2576" s="1">
        <f t="shared" si="210"/>
        <v>881</v>
      </c>
      <c r="E2576" s="1">
        <f t="shared" si="211"/>
        <v>2100</v>
      </c>
      <c r="F2576" s="1">
        <f t="shared" si="207"/>
        <v>1850</v>
      </c>
      <c r="L2576" s="11">
        <v>45524</v>
      </c>
      <c r="M2576" s="9">
        <v>4490</v>
      </c>
      <c r="N2576" s="9">
        <v>881</v>
      </c>
      <c r="O2576" s="9">
        <v>2100</v>
      </c>
      <c r="P2576" s="9">
        <v>1850</v>
      </c>
      <c r="R2576" s="11"/>
      <c r="S2576" s="9"/>
      <c r="T2576" s="9"/>
      <c r="U2576" s="9"/>
    </row>
    <row r="2577" spans="2:21" x14ac:dyDescent="0.4">
      <c r="B2577" s="16">
        <f t="shared" si="208"/>
        <v>45525</v>
      </c>
      <c r="C2577" s="1">
        <f t="shared" si="209"/>
        <v>4486</v>
      </c>
      <c r="D2577" s="1">
        <f t="shared" si="210"/>
        <v>881</v>
      </c>
      <c r="E2577" s="1">
        <f t="shared" si="211"/>
        <v>2050</v>
      </c>
      <c r="F2577" s="1">
        <f t="shared" si="207"/>
        <v>1850</v>
      </c>
      <c r="L2577" s="11">
        <v>45525</v>
      </c>
      <c r="M2577" s="9">
        <v>4486</v>
      </c>
      <c r="N2577" s="9">
        <v>881</v>
      </c>
      <c r="O2577" s="9">
        <v>2050</v>
      </c>
      <c r="P2577" s="9">
        <v>1850</v>
      </c>
      <c r="R2577" s="11"/>
      <c r="S2577" s="9"/>
      <c r="T2577" s="9"/>
      <c r="U2577" s="9"/>
    </row>
    <row r="2578" spans="2:21" x14ac:dyDescent="0.4">
      <c r="B2578" s="16">
        <f t="shared" si="208"/>
        <v>45526</v>
      </c>
      <c r="C2578" s="1">
        <f t="shared" si="209"/>
        <v>4488</v>
      </c>
      <c r="D2578" s="1">
        <f t="shared" si="210"/>
        <v>881</v>
      </c>
      <c r="E2578" s="1">
        <f t="shared" si="211"/>
        <v>2070</v>
      </c>
      <c r="F2578" s="1">
        <f t="shared" si="207"/>
        <v>1850</v>
      </c>
      <c r="L2578" s="11">
        <v>45526</v>
      </c>
      <c r="M2578" s="9">
        <v>4488</v>
      </c>
      <c r="N2578" s="9">
        <v>881</v>
      </c>
      <c r="O2578" s="9">
        <v>2070</v>
      </c>
      <c r="P2578" s="9">
        <v>1850</v>
      </c>
      <c r="R2578" s="11"/>
      <c r="S2578" s="9"/>
      <c r="T2578" s="9"/>
      <c r="U2578" s="9"/>
    </row>
    <row r="2579" spans="2:21" x14ac:dyDescent="0.4">
      <c r="B2579" s="16">
        <f t="shared" si="208"/>
        <v>45527</v>
      </c>
      <c r="C2579" s="1">
        <f t="shared" si="209"/>
        <v>4474</v>
      </c>
      <c r="D2579" s="1">
        <f t="shared" si="210"/>
        <v>881</v>
      </c>
      <c r="E2579" s="1">
        <f t="shared" si="211"/>
        <v>2070</v>
      </c>
      <c r="F2579" s="1">
        <f t="shared" si="207"/>
        <v>1850</v>
      </c>
      <c r="L2579" s="11">
        <v>45527</v>
      </c>
      <c r="M2579" s="9">
        <v>4474</v>
      </c>
      <c r="N2579" s="9">
        <v>881</v>
      </c>
      <c r="O2579" s="9">
        <v>2070</v>
      </c>
      <c r="P2579" s="9">
        <v>1850</v>
      </c>
      <c r="R2579" s="11"/>
      <c r="S2579" s="9"/>
      <c r="T2579" s="9"/>
      <c r="U2579" s="9"/>
    </row>
    <row r="2580" spans="2:21" x14ac:dyDescent="0.4">
      <c r="B2580" s="16">
        <f t="shared" si="208"/>
        <v>45530</v>
      </c>
      <c r="C2580" s="1">
        <f t="shared" si="209"/>
        <v>4496</v>
      </c>
      <c r="D2580" s="1">
        <f t="shared" si="210"/>
        <v>881</v>
      </c>
      <c r="E2580" s="1">
        <f t="shared" si="211"/>
        <v>2070</v>
      </c>
      <c r="F2580" s="1">
        <f t="shared" si="207"/>
        <v>1800</v>
      </c>
      <c r="L2580" s="11">
        <v>45530</v>
      </c>
      <c r="M2580" s="9">
        <v>4496</v>
      </c>
      <c r="N2580" s="9">
        <v>881</v>
      </c>
      <c r="O2580" s="9">
        <v>2070</v>
      </c>
      <c r="P2580" s="9">
        <v>1800</v>
      </c>
      <c r="R2580" s="11"/>
      <c r="S2580" s="9"/>
      <c r="T2580" s="9"/>
      <c r="U2580" s="9"/>
    </row>
    <row r="2581" spans="2:21" x14ac:dyDescent="0.4">
      <c r="B2581" s="16">
        <f t="shared" si="208"/>
        <v>45531</v>
      </c>
      <c r="C2581" s="1">
        <f t="shared" si="209"/>
        <v>4511</v>
      </c>
      <c r="D2581" s="1">
        <f t="shared" si="210"/>
        <v>881</v>
      </c>
      <c r="E2581" s="1">
        <f t="shared" si="211"/>
        <v>2060</v>
      </c>
      <c r="F2581" s="1">
        <f t="shared" si="207"/>
        <v>1800</v>
      </c>
      <c r="L2581" s="11">
        <v>45531</v>
      </c>
      <c r="M2581" s="9">
        <v>4511</v>
      </c>
      <c r="N2581" s="9">
        <v>881</v>
      </c>
      <c r="O2581" s="9">
        <v>2060</v>
      </c>
      <c r="P2581" s="9">
        <v>1800</v>
      </c>
      <c r="R2581" s="11"/>
      <c r="S2581" s="9"/>
      <c r="T2581" s="9"/>
      <c r="U2581" s="9"/>
    </row>
    <row r="2582" spans="2:21" x14ac:dyDescent="0.4">
      <c r="B2582" s="16">
        <f t="shared" si="208"/>
        <v>45532</v>
      </c>
      <c r="C2582" s="1">
        <f t="shared" si="209"/>
        <v>4508</v>
      </c>
      <c r="D2582" s="1">
        <f t="shared" si="210"/>
        <v>881</v>
      </c>
      <c r="E2582" s="1">
        <f t="shared" si="211"/>
        <v>2050</v>
      </c>
      <c r="F2582" s="1">
        <f t="shared" si="207"/>
        <v>1800</v>
      </c>
      <c r="L2582" s="11">
        <v>45532</v>
      </c>
      <c r="M2582" s="9">
        <v>4508</v>
      </c>
      <c r="N2582" s="9">
        <v>881</v>
      </c>
      <c r="O2582" s="9">
        <v>2050</v>
      </c>
      <c r="P2582" s="9">
        <v>1800</v>
      </c>
      <c r="R2582" s="11"/>
      <c r="S2582" s="9"/>
      <c r="T2582" s="9"/>
      <c r="U2582" s="9"/>
    </row>
    <row r="2583" spans="2:21" x14ac:dyDescent="0.4">
      <c r="B2583" s="16">
        <f t="shared" si="208"/>
        <v>45533</v>
      </c>
      <c r="C2583" s="1">
        <f t="shared" si="209"/>
        <v>4506</v>
      </c>
      <c r="D2583" s="1">
        <f t="shared" si="210"/>
        <v>881</v>
      </c>
      <c r="E2583" s="1">
        <f t="shared" si="211"/>
        <v>2050</v>
      </c>
      <c r="F2583" s="1">
        <f t="shared" si="207"/>
        <v>1800</v>
      </c>
      <c r="L2583" s="11">
        <v>45533</v>
      </c>
      <c r="M2583" s="9">
        <v>4506</v>
      </c>
      <c r="N2583" s="9">
        <v>881</v>
      </c>
      <c r="O2583" s="9">
        <v>2050</v>
      </c>
      <c r="P2583" s="9">
        <v>1800</v>
      </c>
      <c r="R2583" s="11"/>
      <c r="S2583" s="9"/>
      <c r="T2583" s="9"/>
      <c r="U2583" s="9"/>
    </row>
    <row r="2584" spans="2:21" x14ac:dyDescent="0.4">
      <c r="B2584" s="16">
        <f t="shared" si="208"/>
        <v>45534</v>
      </c>
      <c r="C2584" s="1">
        <f t="shared" si="209"/>
        <v>4498</v>
      </c>
      <c r="D2584" s="1">
        <f t="shared" si="210"/>
        <v>881</v>
      </c>
      <c r="E2584" s="1">
        <f t="shared" si="211"/>
        <v>2010</v>
      </c>
      <c r="F2584" s="1">
        <f t="shared" si="207"/>
        <v>1800</v>
      </c>
      <c r="L2584" s="11">
        <v>45534</v>
      </c>
      <c r="M2584" s="9">
        <v>4498</v>
      </c>
      <c r="N2584" s="9">
        <v>881</v>
      </c>
      <c r="O2584" s="9">
        <v>2010</v>
      </c>
      <c r="P2584" s="9">
        <v>1800</v>
      </c>
      <c r="R2584" s="11"/>
      <c r="S2584" s="9"/>
      <c r="T2584" s="9"/>
      <c r="U2584" s="9"/>
    </row>
    <row r="2585" spans="2:21" x14ac:dyDescent="0.4">
      <c r="B2585" s="16">
        <f t="shared" si="208"/>
        <v>45537</v>
      </c>
      <c r="C2585" s="1">
        <f t="shared" si="209"/>
        <v>4481</v>
      </c>
      <c r="D2585" s="1">
        <f t="shared" si="210"/>
        <v>881</v>
      </c>
      <c r="E2585" s="1">
        <f t="shared" si="211"/>
        <v>2000</v>
      </c>
      <c r="F2585" s="1">
        <f t="shared" si="207"/>
        <v>1700</v>
      </c>
      <c r="L2585" s="11">
        <v>45537</v>
      </c>
      <c r="M2585" s="9">
        <v>4481</v>
      </c>
      <c r="N2585" s="9">
        <v>881</v>
      </c>
      <c r="O2585" s="9">
        <v>2000</v>
      </c>
      <c r="P2585" s="9">
        <v>1700</v>
      </c>
      <c r="R2585" s="11"/>
      <c r="S2585" s="9"/>
      <c r="T2585" s="9"/>
      <c r="U2585" s="9"/>
    </row>
    <row r="2586" spans="2:21" x14ac:dyDescent="0.4">
      <c r="B2586" s="16">
        <f t="shared" si="208"/>
        <v>45538</v>
      </c>
      <c r="C2586" s="1">
        <f t="shared" si="209"/>
        <v>4464</v>
      </c>
      <c r="D2586" s="1">
        <f t="shared" si="210"/>
        <v>881</v>
      </c>
      <c r="E2586" s="1">
        <f t="shared" si="211"/>
        <v>1980</v>
      </c>
      <c r="F2586" s="1">
        <f t="shared" si="207"/>
        <v>1700</v>
      </c>
      <c r="L2586" s="11">
        <v>45538</v>
      </c>
      <c r="M2586" s="9">
        <v>4464</v>
      </c>
      <c r="N2586" s="9">
        <v>881</v>
      </c>
      <c r="O2586" s="9">
        <v>1980</v>
      </c>
      <c r="P2586" s="9">
        <v>1700</v>
      </c>
      <c r="R2586" s="11"/>
      <c r="S2586" s="9"/>
      <c r="T2586" s="9"/>
      <c r="U2586" s="9"/>
    </row>
    <row r="2587" spans="2:21" x14ac:dyDescent="0.4">
      <c r="B2587" s="16">
        <f t="shared" si="208"/>
        <v>45539</v>
      </c>
      <c r="C2587" s="1">
        <f t="shared" si="209"/>
        <v>4442</v>
      </c>
      <c r="D2587" s="1">
        <f t="shared" si="210"/>
        <v>881</v>
      </c>
      <c r="E2587" s="1">
        <f t="shared" si="211"/>
        <v>1980</v>
      </c>
      <c r="F2587" s="1">
        <f t="shared" si="207"/>
        <v>1700</v>
      </c>
      <c r="L2587" s="11">
        <v>45539</v>
      </c>
      <c r="M2587" s="9">
        <v>4442</v>
      </c>
      <c r="N2587" s="9">
        <v>881</v>
      </c>
      <c r="O2587" s="9">
        <v>1980</v>
      </c>
      <c r="P2587" s="9">
        <v>1700</v>
      </c>
      <c r="R2587" s="11"/>
      <c r="S2587" s="9"/>
      <c r="T2587" s="9"/>
      <c r="U2587" s="9"/>
    </row>
    <row r="2588" spans="2:21" x14ac:dyDescent="0.4">
      <c r="B2588" s="16">
        <f t="shared" si="208"/>
        <v>45540</v>
      </c>
      <c r="C2588" s="1">
        <f t="shared" si="209"/>
        <v>4433</v>
      </c>
      <c r="D2588" s="1">
        <f t="shared" si="210"/>
        <v>876</v>
      </c>
      <c r="E2588" s="1">
        <f t="shared" si="211"/>
        <v>1960</v>
      </c>
      <c r="F2588" s="1">
        <f t="shared" si="207"/>
        <v>1700</v>
      </c>
      <c r="L2588" s="11">
        <v>45540</v>
      </c>
      <c r="M2588" s="9">
        <v>4433</v>
      </c>
      <c r="N2588" s="9">
        <v>876</v>
      </c>
      <c r="O2588" s="9">
        <v>1960</v>
      </c>
      <c r="P2588" s="9">
        <v>1700</v>
      </c>
      <c r="R2588" s="11"/>
      <c r="S2588" s="9"/>
      <c r="T2588" s="9"/>
      <c r="U2588" s="9"/>
    </row>
    <row r="2589" spans="2:21" x14ac:dyDescent="0.4">
      <c r="B2589" s="16">
        <f t="shared" si="208"/>
        <v>45541</v>
      </c>
      <c r="C2589" s="1">
        <f t="shared" si="209"/>
        <v>4435</v>
      </c>
      <c r="D2589" s="1">
        <f t="shared" si="210"/>
        <v>876</v>
      </c>
      <c r="E2589" s="1">
        <f t="shared" si="211"/>
        <v>1960</v>
      </c>
      <c r="F2589" s="1">
        <f t="shared" si="207"/>
        <v>1700</v>
      </c>
      <c r="L2589" s="11">
        <v>45541</v>
      </c>
      <c r="M2589" s="9">
        <v>4435</v>
      </c>
      <c r="N2589" s="9">
        <v>876</v>
      </c>
      <c r="O2589" s="9">
        <v>1960</v>
      </c>
      <c r="P2589" s="9">
        <v>1700</v>
      </c>
      <c r="R2589" s="11"/>
      <c r="S2589" s="9"/>
      <c r="T2589" s="9"/>
      <c r="U2589" s="9"/>
    </row>
    <row r="2590" spans="2:21" x14ac:dyDescent="0.4">
      <c r="B2590" s="16">
        <f t="shared" si="208"/>
        <v>45544</v>
      </c>
      <c r="C2590" s="1">
        <f t="shared" si="209"/>
        <v>4405</v>
      </c>
      <c r="D2590" s="1">
        <f t="shared" si="210"/>
        <v>876</v>
      </c>
      <c r="E2590" s="1">
        <f t="shared" si="211"/>
        <v>1940</v>
      </c>
      <c r="F2590" s="1">
        <f t="shared" si="207"/>
        <v>1650</v>
      </c>
      <c r="L2590" s="11">
        <v>45544</v>
      </c>
      <c r="M2590" s="9">
        <v>4405</v>
      </c>
      <c r="N2590" s="9">
        <v>876</v>
      </c>
      <c r="O2590" s="9">
        <v>1940</v>
      </c>
      <c r="P2590" s="9">
        <v>1650</v>
      </c>
      <c r="R2590" s="11"/>
      <c r="S2590" s="9"/>
      <c r="T2590" s="9"/>
      <c r="U2590" s="9"/>
    </row>
    <row r="2591" spans="2:21" x14ac:dyDescent="0.4">
      <c r="B2591" s="16">
        <f t="shared" si="208"/>
        <v>45545</v>
      </c>
      <c r="C2591" s="1">
        <f t="shared" si="209"/>
        <v>4382</v>
      </c>
      <c r="D2591" s="1">
        <f t="shared" si="210"/>
        <v>876</v>
      </c>
      <c r="E2591" s="1">
        <f t="shared" si="211"/>
        <v>1940</v>
      </c>
      <c r="F2591" s="1">
        <f t="shared" si="207"/>
        <v>1650</v>
      </c>
      <c r="L2591" s="11">
        <v>45545</v>
      </c>
      <c r="M2591" s="9">
        <v>4382</v>
      </c>
      <c r="N2591" s="9">
        <v>876</v>
      </c>
      <c r="O2591" s="9">
        <v>1940</v>
      </c>
      <c r="P2591" s="9">
        <v>1650</v>
      </c>
      <c r="R2591" s="11"/>
      <c r="S2591" s="9"/>
      <c r="T2591" s="9"/>
      <c r="U2591" s="9"/>
    </row>
    <row r="2592" spans="2:21" x14ac:dyDescent="0.4">
      <c r="B2592" s="16">
        <f t="shared" si="208"/>
        <v>45546</v>
      </c>
      <c r="C2592" s="1">
        <f t="shared" si="209"/>
        <v>4344</v>
      </c>
      <c r="D2592" s="1">
        <f t="shared" si="210"/>
        <v>876</v>
      </c>
      <c r="E2592" s="1">
        <f t="shared" si="211"/>
        <v>1880</v>
      </c>
      <c r="F2592" s="1">
        <f t="shared" si="207"/>
        <v>1600</v>
      </c>
      <c r="L2592" s="11">
        <v>45546</v>
      </c>
      <c r="M2592" s="9">
        <v>4344</v>
      </c>
      <c r="N2592" s="9">
        <v>876</v>
      </c>
      <c r="O2592" s="9">
        <v>1880</v>
      </c>
      <c r="P2592" s="9">
        <v>1600</v>
      </c>
      <c r="R2592" s="11"/>
      <c r="S2592" s="9"/>
      <c r="T2592" s="9"/>
      <c r="U2592" s="9"/>
    </row>
    <row r="2593" spans="2:21" x14ac:dyDescent="0.4">
      <c r="B2593" s="16">
        <f t="shared" si="208"/>
        <v>45547</v>
      </c>
      <c r="C2593" s="1">
        <f t="shared" si="209"/>
        <v>4353</v>
      </c>
      <c r="D2593" s="1">
        <f t="shared" si="210"/>
        <v>861</v>
      </c>
      <c r="E2593" s="1">
        <f t="shared" si="211"/>
        <v>1880</v>
      </c>
      <c r="F2593" s="1">
        <f t="shared" si="207"/>
        <v>1600</v>
      </c>
      <c r="L2593" s="11">
        <v>45547</v>
      </c>
      <c r="M2593" s="9">
        <v>4353</v>
      </c>
      <c r="N2593" s="9">
        <v>861</v>
      </c>
      <c r="O2593" s="9">
        <v>1880</v>
      </c>
      <c r="P2593" s="9">
        <v>1600</v>
      </c>
      <c r="R2593" s="11"/>
      <c r="S2593" s="9"/>
      <c r="T2593" s="9"/>
      <c r="U2593" s="9"/>
    </row>
    <row r="2594" spans="2:21" x14ac:dyDescent="0.4">
      <c r="B2594" s="16">
        <f t="shared" si="208"/>
        <v>45548</v>
      </c>
      <c r="C2594" s="1">
        <f t="shared" si="209"/>
        <v>4362</v>
      </c>
      <c r="D2594" s="1">
        <f t="shared" si="210"/>
        <v>861</v>
      </c>
      <c r="E2594" s="1">
        <f t="shared" si="211"/>
        <v>1890</v>
      </c>
      <c r="F2594" s="1">
        <f t="shared" si="207"/>
        <v>1600</v>
      </c>
      <c r="L2594" s="11">
        <v>45548</v>
      </c>
      <c r="M2594" s="9">
        <v>4362</v>
      </c>
      <c r="N2594" s="9">
        <v>861</v>
      </c>
      <c r="O2594" s="9">
        <v>1890</v>
      </c>
      <c r="P2594" s="9">
        <v>1600</v>
      </c>
      <c r="R2594" s="11"/>
      <c r="S2594" s="9"/>
      <c r="T2594" s="9"/>
      <c r="U2594" s="9"/>
    </row>
    <row r="2595" spans="2:21" x14ac:dyDescent="0.4">
      <c r="B2595" s="16">
        <f t="shared" si="208"/>
        <v>45549</v>
      </c>
      <c r="C2595" s="1">
        <f t="shared" si="209"/>
        <v>4373</v>
      </c>
      <c r="D2595" s="1">
        <f t="shared" si="210"/>
        <v>861</v>
      </c>
      <c r="E2595" s="1">
        <f t="shared" si="211"/>
        <v>1890</v>
      </c>
      <c r="F2595" s="1">
        <f t="shared" si="207"/>
        <v>1600</v>
      </c>
      <c r="L2595" s="11">
        <v>45549</v>
      </c>
      <c r="M2595" s="9">
        <v>4373</v>
      </c>
      <c r="N2595" s="9">
        <v>0</v>
      </c>
      <c r="O2595" s="9">
        <v>1890</v>
      </c>
      <c r="P2595" s="9">
        <v>1600</v>
      </c>
      <c r="R2595" s="11"/>
      <c r="S2595" s="9"/>
      <c r="T2595" s="9"/>
      <c r="U2595" s="9"/>
    </row>
    <row r="2596" spans="2:21" x14ac:dyDescent="0.4">
      <c r="B2596" s="16">
        <f t="shared" si="208"/>
        <v>45551</v>
      </c>
      <c r="C2596" s="1">
        <f t="shared" si="209"/>
        <v>4373</v>
      </c>
      <c r="D2596" s="1">
        <f t="shared" si="210"/>
        <v>861</v>
      </c>
      <c r="E2596" s="1">
        <f t="shared" si="211"/>
        <v>1890</v>
      </c>
      <c r="F2596" s="1">
        <f t="shared" si="207"/>
        <v>1600</v>
      </c>
      <c r="L2596" s="11">
        <v>45551</v>
      </c>
      <c r="M2596" s="9">
        <v>0</v>
      </c>
      <c r="N2596" s="9">
        <v>861</v>
      </c>
      <c r="O2596" s="9">
        <v>0</v>
      </c>
      <c r="P2596" s="9">
        <v>0</v>
      </c>
      <c r="R2596" s="11"/>
      <c r="S2596" s="9"/>
      <c r="T2596" s="9"/>
      <c r="U2596" s="9"/>
    </row>
    <row r="2597" spans="2:21" x14ac:dyDescent="0.4">
      <c r="B2597" s="16">
        <f t="shared" si="208"/>
        <v>45552</v>
      </c>
      <c r="C2597" s="1">
        <f t="shared" si="209"/>
        <v>4373</v>
      </c>
      <c r="D2597" s="1">
        <f t="shared" si="210"/>
        <v>861</v>
      </c>
      <c r="E2597" s="1">
        <f t="shared" si="211"/>
        <v>1890</v>
      </c>
      <c r="F2597" s="1">
        <f t="shared" si="207"/>
        <v>1600</v>
      </c>
      <c r="L2597" s="11">
        <v>45552</v>
      </c>
      <c r="M2597" s="9">
        <v>0</v>
      </c>
      <c r="N2597" s="9">
        <v>861</v>
      </c>
      <c r="O2597" s="9">
        <v>0</v>
      </c>
      <c r="P2597" s="9">
        <v>0</v>
      </c>
      <c r="R2597" s="11"/>
      <c r="S2597" s="9"/>
      <c r="T2597" s="9"/>
      <c r="U2597" s="9"/>
    </row>
    <row r="2598" spans="2:21" x14ac:dyDescent="0.4">
      <c r="B2598" s="16">
        <f t="shared" si="208"/>
        <v>45553</v>
      </c>
      <c r="C2598" s="1">
        <f t="shared" si="209"/>
        <v>4358</v>
      </c>
      <c r="D2598" s="1">
        <f t="shared" si="210"/>
        <v>861</v>
      </c>
      <c r="E2598" s="1">
        <f t="shared" si="211"/>
        <v>1900</v>
      </c>
      <c r="F2598" s="1">
        <f t="shared" si="207"/>
        <v>1500</v>
      </c>
      <c r="L2598" s="11">
        <v>45553</v>
      </c>
      <c r="M2598" s="9">
        <v>4358</v>
      </c>
      <c r="N2598" s="9">
        <v>861</v>
      </c>
      <c r="O2598" s="9">
        <v>1900</v>
      </c>
      <c r="P2598" s="9">
        <v>1500</v>
      </c>
      <c r="R2598" s="11"/>
      <c r="S2598" s="9"/>
      <c r="T2598" s="9"/>
      <c r="U2598" s="9"/>
    </row>
    <row r="2599" spans="2:21" x14ac:dyDescent="0.4">
      <c r="B2599" s="16">
        <f t="shared" si="208"/>
        <v>45554</v>
      </c>
      <c r="C2599" s="1">
        <f t="shared" si="209"/>
        <v>4353</v>
      </c>
      <c r="D2599" s="1">
        <f t="shared" si="210"/>
        <v>861</v>
      </c>
      <c r="E2599" s="1">
        <f t="shared" si="211"/>
        <v>1870</v>
      </c>
      <c r="F2599" s="1">
        <f t="shared" si="207"/>
        <v>1500</v>
      </c>
      <c r="L2599" s="11">
        <v>45554</v>
      </c>
      <c r="M2599" s="9">
        <v>4353</v>
      </c>
      <c r="N2599" s="9">
        <v>861</v>
      </c>
      <c r="O2599" s="9">
        <v>1870</v>
      </c>
      <c r="P2599" s="9">
        <v>1500</v>
      </c>
      <c r="R2599" s="11"/>
      <c r="S2599" s="9"/>
      <c r="T2599" s="9"/>
      <c r="U2599" s="9"/>
    </row>
    <row r="2600" spans="2:21" x14ac:dyDescent="0.4">
      <c r="B2600" s="16">
        <f t="shared" si="208"/>
        <v>45555</v>
      </c>
      <c r="C2600" s="1">
        <f t="shared" si="209"/>
        <v>4358</v>
      </c>
      <c r="D2600" s="1">
        <f t="shared" si="210"/>
        <v>841</v>
      </c>
      <c r="E2600" s="1">
        <f t="shared" si="211"/>
        <v>1860</v>
      </c>
      <c r="F2600" s="1">
        <f t="shared" si="207"/>
        <v>1500</v>
      </c>
      <c r="L2600" s="11">
        <v>45555</v>
      </c>
      <c r="M2600" s="9">
        <v>4358</v>
      </c>
      <c r="N2600" s="9">
        <v>841</v>
      </c>
      <c r="O2600" s="9">
        <v>1860</v>
      </c>
      <c r="P2600" s="9">
        <v>1500</v>
      </c>
      <c r="R2600" s="11"/>
      <c r="S2600" s="9"/>
      <c r="T2600" s="9"/>
      <c r="U2600" s="9"/>
    </row>
    <row r="2601" spans="2:21" x14ac:dyDescent="0.4">
      <c r="B2601" s="16">
        <f t="shared" si="208"/>
        <v>45558</v>
      </c>
      <c r="C2601" s="1">
        <f t="shared" si="209"/>
        <v>4336</v>
      </c>
      <c r="D2601" s="1">
        <f t="shared" si="210"/>
        <v>841</v>
      </c>
      <c r="E2601" s="1">
        <f t="shared" si="211"/>
        <v>1840</v>
      </c>
      <c r="F2601" s="1">
        <f t="shared" si="207"/>
        <v>1500</v>
      </c>
      <c r="L2601" s="11">
        <v>45558</v>
      </c>
      <c r="M2601" s="9">
        <v>4336</v>
      </c>
      <c r="N2601" s="9">
        <v>841</v>
      </c>
      <c r="O2601" s="9">
        <v>1840</v>
      </c>
      <c r="P2601" s="9">
        <v>1500</v>
      </c>
      <c r="R2601" s="11"/>
      <c r="S2601" s="9"/>
      <c r="T2601" s="9"/>
      <c r="U2601" s="9"/>
    </row>
    <row r="2602" spans="2:21" x14ac:dyDescent="0.4">
      <c r="B2602" s="16">
        <f t="shared" si="208"/>
        <v>45559</v>
      </c>
      <c r="C2602" s="1">
        <f t="shared" si="209"/>
        <v>4335</v>
      </c>
      <c r="D2602" s="1">
        <f t="shared" si="210"/>
        <v>841</v>
      </c>
      <c r="E2602" s="1">
        <f t="shared" si="211"/>
        <v>1820</v>
      </c>
      <c r="F2602" s="1">
        <f t="shared" si="207"/>
        <v>1500</v>
      </c>
      <c r="L2602" s="11">
        <v>45559</v>
      </c>
      <c r="M2602" s="9">
        <v>4335</v>
      </c>
      <c r="N2602" s="9">
        <v>841</v>
      </c>
      <c r="O2602" s="9">
        <v>1820</v>
      </c>
      <c r="P2602" s="9">
        <v>1500</v>
      </c>
      <c r="R2602" s="11"/>
      <c r="S2602" s="9"/>
      <c r="T2602" s="9"/>
      <c r="U2602" s="9"/>
    </row>
    <row r="2603" spans="2:21" x14ac:dyDescent="0.4">
      <c r="B2603" s="16">
        <f t="shared" si="208"/>
        <v>45560</v>
      </c>
      <c r="C2603" s="1">
        <f t="shared" si="209"/>
        <v>4351</v>
      </c>
      <c r="D2603" s="1">
        <f t="shared" si="210"/>
        <v>841</v>
      </c>
      <c r="E2603" s="1">
        <f t="shared" si="211"/>
        <v>1810</v>
      </c>
      <c r="F2603" s="1">
        <f t="shared" si="207"/>
        <v>1500</v>
      </c>
      <c r="L2603" s="11">
        <v>45560</v>
      </c>
      <c r="M2603" s="9">
        <v>4351</v>
      </c>
      <c r="N2603" s="9">
        <v>841</v>
      </c>
      <c r="O2603" s="9">
        <v>1810</v>
      </c>
      <c r="P2603" s="9">
        <v>1500</v>
      </c>
      <c r="R2603" s="11"/>
      <c r="S2603" s="9"/>
      <c r="T2603" s="9"/>
      <c r="U2603" s="9"/>
    </row>
    <row r="2604" spans="2:21" x14ac:dyDescent="0.4">
      <c r="B2604" s="16">
        <f t="shared" si="208"/>
        <v>45561</v>
      </c>
      <c r="C2604" s="1">
        <f t="shared" si="209"/>
        <v>4354</v>
      </c>
      <c r="D2604" s="1">
        <f t="shared" si="210"/>
        <v>831</v>
      </c>
      <c r="E2604" s="1">
        <f t="shared" si="211"/>
        <v>1820</v>
      </c>
      <c r="F2604" s="1">
        <f t="shared" si="207"/>
        <v>1500</v>
      </c>
      <c r="L2604" s="11">
        <v>45561</v>
      </c>
      <c r="M2604" s="9">
        <v>4354</v>
      </c>
      <c r="N2604" s="9">
        <v>831</v>
      </c>
      <c r="O2604" s="9">
        <v>1820</v>
      </c>
      <c r="P2604" s="9">
        <v>1500</v>
      </c>
      <c r="R2604" s="11"/>
      <c r="S2604" s="9"/>
      <c r="T2604" s="9"/>
      <c r="U2604" s="9"/>
    </row>
    <row r="2605" spans="2:21" x14ac:dyDescent="0.4">
      <c r="B2605" s="16">
        <f t="shared" si="208"/>
        <v>45562</v>
      </c>
      <c r="C2605" s="1">
        <f t="shared" si="209"/>
        <v>4352</v>
      </c>
      <c r="D2605" s="1">
        <f t="shared" si="210"/>
        <v>821</v>
      </c>
      <c r="E2605" s="1">
        <f t="shared" si="211"/>
        <v>1820</v>
      </c>
      <c r="F2605" s="1">
        <f t="shared" si="207"/>
        <v>1500</v>
      </c>
      <c r="L2605" s="11">
        <v>45562</v>
      </c>
      <c r="M2605" s="9">
        <v>4352</v>
      </c>
      <c r="N2605" s="9">
        <v>821</v>
      </c>
      <c r="O2605" s="9">
        <v>1820</v>
      </c>
      <c r="P2605" s="9">
        <v>1500</v>
      </c>
      <c r="R2605" s="11"/>
      <c r="S2605" s="9"/>
      <c r="T2605" s="9"/>
      <c r="U2605" s="9"/>
    </row>
    <row r="2606" spans="2:21" x14ac:dyDescent="0.4">
      <c r="B2606" s="16">
        <f t="shared" si="208"/>
        <v>45564</v>
      </c>
      <c r="C2606" s="1">
        <f t="shared" si="209"/>
        <v>4373</v>
      </c>
      <c r="D2606" s="1">
        <f t="shared" si="210"/>
        <v>821</v>
      </c>
      <c r="E2606" s="1">
        <f t="shared" si="211"/>
        <v>1850</v>
      </c>
      <c r="F2606" s="1">
        <f t="shared" si="207"/>
        <v>1550</v>
      </c>
      <c r="L2606" s="11">
        <v>45564</v>
      </c>
      <c r="M2606" s="9">
        <v>4373</v>
      </c>
      <c r="N2606" s="9">
        <v>0</v>
      </c>
      <c r="O2606" s="9">
        <v>1850</v>
      </c>
      <c r="P2606" s="9">
        <v>1550</v>
      </c>
      <c r="R2606" s="11"/>
      <c r="S2606" s="9"/>
      <c r="T2606" s="9"/>
      <c r="U2606" s="9"/>
    </row>
    <row r="2607" spans="2:21" x14ac:dyDescent="0.4">
      <c r="B2607" s="16">
        <f t="shared" si="208"/>
        <v>45565</v>
      </c>
      <c r="C2607" s="1">
        <f t="shared" si="209"/>
        <v>4397</v>
      </c>
      <c r="D2607" s="1">
        <f t="shared" si="210"/>
        <v>821</v>
      </c>
      <c r="E2607" s="1">
        <f t="shared" si="211"/>
        <v>1850</v>
      </c>
      <c r="F2607" s="1">
        <f t="shared" si="207"/>
        <v>1550</v>
      </c>
      <c r="L2607" s="11">
        <v>45565</v>
      </c>
      <c r="M2607" s="9">
        <v>4397</v>
      </c>
      <c r="N2607" s="9">
        <v>821</v>
      </c>
      <c r="O2607" s="9">
        <v>1850</v>
      </c>
      <c r="P2607" s="9">
        <v>1550</v>
      </c>
      <c r="R2607" s="11"/>
      <c r="S2607" s="9"/>
      <c r="T2607" s="9"/>
      <c r="U2607" s="9"/>
    </row>
    <row r="2608" spans="2:21" x14ac:dyDescent="0.4">
      <c r="B2608" s="16">
        <f t="shared" si="208"/>
        <v>45566</v>
      </c>
      <c r="C2608" s="1">
        <f t="shared" si="209"/>
        <v>4397</v>
      </c>
      <c r="D2608" s="1">
        <f t="shared" si="210"/>
        <v>821</v>
      </c>
      <c r="E2608" s="1">
        <f t="shared" si="211"/>
        <v>1850</v>
      </c>
      <c r="F2608" s="1">
        <f t="shared" si="207"/>
        <v>1550</v>
      </c>
      <c r="L2608" s="11">
        <v>45566</v>
      </c>
      <c r="M2608" s="9">
        <v>0</v>
      </c>
      <c r="N2608" s="9">
        <v>821</v>
      </c>
      <c r="O2608" s="9">
        <v>0</v>
      </c>
      <c r="P2608" s="9">
        <v>0</v>
      </c>
      <c r="R2608" s="11"/>
      <c r="S2608" s="9"/>
      <c r="T2608" s="9"/>
      <c r="U2608" s="9"/>
    </row>
    <row r="2609" spans="2:21" x14ac:dyDescent="0.4">
      <c r="B2609" s="16">
        <f t="shared" si="208"/>
        <v>45567</v>
      </c>
      <c r="C2609" s="1">
        <f t="shared" si="209"/>
        <v>4397</v>
      </c>
      <c r="D2609" s="1">
        <f t="shared" si="210"/>
        <v>821</v>
      </c>
      <c r="E2609" s="1">
        <f t="shared" si="211"/>
        <v>1850</v>
      </c>
      <c r="F2609" s="1">
        <f t="shared" si="207"/>
        <v>1550</v>
      </c>
      <c r="L2609" s="11">
        <v>45567</v>
      </c>
      <c r="M2609" s="9">
        <v>0</v>
      </c>
      <c r="N2609" s="9">
        <v>821</v>
      </c>
      <c r="O2609" s="9">
        <v>0</v>
      </c>
      <c r="P2609" s="9">
        <v>0</v>
      </c>
      <c r="R2609" s="11"/>
      <c r="S2609" s="9"/>
      <c r="T2609" s="9"/>
      <c r="U2609" s="9"/>
    </row>
    <row r="2610" spans="2:21" x14ac:dyDescent="0.4">
      <c r="B2610" s="16">
        <f t="shared" si="208"/>
        <v>45568</v>
      </c>
      <c r="C2610" s="1">
        <f t="shared" si="209"/>
        <v>4397</v>
      </c>
      <c r="D2610" s="1">
        <f t="shared" si="210"/>
        <v>821</v>
      </c>
      <c r="E2610" s="1">
        <f t="shared" si="211"/>
        <v>1850</v>
      </c>
      <c r="F2610" s="1">
        <f t="shared" ref="F2610:F2673" si="212">IF(P2610&lt;&gt;0,P2610,F2609)</f>
        <v>1550</v>
      </c>
      <c r="L2610" s="11">
        <v>45568</v>
      </c>
      <c r="M2610" s="9">
        <v>0</v>
      </c>
      <c r="N2610" s="9">
        <v>821</v>
      </c>
      <c r="O2610" s="9">
        <v>0</v>
      </c>
      <c r="P2610" s="9">
        <v>0</v>
      </c>
      <c r="R2610" s="11"/>
      <c r="S2610" s="9"/>
      <c r="T2610" s="9"/>
      <c r="U2610" s="9"/>
    </row>
    <row r="2611" spans="2:21" x14ac:dyDescent="0.4">
      <c r="B2611" s="16">
        <f t="shared" si="208"/>
        <v>45569</v>
      </c>
      <c r="C2611" s="1">
        <f t="shared" si="209"/>
        <v>4397</v>
      </c>
      <c r="D2611" s="1">
        <f t="shared" si="210"/>
        <v>821</v>
      </c>
      <c r="E2611" s="1">
        <f t="shared" si="211"/>
        <v>1850</v>
      </c>
      <c r="F2611" s="1">
        <f t="shared" si="212"/>
        <v>1550</v>
      </c>
      <c r="L2611" s="11">
        <v>45569</v>
      </c>
      <c r="M2611" s="9">
        <v>0</v>
      </c>
      <c r="N2611" s="9">
        <v>821</v>
      </c>
      <c r="O2611" s="9">
        <v>0</v>
      </c>
      <c r="P2611" s="9">
        <v>0</v>
      </c>
      <c r="R2611" s="11"/>
      <c r="S2611" s="9"/>
      <c r="T2611" s="9"/>
      <c r="U2611" s="9"/>
    </row>
    <row r="2612" spans="2:21" x14ac:dyDescent="0.4">
      <c r="B2612" s="16">
        <f t="shared" si="208"/>
        <v>45572</v>
      </c>
      <c r="C2612" s="1">
        <f t="shared" si="209"/>
        <v>4397</v>
      </c>
      <c r="D2612" s="1">
        <f t="shared" si="210"/>
        <v>821</v>
      </c>
      <c r="E2612" s="1">
        <f t="shared" si="211"/>
        <v>1850</v>
      </c>
      <c r="F2612" s="1">
        <f t="shared" si="212"/>
        <v>1550</v>
      </c>
      <c r="L2612" s="11">
        <v>45572</v>
      </c>
      <c r="M2612" s="9">
        <v>0</v>
      </c>
      <c r="N2612" s="9">
        <v>821</v>
      </c>
      <c r="O2612" s="9">
        <v>0</v>
      </c>
      <c r="P2612" s="9">
        <v>0</v>
      </c>
      <c r="R2612" s="11"/>
      <c r="S2612" s="9"/>
      <c r="T2612" s="9"/>
      <c r="U2612" s="9"/>
    </row>
    <row r="2613" spans="2:21" x14ac:dyDescent="0.4">
      <c r="B2613" s="16">
        <f t="shared" si="208"/>
        <v>45573</v>
      </c>
      <c r="C2613" s="1">
        <f t="shared" si="209"/>
        <v>4482</v>
      </c>
      <c r="D2613" s="1">
        <f t="shared" si="210"/>
        <v>841</v>
      </c>
      <c r="E2613" s="1">
        <f t="shared" si="211"/>
        <v>1890</v>
      </c>
      <c r="F2613" s="1">
        <f t="shared" si="212"/>
        <v>1600</v>
      </c>
      <c r="L2613" s="11">
        <v>45573</v>
      </c>
      <c r="M2613" s="9">
        <v>4482</v>
      </c>
      <c r="N2613" s="9">
        <v>841</v>
      </c>
      <c r="O2613" s="9">
        <v>1890</v>
      </c>
      <c r="P2613" s="9">
        <v>1600</v>
      </c>
      <c r="R2613" s="11"/>
      <c r="S2613" s="9"/>
      <c r="T2613" s="9"/>
      <c r="U2613" s="9"/>
    </row>
    <row r="2614" spans="2:21" x14ac:dyDescent="0.4">
      <c r="B2614" s="16">
        <f t="shared" si="208"/>
        <v>45574</v>
      </c>
      <c r="C2614" s="1">
        <f t="shared" si="209"/>
        <v>4490</v>
      </c>
      <c r="D2614" s="1">
        <f t="shared" si="210"/>
        <v>841</v>
      </c>
      <c r="E2614" s="1">
        <f t="shared" si="211"/>
        <v>1900</v>
      </c>
      <c r="F2614" s="1">
        <f t="shared" si="212"/>
        <v>1600</v>
      </c>
      <c r="L2614" s="11">
        <v>45574</v>
      </c>
      <c r="M2614" s="9">
        <v>4490</v>
      </c>
      <c r="N2614" s="9">
        <v>841</v>
      </c>
      <c r="O2614" s="9">
        <v>1900</v>
      </c>
      <c r="P2614" s="9">
        <v>1600</v>
      </c>
      <c r="R2614" s="11"/>
      <c r="S2614" s="9"/>
      <c r="T2614" s="9"/>
      <c r="U2614" s="9"/>
    </row>
    <row r="2615" spans="2:21" x14ac:dyDescent="0.4">
      <c r="B2615" s="16">
        <f t="shared" si="208"/>
        <v>45575</v>
      </c>
      <c r="C2615" s="1">
        <f t="shared" si="209"/>
        <v>4459</v>
      </c>
      <c r="D2615" s="1">
        <f t="shared" si="210"/>
        <v>841</v>
      </c>
      <c r="E2615" s="1">
        <f t="shared" si="211"/>
        <v>1900</v>
      </c>
      <c r="F2615" s="1">
        <f t="shared" si="212"/>
        <v>1600</v>
      </c>
      <c r="L2615" s="11">
        <v>45575</v>
      </c>
      <c r="M2615" s="9">
        <v>4459</v>
      </c>
      <c r="N2615" s="9">
        <v>841</v>
      </c>
      <c r="O2615" s="9">
        <v>1900</v>
      </c>
      <c r="P2615" s="9">
        <v>1600</v>
      </c>
      <c r="R2615" s="11"/>
      <c r="S2615" s="9"/>
      <c r="T2615" s="9"/>
      <c r="U2615" s="9"/>
    </row>
    <row r="2616" spans="2:21" x14ac:dyDescent="0.4">
      <c r="B2616" s="16">
        <f t="shared" si="208"/>
        <v>45576</v>
      </c>
      <c r="C2616" s="1">
        <f t="shared" si="209"/>
        <v>4463</v>
      </c>
      <c r="D2616" s="1">
        <f t="shared" si="210"/>
        <v>836</v>
      </c>
      <c r="E2616" s="1">
        <f t="shared" si="211"/>
        <v>1890</v>
      </c>
      <c r="F2616" s="1">
        <f t="shared" si="212"/>
        <v>1600</v>
      </c>
      <c r="L2616" s="11">
        <v>45576</v>
      </c>
      <c r="M2616" s="9">
        <v>4463</v>
      </c>
      <c r="N2616" s="9">
        <v>836</v>
      </c>
      <c r="O2616" s="9">
        <v>1890</v>
      </c>
      <c r="P2616" s="9">
        <v>1600</v>
      </c>
      <c r="R2616" s="11"/>
      <c r="S2616" s="9"/>
      <c r="T2616" s="9"/>
      <c r="U2616" s="9"/>
    </row>
    <row r="2617" spans="2:21" x14ac:dyDescent="0.4">
      <c r="B2617" s="16">
        <f t="shared" si="208"/>
        <v>45577</v>
      </c>
      <c r="C2617" s="1">
        <f t="shared" si="209"/>
        <v>4471</v>
      </c>
      <c r="D2617" s="1">
        <f t="shared" si="210"/>
        <v>836</v>
      </c>
      <c r="E2617" s="1">
        <f t="shared" si="211"/>
        <v>1890</v>
      </c>
      <c r="F2617" s="1">
        <f t="shared" si="212"/>
        <v>1600</v>
      </c>
      <c r="L2617" s="11">
        <v>45577</v>
      </c>
      <c r="M2617" s="9">
        <v>4471</v>
      </c>
      <c r="N2617" s="9">
        <v>0</v>
      </c>
      <c r="O2617" s="9">
        <v>1890</v>
      </c>
      <c r="P2617" s="9">
        <v>1600</v>
      </c>
      <c r="R2617" s="11"/>
      <c r="S2617" s="9"/>
      <c r="T2617" s="9"/>
      <c r="U2617" s="9"/>
    </row>
    <row r="2618" spans="2:21" x14ac:dyDescent="0.4">
      <c r="B2618" s="16">
        <f t="shared" si="208"/>
        <v>45579</v>
      </c>
      <c r="C2618" s="1">
        <f t="shared" si="209"/>
        <v>4478</v>
      </c>
      <c r="D2618" s="1">
        <f t="shared" si="210"/>
        <v>836</v>
      </c>
      <c r="E2618" s="1">
        <f t="shared" si="211"/>
        <v>1860</v>
      </c>
      <c r="F2618" s="1">
        <f t="shared" si="212"/>
        <v>1600</v>
      </c>
      <c r="L2618" s="11">
        <v>45579</v>
      </c>
      <c r="M2618" s="9">
        <v>4478</v>
      </c>
      <c r="N2618" s="9">
        <v>836</v>
      </c>
      <c r="O2618" s="9">
        <v>1860</v>
      </c>
      <c r="P2618" s="9">
        <v>1600</v>
      </c>
      <c r="R2618" s="11"/>
      <c r="S2618" s="9"/>
      <c r="T2618" s="9"/>
      <c r="U2618" s="9"/>
    </row>
    <row r="2619" spans="2:21" x14ac:dyDescent="0.4">
      <c r="B2619" s="16">
        <f t="shared" si="208"/>
        <v>45580</v>
      </c>
      <c r="C2619" s="1">
        <f t="shared" si="209"/>
        <v>4460</v>
      </c>
      <c r="D2619" s="1">
        <f t="shared" si="210"/>
        <v>836</v>
      </c>
      <c r="E2619" s="1">
        <f t="shared" si="211"/>
        <v>1810</v>
      </c>
      <c r="F2619" s="1">
        <f t="shared" si="212"/>
        <v>1600</v>
      </c>
      <c r="L2619" s="11">
        <v>45580</v>
      </c>
      <c r="M2619" s="9">
        <v>4460</v>
      </c>
      <c r="N2619" s="9">
        <v>836</v>
      </c>
      <c r="O2619" s="9">
        <v>1810</v>
      </c>
      <c r="P2619" s="9">
        <v>1600</v>
      </c>
      <c r="R2619" s="11"/>
      <c r="S2619" s="9"/>
      <c r="T2619" s="9"/>
      <c r="U2619" s="9"/>
    </row>
    <row r="2620" spans="2:21" x14ac:dyDescent="0.4">
      <c r="B2620" s="16">
        <f t="shared" si="208"/>
        <v>45581</v>
      </c>
      <c r="C2620" s="1">
        <f t="shared" si="209"/>
        <v>4438</v>
      </c>
      <c r="D2620" s="1">
        <f t="shared" si="210"/>
        <v>836</v>
      </c>
      <c r="E2620" s="1">
        <f t="shared" si="211"/>
        <v>1820</v>
      </c>
      <c r="F2620" s="1">
        <f t="shared" si="212"/>
        <v>1600</v>
      </c>
      <c r="L2620" s="11">
        <v>45581</v>
      </c>
      <c r="M2620" s="9">
        <v>4438</v>
      </c>
      <c r="N2620" s="9">
        <v>836</v>
      </c>
      <c r="O2620" s="9">
        <v>1820</v>
      </c>
      <c r="P2620" s="9">
        <v>1600</v>
      </c>
      <c r="R2620" s="11"/>
      <c r="S2620" s="9"/>
      <c r="T2620" s="9"/>
      <c r="U2620" s="9"/>
    </row>
    <row r="2621" spans="2:21" x14ac:dyDescent="0.4">
      <c r="B2621" s="16">
        <f t="shared" si="208"/>
        <v>45582</v>
      </c>
      <c r="C2621" s="1">
        <f t="shared" si="209"/>
        <v>4407</v>
      </c>
      <c r="D2621" s="1">
        <f t="shared" si="210"/>
        <v>836</v>
      </c>
      <c r="E2621" s="1">
        <f t="shared" si="211"/>
        <v>1820</v>
      </c>
      <c r="F2621" s="1">
        <f t="shared" si="212"/>
        <v>1600</v>
      </c>
      <c r="L2621" s="11">
        <v>45582</v>
      </c>
      <c r="M2621" s="9">
        <v>4407</v>
      </c>
      <c r="N2621" s="9">
        <v>836</v>
      </c>
      <c r="O2621" s="9">
        <v>1820</v>
      </c>
      <c r="P2621" s="9">
        <v>1600</v>
      </c>
      <c r="R2621" s="11"/>
      <c r="S2621" s="9"/>
      <c r="T2621" s="9"/>
      <c r="U2621" s="9"/>
    </row>
    <row r="2622" spans="2:21" x14ac:dyDescent="0.4">
      <c r="B2622" s="16">
        <f t="shared" si="208"/>
        <v>45583</v>
      </c>
      <c r="C2622" s="1">
        <f t="shared" si="209"/>
        <v>4390</v>
      </c>
      <c r="D2622" s="1">
        <f t="shared" si="210"/>
        <v>836</v>
      </c>
      <c r="E2622" s="1">
        <f t="shared" si="211"/>
        <v>1820</v>
      </c>
      <c r="F2622" s="1">
        <f t="shared" si="212"/>
        <v>1600</v>
      </c>
      <c r="L2622" s="11">
        <v>45583</v>
      </c>
      <c r="M2622" s="9">
        <v>4390</v>
      </c>
      <c r="N2622" s="9">
        <v>836</v>
      </c>
      <c r="O2622" s="9">
        <v>1820</v>
      </c>
      <c r="P2622" s="9">
        <v>1600</v>
      </c>
      <c r="R2622" s="11"/>
      <c r="S2622" s="9"/>
      <c r="T2622" s="9"/>
      <c r="U2622" s="9"/>
    </row>
    <row r="2623" spans="2:21" x14ac:dyDescent="0.4">
      <c r="B2623" s="16">
        <f t="shared" si="208"/>
        <v>45586</v>
      </c>
      <c r="C2623" s="1">
        <f t="shared" si="209"/>
        <v>4388</v>
      </c>
      <c r="D2623" s="1">
        <f t="shared" si="210"/>
        <v>836</v>
      </c>
      <c r="E2623" s="1">
        <f t="shared" si="211"/>
        <v>1820</v>
      </c>
      <c r="F2623" s="1">
        <f t="shared" si="212"/>
        <v>1550</v>
      </c>
      <c r="L2623" s="11">
        <v>45586</v>
      </c>
      <c r="M2623" s="9">
        <v>4388</v>
      </c>
      <c r="N2623" s="9">
        <v>836</v>
      </c>
      <c r="O2623" s="9">
        <v>1820</v>
      </c>
      <c r="P2623" s="9">
        <v>1550</v>
      </c>
      <c r="R2623" s="11"/>
      <c r="S2623" s="9"/>
      <c r="T2623" s="9"/>
      <c r="U2623" s="9"/>
    </row>
    <row r="2624" spans="2:21" x14ac:dyDescent="0.4">
      <c r="B2624" s="16">
        <f t="shared" si="208"/>
        <v>45587</v>
      </c>
      <c r="C2624" s="1">
        <f t="shared" si="209"/>
        <v>4394</v>
      </c>
      <c r="D2624" s="1">
        <f t="shared" si="210"/>
        <v>836</v>
      </c>
      <c r="E2624" s="1">
        <f t="shared" si="211"/>
        <v>1810</v>
      </c>
      <c r="F2624" s="1">
        <f t="shared" si="212"/>
        <v>1550</v>
      </c>
      <c r="L2624" s="11">
        <v>45587</v>
      </c>
      <c r="M2624" s="9">
        <v>4394</v>
      </c>
      <c r="N2624" s="9">
        <v>836</v>
      </c>
      <c r="O2624" s="9">
        <v>1810</v>
      </c>
      <c r="P2624" s="9">
        <v>1550</v>
      </c>
      <c r="R2624" s="11"/>
      <c r="S2624" s="9"/>
      <c r="T2624" s="9"/>
      <c r="U2624" s="9"/>
    </row>
    <row r="2625" spans="2:21" x14ac:dyDescent="0.4">
      <c r="B2625" s="16">
        <f t="shared" si="208"/>
        <v>45588</v>
      </c>
      <c r="C2625" s="1">
        <f t="shared" si="209"/>
        <v>4391</v>
      </c>
      <c r="D2625" s="1">
        <f t="shared" si="210"/>
        <v>836</v>
      </c>
      <c r="E2625" s="1">
        <f t="shared" si="211"/>
        <v>1810</v>
      </c>
      <c r="F2625" s="1">
        <f t="shared" si="212"/>
        <v>1550</v>
      </c>
      <c r="L2625" s="11">
        <v>45588</v>
      </c>
      <c r="M2625" s="9">
        <v>4391</v>
      </c>
      <c r="N2625" s="9">
        <v>836</v>
      </c>
      <c r="O2625" s="9">
        <v>1810</v>
      </c>
      <c r="P2625" s="9">
        <v>1550</v>
      </c>
      <c r="R2625" s="11"/>
      <c r="S2625" s="9"/>
      <c r="T2625" s="9"/>
      <c r="U2625" s="9"/>
    </row>
    <row r="2626" spans="2:21" x14ac:dyDescent="0.4">
      <c r="B2626" s="16">
        <f t="shared" si="208"/>
        <v>45589</v>
      </c>
      <c r="C2626" s="1">
        <f t="shared" si="209"/>
        <v>4387</v>
      </c>
      <c r="D2626" s="1">
        <f t="shared" si="210"/>
        <v>836</v>
      </c>
      <c r="E2626" s="1">
        <f t="shared" si="211"/>
        <v>1820</v>
      </c>
      <c r="F2626" s="1">
        <f t="shared" si="212"/>
        <v>1550</v>
      </c>
      <c r="L2626" s="11">
        <v>45589</v>
      </c>
      <c r="M2626" s="9">
        <v>4387</v>
      </c>
      <c r="N2626" s="9">
        <v>836</v>
      </c>
      <c r="O2626" s="9">
        <v>1820</v>
      </c>
      <c r="P2626" s="9">
        <v>1550</v>
      </c>
      <c r="R2626" s="11"/>
      <c r="S2626" s="9"/>
      <c r="T2626" s="9"/>
      <c r="U2626" s="9"/>
    </row>
    <row r="2627" spans="2:21" x14ac:dyDescent="0.4">
      <c r="B2627" s="16">
        <f t="shared" si="208"/>
        <v>45590</v>
      </c>
      <c r="C2627" s="1">
        <f t="shared" si="209"/>
        <v>4386</v>
      </c>
      <c r="D2627" s="1">
        <f t="shared" si="210"/>
        <v>841</v>
      </c>
      <c r="E2627" s="1">
        <f t="shared" si="211"/>
        <v>1820</v>
      </c>
      <c r="F2627" s="1">
        <f t="shared" si="212"/>
        <v>1550</v>
      </c>
      <c r="L2627" s="11">
        <v>45590</v>
      </c>
      <c r="M2627" s="9">
        <v>4386</v>
      </c>
      <c r="N2627" s="9">
        <v>841</v>
      </c>
      <c r="O2627" s="9">
        <v>1820</v>
      </c>
      <c r="P2627" s="9">
        <v>1550</v>
      </c>
      <c r="R2627" s="11"/>
      <c r="S2627" s="9"/>
      <c r="T2627" s="9"/>
      <c r="U2627" s="9"/>
    </row>
    <row r="2628" spans="2:21" x14ac:dyDescent="0.4">
      <c r="B2628" s="16">
        <f t="shared" si="208"/>
        <v>45593</v>
      </c>
      <c r="C2628" s="1">
        <f t="shared" si="209"/>
        <v>4392</v>
      </c>
      <c r="D2628" s="1">
        <f t="shared" si="210"/>
        <v>841</v>
      </c>
      <c r="E2628" s="1">
        <f t="shared" si="211"/>
        <v>1820</v>
      </c>
      <c r="F2628" s="1">
        <f t="shared" si="212"/>
        <v>1550</v>
      </c>
      <c r="L2628" s="11">
        <v>45593</v>
      </c>
      <c r="M2628" s="9">
        <v>4392</v>
      </c>
      <c r="N2628" s="9">
        <v>841</v>
      </c>
      <c r="O2628" s="9">
        <v>1820</v>
      </c>
      <c r="P2628" s="9">
        <v>1550</v>
      </c>
      <c r="R2628" s="11"/>
      <c r="S2628" s="9"/>
      <c r="T2628" s="9"/>
      <c r="U2628" s="9"/>
    </row>
    <row r="2629" spans="2:21" x14ac:dyDescent="0.4">
      <c r="B2629" s="16">
        <f t="shared" si="208"/>
        <v>45594</v>
      </c>
      <c r="C2629" s="1">
        <f t="shared" si="209"/>
        <v>4374</v>
      </c>
      <c r="D2629" s="1">
        <f t="shared" si="210"/>
        <v>841</v>
      </c>
      <c r="E2629" s="1">
        <f t="shared" si="211"/>
        <v>1820</v>
      </c>
      <c r="F2629" s="1">
        <f t="shared" si="212"/>
        <v>1550</v>
      </c>
      <c r="L2629" s="11">
        <v>45594</v>
      </c>
      <c r="M2629" s="9">
        <v>4374</v>
      </c>
      <c r="N2629" s="9">
        <v>841</v>
      </c>
      <c r="O2629" s="9">
        <v>1820</v>
      </c>
      <c r="P2629" s="9">
        <v>1550</v>
      </c>
      <c r="R2629" s="11"/>
      <c r="S2629" s="9"/>
      <c r="T2629" s="9"/>
      <c r="U2629" s="9"/>
    </row>
    <row r="2630" spans="2:21" x14ac:dyDescent="0.4">
      <c r="B2630" s="16">
        <f t="shared" ref="B2630:B2693" si="213">L2630</f>
        <v>45595</v>
      </c>
      <c r="C2630" s="1">
        <f t="shared" si="209"/>
        <v>4362</v>
      </c>
      <c r="D2630" s="1">
        <f t="shared" si="210"/>
        <v>841</v>
      </c>
      <c r="E2630" s="1">
        <f t="shared" si="211"/>
        <v>1820</v>
      </c>
      <c r="F2630" s="1">
        <f t="shared" si="212"/>
        <v>1550</v>
      </c>
      <c r="L2630" s="11">
        <v>45595</v>
      </c>
      <c r="M2630" s="9">
        <v>4362</v>
      </c>
      <c r="N2630" s="9">
        <v>841</v>
      </c>
      <c r="O2630" s="9">
        <v>1820</v>
      </c>
      <c r="P2630" s="9">
        <v>1550</v>
      </c>
      <c r="R2630" s="11"/>
      <c r="S2630" s="9"/>
      <c r="T2630" s="9"/>
      <c r="U2630" s="9"/>
    </row>
    <row r="2631" spans="2:21" x14ac:dyDescent="0.4">
      <c r="B2631" s="16">
        <f t="shared" si="213"/>
        <v>45596</v>
      </c>
      <c r="C2631" s="1">
        <f t="shared" ref="C2631:C2694" si="214">IF(M2631&lt;&gt;0,M2631,C2630)</f>
        <v>4360</v>
      </c>
      <c r="D2631" s="1">
        <f t="shared" ref="D2631:D2694" si="215">IF(N2631&lt;&gt;0,N2631,D2630)</f>
        <v>841</v>
      </c>
      <c r="E2631" s="1">
        <f t="shared" ref="E2631:E2694" si="216">IF(O2631&lt;&gt;0,O2631,E2630)</f>
        <v>1820</v>
      </c>
      <c r="F2631" s="1">
        <f t="shared" si="212"/>
        <v>1550</v>
      </c>
      <c r="L2631" s="11">
        <v>45596</v>
      </c>
      <c r="M2631" s="9">
        <v>4360</v>
      </c>
      <c r="N2631" s="9">
        <v>0</v>
      </c>
      <c r="O2631" s="9">
        <v>1820</v>
      </c>
      <c r="P2631" s="9">
        <v>1550</v>
      </c>
      <c r="R2631" s="11"/>
      <c r="S2631" s="9"/>
      <c r="T2631" s="9"/>
      <c r="U2631" s="9"/>
    </row>
    <row r="2632" spans="2:21" x14ac:dyDescent="0.4">
      <c r="B2632" s="16">
        <f t="shared" si="213"/>
        <v>45597</v>
      </c>
      <c r="C2632" s="1">
        <f t="shared" si="214"/>
        <v>4350</v>
      </c>
      <c r="D2632" s="1">
        <f t="shared" si="215"/>
        <v>851</v>
      </c>
      <c r="E2632" s="1">
        <f t="shared" si="216"/>
        <v>1820</v>
      </c>
      <c r="F2632" s="1">
        <f t="shared" si="212"/>
        <v>1550</v>
      </c>
      <c r="L2632" s="11">
        <v>45597</v>
      </c>
      <c r="M2632" s="9">
        <v>4350</v>
      </c>
      <c r="N2632" s="9">
        <v>851</v>
      </c>
      <c r="O2632" s="9">
        <v>1820</v>
      </c>
      <c r="P2632" s="9">
        <v>1550</v>
      </c>
      <c r="R2632" s="11"/>
      <c r="S2632" s="9"/>
      <c r="T2632" s="9"/>
      <c r="U2632" s="9"/>
    </row>
    <row r="2633" spans="2:21" x14ac:dyDescent="0.4">
      <c r="B2633" s="16">
        <f t="shared" si="213"/>
        <v>45600</v>
      </c>
      <c r="C2633" s="1">
        <f t="shared" si="214"/>
        <v>4364</v>
      </c>
      <c r="D2633" s="1">
        <f t="shared" si="215"/>
        <v>851</v>
      </c>
      <c r="E2633" s="1">
        <f t="shared" si="216"/>
        <v>1820</v>
      </c>
      <c r="F2633" s="1">
        <f t="shared" si="212"/>
        <v>1550</v>
      </c>
      <c r="L2633" s="11">
        <v>45600</v>
      </c>
      <c r="M2633" s="9">
        <v>4364</v>
      </c>
      <c r="N2633" s="9">
        <v>851</v>
      </c>
      <c r="O2633" s="9">
        <v>1820</v>
      </c>
      <c r="P2633" s="9">
        <v>1550</v>
      </c>
      <c r="R2633" s="11"/>
      <c r="S2633" s="9"/>
      <c r="T2633" s="9"/>
      <c r="U2633" s="9"/>
    </row>
    <row r="2634" spans="2:21" x14ac:dyDescent="0.4">
      <c r="B2634" s="16">
        <f t="shared" si="213"/>
        <v>45601</v>
      </c>
      <c r="C2634" s="1">
        <f t="shared" si="214"/>
        <v>4373</v>
      </c>
      <c r="D2634" s="1">
        <f t="shared" si="215"/>
        <v>851</v>
      </c>
      <c r="E2634" s="1">
        <f t="shared" si="216"/>
        <v>1820</v>
      </c>
      <c r="F2634" s="1">
        <f t="shared" si="212"/>
        <v>1550</v>
      </c>
      <c r="L2634" s="11">
        <v>45601</v>
      </c>
      <c r="M2634" s="9">
        <v>4373</v>
      </c>
      <c r="N2634" s="9">
        <v>851</v>
      </c>
      <c r="O2634" s="9">
        <v>1820</v>
      </c>
      <c r="P2634" s="9">
        <v>1550</v>
      </c>
      <c r="R2634" s="11"/>
      <c r="S2634" s="9"/>
      <c r="T2634" s="9"/>
      <c r="U2634" s="9"/>
    </row>
    <row r="2635" spans="2:21" x14ac:dyDescent="0.4">
      <c r="B2635" s="16">
        <f t="shared" si="213"/>
        <v>45602</v>
      </c>
      <c r="C2635" s="1">
        <f t="shared" si="214"/>
        <v>4370</v>
      </c>
      <c r="D2635" s="1">
        <f t="shared" si="215"/>
        <v>851</v>
      </c>
      <c r="E2635" s="1">
        <f t="shared" si="216"/>
        <v>1820</v>
      </c>
      <c r="F2635" s="1">
        <f t="shared" si="212"/>
        <v>1550</v>
      </c>
      <c r="L2635" s="11">
        <v>45602</v>
      </c>
      <c r="M2635" s="9">
        <v>4370</v>
      </c>
      <c r="N2635" s="9">
        <v>851</v>
      </c>
      <c r="O2635" s="9">
        <v>1820</v>
      </c>
      <c r="P2635" s="9">
        <v>1550</v>
      </c>
      <c r="R2635" s="11"/>
      <c r="S2635" s="9"/>
      <c r="T2635" s="9"/>
      <c r="U2635" s="9"/>
    </row>
    <row r="2636" spans="2:21" x14ac:dyDescent="0.4">
      <c r="B2636" s="16">
        <f t="shared" si="213"/>
        <v>45603</v>
      </c>
      <c r="C2636" s="1">
        <f t="shared" si="214"/>
        <v>4374</v>
      </c>
      <c r="D2636" s="1">
        <f t="shared" si="215"/>
        <v>851</v>
      </c>
      <c r="E2636" s="1">
        <f t="shared" si="216"/>
        <v>1830</v>
      </c>
      <c r="F2636" s="1">
        <f t="shared" si="212"/>
        <v>1550</v>
      </c>
      <c r="L2636" s="11">
        <v>45603</v>
      </c>
      <c r="M2636" s="9">
        <v>4374</v>
      </c>
      <c r="N2636" s="9">
        <v>851</v>
      </c>
      <c r="O2636" s="9">
        <v>1830</v>
      </c>
      <c r="P2636" s="9">
        <v>1550</v>
      </c>
      <c r="R2636" s="11"/>
      <c r="S2636" s="9"/>
      <c r="T2636" s="9"/>
      <c r="U2636" s="9"/>
    </row>
    <row r="2637" spans="2:21" x14ac:dyDescent="0.4">
      <c r="B2637" s="16">
        <f t="shared" si="213"/>
        <v>45604</v>
      </c>
      <c r="C2637" s="1">
        <f t="shared" si="214"/>
        <v>4380</v>
      </c>
      <c r="D2637" s="1">
        <f t="shared" si="215"/>
        <v>866</v>
      </c>
      <c r="E2637" s="1">
        <f t="shared" si="216"/>
        <v>1830</v>
      </c>
      <c r="F2637" s="1">
        <f t="shared" si="212"/>
        <v>1550</v>
      </c>
      <c r="L2637" s="11">
        <v>45604</v>
      </c>
      <c r="M2637" s="9">
        <v>4380</v>
      </c>
      <c r="N2637" s="9">
        <v>866</v>
      </c>
      <c r="O2637" s="9">
        <v>1830</v>
      </c>
      <c r="P2637" s="9">
        <v>1550</v>
      </c>
      <c r="R2637" s="11"/>
      <c r="S2637" s="9"/>
      <c r="T2637" s="9"/>
      <c r="U2637" s="9"/>
    </row>
    <row r="2638" spans="2:21" x14ac:dyDescent="0.4">
      <c r="B2638" s="16">
        <f t="shared" si="213"/>
        <v>45607</v>
      </c>
      <c r="C2638" s="1">
        <f t="shared" si="214"/>
        <v>4357</v>
      </c>
      <c r="D2638" s="1">
        <f t="shared" si="215"/>
        <v>866</v>
      </c>
      <c r="E2638" s="1">
        <f t="shared" si="216"/>
        <v>1830</v>
      </c>
      <c r="F2638" s="1">
        <f t="shared" si="212"/>
        <v>1550</v>
      </c>
      <c r="L2638" s="11">
        <v>45607</v>
      </c>
      <c r="M2638" s="9">
        <v>4357</v>
      </c>
      <c r="N2638" s="9">
        <v>866</v>
      </c>
      <c r="O2638" s="9">
        <v>1830</v>
      </c>
      <c r="P2638" s="9">
        <v>1550</v>
      </c>
      <c r="R2638" s="11"/>
      <c r="S2638" s="9"/>
      <c r="T2638" s="9"/>
      <c r="U2638" s="9"/>
    </row>
    <row r="2639" spans="2:21" x14ac:dyDescent="0.4">
      <c r="B2639" s="16">
        <f t="shared" si="213"/>
        <v>45608</v>
      </c>
      <c r="C2639" s="1">
        <f t="shared" si="214"/>
        <v>4353</v>
      </c>
      <c r="D2639" s="1">
        <f t="shared" si="215"/>
        <v>866</v>
      </c>
      <c r="E2639" s="1">
        <f t="shared" si="216"/>
        <v>1820</v>
      </c>
      <c r="F2639" s="1">
        <f t="shared" si="212"/>
        <v>1550</v>
      </c>
      <c r="L2639" s="11">
        <v>45608</v>
      </c>
      <c r="M2639" s="9">
        <v>4353</v>
      </c>
      <c r="N2639" s="9">
        <v>866</v>
      </c>
      <c r="O2639" s="9">
        <v>1820</v>
      </c>
      <c r="P2639" s="9">
        <v>1550</v>
      </c>
      <c r="R2639" s="11"/>
      <c r="S2639" s="9"/>
      <c r="T2639" s="9"/>
      <c r="U2639" s="9"/>
    </row>
    <row r="2640" spans="2:21" x14ac:dyDescent="0.4">
      <c r="B2640" s="16">
        <f t="shared" si="213"/>
        <v>45609</v>
      </c>
      <c r="C2640" s="1">
        <f t="shared" si="214"/>
        <v>4356</v>
      </c>
      <c r="D2640" s="1">
        <f t="shared" si="215"/>
        <v>866</v>
      </c>
      <c r="E2640" s="1">
        <f t="shared" si="216"/>
        <v>1810</v>
      </c>
      <c r="F2640" s="1">
        <f t="shared" si="212"/>
        <v>1550</v>
      </c>
      <c r="L2640" s="11">
        <v>45609</v>
      </c>
      <c r="M2640" s="9">
        <v>4356</v>
      </c>
      <c r="N2640" s="9">
        <v>866</v>
      </c>
      <c r="O2640" s="9">
        <v>1810</v>
      </c>
      <c r="P2640" s="9">
        <v>1550</v>
      </c>
      <c r="R2640" s="11"/>
      <c r="S2640" s="9"/>
      <c r="T2640" s="9"/>
      <c r="U2640" s="9"/>
    </row>
    <row r="2641" spans="2:21" x14ac:dyDescent="0.4">
      <c r="B2641" s="16">
        <f t="shared" si="213"/>
        <v>45610</v>
      </c>
      <c r="C2641" s="1">
        <f t="shared" si="214"/>
        <v>4350</v>
      </c>
      <c r="D2641" s="1">
        <f t="shared" si="215"/>
        <v>866</v>
      </c>
      <c r="E2641" s="1">
        <f t="shared" si="216"/>
        <v>1810</v>
      </c>
      <c r="F2641" s="1">
        <f t="shared" si="212"/>
        <v>1550</v>
      </c>
      <c r="L2641" s="11">
        <v>45610</v>
      </c>
      <c r="M2641" s="9">
        <v>4350</v>
      </c>
      <c r="N2641" s="9">
        <v>866</v>
      </c>
      <c r="O2641" s="9">
        <v>1810</v>
      </c>
      <c r="P2641" s="9">
        <v>1550</v>
      </c>
      <c r="R2641" s="11"/>
      <c r="S2641" s="9"/>
      <c r="T2641" s="9"/>
      <c r="U2641" s="9"/>
    </row>
    <row r="2642" spans="2:21" x14ac:dyDescent="0.4">
      <c r="B2642" s="16">
        <f t="shared" si="213"/>
        <v>45611</v>
      </c>
      <c r="C2642" s="1">
        <f t="shared" si="214"/>
        <v>4344</v>
      </c>
      <c r="D2642" s="1">
        <f t="shared" si="215"/>
        <v>866</v>
      </c>
      <c r="E2642" s="1">
        <f t="shared" si="216"/>
        <v>1810</v>
      </c>
      <c r="F2642" s="1">
        <f t="shared" si="212"/>
        <v>1550</v>
      </c>
      <c r="L2642" s="11">
        <v>45611</v>
      </c>
      <c r="M2642" s="9">
        <v>4344</v>
      </c>
      <c r="N2642" s="9">
        <v>866</v>
      </c>
      <c r="O2642" s="9">
        <v>1810</v>
      </c>
      <c r="P2642" s="9">
        <v>1550</v>
      </c>
      <c r="R2642" s="11"/>
      <c r="S2642" s="9"/>
      <c r="T2642" s="9"/>
      <c r="U2642" s="9"/>
    </row>
    <row r="2643" spans="2:21" x14ac:dyDescent="0.4">
      <c r="B2643" s="16">
        <f t="shared" si="213"/>
        <v>45614</v>
      </c>
      <c r="C2643" s="1">
        <f t="shared" si="214"/>
        <v>4323</v>
      </c>
      <c r="D2643" s="1">
        <f t="shared" si="215"/>
        <v>866</v>
      </c>
      <c r="E2643" s="1">
        <f t="shared" si="216"/>
        <v>1800</v>
      </c>
      <c r="F2643" s="1">
        <f t="shared" si="212"/>
        <v>1550</v>
      </c>
      <c r="L2643" s="11">
        <v>45614</v>
      </c>
      <c r="M2643" s="9">
        <v>4323</v>
      </c>
      <c r="N2643" s="9">
        <v>866</v>
      </c>
      <c r="O2643" s="9">
        <v>1800</v>
      </c>
      <c r="P2643" s="9">
        <v>1550</v>
      </c>
      <c r="R2643" s="11"/>
      <c r="S2643" s="9"/>
      <c r="T2643" s="9"/>
      <c r="U2643" s="9"/>
    </row>
    <row r="2644" spans="2:21" x14ac:dyDescent="0.4">
      <c r="B2644" s="16">
        <f t="shared" si="213"/>
        <v>45615</v>
      </c>
      <c r="C2644" s="1">
        <f t="shared" si="214"/>
        <v>4331</v>
      </c>
      <c r="D2644" s="1">
        <f t="shared" si="215"/>
        <v>866</v>
      </c>
      <c r="E2644" s="1">
        <f t="shared" si="216"/>
        <v>1800</v>
      </c>
      <c r="F2644" s="1">
        <f t="shared" si="212"/>
        <v>1550</v>
      </c>
      <c r="L2644" s="11">
        <v>45615</v>
      </c>
      <c r="M2644" s="9">
        <v>4331</v>
      </c>
      <c r="N2644" s="9">
        <v>866</v>
      </c>
      <c r="O2644" s="9">
        <v>1800</v>
      </c>
      <c r="P2644" s="9">
        <v>1550</v>
      </c>
      <c r="R2644" s="11"/>
      <c r="S2644" s="9"/>
      <c r="T2644" s="9"/>
      <c r="U2644" s="9"/>
    </row>
    <row r="2645" spans="2:21" x14ac:dyDescent="0.4">
      <c r="B2645" s="16">
        <f t="shared" si="213"/>
        <v>45616</v>
      </c>
      <c r="C2645" s="1">
        <f t="shared" si="214"/>
        <v>4344</v>
      </c>
      <c r="D2645" s="1">
        <f t="shared" si="215"/>
        <v>866</v>
      </c>
      <c r="E2645" s="1">
        <f t="shared" si="216"/>
        <v>1820</v>
      </c>
      <c r="F2645" s="1">
        <f t="shared" si="212"/>
        <v>1550</v>
      </c>
      <c r="L2645" s="11">
        <v>45616</v>
      </c>
      <c r="M2645" s="9">
        <v>4344</v>
      </c>
      <c r="N2645" s="9">
        <v>866</v>
      </c>
      <c r="O2645" s="9">
        <v>1820</v>
      </c>
      <c r="P2645" s="9">
        <v>1550</v>
      </c>
      <c r="R2645" s="11"/>
      <c r="S2645" s="9"/>
      <c r="T2645" s="9"/>
      <c r="U2645" s="9"/>
    </row>
    <row r="2646" spans="2:21" x14ac:dyDescent="0.4">
      <c r="B2646" s="16">
        <f t="shared" si="213"/>
        <v>45617</v>
      </c>
      <c r="C2646" s="1">
        <f t="shared" si="214"/>
        <v>4352</v>
      </c>
      <c r="D2646" s="1">
        <f t="shared" si="215"/>
        <v>866</v>
      </c>
      <c r="E2646" s="1">
        <f t="shared" si="216"/>
        <v>1800</v>
      </c>
      <c r="F2646" s="1">
        <f t="shared" si="212"/>
        <v>1550</v>
      </c>
      <c r="L2646" s="11">
        <v>45617</v>
      </c>
      <c r="M2646" s="9">
        <v>4352</v>
      </c>
      <c r="N2646" s="9">
        <v>866</v>
      </c>
      <c r="O2646" s="9">
        <v>1800</v>
      </c>
      <c r="P2646" s="9">
        <v>1550</v>
      </c>
      <c r="R2646" s="11"/>
      <c r="S2646" s="9"/>
      <c r="T2646" s="9"/>
      <c r="U2646" s="9"/>
    </row>
    <row r="2647" spans="2:21" x14ac:dyDescent="0.4">
      <c r="B2647" s="16">
        <f t="shared" si="213"/>
        <v>45618</v>
      </c>
      <c r="C2647" s="1">
        <f t="shared" si="214"/>
        <v>4357</v>
      </c>
      <c r="D2647" s="1">
        <f t="shared" si="215"/>
        <v>891</v>
      </c>
      <c r="E2647" s="1">
        <f t="shared" si="216"/>
        <v>1800</v>
      </c>
      <c r="F2647" s="1">
        <f t="shared" si="212"/>
        <v>1550</v>
      </c>
      <c r="L2647" s="11">
        <v>45618</v>
      </c>
      <c r="M2647" s="9">
        <v>4357</v>
      </c>
      <c r="N2647" s="9">
        <v>891</v>
      </c>
      <c r="O2647" s="9">
        <v>1800</v>
      </c>
      <c r="P2647" s="9">
        <v>1550</v>
      </c>
      <c r="R2647" s="11"/>
      <c r="S2647" s="9"/>
      <c r="T2647" s="9"/>
      <c r="U2647" s="9"/>
    </row>
    <row r="2648" spans="2:21" x14ac:dyDescent="0.4">
      <c r="B2648" s="16">
        <f t="shared" si="213"/>
        <v>45621</v>
      </c>
      <c r="C2648" s="1">
        <f t="shared" si="214"/>
        <v>4354</v>
      </c>
      <c r="D2648" s="1">
        <f t="shared" si="215"/>
        <v>891</v>
      </c>
      <c r="E2648" s="1">
        <f t="shared" si="216"/>
        <v>1810</v>
      </c>
      <c r="F2648" s="1">
        <f t="shared" si="212"/>
        <v>1550</v>
      </c>
      <c r="L2648" s="11">
        <v>45621</v>
      </c>
      <c r="M2648" s="9">
        <v>4354</v>
      </c>
      <c r="N2648" s="9">
        <v>891</v>
      </c>
      <c r="O2648" s="9">
        <v>1810</v>
      </c>
      <c r="P2648" s="9">
        <v>1550</v>
      </c>
      <c r="R2648" s="11"/>
      <c r="S2648" s="9"/>
      <c r="T2648" s="9"/>
      <c r="U2648" s="9"/>
    </row>
    <row r="2649" spans="2:21" x14ac:dyDescent="0.4">
      <c r="B2649" s="16">
        <f t="shared" si="213"/>
        <v>45622</v>
      </c>
      <c r="C2649" s="1">
        <f t="shared" si="214"/>
        <v>4354</v>
      </c>
      <c r="D2649" s="1">
        <f t="shared" si="215"/>
        <v>896</v>
      </c>
      <c r="E2649" s="1">
        <f t="shared" si="216"/>
        <v>1800</v>
      </c>
      <c r="F2649" s="1">
        <f t="shared" si="212"/>
        <v>1550</v>
      </c>
      <c r="L2649" s="11">
        <v>45622</v>
      </c>
      <c r="M2649" s="9">
        <v>4354</v>
      </c>
      <c r="N2649" s="9">
        <v>896</v>
      </c>
      <c r="O2649" s="9">
        <v>1800</v>
      </c>
      <c r="P2649" s="9">
        <v>1550</v>
      </c>
      <c r="R2649" s="11"/>
      <c r="S2649" s="9"/>
      <c r="T2649" s="9"/>
      <c r="U2649" s="9"/>
    </row>
    <row r="2650" spans="2:21" x14ac:dyDescent="0.4">
      <c r="B2650" s="16">
        <f t="shared" si="213"/>
        <v>45623</v>
      </c>
      <c r="C2650" s="1">
        <f t="shared" si="214"/>
        <v>4347</v>
      </c>
      <c r="D2650" s="1">
        <f t="shared" si="215"/>
        <v>896</v>
      </c>
      <c r="E2650" s="1">
        <f t="shared" si="216"/>
        <v>1800</v>
      </c>
      <c r="F2650" s="1">
        <f t="shared" si="212"/>
        <v>1550</v>
      </c>
      <c r="L2650" s="11">
        <v>45623</v>
      </c>
      <c r="M2650" s="9">
        <v>4347</v>
      </c>
      <c r="N2650" s="9">
        <v>896</v>
      </c>
      <c r="O2650" s="9">
        <v>1800</v>
      </c>
      <c r="P2650" s="9">
        <v>1550</v>
      </c>
      <c r="R2650" s="11"/>
      <c r="S2650" s="9"/>
      <c r="T2650" s="9"/>
      <c r="U2650" s="9"/>
    </row>
    <row r="2651" spans="2:21" x14ac:dyDescent="0.4">
      <c r="B2651" s="16">
        <f t="shared" si="213"/>
        <v>45624</v>
      </c>
      <c r="C2651" s="1">
        <f t="shared" si="214"/>
        <v>4343</v>
      </c>
      <c r="D2651" s="1">
        <f t="shared" si="215"/>
        <v>896</v>
      </c>
      <c r="E2651" s="1">
        <f t="shared" si="216"/>
        <v>1800</v>
      </c>
      <c r="F2651" s="1">
        <f t="shared" si="212"/>
        <v>1550</v>
      </c>
      <c r="L2651" s="11">
        <v>45624</v>
      </c>
      <c r="M2651" s="9">
        <v>4343</v>
      </c>
      <c r="N2651" s="9">
        <v>896</v>
      </c>
      <c r="O2651" s="9">
        <v>1800</v>
      </c>
      <c r="P2651" s="9">
        <v>1550</v>
      </c>
      <c r="R2651" s="11"/>
      <c r="S2651" s="9"/>
      <c r="T2651" s="9"/>
      <c r="U2651" s="9"/>
    </row>
    <row r="2652" spans="2:21" x14ac:dyDescent="0.4">
      <c r="B2652" s="16">
        <f t="shared" si="213"/>
        <v>45625</v>
      </c>
      <c r="C2652" s="1">
        <f t="shared" si="214"/>
        <v>4336</v>
      </c>
      <c r="D2652" s="1">
        <f t="shared" si="215"/>
        <v>896</v>
      </c>
      <c r="E2652" s="1">
        <f t="shared" si="216"/>
        <v>1800</v>
      </c>
      <c r="F2652" s="1">
        <f t="shared" si="212"/>
        <v>1550</v>
      </c>
      <c r="L2652" s="11">
        <v>45625</v>
      </c>
      <c r="M2652" s="9">
        <v>4336</v>
      </c>
      <c r="N2652" s="9">
        <v>896</v>
      </c>
      <c r="O2652" s="9">
        <v>1800</v>
      </c>
      <c r="P2652" s="9">
        <v>1550</v>
      </c>
      <c r="R2652" s="11"/>
      <c r="S2652" s="9"/>
      <c r="T2652" s="9"/>
      <c r="U2652" s="9"/>
    </row>
    <row r="2653" spans="2:21" x14ac:dyDescent="0.4">
      <c r="B2653" s="16">
        <f t="shared" si="213"/>
        <v>45628</v>
      </c>
      <c r="C2653" s="1">
        <f t="shared" si="214"/>
        <v>4342</v>
      </c>
      <c r="D2653" s="1">
        <f t="shared" si="215"/>
        <v>896</v>
      </c>
      <c r="E2653" s="1">
        <f t="shared" si="216"/>
        <v>1800</v>
      </c>
      <c r="F2653" s="1">
        <f t="shared" si="212"/>
        <v>1550</v>
      </c>
      <c r="L2653" s="11">
        <v>45628</v>
      </c>
      <c r="M2653" s="9">
        <v>4342</v>
      </c>
      <c r="N2653" s="9">
        <v>896</v>
      </c>
      <c r="O2653" s="9">
        <v>1800</v>
      </c>
      <c r="P2653" s="9">
        <v>1550</v>
      </c>
      <c r="R2653" s="11"/>
      <c r="S2653" s="9"/>
      <c r="T2653" s="9"/>
      <c r="U2653" s="9"/>
    </row>
    <row r="2654" spans="2:21" x14ac:dyDescent="0.4">
      <c r="B2654" s="16">
        <f t="shared" si="213"/>
        <v>45629</v>
      </c>
      <c r="C2654" s="1">
        <f t="shared" si="214"/>
        <v>4344</v>
      </c>
      <c r="D2654" s="1">
        <f t="shared" si="215"/>
        <v>896</v>
      </c>
      <c r="E2654" s="1">
        <f t="shared" si="216"/>
        <v>1800</v>
      </c>
      <c r="F2654" s="1">
        <f t="shared" si="212"/>
        <v>1550</v>
      </c>
      <c r="L2654" s="11">
        <v>45629</v>
      </c>
      <c r="M2654" s="9">
        <v>4344</v>
      </c>
      <c r="N2654" s="9">
        <v>896</v>
      </c>
      <c r="O2654" s="9">
        <v>1800</v>
      </c>
      <c r="P2654" s="9">
        <v>1550</v>
      </c>
      <c r="R2654" s="11"/>
      <c r="S2654" s="9"/>
      <c r="T2654" s="9"/>
      <c r="U2654" s="9"/>
    </row>
    <row r="2655" spans="2:21" x14ac:dyDescent="0.4">
      <c r="B2655" s="16">
        <f t="shared" si="213"/>
        <v>45630</v>
      </c>
      <c r="C2655" s="1">
        <f t="shared" si="214"/>
        <v>4340</v>
      </c>
      <c r="D2655" s="1">
        <f t="shared" si="215"/>
        <v>896</v>
      </c>
      <c r="E2655" s="1">
        <f t="shared" si="216"/>
        <v>1800</v>
      </c>
      <c r="F2655" s="1">
        <f t="shared" si="212"/>
        <v>1550</v>
      </c>
      <c r="L2655" s="11">
        <v>45630</v>
      </c>
      <c r="M2655" s="9">
        <v>4340</v>
      </c>
      <c r="N2655" s="9">
        <v>896</v>
      </c>
      <c r="O2655" s="9">
        <v>1800</v>
      </c>
      <c r="P2655" s="9">
        <v>1550</v>
      </c>
      <c r="R2655" s="11"/>
      <c r="S2655" s="9"/>
      <c r="T2655" s="9"/>
      <c r="U2655" s="9"/>
    </row>
    <row r="2656" spans="2:21" x14ac:dyDescent="0.4">
      <c r="B2656" s="16">
        <f t="shared" si="213"/>
        <v>45631</v>
      </c>
      <c r="C2656" s="1">
        <f t="shared" si="214"/>
        <v>4333</v>
      </c>
      <c r="D2656" s="1">
        <f t="shared" si="215"/>
        <v>896</v>
      </c>
      <c r="E2656" s="1">
        <f t="shared" si="216"/>
        <v>1800</v>
      </c>
      <c r="F2656" s="1">
        <f t="shared" si="212"/>
        <v>1550</v>
      </c>
      <c r="L2656" s="11">
        <v>45631</v>
      </c>
      <c r="M2656" s="9">
        <v>4333</v>
      </c>
      <c r="N2656" s="9">
        <v>896</v>
      </c>
      <c r="O2656" s="9">
        <v>1800</v>
      </c>
      <c r="P2656" s="9">
        <v>1550</v>
      </c>
      <c r="R2656" s="11"/>
      <c r="S2656" s="9"/>
      <c r="T2656" s="9"/>
      <c r="U2656" s="9"/>
    </row>
    <row r="2657" spans="2:21" x14ac:dyDescent="0.4">
      <c r="B2657" s="16">
        <f t="shared" si="213"/>
        <v>45632</v>
      </c>
      <c r="C2657" s="1">
        <f t="shared" si="214"/>
        <v>4314</v>
      </c>
      <c r="D2657" s="1">
        <f t="shared" si="215"/>
        <v>896</v>
      </c>
      <c r="E2657" s="1">
        <f t="shared" si="216"/>
        <v>1800</v>
      </c>
      <c r="F2657" s="1">
        <f t="shared" si="212"/>
        <v>1550</v>
      </c>
      <c r="L2657" s="11">
        <v>45632</v>
      </c>
      <c r="M2657" s="9">
        <v>4314</v>
      </c>
      <c r="N2657" s="9">
        <v>896</v>
      </c>
      <c r="O2657" s="9">
        <v>1800</v>
      </c>
      <c r="P2657" s="9">
        <v>1550</v>
      </c>
      <c r="R2657" s="11"/>
      <c r="S2657" s="9"/>
      <c r="T2657" s="9"/>
      <c r="U2657" s="9"/>
    </row>
    <row r="2658" spans="2:21" x14ac:dyDescent="0.4">
      <c r="B2658" s="16">
        <f t="shared" si="213"/>
        <v>45635</v>
      </c>
      <c r="C2658" s="1">
        <f t="shared" si="214"/>
        <v>4309</v>
      </c>
      <c r="D2658" s="1">
        <f t="shared" si="215"/>
        <v>896</v>
      </c>
      <c r="E2658" s="1">
        <f t="shared" si="216"/>
        <v>1780</v>
      </c>
      <c r="F2658" s="1">
        <f t="shared" si="212"/>
        <v>1550</v>
      </c>
      <c r="L2658" s="11">
        <v>45635</v>
      </c>
      <c r="M2658" s="9">
        <v>4309</v>
      </c>
      <c r="N2658" s="9">
        <v>896</v>
      </c>
      <c r="O2658" s="9">
        <v>1780</v>
      </c>
      <c r="P2658" s="9">
        <v>1550</v>
      </c>
      <c r="R2658" s="11"/>
      <c r="S2658" s="9"/>
      <c r="T2658" s="9"/>
      <c r="U2658" s="9"/>
    </row>
    <row r="2659" spans="2:21" x14ac:dyDescent="0.4">
      <c r="B2659" s="16">
        <f t="shared" si="213"/>
        <v>45636</v>
      </c>
      <c r="C2659" s="1">
        <f t="shared" si="214"/>
        <v>4316</v>
      </c>
      <c r="D2659" s="1">
        <f t="shared" si="215"/>
        <v>896</v>
      </c>
      <c r="E2659" s="1">
        <f t="shared" si="216"/>
        <v>1780</v>
      </c>
      <c r="F2659" s="1">
        <f t="shared" si="212"/>
        <v>1550</v>
      </c>
      <c r="L2659" s="11">
        <v>45636</v>
      </c>
      <c r="M2659" s="9">
        <v>4316</v>
      </c>
      <c r="N2659" s="9">
        <v>896</v>
      </c>
      <c r="O2659" s="9">
        <v>1780</v>
      </c>
      <c r="P2659" s="9">
        <v>1550</v>
      </c>
      <c r="R2659" s="11"/>
      <c r="S2659" s="9"/>
      <c r="T2659" s="9"/>
      <c r="U2659" s="9"/>
    </row>
    <row r="2660" spans="2:21" x14ac:dyDescent="0.4">
      <c r="B2660" s="16">
        <f t="shared" si="213"/>
        <v>45637</v>
      </c>
      <c r="C2660" s="1">
        <f t="shared" si="214"/>
        <v>4320</v>
      </c>
      <c r="D2660" s="1">
        <f t="shared" si="215"/>
        <v>896</v>
      </c>
      <c r="E2660" s="1">
        <f t="shared" si="216"/>
        <v>1790</v>
      </c>
      <c r="F2660" s="1">
        <f t="shared" si="212"/>
        <v>1550</v>
      </c>
      <c r="L2660" s="11">
        <v>45637</v>
      </c>
      <c r="M2660" s="9">
        <v>4320</v>
      </c>
      <c r="N2660" s="9">
        <v>896</v>
      </c>
      <c r="O2660" s="9">
        <v>1790</v>
      </c>
      <c r="P2660" s="9">
        <v>1550</v>
      </c>
      <c r="R2660" s="11"/>
      <c r="S2660" s="9"/>
      <c r="T2660" s="9"/>
      <c r="U2660" s="9"/>
    </row>
    <row r="2661" spans="2:21" x14ac:dyDescent="0.4">
      <c r="B2661" s="16">
        <f t="shared" si="213"/>
        <v>45638</v>
      </c>
      <c r="C2661" s="1">
        <f t="shared" si="214"/>
        <v>4333</v>
      </c>
      <c r="D2661" s="1">
        <f t="shared" si="215"/>
        <v>896</v>
      </c>
      <c r="E2661" s="1">
        <f t="shared" si="216"/>
        <v>1790</v>
      </c>
      <c r="F2661" s="1">
        <f t="shared" si="212"/>
        <v>1550</v>
      </c>
      <c r="L2661" s="11">
        <v>45638</v>
      </c>
      <c r="M2661" s="9">
        <v>4333</v>
      </c>
      <c r="N2661" s="9">
        <v>896</v>
      </c>
      <c r="O2661" s="9">
        <v>1790</v>
      </c>
      <c r="P2661" s="9">
        <v>1550</v>
      </c>
      <c r="R2661" s="11"/>
      <c r="S2661" s="9"/>
      <c r="T2661" s="9"/>
      <c r="U2661" s="9"/>
    </row>
    <row r="2662" spans="2:21" x14ac:dyDescent="0.4">
      <c r="B2662" s="16">
        <f t="shared" si="213"/>
        <v>45639</v>
      </c>
      <c r="C2662" s="1">
        <f t="shared" si="214"/>
        <v>4338</v>
      </c>
      <c r="D2662" s="1">
        <f t="shared" si="215"/>
        <v>896</v>
      </c>
      <c r="E2662" s="1">
        <f t="shared" si="216"/>
        <v>1790</v>
      </c>
      <c r="F2662" s="1">
        <f t="shared" si="212"/>
        <v>1550</v>
      </c>
      <c r="L2662" s="11">
        <v>45639</v>
      </c>
      <c r="M2662" s="9">
        <v>4338</v>
      </c>
      <c r="N2662" s="9">
        <v>896</v>
      </c>
      <c r="O2662" s="9">
        <v>1790</v>
      </c>
      <c r="P2662" s="9">
        <v>1550</v>
      </c>
      <c r="R2662" s="11"/>
      <c r="S2662" s="9"/>
      <c r="T2662" s="9"/>
      <c r="U2662" s="9"/>
    </row>
    <row r="2663" spans="2:21" x14ac:dyDescent="0.4">
      <c r="B2663" s="16">
        <f t="shared" si="213"/>
        <v>45642</v>
      </c>
      <c r="C2663" s="1">
        <f t="shared" si="214"/>
        <v>4349</v>
      </c>
      <c r="D2663" s="1">
        <f t="shared" si="215"/>
        <v>896</v>
      </c>
      <c r="E2663" s="1">
        <f t="shared" si="216"/>
        <v>1760</v>
      </c>
      <c r="F2663" s="1">
        <f t="shared" si="212"/>
        <v>1550</v>
      </c>
      <c r="L2663" s="11">
        <v>45642</v>
      </c>
      <c r="M2663" s="9">
        <v>4349</v>
      </c>
      <c r="N2663" s="9">
        <v>896</v>
      </c>
      <c r="O2663" s="9">
        <v>1760</v>
      </c>
      <c r="P2663" s="9">
        <v>1550</v>
      </c>
      <c r="R2663" s="11"/>
      <c r="S2663" s="9"/>
      <c r="T2663" s="9"/>
      <c r="U2663" s="9"/>
    </row>
    <row r="2664" spans="2:21" x14ac:dyDescent="0.4">
      <c r="B2664" s="16">
        <f t="shared" si="213"/>
        <v>45643</v>
      </c>
      <c r="C2664" s="1">
        <f t="shared" si="214"/>
        <v>4361</v>
      </c>
      <c r="D2664" s="1">
        <f t="shared" si="215"/>
        <v>876</v>
      </c>
      <c r="E2664" s="1">
        <f t="shared" si="216"/>
        <v>1740</v>
      </c>
      <c r="F2664" s="1">
        <f t="shared" si="212"/>
        <v>1550</v>
      </c>
      <c r="L2664" s="11">
        <v>45643</v>
      </c>
      <c r="M2664" s="9">
        <v>4361</v>
      </c>
      <c r="N2664" s="9">
        <v>876</v>
      </c>
      <c r="O2664" s="9">
        <v>1740</v>
      </c>
      <c r="P2664" s="9">
        <v>1550</v>
      </c>
      <c r="R2664" s="11"/>
      <c r="S2664" s="9"/>
      <c r="T2664" s="9"/>
      <c r="U2664" s="9"/>
    </row>
    <row r="2665" spans="2:21" x14ac:dyDescent="0.4">
      <c r="B2665" s="16">
        <f t="shared" si="213"/>
        <v>45644</v>
      </c>
      <c r="C2665" s="1">
        <f t="shared" si="214"/>
        <v>4348</v>
      </c>
      <c r="D2665" s="1">
        <f t="shared" si="215"/>
        <v>876</v>
      </c>
      <c r="E2665" s="1">
        <f t="shared" si="216"/>
        <v>1720</v>
      </c>
      <c r="F2665" s="1">
        <f t="shared" si="212"/>
        <v>1550</v>
      </c>
      <c r="L2665" s="11">
        <v>45644</v>
      </c>
      <c r="M2665" s="9">
        <v>4348</v>
      </c>
      <c r="N2665" s="9">
        <v>876</v>
      </c>
      <c r="O2665" s="9">
        <v>1720</v>
      </c>
      <c r="P2665" s="9">
        <v>1550</v>
      </c>
      <c r="R2665" s="11"/>
      <c r="S2665" s="9"/>
      <c r="T2665" s="9"/>
      <c r="U2665" s="9"/>
    </row>
    <row r="2666" spans="2:21" x14ac:dyDescent="0.4">
      <c r="B2666" s="16">
        <f t="shared" si="213"/>
        <v>45645</v>
      </c>
      <c r="C2666" s="1">
        <f t="shared" si="214"/>
        <v>4342</v>
      </c>
      <c r="D2666" s="1">
        <f t="shared" si="215"/>
        <v>876</v>
      </c>
      <c r="E2666" s="1">
        <f t="shared" si="216"/>
        <v>1720</v>
      </c>
      <c r="F2666" s="1">
        <f t="shared" si="212"/>
        <v>1550</v>
      </c>
      <c r="L2666" s="11">
        <v>45645</v>
      </c>
      <c r="M2666" s="9">
        <v>4342</v>
      </c>
      <c r="N2666" s="9">
        <v>876</v>
      </c>
      <c r="O2666" s="9">
        <v>1720</v>
      </c>
      <c r="P2666" s="9">
        <v>1550</v>
      </c>
      <c r="R2666" s="11"/>
      <c r="S2666" s="9"/>
      <c r="T2666" s="9"/>
      <c r="U2666" s="9"/>
    </row>
    <row r="2667" spans="2:21" x14ac:dyDescent="0.4">
      <c r="B2667" s="16">
        <f t="shared" si="213"/>
        <v>45646</v>
      </c>
      <c r="C2667" s="1">
        <f t="shared" si="214"/>
        <v>4346</v>
      </c>
      <c r="D2667" s="1">
        <f t="shared" si="215"/>
        <v>871</v>
      </c>
      <c r="E2667" s="1">
        <f t="shared" si="216"/>
        <v>1720</v>
      </c>
      <c r="F2667" s="1">
        <f t="shared" si="212"/>
        <v>1550</v>
      </c>
      <c r="L2667" s="11">
        <v>45646</v>
      </c>
      <c r="M2667" s="9">
        <v>4346</v>
      </c>
      <c r="N2667" s="9">
        <v>871</v>
      </c>
      <c r="O2667" s="9">
        <v>1720</v>
      </c>
      <c r="P2667" s="9">
        <v>1550</v>
      </c>
      <c r="R2667" s="11"/>
      <c r="S2667" s="9"/>
      <c r="T2667" s="9"/>
      <c r="U2667" s="9"/>
    </row>
    <row r="2668" spans="2:21" x14ac:dyDescent="0.4">
      <c r="B2668" s="16">
        <f t="shared" si="213"/>
        <v>45649</v>
      </c>
      <c r="C2668" s="1">
        <f t="shared" si="214"/>
        <v>4354</v>
      </c>
      <c r="D2668" s="1">
        <f t="shared" si="215"/>
        <v>871</v>
      </c>
      <c r="E2668" s="1">
        <f t="shared" si="216"/>
        <v>1720</v>
      </c>
      <c r="F2668" s="1">
        <f t="shared" si="212"/>
        <v>1550</v>
      </c>
      <c r="L2668" s="11">
        <v>45649</v>
      </c>
      <c r="M2668" s="9">
        <v>4354</v>
      </c>
      <c r="N2668" s="9">
        <v>871</v>
      </c>
      <c r="O2668" s="9">
        <v>1720</v>
      </c>
      <c r="P2668" s="9">
        <v>1550</v>
      </c>
      <c r="R2668" s="11"/>
      <c r="S2668" s="9"/>
      <c r="T2668" s="9"/>
      <c r="U2668" s="9"/>
    </row>
    <row r="2669" spans="2:21" x14ac:dyDescent="0.4">
      <c r="B2669" s="16">
        <f t="shared" si="213"/>
        <v>45650</v>
      </c>
      <c r="C2669" s="1">
        <f t="shared" si="214"/>
        <v>4353</v>
      </c>
      <c r="D2669" s="1">
        <f t="shared" si="215"/>
        <v>871</v>
      </c>
      <c r="E2669" s="1">
        <f t="shared" si="216"/>
        <v>1720</v>
      </c>
      <c r="F2669" s="1">
        <f t="shared" si="212"/>
        <v>1550</v>
      </c>
      <c r="L2669" s="11">
        <v>45650</v>
      </c>
      <c r="M2669" s="9">
        <v>4353</v>
      </c>
      <c r="N2669" s="9">
        <v>871</v>
      </c>
      <c r="O2669" s="9">
        <v>1720</v>
      </c>
      <c r="P2669" s="9">
        <v>1550</v>
      </c>
      <c r="R2669" s="11"/>
      <c r="S2669" s="9"/>
      <c r="T2669" s="9"/>
      <c r="U2669" s="9"/>
    </row>
    <row r="2670" spans="2:21" x14ac:dyDescent="0.4">
      <c r="B2670" s="16">
        <f t="shared" si="213"/>
        <v>45651</v>
      </c>
      <c r="C2670" s="1">
        <f t="shared" si="214"/>
        <v>4352</v>
      </c>
      <c r="D2670" s="1">
        <f t="shared" si="215"/>
        <v>871</v>
      </c>
      <c r="E2670" s="1">
        <f t="shared" si="216"/>
        <v>1720</v>
      </c>
      <c r="F2670" s="1">
        <f t="shared" si="212"/>
        <v>1550</v>
      </c>
      <c r="L2670" s="11">
        <v>45651</v>
      </c>
      <c r="M2670" s="9">
        <v>4352</v>
      </c>
      <c r="N2670" s="9">
        <v>0</v>
      </c>
      <c r="O2670" s="9">
        <v>1720</v>
      </c>
      <c r="P2670" s="9">
        <v>1550</v>
      </c>
      <c r="R2670" s="11"/>
      <c r="S2670" s="9"/>
      <c r="T2670" s="9"/>
      <c r="U2670" s="9"/>
    </row>
    <row r="2671" spans="2:21" x14ac:dyDescent="0.4">
      <c r="B2671" s="16">
        <f t="shared" si="213"/>
        <v>45652</v>
      </c>
      <c r="C2671" s="1">
        <f t="shared" si="214"/>
        <v>4344</v>
      </c>
      <c r="D2671" s="1">
        <f t="shared" si="215"/>
        <v>871</v>
      </c>
      <c r="E2671" s="1">
        <f t="shared" si="216"/>
        <v>1720</v>
      </c>
      <c r="F2671" s="1">
        <f t="shared" si="212"/>
        <v>1550</v>
      </c>
      <c r="L2671" s="11">
        <v>45652</v>
      </c>
      <c r="M2671" s="9">
        <v>4344</v>
      </c>
      <c r="N2671" s="9">
        <v>871</v>
      </c>
      <c r="O2671" s="9">
        <v>1720</v>
      </c>
      <c r="P2671" s="9">
        <v>1550</v>
      </c>
      <c r="R2671" s="11"/>
      <c r="S2671" s="9"/>
      <c r="T2671" s="9"/>
      <c r="U2671" s="9"/>
    </row>
    <row r="2672" spans="2:21" x14ac:dyDescent="0.4">
      <c r="B2672" s="16">
        <f t="shared" si="213"/>
        <v>45653</v>
      </c>
      <c r="C2672" s="1">
        <f t="shared" si="214"/>
        <v>4320</v>
      </c>
      <c r="D2672" s="1">
        <f t="shared" si="215"/>
        <v>871</v>
      </c>
      <c r="E2672" s="1">
        <f t="shared" si="216"/>
        <v>1720</v>
      </c>
      <c r="F2672" s="1">
        <f t="shared" si="212"/>
        <v>1550</v>
      </c>
      <c r="L2672" s="11">
        <v>45653</v>
      </c>
      <c r="M2672" s="9">
        <v>4320</v>
      </c>
      <c r="N2672" s="9">
        <v>871</v>
      </c>
      <c r="O2672" s="9">
        <v>1720</v>
      </c>
      <c r="P2672" s="9">
        <v>1550</v>
      </c>
      <c r="R2672" s="11"/>
      <c r="S2672" s="9"/>
      <c r="T2672" s="9"/>
      <c r="U2672" s="9"/>
    </row>
    <row r="2673" spans="2:21" x14ac:dyDescent="0.4">
      <c r="B2673" s="16">
        <f t="shared" si="213"/>
        <v>45656</v>
      </c>
      <c r="C2673" s="1">
        <f t="shared" si="214"/>
        <v>4310</v>
      </c>
      <c r="D2673" s="1">
        <f t="shared" si="215"/>
        <v>871</v>
      </c>
      <c r="E2673" s="1">
        <f t="shared" si="216"/>
        <v>1720</v>
      </c>
      <c r="F2673" s="1">
        <f t="shared" si="212"/>
        <v>1550</v>
      </c>
      <c r="L2673" s="11">
        <v>45656</v>
      </c>
      <c r="M2673" s="9">
        <v>4310</v>
      </c>
      <c r="N2673" s="9">
        <v>871</v>
      </c>
      <c r="O2673" s="9">
        <v>1720</v>
      </c>
      <c r="P2673" s="9">
        <v>1550</v>
      </c>
      <c r="R2673" s="11"/>
      <c r="S2673" s="9"/>
      <c r="T2673" s="9"/>
      <c r="U2673" s="9"/>
    </row>
    <row r="2674" spans="2:21" x14ac:dyDescent="0.4">
      <c r="B2674" s="16">
        <f t="shared" si="213"/>
        <v>45657</v>
      </c>
      <c r="C2674" s="1">
        <f t="shared" si="214"/>
        <v>4307</v>
      </c>
      <c r="D2674" s="1">
        <f t="shared" si="215"/>
        <v>871</v>
      </c>
      <c r="E2674" s="1">
        <f t="shared" si="216"/>
        <v>1690</v>
      </c>
      <c r="F2674" s="1">
        <f t="shared" ref="F2674:F2737" si="217">IF(P2674&lt;&gt;0,P2674,F2673)</f>
        <v>1550</v>
      </c>
      <c r="L2674" s="11">
        <v>45657</v>
      </c>
      <c r="M2674" s="9">
        <v>4307</v>
      </c>
      <c r="N2674" s="9">
        <v>871</v>
      </c>
      <c r="O2674" s="9">
        <v>1690</v>
      </c>
      <c r="P2674" s="9">
        <v>1550</v>
      </c>
      <c r="R2674" s="11"/>
      <c r="S2674" s="9"/>
      <c r="T2674" s="9"/>
      <c r="U2674" s="9"/>
    </row>
    <row r="2675" spans="2:21" x14ac:dyDescent="0.4">
      <c r="B2675" s="16">
        <f t="shared" si="213"/>
        <v>45659</v>
      </c>
      <c r="C2675" s="1">
        <f t="shared" si="214"/>
        <v>4333</v>
      </c>
      <c r="D2675" s="1">
        <f t="shared" si="215"/>
        <v>871</v>
      </c>
      <c r="E2675" s="1">
        <f t="shared" si="216"/>
        <v>1680</v>
      </c>
      <c r="F2675" s="1">
        <f t="shared" si="217"/>
        <v>1550</v>
      </c>
      <c r="L2675" s="11">
        <v>45659</v>
      </c>
      <c r="M2675" s="9">
        <v>4333</v>
      </c>
      <c r="N2675" s="9">
        <v>871</v>
      </c>
      <c r="O2675" s="9">
        <v>1680</v>
      </c>
      <c r="P2675" s="9">
        <v>1550</v>
      </c>
      <c r="R2675" s="11"/>
      <c r="S2675" s="9"/>
      <c r="T2675" s="9"/>
      <c r="U2675" s="9"/>
    </row>
    <row r="2676" spans="2:21" x14ac:dyDescent="0.4">
      <c r="B2676" s="16">
        <f t="shared" si="213"/>
        <v>45660</v>
      </c>
      <c r="C2676" s="1">
        <f t="shared" si="214"/>
        <v>4334</v>
      </c>
      <c r="D2676" s="1">
        <f t="shared" si="215"/>
        <v>871</v>
      </c>
      <c r="E2676" s="1">
        <f t="shared" si="216"/>
        <v>1675</v>
      </c>
      <c r="F2676" s="1">
        <f t="shared" si="217"/>
        <v>1550</v>
      </c>
      <c r="L2676" s="11">
        <v>45660</v>
      </c>
      <c r="M2676" s="9">
        <v>4334</v>
      </c>
      <c r="N2676" s="9">
        <v>871</v>
      </c>
      <c r="O2676" s="9">
        <v>1675</v>
      </c>
      <c r="P2676" s="9">
        <v>1550</v>
      </c>
      <c r="R2676" s="11"/>
      <c r="S2676" s="9"/>
      <c r="T2676" s="9"/>
      <c r="U2676" s="9"/>
    </row>
    <row r="2677" spans="2:21" x14ac:dyDescent="0.4">
      <c r="B2677" s="16">
        <f t="shared" si="213"/>
        <v>45663</v>
      </c>
      <c r="C2677" s="1">
        <f t="shared" si="214"/>
        <v>4317</v>
      </c>
      <c r="D2677" s="1">
        <f t="shared" si="215"/>
        <v>871</v>
      </c>
      <c r="E2677" s="1">
        <f t="shared" si="216"/>
        <v>1640</v>
      </c>
      <c r="F2677" s="1">
        <f t="shared" si="217"/>
        <v>1550</v>
      </c>
      <c r="L2677" s="11">
        <v>45663</v>
      </c>
      <c r="M2677" s="9">
        <v>4317</v>
      </c>
      <c r="N2677" s="9">
        <v>871</v>
      </c>
      <c r="O2677" s="9">
        <v>1640</v>
      </c>
      <c r="P2677" s="9">
        <v>1550</v>
      </c>
      <c r="R2677" s="11"/>
      <c r="S2677" s="9"/>
      <c r="T2677" s="9"/>
      <c r="U2677" s="9"/>
    </row>
    <row r="2678" spans="2:21" x14ac:dyDescent="0.4">
      <c r="B2678" s="16">
        <f t="shared" si="213"/>
        <v>45664</v>
      </c>
      <c r="C2678" s="1">
        <f t="shared" si="214"/>
        <v>4312</v>
      </c>
      <c r="D2678" s="1">
        <f t="shared" si="215"/>
        <v>871</v>
      </c>
      <c r="E2678" s="1">
        <f t="shared" si="216"/>
        <v>1620</v>
      </c>
      <c r="F2678" s="1">
        <f t="shared" si="217"/>
        <v>1550</v>
      </c>
      <c r="L2678" s="11">
        <v>45664</v>
      </c>
      <c r="M2678" s="9">
        <v>4312</v>
      </c>
      <c r="N2678" s="9">
        <v>871</v>
      </c>
      <c r="O2678" s="9">
        <v>1620</v>
      </c>
      <c r="P2678" s="9">
        <v>1550</v>
      </c>
      <c r="R2678" s="11"/>
      <c r="S2678" s="9"/>
      <c r="T2678" s="9"/>
      <c r="U2678" s="9"/>
    </row>
    <row r="2679" spans="2:21" x14ac:dyDescent="0.4">
      <c r="B2679" s="16">
        <f t="shared" si="213"/>
        <v>45665</v>
      </c>
      <c r="C2679" s="1">
        <f t="shared" si="214"/>
        <v>4297</v>
      </c>
      <c r="D2679" s="1">
        <f t="shared" si="215"/>
        <v>871</v>
      </c>
      <c r="E2679" s="1">
        <f t="shared" si="216"/>
        <v>1605</v>
      </c>
      <c r="F2679" s="1">
        <f t="shared" si="217"/>
        <v>1550</v>
      </c>
      <c r="L2679" s="11">
        <v>45665</v>
      </c>
      <c r="M2679" s="9">
        <v>4297</v>
      </c>
      <c r="N2679" s="9">
        <v>871</v>
      </c>
      <c r="O2679" s="9">
        <v>1605</v>
      </c>
      <c r="P2679" s="9">
        <v>1550</v>
      </c>
      <c r="R2679" s="11"/>
      <c r="S2679" s="9"/>
      <c r="T2679" s="9"/>
      <c r="U2679" s="9"/>
    </row>
    <row r="2680" spans="2:21" x14ac:dyDescent="0.4">
      <c r="B2680" s="16">
        <f t="shared" si="213"/>
        <v>45666</v>
      </c>
      <c r="C2680" s="1">
        <f t="shared" si="214"/>
        <v>4314</v>
      </c>
      <c r="D2680" s="1">
        <f t="shared" si="215"/>
        <v>871</v>
      </c>
      <c r="E2680" s="1">
        <f t="shared" si="216"/>
        <v>1605</v>
      </c>
      <c r="F2680" s="1">
        <f t="shared" si="217"/>
        <v>1550</v>
      </c>
      <c r="L2680" s="11">
        <v>45666</v>
      </c>
      <c r="M2680" s="9">
        <v>4314</v>
      </c>
      <c r="N2680" s="9">
        <v>871</v>
      </c>
      <c r="O2680" s="9">
        <v>1605</v>
      </c>
      <c r="P2680" s="9">
        <v>1550</v>
      </c>
      <c r="R2680" s="11"/>
      <c r="S2680" s="9"/>
      <c r="T2680" s="9"/>
      <c r="U2680" s="9"/>
    </row>
    <row r="2681" spans="2:21" x14ac:dyDescent="0.4">
      <c r="B2681" s="16">
        <f t="shared" si="213"/>
        <v>45667</v>
      </c>
      <c r="C2681" s="1">
        <f t="shared" si="214"/>
        <v>4325</v>
      </c>
      <c r="D2681" s="1">
        <f t="shared" si="215"/>
        <v>871</v>
      </c>
      <c r="E2681" s="1">
        <f t="shared" si="216"/>
        <v>1600</v>
      </c>
      <c r="F2681" s="1">
        <f t="shared" si="217"/>
        <v>1550</v>
      </c>
      <c r="L2681" s="11">
        <v>45667</v>
      </c>
      <c r="M2681" s="9">
        <v>4325</v>
      </c>
      <c r="N2681" s="9">
        <v>871</v>
      </c>
      <c r="O2681" s="9">
        <v>1600</v>
      </c>
      <c r="P2681" s="9">
        <v>1550</v>
      </c>
      <c r="R2681" s="11"/>
      <c r="S2681" s="9"/>
      <c r="T2681" s="9"/>
      <c r="U2681" s="9"/>
    </row>
    <row r="2682" spans="2:21" x14ac:dyDescent="0.4">
      <c r="B2682" s="16">
        <f t="shared" si="213"/>
        <v>45670</v>
      </c>
      <c r="C2682" s="1">
        <f t="shared" si="214"/>
        <v>4333</v>
      </c>
      <c r="D2682" s="1">
        <f t="shared" si="215"/>
        <v>871</v>
      </c>
      <c r="E2682" s="1">
        <f t="shared" si="216"/>
        <v>1600</v>
      </c>
      <c r="F2682" s="1">
        <f t="shared" si="217"/>
        <v>1500</v>
      </c>
      <c r="L2682" s="11">
        <v>45670</v>
      </c>
      <c r="M2682" s="9">
        <v>4333</v>
      </c>
      <c r="N2682" s="9">
        <v>871</v>
      </c>
      <c r="O2682" s="9">
        <v>1600</v>
      </c>
      <c r="P2682" s="9">
        <v>1500</v>
      </c>
      <c r="R2682" s="11"/>
      <c r="S2682" s="9"/>
      <c r="T2682" s="9"/>
      <c r="U2682" s="9"/>
    </row>
    <row r="2683" spans="2:21" x14ac:dyDescent="0.4">
      <c r="B2683" s="16">
        <f t="shared" si="213"/>
        <v>45671</v>
      </c>
      <c r="C2683" s="1">
        <f t="shared" si="214"/>
        <v>4362</v>
      </c>
      <c r="D2683" s="1">
        <f t="shared" si="215"/>
        <v>871</v>
      </c>
      <c r="E2683" s="1">
        <f t="shared" si="216"/>
        <v>1615</v>
      </c>
      <c r="F2683" s="1">
        <f t="shared" si="217"/>
        <v>1500</v>
      </c>
      <c r="L2683" s="11">
        <v>45671</v>
      </c>
      <c r="M2683" s="9">
        <v>4362</v>
      </c>
      <c r="N2683" s="9">
        <v>871</v>
      </c>
      <c r="O2683" s="9">
        <v>1615</v>
      </c>
      <c r="P2683" s="9">
        <v>1500</v>
      </c>
      <c r="R2683" s="11"/>
      <c r="S2683" s="9"/>
      <c r="T2683" s="9"/>
      <c r="U2683" s="9"/>
    </row>
    <row r="2684" spans="2:21" x14ac:dyDescent="0.4">
      <c r="B2684" s="16">
        <f t="shared" si="213"/>
        <v>45672</v>
      </c>
      <c r="C2684" s="1">
        <f t="shared" si="214"/>
        <v>4368</v>
      </c>
      <c r="D2684" s="1">
        <f t="shared" si="215"/>
        <v>871</v>
      </c>
      <c r="E2684" s="1">
        <f t="shared" si="216"/>
        <v>1630</v>
      </c>
      <c r="F2684" s="1">
        <f t="shared" si="217"/>
        <v>1500</v>
      </c>
      <c r="L2684" s="11">
        <v>45672</v>
      </c>
      <c r="M2684" s="9">
        <v>4368</v>
      </c>
      <c r="N2684" s="9">
        <v>871</v>
      </c>
      <c r="O2684" s="9">
        <v>1630</v>
      </c>
      <c r="P2684" s="9">
        <v>1500</v>
      </c>
      <c r="R2684" s="11"/>
      <c r="S2684" s="9"/>
      <c r="T2684" s="9"/>
      <c r="U2684" s="9"/>
    </row>
    <row r="2685" spans="2:21" x14ac:dyDescent="0.4">
      <c r="B2685" s="16">
        <f t="shared" si="213"/>
        <v>45673</v>
      </c>
      <c r="C2685" s="1">
        <f t="shared" si="214"/>
        <v>4375</v>
      </c>
      <c r="D2685" s="1">
        <f t="shared" si="215"/>
        <v>871</v>
      </c>
      <c r="E2685" s="1">
        <f t="shared" si="216"/>
        <v>1630</v>
      </c>
      <c r="F2685" s="1">
        <f t="shared" si="217"/>
        <v>1500</v>
      </c>
      <c r="L2685" s="11">
        <v>45673</v>
      </c>
      <c r="M2685" s="9">
        <v>4375</v>
      </c>
      <c r="N2685" s="9">
        <v>871</v>
      </c>
      <c r="O2685" s="9">
        <v>1630</v>
      </c>
      <c r="P2685" s="9">
        <v>1500</v>
      </c>
      <c r="R2685" s="11"/>
      <c r="S2685" s="9"/>
      <c r="T2685" s="9"/>
      <c r="U2685" s="9"/>
    </row>
    <row r="2686" spans="2:21" x14ac:dyDescent="0.4">
      <c r="B2686" s="16">
        <f t="shared" si="213"/>
        <v>45674</v>
      </c>
      <c r="C2686" s="1">
        <f t="shared" si="214"/>
        <v>4381</v>
      </c>
      <c r="D2686" s="1">
        <f t="shared" si="215"/>
        <v>871</v>
      </c>
      <c r="E2686" s="1">
        <f t="shared" si="216"/>
        <v>1630</v>
      </c>
      <c r="F2686" s="1">
        <f t="shared" si="217"/>
        <v>1500</v>
      </c>
      <c r="L2686" s="11">
        <v>45674</v>
      </c>
      <c r="M2686" s="9">
        <v>4381</v>
      </c>
      <c r="N2686" s="9">
        <v>871</v>
      </c>
      <c r="O2686" s="9">
        <v>1630</v>
      </c>
      <c r="P2686" s="9">
        <v>1500</v>
      </c>
      <c r="R2686" s="11"/>
      <c r="S2686" s="9"/>
      <c r="T2686" s="9"/>
      <c r="U2686" s="9"/>
    </row>
    <row r="2687" spans="2:21" x14ac:dyDescent="0.4">
      <c r="B2687" s="16">
        <f t="shared" si="213"/>
        <v>45677</v>
      </c>
      <c r="C2687" s="1">
        <f t="shared" si="214"/>
        <v>4373</v>
      </c>
      <c r="D2687" s="1">
        <f t="shared" si="215"/>
        <v>871</v>
      </c>
      <c r="E2687" s="1">
        <f t="shared" si="216"/>
        <v>1630</v>
      </c>
      <c r="F2687" s="1">
        <f t="shared" si="217"/>
        <v>1500</v>
      </c>
      <c r="L2687" s="11">
        <v>45677</v>
      </c>
      <c r="M2687" s="9">
        <v>4373</v>
      </c>
      <c r="N2687" s="9">
        <v>871</v>
      </c>
      <c r="O2687" s="9">
        <v>1630</v>
      </c>
      <c r="P2687" s="9">
        <v>1500</v>
      </c>
      <c r="R2687" s="11"/>
      <c r="S2687" s="9"/>
      <c r="T2687" s="9"/>
      <c r="U2687" s="9"/>
    </row>
    <row r="2688" spans="2:21" x14ac:dyDescent="0.4">
      <c r="B2688" s="16">
        <f t="shared" si="213"/>
        <v>45678</v>
      </c>
      <c r="C2688" s="1">
        <f t="shared" si="214"/>
        <v>4366</v>
      </c>
      <c r="D2688" s="1">
        <f t="shared" si="215"/>
        <v>871</v>
      </c>
      <c r="E2688" s="1">
        <f t="shared" si="216"/>
        <v>1630</v>
      </c>
      <c r="F2688" s="1">
        <f t="shared" si="217"/>
        <v>1500</v>
      </c>
      <c r="L2688" s="11">
        <v>45678</v>
      </c>
      <c r="M2688" s="9">
        <v>4366</v>
      </c>
      <c r="N2688" s="9">
        <v>871</v>
      </c>
      <c r="O2688" s="9">
        <v>1630</v>
      </c>
      <c r="P2688" s="9">
        <v>1500</v>
      </c>
      <c r="R2688" s="11"/>
      <c r="S2688" s="9"/>
      <c r="T2688" s="9"/>
      <c r="U2688" s="9"/>
    </row>
    <row r="2689" spans="2:21" x14ac:dyDescent="0.4">
      <c r="B2689" s="16">
        <f t="shared" si="213"/>
        <v>45679</v>
      </c>
      <c r="C2689" s="1">
        <f t="shared" si="214"/>
        <v>4364</v>
      </c>
      <c r="D2689" s="1">
        <f t="shared" si="215"/>
        <v>871</v>
      </c>
      <c r="E2689" s="1">
        <f t="shared" si="216"/>
        <v>1630</v>
      </c>
      <c r="F2689" s="1">
        <f t="shared" si="217"/>
        <v>1500</v>
      </c>
      <c r="L2689" s="11">
        <v>45679</v>
      </c>
      <c r="M2689" s="9">
        <v>4364</v>
      </c>
      <c r="N2689" s="9">
        <v>871</v>
      </c>
      <c r="O2689" s="9">
        <v>1630</v>
      </c>
      <c r="P2689" s="9">
        <v>1500</v>
      </c>
      <c r="R2689" s="11"/>
      <c r="S2689" s="9"/>
      <c r="T2689" s="9"/>
      <c r="U2689" s="9"/>
    </row>
    <row r="2690" spans="2:21" x14ac:dyDescent="0.4">
      <c r="B2690" s="16">
        <f t="shared" si="213"/>
        <v>45680</v>
      </c>
      <c r="C2690" s="1">
        <f t="shared" si="214"/>
        <v>4342</v>
      </c>
      <c r="D2690" s="1">
        <f t="shared" si="215"/>
        <v>871</v>
      </c>
      <c r="E2690" s="1">
        <f t="shared" si="216"/>
        <v>1655</v>
      </c>
      <c r="F2690" s="1">
        <f t="shared" si="217"/>
        <v>1500</v>
      </c>
      <c r="L2690" s="11">
        <v>45680</v>
      </c>
      <c r="M2690" s="9">
        <v>4342</v>
      </c>
      <c r="N2690" s="9">
        <v>871</v>
      </c>
      <c r="O2690" s="9">
        <v>1655</v>
      </c>
      <c r="P2690" s="9">
        <v>1500</v>
      </c>
      <c r="R2690" s="11"/>
      <c r="S2690" s="9"/>
      <c r="T2690" s="9"/>
      <c r="U2690" s="9"/>
    </row>
    <row r="2691" spans="2:21" x14ac:dyDescent="0.4">
      <c r="B2691" s="16">
        <f t="shared" si="213"/>
        <v>45681</v>
      </c>
      <c r="C2691" s="1">
        <f t="shared" si="214"/>
        <v>4338</v>
      </c>
      <c r="D2691" s="1">
        <f t="shared" si="215"/>
        <v>871</v>
      </c>
      <c r="E2691" s="1">
        <f t="shared" si="216"/>
        <v>1655</v>
      </c>
      <c r="F2691" s="1">
        <f t="shared" si="217"/>
        <v>1500</v>
      </c>
      <c r="L2691" s="11">
        <v>45681</v>
      </c>
      <c r="M2691" s="9">
        <v>4338</v>
      </c>
      <c r="N2691" s="9">
        <v>871</v>
      </c>
      <c r="O2691" s="9">
        <v>1655</v>
      </c>
      <c r="P2691" s="9">
        <v>1500</v>
      </c>
      <c r="R2691" s="11"/>
      <c r="S2691" s="9"/>
      <c r="T2691" s="9"/>
      <c r="U2691" s="9"/>
    </row>
    <row r="2692" spans="2:21" x14ac:dyDescent="0.4">
      <c r="B2692" s="16">
        <f t="shared" si="213"/>
        <v>45682</v>
      </c>
      <c r="C2692" s="1">
        <f t="shared" si="214"/>
        <v>4338</v>
      </c>
      <c r="D2692" s="1">
        <f t="shared" si="215"/>
        <v>871</v>
      </c>
      <c r="E2692" s="1">
        <f t="shared" si="216"/>
        <v>1655</v>
      </c>
      <c r="F2692" s="1">
        <f t="shared" si="217"/>
        <v>1500</v>
      </c>
      <c r="L2692" s="11">
        <v>45682</v>
      </c>
      <c r="M2692" s="9">
        <v>4338</v>
      </c>
      <c r="N2692" s="9">
        <v>0</v>
      </c>
      <c r="O2692" s="9">
        <v>0</v>
      </c>
      <c r="P2692" s="9">
        <v>0</v>
      </c>
      <c r="R2692" s="11"/>
      <c r="S2692" s="9"/>
      <c r="T2692" s="9"/>
      <c r="U2692" s="9"/>
    </row>
    <row r="2693" spans="2:21" x14ac:dyDescent="0.4">
      <c r="B2693" s="16">
        <f t="shared" si="213"/>
        <v>45683</v>
      </c>
      <c r="C2693" s="1">
        <f t="shared" si="214"/>
        <v>4338</v>
      </c>
      <c r="D2693" s="1">
        <f t="shared" si="215"/>
        <v>871</v>
      </c>
      <c r="E2693" s="1">
        <f t="shared" si="216"/>
        <v>1665</v>
      </c>
      <c r="F2693" s="1">
        <f t="shared" si="217"/>
        <v>1500</v>
      </c>
      <c r="L2693" s="11">
        <v>45683</v>
      </c>
      <c r="M2693" s="9">
        <v>4338</v>
      </c>
      <c r="N2693" s="9">
        <v>0</v>
      </c>
      <c r="O2693" s="9">
        <v>1665</v>
      </c>
      <c r="P2693" s="9">
        <v>1500</v>
      </c>
      <c r="R2693" s="11"/>
      <c r="S2693" s="9"/>
      <c r="T2693" s="9"/>
      <c r="U2693" s="9"/>
    </row>
    <row r="2694" spans="2:21" x14ac:dyDescent="0.4">
      <c r="B2694" s="16">
        <f t="shared" ref="B2694:B2757" si="218">L2694</f>
        <v>45684</v>
      </c>
      <c r="C2694" s="1">
        <f t="shared" si="214"/>
        <v>4337</v>
      </c>
      <c r="D2694" s="1">
        <f t="shared" si="215"/>
        <v>871</v>
      </c>
      <c r="E2694" s="1">
        <f t="shared" si="216"/>
        <v>1665</v>
      </c>
      <c r="F2694" s="1">
        <f t="shared" si="217"/>
        <v>1500</v>
      </c>
      <c r="L2694" s="11">
        <v>45684</v>
      </c>
      <c r="M2694" s="9">
        <v>4337</v>
      </c>
      <c r="N2694" s="9">
        <v>871</v>
      </c>
      <c r="O2694" s="9">
        <v>1665</v>
      </c>
      <c r="P2694" s="9">
        <v>1500</v>
      </c>
      <c r="R2694" s="11"/>
      <c r="S2694" s="9"/>
      <c r="T2694" s="9"/>
      <c r="U2694" s="9"/>
    </row>
    <row r="2695" spans="2:21" x14ac:dyDescent="0.4">
      <c r="B2695" s="16">
        <f t="shared" si="218"/>
        <v>45685</v>
      </c>
      <c r="C2695" s="1">
        <f t="shared" ref="C2695:C2758" si="219">IF(M2695&lt;&gt;0,M2695,C2694)</f>
        <v>4337</v>
      </c>
      <c r="D2695" s="1">
        <f t="shared" ref="D2695:D2758" si="220">IF(N2695&lt;&gt;0,N2695,D2694)</f>
        <v>871</v>
      </c>
      <c r="E2695" s="1">
        <f t="shared" ref="E2695:E2758" si="221">IF(O2695&lt;&gt;0,O2695,E2694)</f>
        <v>1665</v>
      </c>
      <c r="F2695" s="1">
        <f t="shared" si="217"/>
        <v>1500</v>
      </c>
      <c r="L2695" s="11">
        <v>45685</v>
      </c>
      <c r="M2695" s="9">
        <v>0</v>
      </c>
      <c r="N2695" s="9">
        <v>871</v>
      </c>
      <c r="O2695" s="9">
        <v>0</v>
      </c>
      <c r="P2695" s="9">
        <v>0</v>
      </c>
      <c r="R2695" s="11"/>
      <c r="S2695" s="9"/>
      <c r="T2695" s="9"/>
      <c r="U2695" s="9"/>
    </row>
    <row r="2696" spans="2:21" x14ac:dyDescent="0.4">
      <c r="B2696" s="16">
        <f t="shared" si="218"/>
        <v>45688</v>
      </c>
      <c r="C2696" s="1">
        <f t="shared" si="219"/>
        <v>4337</v>
      </c>
      <c r="D2696" s="1">
        <f t="shared" si="220"/>
        <v>871</v>
      </c>
      <c r="E2696" s="1">
        <f t="shared" si="221"/>
        <v>1665</v>
      </c>
      <c r="F2696" s="1">
        <f t="shared" si="217"/>
        <v>1500</v>
      </c>
      <c r="L2696" s="11">
        <v>45688</v>
      </c>
      <c r="M2696" s="9">
        <v>0</v>
      </c>
      <c r="N2696" s="9">
        <v>871</v>
      </c>
      <c r="O2696" s="9">
        <v>0</v>
      </c>
      <c r="P2696" s="9">
        <v>0</v>
      </c>
      <c r="R2696" s="11"/>
      <c r="S2696" s="9"/>
      <c r="T2696" s="9"/>
      <c r="U2696" s="9"/>
    </row>
    <row r="2697" spans="2:21" x14ac:dyDescent="0.4">
      <c r="B2697" s="16">
        <f t="shared" si="218"/>
        <v>45691</v>
      </c>
      <c r="C2697" s="1">
        <f t="shared" si="219"/>
        <v>4337</v>
      </c>
      <c r="D2697" s="1">
        <f t="shared" si="220"/>
        <v>871</v>
      </c>
      <c r="E2697" s="1">
        <f t="shared" si="221"/>
        <v>1665</v>
      </c>
      <c r="F2697" s="1">
        <f t="shared" si="217"/>
        <v>1500</v>
      </c>
      <c r="L2697" s="11">
        <v>45691</v>
      </c>
      <c r="M2697" s="9">
        <v>0</v>
      </c>
      <c r="N2697" s="9">
        <v>871</v>
      </c>
      <c r="O2697" s="9">
        <v>0</v>
      </c>
      <c r="P2697" s="9">
        <v>0</v>
      </c>
      <c r="R2697" s="11"/>
      <c r="S2697" s="9"/>
      <c r="T2697" s="9"/>
      <c r="U2697" s="9"/>
    </row>
    <row r="2698" spans="2:21" x14ac:dyDescent="0.4">
      <c r="B2698" s="16">
        <f t="shared" si="218"/>
        <v>45692</v>
      </c>
      <c r="C2698" s="1">
        <f t="shared" si="219"/>
        <v>4337</v>
      </c>
      <c r="D2698" s="1">
        <f t="shared" si="220"/>
        <v>871</v>
      </c>
      <c r="E2698" s="1">
        <f t="shared" si="221"/>
        <v>1665</v>
      </c>
      <c r="F2698" s="1">
        <f t="shared" si="217"/>
        <v>1500</v>
      </c>
      <c r="L2698" s="11">
        <v>45692</v>
      </c>
      <c r="M2698" s="9">
        <v>0</v>
      </c>
      <c r="N2698" s="9">
        <v>871</v>
      </c>
      <c r="O2698" s="9">
        <v>0</v>
      </c>
      <c r="P2698" s="9">
        <v>0</v>
      </c>
      <c r="R2698" s="11"/>
      <c r="S2698" s="9"/>
      <c r="T2698" s="9"/>
      <c r="U2698" s="9"/>
    </row>
    <row r="2699" spans="2:21" x14ac:dyDescent="0.4">
      <c r="B2699" s="16">
        <f t="shared" si="218"/>
        <v>45693</v>
      </c>
      <c r="C2699" s="1">
        <f t="shared" si="219"/>
        <v>4333</v>
      </c>
      <c r="D2699" s="1">
        <f t="shared" si="220"/>
        <v>871</v>
      </c>
      <c r="E2699" s="1">
        <f t="shared" si="221"/>
        <v>1665</v>
      </c>
      <c r="F2699" s="1">
        <f t="shared" si="217"/>
        <v>1450</v>
      </c>
      <c r="L2699" s="11">
        <v>45693</v>
      </c>
      <c r="M2699" s="9">
        <v>4333</v>
      </c>
      <c r="N2699" s="9">
        <v>871</v>
      </c>
      <c r="O2699" s="9">
        <v>1665</v>
      </c>
      <c r="P2699" s="9">
        <v>1450</v>
      </c>
      <c r="R2699" s="11"/>
      <c r="S2699" s="9"/>
      <c r="T2699" s="9"/>
      <c r="U2699" s="9"/>
    </row>
    <row r="2700" spans="2:21" x14ac:dyDescent="0.4">
      <c r="B2700" s="16">
        <f t="shared" si="218"/>
        <v>45694</v>
      </c>
      <c r="C2700" s="1">
        <f t="shared" si="219"/>
        <v>4338</v>
      </c>
      <c r="D2700" s="1">
        <f t="shared" si="220"/>
        <v>876</v>
      </c>
      <c r="E2700" s="1">
        <f t="shared" si="221"/>
        <v>1675</v>
      </c>
      <c r="F2700" s="1">
        <f t="shared" si="217"/>
        <v>1450</v>
      </c>
      <c r="L2700" s="11">
        <v>45694</v>
      </c>
      <c r="M2700" s="9">
        <v>4338</v>
      </c>
      <c r="N2700" s="9">
        <v>876</v>
      </c>
      <c r="O2700" s="9">
        <v>1675</v>
      </c>
      <c r="P2700" s="9">
        <v>1450</v>
      </c>
      <c r="R2700" s="11"/>
      <c r="S2700" s="9"/>
      <c r="T2700" s="9"/>
      <c r="U2700" s="9"/>
    </row>
    <row r="2701" spans="2:21" x14ac:dyDescent="0.4">
      <c r="B2701" s="16">
        <f t="shared" si="218"/>
        <v>45695</v>
      </c>
      <c r="C2701" s="1">
        <f t="shared" si="219"/>
        <v>4349</v>
      </c>
      <c r="D2701" s="1">
        <f t="shared" si="220"/>
        <v>881</v>
      </c>
      <c r="E2701" s="1">
        <f t="shared" si="221"/>
        <v>1660</v>
      </c>
      <c r="F2701" s="1">
        <f t="shared" si="217"/>
        <v>1450</v>
      </c>
      <c r="L2701" s="11">
        <v>45695</v>
      </c>
      <c r="M2701" s="9">
        <v>4349</v>
      </c>
      <c r="N2701" s="9">
        <v>881</v>
      </c>
      <c r="O2701" s="9">
        <v>1660</v>
      </c>
      <c r="P2701" s="9">
        <v>1450</v>
      </c>
      <c r="R2701" s="11"/>
      <c r="S2701" s="9"/>
      <c r="T2701" s="9"/>
      <c r="U2701" s="9"/>
    </row>
    <row r="2702" spans="2:21" x14ac:dyDescent="0.4">
      <c r="B2702" s="16">
        <f t="shared" si="218"/>
        <v>45696</v>
      </c>
      <c r="C2702" s="1">
        <f t="shared" si="219"/>
        <v>4355</v>
      </c>
      <c r="D2702" s="1">
        <f t="shared" si="220"/>
        <v>881</v>
      </c>
      <c r="E2702" s="1">
        <f t="shared" si="221"/>
        <v>1640</v>
      </c>
      <c r="F2702" s="1">
        <f t="shared" si="217"/>
        <v>1450</v>
      </c>
      <c r="L2702" s="11">
        <v>45696</v>
      </c>
      <c r="M2702" s="9">
        <v>4355</v>
      </c>
      <c r="N2702" s="9">
        <v>0</v>
      </c>
      <c r="O2702" s="9">
        <v>1640</v>
      </c>
      <c r="P2702" s="9">
        <v>1450</v>
      </c>
      <c r="R2702" s="11"/>
      <c r="S2702" s="9"/>
      <c r="T2702" s="9"/>
      <c r="U2702" s="9"/>
    </row>
    <row r="2703" spans="2:21" x14ac:dyDescent="0.4">
      <c r="B2703" s="16">
        <f t="shared" si="218"/>
        <v>45698</v>
      </c>
      <c r="C2703" s="1">
        <f t="shared" si="219"/>
        <v>4364</v>
      </c>
      <c r="D2703" s="1">
        <f t="shared" si="220"/>
        <v>881</v>
      </c>
      <c r="E2703" s="1">
        <f t="shared" si="221"/>
        <v>1640</v>
      </c>
      <c r="F2703" s="1">
        <f t="shared" si="217"/>
        <v>1450</v>
      </c>
      <c r="L2703" s="11">
        <v>45698</v>
      </c>
      <c r="M2703" s="9">
        <v>4364</v>
      </c>
      <c r="N2703" s="9">
        <v>881</v>
      </c>
      <c r="O2703" s="9">
        <v>1640</v>
      </c>
      <c r="P2703" s="9">
        <v>1450</v>
      </c>
      <c r="R2703" s="11"/>
      <c r="S2703" s="9"/>
      <c r="T2703" s="9"/>
      <c r="U2703" s="9"/>
    </row>
    <row r="2704" spans="2:21" x14ac:dyDescent="0.4">
      <c r="B2704" s="16">
        <f t="shared" si="218"/>
        <v>45699</v>
      </c>
      <c r="C2704" s="1">
        <f t="shared" si="219"/>
        <v>4361</v>
      </c>
      <c r="D2704" s="1">
        <f t="shared" si="220"/>
        <v>881</v>
      </c>
      <c r="E2704" s="1">
        <f t="shared" si="221"/>
        <v>1640</v>
      </c>
      <c r="F2704" s="1">
        <f t="shared" si="217"/>
        <v>1450</v>
      </c>
      <c r="L2704" s="11">
        <v>45699</v>
      </c>
      <c r="M2704" s="9">
        <v>4361</v>
      </c>
      <c r="N2704" s="9">
        <v>881</v>
      </c>
      <c r="O2704" s="9">
        <v>1640</v>
      </c>
      <c r="P2704" s="9">
        <v>1450</v>
      </c>
      <c r="R2704" s="11"/>
      <c r="S2704" s="9"/>
      <c r="T2704" s="9"/>
      <c r="U2704" s="9"/>
    </row>
    <row r="2705" spans="2:21" x14ac:dyDescent="0.4">
      <c r="B2705" s="16">
        <f t="shared" si="218"/>
        <v>45700</v>
      </c>
      <c r="C2705" s="1">
        <f t="shared" si="219"/>
        <v>4374</v>
      </c>
      <c r="D2705" s="1">
        <f t="shared" si="220"/>
        <v>881</v>
      </c>
      <c r="E2705" s="1">
        <f t="shared" si="221"/>
        <v>1655</v>
      </c>
      <c r="F2705" s="1">
        <f t="shared" si="217"/>
        <v>1450</v>
      </c>
      <c r="L2705" s="11">
        <v>45700</v>
      </c>
      <c r="M2705" s="9">
        <v>4374</v>
      </c>
      <c r="N2705" s="9">
        <v>881</v>
      </c>
      <c r="O2705" s="9">
        <v>1655</v>
      </c>
      <c r="P2705" s="9">
        <v>1450</v>
      </c>
      <c r="R2705" s="11"/>
      <c r="S2705" s="9"/>
      <c r="T2705" s="9"/>
      <c r="U2705" s="9"/>
    </row>
    <row r="2706" spans="2:21" x14ac:dyDescent="0.4">
      <c r="B2706" s="16">
        <f t="shared" si="218"/>
        <v>45701</v>
      </c>
      <c r="C2706" s="1">
        <f t="shared" si="219"/>
        <v>4365</v>
      </c>
      <c r="D2706" s="1">
        <f t="shared" si="220"/>
        <v>881</v>
      </c>
      <c r="E2706" s="1">
        <f t="shared" si="221"/>
        <v>1660</v>
      </c>
      <c r="F2706" s="1">
        <f t="shared" si="217"/>
        <v>1450</v>
      </c>
      <c r="L2706" s="11">
        <v>45701</v>
      </c>
      <c r="M2706" s="9">
        <v>4365</v>
      </c>
      <c r="N2706" s="9">
        <v>881</v>
      </c>
      <c r="O2706" s="9">
        <v>1660</v>
      </c>
      <c r="P2706" s="9">
        <v>1450</v>
      </c>
      <c r="R2706" s="11"/>
      <c r="S2706" s="9"/>
      <c r="T2706" s="9"/>
      <c r="U2706" s="9"/>
    </row>
    <row r="2707" spans="2:21" x14ac:dyDescent="0.4">
      <c r="B2707" s="16">
        <f t="shared" si="218"/>
        <v>45702</v>
      </c>
      <c r="C2707" s="1">
        <f t="shared" si="219"/>
        <v>4364</v>
      </c>
      <c r="D2707" s="1">
        <f t="shared" si="220"/>
        <v>891</v>
      </c>
      <c r="E2707" s="1">
        <f t="shared" si="221"/>
        <v>1665</v>
      </c>
      <c r="F2707" s="1">
        <f t="shared" si="217"/>
        <v>1450</v>
      </c>
      <c r="L2707" s="11">
        <v>45702</v>
      </c>
      <c r="M2707" s="9">
        <v>4364</v>
      </c>
      <c r="N2707" s="9">
        <v>891</v>
      </c>
      <c r="O2707" s="9">
        <v>1665</v>
      </c>
      <c r="P2707" s="9">
        <v>1450</v>
      </c>
      <c r="R2707" s="11"/>
      <c r="S2707" s="9"/>
      <c r="T2707" s="9"/>
      <c r="U2707" s="9"/>
    </row>
    <row r="2708" spans="2:21" x14ac:dyDescent="0.4">
      <c r="B2708" s="16">
        <f t="shared" si="218"/>
        <v>45705</v>
      </c>
      <c r="C2708" s="1">
        <f t="shared" si="219"/>
        <v>4370</v>
      </c>
      <c r="D2708" s="1">
        <f t="shared" si="220"/>
        <v>891</v>
      </c>
      <c r="E2708" s="1">
        <f t="shared" si="221"/>
        <v>1675</v>
      </c>
      <c r="F2708" s="1">
        <f t="shared" si="217"/>
        <v>1450</v>
      </c>
      <c r="L2708" s="11">
        <v>45705</v>
      </c>
      <c r="M2708" s="9">
        <v>4370</v>
      </c>
      <c r="N2708" s="9">
        <v>891</v>
      </c>
      <c r="O2708" s="9">
        <v>1675</v>
      </c>
      <c r="P2708" s="9">
        <v>1450</v>
      </c>
      <c r="R2708" s="11"/>
      <c r="S2708" s="9"/>
      <c r="T2708" s="9"/>
      <c r="U2708" s="9"/>
    </row>
    <row r="2709" spans="2:21" x14ac:dyDescent="0.4">
      <c r="B2709" s="16">
        <f t="shared" si="218"/>
        <v>45706</v>
      </c>
      <c r="C2709" s="1">
        <f t="shared" si="219"/>
        <v>4380</v>
      </c>
      <c r="D2709" s="1">
        <f t="shared" si="220"/>
        <v>891</v>
      </c>
      <c r="E2709" s="1">
        <f t="shared" si="221"/>
        <v>1765</v>
      </c>
      <c r="F2709" s="1">
        <f t="shared" si="217"/>
        <v>1450</v>
      </c>
      <c r="L2709" s="11">
        <v>45706</v>
      </c>
      <c r="M2709" s="9">
        <v>4380</v>
      </c>
      <c r="N2709" s="9">
        <v>891</v>
      </c>
      <c r="O2709" s="9">
        <v>1765</v>
      </c>
      <c r="P2709" s="9">
        <v>1450</v>
      </c>
      <c r="R2709" s="11"/>
      <c r="S2709" s="9"/>
      <c r="T2709" s="9"/>
      <c r="U2709" s="9"/>
    </row>
    <row r="2710" spans="2:21" x14ac:dyDescent="0.4">
      <c r="B2710" s="16">
        <f t="shared" si="218"/>
        <v>45707</v>
      </c>
      <c r="C2710" s="1">
        <f t="shared" si="219"/>
        <v>4380</v>
      </c>
      <c r="D2710" s="1">
        <f t="shared" si="220"/>
        <v>891</v>
      </c>
      <c r="E2710" s="1">
        <f t="shared" si="221"/>
        <v>1790</v>
      </c>
      <c r="F2710" s="1">
        <f t="shared" si="217"/>
        <v>1450</v>
      </c>
      <c r="L2710" s="11">
        <v>45707</v>
      </c>
      <c r="M2710" s="9">
        <v>4380</v>
      </c>
      <c r="N2710" s="9">
        <v>891</v>
      </c>
      <c r="O2710" s="9">
        <v>1790</v>
      </c>
      <c r="P2710" s="9">
        <v>1450</v>
      </c>
      <c r="R2710" s="11"/>
      <c r="S2710" s="9"/>
      <c r="T2710" s="9"/>
      <c r="U2710" s="9"/>
    </row>
    <row r="2711" spans="2:21" x14ac:dyDescent="0.4">
      <c r="B2711" s="16">
        <f t="shared" si="218"/>
        <v>45708</v>
      </c>
      <c r="C2711" s="1">
        <f t="shared" si="219"/>
        <v>4385</v>
      </c>
      <c r="D2711" s="1">
        <f t="shared" si="220"/>
        <v>891</v>
      </c>
      <c r="E2711" s="1">
        <f t="shared" si="221"/>
        <v>1790</v>
      </c>
      <c r="F2711" s="1">
        <f t="shared" si="217"/>
        <v>1450</v>
      </c>
      <c r="L2711" s="11">
        <v>45708</v>
      </c>
      <c r="M2711" s="9">
        <v>4385</v>
      </c>
      <c r="N2711" s="9">
        <v>891</v>
      </c>
      <c r="O2711" s="9">
        <v>1790</v>
      </c>
      <c r="P2711" s="9">
        <v>1450</v>
      </c>
      <c r="R2711" s="11"/>
      <c r="S2711" s="9"/>
      <c r="T2711" s="9"/>
      <c r="U2711" s="9"/>
    </row>
    <row r="2712" spans="2:21" x14ac:dyDescent="0.4">
      <c r="B2712" s="16">
        <f t="shared" si="218"/>
        <v>45709</v>
      </c>
      <c r="C2712" s="1">
        <f t="shared" si="219"/>
        <v>4393</v>
      </c>
      <c r="D2712" s="1">
        <f t="shared" si="220"/>
        <v>891</v>
      </c>
      <c r="E2712" s="1">
        <f t="shared" si="221"/>
        <v>1790</v>
      </c>
      <c r="F2712" s="1">
        <f t="shared" si="217"/>
        <v>1450</v>
      </c>
      <c r="L2712" s="11">
        <v>45709</v>
      </c>
      <c r="M2712" s="9">
        <v>4393</v>
      </c>
      <c r="N2712" s="9">
        <v>891</v>
      </c>
      <c r="O2712" s="9">
        <v>1790</v>
      </c>
      <c r="P2712" s="9">
        <v>1450</v>
      </c>
      <c r="R2712" s="11"/>
      <c r="S2712" s="9"/>
      <c r="T2712" s="9"/>
      <c r="U2712" s="9"/>
    </row>
    <row r="2713" spans="2:21" x14ac:dyDescent="0.4">
      <c r="B2713" s="16">
        <f t="shared" si="218"/>
        <v>45712</v>
      </c>
      <c r="C2713" s="1">
        <f t="shared" si="219"/>
        <v>4395</v>
      </c>
      <c r="D2713" s="1">
        <f t="shared" si="220"/>
        <v>901</v>
      </c>
      <c r="E2713" s="1">
        <f t="shared" si="221"/>
        <v>1790</v>
      </c>
      <c r="F2713" s="1">
        <f t="shared" si="217"/>
        <v>1450</v>
      </c>
      <c r="L2713" s="11">
        <v>45712</v>
      </c>
      <c r="M2713" s="9">
        <v>4395</v>
      </c>
      <c r="N2713" s="9">
        <v>901</v>
      </c>
      <c r="O2713" s="9">
        <v>1790</v>
      </c>
      <c r="P2713" s="9">
        <v>1450</v>
      </c>
      <c r="R2713" s="11"/>
      <c r="S2713" s="9"/>
      <c r="T2713" s="9"/>
      <c r="U2713" s="9"/>
    </row>
    <row r="2714" spans="2:21" x14ac:dyDescent="0.4">
      <c r="B2714" s="16">
        <f t="shared" si="218"/>
        <v>45713</v>
      </c>
      <c r="C2714" s="1">
        <f t="shared" si="219"/>
        <v>4398</v>
      </c>
      <c r="D2714" s="1">
        <f t="shared" si="220"/>
        <v>901</v>
      </c>
      <c r="E2714" s="1">
        <f t="shared" si="221"/>
        <v>1795</v>
      </c>
      <c r="F2714" s="1">
        <f t="shared" si="217"/>
        <v>1450</v>
      </c>
      <c r="L2714" s="11">
        <v>45713</v>
      </c>
      <c r="M2714" s="9">
        <v>4398</v>
      </c>
      <c r="N2714" s="9">
        <v>901</v>
      </c>
      <c r="O2714" s="9">
        <v>1795</v>
      </c>
      <c r="P2714" s="9">
        <v>1450</v>
      </c>
      <c r="R2714" s="11"/>
      <c r="S2714" s="9"/>
      <c r="T2714" s="9"/>
      <c r="U2714" s="9"/>
    </row>
    <row r="2715" spans="2:21" x14ac:dyDescent="0.4">
      <c r="B2715" s="16">
        <f t="shared" si="218"/>
        <v>45714</v>
      </c>
      <c r="C2715" s="1">
        <f t="shared" si="219"/>
        <v>4383</v>
      </c>
      <c r="D2715" s="1">
        <f t="shared" si="220"/>
        <v>901</v>
      </c>
      <c r="E2715" s="1">
        <f t="shared" si="221"/>
        <v>1820</v>
      </c>
      <c r="F2715" s="1">
        <f t="shared" si="217"/>
        <v>1450</v>
      </c>
      <c r="L2715" s="11">
        <v>45714</v>
      </c>
      <c r="M2715" s="9">
        <v>4383</v>
      </c>
      <c r="N2715" s="9">
        <v>901</v>
      </c>
      <c r="O2715" s="9">
        <v>1820</v>
      </c>
      <c r="P2715" s="9">
        <v>1450</v>
      </c>
      <c r="R2715" s="11"/>
      <c r="S2715" s="9"/>
      <c r="T2715" s="9"/>
      <c r="U2715" s="9"/>
    </row>
    <row r="2716" spans="2:21" x14ac:dyDescent="0.4">
      <c r="B2716" s="16">
        <f t="shared" si="218"/>
        <v>45715</v>
      </c>
      <c r="C2716" s="1">
        <f t="shared" si="219"/>
        <v>4379</v>
      </c>
      <c r="D2716" s="1">
        <f t="shared" si="220"/>
        <v>901</v>
      </c>
      <c r="E2716" s="1">
        <f t="shared" si="221"/>
        <v>1835</v>
      </c>
      <c r="F2716" s="1">
        <f t="shared" si="217"/>
        <v>1450</v>
      </c>
      <c r="L2716" s="11">
        <v>45715</v>
      </c>
      <c r="M2716" s="9">
        <v>4379</v>
      </c>
      <c r="N2716" s="9">
        <v>901</v>
      </c>
      <c r="O2716" s="9">
        <v>1835</v>
      </c>
      <c r="P2716" s="9">
        <v>1450</v>
      </c>
      <c r="R2716" s="11"/>
      <c r="S2716" s="9"/>
      <c r="T2716" s="9"/>
      <c r="U2716" s="9"/>
    </row>
    <row r="2717" spans="2:21" x14ac:dyDescent="0.4">
      <c r="B2717" s="16">
        <f t="shared" si="218"/>
        <v>45716</v>
      </c>
      <c r="C2717" s="1">
        <f t="shared" si="219"/>
        <v>4374</v>
      </c>
      <c r="D2717" s="1">
        <f t="shared" si="220"/>
        <v>901</v>
      </c>
      <c r="E2717" s="1">
        <f t="shared" si="221"/>
        <v>1835</v>
      </c>
      <c r="F2717" s="1">
        <f t="shared" si="217"/>
        <v>1500</v>
      </c>
      <c r="L2717" s="11">
        <v>45716</v>
      </c>
      <c r="M2717" s="9">
        <v>4374</v>
      </c>
      <c r="N2717" s="9">
        <v>901</v>
      </c>
      <c r="O2717" s="9">
        <v>1835</v>
      </c>
      <c r="P2717" s="9">
        <v>1500</v>
      </c>
      <c r="R2717" s="11"/>
      <c r="S2717" s="9"/>
      <c r="T2717" s="9"/>
      <c r="U2717" s="9"/>
    </row>
    <row r="2718" spans="2:21" x14ac:dyDescent="0.4">
      <c r="B2718" s="16">
        <f t="shared" si="218"/>
        <v>45719</v>
      </c>
      <c r="C2718" s="1">
        <f t="shared" si="219"/>
        <v>4379</v>
      </c>
      <c r="D2718" s="1">
        <f t="shared" si="220"/>
        <v>901</v>
      </c>
      <c r="E2718" s="1">
        <f t="shared" si="221"/>
        <v>1835</v>
      </c>
      <c r="F2718" s="1">
        <f t="shared" si="217"/>
        <v>1600</v>
      </c>
      <c r="L2718" s="11">
        <v>45719</v>
      </c>
      <c r="M2718" s="9">
        <v>4379</v>
      </c>
      <c r="N2718" s="9">
        <v>901</v>
      </c>
      <c r="O2718" s="9">
        <v>1835</v>
      </c>
      <c r="P2718" s="9">
        <v>1600</v>
      </c>
      <c r="R2718" s="11"/>
      <c r="S2718" s="9"/>
      <c r="T2718" s="9"/>
      <c r="U2718" s="9"/>
    </row>
    <row r="2719" spans="2:21" x14ac:dyDescent="0.4">
      <c r="B2719" s="16">
        <f t="shared" si="218"/>
        <v>45720</v>
      </c>
      <c r="C2719" s="1">
        <f t="shared" si="219"/>
        <v>4371</v>
      </c>
      <c r="D2719" s="1">
        <f t="shared" si="220"/>
        <v>901</v>
      </c>
      <c r="E2719" s="1">
        <f t="shared" si="221"/>
        <v>1810</v>
      </c>
      <c r="F2719" s="1">
        <f t="shared" si="217"/>
        <v>1600</v>
      </c>
      <c r="L2719" s="11">
        <v>45720</v>
      </c>
      <c r="M2719" s="9">
        <v>4371</v>
      </c>
      <c r="N2719" s="9">
        <v>901</v>
      </c>
      <c r="O2719" s="9">
        <v>1810</v>
      </c>
      <c r="P2719" s="9">
        <v>1600</v>
      </c>
      <c r="R2719" s="11"/>
      <c r="S2719" s="9"/>
      <c r="T2719" s="9"/>
      <c r="U2719" s="9"/>
    </row>
    <row r="2720" spans="2:21" x14ac:dyDescent="0.4">
      <c r="B2720" s="16">
        <f t="shared" si="218"/>
        <v>45721</v>
      </c>
      <c r="C2720" s="1">
        <f t="shared" si="219"/>
        <v>4363</v>
      </c>
      <c r="D2720" s="1">
        <f t="shared" si="220"/>
        <v>901</v>
      </c>
      <c r="E2720" s="1">
        <f t="shared" si="221"/>
        <v>1795</v>
      </c>
      <c r="F2720" s="1">
        <f t="shared" si="217"/>
        <v>1600</v>
      </c>
      <c r="L2720" s="11">
        <v>45721</v>
      </c>
      <c r="M2720" s="9">
        <v>4363</v>
      </c>
      <c r="N2720" s="9">
        <v>901</v>
      </c>
      <c r="O2720" s="9">
        <v>1795</v>
      </c>
      <c r="P2720" s="9">
        <v>1600</v>
      </c>
      <c r="R2720" s="11"/>
      <c r="S2720" s="9"/>
      <c r="T2720" s="9"/>
      <c r="U2720" s="9"/>
    </row>
    <row r="2721" spans="2:21" x14ac:dyDescent="0.4">
      <c r="B2721" s="16">
        <f t="shared" si="218"/>
        <v>45722</v>
      </c>
      <c r="C2721" s="1">
        <f t="shared" si="219"/>
        <v>4338</v>
      </c>
      <c r="D2721" s="1">
        <f t="shared" si="220"/>
        <v>886</v>
      </c>
      <c r="E2721" s="1">
        <f t="shared" si="221"/>
        <v>1800</v>
      </c>
      <c r="F2721" s="1">
        <f t="shared" si="217"/>
        <v>1600</v>
      </c>
      <c r="L2721" s="11">
        <v>45722</v>
      </c>
      <c r="M2721" s="9">
        <v>4338</v>
      </c>
      <c r="N2721" s="9">
        <v>886</v>
      </c>
      <c r="O2721" s="9">
        <v>1800</v>
      </c>
      <c r="P2721" s="9">
        <v>1600</v>
      </c>
      <c r="R2721" s="11"/>
      <c r="S2721" s="9"/>
      <c r="T2721" s="9"/>
      <c r="U2721" s="9"/>
    </row>
    <row r="2722" spans="2:21" x14ac:dyDescent="0.4">
      <c r="B2722" s="16">
        <f t="shared" si="218"/>
        <v>45723</v>
      </c>
      <c r="C2722" s="1">
        <f t="shared" si="219"/>
        <v>4327</v>
      </c>
      <c r="D2722" s="1">
        <f t="shared" si="220"/>
        <v>871</v>
      </c>
      <c r="E2722" s="1">
        <f t="shared" si="221"/>
        <v>1800</v>
      </c>
      <c r="F2722" s="1">
        <f t="shared" si="217"/>
        <v>1600</v>
      </c>
      <c r="L2722" s="11">
        <v>45723</v>
      </c>
      <c r="M2722" s="9">
        <v>4327</v>
      </c>
      <c r="N2722" s="9">
        <v>871</v>
      </c>
      <c r="O2722" s="9">
        <v>1800</v>
      </c>
      <c r="P2722" s="9">
        <v>1600</v>
      </c>
      <c r="R2722" s="11"/>
      <c r="S2722" s="9"/>
      <c r="T2722" s="9"/>
      <c r="U2722" s="9"/>
    </row>
    <row r="2723" spans="2:21" x14ac:dyDescent="0.4">
      <c r="B2723" s="16">
        <f t="shared" si="218"/>
        <v>45726</v>
      </c>
      <c r="C2723" s="1">
        <f t="shared" si="219"/>
        <v>4321</v>
      </c>
      <c r="D2723" s="1">
        <f t="shared" si="220"/>
        <v>871</v>
      </c>
      <c r="E2723" s="1">
        <f t="shared" si="221"/>
        <v>1800</v>
      </c>
      <c r="F2723" s="1">
        <f t="shared" si="217"/>
        <v>1600</v>
      </c>
      <c r="L2723" s="11">
        <v>45726</v>
      </c>
      <c r="M2723" s="9">
        <v>4321</v>
      </c>
      <c r="N2723" s="9">
        <v>871</v>
      </c>
      <c r="O2723" s="9">
        <v>1800</v>
      </c>
      <c r="P2723" s="9">
        <v>1600</v>
      </c>
      <c r="R2723" s="11"/>
      <c r="S2723" s="9"/>
      <c r="T2723" s="9"/>
      <c r="U2723" s="9"/>
    </row>
    <row r="2724" spans="2:21" x14ac:dyDescent="0.4">
      <c r="B2724" s="16">
        <f t="shared" si="218"/>
        <v>45727</v>
      </c>
      <c r="C2724" s="1">
        <f t="shared" si="219"/>
        <v>4304</v>
      </c>
      <c r="D2724" s="1">
        <f t="shared" si="220"/>
        <v>871</v>
      </c>
      <c r="E2724" s="1">
        <f t="shared" si="221"/>
        <v>1815</v>
      </c>
      <c r="F2724" s="1">
        <f t="shared" si="217"/>
        <v>1600</v>
      </c>
      <c r="L2724" s="11">
        <v>45727</v>
      </c>
      <c r="M2724" s="9">
        <v>4304</v>
      </c>
      <c r="N2724" s="9">
        <v>871</v>
      </c>
      <c r="O2724" s="9">
        <v>1815</v>
      </c>
      <c r="P2724" s="9">
        <v>1600</v>
      </c>
      <c r="R2724" s="11"/>
      <c r="S2724" s="9"/>
      <c r="T2724" s="9"/>
      <c r="U2724" s="9"/>
    </row>
    <row r="2725" spans="2:21" x14ac:dyDescent="0.4">
      <c r="B2725" s="16">
        <f t="shared" si="218"/>
        <v>45728</v>
      </c>
      <c r="C2725" s="1">
        <f t="shared" si="219"/>
        <v>4296</v>
      </c>
      <c r="D2725" s="1">
        <f t="shared" si="220"/>
        <v>861</v>
      </c>
      <c r="E2725" s="1">
        <f t="shared" si="221"/>
        <v>1815</v>
      </c>
      <c r="F2725" s="1">
        <f t="shared" si="217"/>
        <v>1600</v>
      </c>
      <c r="L2725" s="11">
        <v>45728</v>
      </c>
      <c r="M2725" s="9">
        <v>4296</v>
      </c>
      <c r="N2725" s="9">
        <v>861</v>
      </c>
      <c r="O2725" s="9">
        <v>1815</v>
      </c>
      <c r="P2725" s="9">
        <v>1600</v>
      </c>
      <c r="R2725" s="11"/>
      <c r="S2725" s="9"/>
      <c r="T2725" s="9"/>
      <c r="U2725" s="9"/>
    </row>
    <row r="2726" spans="2:21" x14ac:dyDescent="0.4">
      <c r="B2726" s="16">
        <f t="shared" si="218"/>
        <v>45729</v>
      </c>
      <c r="C2726" s="1">
        <f t="shared" si="219"/>
        <v>4294</v>
      </c>
      <c r="D2726" s="1">
        <f t="shared" si="220"/>
        <v>861</v>
      </c>
      <c r="E2726" s="1">
        <f t="shared" si="221"/>
        <v>1815</v>
      </c>
      <c r="F2726" s="1">
        <f t="shared" si="217"/>
        <v>1550</v>
      </c>
      <c r="L2726" s="11">
        <v>45729</v>
      </c>
      <c r="M2726" s="9">
        <v>4294</v>
      </c>
      <c r="N2726" s="9">
        <v>861</v>
      </c>
      <c r="O2726" s="9">
        <v>1815</v>
      </c>
      <c r="P2726" s="9">
        <v>1550</v>
      </c>
      <c r="R2726" s="11"/>
      <c r="S2726" s="9"/>
      <c r="T2726" s="9"/>
      <c r="U2726" s="9"/>
    </row>
    <row r="2727" spans="2:21" x14ac:dyDescent="0.4">
      <c r="B2727" s="16">
        <f t="shared" si="218"/>
        <v>45730</v>
      </c>
      <c r="C2727" s="1">
        <f t="shared" si="219"/>
        <v>4305</v>
      </c>
      <c r="D2727" s="1">
        <f t="shared" si="220"/>
        <v>856</v>
      </c>
      <c r="E2727" s="1">
        <f t="shared" si="221"/>
        <v>1805</v>
      </c>
      <c r="F2727" s="1">
        <f t="shared" si="217"/>
        <v>1550</v>
      </c>
      <c r="L2727" s="11">
        <v>45730</v>
      </c>
      <c r="M2727" s="9">
        <v>4305</v>
      </c>
      <c r="N2727" s="9">
        <v>856</v>
      </c>
      <c r="O2727" s="9">
        <v>1805</v>
      </c>
      <c r="P2727" s="9">
        <v>1550</v>
      </c>
      <c r="R2727" s="11"/>
      <c r="S2727" s="9"/>
      <c r="T2727" s="9"/>
      <c r="U2727" s="9"/>
    </row>
    <row r="2728" spans="2:21" x14ac:dyDescent="0.4">
      <c r="B2728" s="16">
        <f t="shared" si="218"/>
        <v>45733</v>
      </c>
      <c r="C2728" s="1">
        <f t="shared" si="219"/>
        <v>4318</v>
      </c>
      <c r="D2728" s="1">
        <f t="shared" si="220"/>
        <v>856</v>
      </c>
      <c r="E2728" s="1">
        <f t="shared" si="221"/>
        <v>1805</v>
      </c>
      <c r="F2728" s="1">
        <f t="shared" si="217"/>
        <v>1550</v>
      </c>
      <c r="L2728" s="11">
        <v>45733</v>
      </c>
      <c r="M2728" s="9">
        <v>4318</v>
      </c>
      <c r="N2728" s="9">
        <v>856</v>
      </c>
      <c r="O2728" s="9">
        <v>1805</v>
      </c>
      <c r="P2728" s="9">
        <v>1550</v>
      </c>
      <c r="R2728" s="11"/>
      <c r="S2728" s="9"/>
      <c r="T2728" s="9"/>
      <c r="U2728" s="9"/>
    </row>
    <row r="2729" spans="2:21" x14ac:dyDescent="0.4">
      <c r="B2729" s="16">
        <f t="shared" si="218"/>
        <v>45734</v>
      </c>
      <c r="C2729" s="1">
        <f t="shared" si="219"/>
        <v>4315</v>
      </c>
      <c r="D2729" s="1">
        <f t="shared" si="220"/>
        <v>856</v>
      </c>
      <c r="E2729" s="1">
        <f t="shared" si="221"/>
        <v>1805</v>
      </c>
      <c r="F2729" s="1">
        <f t="shared" si="217"/>
        <v>1550</v>
      </c>
      <c r="L2729" s="11">
        <v>45734</v>
      </c>
      <c r="M2729" s="9">
        <v>4315</v>
      </c>
      <c r="N2729" s="9">
        <v>856</v>
      </c>
      <c r="O2729" s="9">
        <v>1805</v>
      </c>
      <c r="P2729" s="9">
        <v>1550</v>
      </c>
      <c r="R2729" s="11"/>
      <c r="S2729" s="9"/>
      <c r="T2729" s="9"/>
      <c r="U2729" s="9"/>
    </row>
    <row r="2730" spans="2:21" x14ac:dyDescent="0.4">
      <c r="B2730" s="16">
        <f t="shared" si="218"/>
        <v>45735</v>
      </c>
      <c r="C2730" s="1">
        <f t="shared" si="219"/>
        <v>4320</v>
      </c>
      <c r="D2730" s="1">
        <f t="shared" si="220"/>
        <v>856</v>
      </c>
      <c r="E2730" s="1">
        <f t="shared" si="221"/>
        <v>1810</v>
      </c>
      <c r="F2730" s="1">
        <f t="shared" si="217"/>
        <v>1550</v>
      </c>
      <c r="L2730" s="11">
        <v>45735</v>
      </c>
      <c r="M2730" s="9">
        <v>4320</v>
      </c>
      <c r="N2730" s="9">
        <v>856</v>
      </c>
      <c r="O2730" s="9">
        <v>1810</v>
      </c>
      <c r="P2730" s="9">
        <v>1550</v>
      </c>
      <c r="R2730" s="11"/>
      <c r="S2730" s="9"/>
      <c r="T2730" s="9"/>
      <c r="U2730" s="9"/>
    </row>
    <row r="2731" spans="2:21" x14ac:dyDescent="0.4">
      <c r="B2731" s="16">
        <f t="shared" si="218"/>
        <v>45736</v>
      </c>
      <c r="C2731" s="1">
        <f t="shared" si="219"/>
        <v>4321</v>
      </c>
      <c r="D2731" s="1">
        <f t="shared" si="220"/>
        <v>856</v>
      </c>
      <c r="E2731" s="1">
        <f t="shared" si="221"/>
        <v>1820</v>
      </c>
      <c r="F2731" s="1">
        <f t="shared" si="217"/>
        <v>1550</v>
      </c>
      <c r="L2731" s="11">
        <v>45736</v>
      </c>
      <c r="M2731" s="9">
        <v>4321</v>
      </c>
      <c r="N2731" s="9">
        <v>856</v>
      </c>
      <c r="O2731" s="9">
        <v>1820</v>
      </c>
      <c r="P2731" s="9">
        <v>1550</v>
      </c>
      <c r="R2731" s="11"/>
      <c r="S2731" s="9"/>
      <c r="T2731" s="9"/>
      <c r="U2731" s="9"/>
    </row>
    <row r="2732" spans="2:21" x14ac:dyDescent="0.4">
      <c r="B2732" s="16">
        <f t="shared" si="218"/>
        <v>45737</v>
      </c>
      <c r="C2732" s="1">
        <f t="shared" si="219"/>
        <v>4320</v>
      </c>
      <c r="D2732" s="1">
        <f t="shared" si="220"/>
        <v>856</v>
      </c>
      <c r="E2732" s="1">
        <f t="shared" si="221"/>
        <v>1835</v>
      </c>
      <c r="F2732" s="1">
        <f t="shared" si="217"/>
        <v>1550</v>
      </c>
      <c r="L2732" s="11">
        <v>45737</v>
      </c>
      <c r="M2732" s="9">
        <v>4320</v>
      </c>
      <c r="N2732" s="9">
        <v>856</v>
      </c>
      <c r="O2732" s="9">
        <v>1835</v>
      </c>
      <c r="P2732" s="9">
        <v>1550</v>
      </c>
      <c r="R2732" s="11"/>
      <c r="S2732" s="9"/>
      <c r="T2732" s="9"/>
      <c r="U2732" s="9"/>
    </row>
    <row r="2733" spans="2:21" x14ac:dyDescent="0.4">
      <c r="B2733" s="16">
        <f t="shared" si="218"/>
        <v>45740</v>
      </c>
      <c r="C2733" s="1">
        <f t="shared" si="219"/>
        <v>4322</v>
      </c>
      <c r="D2733" s="1">
        <f t="shared" si="220"/>
        <v>856</v>
      </c>
      <c r="E2733" s="1">
        <f t="shared" si="221"/>
        <v>1865</v>
      </c>
      <c r="F2733" s="1">
        <f t="shared" si="217"/>
        <v>1500</v>
      </c>
      <c r="L2733" s="11">
        <v>45740</v>
      </c>
      <c r="M2733" s="9">
        <v>4322</v>
      </c>
      <c r="N2733" s="9">
        <v>856</v>
      </c>
      <c r="O2733" s="9">
        <v>1865</v>
      </c>
      <c r="P2733" s="9">
        <v>1500</v>
      </c>
      <c r="R2733" s="11"/>
      <c r="S2733" s="9"/>
      <c r="T2733" s="9"/>
      <c r="U2733" s="9"/>
    </row>
    <row r="2734" spans="2:21" x14ac:dyDescent="0.4">
      <c r="B2734" s="16">
        <f t="shared" si="218"/>
        <v>45741</v>
      </c>
      <c r="C2734" s="1">
        <f t="shared" si="219"/>
        <v>4317</v>
      </c>
      <c r="D2734" s="1">
        <f t="shared" si="220"/>
        <v>856</v>
      </c>
      <c r="E2734" s="1">
        <f t="shared" si="221"/>
        <v>1885</v>
      </c>
      <c r="F2734" s="1">
        <f t="shared" si="217"/>
        <v>1500</v>
      </c>
      <c r="L2734" s="11">
        <v>45741</v>
      </c>
      <c r="M2734" s="9">
        <v>4317</v>
      </c>
      <c r="N2734" s="9">
        <v>856</v>
      </c>
      <c r="O2734" s="9">
        <v>1885</v>
      </c>
      <c r="P2734" s="9">
        <v>1500</v>
      </c>
      <c r="R2734" s="11"/>
      <c r="S2734" s="9"/>
      <c r="T2734" s="9"/>
      <c r="U2734" s="9"/>
    </row>
    <row r="2735" spans="2:21" x14ac:dyDescent="0.4">
      <c r="B2735" s="16">
        <f t="shared" si="218"/>
        <v>45742</v>
      </c>
      <c r="C2735" s="1">
        <f t="shared" si="219"/>
        <v>4307</v>
      </c>
      <c r="D2735" s="1">
        <f t="shared" si="220"/>
        <v>856</v>
      </c>
      <c r="E2735" s="1">
        <f t="shared" si="221"/>
        <v>1890</v>
      </c>
      <c r="F2735" s="1">
        <f t="shared" si="217"/>
        <v>1500</v>
      </c>
      <c r="L2735" s="11">
        <v>45742</v>
      </c>
      <c r="M2735" s="9">
        <v>4307</v>
      </c>
      <c r="N2735" s="9">
        <v>856</v>
      </c>
      <c r="O2735" s="9">
        <v>1890</v>
      </c>
      <c r="P2735" s="9">
        <v>1500</v>
      </c>
      <c r="R2735" s="11"/>
      <c r="S2735" s="9"/>
      <c r="T2735" s="9"/>
      <c r="U2735" s="9"/>
    </row>
    <row r="2736" spans="2:21" x14ac:dyDescent="0.4">
      <c r="B2736" s="16">
        <f t="shared" si="218"/>
        <v>45743</v>
      </c>
      <c r="C2736" s="1">
        <f t="shared" si="219"/>
        <v>4311</v>
      </c>
      <c r="D2736" s="1">
        <f t="shared" si="220"/>
        <v>856</v>
      </c>
      <c r="E2736" s="1">
        <f t="shared" si="221"/>
        <v>1890</v>
      </c>
      <c r="F2736" s="1">
        <f t="shared" si="217"/>
        <v>1500</v>
      </c>
      <c r="L2736" s="11">
        <v>45743</v>
      </c>
      <c r="M2736" s="9">
        <v>4311</v>
      </c>
      <c r="N2736" s="9">
        <v>856</v>
      </c>
      <c r="O2736" s="9">
        <v>1890</v>
      </c>
      <c r="P2736" s="9">
        <v>1500</v>
      </c>
      <c r="R2736" s="11"/>
      <c r="S2736" s="9"/>
      <c r="T2736" s="9"/>
      <c r="U2736" s="9"/>
    </row>
    <row r="2737" spans="2:21" x14ac:dyDescent="0.4">
      <c r="B2737" s="16">
        <f t="shared" si="218"/>
        <v>45744</v>
      </c>
      <c r="C2737" s="1">
        <f t="shared" si="219"/>
        <v>4304</v>
      </c>
      <c r="D2737" s="1">
        <f t="shared" si="220"/>
        <v>856</v>
      </c>
      <c r="E2737" s="1">
        <f t="shared" si="221"/>
        <v>1950</v>
      </c>
      <c r="F2737" s="1">
        <f t="shared" si="217"/>
        <v>1500</v>
      </c>
      <c r="L2737" s="11">
        <v>45744</v>
      </c>
      <c r="M2737" s="9">
        <v>4304</v>
      </c>
      <c r="N2737" s="9">
        <v>856</v>
      </c>
      <c r="O2737" s="9">
        <v>1950</v>
      </c>
      <c r="P2737" s="9">
        <v>1500</v>
      </c>
      <c r="R2737" s="11"/>
      <c r="S2737" s="9"/>
      <c r="T2737" s="9"/>
      <c r="U2737" s="9"/>
    </row>
    <row r="2738" spans="2:21" x14ac:dyDescent="0.4">
      <c r="B2738" s="16">
        <f t="shared" si="218"/>
        <v>45747</v>
      </c>
      <c r="C2738" s="1">
        <f t="shared" si="219"/>
        <v>4292</v>
      </c>
      <c r="D2738" s="1">
        <f t="shared" si="220"/>
        <v>856</v>
      </c>
      <c r="E2738" s="1">
        <f t="shared" si="221"/>
        <v>1950</v>
      </c>
      <c r="F2738" s="1">
        <f t="shared" ref="F2738:F2801" si="222">IF(P2738&lt;&gt;0,P2738,F2737)</f>
        <v>1500</v>
      </c>
      <c r="L2738" s="11">
        <v>45747</v>
      </c>
      <c r="M2738" s="9">
        <v>4292</v>
      </c>
      <c r="N2738" s="9">
        <v>0</v>
      </c>
      <c r="O2738" s="9">
        <v>1950</v>
      </c>
      <c r="P2738" s="9">
        <v>1500</v>
      </c>
      <c r="R2738" s="11"/>
      <c r="S2738" s="9"/>
      <c r="T2738" s="9"/>
      <c r="U2738" s="9"/>
    </row>
    <row r="2739" spans="2:21" x14ac:dyDescent="0.4">
      <c r="B2739" s="16">
        <f t="shared" si="218"/>
        <v>45748</v>
      </c>
      <c r="C2739" s="1">
        <f t="shared" si="219"/>
        <v>4305</v>
      </c>
      <c r="D2739" s="1">
        <f t="shared" si="220"/>
        <v>856</v>
      </c>
      <c r="E2739" s="1">
        <f t="shared" si="221"/>
        <v>1965</v>
      </c>
      <c r="F2739" s="1">
        <f t="shared" si="222"/>
        <v>1500</v>
      </c>
      <c r="L2739" s="11">
        <v>45748</v>
      </c>
      <c r="M2739" s="9">
        <v>4305</v>
      </c>
      <c r="N2739" s="9">
        <v>856</v>
      </c>
      <c r="O2739" s="9">
        <v>1965</v>
      </c>
      <c r="P2739" s="9">
        <v>1500</v>
      </c>
      <c r="R2739" s="11"/>
      <c r="S2739" s="9"/>
      <c r="T2739" s="9"/>
      <c r="U2739" s="9"/>
    </row>
    <row r="2740" spans="2:21" x14ac:dyDescent="0.4">
      <c r="B2740" s="16">
        <f t="shared" si="218"/>
        <v>45749</v>
      </c>
      <c r="C2740" s="1">
        <f t="shared" si="219"/>
        <v>4309</v>
      </c>
      <c r="D2740" s="1">
        <f t="shared" si="220"/>
        <v>856</v>
      </c>
      <c r="E2740" s="1">
        <f t="shared" si="221"/>
        <v>1960</v>
      </c>
      <c r="F2740" s="1">
        <f t="shared" si="222"/>
        <v>1500</v>
      </c>
      <c r="L2740" s="11">
        <v>45749</v>
      </c>
      <c r="M2740" s="9">
        <v>4309</v>
      </c>
      <c r="N2740" s="9">
        <v>856</v>
      </c>
      <c r="O2740" s="9">
        <v>1960</v>
      </c>
      <c r="P2740" s="9">
        <v>1500</v>
      </c>
      <c r="R2740" s="11"/>
      <c r="S2740" s="9"/>
      <c r="T2740" s="9"/>
      <c r="U2740" s="9"/>
    </row>
    <row r="2741" spans="2:21" x14ac:dyDescent="0.4">
      <c r="B2741" s="16">
        <f t="shared" si="218"/>
        <v>45750</v>
      </c>
      <c r="C2741" s="1">
        <f t="shared" si="219"/>
        <v>4293</v>
      </c>
      <c r="D2741" s="1">
        <f t="shared" si="220"/>
        <v>856</v>
      </c>
      <c r="E2741" s="1">
        <f t="shared" si="221"/>
        <v>1955</v>
      </c>
      <c r="F2741" s="1">
        <f t="shared" si="222"/>
        <v>1500</v>
      </c>
      <c r="L2741" s="11">
        <v>45750</v>
      </c>
      <c r="M2741" s="9">
        <v>4293</v>
      </c>
      <c r="N2741" s="9">
        <v>856</v>
      </c>
      <c r="O2741" s="9">
        <v>1955</v>
      </c>
      <c r="P2741" s="9">
        <v>1500</v>
      </c>
      <c r="R2741" s="11"/>
      <c r="S2741" s="9"/>
      <c r="T2741" s="9"/>
      <c r="U2741" s="9"/>
    </row>
    <row r="2742" spans="2:21" x14ac:dyDescent="0.4">
      <c r="B2742" s="16">
        <f t="shared" si="218"/>
        <v>45751</v>
      </c>
      <c r="C2742" s="1">
        <f t="shared" si="219"/>
        <v>4293</v>
      </c>
      <c r="D2742" s="1">
        <f t="shared" si="220"/>
        <v>841</v>
      </c>
      <c r="E2742" s="1">
        <f t="shared" si="221"/>
        <v>1955</v>
      </c>
      <c r="F2742" s="1">
        <f t="shared" si="222"/>
        <v>1500</v>
      </c>
      <c r="L2742" s="11">
        <v>45751</v>
      </c>
      <c r="M2742" s="9">
        <v>0</v>
      </c>
      <c r="N2742" s="9">
        <v>841</v>
      </c>
      <c r="O2742" s="9">
        <v>0</v>
      </c>
      <c r="P2742" s="9">
        <v>0</v>
      </c>
      <c r="R2742" s="11"/>
      <c r="S2742" s="9"/>
      <c r="T2742" s="9"/>
      <c r="U2742" s="9"/>
    </row>
    <row r="2743" spans="2:21" x14ac:dyDescent="0.4">
      <c r="B2743" s="16">
        <f t="shared" si="218"/>
        <v>45754</v>
      </c>
      <c r="C2743" s="1">
        <f t="shared" si="219"/>
        <v>4213</v>
      </c>
      <c r="D2743" s="1">
        <f t="shared" si="220"/>
        <v>826</v>
      </c>
      <c r="E2743" s="1">
        <f t="shared" si="221"/>
        <v>1960</v>
      </c>
      <c r="F2743" s="1">
        <f t="shared" si="222"/>
        <v>1500</v>
      </c>
      <c r="L2743" s="11">
        <v>45754</v>
      </c>
      <c r="M2743" s="9">
        <v>4213</v>
      </c>
      <c r="N2743" s="9">
        <v>826</v>
      </c>
      <c r="O2743" s="9">
        <v>1960</v>
      </c>
      <c r="P2743" s="9">
        <v>1500</v>
      </c>
      <c r="R2743" s="11"/>
      <c r="S2743" s="9"/>
      <c r="T2743" s="9"/>
      <c r="U2743" s="9"/>
    </row>
    <row r="2744" spans="2:21" x14ac:dyDescent="0.4">
      <c r="B2744" s="16">
        <f t="shared" si="218"/>
        <v>45755</v>
      </c>
      <c r="C2744" s="1">
        <f t="shared" si="219"/>
        <v>4149</v>
      </c>
      <c r="D2744" s="1">
        <f t="shared" si="220"/>
        <v>826</v>
      </c>
      <c r="E2744" s="1">
        <f t="shared" si="221"/>
        <v>1930</v>
      </c>
      <c r="F2744" s="1">
        <f t="shared" si="222"/>
        <v>1500</v>
      </c>
      <c r="L2744" s="11">
        <v>45755</v>
      </c>
      <c r="M2744" s="9">
        <v>4149</v>
      </c>
      <c r="N2744" s="9">
        <v>826</v>
      </c>
      <c r="O2744" s="9">
        <v>1930</v>
      </c>
      <c r="P2744" s="9">
        <v>1500</v>
      </c>
      <c r="R2744" s="11"/>
      <c r="S2744" s="9"/>
      <c r="T2744" s="9"/>
      <c r="U2744" s="9"/>
    </row>
    <row r="2745" spans="2:21" x14ac:dyDescent="0.4">
      <c r="B2745" s="16">
        <f t="shared" si="218"/>
        <v>45756</v>
      </c>
      <c r="C2745" s="1">
        <f t="shared" si="219"/>
        <v>4076</v>
      </c>
      <c r="D2745" s="1">
        <f t="shared" si="220"/>
        <v>816</v>
      </c>
      <c r="E2745" s="1">
        <f t="shared" si="221"/>
        <v>1900</v>
      </c>
      <c r="F2745" s="1">
        <f t="shared" si="222"/>
        <v>1500</v>
      </c>
      <c r="L2745" s="11">
        <v>45756</v>
      </c>
      <c r="M2745" s="9">
        <v>4076</v>
      </c>
      <c r="N2745" s="9">
        <v>816</v>
      </c>
      <c r="O2745" s="9">
        <v>1900</v>
      </c>
      <c r="P2745" s="9">
        <v>1500</v>
      </c>
      <c r="R2745" s="11"/>
      <c r="S2745" s="9"/>
      <c r="T2745" s="9"/>
      <c r="U2745" s="9"/>
    </row>
    <row r="2746" spans="2:21" x14ac:dyDescent="0.4">
      <c r="B2746" s="16">
        <f t="shared" si="218"/>
        <v>45757</v>
      </c>
      <c r="C2746" s="1">
        <f t="shared" si="219"/>
        <v>4095</v>
      </c>
      <c r="D2746" s="1">
        <f t="shared" si="220"/>
        <v>816</v>
      </c>
      <c r="E2746" s="1">
        <f t="shared" si="221"/>
        <v>1895</v>
      </c>
      <c r="F2746" s="1">
        <f t="shared" si="222"/>
        <v>1450</v>
      </c>
      <c r="L2746" s="11">
        <v>45757</v>
      </c>
      <c r="M2746" s="9">
        <v>4095</v>
      </c>
      <c r="N2746" s="9">
        <v>816</v>
      </c>
      <c r="O2746" s="9">
        <v>1895</v>
      </c>
      <c r="P2746" s="9">
        <v>1450</v>
      </c>
      <c r="R2746" s="11"/>
      <c r="S2746" s="9"/>
      <c r="T2746" s="9"/>
      <c r="U2746" s="9"/>
    </row>
    <row r="2747" spans="2:21" x14ac:dyDescent="0.4">
      <c r="B2747" s="16">
        <f t="shared" si="218"/>
        <v>45758</v>
      </c>
      <c r="C2747" s="1">
        <f t="shared" si="219"/>
        <v>4094</v>
      </c>
      <c r="D2747" s="1">
        <f t="shared" si="220"/>
        <v>791</v>
      </c>
      <c r="E2747" s="1">
        <f t="shared" si="221"/>
        <v>1885</v>
      </c>
      <c r="F2747" s="1">
        <f t="shared" si="222"/>
        <v>1450</v>
      </c>
      <c r="L2747" s="11">
        <v>45758</v>
      </c>
      <c r="M2747" s="9">
        <v>4094</v>
      </c>
      <c r="N2747" s="9">
        <v>791</v>
      </c>
      <c r="O2747" s="9">
        <v>1885</v>
      </c>
      <c r="P2747" s="9">
        <v>1450</v>
      </c>
      <c r="R2747" s="11"/>
      <c r="S2747" s="9"/>
      <c r="T2747" s="9"/>
      <c r="U2747" s="9"/>
    </row>
    <row r="2748" spans="2:21" x14ac:dyDescent="0.4">
      <c r="B2748" s="16">
        <f t="shared" si="218"/>
        <v>45761</v>
      </c>
      <c r="C2748" s="1">
        <f t="shared" si="219"/>
        <v>4092</v>
      </c>
      <c r="D2748" s="1">
        <f t="shared" si="220"/>
        <v>791</v>
      </c>
      <c r="E2748" s="1">
        <f t="shared" si="221"/>
        <v>1895</v>
      </c>
      <c r="F2748" s="1">
        <f t="shared" si="222"/>
        <v>1450</v>
      </c>
      <c r="L2748" s="11">
        <v>45761</v>
      </c>
      <c r="M2748" s="9">
        <v>4092</v>
      </c>
      <c r="N2748" s="9">
        <v>791</v>
      </c>
      <c r="O2748" s="9">
        <v>1895</v>
      </c>
      <c r="P2748" s="9">
        <v>1450</v>
      </c>
      <c r="R2748" s="11"/>
      <c r="S2748" s="9"/>
      <c r="T2748" s="9"/>
      <c r="U2748" s="9"/>
    </row>
    <row r="2749" spans="2:21" x14ac:dyDescent="0.4">
      <c r="B2749" s="16">
        <f t="shared" si="218"/>
        <v>45762</v>
      </c>
      <c r="C2749" s="1">
        <f t="shared" si="219"/>
        <v>4074</v>
      </c>
      <c r="D2749" s="1">
        <f t="shared" si="220"/>
        <v>791</v>
      </c>
      <c r="E2749" s="1">
        <f t="shared" si="221"/>
        <v>1895</v>
      </c>
      <c r="F2749" s="1">
        <f t="shared" si="222"/>
        <v>1450</v>
      </c>
      <c r="L2749" s="11">
        <v>45762</v>
      </c>
      <c r="M2749" s="9">
        <v>4074</v>
      </c>
      <c r="N2749" s="9">
        <v>791</v>
      </c>
      <c r="O2749" s="9">
        <v>1895</v>
      </c>
      <c r="P2749" s="9">
        <v>1450</v>
      </c>
      <c r="R2749" s="11"/>
      <c r="S2749" s="9"/>
      <c r="T2749" s="9"/>
      <c r="U2749" s="9"/>
    </row>
    <row r="2750" spans="2:21" x14ac:dyDescent="0.4">
      <c r="B2750" s="16">
        <f t="shared" si="218"/>
        <v>45763</v>
      </c>
      <c r="C2750" s="1">
        <f t="shared" si="219"/>
        <v>4050</v>
      </c>
      <c r="D2750" s="1">
        <f t="shared" si="220"/>
        <v>791</v>
      </c>
      <c r="E2750" s="1">
        <f t="shared" si="221"/>
        <v>1880</v>
      </c>
      <c r="F2750" s="1">
        <f t="shared" si="222"/>
        <v>1450</v>
      </c>
      <c r="L2750" s="11">
        <v>45763</v>
      </c>
      <c r="M2750" s="9">
        <v>4050</v>
      </c>
      <c r="N2750" s="9">
        <v>791</v>
      </c>
      <c r="O2750" s="9">
        <v>1880</v>
      </c>
      <c r="P2750" s="9">
        <v>1450</v>
      </c>
      <c r="R2750" s="11"/>
      <c r="S2750" s="9"/>
      <c r="T2750" s="9"/>
      <c r="U2750" s="9"/>
    </row>
    <row r="2751" spans="2:21" x14ac:dyDescent="0.4">
      <c r="B2751" s="16">
        <f t="shared" si="218"/>
        <v>45764</v>
      </c>
      <c r="C2751" s="1">
        <f t="shared" si="219"/>
        <v>4037</v>
      </c>
      <c r="D2751" s="1">
        <f t="shared" si="220"/>
        <v>791</v>
      </c>
      <c r="E2751" s="1">
        <f t="shared" si="221"/>
        <v>1875</v>
      </c>
      <c r="F2751" s="1">
        <f t="shared" si="222"/>
        <v>1450</v>
      </c>
      <c r="L2751" s="11">
        <v>45764</v>
      </c>
      <c r="M2751" s="9">
        <v>4037</v>
      </c>
      <c r="N2751" s="9">
        <v>791</v>
      </c>
      <c r="O2751" s="9">
        <v>1875</v>
      </c>
      <c r="P2751" s="9">
        <v>1450</v>
      </c>
      <c r="R2751" s="11"/>
      <c r="S2751" s="9"/>
      <c r="T2751" s="9"/>
      <c r="U2751" s="9"/>
    </row>
    <row r="2752" spans="2:21" x14ac:dyDescent="0.4">
      <c r="B2752" s="16">
        <f t="shared" si="218"/>
        <v>45765</v>
      </c>
      <c r="C2752" s="1">
        <f t="shared" si="219"/>
        <v>4041</v>
      </c>
      <c r="D2752" s="1">
        <f t="shared" si="220"/>
        <v>791</v>
      </c>
      <c r="E2752" s="1">
        <f t="shared" si="221"/>
        <v>1850</v>
      </c>
      <c r="F2752" s="1">
        <f t="shared" si="222"/>
        <v>1450</v>
      </c>
      <c r="L2752" s="11">
        <v>45765</v>
      </c>
      <c r="M2752" s="9">
        <v>4041</v>
      </c>
      <c r="N2752" s="9">
        <v>0</v>
      </c>
      <c r="O2752" s="9">
        <v>1850</v>
      </c>
      <c r="P2752" s="9">
        <v>1450</v>
      </c>
      <c r="R2752" s="11"/>
      <c r="S2752" s="9"/>
      <c r="T2752" s="9"/>
      <c r="U2752" s="9"/>
    </row>
    <row r="2753" spans="2:21" x14ac:dyDescent="0.4">
      <c r="B2753" s="16">
        <f t="shared" si="218"/>
        <v>45768</v>
      </c>
      <c r="C2753" s="1">
        <f t="shared" si="219"/>
        <v>4042</v>
      </c>
      <c r="D2753" s="1">
        <f t="shared" si="220"/>
        <v>791</v>
      </c>
      <c r="E2753" s="1">
        <f t="shared" si="221"/>
        <v>1850</v>
      </c>
      <c r="F2753" s="1">
        <f t="shared" si="222"/>
        <v>1450</v>
      </c>
      <c r="L2753" s="11">
        <v>45768</v>
      </c>
      <c r="M2753" s="9">
        <v>4042</v>
      </c>
      <c r="N2753" s="9">
        <v>791</v>
      </c>
      <c r="O2753" s="9">
        <v>1850</v>
      </c>
      <c r="P2753" s="9">
        <v>1450</v>
      </c>
      <c r="R2753" s="11"/>
      <c r="S2753" s="9"/>
      <c r="T2753" s="9"/>
      <c r="U2753" s="9"/>
    </row>
    <row r="2754" spans="2:21" x14ac:dyDescent="0.4">
      <c r="B2754" s="16">
        <f t="shared" si="218"/>
        <v>45769</v>
      </c>
      <c r="C2754" s="1">
        <f t="shared" si="219"/>
        <v>4032</v>
      </c>
      <c r="D2754" s="1">
        <f t="shared" si="220"/>
        <v>791</v>
      </c>
      <c r="E2754" s="1">
        <f t="shared" si="221"/>
        <v>1845</v>
      </c>
      <c r="F2754" s="1">
        <f t="shared" si="222"/>
        <v>1450</v>
      </c>
      <c r="L2754" s="11">
        <v>45769</v>
      </c>
      <c r="M2754" s="9">
        <v>4032</v>
      </c>
      <c r="N2754" s="9">
        <v>791</v>
      </c>
      <c r="O2754" s="9">
        <v>1845</v>
      </c>
      <c r="P2754" s="9">
        <v>1450</v>
      </c>
      <c r="R2754" s="11"/>
      <c r="S2754" s="9"/>
      <c r="T2754" s="9"/>
      <c r="U2754" s="9"/>
    </row>
    <row r="2755" spans="2:21" x14ac:dyDescent="0.4">
      <c r="B2755" s="16">
        <f t="shared" si="218"/>
        <v>45770</v>
      </c>
      <c r="C2755" s="1">
        <f t="shared" si="219"/>
        <v>4025</v>
      </c>
      <c r="D2755" s="1">
        <f t="shared" si="220"/>
        <v>791</v>
      </c>
      <c r="E2755" s="1">
        <f t="shared" si="221"/>
        <v>1845</v>
      </c>
      <c r="F2755" s="1">
        <f t="shared" si="222"/>
        <v>1450</v>
      </c>
      <c r="L2755" s="11">
        <v>45770</v>
      </c>
      <c r="M2755" s="9">
        <v>4025</v>
      </c>
      <c r="N2755" s="9">
        <v>791</v>
      </c>
      <c r="O2755" s="9">
        <v>1845</v>
      </c>
      <c r="P2755" s="9">
        <v>1450</v>
      </c>
      <c r="R2755" s="11"/>
      <c r="S2755" s="9"/>
      <c r="T2755" s="9"/>
      <c r="U2755" s="9"/>
    </row>
    <row r="2756" spans="2:21" x14ac:dyDescent="0.4">
      <c r="B2756" s="16">
        <f t="shared" si="218"/>
        <v>45771</v>
      </c>
      <c r="C2756" s="1">
        <f t="shared" si="219"/>
        <v>4022</v>
      </c>
      <c r="D2756" s="1">
        <f t="shared" si="220"/>
        <v>791</v>
      </c>
      <c r="E2756" s="1">
        <f t="shared" si="221"/>
        <v>1845</v>
      </c>
      <c r="F2756" s="1">
        <f t="shared" si="222"/>
        <v>1450</v>
      </c>
      <c r="L2756" s="11">
        <v>45771</v>
      </c>
      <c r="M2756" s="9">
        <v>4022</v>
      </c>
      <c r="N2756" s="9">
        <v>791</v>
      </c>
      <c r="O2756" s="9">
        <v>1845</v>
      </c>
      <c r="P2756" s="9">
        <v>1450</v>
      </c>
      <c r="R2756" s="11"/>
      <c r="S2756" s="9"/>
      <c r="T2756" s="9"/>
      <c r="U2756" s="9"/>
    </row>
    <row r="2757" spans="2:21" x14ac:dyDescent="0.4">
      <c r="B2757" s="16">
        <f t="shared" si="218"/>
        <v>45772</v>
      </c>
      <c r="C2757" s="1">
        <f t="shared" si="219"/>
        <v>4024</v>
      </c>
      <c r="D2757" s="1">
        <f t="shared" si="220"/>
        <v>791</v>
      </c>
      <c r="E2757" s="1">
        <f t="shared" si="221"/>
        <v>1845</v>
      </c>
      <c r="F2757" s="1">
        <f t="shared" si="222"/>
        <v>1450</v>
      </c>
      <c r="L2757" s="11">
        <v>45772</v>
      </c>
      <c r="M2757" s="9">
        <v>4024</v>
      </c>
      <c r="N2757" s="9">
        <v>791</v>
      </c>
      <c r="O2757" s="9">
        <v>1845</v>
      </c>
      <c r="P2757" s="9">
        <v>1450</v>
      </c>
      <c r="R2757" s="11"/>
      <c r="S2757" s="9"/>
      <c r="T2757" s="9"/>
      <c r="U2757" s="9"/>
    </row>
    <row r="2758" spans="2:21" x14ac:dyDescent="0.4">
      <c r="B2758" s="16">
        <f t="shared" ref="B2758:B2821" si="223">L2758</f>
        <v>45774</v>
      </c>
      <c r="C2758" s="1">
        <f t="shared" si="219"/>
        <v>4019</v>
      </c>
      <c r="D2758" s="1">
        <f t="shared" si="220"/>
        <v>791</v>
      </c>
      <c r="E2758" s="1">
        <f t="shared" si="221"/>
        <v>1845</v>
      </c>
      <c r="F2758" s="1">
        <f t="shared" si="222"/>
        <v>1450</v>
      </c>
      <c r="L2758" s="11">
        <v>45774</v>
      </c>
      <c r="M2758" s="9">
        <v>4019</v>
      </c>
      <c r="N2758" s="9">
        <v>0</v>
      </c>
      <c r="O2758" s="9">
        <v>1845</v>
      </c>
      <c r="P2758" s="9">
        <v>1450</v>
      </c>
      <c r="R2758" s="11"/>
      <c r="S2758" s="9"/>
      <c r="T2758" s="9"/>
      <c r="U2758" s="9"/>
    </row>
    <row r="2759" spans="2:21" x14ac:dyDescent="0.4">
      <c r="B2759" s="16">
        <f t="shared" si="223"/>
        <v>45775</v>
      </c>
      <c r="C2759" s="1">
        <f t="shared" ref="C2759:C2822" si="224">IF(M2759&lt;&gt;0,M2759,C2758)</f>
        <v>4033</v>
      </c>
      <c r="D2759" s="1">
        <f t="shared" ref="D2759:D2822" si="225">IF(N2759&lt;&gt;0,N2759,D2758)</f>
        <v>791</v>
      </c>
      <c r="E2759" s="1">
        <f t="shared" ref="E2759:E2822" si="226">IF(O2759&lt;&gt;0,O2759,E2758)</f>
        <v>1845</v>
      </c>
      <c r="F2759" s="1">
        <f t="shared" si="222"/>
        <v>1450</v>
      </c>
      <c r="L2759" s="11">
        <v>45775</v>
      </c>
      <c r="M2759" s="9">
        <v>4033</v>
      </c>
      <c r="N2759" s="9">
        <v>791</v>
      </c>
      <c r="O2759" s="9">
        <v>1845</v>
      </c>
      <c r="P2759" s="9">
        <v>1450</v>
      </c>
      <c r="R2759" s="11"/>
      <c r="S2759" s="9"/>
      <c r="T2759" s="9"/>
      <c r="U2759" s="9"/>
    </row>
    <row r="2760" spans="2:21" x14ac:dyDescent="0.4">
      <c r="B2760" s="16">
        <f t="shared" si="223"/>
        <v>45776</v>
      </c>
      <c r="C2760" s="1">
        <f t="shared" si="224"/>
        <v>4025</v>
      </c>
      <c r="D2760" s="1">
        <f t="shared" si="225"/>
        <v>791</v>
      </c>
      <c r="E2760" s="1">
        <f t="shared" si="226"/>
        <v>1835</v>
      </c>
      <c r="F2760" s="1">
        <f t="shared" si="222"/>
        <v>1450</v>
      </c>
      <c r="L2760" s="11">
        <v>45776</v>
      </c>
      <c r="M2760" s="9">
        <v>4025</v>
      </c>
      <c r="N2760" s="9">
        <v>791</v>
      </c>
      <c r="O2760" s="9">
        <v>1835</v>
      </c>
      <c r="P2760" s="9">
        <v>1450</v>
      </c>
      <c r="R2760" s="11"/>
      <c r="S2760" s="9"/>
      <c r="T2760" s="9"/>
      <c r="U2760" s="9"/>
    </row>
    <row r="2761" spans="2:21" x14ac:dyDescent="0.4">
      <c r="B2761" s="16">
        <f t="shared" si="223"/>
        <v>45777</v>
      </c>
      <c r="C2761" s="1">
        <f t="shared" si="224"/>
        <v>4019</v>
      </c>
      <c r="D2761" s="1">
        <f t="shared" si="225"/>
        <v>791</v>
      </c>
      <c r="E2761" s="1">
        <f t="shared" si="226"/>
        <v>1835</v>
      </c>
      <c r="F2761" s="1">
        <f t="shared" si="222"/>
        <v>1450</v>
      </c>
      <c r="L2761" s="11">
        <v>45777</v>
      </c>
      <c r="M2761" s="9">
        <v>4019</v>
      </c>
      <c r="N2761" s="9">
        <v>791</v>
      </c>
      <c r="O2761" s="9">
        <v>1835</v>
      </c>
      <c r="P2761" s="9">
        <v>1450</v>
      </c>
      <c r="R2761" s="11"/>
      <c r="S2761" s="9"/>
      <c r="T2761" s="9"/>
      <c r="U2761" s="9"/>
    </row>
    <row r="2762" spans="2:21" x14ac:dyDescent="0.4">
      <c r="B2762" s="16">
        <f t="shared" si="223"/>
        <v>45779</v>
      </c>
      <c r="C2762" s="1">
        <f t="shared" si="224"/>
        <v>4019</v>
      </c>
      <c r="D2762" s="1">
        <f t="shared" si="225"/>
        <v>791</v>
      </c>
      <c r="E2762" s="1">
        <f t="shared" si="226"/>
        <v>1835</v>
      </c>
      <c r="F2762" s="1">
        <f t="shared" si="222"/>
        <v>1450</v>
      </c>
      <c r="L2762" s="11">
        <v>45779</v>
      </c>
      <c r="M2762" s="9">
        <v>0</v>
      </c>
      <c r="N2762" s="9">
        <v>791</v>
      </c>
      <c r="O2762" s="9">
        <v>0</v>
      </c>
      <c r="P2762" s="9">
        <v>0</v>
      </c>
      <c r="R2762" s="11"/>
      <c r="S2762" s="9"/>
      <c r="T2762" s="9"/>
      <c r="U2762" s="9"/>
    </row>
    <row r="2763" spans="2:21" x14ac:dyDescent="0.4">
      <c r="B2763" s="16">
        <f t="shared" si="223"/>
        <v>45782</v>
      </c>
      <c r="C2763" s="1">
        <f t="shared" si="224"/>
        <v>4019</v>
      </c>
      <c r="D2763" s="1">
        <f t="shared" si="225"/>
        <v>791</v>
      </c>
      <c r="E2763" s="1">
        <f t="shared" si="226"/>
        <v>1835</v>
      </c>
      <c r="F2763" s="1">
        <f t="shared" si="222"/>
        <v>1450</v>
      </c>
      <c r="L2763" s="11">
        <v>45782</v>
      </c>
      <c r="M2763" s="9">
        <v>0</v>
      </c>
      <c r="N2763" s="9">
        <v>791</v>
      </c>
      <c r="O2763" s="9">
        <v>0</v>
      </c>
      <c r="P2763" s="9">
        <v>0</v>
      </c>
      <c r="R2763" s="11"/>
      <c r="S2763" s="9"/>
      <c r="T2763" s="9"/>
      <c r="U2763" s="9"/>
    </row>
    <row r="2764" spans="2:21" x14ac:dyDescent="0.4">
      <c r="B2764" s="16">
        <f t="shared" si="223"/>
        <v>45783</v>
      </c>
      <c r="C2764" s="1">
        <f t="shared" si="224"/>
        <v>3994</v>
      </c>
      <c r="D2764" s="1">
        <f t="shared" si="225"/>
        <v>791</v>
      </c>
      <c r="E2764" s="1">
        <f t="shared" si="226"/>
        <v>1865</v>
      </c>
      <c r="F2764" s="1">
        <f t="shared" si="222"/>
        <v>1450</v>
      </c>
      <c r="L2764" s="11">
        <v>45783</v>
      </c>
      <c r="M2764" s="9">
        <v>3994</v>
      </c>
      <c r="N2764" s="9">
        <v>791</v>
      </c>
      <c r="O2764" s="9">
        <v>1865</v>
      </c>
      <c r="P2764" s="9">
        <v>1450</v>
      </c>
      <c r="R2764" s="11"/>
      <c r="S2764" s="9"/>
      <c r="T2764" s="9"/>
      <c r="U2764" s="9"/>
    </row>
    <row r="2765" spans="2:21" x14ac:dyDescent="0.4">
      <c r="B2765" s="16">
        <f t="shared" si="223"/>
        <v>45784</v>
      </c>
      <c r="C2765" s="1">
        <f t="shared" si="224"/>
        <v>3996</v>
      </c>
      <c r="D2765" s="1">
        <f t="shared" si="225"/>
        <v>791</v>
      </c>
      <c r="E2765" s="1">
        <f t="shared" si="226"/>
        <v>1905</v>
      </c>
      <c r="F2765" s="1">
        <f t="shared" si="222"/>
        <v>1450</v>
      </c>
      <c r="L2765" s="11">
        <v>45784</v>
      </c>
      <c r="M2765" s="9">
        <v>3996</v>
      </c>
      <c r="N2765" s="9">
        <v>791</v>
      </c>
      <c r="O2765" s="9">
        <v>1905</v>
      </c>
      <c r="P2765" s="9">
        <v>1450</v>
      </c>
      <c r="R2765" s="11"/>
      <c r="S2765" s="9"/>
      <c r="T2765" s="9"/>
      <c r="U2765" s="9"/>
    </row>
    <row r="2766" spans="2:21" x14ac:dyDescent="0.4">
      <c r="B2766" s="16">
        <f t="shared" si="223"/>
        <v>45785</v>
      </c>
      <c r="C2766" s="1">
        <f t="shared" si="224"/>
        <v>4008</v>
      </c>
      <c r="D2766" s="1">
        <f t="shared" si="225"/>
        <v>781</v>
      </c>
      <c r="E2766" s="1">
        <f t="shared" si="226"/>
        <v>1915</v>
      </c>
      <c r="F2766" s="1">
        <f t="shared" si="222"/>
        <v>1450</v>
      </c>
      <c r="L2766" s="11">
        <v>45785</v>
      </c>
      <c r="M2766" s="9">
        <v>4008</v>
      </c>
      <c r="N2766" s="9">
        <v>781</v>
      </c>
      <c r="O2766" s="9">
        <v>1915</v>
      </c>
      <c r="P2766" s="9">
        <v>1450</v>
      </c>
      <c r="R2766" s="11"/>
      <c r="S2766" s="9"/>
      <c r="T2766" s="9"/>
      <c r="U2766" s="9"/>
    </row>
    <row r="2767" spans="2:21" x14ac:dyDescent="0.4">
      <c r="B2767" s="16">
        <f t="shared" si="223"/>
        <v>45786</v>
      </c>
      <c r="C2767" s="1">
        <f t="shared" si="224"/>
        <v>4023</v>
      </c>
      <c r="D2767" s="1">
        <f t="shared" si="225"/>
        <v>781</v>
      </c>
      <c r="E2767" s="1">
        <f t="shared" si="226"/>
        <v>1920</v>
      </c>
      <c r="F2767" s="1">
        <f t="shared" si="222"/>
        <v>1450</v>
      </c>
      <c r="L2767" s="11">
        <v>45786</v>
      </c>
      <c r="M2767" s="9">
        <v>4023</v>
      </c>
      <c r="N2767" s="9">
        <v>781</v>
      </c>
      <c r="O2767" s="9">
        <v>1920</v>
      </c>
      <c r="P2767" s="9">
        <v>1450</v>
      </c>
      <c r="R2767" s="11"/>
      <c r="S2767" s="9"/>
      <c r="T2767" s="9"/>
      <c r="U2767" s="9"/>
    </row>
    <row r="2768" spans="2:21" x14ac:dyDescent="0.4">
      <c r="B2768" s="16">
        <f t="shared" si="223"/>
        <v>45789</v>
      </c>
      <c r="C2768" s="1">
        <f t="shared" si="224"/>
        <v>4048</v>
      </c>
      <c r="D2768" s="1">
        <f t="shared" si="225"/>
        <v>781</v>
      </c>
      <c r="E2768" s="1">
        <f t="shared" si="226"/>
        <v>1930</v>
      </c>
      <c r="F2768" s="1">
        <f t="shared" si="222"/>
        <v>1450</v>
      </c>
      <c r="L2768" s="11">
        <v>45789</v>
      </c>
      <c r="M2768" s="9">
        <v>4048</v>
      </c>
      <c r="N2768" s="9">
        <v>0</v>
      </c>
      <c r="O2768" s="9">
        <v>1930</v>
      </c>
      <c r="P2768" s="9">
        <v>1450</v>
      </c>
      <c r="R2768" s="11"/>
      <c r="S2768" s="9"/>
      <c r="T2768" s="9"/>
      <c r="U2768" s="9"/>
    </row>
    <row r="2769" spans="2:21" x14ac:dyDescent="0.4">
      <c r="B2769" s="16">
        <f t="shared" si="223"/>
        <v>45790</v>
      </c>
      <c r="C2769" s="1">
        <f t="shared" si="224"/>
        <v>4082</v>
      </c>
      <c r="D2769" s="1">
        <f t="shared" si="225"/>
        <v>781</v>
      </c>
      <c r="E2769" s="1">
        <f t="shared" si="226"/>
        <v>1950</v>
      </c>
      <c r="F2769" s="1">
        <f t="shared" si="222"/>
        <v>1450</v>
      </c>
      <c r="L2769" s="11">
        <v>45790</v>
      </c>
      <c r="M2769" s="9">
        <v>4082</v>
      </c>
      <c r="N2769" s="9">
        <v>781</v>
      </c>
      <c r="O2769" s="9">
        <v>1950</v>
      </c>
      <c r="P2769" s="9">
        <v>1450</v>
      </c>
      <c r="R2769" s="11"/>
      <c r="S2769" s="9"/>
      <c r="T2769" s="9"/>
      <c r="U2769" s="9"/>
    </row>
    <row r="2770" spans="2:21" x14ac:dyDescent="0.4">
      <c r="B2770" s="16">
        <f t="shared" si="223"/>
        <v>45791</v>
      </c>
      <c r="C2770" s="1">
        <f t="shared" si="224"/>
        <v>4163</v>
      </c>
      <c r="D2770" s="1">
        <f t="shared" si="225"/>
        <v>781</v>
      </c>
      <c r="E2770" s="1">
        <f t="shared" si="226"/>
        <v>1950</v>
      </c>
      <c r="F2770" s="1">
        <f t="shared" si="222"/>
        <v>1450</v>
      </c>
      <c r="L2770" s="11">
        <v>45791</v>
      </c>
      <c r="M2770" s="9">
        <v>4163</v>
      </c>
      <c r="N2770" s="9">
        <v>781</v>
      </c>
      <c r="O2770" s="9">
        <v>1950</v>
      </c>
      <c r="P2770" s="9">
        <v>1450</v>
      </c>
      <c r="R2770" s="11"/>
      <c r="S2770" s="9"/>
      <c r="T2770" s="9"/>
      <c r="U2770" s="9"/>
    </row>
    <row r="2771" spans="2:21" x14ac:dyDescent="0.4">
      <c r="B2771" s="16">
        <f t="shared" si="223"/>
        <v>45792</v>
      </c>
      <c r="C2771" s="1">
        <f t="shared" si="224"/>
        <v>4175</v>
      </c>
      <c r="D2771" s="1">
        <f t="shared" si="225"/>
        <v>781</v>
      </c>
      <c r="E2771" s="1">
        <f t="shared" si="226"/>
        <v>1945</v>
      </c>
      <c r="F2771" s="1">
        <f t="shared" si="222"/>
        <v>1450</v>
      </c>
      <c r="L2771" s="11">
        <v>45792</v>
      </c>
      <c r="M2771" s="9">
        <v>4175</v>
      </c>
      <c r="N2771" s="9">
        <v>781</v>
      </c>
      <c r="O2771" s="9">
        <v>1945</v>
      </c>
      <c r="P2771" s="9">
        <v>1450</v>
      </c>
      <c r="R2771" s="11"/>
      <c r="S2771" s="9"/>
      <c r="T2771" s="9"/>
      <c r="U2771" s="9"/>
    </row>
    <row r="2772" spans="2:21" x14ac:dyDescent="0.4">
      <c r="B2772" s="16">
        <f t="shared" si="223"/>
        <v>45793</v>
      </c>
      <c r="C2772" s="1">
        <f t="shared" si="224"/>
        <v>4170</v>
      </c>
      <c r="D2772" s="1">
        <f t="shared" si="225"/>
        <v>781</v>
      </c>
      <c r="E2772" s="1">
        <f t="shared" si="226"/>
        <v>1945</v>
      </c>
      <c r="F2772" s="1">
        <f t="shared" si="222"/>
        <v>1450</v>
      </c>
      <c r="L2772" s="11">
        <v>45793</v>
      </c>
      <c r="M2772" s="9">
        <v>4170</v>
      </c>
      <c r="N2772" s="9">
        <v>781</v>
      </c>
      <c r="O2772" s="9">
        <v>1945</v>
      </c>
      <c r="P2772" s="9">
        <v>1450</v>
      </c>
      <c r="R2772" s="11"/>
      <c r="S2772" s="9"/>
      <c r="T2772" s="9"/>
      <c r="U2772" s="9"/>
    </row>
    <row r="2773" spans="2:21" x14ac:dyDescent="0.4">
      <c r="B2773" s="16">
        <f t="shared" si="223"/>
        <v>45796</v>
      </c>
      <c r="C2773" s="1">
        <f t="shared" si="224"/>
        <v>4156</v>
      </c>
      <c r="D2773" s="1">
        <f t="shared" si="225"/>
        <v>781</v>
      </c>
      <c r="E2773" s="1">
        <f t="shared" si="226"/>
        <v>1940</v>
      </c>
      <c r="F2773" s="1">
        <f t="shared" si="222"/>
        <v>1450</v>
      </c>
      <c r="L2773" s="11">
        <v>45796</v>
      </c>
      <c r="M2773" s="9">
        <v>4156</v>
      </c>
      <c r="N2773" s="9">
        <v>781</v>
      </c>
      <c r="O2773" s="9">
        <v>1940</v>
      </c>
      <c r="P2773" s="9">
        <v>1450</v>
      </c>
      <c r="R2773" s="11"/>
      <c r="S2773" s="9"/>
      <c r="T2773" s="9"/>
      <c r="U2773" s="9"/>
    </row>
    <row r="2774" spans="2:21" x14ac:dyDescent="0.4">
      <c r="B2774" s="16">
        <f t="shared" si="223"/>
        <v>45797</v>
      </c>
      <c r="C2774" s="1">
        <f t="shared" si="224"/>
        <v>4135</v>
      </c>
      <c r="D2774" s="1">
        <f t="shared" si="225"/>
        <v>781</v>
      </c>
      <c r="E2774" s="1">
        <f t="shared" si="226"/>
        <v>1920</v>
      </c>
      <c r="F2774" s="1">
        <f t="shared" si="222"/>
        <v>1450</v>
      </c>
      <c r="L2774" s="11">
        <v>45797</v>
      </c>
      <c r="M2774" s="9">
        <v>4135</v>
      </c>
      <c r="N2774" s="9">
        <v>781</v>
      </c>
      <c r="O2774" s="9">
        <v>1920</v>
      </c>
      <c r="P2774" s="9">
        <v>1450</v>
      </c>
      <c r="R2774" s="11"/>
      <c r="S2774" s="9"/>
      <c r="T2774" s="9"/>
      <c r="U2774" s="9"/>
    </row>
    <row r="2775" spans="2:21" x14ac:dyDescent="0.4">
      <c r="B2775" s="16">
        <f t="shared" si="223"/>
        <v>45798</v>
      </c>
      <c r="C2775" s="1">
        <f t="shared" si="224"/>
        <v>4123</v>
      </c>
      <c r="D2775" s="1">
        <f t="shared" si="225"/>
        <v>781</v>
      </c>
      <c r="E2775" s="1">
        <f t="shared" si="226"/>
        <v>1910</v>
      </c>
      <c r="F2775" s="1">
        <f t="shared" si="222"/>
        <v>1450</v>
      </c>
      <c r="L2775" s="11">
        <v>45798</v>
      </c>
      <c r="M2775" s="9">
        <v>4123</v>
      </c>
      <c r="N2775" s="9">
        <v>781</v>
      </c>
      <c r="O2775" s="9">
        <v>1910</v>
      </c>
      <c r="P2775" s="9">
        <v>1450</v>
      </c>
      <c r="R2775" s="11"/>
      <c r="S2775" s="9"/>
      <c r="T2775" s="9"/>
      <c r="U2775" s="9"/>
    </row>
    <row r="2776" spans="2:21" x14ac:dyDescent="0.4">
      <c r="B2776" s="16">
        <f t="shared" si="223"/>
        <v>45799</v>
      </c>
      <c r="C2776" s="1">
        <f t="shared" si="224"/>
        <v>4118</v>
      </c>
      <c r="D2776" s="1">
        <f t="shared" si="225"/>
        <v>781</v>
      </c>
      <c r="E2776" s="1">
        <f t="shared" si="226"/>
        <v>1905</v>
      </c>
      <c r="F2776" s="1">
        <f t="shared" si="222"/>
        <v>1450</v>
      </c>
      <c r="L2776" s="11">
        <v>45799</v>
      </c>
      <c r="M2776" s="9">
        <v>4118</v>
      </c>
      <c r="N2776" s="9">
        <v>781</v>
      </c>
      <c r="O2776" s="9">
        <v>1905</v>
      </c>
      <c r="P2776" s="9">
        <v>1450</v>
      </c>
      <c r="R2776" s="11"/>
      <c r="S2776" s="9"/>
      <c r="T2776" s="9"/>
      <c r="U2776" s="9"/>
    </row>
    <row r="2777" spans="2:21" x14ac:dyDescent="0.4">
      <c r="B2777" s="16">
        <f t="shared" si="223"/>
        <v>45800</v>
      </c>
      <c r="C2777" s="1">
        <f t="shared" si="224"/>
        <v>4106</v>
      </c>
      <c r="D2777" s="1">
        <f t="shared" si="225"/>
        <v>781</v>
      </c>
      <c r="E2777" s="1">
        <f t="shared" si="226"/>
        <v>1900</v>
      </c>
      <c r="F2777" s="1">
        <f t="shared" si="222"/>
        <v>1450</v>
      </c>
      <c r="L2777" s="11">
        <v>45800</v>
      </c>
      <c r="M2777" s="9">
        <v>4106</v>
      </c>
      <c r="N2777" s="9">
        <v>781</v>
      </c>
      <c r="O2777" s="9">
        <v>1900</v>
      </c>
      <c r="P2777" s="9">
        <v>1450</v>
      </c>
      <c r="R2777" s="11"/>
      <c r="S2777" s="9"/>
      <c r="T2777" s="9"/>
      <c r="U2777" s="9"/>
    </row>
    <row r="2778" spans="2:21" x14ac:dyDescent="0.4">
      <c r="B2778" s="16">
        <f t="shared" si="223"/>
        <v>45803</v>
      </c>
      <c r="C2778" s="1">
        <f t="shared" si="224"/>
        <v>4099</v>
      </c>
      <c r="D2778" s="1">
        <f t="shared" si="225"/>
        <v>781</v>
      </c>
      <c r="E2778" s="1">
        <f t="shared" si="226"/>
        <v>1895</v>
      </c>
      <c r="F2778" s="1">
        <f t="shared" si="222"/>
        <v>1450</v>
      </c>
      <c r="L2778" s="11">
        <v>45803</v>
      </c>
      <c r="M2778" s="9">
        <v>4099</v>
      </c>
      <c r="N2778" s="9">
        <v>781</v>
      </c>
      <c r="O2778" s="9">
        <v>1895</v>
      </c>
      <c r="P2778" s="9">
        <v>1450</v>
      </c>
      <c r="R2778" s="11"/>
      <c r="S2778" s="9"/>
      <c r="T2778" s="9"/>
      <c r="U2778" s="9"/>
    </row>
    <row r="2779" spans="2:21" x14ac:dyDescent="0.4">
      <c r="B2779" s="16">
        <f t="shared" si="223"/>
        <v>45804</v>
      </c>
      <c r="C2779" s="1">
        <f t="shared" si="224"/>
        <v>4091</v>
      </c>
      <c r="D2779" s="1">
        <f t="shared" si="225"/>
        <v>781</v>
      </c>
      <c r="E2779" s="1">
        <f t="shared" si="226"/>
        <v>1895</v>
      </c>
      <c r="F2779" s="1">
        <f t="shared" si="222"/>
        <v>1400</v>
      </c>
      <c r="L2779" s="11">
        <v>45804</v>
      </c>
      <c r="M2779" s="9">
        <v>4091</v>
      </c>
      <c r="N2779" s="9">
        <v>781</v>
      </c>
      <c r="O2779" s="9">
        <v>1895</v>
      </c>
      <c r="P2779" s="9">
        <v>1400</v>
      </c>
      <c r="R2779" s="11"/>
      <c r="S2779" s="9"/>
      <c r="T2779" s="9"/>
      <c r="U2779" s="9"/>
    </row>
    <row r="2780" spans="2:21" x14ac:dyDescent="0.4">
      <c r="B2780" s="16">
        <f t="shared" si="223"/>
        <v>45805</v>
      </c>
      <c r="C2780" s="1">
        <f t="shared" si="224"/>
        <v>4078</v>
      </c>
      <c r="D2780" s="1">
        <f t="shared" si="225"/>
        <v>781</v>
      </c>
      <c r="E2780" s="1">
        <f t="shared" si="226"/>
        <v>1880</v>
      </c>
      <c r="F2780" s="1">
        <f t="shared" si="222"/>
        <v>1400</v>
      </c>
      <c r="L2780" s="11">
        <v>45805</v>
      </c>
      <c r="M2780" s="9">
        <v>4078</v>
      </c>
      <c r="N2780" s="9">
        <v>781</v>
      </c>
      <c r="O2780" s="9">
        <v>1880</v>
      </c>
      <c r="P2780" s="9">
        <v>1400</v>
      </c>
      <c r="R2780" s="11"/>
      <c r="S2780" s="9"/>
      <c r="T2780" s="9"/>
      <c r="U2780" s="9"/>
    </row>
    <row r="2781" spans="2:21" x14ac:dyDescent="0.4">
      <c r="B2781" s="16">
        <f t="shared" si="223"/>
        <v>45806</v>
      </c>
      <c r="C2781" s="1">
        <f t="shared" si="224"/>
        <v>4078</v>
      </c>
      <c r="D2781" s="1">
        <f t="shared" si="225"/>
        <v>781</v>
      </c>
      <c r="E2781" s="1">
        <f t="shared" si="226"/>
        <v>1880</v>
      </c>
      <c r="F2781" s="1">
        <f t="shared" si="222"/>
        <v>1400</v>
      </c>
      <c r="L2781" s="11">
        <v>45806</v>
      </c>
      <c r="M2781" s="9">
        <v>4078</v>
      </c>
      <c r="N2781" s="9">
        <v>781</v>
      </c>
      <c r="O2781" s="9">
        <v>1880</v>
      </c>
      <c r="P2781" s="9">
        <v>1400</v>
      </c>
      <c r="R2781" s="11"/>
      <c r="S2781" s="9"/>
      <c r="T2781" s="9"/>
      <c r="U2781" s="9"/>
    </row>
    <row r="2782" spans="2:21" x14ac:dyDescent="0.4">
      <c r="B2782" s="16">
        <f t="shared" si="223"/>
        <v>45807</v>
      </c>
      <c r="C2782" s="1">
        <f t="shared" si="224"/>
        <v>4077</v>
      </c>
      <c r="D2782" s="1">
        <f t="shared" si="225"/>
        <v>781</v>
      </c>
      <c r="E2782" s="1">
        <f t="shared" si="226"/>
        <v>1880</v>
      </c>
      <c r="F2782" s="1">
        <f t="shared" si="222"/>
        <v>1400</v>
      </c>
      <c r="L2782" s="11">
        <v>45807</v>
      </c>
      <c r="M2782" s="9">
        <v>4077</v>
      </c>
      <c r="N2782" s="9">
        <v>781</v>
      </c>
      <c r="O2782" s="9">
        <v>1880</v>
      </c>
      <c r="P2782" s="9">
        <v>1400</v>
      </c>
      <c r="R2782" s="11"/>
      <c r="S2782" s="9"/>
      <c r="T2782" s="9"/>
      <c r="U2782" s="9"/>
    </row>
    <row r="2783" spans="2:21" x14ac:dyDescent="0.4">
      <c r="B2783" s="16">
        <f t="shared" si="223"/>
        <v>45810</v>
      </c>
      <c r="C2783" s="1">
        <f t="shared" si="224"/>
        <v>4077</v>
      </c>
      <c r="D2783" s="1">
        <f t="shared" si="225"/>
        <v>781</v>
      </c>
      <c r="E2783" s="1">
        <f t="shared" si="226"/>
        <v>1880</v>
      </c>
      <c r="F2783" s="1">
        <f t="shared" si="222"/>
        <v>1400</v>
      </c>
      <c r="L2783" s="11">
        <v>45810</v>
      </c>
      <c r="M2783" s="9">
        <v>0</v>
      </c>
      <c r="N2783" s="9">
        <v>781</v>
      </c>
      <c r="O2783" s="9">
        <v>0</v>
      </c>
      <c r="P2783" s="9">
        <v>0</v>
      </c>
      <c r="R2783" s="11"/>
      <c r="S2783" s="9"/>
      <c r="T2783" s="9"/>
      <c r="U2783" s="9"/>
    </row>
    <row r="2784" spans="2:21" x14ac:dyDescent="0.4">
      <c r="B2784" s="16">
        <f t="shared" si="223"/>
        <v>45811</v>
      </c>
      <c r="C2784" s="1">
        <f t="shared" si="224"/>
        <v>4064</v>
      </c>
      <c r="D2784" s="1">
        <f t="shared" si="225"/>
        <v>781</v>
      </c>
      <c r="E2784" s="1">
        <f t="shared" si="226"/>
        <v>1880</v>
      </c>
      <c r="F2784" s="1">
        <f t="shared" si="222"/>
        <v>1380</v>
      </c>
      <c r="L2784" s="11">
        <v>45811</v>
      </c>
      <c r="M2784" s="9">
        <v>4064</v>
      </c>
      <c r="N2784" s="9">
        <v>781</v>
      </c>
      <c r="O2784" s="9">
        <v>1880</v>
      </c>
      <c r="P2784" s="9">
        <v>1380</v>
      </c>
      <c r="R2784" s="11"/>
      <c r="S2784" s="9"/>
      <c r="T2784" s="9"/>
      <c r="U2784" s="9"/>
    </row>
    <row r="2785" spans="2:21" x14ac:dyDescent="0.4">
      <c r="B2785" s="16">
        <f t="shared" si="223"/>
        <v>45812</v>
      </c>
      <c r="C2785" s="1">
        <f t="shared" si="224"/>
        <v>4045</v>
      </c>
      <c r="D2785" s="1">
        <f t="shared" si="225"/>
        <v>781</v>
      </c>
      <c r="E2785" s="1">
        <f t="shared" si="226"/>
        <v>1880</v>
      </c>
      <c r="F2785" s="1">
        <f t="shared" si="222"/>
        <v>1380</v>
      </c>
      <c r="L2785" s="11">
        <v>45812</v>
      </c>
      <c r="M2785" s="9">
        <v>4045</v>
      </c>
      <c r="N2785" s="9">
        <v>781</v>
      </c>
      <c r="O2785" s="9">
        <v>1880</v>
      </c>
      <c r="P2785" s="9">
        <v>1380</v>
      </c>
      <c r="R2785" s="11"/>
      <c r="S2785" s="9"/>
      <c r="T2785" s="9"/>
      <c r="U2785" s="9"/>
    </row>
    <row r="2786" spans="2:21" x14ac:dyDescent="0.4">
      <c r="B2786" s="16">
        <f t="shared" si="223"/>
        <v>45813</v>
      </c>
      <c r="C2786" s="1">
        <f t="shared" si="224"/>
        <v>4034</v>
      </c>
      <c r="D2786" s="1">
        <f t="shared" si="225"/>
        <v>781</v>
      </c>
      <c r="E2786" s="1">
        <f t="shared" si="226"/>
        <v>1880</v>
      </c>
      <c r="F2786" s="1">
        <f t="shared" si="222"/>
        <v>1380</v>
      </c>
      <c r="L2786" s="11">
        <v>45813</v>
      </c>
      <c r="M2786" s="9">
        <v>4034</v>
      </c>
      <c r="N2786" s="9">
        <v>781</v>
      </c>
      <c r="O2786" s="9">
        <v>1880</v>
      </c>
      <c r="P2786" s="9">
        <v>1380</v>
      </c>
      <c r="R2786" s="11"/>
      <c r="S2786" s="9"/>
      <c r="T2786" s="9"/>
      <c r="U2786" s="9"/>
    </row>
    <row r="2787" spans="2:21" x14ac:dyDescent="0.4">
      <c r="B2787" s="16">
        <f t="shared" si="223"/>
        <v>45814</v>
      </c>
      <c r="C2787" s="1">
        <f t="shared" si="224"/>
        <v>4039</v>
      </c>
      <c r="D2787" s="1">
        <f t="shared" si="225"/>
        <v>781</v>
      </c>
      <c r="E2787" s="1">
        <f t="shared" si="226"/>
        <v>1880</v>
      </c>
      <c r="F2787" s="1">
        <f t="shared" si="222"/>
        <v>1380</v>
      </c>
      <c r="L2787" s="11">
        <v>45814</v>
      </c>
      <c r="M2787" s="9">
        <v>4039</v>
      </c>
      <c r="N2787" s="9">
        <v>781</v>
      </c>
      <c r="O2787" s="9">
        <v>1880</v>
      </c>
      <c r="P2787" s="9">
        <v>1380</v>
      </c>
      <c r="R2787" s="11"/>
      <c r="S2787" s="9"/>
      <c r="T2787" s="9"/>
      <c r="U2787" s="9"/>
    </row>
    <row r="2788" spans="2:21" x14ac:dyDescent="0.4">
      <c r="B2788" s="16">
        <f t="shared" si="223"/>
        <v>45817</v>
      </c>
      <c r="C2788" s="1">
        <f t="shared" si="224"/>
        <v>4042</v>
      </c>
      <c r="D2788" s="1">
        <f t="shared" si="225"/>
        <v>781</v>
      </c>
      <c r="E2788" s="1">
        <f t="shared" si="226"/>
        <v>1870</v>
      </c>
      <c r="F2788" s="1">
        <f t="shared" si="222"/>
        <v>1350</v>
      </c>
      <c r="L2788" s="11">
        <v>45817</v>
      </c>
      <c r="M2788" s="9">
        <v>4042</v>
      </c>
      <c r="N2788" s="9">
        <v>781</v>
      </c>
      <c r="O2788" s="9">
        <v>1870</v>
      </c>
      <c r="P2788" s="9">
        <v>1350</v>
      </c>
      <c r="R2788" s="11"/>
      <c r="S2788" s="9"/>
      <c r="T2788" s="9"/>
      <c r="U2788" s="9"/>
    </row>
    <row r="2789" spans="2:21" x14ac:dyDescent="0.4">
      <c r="B2789" s="16">
        <f t="shared" si="223"/>
        <v>45818</v>
      </c>
      <c r="C2789" s="1">
        <f t="shared" si="224"/>
        <v>4045</v>
      </c>
      <c r="D2789" s="1">
        <f t="shared" si="225"/>
        <v>781</v>
      </c>
      <c r="E2789" s="1">
        <f t="shared" si="226"/>
        <v>1845</v>
      </c>
      <c r="F2789" s="1">
        <f t="shared" si="222"/>
        <v>1350</v>
      </c>
      <c r="L2789" s="11">
        <v>45818</v>
      </c>
      <c r="M2789" s="9">
        <v>4045</v>
      </c>
      <c r="N2789" s="9">
        <v>781</v>
      </c>
      <c r="O2789" s="9">
        <v>1845</v>
      </c>
      <c r="P2789" s="9">
        <v>1350</v>
      </c>
      <c r="R2789" s="11"/>
      <c r="S2789" s="9"/>
      <c r="T2789" s="9"/>
      <c r="U2789" s="9"/>
    </row>
    <row r="2790" spans="2:21" x14ac:dyDescent="0.4">
      <c r="B2790" s="16">
        <f t="shared" si="223"/>
        <v>45819</v>
      </c>
      <c r="C2790" s="1">
        <f t="shared" si="224"/>
        <v>4044</v>
      </c>
      <c r="D2790" s="1">
        <f t="shared" si="225"/>
        <v>781</v>
      </c>
      <c r="E2790" s="1">
        <f t="shared" si="226"/>
        <v>1825</v>
      </c>
      <c r="F2790" s="1">
        <f t="shared" si="222"/>
        <v>1350</v>
      </c>
      <c r="L2790" s="11">
        <v>45819</v>
      </c>
      <c r="M2790" s="9">
        <v>4044</v>
      </c>
      <c r="N2790" s="9">
        <v>781</v>
      </c>
      <c r="O2790" s="9">
        <v>1825</v>
      </c>
      <c r="P2790" s="9">
        <v>1350</v>
      </c>
      <c r="R2790" s="11"/>
      <c r="S2790" s="9"/>
      <c r="T2790" s="9"/>
      <c r="U2790" s="9"/>
    </row>
    <row r="2791" spans="2:21" x14ac:dyDescent="0.4">
      <c r="B2791" s="16">
        <f t="shared" si="223"/>
        <v>45820</v>
      </c>
      <c r="C2791" s="1">
        <f t="shared" si="224"/>
        <v>4047</v>
      </c>
      <c r="D2791" s="1">
        <f t="shared" si="225"/>
        <v>781</v>
      </c>
      <c r="E2791" s="1">
        <f t="shared" si="226"/>
        <v>1820</v>
      </c>
      <c r="F2791" s="1">
        <f t="shared" si="222"/>
        <v>1350</v>
      </c>
      <c r="L2791" s="11">
        <v>45820</v>
      </c>
      <c r="M2791" s="9">
        <v>4047</v>
      </c>
      <c r="N2791" s="9">
        <v>781</v>
      </c>
      <c r="O2791" s="9">
        <v>1820</v>
      </c>
      <c r="P2791" s="9">
        <v>1350</v>
      </c>
      <c r="R2791" s="11"/>
      <c r="S2791" s="9"/>
      <c r="T2791" s="9"/>
      <c r="U2791" s="9"/>
    </row>
    <row r="2792" spans="2:21" x14ac:dyDescent="0.4">
      <c r="B2792" s="16">
        <f t="shared" si="223"/>
        <v>45821</v>
      </c>
      <c r="C2792" s="1">
        <f t="shared" si="224"/>
        <v>4092</v>
      </c>
      <c r="D2792" s="1">
        <f t="shared" si="225"/>
        <v>791</v>
      </c>
      <c r="E2792" s="1">
        <f t="shared" si="226"/>
        <v>1810</v>
      </c>
      <c r="F2792" s="1">
        <f t="shared" si="222"/>
        <v>1350</v>
      </c>
      <c r="L2792" s="11">
        <v>45821</v>
      </c>
      <c r="M2792" s="9">
        <v>4092</v>
      </c>
      <c r="N2792" s="9">
        <v>791</v>
      </c>
      <c r="O2792" s="9">
        <v>1810</v>
      </c>
      <c r="P2792" s="9">
        <v>1350</v>
      </c>
      <c r="R2792" s="11"/>
      <c r="S2792" s="9"/>
      <c r="T2792" s="9"/>
      <c r="U2792" s="9"/>
    </row>
    <row r="2793" spans="2:21" x14ac:dyDescent="0.4">
      <c r="B2793" s="16">
        <f t="shared" si="223"/>
        <v>45824</v>
      </c>
      <c r="C2793" s="1">
        <f t="shared" si="224"/>
        <v>4131</v>
      </c>
      <c r="D2793" s="1">
        <f t="shared" si="225"/>
        <v>801</v>
      </c>
      <c r="E2793" s="1">
        <f t="shared" si="226"/>
        <v>1800</v>
      </c>
      <c r="F2793" s="1">
        <f t="shared" si="222"/>
        <v>1350</v>
      </c>
      <c r="L2793" s="11">
        <v>45824</v>
      </c>
      <c r="M2793" s="9">
        <v>4131</v>
      </c>
      <c r="N2793" s="9">
        <v>801</v>
      </c>
      <c r="O2793" s="9">
        <v>1800</v>
      </c>
      <c r="P2793" s="9">
        <v>1350</v>
      </c>
      <c r="R2793" s="11"/>
      <c r="S2793" s="9"/>
      <c r="T2793" s="9"/>
      <c r="U2793" s="9"/>
    </row>
    <row r="2794" spans="2:21" x14ac:dyDescent="0.4">
      <c r="B2794" s="16">
        <f t="shared" si="223"/>
        <v>45825</v>
      </c>
      <c r="C2794" s="1">
        <f t="shared" si="224"/>
        <v>4139</v>
      </c>
      <c r="D2794" s="1">
        <f t="shared" si="225"/>
        <v>821</v>
      </c>
      <c r="E2794" s="1">
        <f t="shared" si="226"/>
        <v>1810</v>
      </c>
      <c r="F2794" s="1">
        <f t="shared" si="222"/>
        <v>1350</v>
      </c>
      <c r="L2794" s="11">
        <v>45825</v>
      </c>
      <c r="M2794" s="9">
        <v>4139</v>
      </c>
      <c r="N2794" s="9">
        <v>821</v>
      </c>
      <c r="O2794" s="9">
        <v>1810</v>
      </c>
      <c r="P2794" s="9">
        <v>1350</v>
      </c>
      <c r="R2794" s="11"/>
      <c r="S2794" s="9"/>
      <c r="T2794" s="9"/>
      <c r="U2794" s="9"/>
    </row>
    <row r="2795" spans="2:21" x14ac:dyDescent="0.4">
      <c r="B2795" s="16">
        <f t="shared" si="223"/>
        <v>45826</v>
      </c>
      <c r="C2795" s="1">
        <f t="shared" si="224"/>
        <v>4179</v>
      </c>
      <c r="D2795" s="1">
        <f t="shared" si="225"/>
        <v>831</v>
      </c>
      <c r="E2795" s="1">
        <f t="shared" si="226"/>
        <v>1830</v>
      </c>
      <c r="F2795" s="1">
        <f t="shared" si="222"/>
        <v>1350</v>
      </c>
      <c r="L2795" s="11">
        <v>45826</v>
      </c>
      <c r="M2795" s="9">
        <v>4179</v>
      </c>
      <c r="N2795" s="9">
        <v>831</v>
      </c>
      <c r="O2795" s="9">
        <v>1830</v>
      </c>
      <c r="P2795" s="9">
        <v>1350</v>
      </c>
      <c r="R2795" s="11"/>
      <c r="S2795" s="9"/>
      <c r="T2795" s="9"/>
      <c r="U2795" s="9"/>
    </row>
    <row r="2796" spans="2:21" x14ac:dyDescent="0.4">
      <c r="B2796" s="16">
        <f t="shared" si="223"/>
        <v>45827</v>
      </c>
      <c r="C2796" s="1">
        <f t="shared" si="224"/>
        <v>4195</v>
      </c>
      <c r="D2796" s="1">
        <f t="shared" si="225"/>
        <v>831</v>
      </c>
      <c r="E2796" s="1">
        <f t="shared" si="226"/>
        <v>1830</v>
      </c>
      <c r="F2796" s="1">
        <f t="shared" si="222"/>
        <v>1350</v>
      </c>
      <c r="L2796" s="11">
        <v>45827</v>
      </c>
      <c r="M2796" s="9">
        <v>4195</v>
      </c>
      <c r="N2796" s="9">
        <v>831</v>
      </c>
      <c r="O2796" s="9">
        <v>1830</v>
      </c>
      <c r="P2796" s="9">
        <v>1350</v>
      </c>
      <c r="R2796" s="11"/>
      <c r="S2796" s="9"/>
      <c r="T2796" s="9"/>
      <c r="U2796" s="9"/>
    </row>
    <row r="2797" spans="2:21" x14ac:dyDescent="0.4">
      <c r="B2797" s="16">
        <f t="shared" si="223"/>
        <v>45828</v>
      </c>
      <c r="C2797" s="1">
        <f t="shared" si="224"/>
        <v>4223</v>
      </c>
      <c r="D2797" s="1">
        <f t="shared" si="225"/>
        <v>841</v>
      </c>
      <c r="E2797" s="1">
        <f t="shared" si="226"/>
        <v>1855</v>
      </c>
      <c r="F2797" s="1">
        <f t="shared" si="222"/>
        <v>1350</v>
      </c>
      <c r="L2797" s="11">
        <v>45828</v>
      </c>
      <c r="M2797" s="9">
        <v>4223</v>
      </c>
      <c r="N2797" s="9">
        <v>841</v>
      </c>
      <c r="O2797" s="9">
        <v>1855</v>
      </c>
      <c r="P2797" s="9">
        <v>1350</v>
      </c>
      <c r="R2797" s="11"/>
      <c r="S2797" s="9"/>
      <c r="T2797" s="9"/>
      <c r="U2797" s="9"/>
    </row>
    <row r="2798" spans="2:21" x14ac:dyDescent="0.4">
      <c r="B2798" s="16">
        <f t="shared" si="223"/>
        <v>45831</v>
      </c>
      <c r="C2798" s="1">
        <f t="shared" si="224"/>
        <v>4219</v>
      </c>
      <c r="D2798" s="1">
        <f t="shared" si="225"/>
        <v>851</v>
      </c>
      <c r="E2798" s="1">
        <f t="shared" si="226"/>
        <v>1855</v>
      </c>
      <c r="F2798" s="1">
        <f t="shared" si="222"/>
        <v>1350</v>
      </c>
      <c r="L2798" s="11">
        <v>45831</v>
      </c>
      <c r="M2798" s="9">
        <v>4219</v>
      </c>
      <c r="N2798" s="9">
        <v>851</v>
      </c>
      <c r="O2798" s="9">
        <v>1855</v>
      </c>
      <c r="P2798" s="9">
        <v>1350</v>
      </c>
      <c r="R2798" s="11"/>
      <c r="S2798" s="9"/>
      <c r="T2798" s="9"/>
      <c r="U2798" s="9"/>
    </row>
    <row r="2799" spans="2:21" x14ac:dyDescent="0.4">
      <c r="B2799" s="16">
        <f t="shared" si="223"/>
        <v>45832</v>
      </c>
      <c r="C2799" s="1">
        <f t="shared" si="224"/>
        <v>4183</v>
      </c>
      <c r="D2799" s="1">
        <f t="shared" si="225"/>
        <v>851</v>
      </c>
      <c r="E2799" s="1">
        <f t="shared" si="226"/>
        <v>1835</v>
      </c>
      <c r="F2799" s="1">
        <f t="shared" si="222"/>
        <v>1350</v>
      </c>
      <c r="L2799" s="11">
        <v>45832</v>
      </c>
      <c r="M2799" s="9">
        <v>4183</v>
      </c>
      <c r="N2799" s="9">
        <v>851</v>
      </c>
      <c r="O2799" s="9">
        <v>1835</v>
      </c>
      <c r="P2799" s="9">
        <v>1350</v>
      </c>
      <c r="R2799" s="11"/>
      <c r="S2799" s="9"/>
      <c r="T2799" s="9"/>
      <c r="U2799" s="9"/>
    </row>
    <row r="2800" spans="2:21" x14ac:dyDescent="0.4">
      <c r="B2800" s="16">
        <f t="shared" si="223"/>
        <v>45833</v>
      </c>
      <c r="C2800" s="1">
        <f t="shared" si="224"/>
        <v>4152</v>
      </c>
      <c r="D2800" s="1">
        <f t="shared" si="225"/>
        <v>851</v>
      </c>
      <c r="E2800" s="1">
        <f t="shared" si="226"/>
        <v>1820</v>
      </c>
      <c r="F2800" s="1">
        <f t="shared" si="222"/>
        <v>1300</v>
      </c>
      <c r="L2800" s="11">
        <v>45833</v>
      </c>
      <c r="M2800" s="9">
        <v>4152</v>
      </c>
      <c r="N2800" s="9">
        <v>851</v>
      </c>
      <c r="O2800" s="9">
        <v>1820</v>
      </c>
      <c r="P2800" s="9">
        <v>1300</v>
      </c>
      <c r="R2800" s="11"/>
      <c r="S2800" s="9"/>
      <c r="T2800" s="9"/>
      <c r="U2800" s="9"/>
    </row>
    <row r="2801" spans="2:21" x14ac:dyDescent="0.4">
      <c r="B2801" s="16">
        <f t="shared" si="223"/>
        <v>45834</v>
      </c>
      <c r="C2801" s="1">
        <f t="shared" si="224"/>
        <v>4136</v>
      </c>
      <c r="D2801" s="1">
        <f t="shared" si="225"/>
        <v>851</v>
      </c>
      <c r="E2801" s="1">
        <f t="shared" si="226"/>
        <v>1820</v>
      </c>
      <c r="F2801" s="1">
        <f t="shared" si="222"/>
        <v>1300</v>
      </c>
      <c r="L2801" s="11">
        <v>45834</v>
      </c>
      <c r="M2801" s="9">
        <v>4136</v>
      </c>
      <c r="N2801" s="9">
        <v>851</v>
      </c>
      <c r="O2801" s="9">
        <v>1820</v>
      </c>
      <c r="P2801" s="9">
        <v>1300</v>
      </c>
      <c r="R2801" s="11"/>
      <c r="S2801" s="9"/>
      <c r="T2801" s="9"/>
      <c r="U2801" s="9"/>
    </row>
    <row r="2802" spans="2:21" x14ac:dyDescent="0.4">
      <c r="B2802" s="16">
        <f t="shared" si="223"/>
        <v>45835</v>
      </c>
      <c r="C2802" s="1">
        <f t="shared" si="224"/>
        <v>4137</v>
      </c>
      <c r="D2802" s="1">
        <f t="shared" si="225"/>
        <v>851</v>
      </c>
      <c r="E2802" s="1">
        <f t="shared" si="226"/>
        <v>1825</v>
      </c>
      <c r="F2802" s="1">
        <f t="shared" ref="F2802:F2865" si="227">IF(P2802&lt;&gt;0,P2802,F2801)</f>
        <v>1300</v>
      </c>
      <c r="L2802" s="11">
        <v>45835</v>
      </c>
      <c r="M2802" s="9">
        <v>4137</v>
      </c>
      <c r="N2802" s="9">
        <v>851</v>
      </c>
      <c r="O2802" s="9">
        <v>1825</v>
      </c>
      <c r="P2802" s="9">
        <v>1300</v>
      </c>
      <c r="R2802" s="11"/>
      <c r="S2802" s="9"/>
      <c r="T2802" s="9"/>
      <c r="U2802" s="9"/>
    </row>
    <row r="2803" spans="2:21" x14ac:dyDescent="0.4">
      <c r="B2803" s="16">
        <f t="shared" si="223"/>
        <v>45838</v>
      </c>
      <c r="C2803" s="1">
        <f t="shared" si="224"/>
        <v>4141</v>
      </c>
      <c r="D2803" s="1">
        <f t="shared" si="225"/>
        <v>851</v>
      </c>
      <c r="E2803" s="1">
        <f t="shared" si="226"/>
        <v>1830</v>
      </c>
      <c r="F2803" s="1">
        <f t="shared" si="227"/>
        <v>1250</v>
      </c>
      <c r="L2803" s="11">
        <v>45838</v>
      </c>
      <c r="M2803" s="9">
        <v>4141</v>
      </c>
      <c r="N2803" s="9">
        <v>851</v>
      </c>
      <c r="O2803" s="9">
        <v>1830</v>
      </c>
      <c r="P2803" s="9">
        <v>1250</v>
      </c>
      <c r="R2803" s="11"/>
      <c r="S2803" s="9"/>
      <c r="T2803" s="9"/>
      <c r="U2803" s="9"/>
    </row>
    <row r="2804" spans="2:21" x14ac:dyDescent="0.4">
      <c r="B2804" s="16">
        <f t="shared" si="223"/>
        <v>45839</v>
      </c>
      <c r="C2804" s="1">
        <f t="shared" si="224"/>
        <v>4104</v>
      </c>
      <c r="D2804" s="1">
        <f t="shared" si="225"/>
        <v>851</v>
      </c>
      <c r="E2804" s="1">
        <f t="shared" si="226"/>
        <v>1820</v>
      </c>
      <c r="F2804" s="1">
        <f t="shared" si="227"/>
        <v>1250</v>
      </c>
      <c r="L2804" s="11">
        <v>45839</v>
      </c>
      <c r="M2804" s="9">
        <v>4104</v>
      </c>
      <c r="N2804" s="9">
        <v>851</v>
      </c>
      <c r="O2804" s="9">
        <v>1820</v>
      </c>
      <c r="P2804" s="9">
        <v>1250</v>
      </c>
      <c r="R2804" s="11"/>
      <c r="S2804" s="9"/>
      <c r="T2804" s="9"/>
      <c r="U2804" s="9"/>
    </row>
    <row r="2805" spans="2:21" x14ac:dyDescent="0.4">
      <c r="B2805" s="16">
        <f t="shared" si="223"/>
        <v>45840</v>
      </c>
      <c r="C2805" s="1">
        <f t="shared" si="224"/>
        <v>4078</v>
      </c>
      <c r="D2805" s="1">
        <f t="shared" si="225"/>
        <v>851</v>
      </c>
      <c r="E2805" s="1">
        <f t="shared" si="226"/>
        <v>1815</v>
      </c>
      <c r="F2805" s="1">
        <f t="shared" si="227"/>
        <v>1250</v>
      </c>
      <c r="L2805" s="11">
        <v>45840</v>
      </c>
      <c r="M2805" s="9">
        <v>4078</v>
      </c>
      <c r="N2805" s="9">
        <v>851</v>
      </c>
      <c r="O2805" s="9">
        <v>1815</v>
      </c>
      <c r="P2805" s="9">
        <v>1250</v>
      </c>
      <c r="R2805" s="11"/>
      <c r="S2805" s="9"/>
      <c r="T2805" s="9"/>
      <c r="U2805" s="9"/>
    </row>
    <row r="2806" spans="2:21" x14ac:dyDescent="0.4">
      <c r="B2806" s="16">
        <f t="shared" si="223"/>
        <v>45841</v>
      </c>
      <c r="C2806" s="1">
        <f t="shared" si="224"/>
        <v>4066</v>
      </c>
      <c r="D2806" s="1">
        <f t="shared" si="225"/>
        <v>851</v>
      </c>
      <c r="E2806" s="1">
        <f t="shared" si="226"/>
        <v>1815</v>
      </c>
      <c r="F2806" s="1">
        <f t="shared" si="227"/>
        <v>1250</v>
      </c>
      <c r="L2806" s="11">
        <v>45841</v>
      </c>
      <c r="M2806" s="9">
        <v>4066</v>
      </c>
      <c r="N2806" s="9">
        <v>851</v>
      </c>
      <c r="O2806" s="9">
        <v>1815</v>
      </c>
      <c r="P2806" s="9">
        <v>1250</v>
      </c>
      <c r="R2806" s="11"/>
      <c r="S2806" s="9"/>
      <c r="T2806" s="9"/>
      <c r="U2806" s="9"/>
    </row>
    <row r="2807" spans="2:21" x14ac:dyDescent="0.4">
      <c r="B2807" s="16">
        <f t="shared" si="223"/>
        <v>45842</v>
      </c>
      <c r="C2807" s="1">
        <f t="shared" si="224"/>
        <v>4060</v>
      </c>
      <c r="D2807" s="1">
        <f t="shared" si="225"/>
        <v>851</v>
      </c>
      <c r="E2807" s="1">
        <f t="shared" si="226"/>
        <v>1815</v>
      </c>
      <c r="F2807" s="1">
        <f t="shared" si="227"/>
        <v>1250</v>
      </c>
      <c r="L2807" s="11">
        <v>45842</v>
      </c>
      <c r="M2807" s="9">
        <v>4060</v>
      </c>
      <c r="N2807" s="9">
        <v>851</v>
      </c>
      <c r="O2807" s="9">
        <v>1815</v>
      </c>
      <c r="P2807" s="9">
        <v>1250</v>
      </c>
      <c r="R2807" s="11"/>
      <c r="S2807" s="9"/>
      <c r="T2807" s="9"/>
      <c r="U2807" s="9"/>
    </row>
    <row r="2808" spans="2:21" x14ac:dyDescent="0.4">
      <c r="B2808" s="16">
        <f t="shared" si="223"/>
        <v>45845</v>
      </c>
      <c r="C2808" s="1">
        <f t="shared" si="224"/>
        <v>4038</v>
      </c>
      <c r="D2808" s="1">
        <f t="shared" si="225"/>
        <v>821</v>
      </c>
      <c r="E2808" s="1">
        <f t="shared" si="226"/>
        <v>1820</v>
      </c>
      <c r="F2808" s="1">
        <f t="shared" si="227"/>
        <v>1250</v>
      </c>
      <c r="L2808" s="11">
        <v>45845</v>
      </c>
      <c r="M2808" s="9">
        <v>4038</v>
      </c>
      <c r="N2808" s="9">
        <v>821</v>
      </c>
      <c r="O2808" s="9">
        <v>1820</v>
      </c>
      <c r="P2808" s="9">
        <v>1250</v>
      </c>
      <c r="R2808" s="11"/>
      <c r="S2808" s="9"/>
      <c r="T2808" s="9"/>
      <c r="U2808" s="9"/>
    </row>
    <row r="2809" spans="2:21" x14ac:dyDescent="0.4">
      <c r="B2809" s="16">
        <f t="shared" si="223"/>
        <v>45846</v>
      </c>
      <c r="C2809" s="1">
        <f t="shared" si="224"/>
        <v>4029</v>
      </c>
      <c r="D2809" s="1">
        <f t="shared" si="225"/>
        <v>821</v>
      </c>
      <c r="E2809" s="1">
        <f t="shared" si="226"/>
        <v>1825</v>
      </c>
      <c r="F2809" s="1">
        <f t="shared" si="227"/>
        <v>1250</v>
      </c>
      <c r="L2809" s="11">
        <v>45846</v>
      </c>
      <c r="M2809" s="9">
        <v>4029</v>
      </c>
      <c r="N2809" s="9">
        <v>821</v>
      </c>
      <c r="O2809" s="9">
        <v>1825</v>
      </c>
      <c r="P2809" s="9">
        <v>1250</v>
      </c>
      <c r="R2809" s="11"/>
      <c r="S2809" s="9"/>
      <c r="T2809" s="9"/>
      <c r="U2809" s="9"/>
    </row>
    <row r="2810" spans="2:21" x14ac:dyDescent="0.4">
      <c r="B2810" s="16">
        <f t="shared" si="223"/>
        <v>45847</v>
      </c>
      <c r="C2810" s="1">
        <f t="shared" si="224"/>
        <v>4026</v>
      </c>
      <c r="D2810" s="1">
        <f t="shared" si="225"/>
        <v>821</v>
      </c>
      <c r="E2810" s="1">
        <f t="shared" si="226"/>
        <v>1820</v>
      </c>
      <c r="F2810" s="1">
        <f t="shared" si="227"/>
        <v>1230</v>
      </c>
      <c r="L2810" s="11">
        <v>45847</v>
      </c>
      <c r="M2810" s="9">
        <v>4026</v>
      </c>
      <c r="N2810" s="9">
        <v>821</v>
      </c>
      <c r="O2810" s="9">
        <v>1820</v>
      </c>
      <c r="P2810" s="9">
        <v>1230</v>
      </c>
      <c r="R2810" s="11"/>
      <c r="S2810" s="9"/>
      <c r="T2810" s="9"/>
      <c r="U2810" s="9"/>
    </row>
    <row r="2811" spans="2:21" x14ac:dyDescent="0.4">
      <c r="B2811" s="16">
        <f t="shared" si="223"/>
        <v>45848</v>
      </c>
      <c r="C2811" s="1">
        <f t="shared" si="224"/>
        <v>4030</v>
      </c>
      <c r="D2811" s="1">
        <f t="shared" si="225"/>
        <v>821</v>
      </c>
      <c r="E2811" s="1">
        <f t="shared" si="226"/>
        <v>1825</v>
      </c>
      <c r="F2811" s="1">
        <f t="shared" si="227"/>
        <v>1230</v>
      </c>
      <c r="L2811" s="11">
        <v>45848</v>
      </c>
      <c r="M2811" s="9">
        <v>4030</v>
      </c>
      <c r="N2811" s="9">
        <v>821</v>
      </c>
      <c r="O2811" s="9">
        <v>1825</v>
      </c>
      <c r="P2811" s="9">
        <v>1230</v>
      </c>
      <c r="R2811" s="11"/>
      <c r="S2811" s="9"/>
      <c r="T2811" s="9"/>
      <c r="U2811" s="9"/>
    </row>
    <row r="2812" spans="2:21" x14ac:dyDescent="0.4">
      <c r="B2812" s="16">
        <f t="shared" si="223"/>
        <v>45849</v>
      </c>
      <c r="C2812" s="1">
        <f t="shared" si="224"/>
        <v>4032</v>
      </c>
      <c r="D2812" s="1">
        <f t="shared" si="225"/>
        <v>821</v>
      </c>
      <c r="E2812" s="1">
        <f t="shared" si="226"/>
        <v>1835</v>
      </c>
      <c r="F2812" s="1">
        <f t="shared" si="227"/>
        <v>1230</v>
      </c>
      <c r="L2812" s="11">
        <v>45849</v>
      </c>
      <c r="M2812" s="9">
        <v>4032</v>
      </c>
      <c r="N2812" s="9">
        <v>821</v>
      </c>
      <c r="O2812" s="9">
        <v>1835</v>
      </c>
      <c r="P2812" s="9">
        <v>1230</v>
      </c>
      <c r="R2812" s="11"/>
      <c r="S2812" s="9"/>
      <c r="T2812" s="9"/>
      <c r="U2812" s="9"/>
    </row>
    <row r="2813" spans="2:21" x14ac:dyDescent="0.4">
      <c r="B2813" s="16">
        <f t="shared" si="223"/>
        <v>45852</v>
      </c>
      <c r="C2813" s="1">
        <f t="shared" si="224"/>
        <v>4036</v>
      </c>
      <c r="D2813" s="1">
        <f t="shared" si="225"/>
        <v>821</v>
      </c>
      <c r="E2813" s="1">
        <f t="shared" si="226"/>
        <v>1840</v>
      </c>
      <c r="F2813" s="1">
        <f t="shared" si="227"/>
        <v>1230</v>
      </c>
      <c r="L2813" s="11">
        <v>45852</v>
      </c>
      <c r="M2813" s="9">
        <v>4036</v>
      </c>
      <c r="N2813" s="9">
        <v>821</v>
      </c>
      <c r="O2813" s="9">
        <v>1840</v>
      </c>
      <c r="P2813" s="9">
        <v>1230</v>
      </c>
      <c r="R2813" s="11"/>
      <c r="S2813" s="9"/>
      <c r="T2813" s="9"/>
      <c r="U2813" s="9"/>
    </row>
    <row r="2814" spans="2:21" x14ac:dyDescent="0.4">
      <c r="B2814" s="16">
        <f t="shared" si="223"/>
        <v>45853</v>
      </c>
      <c r="C2814" s="1">
        <f t="shared" si="224"/>
        <v>4035</v>
      </c>
      <c r="D2814" s="1">
        <f t="shared" si="225"/>
        <v>821</v>
      </c>
      <c r="E2814" s="1">
        <f t="shared" si="226"/>
        <v>1835</v>
      </c>
      <c r="F2814" s="1">
        <f t="shared" si="227"/>
        <v>1230</v>
      </c>
      <c r="L2814" s="11">
        <v>45853</v>
      </c>
      <c r="M2814" s="9">
        <v>4035</v>
      </c>
      <c r="N2814" s="9">
        <v>821</v>
      </c>
      <c r="O2814" s="9">
        <v>1835</v>
      </c>
      <c r="P2814" s="9">
        <v>1230</v>
      </c>
      <c r="R2814" s="11"/>
      <c r="S2814" s="9"/>
      <c r="T2814" s="9"/>
      <c r="U2814" s="9"/>
    </row>
    <row r="2815" spans="2:21" x14ac:dyDescent="0.4">
      <c r="B2815" s="16">
        <f t="shared" si="223"/>
        <v>45854</v>
      </c>
      <c r="C2815" s="1">
        <f t="shared" si="224"/>
        <v>4030</v>
      </c>
      <c r="D2815" s="1">
        <f t="shared" si="225"/>
        <v>821</v>
      </c>
      <c r="E2815" s="1">
        <f t="shared" si="226"/>
        <v>1825</v>
      </c>
      <c r="F2815" s="1">
        <f t="shared" si="227"/>
        <v>1230</v>
      </c>
      <c r="L2815" s="11">
        <v>45854</v>
      </c>
      <c r="M2815" s="9">
        <v>4030</v>
      </c>
      <c r="N2815" s="9">
        <v>821</v>
      </c>
      <c r="O2815" s="9">
        <v>1825</v>
      </c>
      <c r="P2815" s="9">
        <v>1230</v>
      </c>
      <c r="R2815" s="11"/>
      <c r="S2815" s="9"/>
      <c r="T2815" s="9"/>
      <c r="U2815" s="9"/>
    </row>
    <row r="2816" spans="2:21" x14ac:dyDescent="0.4">
      <c r="B2816" s="16">
        <f t="shared" si="223"/>
        <v>45855</v>
      </c>
      <c r="C2816" s="1">
        <f t="shared" si="224"/>
        <v>4024</v>
      </c>
      <c r="D2816" s="1">
        <f t="shared" si="225"/>
        <v>821</v>
      </c>
      <c r="E2816" s="1">
        <f t="shared" si="226"/>
        <v>1815</v>
      </c>
      <c r="F2816" s="1">
        <f t="shared" si="227"/>
        <v>1230</v>
      </c>
      <c r="L2816" s="11">
        <v>45855</v>
      </c>
      <c r="M2816" s="9">
        <v>4024</v>
      </c>
      <c r="N2816" s="9">
        <v>821</v>
      </c>
      <c r="O2816" s="9">
        <v>1815</v>
      </c>
      <c r="P2816" s="9">
        <v>1230</v>
      </c>
      <c r="R2816" s="11"/>
      <c r="S2816" s="9"/>
      <c r="T2816" s="9"/>
      <c r="U2816" s="9"/>
    </row>
    <row r="2817" spans="2:21" x14ac:dyDescent="0.4">
      <c r="B2817" s="16">
        <f t="shared" si="223"/>
        <v>45856</v>
      </c>
      <c r="C2817" s="1">
        <f t="shared" si="224"/>
        <v>4027</v>
      </c>
      <c r="D2817" s="1">
        <f t="shared" si="225"/>
        <v>821</v>
      </c>
      <c r="E2817" s="1">
        <f t="shared" si="226"/>
        <v>1805</v>
      </c>
      <c r="F2817" s="1">
        <f t="shared" si="227"/>
        <v>1230</v>
      </c>
      <c r="L2817" s="11">
        <v>45856</v>
      </c>
      <c r="M2817" s="9">
        <v>4027</v>
      </c>
      <c r="N2817" s="9">
        <v>821</v>
      </c>
      <c r="O2817" s="9">
        <v>1805</v>
      </c>
      <c r="P2817" s="9">
        <v>1230</v>
      </c>
      <c r="R2817" s="11"/>
      <c r="S2817" s="9"/>
      <c r="T2817" s="9"/>
      <c r="U2817" s="9"/>
    </row>
    <row r="2818" spans="2:21" x14ac:dyDescent="0.4">
      <c r="B2818" s="16">
        <f t="shared" si="223"/>
        <v>45859</v>
      </c>
      <c r="C2818" s="1">
        <f t="shared" si="224"/>
        <v>4040</v>
      </c>
      <c r="D2818" s="1">
        <f t="shared" si="225"/>
        <v>821</v>
      </c>
      <c r="E2818" s="1">
        <f t="shared" si="226"/>
        <v>1810</v>
      </c>
      <c r="F2818" s="1">
        <f t="shared" si="227"/>
        <v>1230</v>
      </c>
      <c r="L2818" s="11">
        <v>45859</v>
      </c>
      <c r="M2818" s="9">
        <v>4040</v>
      </c>
      <c r="N2818" s="9">
        <v>821</v>
      </c>
      <c r="O2818" s="9">
        <v>1810</v>
      </c>
      <c r="P2818" s="9">
        <v>1230</v>
      </c>
      <c r="R2818" s="11"/>
      <c r="S2818" s="9"/>
      <c r="T2818" s="9"/>
      <c r="U2818" s="9"/>
    </row>
    <row r="2819" spans="2:21" x14ac:dyDescent="0.4">
      <c r="B2819" s="16">
        <f t="shared" si="223"/>
        <v>45860</v>
      </c>
      <c r="C2819" s="1">
        <f t="shared" si="224"/>
        <v>4048</v>
      </c>
      <c r="D2819" s="1">
        <f t="shared" si="225"/>
        <v>821</v>
      </c>
      <c r="E2819" s="1">
        <f t="shared" si="226"/>
        <v>1820</v>
      </c>
      <c r="F2819" s="1">
        <f t="shared" si="227"/>
        <v>1230</v>
      </c>
      <c r="L2819" s="11">
        <v>45860</v>
      </c>
      <c r="M2819" s="9">
        <v>4048</v>
      </c>
      <c r="N2819" s="9">
        <v>821</v>
      </c>
      <c r="O2819" s="9">
        <v>1820</v>
      </c>
      <c r="P2819" s="9">
        <v>1230</v>
      </c>
      <c r="R2819" s="11"/>
      <c r="S2819" s="9"/>
      <c r="T2819" s="9"/>
      <c r="U2819" s="9"/>
    </row>
    <row r="2820" spans="2:21" x14ac:dyDescent="0.4">
      <c r="B2820" s="16">
        <f t="shared" si="223"/>
        <v>45861</v>
      </c>
      <c r="C2820" s="1">
        <f t="shared" si="224"/>
        <v>4053</v>
      </c>
      <c r="D2820" s="1">
        <f t="shared" si="225"/>
        <v>821</v>
      </c>
      <c r="E2820" s="1">
        <f t="shared" si="226"/>
        <v>1825</v>
      </c>
      <c r="F2820" s="1">
        <f t="shared" si="227"/>
        <v>1280</v>
      </c>
      <c r="L2820" s="11">
        <v>45861</v>
      </c>
      <c r="M2820" s="9">
        <v>4053</v>
      </c>
      <c r="N2820" s="9">
        <v>821</v>
      </c>
      <c r="O2820" s="9">
        <v>1825</v>
      </c>
      <c r="P2820" s="9">
        <v>1280</v>
      </c>
      <c r="R2820" s="11"/>
      <c r="S2820" s="9"/>
      <c r="T2820" s="9"/>
      <c r="U2820" s="9"/>
    </row>
    <row r="2821" spans="2:21" x14ac:dyDescent="0.4">
      <c r="B2821" s="16">
        <f t="shared" si="223"/>
        <v>45862</v>
      </c>
      <c r="C2821" s="1">
        <f t="shared" si="224"/>
        <v>4067</v>
      </c>
      <c r="D2821" s="1">
        <f t="shared" si="225"/>
        <v>821</v>
      </c>
      <c r="E2821" s="1">
        <f t="shared" si="226"/>
        <v>1825</v>
      </c>
      <c r="F2821" s="1">
        <f t="shared" si="227"/>
        <v>1280</v>
      </c>
      <c r="L2821" s="11">
        <v>45862</v>
      </c>
      <c r="M2821" s="9">
        <v>4067</v>
      </c>
      <c r="N2821" s="9">
        <v>821</v>
      </c>
      <c r="O2821" s="9">
        <v>1825</v>
      </c>
      <c r="P2821" s="9">
        <v>1280</v>
      </c>
      <c r="R2821" s="11"/>
      <c r="S2821" s="9"/>
      <c r="T2821" s="9"/>
      <c r="U2821" s="9"/>
    </row>
    <row r="2822" spans="2:21" x14ac:dyDescent="0.4">
      <c r="B2822" s="16">
        <f t="shared" ref="B2822:B2885" si="228">L2822</f>
        <v>45863</v>
      </c>
      <c r="C2822" s="1">
        <f t="shared" si="224"/>
        <v>4086</v>
      </c>
      <c r="D2822" s="1">
        <f t="shared" si="225"/>
        <v>821</v>
      </c>
      <c r="E2822" s="1">
        <f t="shared" si="226"/>
        <v>1820</v>
      </c>
      <c r="F2822" s="1">
        <f t="shared" si="227"/>
        <v>1350</v>
      </c>
      <c r="L2822" s="11">
        <v>45863</v>
      </c>
      <c r="M2822" s="9">
        <v>4086</v>
      </c>
      <c r="N2822" s="9">
        <v>821</v>
      </c>
      <c r="O2822" s="9">
        <v>1820</v>
      </c>
      <c r="P2822" s="9">
        <v>1350</v>
      </c>
      <c r="R2822" s="11"/>
      <c r="S2822" s="9"/>
      <c r="T2822" s="9"/>
      <c r="U2822" s="9"/>
    </row>
    <row r="2823" spans="2:21" x14ac:dyDescent="0.4">
      <c r="B2823" s="16">
        <f t="shared" si="228"/>
        <v>45866</v>
      </c>
      <c r="C2823" s="1">
        <f t="shared" ref="C2823:C2886" si="229">IF(M2823&lt;&gt;0,M2823,C2822)</f>
        <v>4093</v>
      </c>
      <c r="D2823" s="1">
        <f t="shared" ref="D2823:D2886" si="230">IF(N2823&lt;&gt;0,N2823,D2822)</f>
        <v>821</v>
      </c>
      <c r="E2823" s="1">
        <f t="shared" ref="E2823:E2886" si="231">IF(O2823&lt;&gt;0,O2823,E2822)</f>
        <v>1815</v>
      </c>
      <c r="F2823" s="1">
        <f t="shared" si="227"/>
        <v>1350</v>
      </c>
      <c r="L2823" s="11">
        <v>45866</v>
      </c>
      <c r="M2823" s="9">
        <v>4093</v>
      </c>
      <c r="N2823" s="9">
        <v>821</v>
      </c>
      <c r="O2823" s="9">
        <v>1815</v>
      </c>
      <c r="P2823" s="9">
        <v>1350</v>
      </c>
      <c r="R2823" s="11"/>
      <c r="S2823" s="9"/>
      <c r="T2823" s="9"/>
      <c r="U2823" s="9"/>
    </row>
    <row r="2824" spans="2:21" x14ac:dyDescent="0.4">
      <c r="B2824" s="16">
        <f t="shared" si="228"/>
        <v>45867</v>
      </c>
      <c r="C2824" s="1">
        <f t="shared" si="229"/>
        <v>4087</v>
      </c>
      <c r="D2824" s="1">
        <f t="shared" si="230"/>
        <v>821</v>
      </c>
      <c r="E2824" s="1">
        <f t="shared" si="231"/>
        <v>1805</v>
      </c>
      <c r="F2824" s="1">
        <f t="shared" si="227"/>
        <v>1350</v>
      </c>
      <c r="L2824" s="11">
        <v>45867</v>
      </c>
      <c r="M2824" s="9">
        <v>4087</v>
      </c>
      <c r="N2824" s="9">
        <v>821</v>
      </c>
      <c r="O2824" s="9">
        <v>1805</v>
      </c>
      <c r="P2824" s="9">
        <v>1350</v>
      </c>
      <c r="R2824" s="11"/>
      <c r="S2824" s="9"/>
      <c r="T2824" s="9"/>
      <c r="U2824" s="9"/>
    </row>
    <row r="2825" spans="2:21" x14ac:dyDescent="0.4">
      <c r="B2825" s="16">
        <f t="shared" si="228"/>
        <v>45868</v>
      </c>
      <c r="C2825" s="1">
        <f t="shared" si="229"/>
        <v>4096</v>
      </c>
      <c r="D2825" s="1">
        <f t="shared" si="230"/>
        <v>821</v>
      </c>
      <c r="E2825" s="1">
        <f t="shared" si="231"/>
        <v>1795</v>
      </c>
      <c r="F2825" s="1">
        <f t="shared" si="227"/>
        <v>1350</v>
      </c>
      <c r="L2825" s="11">
        <v>45868</v>
      </c>
      <c r="M2825" s="9">
        <v>4096</v>
      </c>
      <c r="N2825" s="9">
        <v>821</v>
      </c>
      <c r="O2825" s="9">
        <v>1795</v>
      </c>
      <c r="P2825" s="9">
        <v>1350</v>
      </c>
      <c r="R2825" s="11"/>
      <c r="S2825" s="9"/>
      <c r="T2825" s="9"/>
      <c r="U2825" s="9"/>
    </row>
    <row r="2826" spans="2:21" x14ac:dyDescent="0.4">
      <c r="B2826" s="16">
        <f t="shared" si="228"/>
        <v>45869</v>
      </c>
      <c r="C2826" s="1">
        <f t="shared" si="229"/>
        <v>4098</v>
      </c>
      <c r="D2826" s="1">
        <f t="shared" si="230"/>
        <v>821</v>
      </c>
      <c r="E2826" s="1">
        <f t="shared" si="231"/>
        <v>1790</v>
      </c>
      <c r="F2826" s="1">
        <f t="shared" si="227"/>
        <v>1350</v>
      </c>
      <c r="L2826" s="11">
        <v>45869</v>
      </c>
      <c r="M2826" s="9">
        <v>4098</v>
      </c>
      <c r="N2826" s="9">
        <v>821</v>
      </c>
      <c r="O2826" s="9">
        <v>1790</v>
      </c>
      <c r="P2826" s="9">
        <v>1350</v>
      </c>
      <c r="R2826" s="11"/>
      <c r="S2826" s="9"/>
      <c r="T2826" s="9"/>
      <c r="U2826" s="9"/>
    </row>
    <row r="2827" spans="2:21" x14ac:dyDescent="0.4">
      <c r="B2827" s="16">
        <f t="shared" si="228"/>
        <v>45870</v>
      </c>
      <c r="C2827" s="1">
        <f t="shared" si="229"/>
        <v>4087</v>
      </c>
      <c r="D2827" s="1">
        <f t="shared" si="230"/>
        <v>821</v>
      </c>
      <c r="E2827" s="1">
        <f t="shared" si="231"/>
        <v>1790</v>
      </c>
      <c r="F2827" s="1">
        <f t="shared" si="227"/>
        <v>1350</v>
      </c>
      <c r="L2827" s="11">
        <v>45870</v>
      </c>
      <c r="M2827" s="9">
        <v>4087</v>
      </c>
      <c r="N2827" s="9">
        <v>821</v>
      </c>
      <c r="O2827" s="9">
        <v>1790</v>
      </c>
      <c r="P2827" s="9">
        <v>1350</v>
      </c>
      <c r="R2827" s="11"/>
      <c r="S2827" s="9"/>
      <c r="T2827" s="9"/>
      <c r="U2827" s="9"/>
    </row>
    <row r="2828" spans="2:21" x14ac:dyDescent="0.4">
      <c r="B2828" s="16">
        <f t="shared" si="228"/>
        <v>45873</v>
      </c>
      <c r="C2828" s="1">
        <f t="shared" si="229"/>
        <v>4069</v>
      </c>
      <c r="D2828" s="1">
        <f t="shared" si="230"/>
        <v>821</v>
      </c>
      <c r="E2828" s="1">
        <f t="shared" si="231"/>
        <v>1785</v>
      </c>
      <c r="F2828" s="1">
        <f t="shared" si="227"/>
        <v>1350</v>
      </c>
      <c r="L2828" s="11">
        <v>45873</v>
      </c>
      <c r="M2828" s="9">
        <v>4069</v>
      </c>
      <c r="N2828" s="9">
        <v>821</v>
      </c>
      <c r="O2828" s="9">
        <v>1785</v>
      </c>
      <c r="P2828" s="9">
        <v>1350</v>
      </c>
      <c r="R2828" s="11"/>
      <c r="S2828" s="9"/>
      <c r="T2828" s="9"/>
      <c r="U2828" s="9"/>
    </row>
    <row r="2829" spans="2:21" x14ac:dyDescent="0.4">
      <c r="B2829" s="16">
        <f t="shared" si="228"/>
        <v>45874</v>
      </c>
      <c r="C2829" s="1">
        <f t="shared" si="229"/>
        <v>4055</v>
      </c>
      <c r="D2829" s="1">
        <f t="shared" si="230"/>
        <v>821</v>
      </c>
      <c r="E2829" s="1">
        <f t="shared" si="231"/>
        <v>1780</v>
      </c>
      <c r="F2829" s="1">
        <f t="shared" si="227"/>
        <v>1350</v>
      </c>
      <c r="L2829" s="11">
        <v>45874</v>
      </c>
      <c r="M2829" s="9">
        <v>4055</v>
      </c>
      <c r="N2829" s="9">
        <v>821</v>
      </c>
      <c r="O2829" s="9">
        <v>1780</v>
      </c>
      <c r="P2829" s="9">
        <v>1350</v>
      </c>
      <c r="R2829" s="11"/>
      <c r="S2829" s="9"/>
      <c r="T2829" s="9"/>
      <c r="U2829" s="9"/>
    </row>
    <row r="2830" spans="2:21" x14ac:dyDescent="0.4">
      <c r="B2830" s="16">
        <f t="shared" si="228"/>
        <v>45875</v>
      </c>
      <c r="C2830" s="1">
        <f t="shared" si="229"/>
        <v>4055</v>
      </c>
      <c r="D2830" s="1">
        <f t="shared" si="230"/>
        <v>821</v>
      </c>
      <c r="E2830" s="1">
        <f t="shared" si="231"/>
        <v>1785</v>
      </c>
      <c r="F2830" s="1">
        <f t="shared" si="227"/>
        <v>1300</v>
      </c>
      <c r="L2830" s="11">
        <v>45875</v>
      </c>
      <c r="M2830" s="9">
        <v>4055</v>
      </c>
      <c r="N2830" s="9">
        <v>821</v>
      </c>
      <c r="O2830" s="9">
        <v>1785</v>
      </c>
      <c r="P2830" s="9">
        <v>1300</v>
      </c>
      <c r="R2830" s="11"/>
      <c r="S2830" s="9"/>
      <c r="T2830" s="9"/>
      <c r="U2830" s="9"/>
    </row>
    <row r="2831" spans="2:21" x14ac:dyDescent="0.4">
      <c r="B2831" s="16">
        <f t="shared" si="228"/>
        <v>45876</v>
      </c>
      <c r="C2831" s="1">
        <f t="shared" si="229"/>
        <v>4059</v>
      </c>
      <c r="D2831" s="1">
        <f t="shared" si="230"/>
        <v>821</v>
      </c>
      <c r="E2831" s="1">
        <f t="shared" si="231"/>
        <v>1795</v>
      </c>
      <c r="F2831" s="1">
        <f t="shared" si="227"/>
        <v>1300</v>
      </c>
      <c r="L2831" s="11">
        <v>45876</v>
      </c>
      <c r="M2831" s="9">
        <v>4059</v>
      </c>
      <c r="N2831" s="9">
        <v>821</v>
      </c>
      <c r="O2831" s="9">
        <v>1795</v>
      </c>
      <c r="P2831" s="9">
        <v>1300</v>
      </c>
      <c r="R2831" s="11"/>
      <c r="S2831" s="9"/>
      <c r="T2831" s="9"/>
      <c r="U2831" s="9"/>
    </row>
    <row r="2832" spans="2:21" x14ac:dyDescent="0.4">
      <c r="B2832" s="16">
        <f t="shared" si="228"/>
        <v>45877</v>
      </c>
      <c r="C2832" s="1">
        <f t="shared" si="229"/>
        <v>4054</v>
      </c>
      <c r="D2832" s="1">
        <f t="shared" si="230"/>
        <v>821</v>
      </c>
      <c r="E2832" s="1">
        <f t="shared" si="231"/>
        <v>1795</v>
      </c>
      <c r="F2832" s="1">
        <f t="shared" si="227"/>
        <v>1300</v>
      </c>
      <c r="L2832" s="11">
        <v>45877</v>
      </c>
      <c r="M2832" s="9">
        <v>4054</v>
      </c>
      <c r="N2832" s="9">
        <v>821</v>
      </c>
      <c r="O2832" s="9">
        <v>1795</v>
      </c>
      <c r="P2832" s="9">
        <v>1300</v>
      </c>
      <c r="R2832" s="11"/>
      <c r="S2832" s="9"/>
      <c r="T2832" s="9"/>
      <c r="U2832" s="9"/>
    </row>
    <row r="2833" spans="2:21" x14ac:dyDescent="0.4">
      <c r="B2833" s="16">
        <f t="shared" si="228"/>
        <v>45880</v>
      </c>
      <c r="C2833" s="1">
        <f t="shared" si="229"/>
        <v>4056</v>
      </c>
      <c r="D2833" s="1">
        <f t="shared" si="230"/>
        <v>826</v>
      </c>
      <c r="E2833" s="1">
        <f t="shared" si="231"/>
        <v>1795</v>
      </c>
      <c r="F2833" s="1">
        <f t="shared" si="227"/>
        <v>1300</v>
      </c>
      <c r="L2833" s="11">
        <v>45880</v>
      </c>
      <c r="M2833" s="9">
        <v>4056</v>
      </c>
      <c r="N2833" s="9">
        <v>826</v>
      </c>
      <c r="O2833" s="9">
        <v>1795</v>
      </c>
      <c r="P2833" s="9">
        <v>1300</v>
      </c>
      <c r="R2833" s="11"/>
      <c r="S2833" s="9"/>
      <c r="T2833" s="9"/>
      <c r="U2833" s="9"/>
    </row>
    <row r="2834" spans="2:21" x14ac:dyDescent="0.4">
      <c r="B2834" s="16">
        <f t="shared" si="228"/>
        <v>45881</v>
      </c>
      <c r="C2834" s="1">
        <f t="shared" si="229"/>
        <v>4059</v>
      </c>
      <c r="D2834" s="1">
        <f t="shared" si="230"/>
        <v>826</v>
      </c>
      <c r="E2834" s="1">
        <f t="shared" si="231"/>
        <v>1795</v>
      </c>
      <c r="F2834" s="1">
        <f t="shared" si="227"/>
        <v>1300</v>
      </c>
      <c r="L2834" s="11">
        <v>45881</v>
      </c>
      <c r="M2834" s="9">
        <v>4059</v>
      </c>
      <c r="N2834" s="9">
        <v>826</v>
      </c>
      <c r="O2834" s="9">
        <v>1795</v>
      </c>
      <c r="P2834" s="9">
        <v>1300</v>
      </c>
      <c r="R2834" s="11"/>
      <c r="S2834" s="9"/>
      <c r="T2834" s="9"/>
      <c r="U2834" s="9"/>
    </row>
    <row r="2835" spans="2:21" x14ac:dyDescent="0.4">
      <c r="B2835" s="16">
        <f t="shared" si="228"/>
        <v>45882</v>
      </c>
      <c r="C2835" s="1">
        <f t="shared" si="229"/>
        <v>4038</v>
      </c>
      <c r="D2835" s="1">
        <f t="shared" si="230"/>
        <v>826</v>
      </c>
      <c r="E2835" s="1">
        <f t="shared" si="231"/>
        <v>1765</v>
      </c>
      <c r="F2835" s="1">
        <f t="shared" si="227"/>
        <v>1300</v>
      </c>
      <c r="L2835" s="11">
        <v>45882</v>
      </c>
      <c r="M2835" s="9">
        <v>4038</v>
      </c>
      <c r="N2835" s="9">
        <v>826</v>
      </c>
      <c r="O2835" s="9">
        <v>1765</v>
      </c>
      <c r="P2835" s="9">
        <v>1300</v>
      </c>
      <c r="R2835" s="11"/>
      <c r="S2835" s="9"/>
      <c r="T2835" s="9"/>
      <c r="U2835" s="9"/>
    </row>
    <row r="2836" spans="2:21" x14ac:dyDescent="0.4">
      <c r="B2836" s="16">
        <f t="shared" si="228"/>
        <v>45883</v>
      </c>
      <c r="C2836" s="1">
        <f t="shared" si="229"/>
        <v>4031</v>
      </c>
      <c r="D2836" s="1">
        <f t="shared" si="230"/>
        <v>826</v>
      </c>
      <c r="E2836" s="1">
        <f t="shared" si="231"/>
        <v>1765</v>
      </c>
      <c r="F2836" s="1">
        <f t="shared" si="227"/>
        <v>1250</v>
      </c>
      <c r="L2836" s="11">
        <v>45883</v>
      </c>
      <c r="M2836" s="9">
        <v>4031</v>
      </c>
      <c r="N2836" s="9">
        <v>826</v>
      </c>
      <c r="O2836" s="9">
        <v>1765</v>
      </c>
      <c r="P2836" s="9">
        <v>1250</v>
      </c>
      <c r="R2836" s="11"/>
      <c r="S2836" s="9"/>
      <c r="T2836" s="9"/>
      <c r="U2836" s="9"/>
    </row>
    <row r="2837" spans="2:21" x14ac:dyDescent="0.4">
      <c r="B2837" s="16">
        <f t="shared" si="228"/>
        <v>45884</v>
      </c>
      <c r="C2837" s="1">
        <f t="shared" si="229"/>
        <v>4024</v>
      </c>
      <c r="D2837" s="1">
        <f t="shared" si="230"/>
        <v>826</v>
      </c>
      <c r="E2837" s="1">
        <f t="shared" si="231"/>
        <v>1760</v>
      </c>
      <c r="F2837" s="1">
        <f t="shared" si="227"/>
        <v>1250</v>
      </c>
      <c r="L2837" s="11">
        <v>45884</v>
      </c>
      <c r="M2837" s="9">
        <v>4024</v>
      </c>
      <c r="N2837" s="9">
        <v>826</v>
      </c>
      <c r="O2837" s="9">
        <v>1760</v>
      </c>
      <c r="P2837" s="9">
        <v>1250</v>
      </c>
      <c r="R2837" s="11"/>
      <c r="S2837" s="9"/>
      <c r="T2837" s="9"/>
      <c r="U2837" s="9"/>
    </row>
    <row r="2838" spans="2:21" x14ac:dyDescent="0.4">
      <c r="B2838" s="16">
        <f t="shared" si="228"/>
        <v>45887</v>
      </c>
      <c r="C2838" s="1">
        <f t="shared" si="229"/>
        <v>4019</v>
      </c>
      <c r="D2838" s="1">
        <f t="shared" si="230"/>
        <v>826</v>
      </c>
      <c r="E2838" s="1">
        <f t="shared" si="231"/>
        <v>1760</v>
      </c>
      <c r="F2838" s="1">
        <f t="shared" si="227"/>
        <v>1250</v>
      </c>
      <c r="L2838" s="11">
        <v>45887</v>
      </c>
      <c r="M2838" s="9">
        <v>4019</v>
      </c>
      <c r="N2838" s="9">
        <v>826</v>
      </c>
      <c r="O2838" s="9">
        <v>1760</v>
      </c>
      <c r="P2838" s="9">
        <v>1250</v>
      </c>
      <c r="R2838" s="11"/>
      <c r="S2838" s="9"/>
      <c r="T2838" s="9"/>
      <c r="U2838" s="9"/>
    </row>
    <row r="2839" spans="2:21" x14ac:dyDescent="0.4">
      <c r="B2839" s="16">
        <f t="shared" si="228"/>
        <v>45888</v>
      </c>
      <c r="C2839" s="1">
        <f t="shared" si="229"/>
        <v>4012</v>
      </c>
      <c r="D2839" s="1">
        <f t="shared" si="230"/>
        <v>826</v>
      </c>
      <c r="E2839" s="1">
        <f t="shared" si="231"/>
        <v>1760</v>
      </c>
      <c r="F2839" s="1">
        <f t="shared" si="227"/>
        <v>1250</v>
      </c>
      <c r="L2839" s="11">
        <v>45888</v>
      </c>
      <c r="M2839" s="9">
        <v>4012</v>
      </c>
      <c r="N2839" s="9">
        <v>826</v>
      </c>
      <c r="O2839" s="9">
        <v>1760</v>
      </c>
      <c r="P2839" s="9">
        <v>1250</v>
      </c>
      <c r="R2839" s="11"/>
      <c r="S2839" s="9"/>
      <c r="T2839" s="9"/>
      <c r="U2839" s="9"/>
    </row>
    <row r="2840" spans="2:21" x14ac:dyDescent="0.4">
      <c r="B2840" s="16">
        <f t="shared" si="228"/>
        <v>45889</v>
      </c>
      <c r="C2840" s="1">
        <f t="shared" si="229"/>
        <v>4012</v>
      </c>
      <c r="D2840" s="1">
        <f t="shared" si="230"/>
        <v>831</v>
      </c>
      <c r="E2840" s="1">
        <f t="shared" si="231"/>
        <v>1765</v>
      </c>
      <c r="F2840" s="1">
        <f t="shared" si="227"/>
        <v>1250</v>
      </c>
      <c r="L2840" s="11">
        <v>45889</v>
      </c>
      <c r="M2840" s="9">
        <v>4012</v>
      </c>
      <c r="N2840" s="9">
        <v>831</v>
      </c>
      <c r="O2840" s="9">
        <v>1765</v>
      </c>
      <c r="P2840" s="9">
        <v>1250</v>
      </c>
      <c r="R2840" s="11"/>
      <c r="S2840" s="9"/>
      <c r="T2840" s="9"/>
      <c r="U2840" s="9"/>
    </row>
    <row r="2841" spans="2:21" x14ac:dyDescent="0.4">
      <c r="B2841" s="16">
        <f t="shared" si="228"/>
        <v>45890</v>
      </c>
      <c r="C2841" s="1">
        <f t="shared" si="229"/>
        <v>4021</v>
      </c>
      <c r="D2841" s="1">
        <f t="shared" si="230"/>
        <v>831</v>
      </c>
      <c r="E2841" s="1">
        <f t="shared" si="231"/>
        <v>1775</v>
      </c>
      <c r="F2841" s="1">
        <f t="shared" si="227"/>
        <v>1250</v>
      </c>
      <c r="L2841" s="11">
        <v>45890</v>
      </c>
      <c r="M2841" s="9">
        <v>4021</v>
      </c>
      <c r="N2841" s="9">
        <v>831</v>
      </c>
      <c r="O2841" s="9">
        <v>1775</v>
      </c>
      <c r="P2841" s="9">
        <v>1250</v>
      </c>
      <c r="R2841" s="11"/>
      <c r="S2841" s="9"/>
      <c r="T2841" s="9"/>
      <c r="U2841" s="9"/>
    </row>
    <row r="2842" spans="2:21" x14ac:dyDescent="0.4">
      <c r="B2842" s="16">
        <f t="shared" si="228"/>
        <v>45891</v>
      </c>
      <c r="C2842" s="1">
        <f t="shared" si="229"/>
        <v>4031</v>
      </c>
      <c r="D2842" s="1">
        <f t="shared" si="230"/>
        <v>831</v>
      </c>
      <c r="E2842" s="1">
        <f t="shared" si="231"/>
        <v>1775</v>
      </c>
      <c r="F2842" s="1">
        <f t="shared" si="227"/>
        <v>1250</v>
      </c>
      <c r="L2842" s="11">
        <v>45891</v>
      </c>
      <c r="M2842" s="9">
        <v>4031</v>
      </c>
      <c r="N2842" s="9">
        <v>831</v>
      </c>
      <c r="O2842" s="9">
        <v>1775</v>
      </c>
      <c r="P2842" s="9">
        <v>1250</v>
      </c>
      <c r="R2842" s="11"/>
      <c r="S2842" s="9"/>
      <c r="T2842" s="9"/>
      <c r="U2842" s="9"/>
    </row>
    <row r="2843" spans="2:21" x14ac:dyDescent="0.4">
      <c r="B2843" s="16">
        <f t="shared" si="228"/>
        <v>45894</v>
      </c>
      <c r="C2843" s="1">
        <f t="shared" si="229"/>
        <v>4035</v>
      </c>
      <c r="D2843" s="1">
        <f t="shared" si="230"/>
        <v>841</v>
      </c>
      <c r="E2843" s="1">
        <f t="shared" si="231"/>
        <v>1770</v>
      </c>
      <c r="F2843" s="1">
        <f t="shared" si="227"/>
        <v>1250</v>
      </c>
      <c r="L2843" s="11">
        <v>45894</v>
      </c>
      <c r="M2843" s="9">
        <v>4035</v>
      </c>
      <c r="N2843" s="9">
        <v>841</v>
      </c>
      <c r="O2843" s="9">
        <v>1770</v>
      </c>
      <c r="P2843" s="9">
        <v>1250</v>
      </c>
      <c r="R2843" s="11"/>
      <c r="S2843" s="9"/>
      <c r="T2843" s="9"/>
      <c r="U2843" s="9"/>
    </row>
    <row r="2844" spans="2:21" x14ac:dyDescent="0.4">
      <c r="B2844" s="16">
        <f t="shared" si="228"/>
        <v>45895</v>
      </c>
      <c r="C2844" s="1">
        <f t="shared" si="229"/>
        <v>4035</v>
      </c>
      <c r="D2844" s="1">
        <f t="shared" si="230"/>
        <v>841</v>
      </c>
      <c r="E2844" s="1">
        <f t="shared" si="231"/>
        <v>1760</v>
      </c>
      <c r="F2844" s="1">
        <f t="shared" si="227"/>
        <v>1250</v>
      </c>
      <c r="L2844" s="11">
        <v>45895</v>
      </c>
      <c r="M2844" s="9">
        <v>4035</v>
      </c>
      <c r="N2844" s="9">
        <v>841</v>
      </c>
      <c r="O2844" s="9">
        <v>1760</v>
      </c>
      <c r="P2844" s="9">
        <v>1250</v>
      </c>
      <c r="R2844" s="11"/>
      <c r="S2844" s="9"/>
      <c r="T2844" s="9"/>
      <c r="U2844" s="9"/>
    </row>
    <row r="2845" spans="2:21" x14ac:dyDescent="0.4">
      <c r="B2845" s="16">
        <f t="shared" si="228"/>
        <v>45896</v>
      </c>
      <c r="C2845" s="1">
        <f t="shared" si="229"/>
        <v>4028</v>
      </c>
      <c r="D2845" s="1">
        <f t="shared" si="230"/>
        <v>843</v>
      </c>
      <c r="E2845" s="1">
        <f t="shared" si="231"/>
        <v>1755</v>
      </c>
      <c r="F2845" s="1">
        <f t="shared" si="227"/>
        <v>1250</v>
      </c>
      <c r="L2845" s="11">
        <v>45896</v>
      </c>
      <c r="M2845" s="9">
        <v>4028</v>
      </c>
      <c r="N2845" s="9">
        <v>843</v>
      </c>
      <c r="O2845" s="9">
        <v>1755</v>
      </c>
      <c r="P2845" s="9">
        <v>1250</v>
      </c>
      <c r="R2845" s="11"/>
      <c r="S2845" s="9"/>
      <c r="T2845" s="9"/>
      <c r="U2845" s="9"/>
    </row>
    <row r="2846" spans="2:21" x14ac:dyDescent="0.4">
      <c r="B2846" s="16">
        <f t="shared" si="228"/>
        <v>45897</v>
      </c>
      <c r="C2846" s="1">
        <f t="shared" si="229"/>
        <v>4014</v>
      </c>
      <c r="D2846" s="1">
        <f t="shared" si="230"/>
        <v>843</v>
      </c>
      <c r="E2846" s="1">
        <f t="shared" si="231"/>
        <v>1755</v>
      </c>
      <c r="F2846" s="1">
        <f t="shared" si="227"/>
        <v>1250</v>
      </c>
      <c r="L2846" s="11">
        <v>45897</v>
      </c>
      <c r="M2846" s="9">
        <v>4014</v>
      </c>
      <c r="N2846" s="9">
        <v>843</v>
      </c>
      <c r="O2846" s="9">
        <v>1755</v>
      </c>
      <c r="P2846" s="9">
        <v>1250</v>
      </c>
      <c r="R2846" s="11"/>
      <c r="S2846" s="9"/>
      <c r="T2846" s="9"/>
      <c r="U2846" s="9"/>
    </row>
    <row r="2847" spans="2:21" x14ac:dyDescent="0.4">
      <c r="B2847" s="16">
        <f t="shared" si="228"/>
        <v>45898</v>
      </c>
      <c r="C2847" s="1">
        <f t="shared" si="229"/>
        <v>4003</v>
      </c>
      <c r="D2847" s="1">
        <f t="shared" si="230"/>
        <v>841</v>
      </c>
      <c r="E2847" s="1">
        <f t="shared" si="231"/>
        <v>1750</v>
      </c>
      <c r="F2847" s="1">
        <f t="shared" si="227"/>
        <v>1250</v>
      </c>
      <c r="L2847" s="11">
        <v>45898</v>
      </c>
      <c r="M2847" s="9">
        <v>4003</v>
      </c>
      <c r="N2847" s="9">
        <v>841</v>
      </c>
      <c r="O2847" s="9">
        <v>1750</v>
      </c>
      <c r="P2847" s="9">
        <v>1250</v>
      </c>
      <c r="R2847" s="11"/>
      <c r="S2847" s="9"/>
      <c r="T2847" s="9"/>
      <c r="U2847" s="9"/>
    </row>
    <row r="2848" spans="2:21" x14ac:dyDescent="0.4">
      <c r="B2848" s="16">
        <f t="shared" si="228"/>
        <v>45901</v>
      </c>
      <c r="C2848" s="1">
        <f t="shared" si="229"/>
        <v>3995</v>
      </c>
      <c r="D2848" s="1">
        <f t="shared" si="230"/>
        <v>841</v>
      </c>
      <c r="E2848" s="1">
        <f t="shared" si="231"/>
        <v>1755</v>
      </c>
      <c r="F2848" s="1">
        <f t="shared" si="227"/>
        <v>1250</v>
      </c>
      <c r="L2848" s="11">
        <v>45901</v>
      </c>
      <c r="M2848" s="9">
        <v>3995</v>
      </c>
      <c r="N2848" s="9">
        <v>841</v>
      </c>
      <c r="O2848" s="9">
        <v>1755</v>
      </c>
      <c r="P2848" s="9">
        <v>1250</v>
      </c>
      <c r="R2848" s="11"/>
      <c r="S2848" s="9"/>
      <c r="T2848" s="9"/>
      <c r="U2848" s="9"/>
    </row>
    <row r="2849" spans="2:21" x14ac:dyDescent="0.4">
      <c r="B2849" s="16">
        <f t="shared" si="228"/>
        <v>45902</v>
      </c>
      <c r="C2849" s="1">
        <f t="shared" si="229"/>
        <v>3989</v>
      </c>
      <c r="D2849" s="1">
        <f t="shared" si="230"/>
        <v>841</v>
      </c>
      <c r="E2849" s="1">
        <f t="shared" si="231"/>
        <v>1750</v>
      </c>
      <c r="F2849" s="1">
        <f t="shared" si="227"/>
        <v>1250</v>
      </c>
      <c r="L2849" s="11">
        <v>45902</v>
      </c>
      <c r="M2849" s="9">
        <v>3989</v>
      </c>
      <c r="N2849" s="9">
        <v>841</v>
      </c>
      <c r="O2849" s="9">
        <v>1750</v>
      </c>
      <c r="P2849" s="9">
        <v>1250</v>
      </c>
      <c r="R2849" s="11"/>
      <c r="S2849" s="9"/>
      <c r="T2849" s="9"/>
      <c r="U2849" s="9"/>
    </row>
    <row r="2850" spans="2:21" x14ac:dyDescent="0.4">
      <c r="B2850" s="16">
        <f t="shared" si="228"/>
        <v>45903</v>
      </c>
      <c r="C2850" s="1">
        <f t="shared" si="229"/>
        <v>3987</v>
      </c>
      <c r="D2850" s="1">
        <f t="shared" si="230"/>
        <v>841</v>
      </c>
      <c r="E2850" s="1">
        <f t="shared" si="231"/>
        <v>1745</v>
      </c>
      <c r="F2850" s="1">
        <f t="shared" si="227"/>
        <v>1250</v>
      </c>
      <c r="L2850" s="11">
        <v>45903</v>
      </c>
      <c r="M2850" s="9">
        <v>3987</v>
      </c>
      <c r="N2850" s="9">
        <v>841</v>
      </c>
      <c r="O2850" s="9">
        <v>1745</v>
      </c>
      <c r="P2850" s="9">
        <v>1250</v>
      </c>
      <c r="R2850" s="11"/>
      <c r="S2850" s="9"/>
      <c r="T2850" s="9"/>
      <c r="U2850" s="9"/>
    </row>
    <row r="2851" spans="2:21" x14ac:dyDescent="0.4">
      <c r="B2851" s="16">
        <f t="shared" si="228"/>
        <v>45904</v>
      </c>
      <c r="C2851" s="1">
        <f t="shared" si="229"/>
        <v>3981</v>
      </c>
      <c r="D2851" s="1">
        <f t="shared" si="230"/>
        <v>841</v>
      </c>
      <c r="E2851" s="1">
        <f t="shared" si="231"/>
        <v>1745</v>
      </c>
      <c r="F2851" s="1">
        <f t="shared" si="227"/>
        <v>1250</v>
      </c>
      <c r="L2851" s="11">
        <v>45904</v>
      </c>
      <c r="M2851" s="9">
        <v>3981</v>
      </c>
      <c r="N2851" s="9">
        <v>841</v>
      </c>
      <c r="O2851" s="9">
        <v>1745</v>
      </c>
      <c r="P2851" s="9">
        <v>1250</v>
      </c>
      <c r="R2851" s="11"/>
      <c r="S2851" s="9"/>
      <c r="T2851" s="9"/>
      <c r="U2851" s="9"/>
    </row>
    <row r="2852" spans="2:21" x14ac:dyDescent="0.4">
      <c r="B2852" s="16">
        <f t="shared" si="228"/>
        <v>45905</v>
      </c>
      <c r="C2852" s="1">
        <f t="shared" si="229"/>
        <v>3976</v>
      </c>
      <c r="D2852" s="1">
        <f t="shared" si="230"/>
        <v>841</v>
      </c>
      <c r="E2852" s="1">
        <f t="shared" si="231"/>
        <v>1740</v>
      </c>
      <c r="F2852" s="1">
        <f t="shared" si="227"/>
        <v>1250</v>
      </c>
      <c r="L2852" s="11">
        <v>45905</v>
      </c>
      <c r="M2852" s="9">
        <v>3976</v>
      </c>
      <c r="N2852" s="9">
        <v>841</v>
      </c>
      <c r="O2852" s="9">
        <v>1740</v>
      </c>
      <c r="P2852" s="9">
        <v>1250</v>
      </c>
      <c r="R2852" s="11"/>
      <c r="S2852" s="9"/>
      <c r="T2852" s="9"/>
      <c r="U2852" s="9"/>
    </row>
    <row r="2853" spans="2:21" x14ac:dyDescent="0.4">
      <c r="B2853" s="16">
        <f t="shared" si="228"/>
        <v>45908</v>
      </c>
      <c r="C2853" s="1">
        <f t="shared" si="229"/>
        <v>3973</v>
      </c>
      <c r="D2853" s="1">
        <f t="shared" si="230"/>
        <v>841</v>
      </c>
      <c r="E2853" s="1">
        <f t="shared" si="231"/>
        <v>1740</v>
      </c>
      <c r="F2853" s="1">
        <f t="shared" si="227"/>
        <v>1250</v>
      </c>
      <c r="L2853" s="11">
        <v>45908</v>
      </c>
      <c r="M2853" s="9">
        <v>3973</v>
      </c>
      <c r="N2853" s="9">
        <v>841</v>
      </c>
      <c r="O2853" s="9">
        <v>1740</v>
      </c>
      <c r="P2853" s="9">
        <v>1250</v>
      </c>
      <c r="R2853" s="11"/>
      <c r="S2853" s="9"/>
      <c r="T2853" s="9"/>
      <c r="U2853" s="9"/>
    </row>
    <row r="2854" spans="2:21" x14ac:dyDescent="0.4">
      <c r="B2854" s="16">
        <f t="shared" si="228"/>
        <v>45909</v>
      </c>
      <c r="C2854" s="1">
        <f t="shared" si="229"/>
        <v>3979</v>
      </c>
      <c r="D2854" s="1">
        <f t="shared" si="230"/>
        <v>841</v>
      </c>
      <c r="E2854" s="1">
        <f t="shared" si="231"/>
        <v>1730</v>
      </c>
      <c r="F2854" s="1">
        <f t="shared" si="227"/>
        <v>1250</v>
      </c>
      <c r="L2854" s="11">
        <v>45909</v>
      </c>
      <c r="M2854" s="9">
        <v>3979</v>
      </c>
      <c r="N2854" s="9">
        <v>841</v>
      </c>
      <c r="O2854" s="9">
        <v>1730</v>
      </c>
      <c r="P2854" s="9">
        <v>1250</v>
      </c>
      <c r="R2854" s="11"/>
      <c r="S2854" s="9"/>
      <c r="T2854" s="9"/>
      <c r="U2854" s="9"/>
    </row>
    <row r="2855" spans="2:21" x14ac:dyDescent="0.4">
      <c r="B2855" s="16">
        <f t="shared" si="228"/>
        <v>45910</v>
      </c>
      <c r="C2855" s="1">
        <f t="shared" si="229"/>
        <v>3979</v>
      </c>
      <c r="D2855" s="1">
        <f t="shared" si="230"/>
        <v>841</v>
      </c>
      <c r="E2855" s="1">
        <f t="shared" si="231"/>
        <v>1720</v>
      </c>
      <c r="F2855" s="1">
        <f t="shared" si="227"/>
        <v>1250</v>
      </c>
      <c r="L2855" s="11">
        <v>45910</v>
      </c>
      <c r="M2855" s="9">
        <v>3979</v>
      </c>
      <c r="N2855" s="9">
        <v>841</v>
      </c>
      <c r="O2855" s="9">
        <v>1720</v>
      </c>
      <c r="P2855" s="9">
        <v>1250</v>
      </c>
      <c r="R2855" s="11"/>
      <c r="S2855" s="9"/>
      <c r="T2855" s="9"/>
      <c r="U2855" s="9"/>
    </row>
    <row r="2856" spans="2:21" x14ac:dyDescent="0.4">
      <c r="B2856" s="16">
        <f t="shared" si="228"/>
        <v>45911</v>
      </c>
      <c r="C2856" s="1">
        <f t="shared" si="229"/>
        <v>3975</v>
      </c>
      <c r="D2856" s="1">
        <f t="shared" si="230"/>
        <v>841</v>
      </c>
      <c r="E2856" s="1">
        <f t="shared" si="231"/>
        <v>1715</v>
      </c>
      <c r="F2856" s="1">
        <f t="shared" si="227"/>
        <v>1250</v>
      </c>
      <c r="L2856" s="11">
        <v>45911</v>
      </c>
      <c r="M2856" s="9">
        <v>3975</v>
      </c>
      <c r="N2856" s="9">
        <v>841</v>
      </c>
      <c r="O2856" s="9">
        <v>1715</v>
      </c>
      <c r="P2856" s="9">
        <v>1250</v>
      </c>
      <c r="R2856" s="11"/>
      <c r="S2856" s="9"/>
      <c r="T2856" s="9"/>
      <c r="U2856" s="9"/>
    </row>
    <row r="2857" spans="2:21" x14ac:dyDescent="0.4">
      <c r="B2857" s="16">
        <f t="shared" si="228"/>
        <v>45912</v>
      </c>
      <c r="C2857" s="1">
        <f t="shared" si="229"/>
        <v>3969</v>
      </c>
      <c r="D2857" s="1">
        <f t="shared" si="230"/>
        <v>851</v>
      </c>
      <c r="E2857" s="1">
        <f t="shared" si="231"/>
        <v>1705</v>
      </c>
      <c r="F2857" s="1">
        <f t="shared" si="227"/>
        <v>1250</v>
      </c>
      <c r="L2857" s="11">
        <v>45912</v>
      </c>
      <c r="M2857" s="9">
        <v>3969</v>
      </c>
      <c r="N2857" s="9">
        <v>851</v>
      </c>
      <c r="O2857" s="9">
        <v>1705</v>
      </c>
      <c r="P2857" s="9">
        <v>1250</v>
      </c>
      <c r="R2857" s="11"/>
      <c r="S2857" s="9"/>
      <c r="T2857" s="9"/>
      <c r="U2857" s="9"/>
    </row>
    <row r="2858" spans="2:21" x14ac:dyDescent="0.4">
      <c r="B2858" s="16">
        <f t="shared" si="228"/>
        <v>45915</v>
      </c>
      <c r="C2858" s="1">
        <f t="shared" si="229"/>
        <v>3970</v>
      </c>
      <c r="D2858" s="1">
        <f t="shared" si="230"/>
        <v>851</v>
      </c>
      <c r="E2858" s="1">
        <f t="shared" si="231"/>
        <v>1705</v>
      </c>
      <c r="F2858" s="1">
        <f t="shared" si="227"/>
        <v>1250</v>
      </c>
      <c r="L2858" s="11">
        <v>45915</v>
      </c>
      <c r="M2858" s="9">
        <v>3970</v>
      </c>
      <c r="N2858" s="9">
        <v>851</v>
      </c>
      <c r="O2858" s="9">
        <v>1705</v>
      </c>
      <c r="P2858" s="9">
        <v>1250</v>
      </c>
      <c r="R2858" s="11"/>
      <c r="S2858" s="9"/>
      <c r="T2858" s="9"/>
      <c r="U2858" s="9"/>
    </row>
    <row r="2859" spans="2:21" x14ac:dyDescent="0.4">
      <c r="B2859" s="16">
        <f t="shared" si="228"/>
        <v>45916</v>
      </c>
      <c r="C2859" s="1">
        <f t="shared" si="229"/>
        <v>3978</v>
      </c>
      <c r="D2859" s="1">
        <f t="shared" si="230"/>
        <v>851</v>
      </c>
      <c r="E2859" s="1">
        <f t="shared" si="231"/>
        <v>1700</v>
      </c>
      <c r="F2859" s="1">
        <f t="shared" si="227"/>
        <v>1250</v>
      </c>
      <c r="L2859" s="11">
        <v>45916</v>
      </c>
      <c r="M2859" s="9">
        <v>3978</v>
      </c>
      <c r="N2859" s="9">
        <v>851</v>
      </c>
      <c r="O2859" s="9">
        <v>1700</v>
      </c>
      <c r="P2859" s="9">
        <v>1250</v>
      </c>
      <c r="R2859" s="11"/>
      <c r="S2859" s="9"/>
      <c r="T2859" s="9"/>
      <c r="U2859" s="9"/>
    </row>
    <row r="2860" spans="2:21" x14ac:dyDescent="0.4">
      <c r="B2860" s="16">
        <f t="shared" si="228"/>
        <v>45917</v>
      </c>
      <c r="C2860" s="1">
        <f t="shared" si="229"/>
        <v>3984</v>
      </c>
      <c r="D2860" s="1">
        <f t="shared" si="230"/>
        <v>851</v>
      </c>
      <c r="E2860" s="1">
        <f t="shared" si="231"/>
        <v>1700</v>
      </c>
      <c r="F2860" s="1">
        <f t="shared" si="227"/>
        <v>1250</v>
      </c>
      <c r="L2860" s="11">
        <v>45917</v>
      </c>
      <c r="M2860" s="9">
        <v>3984</v>
      </c>
      <c r="N2860" s="9">
        <v>851</v>
      </c>
      <c r="O2860" s="9">
        <v>1700</v>
      </c>
      <c r="P2860" s="9">
        <v>1250</v>
      </c>
      <c r="R2860" s="11"/>
      <c r="S2860" s="9"/>
      <c r="T2860" s="9"/>
      <c r="U2860" s="9"/>
    </row>
    <row r="2861" spans="2:21" x14ac:dyDescent="0.4">
      <c r="B2861" s="16">
        <f t="shared" si="228"/>
        <v>45918</v>
      </c>
      <c r="C2861" s="1">
        <f t="shared" si="229"/>
        <v>3984</v>
      </c>
      <c r="D2861" s="1">
        <f t="shared" si="230"/>
        <v>851</v>
      </c>
      <c r="E2861" s="1">
        <f t="shared" si="231"/>
        <v>1700</v>
      </c>
      <c r="F2861" s="1">
        <f t="shared" si="227"/>
        <v>1250</v>
      </c>
      <c r="L2861" s="11">
        <v>45918</v>
      </c>
      <c r="M2861" s="9">
        <v>3984</v>
      </c>
      <c r="N2861" s="9">
        <v>851</v>
      </c>
      <c r="O2861" s="9">
        <v>1700</v>
      </c>
      <c r="P2861" s="9">
        <v>1250</v>
      </c>
      <c r="R2861" s="11"/>
      <c r="S2861" s="9"/>
      <c r="T2861" s="9"/>
      <c r="U2861" s="9"/>
    </row>
    <row r="2862" spans="2:21" x14ac:dyDescent="0.4">
      <c r="B2862" s="16">
        <f t="shared" si="228"/>
        <v>45919</v>
      </c>
      <c r="C2862" s="1">
        <f t="shared" si="229"/>
        <v>3970</v>
      </c>
      <c r="D2862" s="1">
        <f t="shared" si="230"/>
        <v>846</v>
      </c>
      <c r="E2862" s="1">
        <f t="shared" si="231"/>
        <v>1695</v>
      </c>
      <c r="F2862" s="1">
        <f t="shared" si="227"/>
        <v>1250</v>
      </c>
      <c r="L2862" s="11">
        <v>45919</v>
      </c>
      <c r="M2862" s="9">
        <v>3970</v>
      </c>
      <c r="N2862" s="9">
        <v>846</v>
      </c>
      <c r="O2862" s="9">
        <v>1695</v>
      </c>
      <c r="P2862" s="9">
        <v>1250</v>
      </c>
      <c r="R2862" s="11"/>
      <c r="S2862" s="9"/>
      <c r="T2862" s="9"/>
      <c r="U2862" s="9"/>
    </row>
    <row r="2863" spans="2:21" x14ac:dyDescent="0.4">
      <c r="B2863" s="16">
        <f t="shared" si="228"/>
        <v>45922</v>
      </c>
      <c r="C2863" s="1">
        <f t="shared" si="229"/>
        <v>3964</v>
      </c>
      <c r="D2863" s="1">
        <f t="shared" si="230"/>
        <v>846</v>
      </c>
      <c r="E2863" s="1">
        <f t="shared" si="231"/>
        <v>1690</v>
      </c>
      <c r="F2863" s="1">
        <f t="shared" si="227"/>
        <v>1250</v>
      </c>
      <c r="L2863" s="11">
        <v>45922</v>
      </c>
      <c r="M2863" s="9">
        <v>3964</v>
      </c>
      <c r="N2863" s="9">
        <v>846</v>
      </c>
      <c r="O2863" s="9">
        <v>1690</v>
      </c>
      <c r="P2863" s="9">
        <v>1250</v>
      </c>
      <c r="R2863" s="11"/>
      <c r="S2863" s="9"/>
      <c r="T2863" s="9"/>
      <c r="U2863" s="9"/>
    </row>
    <row r="2864" spans="2:21" x14ac:dyDescent="0.4">
      <c r="B2864" s="16">
        <f t="shared" si="228"/>
        <v>45923</v>
      </c>
      <c r="C2864" s="1">
        <f t="shared" si="229"/>
        <v>3953</v>
      </c>
      <c r="D2864" s="1">
        <f t="shared" si="230"/>
        <v>846</v>
      </c>
      <c r="E2864" s="1">
        <f t="shared" si="231"/>
        <v>1680</v>
      </c>
      <c r="F2864" s="1">
        <f t="shared" si="227"/>
        <v>1250</v>
      </c>
      <c r="L2864" s="11">
        <v>45923</v>
      </c>
      <c r="M2864" s="9">
        <v>3953</v>
      </c>
      <c r="N2864" s="9">
        <v>846</v>
      </c>
      <c r="O2864" s="9">
        <v>1680</v>
      </c>
      <c r="P2864" s="9">
        <v>1250</v>
      </c>
      <c r="R2864" s="11"/>
      <c r="S2864" s="9"/>
      <c r="T2864" s="9"/>
      <c r="U2864" s="9"/>
    </row>
    <row r="2865" spans="2:21" x14ac:dyDescent="0.4">
      <c r="B2865" s="16">
        <f t="shared" si="228"/>
        <v>45924</v>
      </c>
      <c r="C2865" s="1">
        <f t="shared" si="229"/>
        <v>3956</v>
      </c>
      <c r="D2865" s="1">
        <f t="shared" si="230"/>
        <v>841</v>
      </c>
      <c r="E2865" s="1">
        <f t="shared" si="231"/>
        <v>1670</v>
      </c>
      <c r="F2865" s="1">
        <f t="shared" si="227"/>
        <v>1250</v>
      </c>
      <c r="L2865" s="11">
        <v>45924</v>
      </c>
      <c r="M2865" s="9">
        <v>3956</v>
      </c>
      <c r="N2865" s="9">
        <v>841</v>
      </c>
      <c r="O2865" s="9">
        <v>1670</v>
      </c>
      <c r="P2865" s="9">
        <v>1250</v>
      </c>
      <c r="R2865" s="11"/>
      <c r="S2865" s="9"/>
      <c r="T2865" s="9"/>
      <c r="U2865" s="9"/>
    </row>
    <row r="2866" spans="2:21" x14ac:dyDescent="0.4">
      <c r="B2866" s="16">
        <f t="shared" si="228"/>
        <v>45925</v>
      </c>
      <c r="C2866" s="1">
        <f t="shared" si="229"/>
        <v>3962</v>
      </c>
      <c r="D2866" s="1">
        <f t="shared" si="230"/>
        <v>821</v>
      </c>
      <c r="E2866" s="1">
        <f t="shared" si="231"/>
        <v>1665</v>
      </c>
      <c r="F2866" s="1">
        <f t="shared" ref="F2866:F2929" si="232">IF(P2866&lt;&gt;0,P2866,F2865)</f>
        <v>1250</v>
      </c>
      <c r="L2866" s="11">
        <v>45925</v>
      </c>
      <c r="M2866" s="9">
        <v>3962</v>
      </c>
      <c r="N2866" s="9">
        <v>821</v>
      </c>
      <c r="O2866" s="9">
        <v>1665</v>
      </c>
      <c r="P2866" s="9">
        <v>1250</v>
      </c>
      <c r="R2866" s="11"/>
      <c r="S2866" s="9"/>
      <c r="T2866" s="9"/>
      <c r="U2866" s="9"/>
    </row>
    <row r="2867" spans="2:21" x14ac:dyDescent="0.4">
      <c r="B2867" s="16">
        <f t="shared" si="228"/>
        <v>45926</v>
      </c>
      <c r="C2867" s="1">
        <f t="shared" si="229"/>
        <v>3967</v>
      </c>
      <c r="D2867" s="1">
        <f t="shared" si="230"/>
        <v>811</v>
      </c>
      <c r="E2867" s="1">
        <f t="shared" si="231"/>
        <v>1660</v>
      </c>
      <c r="F2867" s="1">
        <f t="shared" si="232"/>
        <v>1250</v>
      </c>
      <c r="L2867" s="11">
        <v>45926</v>
      </c>
      <c r="M2867" s="9">
        <v>3967</v>
      </c>
      <c r="N2867" s="9">
        <v>811</v>
      </c>
      <c r="O2867" s="9">
        <v>1660</v>
      </c>
      <c r="P2867" s="9">
        <v>1250</v>
      </c>
      <c r="R2867" s="11"/>
      <c r="S2867" s="9"/>
      <c r="T2867" s="9"/>
      <c r="U2867" s="9"/>
    </row>
    <row r="2868" spans="2:21" x14ac:dyDescent="0.4">
      <c r="B2868" s="16">
        <f t="shared" si="228"/>
        <v>45928</v>
      </c>
      <c r="C2868" s="1">
        <f t="shared" si="229"/>
        <v>3967</v>
      </c>
      <c r="D2868" s="1">
        <f t="shared" si="230"/>
        <v>811</v>
      </c>
      <c r="E2868" s="1">
        <f t="shared" si="231"/>
        <v>1660</v>
      </c>
      <c r="F2868" s="1">
        <f t="shared" si="232"/>
        <v>1250</v>
      </c>
      <c r="L2868" s="11">
        <v>45928</v>
      </c>
      <c r="M2868" s="9">
        <v>3967</v>
      </c>
      <c r="N2868" s="9">
        <v>0</v>
      </c>
      <c r="O2868" s="9">
        <v>1660</v>
      </c>
      <c r="P2868" s="9">
        <v>1250</v>
      </c>
      <c r="R2868" s="11"/>
      <c r="S2868" s="9"/>
      <c r="T2868" s="9"/>
      <c r="U2868" s="9"/>
    </row>
    <row r="2869" spans="2:21" x14ac:dyDescent="0.4">
      <c r="B2869" s="16">
        <f t="shared" si="228"/>
        <v>45929</v>
      </c>
      <c r="C2869" s="1">
        <f t="shared" si="229"/>
        <v>3966</v>
      </c>
      <c r="D2869" s="1">
        <f t="shared" si="230"/>
        <v>811</v>
      </c>
      <c r="E2869" s="1">
        <f t="shared" si="231"/>
        <v>1655</v>
      </c>
      <c r="F2869" s="1">
        <f t="shared" si="232"/>
        <v>1250</v>
      </c>
      <c r="L2869" s="11">
        <v>45929</v>
      </c>
      <c r="M2869" s="9">
        <v>3966</v>
      </c>
      <c r="N2869" s="9">
        <v>811</v>
      </c>
      <c r="O2869" s="9">
        <v>1655</v>
      </c>
      <c r="P2869" s="9">
        <v>1250</v>
      </c>
      <c r="R2869" s="11"/>
      <c r="S2869" s="9"/>
      <c r="T2869" s="9"/>
      <c r="U2869" s="9"/>
    </row>
    <row r="2870" spans="2:21" x14ac:dyDescent="0.4">
      <c r="B2870" s="16">
        <f t="shared" si="228"/>
        <v>45930</v>
      </c>
      <c r="C2870" s="1">
        <f t="shared" si="229"/>
        <v>3949</v>
      </c>
      <c r="D2870" s="1">
        <f t="shared" si="230"/>
        <v>811</v>
      </c>
      <c r="E2870" s="1">
        <f t="shared" si="231"/>
        <v>1655</v>
      </c>
      <c r="F2870" s="1">
        <f t="shared" si="232"/>
        <v>1250</v>
      </c>
      <c r="L2870" s="11">
        <v>45930</v>
      </c>
      <c r="M2870" s="9">
        <v>3949</v>
      </c>
      <c r="N2870" s="9">
        <v>811</v>
      </c>
      <c r="O2870" s="9">
        <v>1655</v>
      </c>
      <c r="P2870" s="9">
        <v>1250</v>
      </c>
      <c r="R2870" s="11"/>
      <c r="S2870" s="9"/>
      <c r="T2870" s="9"/>
      <c r="U2870" s="9"/>
    </row>
    <row r="2871" spans="2:21" x14ac:dyDescent="0.4">
      <c r="B2871" s="16">
        <f t="shared" si="228"/>
        <v>45931</v>
      </c>
      <c r="C2871" s="1">
        <f t="shared" si="229"/>
        <v>3949</v>
      </c>
      <c r="D2871" s="1">
        <f t="shared" si="230"/>
        <v>811</v>
      </c>
      <c r="E2871" s="1">
        <f t="shared" si="231"/>
        <v>1655</v>
      </c>
      <c r="F2871" s="1">
        <f t="shared" si="232"/>
        <v>1250</v>
      </c>
      <c r="L2871" s="11">
        <v>45931</v>
      </c>
      <c r="M2871" s="9">
        <v>0</v>
      </c>
      <c r="N2871" s="9">
        <v>811</v>
      </c>
      <c r="O2871" s="9">
        <v>0</v>
      </c>
      <c r="P2871" s="9">
        <v>0</v>
      </c>
      <c r="R2871" s="11"/>
      <c r="S2871" s="9"/>
      <c r="T2871" s="9"/>
      <c r="U2871" s="9"/>
    </row>
    <row r="2872" spans="2:21" x14ac:dyDescent="0.4">
      <c r="B2872" s="16">
        <f t="shared" si="228"/>
        <v>45932</v>
      </c>
      <c r="C2872" s="1">
        <f t="shared" si="229"/>
        <v>3949</v>
      </c>
      <c r="D2872" s="1">
        <f t="shared" si="230"/>
        <v>806</v>
      </c>
      <c r="E2872" s="1">
        <f t="shared" si="231"/>
        <v>1655</v>
      </c>
      <c r="F2872" s="1">
        <f t="shared" si="232"/>
        <v>1250</v>
      </c>
      <c r="L2872" s="11">
        <v>45932</v>
      </c>
      <c r="M2872" s="9">
        <v>0</v>
      </c>
      <c r="N2872" s="9">
        <v>806</v>
      </c>
      <c r="O2872" s="9">
        <v>0</v>
      </c>
      <c r="P2872" s="9">
        <v>0</v>
      </c>
      <c r="R2872" s="11"/>
      <c r="S2872" s="9"/>
      <c r="T2872" s="9"/>
      <c r="U2872" s="9"/>
    </row>
    <row r="2873" spans="2:21" x14ac:dyDescent="0.4">
      <c r="B2873" s="16">
        <f t="shared" si="228"/>
        <v>45933</v>
      </c>
      <c r="C2873" s="1">
        <f t="shared" si="229"/>
        <v>3949</v>
      </c>
      <c r="D2873" s="1">
        <f t="shared" si="230"/>
        <v>806</v>
      </c>
      <c r="E2873" s="1">
        <f t="shared" si="231"/>
        <v>1655</v>
      </c>
      <c r="F2873" s="1">
        <f t="shared" si="232"/>
        <v>1250</v>
      </c>
      <c r="L2873" s="11">
        <v>45933</v>
      </c>
      <c r="M2873" s="9">
        <v>0</v>
      </c>
      <c r="N2873" s="9">
        <v>806</v>
      </c>
      <c r="O2873" s="9">
        <v>0</v>
      </c>
      <c r="P2873" s="9">
        <v>0</v>
      </c>
      <c r="R2873" s="11"/>
      <c r="S2873" s="9"/>
      <c r="T2873" s="9"/>
      <c r="U2873" s="9"/>
    </row>
    <row r="2874" spans="2:21" x14ac:dyDescent="0.4">
      <c r="B2874" s="16">
        <f t="shared" si="228"/>
        <v>45936</v>
      </c>
      <c r="C2874" s="1">
        <f t="shared" si="229"/>
        <v>3949</v>
      </c>
      <c r="D2874" s="1">
        <f t="shared" si="230"/>
        <v>806</v>
      </c>
      <c r="E2874" s="1">
        <f t="shared" si="231"/>
        <v>1655</v>
      </c>
      <c r="F2874" s="1">
        <f t="shared" si="232"/>
        <v>1250</v>
      </c>
      <c r="L2874" s="11">
        <v>45936</v>
      </c>
      <c r="M2874" s="9">
        <v>0</v>
      </c>
      <c r="N2874" s="9">
        <v>806</v>
      </c>
      <c r="O2874" s="9">
        <v>0</v>
      </c>
      <c r="P2874" s="9">
        <v>0</v>
      </c>
      <c r="R2874" s="11"/>
      <c r="S2874" s="9"/>
      <c r="T2874" s="9"/>
      <c r="U2874" s="9"/>
    </row>
    <row r="2875" spans="2:21" x14ac:dyDescent="0.4">
      <c r="B2875" s="16">
        <f t="shared" si="228"/>
        <v>45937</v>
      </c>
      <c r="C2875" s="1">
        <f t="shared" si="229"/>
        <v>3949</v>
      </c>
      <c r="D2875" s="1">
        <f t="shared" si="230"/>
        <v>806</v>
      </c>
      <c r="E2875" s="1">
        <f t="shared" si="231"/>
        <v>1655</v>
      </c>
      <c r="F2875" s="1">
        <f t="shared" si="232"/>
        <v>1250</v>
      </c>
      <c r="L2875" s="11">
        <v>45937</v>
      </c>
      <c r="M2875" s="9">
        <v>0</v>
      </c>
      <c r="N2875" s="9">
        <v>806</v>
      </c>
      <c r="O2875" s="9">
        <v>0</v>
      </c>
      <c r="P2875" s="9">
        <v>0</v>
      </c>
      <c r="R2875" s="11"/>
      <c r="S2875" s="9"/>
      <c r="T2875" s="9"/>
      <c r="U2875" s="9"/>
    </row>
    <row r="2876" spans="2:21" x14ac:dyDescent="0.4">
      <c r="B2876" s="16">
        <f t="shared" si="228"/>
        <v>45938</v>
      </c>
      <c r="C2876" s="1">
        <f t="shared" si="229"/>
        <v>3949</v>
      </c>
      <c r="D2876" s="1">
        <f t="shared" si="230"/>
        <v>806</v>
      </c>
      <c r="E2876" s="1">
        <f t="shared" si="231"/>
        <v>1655</v>
      </c>
      <c r="F2876" s="1">
        <f t="shared" si="232"/>
        <v>1250</v>
      </c>
      <c r="L2876" s="11">
        <v>45938</v>
      </c>
      <c r="M2876" s="9">
        <v>0</v>
      </c>
      <c r="N2876" s="9">
        <v>806</v>
      </c>
      <c r="O2876" s="9">
        <v>0</v>
      </c>
      <c r="P2876" s="9">
        <v>0</v>
      </c>
      <c r="R2876" s="11"/>
      <c r="S2876" s="9"/>
      <c r="T2876" s="9"/>
      <c r="U2876" s="9"/>
    </row>
    <row r="2877" spans="2:21" x14ac:dyDescent="0.4">
      <c r="B2877" s="16">
        <f t="shared" si="228"/>
        <v>45939</v>
      </c>
      <c r="C2877" s="1">
        <f t="shared" si="229"/>
        <v>3930</v>
      </c>
      <c r="D2877" s="1">
        <f t="shared" si="230"/>
        <v>806</v>
      </c>
      <c r="E2877" s="1">
        <f t="shared" si="231"/>
        <v>1650</v>
      </c>
      <c r="F2877" s="1">
        <f t="shared" si="232"/>
        <v>1250</v>
      </c>
      <c r="L2877" s="11">
        <v>45939</v>
      </c>
      <c r="M2877" s="9">
        <v>3930</v>
      </c>
      <c r="N2877" s="9">
        <v>806</v>
      </c>
      <c r="O2877" s="9">
        <v>1650</v>
      </c>
      <c r="P2877" s="9">
        <v>1250</v>
      </c>
      <c r="R2877" s="11"/>
      <c r="S2877" s="9"/>
      <c r="T2877" s="9"/>
      <c r="U2877" s="9"/>
    </row>
    <row r="2878" spans="2:21" x14ac:dyDescent="0.4">
      <c r="B2878" s="16">
        <f t="shared" si="228"/>
        <v>45940</v>
      </c>
      <c r="C2878" s="1">
        <f t="shared" si="229"/>
        <v>3930</v>
      </c>
      <c r="D2878" s="1">
        <f t="shared" si="230"/>
        <v>786</v>
      </c>
      <c r="E2878" s="1">
        <f t="shared" si="231"/>
        <v>1630</v>
      </c>
      <c r="F2878" s="1">
        <f t="shared" si="232"/>
        <v>1250</v>
      </c>
      <c r="L2878" s="11">
        <v>45940</v>
      </c>
      <c r="M2878" s="9">
        <v>3930</v>
      </c>
      <c r="N2878" s="9">
        <v>786</v>
      </c>
      <c r="O2878" s="9">
        <v>1630</v>
      </c>
      <c r="P2878" s="9">
        <v>1250</v>
      </c>
      <c r="R2878" s="11"/>
      <c r="S2878" s="9"/>
      <c r="T2878" s="9"/>
      <c r="U2878" s="9"/>
    </row>
    <row r="2879" spans="2:21" x14ac:dyDescent="0.4">
      <c r="B2879" s="16">
        <f t="shared" si="228"/>
        <v>45941</v>
      </c>
      <c r="C2879" s="1">
        <f t="shared" si="229"/>
        <v>3917</v>
      </c>
      <c r="D2879" s="1">
        <f t="shared" si="230"/>
        <v>786</v>
      </c>
      <c r="E2879" s="1">
        <f t="shared" si="231"/>
        <v>1625</v>
      </c>
      <c r="F2879" s="1">
        <f t="shared" si="232"/>
        <v>1250</v>
      </c>
      <c r="L2879" s="11">
        <v>45941</v>
      </c>
      <c r="M2879" s="9">
        <v>3917</v>
      </c>
      <c r="N2879" s="9">
        <v>0</v>
      </c>
      <c r="O2879" s="9">
        <v>1625</v>
      </c>
      <c r="P2879" s="9">
        <v>1250</v>
      </c>
      <c r="R2879" s="11"/>
      <c r="S2879" s="9"/>
      <c r="T2879" s="9"/>
      <c r="U2879" s="9"/>
    </row>
    <row r="2880" spans="2:21" x14ac:dyDescent="0.4">
      <c r="B2880" s="16">
        <f t="shared" si="228"/>
        <v>45943</v>
      </c>
      <c r="C2880" s="1">
        <f t="shared" si="229"/>
        <v>3909</v>
      </c>
      <c r="D2880" s="1">
        <f t="shared" si="230"/>
        <v>786</v>
      </c>
      <c r="E2880" s="1">
        <f t="shared" si="231"/>
        <v>1615</v>
      </c>
      <c r="F2880" s="1">
        <f t="shared" si="232"/>
        <v>1250</v>
      </c>
      <c r="L2880" s="11">
        <v>45943</v>
      </c>
      <c r="M2880" s="9">
        <v>3909</v>
      </c>
      <c r="N2880" s="9">
        <v>786</v>
      </c>
      <c r="O2880" s="9">
        <v>1615</v>
      </c>
      <c r="P2880" s="9">
        <v>1250</v>
      </c>
      <c r="R2880" s="11"/>
      <c r="S2880" s="9"/>
      <c r="T2880" s="9"/>
      <c r="U2880" s="9"/>
    </row>
    <row r="2881" spans="2:21" x14ac:dyDescent="0.4">
      <c r="B2881" s="16">
        <f t="shared" si="228"/>
        <v>45944</v>
      </c>
      <c r="C2881" s="1">
        <f t="shared" si="229"/>
        <v>3895</v>
      </c>
      <c r="D2881" s="1">
        <f t="shared" si="230"/>
        <v>786</v>
      </c>
      <c r="E2881" s="1">
        <f t="shared" si="231"/>
        <v>1610</v>
      </c>
      <c r="F2881" s="1">
        <f t="shared" si="232"/>
        <v>1250</v>
      </c>
      <c r="L2881" s="11">
        <v>45944</v>
      </c>
      <c r="M2881" s="9">
        <v>3895</v>
      </c>
      <c r="N2881" s="9">
        <v>786</v>
      </c>
      <c r="O2881" s="9">
        <v>1610</v>
      </c>
      <c r="P2881" s="9">
        <v>1250</v>
      </c>
      <c r="R2881" s="11"/>
      <c r="S2881" s="9"/>
      <c r="T2881" s="9"/>
      <c r="U2881" s="9"/>
    </row>
    <row r="2882" spans="2:21" x14ac:dyDescent="0.4">
      <c r="B2882" s="16">
        <f t="shared" si="228"/>
        <v>45945</v>
      </c>
      <c r="C2882" s="1">
        <f t="shared" si="229"/>
        <v>3883</v>
      </c>
      <c r="D2882" s="1">
        <f t="shared" si="230"/>
        <v>786</v>
      </c>
      <c r="E2882" s="1">
        <f t="shared" si="231"/>
        <v>1610</v>
      </c>
      <c r="F2882" s="1">
        <f t="shared" si="232"/>
        <v>1250</v>
      </c>
      <c r="L2882" s="11">
        <v>45945</v>
      </c>
      <c r="M2882" s="9">
        <v>3883</v>
      </c>
      <c r="N2882" s="9">
        <v>786</v>
      </c>
      <c r="O2882" s="9">
        <v>1610</v>
      </c>
      <c r="P2882" s="9">
        <v>1250</v>
      </c>
      <c r="R2882" s="11"/>
      <c r="S2882" s="9"/>
      <c r="T2882" s="9"/>
      <c r="U2882" s="9"/>
    </row>
    <row r="2883" spans="2:21" x14ac:dyDescent="0.4">
      <c r="B2883" s="16">
        <f t="shared" si="228"/>
        <v>45946</v>
      </c>
      <c r="C2883" s="1">
        <f t="shared" si="229"/>
        <v>3886</v>
      </c>
      <c r="D2883" s="1">
        <f t="shared" si="230"/>
        <v>786</v>
      </c>
      <c r="E2883" s="1">
        <f t="shared" si="231"/>
        <v>1610</v>
      </c>
      <c r="F2883" s="1">
        <f t="shared" si="232"/>
        <v>1250</v>
      </c>
      <c r="L2883" s="11">
        <v>45946</v>
      </c>
      <c r="M2883" s="9">
        <v>3886</v>
      </c>
      <c r="N2883" s="9">
        <v>786</v>
      </c>
      <c r="O2883" s="9">
        <v>1610</v>
      </c>
      <c r="P2883" s="9">
        <v>1250</v>
      </c>
      <c r="R2883" s="11"/>
      <c r="S2883" s="9"/>
      <c r="T2883" s="9"/>
      <c r="U2883" s="9"/>
    </row>
    <row r="2884" spans="2:21" x14ac:dyDescent="0.4">
      <c r="B2884" s="16">
        <f t="shared" si="228"/>
        <v>45947</v>
      </c>
      <c r="C2884" s="1">
        <f t="shared" si="229"/>
        <v>3876</v>
      </c>
      <c r="D2884" s="1">
        <f t="shared" si="230"/>
        <v>781</v>
      </c>
      <c r="E2884" s="1">
        <f t="shared" si="231"/>
        <v>1610</v>
      </c>
      <c r="F2884" s="1">
        <f t="shared" si="232"/>
        <v>1250</v>
      </c>
      <c r="L2884" s="11">
        <v>45947</v>
      </c>
      <c r="M2884" s="9">
        <v>3876</v>
      </c>
      <c r="N2884" s="9">
        <v>781</v>
      </c>
      <c r="O2884" s="9">
        <v>1610</v>
      </c>
      <c r="P2884" s="9">
        <v>1250</v>
      </c>
      <c r="R2884" s="11"/>
      <c r="S2884" s="9"/>
      <c r="T2884" s="9"/>
      <c r="U2884" s="9"/>
    </row>
    <row r="2885" spans="2:21" x14ac:dyDescent="0.4">
      <c r="B2885" s="16">
        <f t="shared" si="228"/>
        <v>45950</v>
      </c>
      <c r="C2885" s="1">
        <f t="shared" si="229"/>
        <v>3872</v>
      </c>
      <c r="D2885" s="1">
        <f t="shared" si="230"/>
        <v>781</v>
      </c>
      <c r="E2885" s="1">
        <f t="shared" si="231"/>
        <v>1610</v>
      </c>
      <c r="F2885" s="1">
        <f t="shared" si="232"/>
        <v>1250</v>
      </c>
      <c r="L2885" s="11">
        <v>45950</v>
      </c>
      <c r="M2885" s="9">
        <v>3872</v>
      </c>
      <c r="N2885" s="9">
        <v>0</v>
      </c>
      <c r="O2885" s="9">
        <v>1610</v>
      </c>
      <c r="P2885" s="9">
        <v>1250</v>
      </c>
      <c r="R2885" s="11"/>
      <c r="S2885" s="9"/>
      <c r="T2885" s="9"/>
      <c r="U2885" s="9"/>
    </row>
    <row r="2886" spans="2:21" x14ac:dyDescent="0.4">
      <c r="B2886" s="16">
        <f t="shared" ref="B2886:B2949" si="233">L2886</f>
        <v>45951</v>
      </c>
      <c r="C2886" s="1">
        <f t="shared" si="229"/>
        <v>3868</v>
      </c>
      <c r="D2886" s="1">
        <f t="shared" si="230"/>
        <v>781</v>
      </c>
      <c r="E2886" s="1">
        <f t="shared" si="231"/>
        <v>1605</v>
      </c>
      <c r="F2886" s="1">
        <f t="shared" si="232"/>
        <v>1250</v>
      </c>
      <c r="L2886" s="11">
        <v>45951</v>
      </c>
      <c r="M2886" s="9">
        <v>3868</v>
      </c>
      <c r="N2886" s="9">
        <v>781</v>
      </c>
      <c r="O2886" s="9">
        <v>1605</v>
      </c>
      <c r="P2886" s="9">
        <v>1250</v>
      </c>
      <c r="R2886" s="11"/>
      <c r="S2886" s="9"/>
      <c r="T2886" s="9"/>
      <c r="U2886" s="9"/>
    </row>
    <row r="2887" spans="2:21" x14ac:dyDescent="0.4">
      <c r="B2887" s="16">
        <f t="shared" si="233"/>
        <v>45952</v>
      </c>
      <c r="C2887" s="1">
        <f t="shared" ref="C2887:C2950" si="234">IF(M2887&lt;&gt;0,M2887,C2886)</f>
        <v>3865</v>
      </c>
      <c r="D2887" s="1">
        <f t="shared" ref="D2887:D2950" si="235">IF(N2887&lt;&gt;0,N2887,D2886)</f>
        <v>781</v>
      </c>
      <c r="E2887" s="1">
        <f t="shared" ref="E2887:E2950" si="236">IF(O2887&lt;&gt;0,O2887,E2886)</f>
        <v>1605</v>
      </c>
      <c r="F2887" s="1">
        <f t="shared" si="232"/>
        <v>1250</v>
      </c>
      <c r="L2887" s="11">
        <v>45952</v>
      </c>
      <c r="M2887" s="9">
        <v>3865</v>
      </c>
      <c r="N2887" s="9">
        <v>781</v>
      </c>
      <c r="O2887" s="9">
        <v>1605</v>
      </c>
      <c r="P2887" s="9">
        <v>1250</v>
      </c>
      <c r="R2887" s="11"/>
      <c r="S2887" s="9"/>
      <c r="T2887" s="9"/>
      <c r="U2887" s="9"/>
    </row>
    <row r="2888" spans="2:21" x14ac:dyDescent="0.4">
      <c r="B2888" s="16">
        <f t="shared" si="233"/>
        <v>45953</v>
      </c>
      <c r="C2888" s="1">
        <f t="shared" si="234"/>
        <v>3874</v>
      </c>
      <c r="D2888" s="1">
        <f t="shared" si="235"/>
        <v>781</v>
      </c>
      <c r="E2888" s="1">
        <f t="shared" si="236"/>
        <v>1605</v>
      </c>
      <c r="F2888" s="1">
        <f t="shared" si="232"/>
        <v>1250</v>
      </c>
      <c r="L2888" s="11">
        <v>45953</v>
      </c>
      <c r="M2888" s="9">
        <v>3874</v>
      </c>
      <c r="N2888" s="9">
        <v>781</v>
      </c>
      <c r="O2888" s="9">
        <v>1605</v>
      </c>
      <c r="P2888" s="9">
        <v>1250</v>
      </c>
      <c r="R2888" s="11"/>
      <c r="S2888" s="9"/>
      <c r="T2888" s="9"/>
      <c r="U2888" s="9"/>
    </row>
    <row r="2889" spans="2:21" x14ac:dyDescent="0.4">
      <c r="B2889" s="16">
        <f t="shared" si="233"/>
        <v>45954</v>
      </c>
      <c r="C2889" s="1">
        <f t="shared" si="234"/>
        <v>3882</v>
      </c>
      <c r="D2889" s="1">
        <f t="shared" si="235"/>
        <v>766</v>
      </c>
      <c r="E2889" s="1">
        <f t="shared" si="236"/>
        <v>1605</v>
      </c>
      <c r="F2889" s="1">
        <f t="shared" si="232"/>
        <v>1250</v>
      </c>
      <c r="L2889" s="11">
        <v>45954</v>
      </c>
      <c r="M2889" s="9">
        <v>3882</v>
      </c>
      <c r="N2889" s="9">
        <v>766</v>
      </c>
      <c r="O2889" s="9">
        <v>1605</v>
      </c>
      <c r="P2889" s="9">
        <v>1250</v>
      </c>
      <c r="R2889" s="11"/>
      <c r="S2889" s="9"/>
      <c r="T2889" s="9"/>
      <c r="U2889" s="9"/>
    </row>
    <row r="2890" spans="2:21" x14ac:dyDescent="0.4">
      <c r="B2890" s="16">
        <f t="shared" si="233"/>
        <v>45957</v>
      </c>
      <c r="C2890" s="1">
        <f t="shared" si="234"/>
        <v>3882</v>
      </c>
      <c r="D2890" s="1">
        <f t="shared" si="235"/>
        <v>766</v>
      </c>
      <c r="E2890" s="1">
        <f t="shared" si="236"/>
        <v>1615</v>
      </c>
      <c r="F2890" s="1">
        <f t="shared" si="232"/>
        <v>1250</v>
      </c>
      <c r="L2890" s="11">
        <v>45957</v>
      </c>
      <c r="M2890" s="9">
        <v>3882</v>
      </c>
      <c r="N2890" s="9">
        <v>766</v>
      </c>
      <c r="O2890" s="9">
        <v>1615</v>
      </c>
      <c r="P2890" s="9">
        <v>1250</v>
      </c>
      <c r="R2890" s="11"/>
      <c r="S2890" s="9"/>
      <c r="T2890" s="9"/>
      <c r="U2890" s="9"/>
    </row>
    <row r="2891" spans="2:21" x14ac:dyDescent="0.4">
      <c r="B2891" s="16">
        <f t="shared" si="233"/>
        <v>45958</v>
      </c>
      <c r="C2891" s="1">
        <f t="shared" si="234"/>
        <v>3884</v>
      </c>
      <c r="D2891" s="1">
        <f t="shared" si="235"/>
        <v>766</v>
      </c>
      <c r="E2891" s="1">
        <f t="shared" si="236"/>
        <v>1625</v>
      </c>
      <c r="F2891" s="1">
        <f t="shared" si="232"/>
        <v>1250</v>
      </c>
      <c r="L2891" s="11">
        <v>45958</v>
      </c>
      <c r="M2891" s="9">
        <v>3884</v>
      </c>
      <c r="N2891" s="9">
        <v>766</v>
      </c>
      <c r="O2891" s="9">
        <v>1625</v>
      </c>
      <c r="P2891" s="9">
        <v>1250</v>
      </c>
      <c r="R2891" s="11"/>
      <c r="S2891" s="9"/>
      <c r="T2891" s="9"/>
      <c r="U2891" s="9"/>
    </row>
    <row r="2892" spans="2:21" x14ac:dyDescent="0.4">
      <c r="B2892" s="16">
        <f t="shared" si="233"/>
        <v>45959</v>
      </c>
      <c r="C2892" s="1">
        <f t="shared" si="234"/>
        <v>3875</v>
      </c>
      <c r="D2892" s="1">
        <f t="shared" si="235"/>
        <v>766</v>
      </c>
      <c r="E2892" s="1">
        <f t="shared" si="236"/>
        <v>1625</v>
      </c>
      <c r="F2892" s="1">
        <f t="shared" si="232"/>
        <v>1250</v>
      </c>
      <c r="L2892" s="11">
        <v>45959</v>
      </c>
      <c r="M2892" s="9">
        <v>3875</v>
      </c>
      <c r="N2892" s="9">
        <v>766</v>
      </c>
      <c r="O2892" s="9">
        <v>1625</v>
      </c>
      <c r="P2892" s="9">
        <v>1250</v>
      </c>
      <c r="R2892" s="11"/>
      <c r="S2892" s="9"/>
      <c r="T2892" s="9"/>
      <c r="U2892" s="9"/>
    </row>
    <row r="2893" spans="2:21" x14ac:dyDescent="0.4">
      <c r="B2893" s="16">
        <f t="shared" si="233"/>
        <v>45960</v>
      </c>
      <c r="C2893" s="1">
        <f t="shared" si="234"/>
        <v>3870</v>
      </c>
      <c r="D2893" s="1">
        <f t="shared" si="235"/>
        <v>766</v>
      </c>
      <c r="E2893" s="1">
        <f t="shared" si="236"/>
        <v>1625</v>
      </c>
      <c r="F2893" s="1">
        <f t="shared" si="232"/>
        <v>1250</v>
      </c>
      <c r="L2893" s="11">
        <v>45960</v>
      </c>
      <c r="M2893" s="9">
        <v>3870</v>
      </c>
      <c r="N2893" s="9">
        <v>766</v>
      </c>
      <c r="O2893" s="9">
        <v>1625</v>
      </c>
      <c r="P2893" s="9">
        <v>1250</v>
      </c>
      <c r="R2893" s="11"/>
      <c r="S2893" s="9"/>
      <c r="T2893" s="9"/>
      <c r="U2893" s="9"/>
    </row>
    <row r="2894" spans="2:21" x14ac:dyDescent="0.4">
      <c r="B2894" s="16">
        <f t="shared" si="233"/>
        <v>45961</v>
      </c>
      <c r="C2894" s="1">
        <f t="shared" si="234"/>
        <v>3869</v>
      </c>
      <c r="D2894" s="1">
        <f t="shared" si="235"/>
        <v>741</v>
      </c>
      <c r="E2894" s="1">
        <f t="shared" si="236"/>
        <v>1625</v>
      </c>
      <c r="F2894" s="1">
        <f t="shared" si="232"/>
        <v>1250</v>
      </c>
      <c r="L2894" s="11">
        <v>45961</v>
      </c>
      <c r="M2894" s="9">
        <v>3869</v>
      </c>
      <c r="N2894" s="9">
        <v>741</v>
      </c>
      <c r="O2894" s="9">
        <v>1625</v>
      </c>
      <c r="P2894" s="9">
        <v>1250</v>
      </c>
      <c r="R2894" s="11"/>
      <c r="S2894" s="9"/>
      <c r="T2894" s="9"/>
      <c r="U2894" s="9"/>
    </row>
    <row r="2895" spans="2:21" x14ac:dyDescent="0.4">
      <c r="B2895" s="16">
        <f t="shared" si="233"/>
        <v>45964</v>
      </c>
      <c r="C2895" s="1">
        <f t="shared" si="234"/>
        <v>3856</v>
      </c>
      <c r="D2895" s="1">
        <f t="shared" si="235"/>
        <v>741</v>
      </c>
      <c r="E2895" s="1">
        <f t="shared" si="236"/>
        <v>1620</v>
      </c>
      <c r="F2895" s="1">
        <f t="shared" si="232"/>
        <v>1250</v>
      </c>
      <c r="L2895" s="11">
        <v>45964</v>
      </c>
      <c r="M2895" s="9">
        <v>3856</v>
      </c>
      <c r="N2895" s="9">
        <v>741</v>
      </c>
      <c r="O2895" s="9">
        <v>1620</v>
      </c>
      <c r="P2895" s="9">
        <v>1250</v>
      </c>
      <c r="R2895" s="11"/>
      <c r="S2895" s="9"/>
      <c r="T2895" s="9"/>
      <c r="U2895" s="9"/>
    </row>
    <row r="2896" spans="2:21" x14ac:dyDescent="0.4">
      <c r="B2896" s="16">
        <f t="shared" si="233"/>
        <v>45965</v>
      </c>
      <c r="C2896" s="1">
        <f t="shared" si="234"/>
        <v>3835</v>
      </c>
      <c r="D2896" s="1">
        <f t="shared" si="235"/>
        <v>741</v>
      </c>
      <c r="E2896" s="1">
        <f t="shared" si="236"/>
        <v>1610</v>
      </c>
      <c r="F2896" s="1">
        <f t="shared" si="232"/>
        <v>1250</v>
      </c>
      <c r="L2896" s="11">
        <v>45965</v>
      </c>
      <c r="M2896" s="9">
        <v>3835</v>
      </c>
      <c r="N2896" s="9">
        <v>741</v>
      </c>
      <c r="O2896" s="9">
        <v>1610</v>
      </c>
      <c r="P2896" s="9">
        <v>1250</v>
      </c>
      <c r="R2896" s="11"/>
      <c r="S2896" s="9"/>
      <c r="T2896" s="9"/>
      <c r="U2896" s="9"/>
    </row>
    <row r="2897" spans="2:21" x14ac:dyDescent="0.4">
      <c r="B2897" s="16">
        <f t="shared" si="233"/>
        <v>45966</v>
      </c>
      <c r="C2897" s="1">
        <f t="shared" si="234"/>
        <v>3823</v>
      </c>
      <c r="D2897" s="1">
        <f t="shared" si="235"/>
        <v>741</v>
      </c>
      <c r="E2897" s="1">
        <f t="shared" si="236"/>
        <v>1610</v>
      </c>
      <c r="F2897" s="1">
        <f t="shared" si="232"/>
        <v>1250</v>
      </c>
      <c r="L2897" s="11">
        <v>45966</v>
      </c>
      <c r="M2897" s="9">
        <v>3823</v>
      </c>
      <c r="N2897" s="9">
        <v>741</v>
      </c>
      <c r="O2897" s="9">
        <v>1610</v>
      </c>
      <c r="P2897" s="9">
        <v>1250</v>
      </c>
      <c r="R2897" s="11"/>
      <c r="S2897" s="9"/>
      <c r="T2897" s="9"/>
      <c r="U2897" s="9"/>
    </row>
    <row r="2898" spans="2:21" x14ac:dyDescent="0.4">
      <c r="B2898" s="16">
        <f t="shared" si="233"/>
        <v>45967</v>
      </c>
      <c r="C2898" s="1">
        <f t="shared" si="234"/>
        <v>3827</v>
      </c>
      <c r="D2898" s="1">
        <f t="shared" si="235"/>
        <v>741</v>
      </c>
      <c r="E2898" s="1">
        <f t="shared" si="236"/>
        <v>1610</v>
      </c>
      <c r="F2898" s="1">
        <f t="shared" si="232"/>
        <v>1250</v>
      </c>
      <c r="L2898" s="11">
        <v>45967</v>
      </c>
      <c r="M2898" s="9">
        <v>3827</v>
      </c>
      <c r="N2898" s="9">
        <v>741</v>
      </c>
      <c r="O2898" s="9">
        <v>1610</v>
      </c>
      <c r="P2898" s="9">
        <v>1250</v>
      </c>
      <c r="R2898" s="11"/>
      <c r="S2898" s="9"/>
      <c r="T2898" s="9"/>
      <c r="U2898" s="9"/>
    </row>
    <row r="2899" spans="2:21" x14ac:dyDescent="0.4">
      <c r="B2899" s="16">
        <f t="shared" si="233"/>
        <v>45968</v>
      </c>
      <c r="C2899" s="1">
        <f t="shared" si="234"/>
        <v>3837</v>
      </c>
      <c r="D2899" s="1">
        <f t="shared" si="235"/>
        <v>741</v>
      </c>
      <c r="E2899" s="1">
        <f t="shared" si="236"/>
        <v>1615</v>
      </c>
      <c r="F2899" s="1">
        <f t="shared" si="232"/>
        <v>1250</v>
      </c>
      <c r="L2899" s="11">
        <v>45968</v>
      </c>
      <c r="M2899" s="9">
        <v>3837</v>
      </c>
      <c r="N2899" s="9">
        <v>741</v>
      </c>
      <c r="O2899" s="9">
        <v>1615</v>
      </c>
      <c r="P2899" s="9">
        <v>1250</v>
      </c>
      <c r="R2899" s="11"/>
      <c r="S2899" s="9"/>
      <c r="T2899" s="9"/>
      <c r="U2899" s="9"/>
    </row>
    <row r="2900" spans="2:21" x14ac:dyDescent="0.4">
      <c r="B2900" s="16">
        <f t="shared" si="233"/>
        <v>45971</v>
      </c>
      <c r="C2900" s="1">
        <f t="shared" si="234"/>
        <v>3843</v>
      </c>
      <c r="D2900" s="1">
        <f t="shared" si="235"/>
        <v>741</v>
      </c>
      <c r="E2900" s="1">
        <f t="shared" si="236"/>
        <v>1625</v>
      </c>
      <c r="F2900" s="1">
        <f t="shared" si="232"/>
        <v>1250</v>
      </c>
      <c r="L2900" s="11">
        <v>45971</v>
      </c>
      <c r="M2900" s="9">
        <v>3843</v>
      </c>
      <c r="N2900" s="9">
        <v>741</v>
      </c>
      <c r="O2900" s="9">
        <v>1625</v>
      </c>
      <c r="P2900" s="9">
        <v>1250</v>
      </c>
      <c r="R2900" s="11"/>
      <c r="S2900" s="9"/>
      <c r="T2900" s="9"/>
      <c r="U2900" s="9"/>
    </row>
    <row r="2901" spans="2:21" x14ac:dyDescent="0.4">
      <c r="B2901" s="16">
        <f t="shared" si="233"/>
        <v>45972</v>
      </c>
      <c r="C2901" s="1">
        <f t="shared" si="234"/>
        <v>3852</v>
      </c>
      <c r="D2901" s="1">
        <f t="shared" si="235"/>
        <v>741</v>
      </c>
      <c r="E2901" s="1">
        <f t="shared" si="236"/>
        <v>1640</v>
      </c>
      <c r="F2901" s="1">
        <f t="shared" si="232"/>
        <v>1250</v>
      </c>
      <c r="L2901" s="11">
        <v>45972</v>
      </c>
      <c r="M2901" s="9">
        <v>3852</v>
      </c>
      <c r="N2901" s="9">
        <v>741</v>
      </c>
      <c r="O2901" s="9">
        <v>1640</v>
      </c>
      <c r="P2901" s="9">
        <v>1250</v>
      </c>
      <c r="R2901" s="11"/>
      <c r="S2901" s="9"/>
      <c r="T2901" s="9"/>
      <c r="U2901" s="9"/>
    </row>
    <row r="2902" spans="2:21" x14ac:dyDescent="0.4">
      <c r="B2902" s="16">
        <f t="shared" si="233"/>
        <v>45973</v>
      </c>
      <c r="C2902" s="1">
        <f t="shared" si="234"/>
        <v>3856</v>
      </c>
      <c r="D2902" s="1">
        <f t="shared" si="235"/>
        <v>741</v>
      </c>
      <c r="E2902" s="1">
        <f t="shared" si="236"/>
        <v>1645</v>
      </c>
      <c r="F2902" s="1">
        <f t="shared" si="232"/>
        <v>1250</v>
      </c>
      <c r="L2902" s="11">
        <v>45973</v>
      </c>
      <c r="M2902" s="9">
        <v>3856</v>
      </c>
      <c r="N2902" s="9">
        <v>741</v>
      </c>
      <c r="O2902" s="9">
        <v>1645</v>
      </c>
      <c r="P2902" s="9">
        <v>1250</v>
      </c>
      <c r="R2902" s="11"/>
      <c r="S2902" s="9"/>
      <c r="T2902" s="9"/>
      <c r="U2902" s="9"/>
    </row>
    <row r="2903" spans="2:21" x14ac:dyDescent="0.4">
      <c r="B2903" s="16">
        <f t="shared" si="233"/>
        <v>45974</v>
      </c>
      <c r="C2903" s="1">
        <f t="shared" si="234"/>
        <v>3859</v>
      </c>
      <c r="D2903" s="1">
        <f t="shared" si="235"/>
        <v>736</v>
      </c>
      <c r="E2903" s="1">
        <f t="shared" si="236"/>
        <v>1645</v>
      </c>
      <c r="F2903" s="1">
        <f t="shared" si="232"/>
        <v>1250</v>
      </c>
      <c r="L2903" s="11">
        <v>45974</v>
      </c>
      <c r="M2903" s="9">
        <v>3859</v>
      </c>
      <c r="N2903" s="9">
        <v>736</v>
      </c>
      <c r="O2903" s="9">
        <v>1645</v>
      </c>
      <c r="P2903" s="9">
        <v>1250</v>
      </c>
      <c r="R2903" s="11"/>
      <c r="S2903" s="9"/>
      <c r="T2903" s="9"/>
      <c r="U2903" s="9"/>
    </row>
    <row r="2904" spans="2:21" x14ac:dyDescent="0.4">
      <c r="B2904" s="16">
        <f t="shared" si="233"/>
        <v>45975</v>
      </c>
      <c r="C2904" s="1">
        <f t="shared" si="234"/>
        <v>3867</v>
      </c>
      <c r="D2904" s="1">
        <f t="shared" si="235"/>
        <v>736</v>
      </c>
      <c r="E2904" s="1">
        <f t="shared" si="236"/>
        <v>1645</v>
      </c>
      <c r="F2904" s="1">
        <f t="shared" si="232"/>
        <v>1250</v>
      </c>
      <c r="L2904" s="11">
        <v>45975</v>
      </c>
      <c r="M2904" s="9">
        <v>3867</v>
      </c>
      <c r="N2904" s="9">
        <v>736</v>
      </c>
      <c r="O2904" s="9">
        <v>1645</v>
      </c>
      <c r="P2904" s="9">
        <v>1250</v>
      </c>
      <c r="R2904" s="11"/>
      <c r="S2904" s="9"/>
      <c r="T2904" s="9"/>
      <c r="U2904" s="9"/>
    </row>
    <row r="2905" spans="2:21" x14ac:dyDescent="0.4">
      <c r="B2905" s="16">
        <f t="shared" si="233"/>
        <v>45978</v>
      </c>
      <c r="C2905" s="1">
        <f t="shared" si="234"/>
        <v>3869</v>
      </c>
      <c r="D2905" s="1">
        <f t="shared" si="235"/>
        <v>736</v>
      </c>
      <c r="E2905" s="1">
        <f t="shared" si="236"/>
        <v>1645</v>
      </c>
      <c r="F2905" s="1">
        <f t="shared" si="232"/>
        <v>1250</v>
      </c>
      <c r="L2905" s="11">
        <v>45978</v>
      </c>
      <c r="M2905" s="9">
        <v>3869</v>
      </c>
      <c r="N2905" s="9">
        <v>736</v>
      </c>
      <c r="O2905" s="9">
        <v>1645</v>
      </c>
      <c r="P2905" s="9">
        <v>1250</v>
      </c>
      <c r="R2905" s="11"/>
      <c r="S2905" s="9"/>
      <c r="T2905" s="9"/>
      <c r="U2905" s="9"/>
    </row>
    <row r="2906" spans="2:21" x14ac:dyDescent="0.4">
      <c r="B2906" s="16">
        <f t="shared" si="233"/>
        <v>45979</v>
      </c>
      <c r="C2906" s="1">
        <f t="shared" si="234"/>
        <v>3867</v>
      </c>
      <c r="D2906" s="1">
        <f t="shared" si="235"/>
        <v>731</v>
      </c>
      <c r="E2906" s="1">
        <f t="shared" si="236"/>
        <v>1640</v>
      </c>
      <c r="F2906" s="1">
        <f t="shared" si="232"/>
        <v>1250</v>
      </c>
      <c r="L2906" s="11">
        <v>45979</v>
      </c>
      <c r="M2906" s="9">
        <v>3867</v>
      </c>
      <c r="N2906" s="9">
        <v>731</v>
      </c>
      <c r="O2906" s="9">
        <v>1640</v>
      </c>
      <c r="P2906" s="9">
        <v>1250</v>
      </c>
      <c r="R2906" s="11"/>
      <c r="S2906" s="9"/>
      <c r="T2906" s="9"/>
      <c r="U2906" s="9"/>
    </row>
    <row r="2907" spans="2:21" x14ac:dyDescent="0.4">
      <c r="B2907" s="16">
        <f t="shared" si="233"/>
        <v>45980</v>
      </c>
      <c r="C2907" s="1">
        <f t="shared" si="234"/>
        <v>3867</v>
      </c>
      <c r="D2907" s="1">
        <f t="shared" si="235"/>
        <v>731</v>
      </c>
      <c r="E2907" s="1">
        <f t="shared" si="236"/>
        <v>1645</v>
      </c>
      <c r="F2907" s="1">
        <f t="shared" si="232"/>
        <v>1250</v>
      </c>
      <c r="L2907" s="11">
        <v>45980</v>
      </c>
      <c r="M2907" s="9">
        <v>3867</v>
      </c>
      <c r="N2907" s="9">
        <v>731</v>
      </c>
      <c r="O2907" s="9">
        <v>1645</v>
      </c>
      <c r="P2907" s="9">
        <v>1250</v>
      </c>
      <c r="R2907" s="11"/>
      <c r="S2907" s="9"/>
      <c r="T2907" s="9"/>
      <c r="U2907" s="9"/>
    </row>
    <row r="2908" spans="2:21" x14ac:dyDescent="0.4">
      <c r="B2908" s="16">
        <f t="shared" si="233"/>
        <v>45981</v>
      </c>
      <c r="C2908" s="1">
        <f t="shared" si="234"/>
        <v>3861</v>
      </c>
      <c r="D2908" s="1">
        <f t="shared" si="235"/>
        <v>731</v>
      </c>
      <c r="E2908" s="1">
        <f t="shared" si="236"/>
        <v>1655</v>
      </c>
      <c r="F2908" s="1">
        <f t="shared" si="232"/>
        <v>1250</v>
      </c>
      <c r="L2908" s="11">
        <v>45981</v>
      </c>
      <c r="M2908" s="9">
        <v>3861</v>
      </c>
      <c r="N2908" s="9">
        <v>731</v>
      </c>
      <c r="O2908" s="9">
        <v>1655</v>
      </c>
      <c r="P2908" s="9">
        <v>1250</v>
      </c>
      <c r="R2908" s="11"/>
      <c r="S2908" s="9"/>
      <c r="T2908" s="9"/>
      <c r="U2908" s="9"/>
    </row>
    <row r="2909" spans="2:21" x14ac:dyDescent="0.4">
      <c r="B2909" s="16">
        <f t="shared" si="233"/>
        <v>45982</v>
      </c>
      <c r="C2909" s="1">
        <f t="shared" si="234"/>
        <v>3851</v>
      </c>
      <c r="D2909" s="1">
        <f t="shared" si="235"/>
        <v>731</v>
      </c>
      <c r="E2909" s="1">
        <f t="shared" si="236"/>
        <v>1665</v>
      </c>
      <c r="F2909" s="1">
        <f t="shared" si="232"/>
        <v>1250</v>
      </c>
      <c r="L2909" s="11">
        <v>45982</v>
      </c>
      <c r="M2909" s="9">
        <v>3851</v>
      </c>
      <c r="N2909" s="9">
        <v>731</v>
      </c>
      <c r="O2909" s="9">
        <v>1665</v>
      </c>
      <c r="P2909" s="9">
        <v>1250</v>
      </c>
      <c r="R2909" s="11"/>
      <c r="S2909" s="9"/>
      <c r="T2909" s="9"/>
      <c r="U2909" s="9"/>
    </row>
    <row r="2910" spans="2:21" x14ac:dyDescent="0.4">
      <c r="B2910" s="16">
        <f t="shared" si="233"/>
        <v>45985</v>
      </c>
      <c r="C2910" s="1">
        <f t="shared" si="234"/>
        <v>3855</v>
      </c>
      <c r="D2910" s="1">
        <f t="shared" si="235"/>
        <v>731</v>
      </c>
      <c r="E2910" s="1">
        <f t="shared" si="236"/>
        <v>1670</v>
      </c>
      <c r="F2910" s="1">
        <f t="shared" si="232"/>
        <v>1250</v>
      </c>
      <c r="L2910" s="11">
        <v>45985</v>
      </c>
      <c r="M2910" s="9">
        <v>3855</v>
      </c>
      <c r="N2910" s="9">
        <v>731</v>
      </c>
      <c r="O2910" s="9">
        <v>1670</v>
      </c>
      <c r="P2910" s="9">
        <v>1250</v>
      </c>
      <c r="R2910" s="11"/>
      <c r="S2910" s="9"/>
      <c r="T2910" s="9"/>
      <c r="U2910" s="9"/>
    </row>
    <row r="2911" spans="2:21" x14ac:dyDescent="0.4">
      <c r="B2911" s="16">
        <f t="shared" si="233"/>
        <v>45986</v>
      </c>
      <c r="C2911" s="1">
        <f t="shared" si="234"/>
        <v>3862</v>
      </c>
      <c r="D2911" s="1">
        <f t="shared" si="235"/>
        <v>731</v>
      </c>
      <c r="E2911" s="1">
        <f t="shared" si="236"/>
        <v>1675</v>
      </c>
      <c r="F2911" s="1">
        <f t="shared" si="232"/>
        <v>1250</v>
      </c>
      <c r="L2911" s="11">
        <v>45986</v>
      </c>
      <c r="M2911" s="9">
        <v>3862</v>
      </c>
      <c r="N2911" s="9">
        <v>731</v>
      </c>
      <c r="O2911" s="9">
        <v>1675</v>
      </c>
      <c r="P2911" s="9">
        <v>1250</v>
      </c>
      <c r="R2911" s="11"/>
      <c r="S2911" s="9"/>
      <c r="T2911" s="9"/>
      <c r="U2911" s="9"/>
    </row>
    <row r="2912" spans="2:21" x14ac:dyDescent="0.4">
      <c r="B2912" s="16">
        <f t="shared" si="233"/>
        <v>45987</v>
      </c>
      <c r="C2912" s="1">
        <f t="shared" si="234"/>
        <v>3863</v>
      </c>
      <c r="D2912" s="1">
        <f t="shared" si="235"/>
        <v>731</v>
      </c>
      <c r="E2912" s="1">
        <f t="shared" si="236"/>
        <v>1675</v>
      </c>
      <c r="F2912" s="1">
        <f t="shared" si="232"/>
        <v>1250</v>
      </c>
      <c r="L2912" s="11">
        <v>45987</v>
      </c>
      <c r="M2912" s="9">
        <v>3863</v>
      </c>
      <c r="N2912" s="9">
        <v>731</v>
      </c>
      <c r="O2912" s="9">
        <v>1675</v>
      </c>
      <c r="P2912" s="9">
        <v>1250</v>
      </c>
      <c r="R2912" s="11"/>
      <c r="S2912" s="9"/>
      <c r="T2912" s="9"/>
      <c r="U2912" s="9"/>
    </row>
    <row r="2913" spans="2:21" x14ac:dyDescent="0.4">
      <c r="B2913" s="16">
        <f t="shared" si="233"/>
        <v>45988</v>
      </c>
      <c r="C2913" s="1">
        <f t="shared" si="234"/>
        <v>3863</v>
      </c>
      <c r="D2913" s="1">
        <f t="shared" si="235"/>
        <v>731</v>
      </c>
      <c r="E2913" s="1">
        <f t="shared" si="236"/>
        <v>1675</v>
      </c>
      <c r="F2913" s="1">
        <f t="shared" si="232"/>
        <v>1250</v>
      </c>
      <c r="L2913" s="11">
        <v>45988</v>
      </c>
      <c r="M2913" s="9">
        <v>3863</v>
      </c>
      <c r="N2913" s="9">
        <v>731</v>
      </c>
      <c r="O2913" s="9">
        <v>1675</v>
      </c>
      <c r="P2913" s="9">
        <v>1250</v>
      </c>
      <c r="R2913" s="11"/>
      <c r="S2913" s="9"/>
      <c r="T2913" s="9"/>
      <c r="U2913" s="9"/>
    </row>
    <row r="2914" spans="2:21" x14ac:dyDescent="0.4">
      <c r="B2914" s="16">
        <f t="shared" si="233"/>
        <v>45989</v>
      </c>
      <c r="C2914" s="1">
        <f t="shared" si="234"/>
        <v>3865</v>
      </c>
      <c r="D2914" s="1">
        <f t="shared" si="235"/>
        <v>741</v>
      </c>
      <c r="E2914" s="1">
        <f t="shared" si="236"/>
        <v>1680</v>
      </c>
      <c r="F2914" s="1">
        <f t="shared" si="232"/>
        <v>1250</v>
      </c>
      <c r="L2914" s="11">
        <v>45989</v>
      </c>
      <c r="M2914" s="9">
        <v>3865</v>
      </c>
      <c r="N2914" s="9">
        <v>741</v>
      </c>
      <c r="O2914" s="9">
        <v>1680</v>
      </c>
      <c r="P2914" s="9">
        <v>1250</v>
      </c>
      <c r="R2914" s="11"/>
      <c r="S2914" s="9"/>
      <c r="T2914" s="9"/>
      <c r="U2914" s="9"/>
    </row>
    <row r="2915" spans="2:21" x14ac:dyDescent="0.4">
      <c r="B2915" s="16">
        <f t="shared" si="233"/>
        <v>45992</v>
      </c>
      <c r="C2915" s="1">
        <f t="shared" si="234"/>
        <v>3879</v>
      </c>
      <c r="D2915" s="1">
        <f t="shared" si="235"/>
        <v>741</v>
      </c>
      <c r="E2915" s="1">
        <f t="shared" si="236"/>
        <v>1695</v>
      </c>
      <c r="F2915" s="1">
        <f t="shared" si="232"/>
        <v>1250</v>
      </c>
      <c r="L2915" s="11">
        <v>45992</v>
      </c>
      <c r="M2915" s="9">
        <v>3879</v>
      </c>
      <c r="N2915" s="9">
        <v>741</v>
      </c>
      <c r="O2915" s="9">
        <v>1695</v>
      </c>
      <c r="P2915" s="9">
        <v>1250</v>
      </c>
      <c r="R2915" s="11"/>
      <c r="S2915" s="9"/>
      <c r="T2915" s="9"/>
      <c r="U2915" s="9"/>
    </row>
    <row r="2916" spans="2:21" x14ac:dyDescent="0.4">
      <c r="B2916" s="16">
        <f t="shared" si="233"/>
        <v>45993</v>
      </c>
      <c r="C2916" s="1">
        <f t="shared" si="234"/>
        <v>3889</v>
      </c>
      <c r="D2916" s="1">
        <f t="shared" si="235"/>
        <v>741</v>
      </c>
      <c r="E2916" s="1">
        <f t="shared" si="236"/>
        <v>1695</v>
      </c>
      <c r="F2916" s="1">
        <f t="shared" si="232"/>
        <v>1250</v>
      </c>
      <c r="L2916" s="11">
        <v>45993</v>
      </c>
      <c r="M2916" s="9">
        <v>3889</v>
      </c>
      <c r="N2916" s="9">
        <v>741</v>
      </c>
      <c r="O2916" s="9">
        <v>1695</v>
      </c>
      <c r="P2916" s="9">
        <v>1250</v>
      </c>
      <c r="R2916" s="11"/>
      <c r="S2916" s="9"/>
      <c r="T2916" s="9"/>
      <c r="U2916" s="9"/>
    </row>
    <row r="2917" spans="2:21" x14ac:dyDescent="0.4">
      <c r="B2917" s="16">
        <f t="shared" si="233"/>
        <v>45994</v>
      </c>
      <c r="C2917" s="1">
        <f t="shared" si="234"/>
        <v>3889</v>
      </c>
      <c r="D2917" s="1">
        <f t="shared" si="235"/>
        <v>741</v>
      </c>
      <c r="E2917" s="1">
        <f t="shared" si="236"/>
        <v>1705</v>
      </c>
      <c r="F2917" s="1">
        <f t="shared" si="232"/>
        <v>1250</v>
      </c>
      <c r="L2917" s="11">
        <v>45994</v>
      </c>
      <c r="M2917" s="9">
        <v>3889</v>
      </c>
      <c r="N2917" s="9">
        <v>741</v>
      </c>
      <c r="O2917" s="9">
        <v>1705</v>
      </c>
      <c r="P2917" s="9">
        <v>1250</v>
      </c>
      <c r="R2917" s="11"/>
      <c r="S2917" s="9"/>
      <c r="T2917" s="9"/>
      <c r="U2917" s="9"/>
    </row>
    <row r="2918" spans="2:21" x14ac:dyDescent="0.4">
      <c r="B2918" s="16">
        <f t="shared" si="233"/>
        <v>45995</v>
      </c>
      <c r="C2918" s="1">
        <f t="shared" si="234"/>
        <v>3883</v>
      </c>
      <c r="D2918" s="1">
        <f t="shared" si="235"/>
        <v>741</v>
      </c>
      <c r="E2918" s="1">
        <f t="shared" si="236"/>
        <v>1710</v>
      </c>
      <c r="F2918" s="1">
        <f t="shared" si="232"/>
        <v>1250</v>
      </c>
      <c r="L2918" s="11">
        <v>45995</v>
      </c>
      <c r="M2918" s="9">
        <v>3883</v>
      </c>
      <c r="N2918" s="9">
        <v>741</v>
      </c>
      <c r="O2918" s="9">
        <v>1710</v>
      </c>
      <c r="P2918" s="9">
        <v>1250</v>
      </c>
      <c r="R2918" s="11"/>
      <c r="S2918" s="9"/>
      <c r="T2918" s="9"/>
      <c r="U2918" s="9"/>
    </row>
    <row r="2919" spans="2:21" x14ac:dyDescent="0.4">
      <c r="B2919" s="16">
        <f t="shared" si="233"/>
        <v>45996</v>
      </c>
      <c r="C2919" s="1">
        <f t="shared" si="234"/>
        <v>3875</v>
      </c>
      <c r="D2919" s="1">
        <f t="shared" si="235"/>
        <v>746</v>
      </c>
      <c r="E2919" s="1">
        <f t="shared" si="236"/>
        <v>1720</v>
      </c>
      <c r="F2919" s="1">
        <f t="shared" si="232"/>
        <v>1250</v>
      </c>
      <c r="L2919" s="11">
        <v>45996</v>
      </c>
      <c r="M2919" s="9">
        <v>3875</v>
      </c>
      <c r="N2919" s="9">
        <v>746</v>
      </c>
      <c r="O2919" s="9">
        <v>1720</v>
      </c>
      <c r="P2919" s="9">
        <v>1250</v>
      </c>
      <c r="R2919" s="11"/>
      <c r="S2919" s="9"/>
      <c r="T2919" s="9"/>
      <c r="U2919" s="9"/>
    </row>
    <row r="2920" spans="2:21" x14ac:dyDescent="0.4">
      <c r="B2920" s="16">
        <f t="shared" si="233"/>
        <v>45999</v>
      </c>
      <c r="C2920" s="1">
        <f t="shared" si="234"/>
        <v>3869</v>
      </c>
      <c r="D2920" s="1">
        <f t="shared" si="235"/>
        <v>746</v>
      </c>
      <c r="E2920" s="1">
        <f t="shared" si="236"/>
        <v>1720</v>
      </c>
      <c r="F2920" s="1">
        <f t="shared" si="232"/>
        <v>1250</v>
      </c>
      <c r="L2920" s="11">
        <v>45999</v>
      </c>
      <c r="M2920" s="9">
        <v>3869</v>
      </c>
      <c r="N2920" s="9">
        <v>746</v>
      </c>
      <c r="O2920" s="9">
        <v>1720</v>
      </c>
      <c r="P2920" s="9">
        <v>1250</v>
      </c>
      <c r="R2920" s="11"/>
      <c r="S2920" s="9"/>
      <c r="T2920" s="9"/>
      <c r="U2920" s="9"/>
    </row>
    <row r="2921" spans="2:21" x14ac:dyDescent="0.4">
      <c r="B2921" s="16">
        <f t="shared" si="233"/>
        <v>46000</v>
      </c>
      <c r="C2921" s="1">
        <f t="shared" si="234"/>
        <v>3870</v>
      </c>
      <c r="D2921" s="1">
        <f t="shared" si="235"/>
        <v>746</v>
      </c>
      <c r="E2921" s="1">
        <f t="shared" si="236"/>
        <v>1720</v>
      </c>
      <c r="F2921" s="1">
        <f t="shared" si="232"/>
        <v>1250</v>
      </c>
      <c r="L2921" s="11">
        <v>46000</v>
      </c>
      <c r="M2921" s="9">
        <v>3870</v>
      </c>
      <c r="N2921" s="9">
        <v>746</v>
      </c>
      <c r="O2921" s="9">
        <v>1720</v>
      </c>
      <c r="P2921" s="9">
        <v>1250</v>
      </c>
      <c r="R2921" s="11"/>
      <c r="S2921" s="9"/>
      <c r="T2921" s="9"/>
      <c r="U2921" s="9"/>
    </row>
    <row r="2922" spans="2:21" x14ac:dyDescent="0.4">
      <c r="B2922" s="16">
        <f t="shared" si="233"/>
        <v>46001</v>
      </c>
      <c r="C2922" s="1">
        <f t="shared" si="234"/>
        <v>3860</v>
      </c>
      <c r="D2922" s="1">
        <f t="shared" si="235"/>
        <v>746</v>
      </c>
      <c r="E2922" s="1">
        <f t="shared" si="236"/>
        <v>1715</v>
      </c>
      <c r="F2922" s="1">
        <f t="shared" si="232"/>
        <v>1250</v>
      </c>
      <c r="L2922" s="11">
        <v>46001</v>
      </c>
      <c r="M2922" s="9">
        <v>3860</v>
      </c>
      <c r="N2922" s="9">
        <v>746</v>
      </c>
      <c r="O2922" s="9">
        <v>1715</v>
      </c>
      <c r="P2922" s="9">
        <v>1250</v>
      </c>
      <c r="R2922" s="11"/>
      <c r="S2922" s="9"/>
      <c r="T2922" s="9"/>
      <c r="U2922" s="9"/>
    </row>
    <row r="2923" spans="2:21" x14ac:dyDescent="0.4">
      <c r="B2923" s="16">
        <f t="shared" si="233"/>
        <v>46002</v>
      </c>
      <c r="C2923" s="1">
        <f t="shared" si="234"/>
        <v>3863</v>
      </c>
      <c r="D2923" s="1">
        <f t="shared" si="235"/>
        <v>746</v>
      </c>
      <c r="E2923" s="1">
        <f t="shared" si="236"/>
        <v>1715</v>
      </c>
      <c r="F2923" s="1">
        <f t="shared" si="232"/>
        <v>1250</v>
      </c>
      <c r="L2923" s="11">
        <v>46002</v>
      </c>
      <c r="M2923" s="9">
        <v>3863</v>
      </c>
      <c r="N2923" s="9">
        <v>746</v>
      </c>
      <c r="O2923" s="9">
        <v>1715</v>
      </c>
      <c r="P2923" s="9">
        <v>1250</v>
      </c>
      <c r="R2923" s="11"/>
      <c r="S2923" s="9"/>
      <c r="T2923" s="9"/>
      <c r="U2923" s="9"/>
    </row>
    <row r="2924" spans="2:21" x14ac:dyDescent="0.4">
      <c r="B2924" s="16">
        <f t="shared" si="233"/>
        <v>46003</v>
      </c>
      <c r="C2924" s="1">
        <f t="shared" si="234"/>
        <v>3854</v>
      </c>
      <c r="D2924" s="1">
        <f t="shared" si="235"/>
        <v>746</v>
      </c>
      <c r="E2924" s="1">
        <f t="shared" si="236"/>
        <v>1715</v>
      </c>
      <c r="F2924" s="1">
        <f t="shared" si="232"/>
        <v>1250</v>
      </c>
      <c r="L2924" s="11">
        <v>46003</v>
      </c>
      <c r="M2924" s="9">
        <v>3854</v>
      </c>
      <c r="N2924" s="9">
        <v>746</v>
      </c>
      <c r="O2924" s="9">
        <v>1715</v>
      </c>
      <c r="P2924" s="9">
        <v>1250</v>
      </c>
      <c r="R2924" s="11"/>
      <c r="S2924" s="9"/>
      <c r="T2924" s="9"/>
      <c r="U2924" s="9"/>
    </row>
    <row r="2925" spans="2:21" x14ac:dyDescent="0.4">
      <c r="B2925" s="16">
        <f t="shared" si="233"/>
        <v>46006</v>
      </c>
      <c r="C2925" s="1">
        <f t="shared" si="234"/>
        <v>3853</v>
      </c>
      <c r="D2925" s="1">
        <f t="shared" si="235"/>
        <v>746</v>
      </c>
      <c r="E2925" s="1">
        <f t="shared" si="236"/>
        <v>1715</v>
      </c>
      <c r="F2925" s="1">
        <f t="shared" si="232"/>
        <v>1250</v>
      </c>
      <c r="L2925" s="11">
        <v>46006</v>
      </c>
      <c r="M2925" s="9">
        <v>3853</v>
      </c>
      <c r="N2925" s="9">
        <v>746</v>
      </c>
      <c r="O2925" s="9">
        <v>1715</v>
      </c>
      <c r="P2925" s="9">
        <v>1250</v>
      </c>
      <c r="R2925" s="11"/>
      <c r="S2925" s="9"/>
      <c r="T2925" s="9"/>
      <c r="U2925" s="9"/>
    </row>
    <row r="2926" spans="2:21" x14ac:dyDescent="0.4">
      <c r="B2926" s="16">
        <f t="shared" si="233"/>
        <v>46007</v>
      </c>
      <c r="C2926" s="1">
        <f t="shared" si="234"/>
        <v>3850</v>
      </c>
      <c r="D2926" s="1">
        <f t="shared" si="235"/>
        <v>746</v>
      </c>
      <c r="E2926" s="1">
        <f t="shared" si="236"/>
        <v>1710</v>
      </c>
      <c r="F2926" s="1">
        <f t="shared" si="232"/>
        <v>1250</v>
      </c>
      <c r="L2926" s="11">
        <v>46007</v>
      </c>
      <c r="M2926" s="9">
        <v>3850</v>
      </c>
      <c r="N2926" s="9">
        <v>746</v>
      </c>
      <c r="O2926" s="9">
        <v>1710</v>
      </c>
      <c r="P2926" s="9">
        <v>1250</v>
      </c>
      <c r="R2926" s="11"/>
      <c r="S2926" s="9"/>
      <c r="T2926" s="9"/>
      <c r="U2926" s="9"/>
    </row>
    <row r="2927" spans="2:21" x14ac:dyDescent="0.4">
      <c r="B2927" s="16">
        <f t="shared" si="233"/>
        <v>46008</v>
      </c>
      <c r="C2927" s="1">
        <f t="shared" si="234"/>
        <v>3844</v>
      </c>
      <c r="D2927" s="1">
        <f t="shared" si="235"/>
        <v>746</v>
      </c>
      <c r="E2927" s="1">
        <f t="shared" si="236"/>
        <v>1705</v>
      </c>
      <c r="F2927" s="1">
        <f t="shared" si="232"/>
        <v>1250</v>
      </c>
      <c r="L2927" s="11">
        <v>46008</v>
      </c>
      <c r="M2927" s="9">
        <v>3844</v>
      </c>
      <c r="N2927" s="9">
        <v>746</v>
      </c>
      <c r="O2927" s="9">
        <v>1705</v>
      </c>
      <c r="P2927" s="9">
        <v>1250</v>
      </c>
      <c r="R2927" s="11"/>
      <c r="S2927" s="9"/>
      <c r="T2927" s="9"/>
      <c r="U2927" s="9"/>
    </row>
    <row r="2928" spans="2:21" x14ac:dyDescent="0.4">
      <c r="B2928" s="16">
        <f t="shared" si="233"/>
        <v>46009</v>
      </c>
      <c r="C2928" s="1">
        <f t="shared" si="234"/>
        <v>3850</v>
      </c>
      <c r="D2928" s="1">
        <f t="shared" si="235"/>
        <v>746</v>
      </c>
      <c r="E2928" s="1">
        <f t="shared" si="236"/>
        <v>1705</v>
      </c>
      <c r="F2928" s="1">
        <f t="shared" si="232"/>
        <v>1250</v>
      </c>
      <c r="L2928" s="11">
        <v>46009</v>
      </c>
      <c r="M2928" s="9">
        <v>3850</v>
      </c>
      <c r="N2928" s="9">
        <v>746</v>
      </c>
      <c r="O2928" s="9">
        <v>1705</v>
      </c>
      <c r="P2928" s="9">
        <v>1250</v>
      </c>
      <c r="R2928" s="11"/>
      <c r="S2928" s="9"/>
      <c r="T2928" s="9"/>
      <c r="U2928" s="9"/>
    </row>
    <row r="2929" spans="2:21" x14ac:dyDescent="0.4">
      <c r="B2929" s="16">
        <f t="shared" si="233"/>
        <v>46010</v>
      </c>
      <c r="C2929" s="1">
        <f t="shared" si="234"/>
        <v>3851</v>
      </c>
      <c r="D2929" s="1">
        <f t="shared" si="235"/>
        <v>746</v>
      </c>
      <c r="E2929" s="1">
        <f t="shared" si="236"/>
        <v>1715</v>
      </c>
      <c r="F2929" s="1">
        <f t="shared" si="232"/>
        <v>1250</v>
      </c>
      <c r="L2929" s="11">
        <v>46010</v>
      </c>
      <c r="M2929" s="9">
        <v>3851</v>
      </c>
      <c r="N2929" s="9">
        <v>746</v>
      </c>
      <c r="O2929" s="9">
        <v>1715</v>
      </c>
      <c r="P2929" s="9">
        <v>1250</v>
      </c>
      <c r="R2929" s="11"/>
      <c r="S2929" s="9"/>
      <c r="T2929" s="9"/>
      <c r="U2929" s="9"/>
    </row>
    <row r="2930" spans="2:21" x14ac:dyDescent="0.4">
      <c r="B2930" s="16">
        <f t="shared" si="233"/>
        <v>46013</v>
      </c>
      <c r="C2930" s="1">
        <f t="shared" si="234"/>
        <v>3869</v>
      </c>
      <c r="D2930" s="1">
        <f t="shared" si="235"/>
        <v>746</v>
      </c>
      <c r="E2930" s="1">
        <f t="shared" si="236"/>
        <v>1720</v>
      </c>
      <c r="F2930" s="1">
        <f t="shared" ref="F2930:F2993" si="237">IF(P2930&lt;&gt;0,P2930,F2929)</f>
        <v>1250</v>
      </c>
      <c r="L2930" s="11">
        <v>46013</v>
      </c>
      <c r="M2930" s="9">
        <v>3869</v>
      </c>
      <c r="N2930" s="9">
        <v>746</v>
      </c>
      <c r="O2930" s="9">
        <v>1720</v>
      </c>
      <c r="P2930" s="9">
        <v>1250</v>
      </c>
      <c r="R2930" s="11"/>
      <c r="S2930" s="9"/>
      <c r="T2930" s="9"/>
      <c r="U2930" s="9"/>
    </row>
    <row r="2931" spans="2:21" x14ac:dyDescent="0.4">
      <c r="B2931" s="16">
        <f t="shared" si="233"/>
        <v>46014</v>
      </c>
      <c r="C2931" s="1">
        <f t="shared" si="234"/>
        <v>3869</v>
      </c>
      <c r="D2931" s="1">
        <f t="shared" si="235"/>
        <v>746</v>
      </c>
      <c r="E2931" s="1">
        <f t="shared" si="236"/>
        <v>1725</v>
      </c>
      <c r="F2931" s="1">
        <f t="shared" si="237"/>
        <v>1250</v>
      </c>
      <c r="L2931" s="11">
        <v>46014</v>
      </c>
      <c r="M2931" s="9">
        <v>3869</v>
      </c>
      <c r="N2931" s="9">
        <v>746</v>
      </c>
      <c r="O2931" s="9">
        <v>1725</v>
      </c>
      <c r="P2931" s="9">
        <v>1250</v>
      </c>
      <c r="R2931" s="11"/>
      <c r="S2931" s="9"/>
      <c r="T2931" s="9"/>
      <c r="U2931" s="9"/>
    </row>
    <row r="2932" spans="2:21" x14ac:dyDescent="0.4">
      <c r="B2932" s="16">
        <f t="shared" si="233"/>
        <v>46015</v>
      </c>
      <c r="C2932" s="1">
        <f t="shared" si="234"/>
        <v>3881</v>
      </c>
      <c r="D2932" s="1">
        <f t="shared" si="235"/>
        <v>746</v>
      </c>
      <c r="E2932" s="1">
        <f t="shared" si="236"/>
        <v>1725</v>
      </c>
      <c r="F2932" s="1">
        <f t="shared" si="237"/>
        <v>1250</v>
      </c>
      <c r="L2932" s="11">
        <v>46015</v>
      </c>
      <c r="M2932" s="9">
        <v>3881</v>
      </c>
      <c r="N2932" s="9">
        <v>746</v>
      </c>
      <c r="O2932" s="9">
        <v>1725</v>
      </c>
      <c r="P2932" s="9">
        <v>1250</v>
      </c>
      <c r="R2932" s="11"/>
      <c r="S2932" s="9"/>
      <c r="T2932" s="9"/>
      <c r="U2932" s="9"/>
    </row>
    <row r="2933" spans="2:21" x14ac:dyDescent="0.4">
      <c r="B2933" s="16">
        <f t="shared" si="233"/>
        <v>46016</v>
      </c>
      <c r="C2933" s="1">
        <f t="shared" si="234"/>
        <v>3903</v>
      </c>
      <c r="D2933" s="1">
        <f t="shared" si="235"/>
        <v>746</v>
      </c>
      <c r="E2933" s="1">
        <f t="shared" si="236"/>
        <v>1730</v>
      </c>
      <c r="F2933" s="1">
        <f t="shared" si="237"/>
        <v>1250</v>
      </c>
      <c r="L2933" s="11">
        <v>46016</v>
      </c>
      <c r="M2933" s="9">
        <v>3903</v>
      </c>
      <c r="N2933" s="9">
        <v>0</v>
      </c>
      <c r="O2933" s="9">
        <v>1730</v>
      </c>
      <c r="P2933" s="9">
        <v>1250</v>
      </c>
      <c r="R2933" s="11"/>
      <c r="S2933" s="9"/>
      <c r="T2933" s="9"/>
      <c r="U2933" s="9"/>
    </row>
    <row r="2934" spans="2:21" x14ac:dyDescent="0.4">
      <c r="B2934" s="16">
        <f t="shared" si="233"/>
        <v>46017</v>
      </c>
      <c r="C2934" s="1">
        <f t="shared" si="234"/>
        <v>3919</v>
      </c>
      <c r="D2934" s="1">
        <f t="shared" si="235"/>
        <v>746</v>
      </c>
      <c r="E2934" s="1">
        <f t="shared" si="236"/>
        <v>1730</v>
      </c>
      <c r="F2934" s="1">
        <f t="shared" si="237"/>
        <v>1250</v>
      </c>
      <c r="L2934" s="11">
        <v>46017</v>
      </c>
      <c r="M2934" s="9">
        <v>3919</v>
      </c>
      <c r="N2934" s="9">
        <v>746</v>
      </c>
      <c r="O2934" s="9">
        <v>1730</v>
      </c>
      <c r="P2934" s="9">
        <v>1250</v>
      </c>
      <c r="R2934" s="11"/>
      <c r="S2934" s="9"/>
      <c r="T2934" s="9"/>
      <c r="U2934" s="9"/>
    </row>
    <row r="2935" spans="2:21" x14ac:dyDescent="0.4">
      <c r="B2935" s="16">
        <f t="shared" si="233"/>
        <v>46020</v>
      </c>
      <c r="C2935" s="1">
        <f t="shared" si="234"/>
        <v>3929</v>
      </c>
      <c r="D2935" s="1">
        <f t="shared" si="235"/>
        <v>746</v>
      </c>
      <c r="E2935" s="1">
        <f t="shared" si="236"/>
        <v>1730</v>
      </c>
      <c r="F2935" s="1">
        <f t="shared" si="237"/>
        <v>1250</v>
      </c>
      <c r="L2935" s="11">
        <v>46020</v>
      </c>
      <c r="M2935" s="9">
        <v>3929</v>
      </c>
      <c r="N2935" s="9">
        <v>746</v>
      </c>
      <c r="O2935" s="9">
        <v>1730</v>
      </c>
      <c r="P2935" s="9">
        <v>1250</v>
      </c>
      <c r="R2935" s="11"/>
      <c r="S2935" s="9"/>
      <c r="T2935" s="9"/>
      <c r="U2935" s="9"/>
    </row>
    <row r="2936" spans="2:21" x14ac:dyDescent="0.4">
      <c r="B2936" s="16">
        <f t="shared" si="233"/>
        <v>46021</v>
      </c>
      <c r="C2936" s="1">
        <f t="shared" si="234"/>
        <v>3932</v>
      </c>
      <c r="D2936" s="1">
        <f t="shared" si="235"/>
        <v>746</v>
      </c>
      <c r="E2936" s="1">
        <f t="shared" si="236"/>
        <v>1730</v>
      </c>
      <c r="F2936" s="1">
        <f t="shared" si="237"/>
        <v>1250</v>
      </c>
      <c r="L2936" s="11">
        <v>46021</v>
      </c>
      <c r="M2936" s="9">
        <v>3932</v>
      </c>
      <c r="N2936" s="9">
        <v>746</v>
      </c>
      <c r="O2936" s="9">
        <v>1730</v>
      </c>
      <c r="P2936" s="9">
        <v>1250</v>
      </c>
      <c r="R2936" s="11"/>
      <c r="S2936" s="9"/>
      <c r="T2936" s="9"/>
      <c r="U2936" s="9"/>
    </row>
    <row r="2937" spans="2:21" x14ac:dyDescent="0.4">
      <c r="B2937" s="16">
        <f t="shared" si="233"/>
        <v>46022</v>
      </c>
      <c r="C2937" s="1">
        <f t="shared" si="234"/>
        <v>3930</v>
      </c>
      <c r="D2937" s="1">
        <f t="shared" si="235"/>
        <v>746</v>
      </c>
      <c r="E2937" s="1">
        <f t="shared" si="236"/>
        <v>1730</v>
      </c>
      <c r="F2937" s="1">
        <f t="shared" si="237"/>
        <v>1250</v>
      </c>
      <c r="L2937" s="11">
        <v>46022</v>
      </c>
      <c r="M2937" s="9">
        <v>3930</v>
      </c>
      <c r="N2937" s="9">
        <v>746</v>
      </c>
      <c r="O2937" s="9">
        <v>1730</v>
      </c>
      <c r="P2937" s="9">
        <v>1250</v>
      </c>
      <c r="R2937" s="11"/>
      <c r="S2937" s="9"/>
      <c r="T2937" s="9"/>
      <c r="U2937" s="9"/>
    </row>
    <row r="2938" spans="2:21" x14ac:dyDescent="0.4">
      <c r="B2938" s="16">
        <f t="shared" si="233"/>
        <v>46024</v>
      </c>
      <c r="C2938" s="1">
        <f t="shared" si="234"/>
        <v>3930</v>
      </c>
      <c r="D2938" s="1">
        <f t="shared" si="235"/>
        <v>746</v>
      </c>
      <c r="E2938" s="1">
        <f t="shared" si="236"/>
        <v>1730</v>
      </c>
      <c r="F2938" s="1">
        <f t="shared" si="237"/>
        <v>1250</v>
      </c>
      <c r="L2938" s="11">
        <v>46024</v>
      </c>
      <c r="M2938" s="9">
        <v>0</v>
      </c>
      <c r="N2938" s="9">
        <v>746</v>
      </c>
      <c r="O2938" s="9">
        <v>0</v>
      </c>
      <c r="P2938" s="9">
        <v>0</v>
      </c>
      <c r="R2938" s="11"/>
      <c r="S2938" s="9"/>
      <c r="T2938" s="9"/>
      <c r="U2938" s="9"/>
    </row>
    <row r="2939" spans="2:21" x14ac:dyDescent="0.4">
      <c r="B2939" s="16">
        <f t="shared" si="233"/>
        <v>46026</v>
      </c>
      <c r="C2939" s="1">
        <f t="shared" si="234"/>
        <v>3930</v>
      </c>
      <c r="D2939" s="1">
        <f t="shared" si="235"/>
        <v>746</v>
      </c>
      <c r="E2939" s="1">
        <f t="shared" si="236"/>
        <v>1730</v>
      </c>
      <c r="F2939" s="1">
        <f t="shared" si="237"/>
        <v>1230</v>
      </c>
      <c r="L2939" s="11">
        <v>46026</v>
      </c>
      <c r="M2939" s="9">
        <v>3930</v>
      </c>
      <c r="N2939" s="9">
        <v>0</v>
      </c>
      <c r="O2939" s="9">
        <v>1730</v>
      </c>
      <c r="P2939" s="9">
        <v>1230</v>
      </c>
      <c r="R2939" s="11"/>
      <c r="S2939" s="9"/>
      <c r="T2939" s="9"/>
      <c r="U2939" s="9"/>
    </row>
    <row r="2940" spans="2:21" x14ac:dyDescent="0.4">
      <c r="B2940" s="16">
        <f t="shared" si="233"/>
        <v>46027</v>
      </c>
      <c r="C2940" s="1">
        <f t="shared" si="234"/>
        <v>3941</v>
      </c>
      <c r="D2940" s="1">
        <f t="shared" si="235"/>
        <v>746</v>
      </c>
      <c r="E2940" s="1">
        <f t="shared" si="236"/>
        <v>1730</v>
      </c>
      <c r="F2940" s="1">
        <f t="shared" si="237"/>
        <v>1230</v>
      </c>
      <c r="L2940" s="11">
        <v>46027</v>
      </c>
      <c r="M2940" s="9">
        <v>3941</v>
      </c>
      <c r="N2940" s="9">
        <v>746</v>
      </c>
      <c r="O2940" s="9">
        <v>1730</v>
      </c>
      <c r="P2940" s="9">
        <v>1230</v>
      </c>
      <c r="R2940" s="11"/>
      <c r="S2940" s="9"/>
      <c r="T2940" s="9"/>
      <c r="U2940" s="9"/>
    </row>
    <row r="2941" spans="2:21" x14ac:dyDescent="0.4">
      <c r="B2941" s="16">
        <f t="shared" si="233"/>
        <v>46028</v>
      </c>
      <c r="C2941" s="1">
        <f t="shared" si="234"/>
        <v>3957</v>
      </c>
      <c r="D2941" s="1">
        <f t="shared" si="235"/>
        <v>746</v>
      </c>
      <c r="E2941" s="1">
        <f t="shared" si="236"/>
        <v>1735</v>
      </c>
      <c r="F2941" s="1">
        <f t="shared" si="237"/>
        <v>1230</v>
      </c>
      <c r="L2941" s="11">
        <v>46028</v>
      </c>
      <c r="M2941" s="9">
        <v>3957</v>
      </c>
      <c r="N2941" s="9">
        <v>746</v>
      </c>
      <c r="O2941" s="9">
        <v>1735</v>
      </c>
      <c r="P2941" s="9">
        <v>1230</v>
      </c>
      <c r="R2941" s="11"/>
      <c r="S2941" s="9"/>
      <c r="T2941" s="9"/>
      <c r="U2941" s="9"/>
    </row>
    <row r="2942" spans="2:21" x14ac:dyDescent="0.4">
      <c r="B2942" s="16">
        <f t="shared" si="233"/>
        <v>46029</v>
      </c>
      <c r="C2942" s="1">
        <f t="shared" si="234"/>
        <v>3976</v>
      </c>
      <c r="D2942" s="1">
        <f t="shared" si="235"/>
        <v>746</v>
      </c>
      <c r="E2942" s="1">
        <f t="shared" si="236"/>
        <v>1745</v>
      </c>
      <c r="F2942" s="1">
        <f t="shared" si="237"/>
        <v>1230</v>
      </c>
      <c r="L2942" s="11">
        <v>46029</v>
      </c>
      <c r="M2942" s="9">
        <v>3976</v>
      </c>
      <c r="N2942" s="9">
        <v>746</v>
      </c>
      <c r="O2942" s="9">
        <v>1745</v>
      </c>
      <c r="P2942" s="9">
        <v>1230</v>
      </c>
      <c r="R2942" s="11"/>
      <c r="S2942" s="9"/>
      <c r="T2942" s="9"/>
      <c r="U2942" s="9"/>
    </row>
    <row r="2943" spans="2:21" x14ac:dyDescent="0.4">
      <c r="B2943" s="16">
        <f t="shared" si="233"/>
        <v>46030</v>
      </c>
      <c r="C2943" s="1">
        <f t="shared" si="234"/>
        <v>3980</v>
      </c>
      <c r="D2943" s="1">
        <f t="shared" si="235"/>
        <v>746</v>
      </c>
      <c r="E2943" s="1">
        <f t="shared" si="236"/>
        <v>1750</v>
      </c>
      <c r="F2943" s="1">
        <f t="shared" si="237"/>
        <v>1230</v>
      </c>
      <c r="L2943" s="11">
        <v>46030</v>
      </c>
      <c r="M2943" s="9">
        <v>3980</v>
      </c>
      <c r="N2943" s="9">
        <v>746</v>
      </c>
      <c r="O2943" s="9">
        <v>1750</v>
      </c>
      <c r="P2943" s="9">
        <v>1230</v>
      </c>
      <c r="R2943" s="11"/>
      <c r="S2943" s="9"/>
      <c r="T2943" s="9"/>
      <c r="U2943" s="9"/>
    </row>
    <row r="2944" spans="2:21" x14ac:dyDescent="0.4">
      <c r="B2944" s="16">
        <f t="shared" si="233"/>
        <v>46031</v>
      </c>
      <c r="C2944" s="1">
        <f t="shared" si="234"/>
        <v>3977</v>
      </c>
      <c r="D2944" s="1">
        <f t="shared" si="235"/>
        <v>731</v>
      </c>
      <c r="E2944" s="1">
        <f t="shared" si="236"/>
        <v>1755</v>
      </c>
      <c r="F2944" s="1">
        <f t="shared" si="237"/>
        <v>1230</v>
      </c>
      <c r="L2944" s="11">
        <v>46031</v>
      </c>
      <c r="M2944" s="9">
        <v>3977</v>
      </c>
      <c r="N2944" s="9">
        <v>731</v>
      </c>
      <c r="O2944" s="9">
        <v>1755</v>
      </c>
      <c r="P2944" s="9">
        <v>1230</v>
      </c>
      <c r="R2944" s="11"/>
      <c r="S2944" s="9"/>
      <c r="T2944" s="9"/>
      <c r="U2944" s="9"/>
    </row>
    <row r="2945" spans="2:21" x14ac:dyDescent="0.4">
      <c r="B2945" s="16">
        <f t="shared" si="233"/>
        <v>46034</v>
      </c>
      <c r="C2945" s="1">
        <f t="shared" si="234"/>
        <v>4000</v>
      </c>
      <c r="D2945" s="1">
        <f t="shared" si="235"/>
        <v>731</v>
      </c>
      <c r="E2945" s="1">
        <f t="shared" si="236"/>
        <v>1755</v>
      </c>
      <c r="F2945" s="1">
        <f t="shared" si="237"/>
        <v>1230</v>
      </c>
      <c r="L2945" s="11">
        <v>46034</v>
      </c>
      <c r="M2945" s="9">
        <v>4000</v>
      </c>
      <c r="N2945" s="9">
        <v>731</v>
      </c>
      <c r="O2945" s="9">
        <v>1755</v>
      </c>
      <c r="P2945" s="9">
        <v>1230</v>
      </c>
      <c r="R2945" s="11"/>
      <c r="S2945" s="9"/>
      <c r="T2945" s="9"/>
      <c r="U2945" s="9"/>
    </row>
    <row r="2946" spans="2:21" x14ac:dyDescent="0.4">
      <c r="B2946" s="16">
        <f t="shared" si="233"/>
        <v>46035</v>
      </c>
      <c r="C2946" s="1">
        <f t="shared" si="234"/>
        <v>4007</v>
      </c>
      <c r="D2946" s="1">
        <f t="shared" si="235"/>
        <v>731</v>
      </c>
      <c r="E2946" s="1">
        <f t="shared" si="236"/>
        <v>1755</v>
      </c>
      <c r="F2946" s="1">
        <f t="shared" si="237"/>
        <v>1230</v>
      </c>
      <c r="L2946" s="11">
        <v>46035</v>
      </c>
      <c r="M2946" s="9">
        <v>4007</v>
      </c>
      <c r="N2946" s="9">
        <v>731</v>
      </c>
      <c r="O2946" s="9">
        <v>1755</v>
      </c>
      <c r="P2946" s="9">
        <v>1230</v>
      </c>
      <c r="R2946" s="11"/>
      <c r="S2946" s="9"/>
      <c r="T2946" s="9"/>
      <c r="U2946" s="9"/>
    </row>
    <row r="2947" spans="2:21" x14ac:dyDescent="0.4">
      <c r="B2947" s="16">
        <f t="shared" si="233"/>
        <v>46036</v>
      </c>
      <c r="C2947" s="1">
        <f t="shared" si="234"/>
        <v>4034</v>
      </c>
      <c r="D2947" s="1">
        <f t="shared" si="235"/>
        <v>731</v>
      </c>
      <c r="E2947" s="1">
        <f t="shared" si="236"/>
        <v>1755</v>
      </c>
      <c r="F2947" s="1">
        <f t="shared" si="237"/>
        <v>1230</v>
      </c>
      <c r="L2947" s="11">
        <v>46036</v>
      </c>
      <c r="M2947" s="9">
        <v>4034</v>
      </c>
      <c r="N2947" s="9">
        <v>731</v>
      </c>
      <c r="O2947" s="9">
        <v>1755</v>
      </c>
      <c r="P2947" s="9">
        <v>1230</v>
      </c>
      <c r="R2947" s="11"/>
      <c r="S2947" s="9"/>
      <c r="T2947" s="9"/>
      <c r="U2947" s="9"/>
    </row>
    <row r="2948" spans="2:21" x14ac:dyDescent="0.4">
      <c r="B2948" s="16">
        <f t="shared" si="233"/>
        <v>46037</v>
      </c>
      <c r="C2948" s="1">
        <f t="shared" si="234"/>
        <v>4030</v>
      </c>
      <c r="D2948" s="1">
        <f t="shared" si="235"/>
        <v>731</v>
      </c>
      <c r="E2948" s="1">
        <f t="shared" si="236"/>
        <v>1755</v>
      </c>
      <c r="F2948" s="1">
        <f t="shared" si="237"/>
        <v>1230</v>
      </c>
      <c r="L2948" s="11">
        <v>46037</v>
      </c>
      <c r="M2948" s="9">
        <v>4030</v>
      </c>
      <c r="N2948" s="9">
        <v>731</v>
      </c>
      <c r="O2948" s="9">
        <v>1755</v>
      </c>
      <c r="P2948" s="9">
        <v>1230</v>
      </c>
      <c r="R2948" s="11"/>
      <c r="S2948" s="9"/>
      <c r="T2948" s="9"/>
      <c r="U2948" s="9"/>
    </row>
    <row r="2949" spans="2:21" x14ac:dyDescent="0.4">
      <c r="B2949" s="16">
        <f t="shared" si="233"/>
        <v>46038</v>
      </c>
      <c r="C2949" s="1">
        <f t="shared" si="234"/>
        <v>4013</v>
      </c>
      <c r="D2949" s="1">
        <f t="shared" si="235"/>
        <v>711</v>
      </c>
      <c r="E2949" s="1">
        <f t="shared" si="236"/>
        <v>1765</v>
      </c>
      <c r="F2949" s="1">
        <f t="shared" si="237"/>
        <v>1230</v>
      </c>
      <c r="L2949" s="11">
        <v>46038</v>
      </c>
      <c r="M2949" s="9">
        <v>4013</v>
      </c>
      <c r="N2949" s="9">
        <v>711</v>
      </c>
      <c r="O2949" s="9">
        <v>1765</v>
      </c>
      <c r="P2949" s="9">
        <v>1230</v>
      </c>
      <c r="R2949" s="11"/>
      <c r="S2949" s="9"/>
      <c r="T2949" s="9"/>
      <c r="U2949" s="9"/>
    </row>
    <row r="2950" spans="2:21" x14ac:dyDescent="0.4">
      <c r="B2950" s="16">
        <f t="shared" ref="B2950:B3013" si="238">L2950</f>
        <v>46041</v>
      </c>
      <c r="C2950" s="1">
        <f t="shared" si="234"/>
        <v>4010</v>
      </c>
      <c r="D2950" s="1">
        <f t="shared" si="235"/>
        <v>711</v>
      </c>
      <c r="E2950" s="1">
        <f t="shared" si="236"/>
        <v>1765</v>
      </c>
      <c r="F2950" s="1">
        <f t="shared" si="237"/>
        <v>1230</v>
      </c>
      <c r="L2950" s="11">
        <v>46041</v>
      </c>
      <c r="M2950" s="9">
        <v>4010</v>
      </c>
      <c r="N2950" s="9">
        <v>711</v>
      </c>
      <c r="O2950" s="9">
        <v>1765</v>
      </c>
      <c r="P2950" s="9">
        <v>1230</v>
      </c>
      <c r="R2950" s="11"/>
      <c r="S2950" s="9"/>
      <c r="T2950" s="9"/>
      <c r="U2950" s="9"/>
    </row>
    <row r="2951" spans="2:21" x14ac:dyDescent="0.4">
      <c r="B2951" s="16">
        <f t="shared" si="238"/>
        <v>46042</v>
      </c>
      <c r="C2951" s="1">
        <f t="shared" ref="C2951:C3014" si="239">IF(M2951&lt;&gt;0,M2951,C2950)</f>
        <v>4001</v>
      </c>
      <c r="D2951" s="1">
        <f t="shared" ref="D2951:D3014" si="240">IF(N2951&lt;&gt;0,N2951,D2950)</f>
        <v>711</v>
      </c>
      <c r="E2951" s="1">
        <f t="shared" ref="E2951:E3014" si="241">IF(O2951&lt;&gt;0,O2951,E2950)</f>
        <v>1765</v>
      </c>
      <c r="F2951" s="1">
        <f t="shared" si="237"/>
        <v>1230</v>
      </c>
      <c r="L2951" s="11">
        <v>46042</v>
      </c>
      <c r="M2951" s="9">
        <v>4001</v>
      </c>
      <c r="N2951" s="9">
        <v>711</v>
      </c>
      <c r="O2951" s="9">
        <v>1765</v>
      </c>
      <c r="P2951" s="9">
        <v>1230</v>
      </c>
      <c r="R2951" s="11"/>
      <c r="S2951" s="9"/>
      <c r="T2951" s="9"/>
      <c r="U2951" s="9"/>
    </row>
    <row r="2952" spans="2:21" x14ac:dyDescent="0.4">
      <c r="B2952" s="16">
        <f t="shared" si="238"/>
        <v>46043</v>
      </c>
      <c r="C2952" s="1">
        <f t="shared" si="239"/>
        <v>4009</v>
      </c>
      <c r="D2952" s="1">
        <f t="shared" si="240"/>
        <v>711</v>
      </c>
      <c r="E2952" s="1">
        <f t="shared" si="241"/>
        <v>1760</v>
      </c>
      <c r="F2952" s="1">
        <f t="shared" si="237"/>
        <v>1230</v>
      </c>
      <c r="L2952" s="11">
        <v>46043</v>
      </c>
      <c r="M2952" s="9">
        <v>4009</v>
      </c>
      <c r="N2952" s="9">
        <v>711</v>
      </c>
      <c r="O2952" s="9">
        <v>1760</v>
      </c>
      <c r="P2952" s="9">
        <v>1230</v>
      </c>
      <c r="R2952" s="11"/>
      <c r="S2952" s="9"/>
      <c r="T2952" s="9"/>
      <c r="U2952" s="9"/>
    </row>
    <row r="2953" spans="2:21" x14ac:dyDescent="0.4">
      <c r="B2953" s="16">
        <f t="shared" si="238"/>
        <v>46044</v>
      </c>
      <c r="C2953" s="1">
        <f t="shared" si="239"/>
        <v>4032</v>
      </c>
      <c r="D2953" s="1">
        <f t="shared" si="240"/>
        <v>711</v>
      </c>
      <c r="E2953" s="1">
        <f t="shared" si="241"/>
        <v>1755</v>
      </c>
      <c r="F2953" s="1">
        <f t="shared" si="237"/>
        <v>1230</v>
      </c>
      <c r="L2953" s="11">
        <v>46044</v>
      </c>
      <c r="M2953" s="9">
        <v>4032</v>
      </c>
      <c r="N2953" s="9">
        <v>711</v>
      </c>
      <c r="O2953" s="9">
        <v>1755</v>
      </c>
      <c r="P2953" s="9">
        <v>1230</v>
      </c>
      <c r="R2953" s="11"/>
      <c r="S2953" s="9"/>
      <c r="T2953" s="9"/>
      <c r="U2953" s="9"/>
    </row>
    <row r="2954" spans="2:21" x14ac:dyDescent="0.4">
      <c r="B2954" s="16">
        <f t="shared" si="238"/>
        <v>46045</v>
      </c>
      <c r="C2954" s="1">
        <f t="shared" si="239"/>
        <v>4074</v>
      </c>
      <c r="D2954" s="1">
        <f t="shared" si="240"/>
        <v>706</v>
      </c>
      <c r="E2954" s="1">
        <f t="shared" si="241"/>
        <v>1755</v>
      </c>
      <c r="F2954" s="1">
        <f t="shared" si="237"/>
        <v>1230</v>
      </c>
      <c r="L2954" s="11">
        <v>46045</v>
      </c>
      <c r="M2954" s="9">
        <v>4074</v>
      </c>
      <c r="N2954" s="9">
        <v>706</v>
      </c>
      <c r="O2954" s="9">
        <v>1755</v>
      </c>
      <c r="P2954" s="9">
        <v>1230</v>
      </c>
      <c r="R2954" s="11"/>
      <c r="S2954" s="9"/>
      <c r="T2954" s="9"/>
      <c r="U2954" s="9"/>
    </row>
    <row r="2955" spans="2:21" x14ac:dyDescent="0.4">
      <c r="B2955" s="16">
        <f t="shared" si="238"/>
        <v>46048</v>
      </c>
      <c r="C2955" s="1">
        <f t="shared" si="239"/>
        <v>4098</v>
      </c>
      <c r="D2955" s="1">
        <f t="shared" si="240"/>
        <v>706</v>
      </c>
      <c r="E2955" s="1">
        <f t="shared" si="241"/>
        <v>1755</v>
      </c>
      <c r="F2955" s="1">
        <f t="shared" si="237"/>
        <v>1230</v>
      </c>
      <c r="L2955" s="11">
        <v>46048</v>
      </c>
      <c r="M2955" s="9">
        <v>4098</v>
      </c>
      <c r="N2955" s="9">
        <v>706</v>
      </c>
      <c r="O2955" s="9">
        <v>1755</v>
      </c>
      <c r="P2955" s="9">
        <v>1230</v>
      </c>
      <c r="R2955" s="11"/>
      <c r="S2955" s="9"/>
      <c r="T2955" s="9"/>
      <c r="U2955" s="9"/>
    </row>
    <row r="2956" spans="2:21" x14ac:dyDescent="0.4">
      <c r="B2956" s="16">
        <f t="shared" si="238"/>
        <v>46049</v>
      </c>
      <c r="C2956" s="1">
        <f t="shared" si="239"/>
        <v>4085</v>
      </c>
      <c r="D2956" s="1">
        <f t="shared" si="240"/>
        <v>701</v>
      </c>
      <c r="E2956" s="1">
        <f t="shared" si="241"/>
        <v>1760</v>
      </c>
      <c r="F2956" s="1">
        <f t="shared" si="237"/>
        <v>1230</v>
      </c>
      <c r="L2956" s="11">
        <v>46049</v>
      </c>
      <c r="M2956" s="9">
        <v>4085</v>
      </c>
      <c r="N2956" s="9">
        <v>701</v>
      </c>
      <c r="O2956" s="9">
        <v>1760</v>
      </c>
      <c r="P2956" s="9">
        <v>1230</v>
      </c>
      <c r="R2956" s="11"/>
      <c r="S2956" s="9"/>
      <c r="T2956" s="9"/>
      <c r="U2956" s="9"/>
    </row>
    <row r="2957" spans="2:21" x14ac:dyDescent="0.4">
      <c r="B2957" s="16">
        <f t="shared" si="238"/>
        <v>46050</v>
      </c>
      <c r="C2957" s="1">
        <f t="shared" si="239"/>
        <v>4092</v>
      </c>
      <c r="D2957" s="1">
        <f t="shared" si="240"/>
        <v>701</v>
      </c>
      <c r="E2957" s="1">
        <f t="shared" si="241"/>
        <v>1760</v>
      </c>
      <c r="F2957" s="1">
        <f t="shared" si="237"/>
        <v>1230</v>
      </c>
      <c r="L2957" s="11">
        <v>46050</v>
      </c>
      <c r="M2957" s="9">
        <v>4092</v>
      </c>
      <c r="N2957" s="9">
        <v>701</v>
      </c>
      <c r="O2957" s="9">
        <v>1760</v>
      </c>
      <c r="P2957" s="9">
        <v>1230</v>
      </c>
      <c r="R2957" s="11"/>
      <c r="S2957" s="9"/>
      <c r="T2957" s="9"/>
      <c r="U2957" s="9"/>
    </row>
    <row r="2958" spans="2:21" x14ac:dyDescent="0.4">
      <c r="B2958" s="16">
        <f t="shared" si="238"/>
        <v>46051</v>
      </c>
      <c r="C2958" s="1">
        <f t="shared" si="239"/>
        <v>4106</v>
      </c>
      <c r="D2958" s="1">
        <f t="shared" si="240"/>
        <v>701</v>
      </c>
      <c r="E2958" s="1">
        <f t="shared" si="241"/>
        <v>1760</v>
      </c>
      <c r="F2958" s="1">
        <f t="shared" si="237"/>
        <v>1230</v>
      </c>
      <c r="L2958" s="11">
        <v>46051</v>
      </c>
      <c r="M2958" s="9">
        <v>4106</v>
      </c>
      <c r="N2958" s="9">
        <v>701</v>
      </c>
      <c r="O2958" s="9">
        <v>1760</v>
      </c>
      <c r="P2958" s="9">
        <v>1230</v>
      </c>
      <c r="R2958" s="11"/>
      <c r="S2958" s="9"/>
      <c r="T2958" s="9"/>
      <c r="U2958" s="9"/>
    </row>
    <row r="2959" spans="2:21" x14ac:dyDescent="0.4">
      <c r="B2959" s="16">
        <f t="shared" si="238"/>
        <v>46052</v>
      </c>
      <c r="C2959" s="1">
        <f t="shared" si="239"/>
        <v>4115</v>
      </c>
      <c r="D2959" s="1">
        <f t="shared" si="240"/>
        <v>701</v>
      </c>
      <c r="E2959" s="1">
        <f t="shared" si="241"/>
        <v>1775</v>
      </c>
      <c r="F2959" s="1">
        <f t="shared" si="237"/>
        <v>1230</v>
      </c>
      <c r="L2959" s="11">
        <v>46052</v>
      </c>
      <c r="M2959" s="9">
        <v>4115</v>
      </c>
      <c r="N2959" s="9">
        <v>701</v>
      </c>
      <c r="O2959" s="9">
        <v>1775</v>
      </c>
      <c r="P2959" s="9">
        <v>1230</v>
      </c>
      <c r="R2959" s="11"/>
      <c r="S2959" s="9"/>
      <c r="T2959" s="9"/>
      <c r="U2959" s="9"/>
    </row>
    <row r="2960" spans="2:21" x14ac:dyDescent="0.4">
      <c r="B2960" s="16">
        <f t="shared" si="238"/>
        <v>46055</v>
      </c>
      <c r="C2960" s="1">
        <f t="shared" si="239"/>
        <v>4092</v>
      </c>
      <c r="D2960" s="1">
        <f t="shared" si="240"/>
        <v>701</v>
      </c>
      <c r="E2960" s="1">
        <f t="shared" si="241"/>
        <v>1780</v>
      </c>
      <c r="F2960" s="1">
        <f t="shared" si="237"/>
        <v>1230</v>
      </c>
      <c r="L2960" s="11">
        <v>46055</v>
      </c>
      <c r="M2960" s="9">
        <v>4092</v>
      </c>
      <c r="N2960" s="9">
        <v>701</v>
      </c>
      <c r="O2960" s="9">
        <v>1780</v>
      </c>
      <c r="P2960" s="9">
        <v>1230</v>
      </c>
      <c r="R2960" s="11"/>
      <c r="S2960" s="9"/>
      <c r="T2960" s="9"/>
      <c r="U2960" s="9"/>
    </row>
    <row r="2961" spans="2:21" x14ac:dyDescent="0.4">
      <c r="B2961" s="16">
        <f t="shared" si="238"/>
        <v>46056</v>
      </c>
      <c r="C2961" s="1">
        <f t="shared" si="239"/>
        <v>4064</v>
      </c>
      <c r="D2961" s="1">
        <f t="shared" si="240"/>
        <v>701</v>
      </c>
      <c r="E2961" s="1">
        <f t="shared" si="241"/>
        <v>1780</v>
      </c>
      <c r="F2961" s="1">
        <f t="shared" si="237"/>
        <v>1230</v>
      </c>
      <c r="L2961" s="11">
        <v>46056</v>
      </c>
      <c r="M2961" s="9">
        <v>4064</v>
      </c>
      <c r="N2961" s="9">
        <v>701</v>
      </c>
      <c r="O2961" s="9">
        <v>1780</v>
      </c>
      <c r="P2961" s="9">
        <v>1230</v>
      </c>
      <c r="R2961" s="11"/>
      <c r="S2961" s="9"/>
      <c r="T2961" s="9"/>
      <c r="U2961" s="9"/>
    </row>
    <row r="2962" spans="2:21" x14ac:dyDescent="0.4">
      <c r="B2962" s="16">
        <f t="shared" si="238"/>
        <v>46057</v>
      </c>
      <c r="C2962" s="1">
        <f t="shared" si="239"/>
        <v>4075</v>
      </c>
      <c r="D2962" s="1">
        <f t="shared" si="240"/>
        <v>699</v>
      </c>
      <c r="E2962" s="1">
        <f t="shared" si="241"/>
        <v>1780</v>
      </c>
      <c r="F2962" s="1">
        <f t="shared" si="237"/>
        <v>1230</v>
      </c>
      <c r="L2962" s="11">
        <v>46057</v>
      </c>
      <c r="M2962" s="9">
        <v>4075</v>
      </c>
      <c r="N2962" s="9">
        <v>699</v>
      </c>
      <c r="O2962" s="9">
        <v>1780</v>
      </c>
      <c r="P2962" s="9">
        <v>1230</v>
      </c>
      <c r="R2962" s="11"/>
      <c r="S2962" s="9"/>
      <c r="T2962" s="9"/>
      <c r="U2962" s="9"/>
    </row>
    <row r="2963" spans="2:21" x14ac:dyDescent="0.4">
      <c r="B2963" s="16">
        <f t="shared" si="238"/>
        <v>46058</v>
      </c>
      <c r="C2963" s="1">
        <f t="shared" si="239"/>
        <v>4065</v>
      </c>
      <c r="D2963" s="1">
        <f t="shared" si="240"/>
        <v>699</v>
      </c>
      <c r="E2963" s="1">
        <f t="shared" si="241"/>
        <v>1780</v>
      </c>
      <c r="F2963" s="1">
        <f t="shared" si="237"/>
        <v>1230</v>
      </c>
      <c r="L2963" s="11">
        <v>46058</v>
      </c>
      <c r="M2963" s="9">
        <v>4065</v>
      </c>
      <c r="N2963" s="9">
        <v>699</v>
      </c>
      <c r="O2963" s="9">
        <v>1780</v>
      </c>
      <c r="P2963" s="9">
        <v>1230</v>
      </c>
      <c r="R2963" s="11"/>
      <c r="S2963" s="9"/>
      <c r="T2963" s="9"/>
      <c r="U2963" s="9"/>
    </row>
    <row r="2964" spans="2:21" x14ac:dyDescent="0.4">
      <c r="B2964" s="16">
        <f t="shared" si="238"/>
        <v>46059</v>
      </c>
      <c r="C2964" s="1">
        <f t="shared" si="239"/>
        <v>4053</v>
      </c>
      <c r="D2964" s="1">
        <f t="shared" si="240"/>
        <v>696</v>
      </c>
      <c r="E2964" s="1">
        <f t="shared" si="241"/>
        <v>1780</v>
      </c>
      <c r="F2964" s="1">
        <f t="shared" si="237"/>
        <v>1230</v>
      </c>
      <c r="L2964" s="11">
        <v>46059</v>
      </c>
      <c r="M2964" s="9">
        <v>4053</v>
      </c>
      <c r="N2964" s="9">
        <v>696</v>
      </c>
      <c r="O2964" s="9">
        <v>1780</v>
      </c>
      <c r="P2964" s="9">
        <v>1230</v>
      </c>
      <c r="R2964" s="11"/>
      <c r="S2964" s="9"/>
      <c r="T2964" s="9"/>
      <c r="U2964" s="9"/>
    </row>
    <row r="2965" spans="2:21" x14ac:dyDescent="0.4">
      <c r="B2965" s="16">
        <f t="shared" si="238"/>
        <v>46062</v>
      </c>
      <c r="C2965" s="1">
        <f t="shared" si="239"/>
        <v>4052</v>
      </c>
      <c r="D2965" s="1">
        <f t="shared" si="240"/>
        <v>696</v>
      </c>
      <c r="E2965" s="1">
        <f t="shared" si="241"/>
        <v>1780</v>
      </c>
      <c r="F2965" s="1">
        <f t="shared" si="237"/>
        <v>1230</v>
      </c>
      <c r="L2965" s="11">
        <v>46062</v>
      </c>
      <c r="M2965" s="9">
        <v>4052</v>
      </c>
      <c r="N2965" s="9">
        <v>696</v>
      </c>
      <c r="O2965" s="9">
        <v>1780</v>
      </c>
      <c r="P2965" s="9">
        <v>1230</v>
      </c>
      <c r="R2965" s="11"/>
      <c r="S2965" s="9"/>
      <c r="T2965" s="9"/>
      <c r="U2965" s="9"/>
    </row>
    <row r="2966" spans="2:21" x14ac:dyDescent="0.4">
      <c r="B2966" s="16">
        <f t="shared" si="238"/>
        <v>46063</v>
      </c>
      <c r="C2966" s="1">
        <f t="shared" si="239"/>
        <v>4050</v>
      </c>
      <c r="D2966" s="1">
        <f t="shared" si="240"/>
        <v>696</v>
      </c>
      <c r="E2966" s="1">
        <f t="shared" si="241"/>
        <v>1790</v>
      </c>
      <c r="F2966" s="1">
        <f t="shared" si="237"/>
        <v>1230</v>
      </c>
      <c r="L2966" s="11">
        <v>46063</v>
      </c>
      <c r="M2966" s="9">
        <v>4050</v>
      </c>
      <c r="N2966" s="9">
        <v>696</v>
      </c>
      <c r="O2966" s="9">
        <v>1790</v>
      </c>
      <c r="P2966" s="9">
        <v>1230</v>
      </c>
      <c r="R2966" s="11"/>
      <c r="S2966" s="9"/>
      <c r="T2966" s="9"/>
      <c r="U2966" s="9"/>
    </row>
    <row r="2967" spans="2:21" x14ac:dyDescent="0.4">
      <c r="B2967" s="16">
        <f t="shared" si="238"/>
        <v>46064</v>
      </c>
      <c r="C2967" s="1">
        <f t="shared" si="239"/>
        <v>4052</v>
      </c>
      <c r="D2967" s="1">
        <f t="shared" si="240"/>
        <v>696</v>
      </c>
      <c r="E2967" s="1">
        <f t="shared" si="241"/>
        <v>1790</v>
      </c>
      <c r="F2967" s="1">
        <f t="shared" si="237"/>
        <v>1230</v>
      </c>
      <c r="L2967" s="11">
        <v>46064</v>
      </c>
      <c r="M2967" s="9">
        <v>4052</v>
      </c>
      <c r="N2967" s="9">
        <v>696</v>
      </c>
      <c r="O2967" s="9">
        <v>1790</v>
      </c>
      <c r="P2967" s="9">
        <v>1230</v>
      </c>
      <c r="R2967" s="11"/>
      <c r="S2967" s="9"/>
      <c r="T2967" s="9"/>
      <c r="U2967" s="9"/>
    </row>
    <row r="2968" spans="2:21" x14ac:dyDescent="0.4">
      <c r="B2968" s="16">
        <f t="shared" si="238"/>
        <v>46065</v>
      </c>
      <c r="C2968" s="1">
        <f t="shared" si="239"/>
        <v>4053</v>
      </c>
      <c r="D2968" s="1">
        <f t="shared" si="240"/>
        <v>706</v>
      </c>
      <c r="E2968" s="1">
        <f t="shared" si="241"/>
        <v>1790</v>
      </c>
      <c r="F2968" s="1">
        <f t="shared" si="237"/>
        <v>1230</v>
      </c>
      <c r="L2968" s="11">
        <v>46065</v>
      </c>
      <c r="M2968" s="9">
        <v>4053</v>
      </c>
      <c r="N2968" s="9">
        <v>706</v>
      </c>
      <c r="O2968" s="9">
        <v>1790</v>
      </c>
      <c r="P2968" s="9">
        <v>1230</v>
      </c>
      <c r="R2968" s="11"/>
      <c r="S2968" s="9"/>
      <c r="T2968" s="9"/>
      <c r="U2968" s="9"/>
    </row>
    <row r="2969" spans="2:21" x14ac:dyDescent="0.4">
      <c r="B2969" s="16">
        <f t="shared" si="238"/>
        <v>46066</v>
      </c>
      <c r="C2969" s="1">
        <f t="shared" si="239"/>
        <v>4040</v>
      </c>
      <c r="D2969" s="1">
        <f t="shared" si="240"/>
        <v>706</v>
      </c>
      <c r="E2969" s="1">
        <f t="shared" si="241"/>
        <v>1800</v>
      </c>
      <c r="F2969" s="1">
        <f t="shared" si="237"/>
        <v>1230</v>
      </c>
      <c r="L2969" s="11">
        <v>46066</v>
      </c>
      <c r="M2969" s="9">
        <v>4040</v>
      </c>
      <c r="N2969" s="9">
        <v>706</v>
      </c>
      <c r="O2969" s="9">
        <v>1800</v>
      </c>
      <c r="P2969" s="9">
        <v>1230</v>
      </c>
      <c r="R2969" s="11"/>
      <c r="S2969" s="9"/>
      <c r="T2969" s="9"/>
      <c r="U2969" s="9"/>
    </row>
    <row r="2970" spans="2:21" x14ac:dyDescent="0.4">
      <c r="B2970" s="16">
        <f t="shared" si="238"/>
        <v>46067</v>
      </c>
      <c r="C2970" s="1">
        <f t="shared" si="239"/>
        <v>4035</v>
      </c>
      <c r="D2970" s="1">
        <f t="shared" si="240"/>
        <v>706</v>
      </c>
      <c r="E2970" s="1">
        <f t="shared" si="241"/>
        <v>1800</v>
      </c>
      <c r="F2970" s="1">
        <f t="shared" si="237"/>
        <v>1230</v>
      </c>
      <c r="L2970" s="11">
        <v>46067</v>
      </c>
      <c r="M2970" s="9">
        <v>4035</v>
      </c>
      <c r="N2970" s="9">
        <v>0</v>
      </c>
      <c r="O2970" s="9">
        <v>1800</v>
      </c>
      <c r="P2970" s="9">
        <v>1230</v>
      </c>
      <c r="R2970" s="11"/>
      <c r="S2970" s="9"/>
      <c r="T2970" s="9"/>
      <c r="U2970" s="9"/>
    </row>
    <row r="2971" spans="2:21" x14ac:dyDescent="0.4">
      <c r="B2971" s="16">
        <f t="shared" si="238"/>
        <v>46072</v>
      </c>
      <c r="C2971" s="1">
        <f t="shared" si="239"/>
        <v>4035</v>
      </c>
      <c r="D2971" s="1">
        <f t="shared" si="240"/>
        <v>706</v>
      </c>
      <c r="E2971" s="1">
        <f t="shared" si="241"/>
        <v>1800</v>
      </c>
      <c r="F2971" s="1">
        <f t="shared" si="237"/>
        <v>1230</v>
      </c>
      <c r="L2971" s="11">
        <v>46072</v>
      </c>
      <c r="M2971" s="9">
        <v>0</v>
      </c>
      <c r="N2971" s="9">
        <v>706</v>
      </c>
      <c r="O2971" s="9">
        <v>0</v>
      </c>
      <c r="P2971" s="9">
        <v>0</v>
      </c>
      <c r="R2971" s="11"/>
      <c r="S2971" s="9"/>
      <c r="T2971" s="9"/>
      <c r="U2971" s="9"/>
    </row>
    <row r="2972" spans="2:21" x14ac:dyDescent="0.4">
      <c r="B2972" s="16">
        <f t="shared" si="238"/>
        <v>46073</v>
      </c>
      <c r="C2972" s="1">
        <f t="shared" si="239"/>
        <v>4035</v>
      </c>
      <c r="D2972" s="1">
        <f t="shared" si="240"/>
        <v>706</v>
      </c>
      <c r="E2972" s="1">
        <f t="shared" si="241"/>
        <v>1800</v>
      </c>
      <c r="F2972" s="1">
        <f t="shared" si="237"/>
        <v>1230</v>
      </c>
      <c r="L2972" s="11">
        <v>46073</v>
      </c>
      <c r="M2972" s="9">
        <v>0</v>
      </c>
      <c r="N2972" s="9">
        <v>706</v>
      </c>
      <c r="O2972" s="9">
        <v>0</v>
      </c>
      <c r="P2972" s="9">
        <v>0</v>
      </c>
      <c r="R2972" s="11"/>
      <c r="S2972" s="9"/>
      <c r="T2972" s="9"/>
      <c r="U2972" s="9"/>
    </row>
    <row r="2973" spans="2:21" x14ac:dyDescent="0.4">
      <c r="B2973" s="16">
        <f t="shared" si="238"/>
        <v>46076</v>
      </c>
      <c r="C2973" s="1">
        <f t="shared" si="239"/>
        <v>4035</v>
      </c>
      <c r="D2973" s="1">
        <f t="shared" si="240"/>
        <v>706</v>
      </c>
      <c r="E2973" s="1">
        <f t="shared" si="241"/>
        <v>1800</v>
      </c>
      <c r="F2973" s="1">
        <f t="shared" si="237"/>
        <v>1230</v>
      </c>
      <c r="L2973" s="11">
        <v>46076</v>
      </c>
      <c r="M2973" s="9">
        <v>0</v>
      </c>
      <c r="N2973" s="9">
        <v>706</v>
      </c>
      <c r="O2973" s="9">
        <v>0</v>
      </c>
      <c r="P2973" s="9">
        <v>0</v>
      </c>
      <c r="R2973" s="11"/>
      <c r="S2973" s="9"/>
      <c r="T2973" s="9"/>
      <c r="U2973" s="9"/>
    </row>
    <row r="2974" spans="2:21" x14ac:dyDescent="0.4">
      <c r="B2974" s="16">
        <f t="shared" si="238"/>
        <v>46077</v>
      </c>
      <c r="C2974" s="1">
        <f t="shared" si="239"/>
        <v>4060</v>
      </c>
      <c r="D2974" s="1">
        <f t="shared" si="240"/>
        <v>706</v>
      </c>
      <c r="E2974" s="1">
        <f t="shared" si="241"/>
        <v>1800</v>
      </c>
      <c r="F2974" s="1">
        <f t="shared" si="237"/>
        <v>1230</v>
      </c>
      <c r="L2974" s="11">
        <v>46077</v>
      </c>
      <c r="M2974" s="9">
        <v>4060</v>
      </c>
      <c r="N2974" s="9">
        <v>706</v>
      </c>
      <c r="O2974" s="9">
        <v>1800</v>
      </c>
      <c r="P2974" s="9">
        <v>1230</v>
      </c>
      <c r="R2974" s="11"/>
      <c r="S2974" s="9"/>
      <c r="T2974" s="9"/>
      <c r="U2974" s="9"/>
    </row>
    <row r="2975" spans="2:21" x14ac:dyDescent="0.4">
      <c r="B2975" s="16">
        <f t="shared" si="238"/>
        <v>46078</v>
      </c>
      <c r="C2975" s="1">
        <f t="shared" si="239"/>
        <v>4063</v>
      </c>
      <c r="D2975" s="1">
        <f t="shared" si="240"/>
        <v>706</v>
      </c>
      <c r="E2975" s="1">
        <f t="shared" si="241"/>
        <v>1815</v>
      </c>
      <c r="F2975" s="1">
        <f t="shared" si="237"/>
        <v>1230</v>
      </c>
      <c r="L2975" s="11">
        <v>46078</v>
      </c>
      <c r="M2975" s="9">
        <v>4063</v>
      </c>
      <c r="N2975" s="9">
        <v>706</v>
      </c>
      <c r="O2975" s="9">
        <v>1815</v>
      </c>
      <c r="P2975" s="9">
        <v>1230</v>
      </c>
      <c r="R2975" s="11"/>
      <c r="S2975" s="9"/>
      <c r="T2975" s="9"/>
      <c r="U2975" s="9"/>
    </row>
    <row r="2976" spans="2:21" x14ac:dyDescent="0.4">
      <c r="B2976" s="16">
        <f t="shared" si="238"/>
        <v>46079</v>
      </c>
      <c r="C2976" s="1">
        <f t="shared" si="239"/>
        <v>4053</v>
      </c>
      <c r="D2976" s="1">
        <f t="shared" si="240"/>
        <v>706</v>
      </c>
      <c r="E2976" s="1">
        <f t="shared" si="241"/>
        <v>1820</v>
      </c>
      <c r="F2976" s="1">
        <f t="shared" si="237"/>
        <v>1230</v>
      </c>
      <c r="L2976" s="11">
        <v>46079</v>
      </c>
      <c r="M2976" s="9">
        <v>4053</v>
      </c>
      <c r="N2976" s="9">
        <v>706</v>
      </c>
      <c r="O2976" s="9">
        <v>1820</v>
      </c>
      <c r="P2976" s="9">
        <v>1230</v>
      </c>
      <c r="R2976" s="11"/>
      <c r="S2976" s="9"/>
      <c r="T2976" s="9"/>
      <c r="U2976" s="9"/>
    </row>
    <row r="2977" spans="2:21" x14ac:dyDescent="0.4">
      <c r="B2977" s="16">
        <f t="shared" si="238"/>
        <v>46080</v>
      </c>
      <c r="C2977" s="1">
        <f t="shared" si="239"/>
        <v>4027</v>
      </c>
      <c r="D2977" s="1">
        <f t="shared" si="240"/>
        <v>711</v>
      </c>
      <c r="E2977" s="1">
        <f t="shared" si="241"/>
        <v>1825</v>
      </c>
      <c r="F2977" s="1">
        <f t="shared" si="237"/>
        <v>1230</v>
      </c>
      <c r="L2977" s="11">
        <v>46080</v>
      </c>
      <c r="M2977" s="9">
        <v>4027</v>
      </c>
      <c r="N2977" s="9">
        <v>711</v>
      </c>
      <c r="O2977" s="9">
        <v>1825</v>
      </c>
      <c r="P2977" s="9">
        <v>1230</v>
      </c>
      <c r="R2977" s="11"/>
      <c r="S2977" s="9"/>
      <c r="T2977" s="9"/>
      <c r="U2977" s="9"/>
    </row>
    <row r="2978" spans="2:21" x14ac:dyDescent="0.4">
      <c r="B2978" s="16">
        <f t="shared" si="238"/>
        <v>46081</v>
      </c>
      <c r="C2978" s="1">
        <f t="shared" si="239"/>
        <v>4027</v>
      </c>
      <c r="D2978" s="1">
        <f t="shared" si="240"/>
        <v>711</v>
      </c>
      <c r="E2978" s="1">
        <f t="shared" si="241"/>
        <v>1830</v>
      </c>
      <c r="F2978" s="1">
        <f t="shared" si="237"/>
        <v>1230</v>
      </c>
      <c r="L2978" s="11">
        <v>46081</v>
      </c>
      <c r="M2978" s="9">
        <v>4027</v>
      </c>
      <c r="N2978" s="9">
        <v>0</v>
      </c>
      <c r="O2978" s="9">
        <v>1830</v>
      </c>
      <c r="P2978" s="9">
        <v>1230</v>
      </c>
      <c r="R2978" s="11"/>
      <c r="S2978" s="9"/>
      <c r="T2978" s="9"/>
      <c r="U2978" s="9"/>
    </row>
    <row r="2979" spans="2:21" x14ac:dyDescent="0.4">
      <c r="B2979" s="16">
        <f t="shared" si="238"/>
        <v>46083</v>
      </c>
      <c r="C2979" s="1">
        <f t="shared" si="239"/>
        <v>4121</v>
      </c>
      <c r="D2979" s="1">
        <f t="shared" si="240"/>
        <v>751</v>
      </c>
      <c r="E2979" s="1">
        <f t="shared" si="241"/>
        <v>1830</v>
      </c>
      <c r="F2979" s="1">
        <f t="shared" si="237"/>
        <v>1230</v>
      </c>
      <c r="L2979" s="11">
        <v>46083</v>
      </c>
      <c r="M2979" s="9">
        <v>4121</v>
      </c>
      <c r="N2979" s="9">
        <v>751</v>
      </c>
      <c r="O2979" s="9">
        <v>1830</v>
      </c>
      <c r="P2979" s="9">
        <v>1230</v>
      </c>
      <c r="R2979" s="11"/>
      <c r="S2979" s="9"/>
      <c r="T2979" s="9"/>
      <c r="U2979" s="9"/>
    </row>
    <row r="2980" spans="2:21" x14ac:dyDescent="0.4">
      <c r="B2980" s="16">
        <f t="shared" si="238"/>
        <v>46084</v>
      </c>
      <c r="C2980" s="1">
        <f t="shared" si="239"/>
        <v>4268</v>
      </c>
      <c r="D2980" s="1">
        <f t="shared" si="240"/>
        <v>781</v>
      </c>
      <c r="E2980" s="1">
        <f t="shared" si="241"/>
        <v>1850</v>
      </c>
      <c r="F2980" s="1">
        <f t="shared" si="237"/>
        <v>1230</v>
      </c>
      <c r="L2980" s="11">
        <v>46084</v>
      </c>
      <c r="M2980" s="9">
        <v>4268</v>
      </c>
      <c r="N2980" s="9">
        <v>781</v>
      </c>
      <c r="O2980" s="9">
        <v>1850</v>
      </c>
      <c r="P2980" s="9">
        <v>1230</v>
      </c>
      <c r="R2980" s="11"/>
      <c r="S2980" s="9"/>
      <c r="T2980" s="9"/>
      <c r="U2980" s="9"/>
    </row>
    <row r="2981" spans="2:21" x14ac:dyDescent="0.4">
      <c r="B2981" s="16">
        <f t="shared" si="238"/>
        <v>46085</v>
      </c>
      <c r="C2981" s="1">
        <f t="shared" si="239"/>
        <v>4343</v>
      </c>
      <c r="D2981" s="1">
        <f t="shared" si="240"/>
        <v>801</v>
      </c>
      <c r="E2981" s="1">
        <f t="shared" si="241"/>
        <v>1855</v>
      </c>
      <c r="F2981" s="1">
        <f t="shared" si="237"/>
        <v>1230</v>
      </c>
      <c r="L2981" s="11">
        <v>46085</v>
      </c>
      <c r="M2981" s="9">
        <v>4343</v>
      </c>
      <c r="N2981" s="9">
        <v>801</v>
      </c>
      <c r="O2981" s="9">
        <v>1855</v>
      </c>
      <c r="P2981" s="9">
        <v>1230</v>
      </c>
      <c r="R2981" s="11"/>
      <c r="S2981" s="9"/>
      <c r="T2981" s="9"/>
      <c r="U2981" s="9"/>
    </row>
    <row r="2982" spans="2:21" x14ac:dyDescent="0.4">
      <c r="B2982" s="16">
        <f t="shared" si="238"/>
        <v>46086</v>
      </c>
      <c r="C2982" s="1">
        <f t="shared" si="239"/>
        <v>4431</v>
      </c>
      <c r="D2982" s="1">
        <f t="shared" si="240"/>
        <v>851</v>
      </c>
      <c r="E2982" s="1">
        <f t="shared" si="241"/>
        <v>1855</v>
      </c>
      <c r="F2982" s="1">
        <f t="shared" si="237"/>
        <v>1230</v>
      </c>
      <c r="L2982" s="11">
        <v>46086</v>
      </c>
      <c r="M2982" s="9">
        <v>4431</v>
      </c>
      <c r="N2982" s="9">
        <v>851</v>
      </c>
      <c r="O2982" s="9">
        <v>1855</v>
      </c>
      <c r="P2982" s="9">
        <v>1230</v>
      </c>
      <c r="R2982" s="11"/>
      <c r="S2982" s="9"/>
      <c r="T2982" s="9"/>
      <c r="U2982" s="9"/>
    </row>
    <row r="2983" spans="2:21" x14ac:dyDescent="0.4">
      <c r="B2983" s="16">
        <f t="shared" si="238"/>
        <v>46087</v>
      </c>
      <c r="C2983" s="1">
        <f t="shared" si="239"/>
        <v>4512</v>
      </c>
      <c r="D2983" s="1">
        <f t="shared" si="240"/>
        <v>871</v>
      </c>
      <c r="E2983" s="1">
        <f t="shared" si="241"/>
        <v>1855</v>
      </c>
      <c r="F2983" s="1">
        <f t="shared" si="237"/>
        <v>1230</v>
      </c>
      <c r="L2983" s="11">
        <v>46087</v>
      </c>
      <c r="M2983" s="9">
        <v>4512</v>
      </c>
      <c r="N2983" s="9">
        <v>871</v>
      </c>
      <c r="O2983" s="9">
        <v>1855</v>
      </c>
      <c r="P2983" s="9">
        <v>1230</v>
      </c>
      <c r="R2983" s="11"/>
      <c r="S2983" s="9"/>
      <c r="T2983" s="9"/>
      <c r="U2983" s="9"/>
    </row>
    <row r="2984" spans="2:21" x14ac:dyDescent="0.4">
      <c r="B2984" s="16">
        <f t="shared" si="238"/>
        <v>46090</v>
      </c>
      <c r="C2984" s="1">
        <f t="shared" si="239"/>
        <v>5094</v>
      </c>
      <c r="D2984" s="1">
        <f t="shared" si="240"/>
        <v>951</v>
      </c>
      <c r="E2984" s="1">
        <f t="shared" si="241"/>
        <v>1855</v>
      </c>
      <c r="F2984" s="1">
        <f t="shared" si="237"/>
        <v>1230</v>
      </c>
      <c r="L2984" s="11">
        <v>46090</v>
      </c>
      <c r="M2984" s="9">
        <v>5094</v>
      </c>
      <c r="N2984" s="9">
        <v>951</v>
      </c>
      <c r="O2984" s="9">
        <v>1855</v>
      </c>
      <c r="P2984" s="9">
        <v>1230</v>
      </c>
      <c r="R2984" s="11"/>
      <c r="S2984" s="9"/>
      <c r="T2984" s="9"/>
      <c r="U2984" s="9"/>
    </row>
    <row r="2985" spans="2:21" x14ac:dyDescent="0.4">
      <c r="B2985" s="16">
        <f t="shared" si="238"/>
        <v>46091</v>
      </c>
      <c r="C2985" s="1">
        <f t="shared" si="239"/>
        <v>4927</v>
      </c>
      <c r="D2985" s="1">
        <f t="shared" si="240"/>
        <v>971</v>
      </c>
      <c r="E2985" s="1">
        <f t="shared" si="241"/>
        <v>1875</v>
      </c>
      <c r="F2985" s="1">
        <f t="shared" si="237"/>
        <v>1250</v>
      </c>
      <c r="L2985" s="11">
        <v>46091</v>
      </c>
      <c r="M2985" s="9">
        <v>4927</v>
      </c>
      <c r="N2985" s="9">
        <v>971</v>
      </c>
      <c r="O2985" s="9">
        <v>1875</v>
      </c>
      <c r="P2985" s="9">
        <v>1250</v>
      </c>
      <c r="R2985" s="11"/>
      <c r="S2985" s="9"/>
      <c r="T2985" s="9"/>
      <c r="U2985" s="9"/>
    </row>
    <row r="2986" spans="2:21" x14ac:dyDescent="0.4">
      <c r="B2986" s="16">
        <f t="shared" si="238"/>
        <v>46092</v>
      </c>
      <c r="C2986" s="1">
        <f t="shared" si="239"/>
        <v>4861</v>
      </c>
      <c r="D2986" s="1">
        <f t="shared" si="240"/>
        <v>971</v>
      </c>
      <c r="E2986" s="1">
        <f t="shared" si="241"/>
        <v>1880</v>
      </c>
      <c r="F2986" s="1">
        <f t="shared" si="237"/>
        <v>1250</v>
      </c>
      <c r="L2986" s="11">
        <v>46092</v>
      </c>
      <c r="M2986" s="9">
        <v>4861</v>
      </c>
      <c r="N2986" s="9">
        <v>971</v>
      </c>
      <c r="O2986" s="9">
        <v>1880</v>
      </c>
      <c r="P2986" s="9">
        <v>1250</v>
      </c>
      <c r="R2986" s="11"/>
      <c r="S2986" s="9"/>
      <c r="T2986" s="9"/>
      <c r="U2986" s="9"/>
    </row>
    <row r="2987" spans="2:21" x14ac:dyDescent="0.4">
      <c r="B2987" s="16">
        <f t="shared" si="238"/>
        <v>46093</v>
      </c>
      <c r="C2987" s="1">
        <f t="shared" si="239"/>
        <v>5051</v>
      </c>
      <c r="D2987" s="1">
        <f t="shared" si="240"/>
        <v>1001</v>
      </c>
      <c r="E2987" s="1">
        <f t="shared" si="241"/>
        <v>1885</v>
      </c>
      <c r="F2987" s="1">
        <f t="shared" si="237"/>
        <v>1250</v>
      </c>
      <c r="L2987" s="11">
        <v>46093</v>
      </c>
      <c r="M2987" s="9">
        <v>5051</v>
      </c>
      <c r="N2987" s="9">
        <v>1001</v>
      </c>
      <c r="O2987" s="9">
        <v>1885</v>
      </c>
      <c r="P2987" s="9">
        <v>1250</v>
      </c>
      <c r="R2987" s="11"/>
      <c r="S2987" s="9"/>
      <c r="T2987" s="9"/>
      <c r="U2987" s="9"/>
    </row>
    <row r="2988" spans="2:21" x14ac:dyDescent="0.4">
      <c r="B2988" s="16">
        <f t="shared" si="238"/>
        <v>46094</v>
      </c>
      <c r="C2988" s="1">
        <f t="shared" si="239"/>
        <v>5074</v>
      </c>
      <c r="D2988" s="1">
        <f t="shared" si="240"/>
        <v>1151</v>
      </c>
      <c r="E2988" s="1">
        <f t="shared" si="241"/>
        <v>1890</v>
      </c>
      <c r="F2988" s="1">
        <f t="shared" si="237"/>
        <v>1250</v>
      </c>
      <c r="L2988" s="11">
        <v>46094</v>
      </c>
      <c r="M2988" s="9">
        <v>5074</v>
      </c>
      <c r="N2988" s="9">
        <v>1151</v>
      </c>
      <c r="O2988" s="9">
        <v>1890</v>
      </c>
      <c r="P2988" s="9">
        <v>1250</v>
      </c>
      <c r="R2988" s="11"/>
      <c r="S2988" s="9"/>
      <c r="T2988" s="9"/>
      <c r="U2988" s="9"/>
    </row>
    <row r="2989" spans="2:21" x14ac:dyDescent="0.4">
      <c r="B2989" s="16">
        <f t="shared" si="238"/>
        <v>46097</v>
      </c>
      <c r="C2989" s="1">
        <f t="shared" si="239"/>
        <v>5110</v>
      </c>
      <c r="D2989" s="1">
        <f t="shared" si="240"/>
        <v>1201</v>
      </c>
      <c r="E2989" s="1">
        <f t="shared" si="241"/>
        <v>1890</v>
      </c>
      <c r="F2989" s="1">
        <f t="shared" si="237"/>
        <v>1250</v>
      </c>
      <c r="L2989" s="11">
        <v>46097</v>
      </c>
      <c r="M2989" s="9">
        <v>5110</v>
      </c>
      <c r="N2989" s="9">
        <v>1201</v>
      </c>
      <c r="O2989" s="9">
        <v>1890</v>
      </c>
      <c r="P2989" s="9">
        <v>1250</v>
      </c>
      <c r="R2989" s="11"/>
      <c r="S2989" s="9"/>
      <c r="T2989" s="9"/>
      <c r="U2989" s="9"/>
    </row>
    <row r="2990" spans="2:21" x14ac:dyDescent="0.4">
      <c r="B2990" s="16">
        <f t="shared" si="238"/>
        <v>46098</v>
      </c>
      <c r="C2990" s="1">
        <f t="shared" si="239"/>
        <v>5092</v>
      </c>
      <c r="D2990" s="1">
        <f t="shared" si="240"/>
        <v>1251</v>
      </c>
      <c r="E2990" s="1">
        <f t="shared" si="241"/>
        <v>1890</v>
      </c>
      <c r="F2990" s="1">
        <f t="shared" si="237"/>
        <v>1250</v>
      </c>
      <c r="L2990" s="11">
        <v>46098</v>
      </c>
      <c r="M2990" s="9">
        <v>5092</v>
      </c>
      <c r="N2990" s="9">
        <v>1251</v>
      </c>
      <c r="O2990" s="9">
        <v>1890</v>
      </c>
      <c r="P2990" s="9">
        <v>1250</v>
      </c>
      <c r="R2990" s="11"/>
      <c r="S2990" s="9"/>
      <c r="T2990" s="9"/>
      <c r="U2990" s="9"/>
    </row>
    <row r="2991" spans="2:21" x14ac:dyDescent="0.4">
      <c r="B2991" s="16">
        <f t="shared" si="238"/>
        <v>46099</v>
      </c>
      <c r="C2991" s="1">
        <f t="shared" si="239"/>
        <v>5087</v>
      </c>
      <c r="D2991" s="1">
        <f t="shared" si="240"/>
        <v>1281</v>
      </c>
      <c r="E2991" s="1">
        <f t="shared" si="241"/>
        <v>1890</v>
      </c>
      <c r="F2991" s="1">
        <f t="shared" si="237"/>
        <v>1250</v>
      </c>
      <c r="L2991" s="11">
        <v>46099</v>
      </c>
      <c r="M2991" s="9">
        <v>5087</v>
      </c>
      <c r="N2991" s="9">
        <v>1281</v>
      </c>
      <c r="O2991" s="9">
        <v>1890</v>
      </c>
      <c r="P2991" s="9">
        <v>1250</v>
      </c>
      <c r="R2991" s="11"/>
      <c r="S2991" s="9"/>
      <c r="T2991" s="9"/>
      <c r="U2991" s="9"/>
    </row>
    <row r="2992" spans="2:21" x14ac:dyDescent="0.4">
      <c r="B2992" s="16">
        <f t="shared" si="238"/>
        <v>46100</v>
      </c>
      <c r="C2992" s="1">
        <f t="shared" si="239"/>
        <v>5136</v>
      </c>
      <c r="D2992" s="1">
        <f t="shared" si="240"/>
        <v>1351</v>
      </c>
      <c r="E2992" s="1">
        <f t="shared" si="241"/>
        <v>1885</v>
      </c>
      <c r="F2992" s="1">
        <f t="shared" si="237"/>
        <v>1250</v>
      </c>
      <c r="L2992" s="11">
        <v>46100</v>
      </c>
      <c r="M2992" s="9">
        <v>5136</v>
      </c>
      <c r="N2992" s="9">
        <v>1351</v>
      </c>
      <c r="O2992" s="9">
        <v>1885</v>
      </c>
      <c r="P2992" s="9">
        <v>1250</v>
      </c>
      <c r="R2992" s="11"/>
      <c r="S2992" s="9"/>
      <c r="T2992" s="9"/>
      <c r="U2992" s="9"/>
    </row>
    <row r="2993" spans="2:21" x14ac:dyDescent="0.4">
      <c r="B2993" s="16">
        <f t="shared" si="238"/>
        <v>46101</v>
      </c>
      <c r="C2993" s="1">
        <f t="shared" si="239"/>
        <v>5100</v>
      </c>
      <c r="D2993" s="1">
        <f t="shared" si="240"/>
        <v>1426</v>
      </c>
      <c r="E2993" s="1">
        <f t="shared" si="241"/>
        <v>1885</v>
      </c>
      <c r="F2993" s="1">
        <f t="shared" si="237"/>
        <v>1250</v>
      </c>
      <c r="L2993" s="11">
        <v>46101</v>
      </c>
      <c r="M2993" s="9">
        <v>5100</v>
      </c>
      <c r="N2993" s="9">
        <v>1426</v>
      </c>
      <c r="O2993" s="9">
        <v>1885</v>
      </c>
      <c r="P2993" s="9">
        <v>1250</v>
      </c>
      <c r="R2993" s="11"/>
      <c r="S2993" s="9"/>
      <c r="T2993" s="9"/>
      <c r="U2993" s="9"/>
    </row>
    <row r="2994" spans="2:21" x14ac:dyDescent="0.4">
      <c r="B2994" s="16">
        <f t="shared" si="238"/>
        <v>46104</v>
      </c>
      <c r="C2994" s="1">
        <f t="shared" si="239"/>
        <v>5273</v>
      </c>
      <c r="D2994" s="1">
        <f t="shared" si="240"/>
        <v>1451</v>
      </c>
      <c r="E2994" s="1">
        <f t="shared" si="241"/>
        <v>1880</v>
      </c>
      <c r="F2994" s="1">
        <f t="shared" ref="F2994:F3053" si="242">IF(P2994&lt;&gt;0,P2994,F2993)</f>
        <v>1250</v>
      </c>
      <c r="L2994" s="11">
        <v>46104</v>
      </c>
      <c r="M2994" s="9">
        <v>5273</v>
      </c>
      <c r="N2994" s="9">
        <v>1451</v>
      </c>
      <c r="O2994" s="9">
        <v>1880</v>
      </c>
      <c r="P2994" s="9">
        <v>1250</v>
      </c>
      <c r="R2994" s="11"/>
      <c r="S2994" s="9"/>
      <c r="T2994" s="9"/>
      <c r="U2994" s="9"/>
    </row>
    <row r="2995" spans="2:21" x14ac:dyDescent="0.4">
      <c r="B2995" s="16">
        <f t="shared" si="238"/>
        <v>46105</v>
      </c>
      <c r="C2995" s="1">
        <f t="shared" si="239"/>
        <v>5301</v>
      </c>
      <c r="D2995" s="1">
        <f t="shared" si="240"/>
        <v>1451</v>
      </c>
      <c r="E2995" s="1">
        <f t="shared" si="241"/>
        <v>1880</v>
      </c>
      <c r="F2995" s="1">
        <f t="shared" si="242"/>
        <v>1250</v>
      </c>
      <c r="L2995" s="11">
        <v>46105</v>
      </c>
      <c r="M2995" s="9">
        <v>5301</v>
      </c>
      <c r="N2995" s="9">
        <v>1451</v>
      </c>
      <c r="O2995" s="9">
        <v>1880</v>
      </c>
      <c r="P2995" s="9">
        <v>1250</v>
      </c>
      <c r="R2995" s="11"/>
      <c r="S2995" s="9"/>
      <c r="T2995" s="9"/>
      <c r="U2995" s="9"/>
    </row>
    <row r="2996" spans="2:21" x14ac:dyDescent="0.4">
      <c r="B2996" s="16">
        <f t="shared" si="238"/>
        <v>46106</v>
      </c>
      <c r="C2996" s="1">
        <f t="shared" si="239"/>
        <v>5204</v>
      </c>
      <c r="D2996" s="1">
        <f t="shared" si="240"/>
        <v>1401</v>
      </c>
      <c r="E2996" s="1">
        <f t="shared" si="241"/>
        <v>1880</v>
      </c>
      <c r="F2996" s="1">
        <f t="shared" si="242"/>
        <v>1250</v>
      </c>
      <c r="L2996" s="11">
        <v>46106</v>
      </c>
      <c r="M2996" s="9">
        <v>5204</v>
      </c>
      <c r="N2996" s="9">
        <v>1401</v>
      </c>
      <c r="O2996" s="9">
        <v>1880</v>
      </c>
      <c r="P2996" s="9">
        <v>1250</v>
      </c>
      <c r="R2996" s="11"/>
      <c r="S2996" s="9"/>
      <c r="T2996" s="9"/>
      <c r="U2996" s="9"/>
    </row>
    <row r="2997" spans="2:21" x14ac:dyDescent="0.4">
      <c r="B2997" s="16">
        <f t="shared" si="238"/>
        <v>46107</v>
      </c>
      <c r="C2997" s="1">
        <f t="shared" si="239"/>
        <v>5223</v>
      </c>
      <c r="D2997" s="1">
        <f t="shared" si="240"/>
        <v>1401</v>
      </c>
      <c r="E2997" s="1">
        <f t="shared" si="241"/>
        <v>1880</v>
      </c>
      <c r="F2997" s="1">
        <f t="shared" si="242"/>
        <v>1250</v>
      </c>
      <c r="L2997" s="11">
        <v>46107</v>
      </c>
      <c r="M2997" s="9">
        <v>5223</v>
      </c>
      <c r="N2997" s="9">
        <v>1401</v>
      </c>
      <c r="O2997" s="9">
        <v>1880</v>
      </c>
      <c r="P2997" s="9">
        <v>1250</v>
      </c>
      <c r="R2997" s="11"/>
      <c r="S2997" s="9"/>
      <c r="T2997" s="9"/>
      <c r="U2997" s="9"/>
    </row>
    <row r="2998" spans="2:21" x14ac:dyDescent="0.4">
      <c r="B2998" s="16">
        <f t="shared" si="238"/>
        <v>46108</v>
      </c>
      <c r="C2998" s="1">
        <f t="shared" si="239"/>
        <v>5278</v>
      </c>
      <c r="D2998" s="1">
        <f t="shared" si="240"/>
        <v>1441</v>
      </c>
      <c r="E2998" s="1">
        <f t="shared" si="241"/>
        <v>1875</v>
      </c>
      <c r="F2998" s="1">
        <f t="shared" si="242"/>
        <v>1250</v>
      </c>
      <c r="L2998" s="11">
        <v>46108</v>
      </c>
      <c r="M2998" s="9">
        <v>5278</v>
      </c>
      <c r="N2998" s="9">
        <v>1441</v>
      </c>
      <c r="O2998" s="9">
        <v>1875</v>
      </c>
      <c r="P2998" s="9">
        <v>1250</v>
      </c>
      <c r="R2998" s="11"/>
      <c r="S2998" s="9"/>
      <c r="T2998" s="9"/>
      <c r="U2998" s="9"/>
    </row>
    <row r="2999" spans="2:21" x14ac:dyDescent="0.4">
      <c r="B2999" s="16">
        <f t="shared" si="238"/>
        <v>46111</v>
      </c>
      <c r="C2999" s="1">
        <f t="shared" si="239"/>
        <v>5390</v>
      </c>
      <c r="D2999" s="1">
        <f t="shared" si="240"/>
        <v>1501</v>
      </c>
      <c r="E2999" s="1">
        <f t="shared" si="241"/>
        <v>1880</v>
      </c>
      <c r="F2999" s="1">
        <f t="shared" si="242"/>
        <v>1250</v>
      </c>
      <c r="L2999" s="11">
        <v>46111</v>
      </c>
      <c r="M2999" s="9">
        <v>5390</v>
      </c>
      <c r="N2999" s="9">
        <v>1501</v>
      </c>
      <c r="O2999" s="9">
        <v>1880</v>
      </c>
      <c r="P2999" s="9">
        <v>1250</v>
      </c>
      <c r="R2999" s="11"/>
      <c r="S2999" s="9"/>
      <c r="T2999" s="9"/>
      <c r="U2999" s="9"/>
    </row>
    <row r="3000" spans="2:21" x14ac:dyDescent="0.4">
      <c r="B3000" s="16">
        <f t="shared" si="238"/>
        <v>46112</v>
      </c>
      <c r="C3000" s="1">
        <f t="shared" si="239"/>
        <v>5386</v>
      </c>
      <c r="D3000" s="1">
        <f t="shared" si="240"/>
        <v>1501</v>
      </c>
      <c r="E3000" s="1">
        <f t="shared" si="241"/>
        <v>1880</v>
      </c>
      <c r="F3000" s="1">
        <f t="shared" si="242"/>
        <v>1250</v>
      </c>
      <c r="L3000" s="11">
        <v>46112</v>
      </c>
      <c r="M3000" s="9">
        <v>5386</v>
      </c>
      <c r="N3000" s="9">
        <v>1501</v>
      </c>
      <c r="O3000" s="9">
        <v>1880</v>
      </c>
      <c r="P3000" s="9">
        <v>1250</v>
      </c>
      <c r="R3000" s="11"/>
      <c r="S3000" s="9"/>
      <c r="T3000" s="9"/>
      <c r="U3000" s="9"/>
    </row>
    <row r="3001" spans="2:21" x14ac:dyDescent="0.4">
      <c r="B3001" s="16">
        <f t="shared" si="238"/>
        <v>46113</v>
      </c>
      <c r="C3001" s="1">
        <f t="shared" si="239"/>
        <v>5338</v>
      </c>
      <c r="D3001" s="1">
        <f t="shared" si="240"/>
        <v>1441</v>
      </c>
      <c r="E3001" s="1">
        <f t="shared" si="241"/>
        <v>1880</v>
      </c>
      <c r="F3001" s="1">
        <f t="shared" si="242"/>
        <v>1250</v>
      </c>
      <c r="L3001" s="11">
        <v>46113</v>
      </c>
      <c r="M3001" s="9">
        <v>5338</v>
      </c>
      <c r="N3001" s="9">
        <v>1441</v>
      </c>
      <c r="O3001" s="9">
        <v>1880</v>
      </c>
      <c r="P3001" s="9">
        <v>1250</v>
      </c>
      <c r="R3001" s="11"/>
      <c r="S3001" s="9"/>
      <c r="T3001" s="9"/>
      <c r="U3001" s="9"/>
    </row>
    <row r="3002" spans="2:21" x14ac:dyDescent="0.4">
      <c r="B3002" s="16">
        <f t="shared" si="238"/>
        <v>46114</v>
      </c>
      <c r="C3002" s="1">
        <f t="shared" si="239"/>
        <v>5365</v>
      </c>
      <c r="D3002" s="1">
        <f t="shared" si="240"/>
        <v>1451</v>
      </c>
      <c r="E3002" s="1">
        <f t="shared" si="241"/>
        <v>1880</v>
      </c>
      <c r="F3002" s="1">
        <f t="shared" si="242"/>
        <v>1250</v>
      </c>
      <c r="L3002" s="11">
        <v>46114</v>
      </c>
      <c r="M3002" s="9">
        <v>5365</v>
      </c>
      <c r="N3002" s="9">
        <v>1451</v>
      </c>
      <c r="O3002" s="9">
        <v>1880</v>
      </c>
      <c r="P3002" s="9">
        <v>1250</v>
      </c>
      <c r="R3002" s="11"/>
      <c r="S3002" s="9"/>
      <c r="T3002" s="9"/>
      <c r="U3002" s="9"/>
    </row>
    <row r="3003" spans="2:21" x14ac:dyDescent="0.4">
      <c r="B3003" s="16">
        <f t="shared" si="238"/>
        <v>46115</v>
      </c>
      <c r="C3003" s="1">
        <f t="shared" si="239"/>
        <v>5411</v>
      </c>
      <c r="D3003" s="1">
        <f t="shared" si="240"/>
        <v>1451</v>
      </c>
      <c r="E3003" s="1">
        <f t="shared" si="241"/>
        <v>1880</v>
      </c>
      <c r="F3003" s="1">
        <f t="shared" si="242"/>
        <v>1250</v>
      </c>
      <c r="L3003" s="11">
        <v>46115</v>
      </c>
      <c r="M3003" s="9">
        <v>5411</v>
      </c>
      <c r="N3003" s="9">
        <v>0</v>
      </c>
      <c r="O3003" s="9">
        <v>1880</v>
      </c>
      <c r="P3003" s="9">
        <v>1250</v>
      </c>
      <c r="R3003" s="11"/>
      <c r="S3003" s="9"/>
      <c r="T3003" s="9"/>
      <c r="U3003" s="9"/>
    </row>
    <row r="3004" spans="2:21" x14ac:dyDescent="0.4">
      <c r="B3004" s="16">
        <f t="shared" si="238"/>
        <v>46118</v>
      </c>
      <c r="C3004" s="1">
        <f t="shared" si="239"/>
        <v>5411</v>
      </c>
      <c r="D3004" s="1">
        <f t="shared" si="240"/>
        <v>1451</v>
      </c>
      <c r="E3004" s="1">
        <f t="shared" si="241"/>
        <v>1880</v>
      </c>
      <c r="F3004" s="1">
        <f t="shared" si="242"/>
        <v>1250</v>
      </c>
      <c r="L3004" s="11">
        <v>46118</v>
      </c>
      <c r="M3004" s="9">
        <v>0</v>
      </c>
      <c r="N3004" s="9">
        <v>1451</v>
      </c>
      <c r="O3004" s="9">
        <v>0</v>
      </c>
      <c r="P3004" s="9">
        <v>0</v>
      </c>
      <c r="R3004" s="11"/>
      <c r="S3004" s="9"/>
      <c r="T3004" s="9"/>
      <c r="U3004" s="9"/>
    </row>
    <row r="3005" spans="2:21" x14ac:dyDescent="0.4">
      <c r="B3005" s="16">
        <f t="shared" si="238"/>
        <v>46119</v>
      </c>
      <c r="C3005" s="1">
        <f t="shared" si="239"/>
        <v>5515</v>
      </c>
      <c r="D3005" s="1">
        <f t="shared" si="240"/>
        <v>1451</v>
      </c>
      <c r="E3005" s="1">
        <f t="shared" si="241"/>
        <v>1880</v>
      </c>
      <c r="F3005" s="1">
        <f t="shared" si="242"/>
        <v>1250</v>
      </c>
      <c r="L3005" s="11">
        <v>46119</v>
      </c>
      <c r="M3005" s="9">
        <v>5515</v>
      </c>
      <c r="N3005" s="9">
        <v>1451</v>
      </c>
      <c r="O3005" s="9">
        <v>1880</v>
      </c>
      <c r="P3005" s="9">
        <v>1250</v>
      </c>
      <c r="R3005" s="11"/>
      <c r="S3005" s="9"/>
      <c r="T3005" s="9"/>
      <c r="U3005" s="9"/>
    </row>
    <row r="3006" spans="2:21" x14ac:dyDescent="0.4">
      <c r="B3006" s="16">
        <f t="shared" si="238"/>
        <v>46120</v>
      </c>
      <c r="C3006" s="1">
        <f t="shared" si="239"/>
        <v>5403</v>
      </c>
      <c r="D3006" s="1">
        <f t="shared" si="240"/>
        <v>1431</v>
      </c>
      <c r="E3006" s="1">
        <f t="shared" si="241"/>
        <v>1880</v>
      </c>
      <c r="F3006" s="1">
        <f t="shared" si="242"/>
        <v>1250</v>
      </c>
      <c r="L3006" s="11">
        <v>46120</v>
      </c>
      <c r="M3006" s="9">
        <v>5403</v>
      </c>
      <c r="N3006" s="9">
        <v>1431</v>
      </c>
      <c r="O3006" s="9">
        <v>1880</v>
      </c>
      <c r="P3006" s="9">
        <v>1250</v>
      </c>
      <c r="R3006" s="11"/>
      <c r="S3006" s="9"/>
      <c r="T3006" s="9"/>
      <c r="U3006" s="9"/>
    </row>
    <row r="3007" spans="2:21" x14ac:dyDescent="0.4">
      <c r="B3007" s="16">
        <f t="shared" si="238"/>
        <v>46121</v>
      </c>
      <c r="C3007" s="1">
        <f t="shared" si="239"/>
        <v>5354</v>
      </c>
      <c r="D3007" s="1">
        <f t="shared" si="240"/>
        <v>1431</v>
      </c>
      <c r="E3007" s="1">
        <f t="shared" si="241"/>
        <v>1885</v>
      </c>
      <c r="F3007" s="1">
        <f t="shared" si="242"/>
        <v>1250</v>
      </c>
      <c r="L3007" s="11">
        <v>46121</v>
      </c>
      <c r="M3007" s="9">
        <v>5354</v>
      </c>
      <c r="N3007" s="9">
        <v>1431</v>
      </c>
      <c r="O3007" s="9">
        <v>1885</v>
      </c>
      <c r="P3007" s="9">
        <v>1250</v>
      </c>
      <c r="R3007" s="11"/>
      <c r="S3007" s="9"/>
      <c r="T3007" s="9"/>
      <c r="U3007" s="9"/>
    </row>
    <row r="3008" spans="2:21" x14ac:dyDescent="0.4">
      <c r="B3008" s="16">
        <f t="shared" si="238"/>
        <v>46122</v>
      </c>
      <c r="C3008" s="1">
        <f t="shared" si="239"/>
        <v>5303</v>
      </c>
      <c r="D3008" s="1">
        <f t="shared" si="240"/>
        <v>1431</v>
      </c>
      <c r="E3008" s="1">
        <f t="shared" si="241"/>
        <v>1885</v>
      </c>
      <c r="F3008" s="1">
        <f t="shared" si="242"/>
        <v>1250</v>
      </c>
      <c r="L3008" s="11">
        <v>46122</v>
      </c>
      <c r="M3008" s="9">
        <v>5303</v>
      </c>
      <c r="N3008" s="9">
        <v>1431</v>
      </c>
      <c r="O3008" s="9">
        <v>1885</v>
      </c>
      <c r="P3008" s="9">
        <v>1250</v>
      </c>
      <c r="R3008" s="11"/>
      <c r="S3008" s="9"/>
      <c r="T3008" s="9"/>
      <c r="U3008" s="9"/>
    </row>
    <row r="3009" spans="2:21" x14ac:dyDescent="0.4">
      <c r="B3009" s="16">
        <f t="shared" si="238"/>
        <v>46125</v>
      </c>
      <c r="C3009" s="1">
        <f t="shared" si="239"/>
        <v>5305</v>
      </c>
      <c r="D3009" s="1">
        <f t="shared" si="240"/>
        <v>1431</v>
      </c>
      <c r="E3009" s="1">
        <f t="shared" si="241"/>
        <v>1885</v>
      </c>
      <c r="F3009" s="1">
        <f t="shared" si="242"/>
        <v>1250</v>
      </c>
      <c r="L3009" s="11">
        <v>46125</v>
      </c>
      <c r="M3009" s="9">
        <v>5305</v>
      </c>
      <c r="N3009" s="9">
        <v>1431</v>
      </c>
      <c r="O3009" s="9">
        <v>1885</v>
      </c>
      <c r="P3009" s="9">
        <v>1250</v>
      </c>
      <c r="R3009" s="11"/>
      <c r="S3009" s="9"/>
      <c r="T3009" s="9"/>
      <c r="U3009" s="9"/>
    </row>
    <row r="3010" spans="2:21" x14ac:dyDescent="0.4">
      <c r="B3010" s="16">
        <f t="shared" si="238"/>
        <v>46126</v>
      </c>
      <c r="C3010" s="1">
        <f t="shared" si="239"/>
        <v>5306</v>
      </c>
      <c r="D3010" s="1">
        <f t="shared" si="240"/>
        <v>1431</v>
      </c>
      <c r="E3010" s="1">
        <f t="shared" si="241"/>
        <v>1885</v>
      </c>
      <c r="F3010" s="1">
        <f t="shared" si="242"/>
        <v>1250</v>
      </c>
      <c r="L3010" s="11">
        <v>46126</v>
      </c>
      <c r="M3010" s="9">
        <v>5306</v>
      </c>
      <c r="N3010" s="9">
        <v>1431</v>
      </c>
      <c r="O3010" s="9">
        <v>1885</v>
      </c>
      <c r="P3010" s="9">
        <v>1250</v>
      </c>
      <c r="R3010" s="11"/>
      <c r="S3010" s="9"/>
      <c r="T3010" s="9"/>
      <c r="U3010" s="9"/>
    </row>
    <row r="3011" spans="2:21" x14ac:dyDescent="0.4">
      <c r="B3011" s="16">
        <f t="shared" si="238"/>
        <v>46127</v>
      </c>
      <c r="C3011" s="1">
        <f t="shared" si="239"/>
        <v>5304</v>
      </c>
      <c r="D3011" s="1">
        <f t="shared" si="240"/>
        <v>1451</v>
      </c>
      <c r="E3011" s="1">
        <f t="shared" si="241"/>
        <v>1885</v>
      </c>
      <c r="F3011" s="1">
        <f t="shared" si="242"/>
        <v>1250</v>
      </c>
      <c r="L3011" s="11">
        <v>46127</v>
      </c>
      <c r="M3011" s="9">
        <v>5304</v>
      </c>
      <c r="N3011" s="9">
        <v>1451</v>
      </c>
      <c r="O3011" s="9">
        <v>1885</v>
      </c>
      <c r="P3011" s="9">
        <v>1250</v>
      </c>
      <c r="R3011" s="11"/>
      <c r="S3011" s="9"/>
      <c r="T3011" s="9"/>
      <c r="U3011" s="9"/>
    </row>
    <row r="3012" spans="2:21" x14ac:dyDescent="0.4">
      <c r="B3012" s="16">
        <f t="shared" si="238"/>
        <v>46128</v>
      </c>
      <c r="C3012" s="1">
        <f t="shared" si="239"/>
        <v>5311</v>
      </c>
      <c r="D3012" s="1">
        <f t="shared" si="240"/>
        <v>1401</v>
      </c>
      <c r="E3012" s="1">
        <f t="shared" si="241"/>
        <v>1885</v>
      </c>
      <c r="F3012" s="1">
        <f t="shared" si="242"/>
        <v>1250</v>
      </c>
      <c r="L3012" s="11">
        <v>46128</v>
      </c>
      <c r="M3012" s="9">
        <v>5311</v>
      </c>
      <c r="N3012" s="9">
        <v>1401</v>
      </c>
      <c r="O3012" s="9">
        <v>1885</v>
      </c>
      <c r="P3012" s="9">
        <v>1250</v>
      </c>
      <c r="R3012" s="11"/>
      <c r="S3012" s="9"/>
      <c r="T3012" s="9"/>
      <c r="U3012" s="9"/>
    </row>
    <row r="3013" spans="2:21" x14ac:dyDescent="0.4">
      <c r="B3013" s="16">
        <f t="shared" si="238"/>
        <v>46129</v>
      </c>
      <c r="C3013" s="1">
        <f t="shared" si="239"/>
        <v>5296</v>
      </c>
      <c r="D3013" s="1">
        <f t="shared" si="240"/>
        <v>1401</v>
      </c>
      <c r="E3013" s="1">
        <f t="shared" si="241"/>
        <v>1890</v>
      </c>
      <c r="F3013" s="1">
        <f t="shared" si="242"/>
        <v>1250</v>
      </c>
      <c r="L3013" s="11">
        <v>46129</v>
      </c>
      <c r="M3013" s="9">
        <v>5296</v>
      </c>
      <c r="N3013" s="9">
        <v>1401</v>
      </c>
      <c r="O3013" s="9">
        <v>1890</v>
      </c>
      <c r="P3013" s="9">
        <v>1250</v>
      </c>
      <c r="R3013" s="11"/>
      <c r="S3013" s="9"/>
      <c r="T3013" s="9"/>
      <c r="U3013" s="9"/>
    </row>
    <row r="3014" spans="2:21" x14ac:dyDescent="0.4">
      <c r="B3014" s="16">
        <f t="shared" ref="B3014:B3033" si="243">L3014</f>
        <v>46132</v>
      </c>
      <c r="C3014" s="1">
        <f t="shared" si="239"/>
        <v>5261</v>
      </c>
      <c r="D3014" s="1">
        <f t="shared" si="240"/>
        <v>1371</v>
      </c>
      <c r="E3014" s="1">
        <f t="shared" si="241"/>
        <v>1890</v>
      </c>
      <c r="F3014" s="1">
        <f t="shared" si="242"/>
        <v>1250</v>
      </c>
      <c r="L3014" s="11">
        <v>46132</v>
      </c>
      <c r="M3014" s="9">
        <v>5261</v>
      </c>
      <c r="N3014" s="9">
        <v>1371</v>
      </c>
      <c r="O3014" s="9">
        <v>1890</v>
      </c>
      <c r="P3014" s="9">
        <v>1250</v>
      </c>
      <c r="R3014" s="11"/>
      <c r="S3014" s="9"/>
      <c r="T3014" s="9"/>
      <c r="U3014" s="9"/>
    </row>
    <row r="3015" spans="2:21" x14ac:dyDescent="0.4">
      <c r="B3015" s="16">
        <f t="shared" si="243"/>
        <v>46133</v>
      </c>
      <c r="C3015" s="1">
        <f t="shared" ref="C3015:C3053" si="244">IF(M3015&lt;&gt;0,M3015,C3014)</f>
        <v>5227</v>
      </c>
      <c r="D3015" s="1">
        <f t="shared" ref="D3015:D3053" si="245">IF(N3015&lt;&gt;0,N3015,D3014)</f>
        <v>1371</v>
      </c>
      <c r="E3015" s="1">
        <f t="shared" ref="E3015:E3053" si="246">IF(O3015&lt;&gt;0,O3015,E3014)</f>
        <v>1890</v>
      </c>
      <c r="F3015" s="1">
        <f t="shared" si="242"/>
        <v>1250</v>
      </c>
      <c r="L3015" s="11">
        <v>46133</v>
      </c>
      <c r="M3015" s="9">
        <v>5227</v>
      </c>
      <c r="N3015" s="9">
        <v>1371</v>
      </c>
      <c r="O3015" s="9">
        <v>1890</v>
      </c>
      <c r="P3015" s="9">
        <v>1250</v>
      </c>
      <c r="R3015" s="11"/>
      <c r="S3015" s="9"/>
      <c r="T3015" s="9"/>
      <c r="U3015" s="9"/>
    </row>
    <row r="3016" spans="2:21" x14ac:dyDescent="0.4">
      <c r="B3016" s="16">
        <f t="shared" si="243"/>
        <v>46134</v>
      </c>
      <c r="C3016" s="1">
        <f t="shared" si="244"/>
        <v>5203</v>
      </c>
      <c r="D3016" s="1">
        <f t="shared" si="245"/>
        <v>1381</v>
      </c>
      <c r="E3016" s="1">
        <f t="shared" si="246"/>
        <v>1890</v>
      </c>
      <c r="F3016" s="1">
        <f t="shared" si="242"/>
        <v>1250</v>
      </c>
      <c r="L3016" s="11">
        <v>46134</v>
      </c>
      <c r="M3016" s="9">
        <v>5203</v>
      </c>
      <c r="N3016" s="9">
        <v>1381</v>
      </c>
      <c r="O3016" s="9">
        <v>1890</v>
      </c>
      <c r="P3016" s="9">
        <v>1250</v>
      </c>
      <c r="R3016" s="11"/>
      <c r="S3016" s="9"/>
      <c r="T3016" s="9"/>
      <c r="U3016" s="9"/>
    </row>
    <row r="3017" spans="2:21" x14ac:dyDescent="0.4">
      <c r="B3017" s="16">
        <f t="shared" si="243"/>
        <v>46135</v>
      </c>
      <c r="C3017" s="1">
        <f t="shared" si="244"/>
        <v>5213</v>
      </c>
      <c r="D3017" s="1">
        <f t="shared" si="245"/>
        <v>1381</v>
      </c>
      <c r="E3017" s="1">
        <f t="shared" si="246"/>
        <v>1895</v>
      </c>
      <c r="F3017" s="1">
        <f t="shared" si="242"/>
        <v>1250</v>
      </c>
      <c r="L3017" s="11">
        <v>46135</v>
      </c>
      <c r="M3017" s="9">
        <v>5213</v>
      </c>
      <c r="N3017" s="9">
        <v>1381</v>
      </c>
      <c r="O3017" s="9">
        <v>1895</v>
      </c>
      <c r="P3017" s="9">
        <v>1250</v>
      </c>
      <c r="R3017" s="11"/>
      <c r="S3017" s="9"/>
      <c r="T3017" s="9"/>
      <c r="U3017" s="9"/>
    </row>
    <row r="3018" spans="2:21" x14ac:dyDescent="0.4">
      <c r="B3018" s="16">
        <f t="shared" si="243"/>
        <v>46136</v>
      </c>
      <c r="C3018" s="1">
        <f t="shared" si="244"/>
        <v>5212</v>
      </c>
      <c r="D3018" s="1">
        <f t="shared" si="245"/>
        <v>1381</v>
      </c>
      <c r="E3018" s="1">
        <f t="shared" si="246"/>
        <v>1895</v>
      </c>
      <c r="F3018" s="1">
        <f t="shared" si="242"/>
        <v>1250</v>
      </c>
      <c r="L3018" s="11">
        <v>46136</v>
      </c>
      <c r="M3018" s="9">
        <v>5212</v>
      </c>
      <c r="N3018" s="9">
        <v>1381</v>
      </c>
      <c r="O3018" s="9">
        <v>1895</v>
      </c>
      <c r="P3018" s="9">
        <v>1250</v>
      </c>
      <c r="R3018" s="11"/>
      <c r="S3018" s="9"/>
      <c r="T3018" s="9"/>
      <c r="U3018" s="9"/>
    </row>
    <row r="3019" spans="2:21" x14ac:dyDescent="0.4">
      <c r="B3019" s="16">
        <f t="shared" si="243"/>
        <v>46139</v>
      </c>
      <c r="C3019" s="1">
        <f t="shared" si="244"/>
        <v>5218</v>
      </c>
      <c r="D3019" s="1">
        <f t="shared" si="245"/>
        <v>1361</v>
      </c>
      <c r="E3019" s="1">
        <f t="shared" si="246"/>
        <v>1895</v>
      </c>
      <c r="F3019" s="1">
        <f t="shared" si="242"/>
        <v>1250</v>
      </c>
      <c r="L3019" s="11">
        <v>46139</v>
      </c>
      <c r="M3019" s="9">
        <v>5218</v>
      </c>
      <c r="N3019" s="9">
        <v>1361</v>
      </c>
      <c r="O3019" s="9">
        <v>1895</v>
      </c>
      <c r="P3019" s="9">
        <v>1250</v>
      </c>
      <c r="R3019" s="11"/>
      <c r="S3019" s="9"/>
      <c r="T3019" s="9"/>
      <c r="U3019" s="9"/>
    </row>
    <row r="3020" spans="2:21" x14ac:dyDescent="0.4">
      <c r="B3020" s="16">
        <f t="shared" si="243"/>
        <v>46140</v>
      </c>
      <c r="C3020" s="1">
        <f t="shared" si="244"/>
        <v>5268</v>
      </c>
      <c r="D3020" s="1">
        <f t="shared" si="245"/>
        <v>1351</v>
      </c>
      <c r="E3020" s="1">
        <f t="shared" si="246"/>
        <v>1895</v>
      </c>
      <c r="F3020" s="1">
        <f t="shared" si="242"/>
        <v>1250</v>
      </c>
      <c r="L3020" s="11">
        <v>46140</v>
      </c>
      <c r="M3020" s="9">
        <v>5268</v>
      </c>
      <c r="N3020" s="9">
        <v>1351</v>
      </c>
      <c r="O3020" s="9">
        <v>1895</v>
      </c>
      <c r="P3020" s="9">
        <v>1250</v>
      </c>
      <c r="R3020" s="11"/>
      <c r="S3020" s="9"/>
      <c r="T3020" s="9"/>
      <c r="U3020" s="9"/>
    </row>
    <row r="3021" spans="2:21" x14ac:dyDescent="0.4">
      <c r="B3021" s="16">
        <f t="shared" si="243"/>
        <v>46141</v>
      </c>
      <c r="C3021" s="1">
        <f t="shared" si="244"/>
        <v>5299</v>
      </c>
      <c r="D3021" s="1">
        <f t="shared" si="245"/>
        <v>1321</v>
      </c>
      <c r="E3021" s="1">
        <f t="shared" si="246"/>
        <v>1895</v>
      </c>
      <c r="F3021" s="1">
        <f t="shared" si="242"/>
        <v>1250</v>
      </c>
      <c r="L3021" s="11">
        <v>46141</v>
      </c>
      <c r="M3021" s="9">
        <v>5299</v>
      </c>
      <c r="N3021" s="9">
        <v>1321</v>
      </c>
      <c r="O3021" s="9">
        <v>1895</v>
      </c>
      <c r="P3021" s="9">
        <v>1250</v>
      </c>
      <c r="R3021" s="11"/>
      <c r="S3021" s="9"/>
      <c r="T3021" s="9"/>
      <c r="U3021" s="9"/>
    </row>
    <row r="3022" spans="2:21" x14ac:dyDescent="0.4">
      <c r="B3022" s="16">
        <f t="shared" si="243"/>
        <v>46142</v>
      </c>
      <c r="C3022" s="1">
        <f t="shared" si="244"/>
        <v>5317</v>
      </c>
      <c r="D3022" s="1">
        <f t="shared" si="245"/>
        <v>1321</v>
      </c>
      <c r="E3022" s="1">
        <f t="shared" si="246"/>
        <v>1895</v>
      </c>
      <c r="F3022" s="1">
        <f t="shared" si="242"/>
        <v>1250</v>
      </c>
      <c r="L3022" s="11">
        <v>46142</v>
      </c>
      <c r="M3022" s="9">
        <v>5317</v>
      </c>
      <c r="N3022" s="9">
        <v>1321</v>
      </c>
      <c r="O3022" s="9">
        <v>1895</v>
      </c>
      <c r="P3022" s="9">
        <v>1250</v>
      </c>
      <c r="R3022" s="11"/>
      <c r="S3022" s="9"/>
      <c r="T3022" s="9"/>
      <c r="U3022" s="9"/>
    </row>
    <row r="3023" spans="2:21" x14ac:dyDescent="0.4">
      <c r="B3023" s="16">
        <f t="shared" si="243"/>
        <v>46146</v>
      </c>
      <c r="C3023" s="1">
        <f t="shared" si="244"/>
        <v>5317</v>
      </c>
      <c r="D3023" s="1">
        <f t="shared" si="245"/>
        <v>1281</v>
      </c>
      <c r="E3023" s="1">
        <f t="shared" si="246"/>
        <v>1895</v>
      </c>
      <c r="F3023" s="1">
        <f t="shared" si="242"/>
        <v>1250</v>
      </c>
      <c r="L3023" s="11">
        <v>46146</v>
      </c>
      <c r="M3023" s="9">
        <v>0</v>
      </c>
      <c r="N3023" s="9">
        <v>1281</v>
      </c>
      <c r="O3023" s="9">
        <v>0</v>
      </c>
      <c r="P3023" s="9">
        <v>0</v>
      </c>
      <c r="R3023" s="11"/>
      <c r="S3023" s="9"/>
      <c r="T3023" s="9"/>
      <c r="U3023" s="9"/>
    </row>
    <row r="3024" spans="2:21" x14ac:dyDescent="0.4">
      <c r="B3024" s="16">
        <f t="shared" si="243"/>
        <v>46147</v>
      </c>
      <c r="C3024" s="1">
        <f t="shared" si="244"/>
        <v>5317</v>
      </c>
      <c r="D3024" s="1">
        <f t="shared" si="245"/>
        <v>1281</v>
      </c>
      <c r="E3024" s="1">
        <f t="shared" si="246"/>
        <v>1895</v>
      </c>
      <c r="F3024" s="1">
        <f t="shared" si="242"/>
        <v>1250</v>
      </c>
      <c r="L3024" s="11">
        <v>46147</v>
      </c>
      <c r="M3024" s="9">
        <v>0</v>
      </c>
      <c r="N3024" s="9">
        <v>1281</v>
      </c>
      <c r="O3024" s="9">
        <v>0</v>
      </c>
      <c r="P3024" s="9">
        <v>0</v>
      </c>
      <c r="R3024" s="11"/>
      <c r="S3024" s="9"/>
      <c r="T3024" s="9"/>
      <c r="U3024" s="9"/>
    </row>
    <row r="3025" spans="2:21" x14ac:dyDescent="0.4">
      <c r="B3025" s="16">
        <f t="shared" si="243"/>
        <v>46148</v>
      </c>
      <c r="C3025" s="1">
        <f t="shared" si="244"/>
        <v>5344</v>
      </c>
      <c r="D3025" s="1">
        <f t="shared" si="245"/>
        <v>1281</v>
      </c>
      <c r="E3025" s="1">
        <f t="shared" si="246"/>
        <v>1895</v>
      </c>
      <c r="F3025" s="1">
        <f t="shared" si="242"/>
        <v>1250</v>
      </c>
      <c r="L3025" s="11">
        <v>46148</v>
      </c>
      <c r="M3025" s="9">
        <v>5344</v>
      </c>
      <c r="N3025" s="9">
        <v>1281</v>
      </c>
      <c r="O3025" s="9">
        <v>1895</v>
      </c>
      <c r="P3025" s="9">
        <v>1250</v>
      </c>
      <c r="R3025" s="11"/>
      <c r="S3025" s="9"/>
      <c r="T3025" s="9"/>
      <c r="U3025" s="9"/>
    </row>
    <row r="3026" spans="2:21" x14ac:dyDescent="0.4">
      <c r="B3026" s="16">
        <f t="shared" si="243"/>
        <v>46149</v>
      </c>
      <c r="C3026" s="1">
        <f t="shared" si="244"/>
        <v>5296</v>
      </c>
      <c r="D3026" s="1">
        <f t="shared" si="245"/>
        <v>1251</v>
      </c>
      <c r="E3026" s="1">
        <f t="shared" si="246"/>
        <v>1890</v>
      </c>
      <c r="F3026" s="1">
        <f t="shared" si="242"/>
        <v>1250</v>
      </c>
      <c r="L3026" s="11">
        <v>46149</v>
      </c>
      <c r="M3026" s="9">
        <v>5296</v>
      </c>
      <c r="N3026" s="9">
        <v>1251</v>
      </c>
      <c r="O3026" s="9">
        <v>1890</v>
      </c>
      <c r="P3026" s="9">
        <v>1250</v>
      </c>
      <c r="R3026" s="11"/>
      <c r="S3026" s="9"/>
      <c r="T3026" s="9"/>
      <c r="U3026" s="9"/>
    </row>
    <row r="3027" spans="2:21" x14ac:dyDescent="0.4">
      <c r="B3027" s="16">
        <f t="shared" si="243"/>
        <v>46150</v>
      </c>
      <c r="C3027" s="1">
        <f t="shared" si="244"/>
        <v>5219</v>
      </c>
      <c r="D3027" s="1">
        <f t="shared" si="245"/>
        <v>1211</v>
      </c>
      <c r="E3027" s="1">
        <f t="shared" si="246"/>
        <v>1890</v>
      </c>
      <c r="F3027" s="1">
        <f t="shared" si="242"/>
        <v>1250</v>
      </c>
      <c r="L3027" s="11">
        <v>46150</v>
      </c>
      <c r="M3027" s="9">
        <v>5219</v>
      </c>
      <c r="N3027" s="9">
        <v>1211</v>
      </c>
      <c r="O3027" s="9">
        <v>1890</v>
      </c>
      <c r="P3027" s="9">
        <v>1250</v>
      </c>
      <c r="R3027" s="11"/>
      <c r="S3027" s="9"/>
      <c r="T3027" s="9"/>
      <c r="U3027" s="9"/>
    </row>
    <row r="3028" spans="2:21" x14ac:dyDescent="0.4">
      <c r="B3028" s="16">
        <f t="shared" si="243"/>
        <v>46151</v>
      </c>
      <c r="C3028" s="1">
        <f t="shared" si="244"/>
        <v>5190</v>
      </c>
      <c r="D3028" s="1">
        <f t="shared" si="245"/>
        <v>1211</v>
      </c>
      <c r="E3028" s="1">
        <f t="shared" si="246"/>
        <v>1890</v>
      </c>
      <c r="F3028" s="1">
        <f t="shared" si="242"/>
        <v>1250</v>
      </c>
      <c r="L3028" s="11">
        <v>46151</v>
      </c>
      <c r="M3028" s="9">
        <v>5190</v>
      </c>
      <c r="N3028" s="9">
        <v>0</v>
      </c>
      <c r="O3028" s="9">
        <v>1890</v>
      </c>
      <c r="P3028" s="9">
        <v>1250</v>
      </c>
      <c r="R3028" s="11"/>
      <c r="S3028" s="9"/>
      <c r="T3028" s="9"/>
      <c r="U3028" s="9"/>
    </row>
    <row r="3029" spans="2:21" x14ac:dyDescent="0.4">
      <c r="B3029" s="16">
        <f t="shared" si="243"/>
        <v>46153</v>
      </c>
      <c r="C3029" s="1">
        <f t="shared" si="244"/>
        <v>5186</v>
      </c>
      <c r="D3029" s="1">
        <f t="shared" si="245"/>
        <v>1211</v>
      </c>
      <c r="E3029" s="1">
        <f t="shared" si="246"/>
        <v>1885</v>
      </c>
      <c r="F3029" s="1">
        <f t="shared" si="242"/>
        <v>1250</v>
      </c>
      <c r="L3029" s="11">
        <v>46153</v>
      </c>
      <c r="M3029" s="9">
        <v>5186</v>
      </c>
      <c r="N3029" s="9">
        <v>1211</v>
      </c>
      <c r="O3029" s="9">
        <v>1885</v>
      </c>
      <c r="P3029" s="9">
        <v>1250</v>
      </c>
      <c r="R3029" s="11"/>
      <c r="S3029" s="9"/>
      <c r="T3029" s="9"/>
      <c r="U3029" s="9"/>
    </row>
    <row r="3030" spans="2:21" x14ac:dyDescent="0.4">
      <c r="B3030" s="16">
        <f t="shared" si="243"/>
        <v>46154</v>
      </c>
      <c r="C3030" s="1">
        <f t="shared" si="244"/>
        <v>5188</v>
      </c>
      <c r="D3030" s="1">
        <f t="shared" si="245"/>
        <v>1201</v>
      </c>
      <c r="E3030" s="1">
        <f t="shared" si="246"/>
        <v>1880</v>
      </c>
      <c r="F3030" s="1">
        <f t="shared" si="242"/>
        <v>1250</v>
      </c>
      <c r="L3030" s="11">
        <v>46154</v>
      </c>
      <c r="M3030" s="9">
        <v>5188</v>
      </c>
      <c r="N3030" s="9">
        <v>1201</v>
      </c>
      <c r="O3030" s="9">
        <v>1880</v>
      </c>
      <c r="P3030" s="9">
        <v>1250</v>
      </c>
      <c r="R3030" s="11"/>
      <c r="S3030" s="9"/>
      <c r="T3030" s="9"/>
      <c r="U3030" s="9"/>
    </row>
    <row r="3031" spans="2:21" x14ac:dyDescent="0.4">
      <c r="B3031" s="16">
        <f t="shared" si="243"/>
        <v>46155</v>
      </c>
      <c r="C3031" s="1">
        <f t="shared" si="244"/>
        <v>5156</v>
      </c>
      <c r="D3031" s="1">
        <f t="shared" si="245"/>
        <v>1201</v>
      </c>
      <c r="E3031" s="1">
        <f t="shared" si="246"/>
        <v>1875</v>
      </c>
      <c r="F3031" s="1">
        <f t="shared" si="242"/>
        <v>1250</v>
      </c>
      <c r="L3031" s="11">
        <v>46155</v>
      </c>
      <c r="M3031" s="9">
        <v>5156</v>
      </c>
      <c r="N3031" s="9">
        <v>1201</v>
      </c>
      <c r="O3031" s="9">
        <v>1875</v>
      </c>
      <c r="P3031" s="9">
        <v>1250</v>
      </c>
      <c r="R3031" s="11"/>
      <c r="S3031" s="9"/>
      <c r="T3031" s="9"/>
      <c r="U3031" s="9"/>
    </row>
    <row r="3032" spans="2:21" x14ac:dyDescent="0.4">
      <c r="B3032" s="16">
        <f t="shared" si="243"/>
        <v>46156</v>
      </c>
      <c r="C3032" s="1">
        <f t="shared" si="244"/>
        <v>5125</v>
      </c>
      <c r="D3032" s="1">
        <f t="shared" si="245"/>
        <v>1181</v>
      </c>
      <c r="E3032" s="1">
        <f t="shared" si="246"/>
        <v>1870</v>
      </c>
      <c r="F3032" s="1">
        <f t="shared" si="242"/>
        <v>1250</v>
      </c>
      <c r="L3032" s="11">
        <v>46156</v>
      </c>
      <c r="M3032" s="9">
        <v>5125</v>
      </c>
      <c r="N3032" s="9">
        <v>1181</v>
      </c>
      <c r="O3032" s="9">
        <v>1870</v>
      </c>
      <c r="P3032" s="9">
        <v>1250</v>
      </c>
      <c r="R3032" s="11"/>
      <c r="S3032" s="9"/>
      <c r="T3032" s="9"/>
      <c r="U3032" s="9"/>
    </row>
    <row r="3033" spans="2:21" x14ac:dyDescent="0.4">
      <c r="B3033" s="16">
        <f t="shared" si="243"/>
        <v>46157</v>
      </c>
      <c r="C3033" s="1">
        <f t="shared" si="244"/>
        <v>5117</v>
      </c>
      <c r="D3033" s="1">
        <f t="shared" si="245"/>
        <v>1181</v>
      </c>
      <c r="E3033" s="1">
        <f t="shared" si="246"/>
        <v>1870</v>
      </c>
      <c r="F3033" s="1">
        <f t="shared" si="242"/>
        <v>1250</v>
      </c>
      <c r="L3033" s="11">
        <v>46157</v>
      </c>
      <c r="M3033" s="9">
        <v>5117</v>
      </c>
      <c r="N3033" s="9">
        <v>1181</v>
      </c>
      <c r="O3033" s="9">
        <v>1870</v>
      </c>
      <c r="P3033" s="9">
        <v>1250</v>
      </c>
      <c r="R3033" s="11"/>
      <c r="S3033" s="9"/>
      <c r="T3033" s="9"/>
      <c r="U3033" s="9"/>
    </row>
    <row r="3034" spans="2:21" x14ac:dyDescent="0.4">
      <c r="B3034" s="16">
        <f t="shared" ref="B3034:B3043" si="247">L3034</f>
        <v>46160</v>
      </c>
      <c r="C3034" s="1">
        <f t="shared" si="244"/>
        <v>5141</v>
      </c>
      <c r="D3034" s="1">
        <f t="shared" si="245"/>
        <v>1141</v>
      </c>
      <c r="E3034" s="1">
        <f t="shared" si="246"/>
        <v>1865</v>
      </c>
      <c r="F3034" s="1">
        <f t="shared" si="242"/>
        <v>1250</v>
      </c>
      <c r="L3034" s="11">
        <v>46160</v>
      </c>
      <c r="M3034" s="9">
        <v>5141</v>
      </c>
      <c r="N3034" s="9">
        <v>1141</v>
      </c>
      <c r="O3034" s="9">
        <v>1865</v>
      </c>
      <c r="P3034" s="9">
        <v>1250</v>
      </c>
    </row>
    <row r="3035" spans="2:21" x14ac:dyDescent="0.4">
      <c r="B3035" s="16">
        <f t="shared" si="247"/>
        <v>46161</v>
      </c>
      <c r="C3035" s="1">
        <f t="shared" si="244"/>
        <v>5131</v>
      </c>
      <c r="D3035" s="1">
        <f t="shared" si="245"/>
        <v>1121</v>
      </c>
      <c r="E3035" s="1">
        <f t="shared" si="246"/>
        <v>1850</v>
      </c>
      <c r="F3035" s="1">
        <f t="shared" si="242"/>
        <v>1250</v>
      </c>
      <c r="L3035" s="11">
        <v>46161</v>
      </c>
      <c r="M3035" s="9">
        <v>5131</v>
      </c>
      <c r="N3035" s="9">
        <v>1121</v>
      </c>
      <c r="O3035" s="9">
        <v>1850</v>
      </c>
      <c r="P3035" s="9">
        <v>1250</v>
      </c>
    </row>
    <row r="3036" spans="2:21" x14ac:dyDescent="0.4">
      <c r="B3036" s="16">
        <f t="shared" si="247"/>
        <v>46162</v>
      </c>
      <c r="C3036" s="1">
        <f t="shared" si="244"/>
        <v>5116</v>
      </c>
      <c r="D3036" s="1">
        <f t="shared" si="245"/>
        <v>1121</v>
      </c>
      <c r="E3036" s="1">
        <f t="shared" si="246"/>
        <v>1840</v>
      </c>
      <c r="F3036" s="1">
        <f t="shared" si="242"/>
        <v>1250</v>
      </c>
      <c r="L3036" s="11">
        <v>46162</v>
      </c>
      <c r="M3036" s="9">
        <v>5116</v>
      </c>
      <c r="N3036" s="9">
        <v>1121</v>
      </c>
      <c r="O3036" s="9">
        <v>1840</v>
      </c>
      <c r="P3036" s="9">
        <v>1250</v>
      </c>
    </row>
    <row r="3037" spans="2:21" x14ac:dyDescent="0.4">
      <c r="B3037" s="16">
        <f t="shared" si="247"/>
        <v>46163</v>
      </c>
      <c r="C3037" s="1">
        <f t="shared" si="244"/>
        <v>5100</v>
      </c>
      <c r="D3037" s="1">
        <f t="shared" si="245"/>
        <v>1101</v>
      </c>
      <c r="E3037" s="1">
        <f t="shared" si="246"/>
        <v>1835</v>
      </c>
      <c r="F3037" s="1">
        <f t="shared" si="242"/>
        <v>1250</v>
      </c>
      <c r="L3037" s="11">
        <v>46163</v>
      </c>
      <c r="M3037" s="9">
        <v>5100</v>
      </c>
      <c r="N3037" s="9">
        <v>1101</v>
      </c>
      <c r="O3037" s="9">
        <v>1835</v>
      </c>
      <c r="P3037" s="9">
        <v>1250</v>
      </c>
    </row>
    <row r="3038" spans="2:21" x14ac:dyDescent="0.4">
      <c r="B3038" s="16">
        <f t="shared" si="247"/>
        <v>46164</v>
      </c>
      <c r="C3038" s="1">
        <f t="shared" si="244"/>
        <v>5044</v>
      </c>
      <c r="D3038" s="1">
        <f t="shared" si="245"/>
        <v>1101</v>
      </c>
      <c r="E3038" s="1">
        <f t="shared" si="246"/>
        <v>1840</v>
      </c>
      <c r="F3038" s="1">
        <f t="shared" si="242"/>
        <v>1250</v>
      </c>
      <c r="L3038" s="11">
        <v>46164</v>
      </c>
      <c r="M3038" s="9">
        <v>5044</v>
      </c>
      <c r="N3038" s="9">
        <v>1101</v>
      </c>
      <c r="O3038" s="9">
        <v>1840</v>
      </c>
      <c r="P3038" s="9">
        <v>1250</v>
      </c>
    </row>
    <row r="3039" spans="2:21" x14ac:dyDescent="0.4">
      <c r="B3039" s="16">
        <f t="shared" si="247"/>
        <v>46167</v>
      </c>
      <c r="C3039" s="1">
        <f t="shared" si="244"/>
        <v>4983</v>
      </c>
      <c r="D3039" s="1">
        <f t="shared" si="245"/>
        <v>1021</v>
      </c>
      <c r="E3039" s="1">
        <f t="shared" si="246"/>
        <v>1840</v>
      </c>
      <c r="F3039" s="1">
        <f t="shared" si="242"/>
        <v>1250</v>
      </c>
      <c r="L3039" s="11">
        <v>46167</v>
      </c>
      <c r="M3039" s="9">
        <v>4983</v>
      </c>
      <c r="N3039" s="9">
        <v>1021</v>
      </c>
      <c r="O3039" s="9">
        <v>1840</v>
      </c>
      <c r="P3039" s="9">
        <v>1250</v>
      </c>
    </row>
    <row r="3040" spans="2:21" x14ac:dyDescent="0.4">
      <c r="B3040" s="16">
        <f t="shared" si="247"/>
        <v>46168</v>
      </c>
      <c r="C3040" s="1">
        <f t="shared" si="244"/>
        <v>4952</v>
      </c>
      <c r="D3040" s="1">
        <f t="shared" si="245"/>
        <v>1021</v>
      </c>
      <c r="E3040" s="1">
        <f t="shared" si="246"/>
        <v>1840</v>
      </c>
      <c r="F3040" s="1">
        <f t="shared" si="242"/>
        <v>1250</v>
      </c>
      <c r="L3040" s="11">
        <v>46168</v>
      </c>
      <c r="M3040" s="9">
        <v>4952</v>
      </c>
      <c r="N3040" s="9">
        <v>1021</v>
      </c>
      <c r="O3040" s="9">
        <v>1840</v>
      </c>
      <c r="P3040" s="9">
        <v>1250</v>
      </c>
    </row>
    <row r="3041" spans="2:16" x14ac:dyDescent="0.4">
      <c r="B3041" s="16">
        <f t="shared" si="247"/>
        <v>46169</v>
      </c>
      <c r="C3041" s="1">
        <f t="shared" si="244"/>
        <v>4920</v>
      </c>
      <c r="D3041" s="1">
        <f t="shared" si="245"/>
        <v>1021</v>
      </c>
      <c r="E3041" s="1">
        <f t="shared" si="246"/>
        <v>1840</v>
      </c>
      <c r="F3041" s="1">
        <f t="shared" si="242"/>
        <v>1250</v>
      </c>
      <c r="L3041" s="11">
        <v>46169</v>
      </c>
      <c r="M3041" s="9">
        <v>4920</v>
      </c>
      <c r="N3041" s="9">
        <v>0</v>
      </c>
      <c r="O3041" s="9">
        <v>1840</v>
      </c>
      <c r="P3041" s="9">
        <v>1250</v>
      </c>
    </row>
    <row r="3042" spans="2:16" x14ac:dyDescent="0.4">
      <c r="B3042" s="16">
        <f t="shared" si="247"/>
        <v>46170</v>
      </c>
      <c r="C3042" s="1">
        <f t="shared" si="244"/>
        <v>4922</v>
      </c>
      <c r="D3042" s="1">
        <f t="shared" si="245"/>
        <v>1001</v>
      </c>
      <c r="E3042" s="1">
        <f t="shared" si="246"/>
        <v>1850</v>
      </c>
      <c r="F3042" s="1">
        <f t="shared" si="242"/>
        <v>1250</v>
      </c>
      <c r="L3042" s="11">
        <v>46170</v>
      </c>
      <c r="M3042" s="9">
        <v>4922</v>
      </c>
      <c r="N3042" s="9">
        <v>1001</v>
      </c>
      <c r="O3042" s="9">
        <v>1850</v>
      </c>
      <c r="P3042" s="9">
        <v>1250</v>
      </c>
    </row>
    <row r="3043" spans="2:16" x14ac:dyDescent="0.4">
      <c r="B3043" s="16">
        <f t="shared" si="247"/>
        <v>46171</v>
      </c>
      <c r="C3043" s="1">
        <f t="shared" si="244"/>
        <v>4916</v>
      </c>
      <c r="D3043" s="1">
        <f t="shared" si="245"/>
        <v>991</v>
      </c>
      <c r="E3043" s="1">
        <f t="shared" si="246"/>
        <v>1860</v>
      </c>
      <c r="F3043" s="1">
        <f t="shared" si="242"/>
        <v>1250</v>
      </c>
      <c r="L3043" s="11">
        <v>46171</v>
      </c>
      <c r="M3043" s="9">
        <v>4916</v>
      </c>
      <c r="N3043" s="9">
        <v>991</v>
      </c>
      <c r="O3043" s="9">
        <v>1860</v>
      </c>
      <c r="P3043" s="9">
        <v>1250</v>
      </c>
    </row>
    <row r="3044" spans="2:16" x14ac:dyDescent="0.4">
      <c r="B3044" s="16">
        <f t="shared" ref="B3044:B3053" si="248">L3044</f>
        <v>46174</v>
      </c>
      <c r="C3044" s="1">
        <f t="shared" si="244"/>
        <v>4915</v>
      </c>
      <c r="D3044" s="1">
        <f t="shared" si="245"/>
        <v>991</v>
      </c>
      <c r="E3044" s="1">
        <f t="shared" si="246"/>
        <v>1865</v>
      </c>
      <c r="F3044" s="1">
        <f t="shared" si="242"/>
        <v>1250</v>
      </c>
      <c r="L3044" s="11">
        <v>46174</v>
      </c>
      <c r="M3044" s="9">
        <v>4915</v>
      </c>
      <c r="N3044" s="9">
        <v>0</v>
      </c>
      <c r="O3044" s="9">
        <v>1865</v>
      </c>
      <c r="P3044" s="9">
        <v>1250</v>
      </c>
    </row>
    <row r="3045" spans="2:16" x14ac:dyDescent="0.4">
      <c r="B3045" s="16">
        <f t="shared" si="248"/>
        <v>46175</v>
      </c>
      <c r="C3045" s="1">
        <f t="shared" si="244"/>
        <v>4913</v>
      </c>
      <c r="D3045" s="1">
        <f t="shared" si="245"/>
        <v>991</v>
      </c>
      <c r="E3045" s="1">
        <f t="shared" si="246"/>
        <v>1865</v>
      </c>
      <c r="F3045" s="1">
        <f t="shared" si="242"/>
        <v>1250</v>
      </c>
      <c r="L3045" s="11">
        <v>46175</v>
      </c>
      <c r="M3045" s="9">
        <v>4913</v>
      </c>
      <c r="N3045" s="9">
        <v>991</v>
      </c>
      <c r="O3045" s="9">
        <v>1865</v>
      </c>
      <c r="P3045" s="9">
        <v>1250</v>
      </c>
    </row>
    <row r="3046" spans="2:16" x14ac:dyDescent="0.4">
      <c r="B3046" s="16">
        <f t="shared" si="248"/>
        <v>46176</v>
      </c>
      <c r="C3046" s="1">
        <f t="shared" si="244"/>
        <v>4936</v>
      </c>
      <c r="D3046" s="1">
        <f t="shared" si="245"/>
        <v>991</v>
      </c>
      <c r="E3046" s="1">
        <f t="shared" si="246"/>
        <v>1860</v>
      </c>
      <c r="F3046" s="1">
        <f t="shared" si="242"/>
        <v>1250</v>
      </c>
      <c r="L3046" s="11">
        <v>46176</v>
      </c>
      <c r="M3046" s="9">
        <v>4936</v>
      </c>
      <c r="N3046" s="9">
        <v>991</v>
      </c>
      <c r="O3046" s="9">
        <v>1860</v>
      </c>
      <c r="P3046" s="9">
        <v>1250</v>
      </c>
    </row>
    <row r="3047" spans="2:16" x14ac:dyDescent="0.4">
      <c r="B3047" s="16">
        <f t="shared" si="248"/>
        <v>46177</v>
      </c>
      <c r="C3047" s="1">
        <f t="shared" si="244"/>
        <v>4932</v>
      </c>
      <c r="D3047" s="1">
        <f t="shared" si="245"/>
        <v>991</v>
      </c>
      <c r="E3047" s="1">
        <f t="shared" si="246"/>
        <v>1860</v>
      </c>
      <c r="F3047" s="1">
        <f t="shared" si="242"/>
        <v>1250</v>
      </c>
      <c r="L3047" s="11">
        <v>46177</v>
      </c>
      <c r="M3047" s="9">
        <v>4932</v>
      </c>
      <c r="N3047" s="9">
        <v>991</v>
      </c>
      <c r="O3047" s="9">
        <v>1860</v>
      </c>
      <c r="P3047" s="9">
        <v>1250</v>
      </c>
    </row>
    <row r="3048" spans="2:16" x14ac:dyDescent="0.4">
      <c r="B3048" s="16">
        <f t="shared" si="248"/>
        <v>46178</v>
      </c>
      <c r="C3048" s="1">
        <f t="shared" si="244"/>
        <v>4904</v>
      </c>
      <c r="D3048" s="1">
        <f t="shared" si="245"/>
        <v>901</v>
      </c>
      <c r="E3048" s="1">
        <f t="shared" si="246"/>
        <v>1850</v>
      </c>
      <c r="F3048" s="1">
        <f t="shared" si="242"/>
        <v>1250</v>
      </c>
      <c r="L3048" s="11">
        <v>46178</v>
      </c>
      <c r="M3048" s="9">
        <v>4904</v>
      </c>
      <c r="N3048" s="9">
        <v>901</v>
      </c>
      <c r="O3048" s="9">
        <v>1850</v>
      </c>
      <c r="P3048" s="9">
        <v>1250</v>
      </c>
    </row>
    <row r="3049" spans="2:16" x14ac:dyDescent="0.4">
      <c r="B3049" s="16">
        <f t="shared" si="248"/>
        <v>46181</v>
      </c>
      <c r="C3049" s="1">
        <f t="shared" si="244"/>
        <v>4925</v>
      </c>
      <c r="D3049" s="1">
        <f t="shared" si="245"/>
        <v>971</v>
      </c>
      <c r="E3049" s="1">
        <f t="shared" si="246"/>
        <v>1850</v>
      </c>
      <c r="F3049" s="1">
        <f t="shared" si="242"/>
        <v>1250</v>
      </c>
      <c r="L3049" s="11">
        <v>46181</v>
      </c>
      <c r="M3049" s="9">
        <v>4925</v>
      </c>
      <c r="N3049" s="9">
        <v>971</v>
      </c>
      <c r="O3049" s="9">
        <v>1850</v>
      </c>
      <c r="P3049" s="9">
        <v>1250</v>
      </c>
    </row>
    <row r="3050" spans="2:16" x14ac:dyDescent="0.4">
      <c r="B3050" s="16">
        <f t="shared" si="248"/>
        <v>46182</v>
      </c>
      <c r="C3050" s="1">
        <f t="shared" si="244"/>
        <v>4945</v>
      </c>
      <c r="D3050" s="1">
        <f t="shared" si="245"/>
        <v>931</v>
      </c>
      <c r="E3050" s="1">
        <f t="shared" si="246"/>
        <v>1865</v>
      </c>
      <c r="F3050" s="1">
        <f t="shared" si="242"/>
        <v>1250</v>
      </c>
      <c r="L3050" s="11">
        <v>46182</v>
      </c>
      <c r="M3050" s="9">
        <v>4945</v>
      </c>
      <c r="N3050" s="9">
        <v>931</v>
      </c>
      <c r="O3050" s="9">
        <v>1865</v>
      </c>
      <c r="P3050" s="9">
        <v>1250</v>
      </c>
    </row>
    <row r="3051" spans="2:16" x14ac:dyDescent="0.4">
      <c r="B3051" s="16">
        <f t="shared" si="248"/>
        <v>46183</v>
      </c>
      <c r="C3051" s="1">
        <f t="shared" si="244"/>
        <v>4939</v>
      </c>
      <c r="D3051" s="1">
        <f t="shared" si="245"/>
        <v>931</v>
      </c>
      <c r="E3051" s="1">
        <f t="shared" si="246"/>
        <v>1865</v>
      </c>
      <c r="F3051" s="1">
        <f t="shared" si="242"/>
        <v>1250</v>
      </c>
      <c r="L3051" s="11">
        <v>46183</v>
      </c>
      <c r="M3051" s="9">
        <v>4939</v>
      </c>
      <c r="N3051" s="9">
        <v>931</v>
      </c>
      <c r="O3051" s="9">
        <v>1865</v>
      </c>
      <c r="P3051" s="9">
        <v>1250</v>
      </c>
    </row>
    <row r="3052" spans="2:16" x14ac:dyDescent="0.4">
      <c r="B3052" s="16">
        <f t="shared" si="248"/>
        <v>46184</v>
      </c>
      <c r="C3052" s="1">
        <f t="shared" si="244"/>
        <v>4962</v>
      </c>
      <c r="D3052" s="1">
        <f t="shared" si="245"/>
        <v>931</v>
      </c>
      <c r="E3052" s="1">
        <f t="shared" si="246"/>
        <v>1865</v>
      </c>
      <c r="F3052" s="1">
        <f t="shared" si="242"/>
        <v>1250</v>
      </c>
      <c r="L3052" s="11">
        <v>46184</v>
      </c>
      <c r="M3052" s="9">
        <v>4962</v>
      </c>
      <c r="N3052" s="9">
        <v>931</v>
      </c>
      <c r="O3052" s="9">
        <v>1865</v>
      </c>
      <c r="P3052" s="9">
        <v>1250</v>
      </c>
    </row>
    <row r="3053" spans="2:16" x14ac:dyDescent="0.4">
      <c r="B3053" s="16">
        <f t="shared" si="248"/>
        <v>46185</v>
      </c>
      <c r="C3053" s="1">
        <f t="shared" si="244"/>
        <v>5006</v>
      </c>
      <c r="D3053" s="1">
        <f t="shared" si="245"/>
        <v>901</v>
      </c>
      <c r="E3053" s="1">
        <f t="shared" si="246"/>
        <v>1860</v>
      </c>
      <c r="F3053" s="1">
        <f t="shared" si="242"/>
        <v>1250</v>
      </c>
      <c r="L3053" s="11">
        <v>46185</v>
      </c>
      <c r="M3053" s="9">
        <v>5006</v>
      </c>
      <c r="N3053" s="9">
        <v>901</v>
      </c>
      <c r="O3053" s="9">
        <v>1860</v>
      </c>
      <c r="P3053" s="9">
        <v>1250</v>
      </c>
    </row>
    <row r="3054" spans="2:16" x14ac:dyDescent="0.4">
      <c r="B3054" s="16">
        <f t="shared" ref="B3054:B3056" si="249">L3054</f>
        <v>46188</v>
      </c>
      <c r="C3054" s="1">
        <f t="shared" ref="C3054:C3056" si="250">IF(M3054&lt;&gt;0,M3054,C3053)</f>
        <v>4919</v>
      </c>
      <c r="D3054" s="1">
        <f t="shared" ref="D3054:D3056" si="251">IF(N3054&lt;&gt;0,N3054,D3053)</f>
        <v>901</v>
      </c>
      <c r="E3054" s="1">
        <f t="shared" ref="E3054:E3056" si="252">IF(O3054&lt;&gt;0,O3054,E3053)</f>
        <v>1855</v>
      </c>
      <c r="F3054" s="1">
        <f t="shared" ref="F3054:F3056" si="253">IF(P3054&lt;&gt;0,P3054,F3053)</f>
        <v>1250</v>
      </c>
      <c r="L3054" s="11">
        <v>46188</v>
      </c>
      <c r="M3054" s="9">
        <v>4919</v>
      </c>
      <c r="N3054" s="9">
        <v>901</v>
      </c>
      <c r="O3054" s="9">
        <v>1855</v>
      </c>
      <c r="P3054" s="9">
        <v>1250</v>
      </c>
    </row>
    <row r="3055" spans="2:16" x14ac:dyDescent="0.4">
      <c r="B3055" s="16">
        <f t="shared" si="249"/>
        <v>46189</v>
      </c>
      <c r="C3055" s="1">
        <f t="shared" si="250"/>
        <v>4798</v>
      </c>
      <c r="D3055" s="1">
        <f t="shared" si="251"/>
        <v>871</v>
      </c>
      <c r="E3055" s="1">
        <f t="shared" si="252"/>
        <v>1840</v>
      </c>
      <c r="F3055" s="1">
        <f t="shared" si="253"/>
        <v>1250</v>
      </c>
      <c r="L3055" s="11">
        <v>46189</v>
      </c>
      <c r="M3055" s="9">
        <v>4798</v>
      </c>
      <c r="N3055" s="9">
        <v>871</v>
      </c>
      <c r="O3055" s="9">
        <v>1840</v>
      </c>
      <c r="P3055" s="9">
        <v>1250</v>
      </c>
    </row>
    <row r="3056" spans="2:16" x14ac:dyDescent="0.4">
      <c r="B3056" s="16">
        <f t="shared" si="249"/>
        <v>46190</v>
      </c>
      <c r="C3056" s="1">
        <f t="shared" si="250"/>
        <v>4752</v>
      </c>
      <c r="D3056" s="1">
        <f t="shared" si="251"/>
        <v>871</v>
      </c>
      <c r="E3056" s="1">
        <f t="shared" si="252"/>
        <v>1840</v>
      </c>
      <c r="F3056" s="1">
        <f t="shared" si="253"/>
        <v>1250</v>
      </c>
      <c r="L3056" s="11">
        <v>46190</v>
      </c>
      <c r="M3056" s="9">
        <v>4752</v>
      </c>
      <c r="N3056" s="9">
        <v>871</v>
      </c>
      <c r="O3056" s="9">
        <v>1840</v>
      </c>
      <c r="P3056" s="9">
        <v>1250</v>
      </c>
    </row>
    <row r="3057" spans="2:16" x14ac:dyDescent="0.4">
      <c r="B3057" s="16">
        <f t="shared" ref="B3057:B3061" si="254">L3057</f>
        <v>46191</v>
      </c>
      <c r="C3057" s="1">
        <f t="shared" ref="C3057:C3061" si="255">IF(M3057&lt;&gt;0,M3057,C3056)</f>
        <v>4716</v>
      </c>
      <c r="D3057" s="1">
        <f t="shared" ref="D3057:D3061" si="256">IF(N3057&lt;&gt;0,N3057,D3056)</f>
        <v>871</v>
      </c>
      <c r="E3057" s="1">
        <f t="shared" ref="E3057:E3061" si="257">IF(O3057&lt;&gt;0,O3057,E3056)</f>
        <v>1845</v>
      </c>
      <c r="F3057" s="1">
        <f t="shared" ref="F3057:F3061" si="258">IF(P3057&lt;&gt;0,P3057,F3056)</f>
        <v>1250</v>
      </c>
      <c r="L3057" s="11">
        <v>46191</v>
      </c>
      <c r="M3057" s="9">
        <v>4716</v>
      </c>
      <c r="N3057" s="9">
        <v>871</v>
      </c>
      <c r="O3057" s="9">
        <v>1845</v>
      </c>
      <c r="P3057" s="9">
        <v>1250</v>
      </c>
    </row>
    <row r="3058" spans="2:16" x14ac:dyDescent="0.4">
      <c r="B3058" s="16">
        <f t="shared" si="254"/>
        <v>46192</v>
      </c>
      <c r="C3058" s="1">
        <f t="shared" si="255"/>
        <v>4716</v>
      </c>
      <c r="D3058" s="1">
        <f t="shared" si="256"/>
        <v>871</v>
      </c>
      <c r="E3058" s="1">
        <f t="shared" si="257"/>
        <v>1845</v>
      </c>
      <c r="F3058" s="1">
        <f t="shared" si="258"/>
        <v>1250</v>
      </c>
      <c r="L3058" s="11">
        <v>46192</v>
      </c>
      <c r="M3058" s="9">
        <v>0</v>
      </c>
      <c r="N3058" s="9">
        <v>871</v>
      </c>
      <c r="O3058" s="9">
        <v>0</v>
      </c>
      <c r="P3058" s="9">
        <v>0</v>
      </c>
    </row>
    <row r="3059" spans="2:16" x14ac:dyDescent="0.4">
      <c r="B3059" s="16">
        <f t="shared" si="254"/>
        <v>46195</v>
      </c>
      <c r="C3059" s="1">
        <f t="shared" si="255"/>
        <v>4693</v>
      </c>
      <c r="D3059" s="1">
        <f t="shared" si="256"/>
        <v>871</v>
      </c>
      <c r="E3059" s="1">
        <f t="shared" si="257"/>
        <v>1855</v>
      </c>
      <c r="F3059" s="1">
        <f t="shared" si="258"/>
        <v>1250</v>
      </c>
      <c r="L3059" s="11">
        <v>46195</v>
      </c>
      <c r="M3059" s="9">
        <v>4693</v>
      </c>
      <c r="N3059" s="9">
        <v>871</v>
      </c>
      <c r="O3059" s="9">
        <v>1855</v>
      </c>
      <c r="P3059" s="9">
        <v>1250</v>
      </c>
    </row>
    <row r="3060" spans="2:16" x14ac:dyDescent="0.4">
      <c r="B3060" s="16">
        <f t="shared" si="254"/>
        <v>46196</v>
      </c>
      <c r="C3060" s="1">
        <f t="shared" si="255"/>
        <v>4654</v>
      </c>
      <c r="D3060" s="1">
        <f t="shared" si="256"/>
        <v>871</v>
      </c>
      <c r="E3060" s="1">
        <f t="shared" si="257"/>
        <v>1855</v>
      </c>
      <c r="F3060" s="1">
        <f t="shared" si="258"/>
        <v>1250</v>
      </c>
      <c r="L3060" s="11">
        <v>46196</v>
      </c>
      <c r="M3060" s="9">
        <v>4654</v>
      </c>
      <c r="N3060" s="9">
        <v>871</v>
      </c>
      <c r="O3060" s="9">
        <v>1855</v>
      </c>
      <c r="P3060" s="9">
        <v>1250</v>
      </c>
    </row>
    <row r="3061" spans="2:16" x14ac:dyDescent="0.4">
      <c r="B3061" s="16">
        <f t="shared" si="254"/>
        <v>46197</v>
      </c>
      <c r="C3061" s="1">
        <f t="shared" si="255"/>
        <v>4611</v>
      </c>
      <c r="D3061" s="1">
        <f t="shared" si="256"/>
        <v>871</v>
      </c>
      <c r="E3061" s="1">
        <f t="shared" si="257"/>
        <v>1855</v>
      </c>
      <c r="F3061" s="1">
        <f t="shared" si="258"/>
        <v>1250</v>
      </c>
      <c r="L3061" s="11">
        <v>46197</v>
      </c>
      <c r="M3061" s="9">
        <v>4611</v>
      </c>
      <c r="N3061" s="9">
        <v>871</v>
      </c>
      <c r="O3061" s="9">
        <v>1855</v>
      </c>
      <c r="P3061" s="9">
        <v>1250</v>
      </c>
    </row>
    <row r="3062" spans="2:16" x14ac:dyDescent="0.4">
      <c r="B3062" s="16">
        <f t="shared" ref="B3062:B3068" si="259">L3062</f>
        <v>46198</v>
      </c>
      <c r="C3062" s="1">
        <f t="shared" ref="C3062:C3068" si="260">IF(M3062&lt;&gt;0,M3062,C3061)</f>
        <v>4520</v>
      </c>
      <c r="D3062" s="1">
        <f t="shared" ref="D3062:D3068" si="261">IF(N3062&lt;&gt;0,N3062,D3061)</f>
        <v>851</v>
      </c>
      <c r="E3062" s="1">
        <f t="shared" ref="E3062:E3068" si="262">IF(O3062&lt;&gt;0,O3062,E3061)</f>
        <v>1850</v>
      </c>
      <c r="F3062" s="1">
        <f t="shared" ref="F3062:F3068" si="263">IF(P3062&lt;&gt;0,P3062,F3061)</f>
        <v>1250</v>
      </c>
      <c r="L3062" s="11">
        <v>46198</v>
      </c>
      <c r="M3062" s="9">
        <v>4520</v>
      </c>
      <c r="N3062" s="9">
        <v>851</v>
      </c>
      <c r="O3062" s="9">
        <v>1850</v>
      </c>
      <c r="P3062" s="9">
        <v>1250</v>
      </c>
    </row>
    <row r="3063" spans="2:16" x14ac:dyDescent="0.4">
      <c r="B3063" s="16">
        <f t="shared" si="259"/>
        <v>46199</v>
      </c>
      <c r="C3063" s="1">
        <f t="shared" si="260"/>
        <v>4481</v>
      </c>
      <c r="D3063" s="1">
        <f t="shared" si="261"/>
        <v>836</v>
      </c>
      <c r="E3063" s="1">
        <f t="shared" si="262"/>
        <v>1845</v>
      </c>
      <c r="F3063" s="1">
        <f t="shared" si="263"/>
        <v>1250</v>
      </c>
      <c r="L3063" s="11">
        <v>46199</v>
      </c>
      <c r="M3063" s="9">
        <v>4481</v>
      </c>
      <c r="N3063" s="9">
        <v>836</v>
      </c>
      <c r="O3063" s="9">
        <v>1845</v>
      </c>
      <c r="P3063" s="9">
        <v>1250</v>
      </c>
    </row>
    <row r="3064" spans="2:16" x14ac:dyDescent="0.4">
      <c r="B3064" s="16">
        <f t="shared" si="259"/>
        <v>46202</v>
      </c>
      <c r="C3064" s="1">
        <f t="shared" si="260"/>
        <v>4487</v>
      </c>
      <c r="D3064" s="1">
        <f t="shared" si="261"/>
        <v>811</v>
      </c>
      <c r="E3064" s="1">
        <f t="shared" si="262"/>
        <v>1840</v>
      </c>
      <c r="F3064" s="1">
        <f t="shared" si="263"/>
        <v>1250</v>
      </c>
      <c r="L3064" s="11">
        <v>46202</v>
      </c>
      <c r="M3064" s="9">
        <v>4487</v>
      </c>
      <c r="N3064" s="9">
        <v>811</v>
      </c>
      <c r="O3064" s="9">
        <v>1840</v>
      </c>
      <c r="P3064" s="9">
        <v>1250</v>
      </c>
    </row>
    <row r="3065" spans="2:16" x14ac:dyDescent="0.4">
      <c r="B3065" s="16">
        <f t="shared" si="259"/>
        <v>46203</v>
      </c>
      <c r="C3065" s="1">
        <f t="shared" si="260"/>
        <v>4511</v>
      </c>
      <c r="D3065" s="1">
        <f t="shared" si="261"/>
        <v>811</v>
      </c>
      <c r="E3065" s="1">
        <f t="shared" si="262"/>
        <v>1840</v>
      </c>
      <c r="F3065" s="1">
        <f t="shared" si="263"/>
        <v>1250</v>
      </c>
      <c r="L3065" s="11">
        <v>46203</v>
      </c>
      <c r="M3065" s="9">
        <v>4511</v>
      </c>
      <c r="N3065" s="9">
        <v>811</v>
      </c>
      <c r="O3065" s="9">
        <v>1840</v>
      </c>
      <c r="P3065" s="9">
        <v>1250</v>
      </c>
    </row>
    <row r="3066" spans="2:16" x14ac:dyDescent="0.4">
      <c r="B3066" s="16">
        <f t="shared" si="259"/>
        <v>46204</v>
      </c>
      <c r="C3066" s="1">
        <f t="shared" si="260"/>
        <v>4494</v>
      </c>
      <c r="D3066" s="1">
        <f t="shared" si="261"/>
        <v>811</v>
      </c>
      <c r="E3066" s="1">
        <f t="shared" si="262"/>
        <v>1835</v>
      </c>
      <c r="F3066" s="1">
        <f t="shared" si="263"/>
        <v>1250</v>
      </c>
      <c r="L3066" s="11">
        <v>46204</v>
      </c>
      <c r="M3066" s="9">
        <v>4494</v>
      </c>
      <c r="N3066" s="9">
        <v>811</v>
      </c>
      <c r="O3066" s="9">
        <v>1835</v>
      </c>
      <c r="P3066" s="9">
        <v>1250</v>
      </c>
    </row>
    <row r="3067" spans="2:16" x14ac:dyDescent="0.4">
      <c r="B3067" s="16">
        <f t="shared" si="259"/>
        <v>46205</v>
      </c>
      <c r="C3067" s="1">
        <f t="shared" si="260"/>
        <v>4452</v>
      </c>
      <c r="D3067" s="1">
        <f t="shared" si="261"/>
        <v>811</v>
      </c>
      <c r="E3067" s="1">
        <f t="shared" si="262"/>
        <v>1835</v>
      </c>
      <c r="F3067" s="1">
        <f t="shared" si="263"/>
        <v>1250</v>
      </c>
      <c r="L3067" s="11">
        <v>46205</v>
      </c>
      <c r="M3067" s="9">
        <v>4452</v>
      </c>
      <c r="N3067" s="9">
        <v>811</v>
      </c>
      <c r="O3067" s="9">
        <v>1835</v>
      </c>
      <c r="P3067" s="9">
        <v>1250</v>
      </c>
    </row>
    <row r="3068" spans="2:16" x14ac:dyDescent="0.4">
      <c r="B3068" s="16">
        <f t="shared" si="259"/>
        <v>46206</v>
      </c>
      <c r="C3068" s="1">
        <f t="shared" si="260"/>
        <v>4430</v>
      </c>
      <c r="D3068" s="1">
        <f t="shared" si="261"/>
        <v>811</v>
      </c>
      <c r="E3068" s="1">
        <f t="shared" si="262"/>
        <v>1830</v>
      </c>
      <c r="F3068" s="1">
        <f t="shared" si="263"/>
        <v>1250</v>
      </c>
      <c r="L3068" s="11">
        <v>46206</v>
      </c>
      <c r="M3068" s="9">
        <v>4430</v>
      </c>
      <c r="N3068" s="9">
        <v>811</v>
      </c>
      <c r="O3068" s="9">
        <v>1830</v>
      </c>
      <c r="P3068" s="9">
        <v>1250</v>
      </c>
    </row>
    <row r="3069" spans="2:16" x14ac:dyDescent="0.4">
      <c r="B3069" s="16">
        <f t="shared" ref="B3069:B3073" si="264">L3069</f>
        <v>46209</v>
      </c>
      <c r="C3069" s="1">
        <f t="shared" ref="C3069:C3073" si="265">IF(M3069&lt;&gt;0,M3069,C3068)</f>
        <v>4447</v>
      </c>
      <c r="D3069" s="1">
        <f t="shared" ref="D3069:D3073" si="266">IF(N3069&lt;&gt;0,N3069,D3068)</f>
        <v>801</v>
      </c>
      <c r="E3069" s="1">
        <f t="shared" ref="E3069:E3073" si="267">IF(O3069&lt;&gt;0,O3069,E3068)</f>
        <v>1830</v>
      </c>
      <c r="F3069" s="1">
        <f t="shared" ref="F3069:F3073" si="268">IF(P3069&lt;&gt;0,P3069,F3068)</f>
        <v>1230</v>
      </c>
      <c r="L3069" s="11">
        <v>46209</v>
      </c>
      <c r="M3069" s="9">
        <v>4447</v>
      </c>
      <c r="N3069" s="9">
        <v>801</v>
      </c>
      <c r="O3069" s="9">
        <v>1830</v>
      </c>
      <c r="P3069" s="9">
        <v>1230</v>
      </c>
    </row>
    <row r="3070" spans="2:16" x14ac:dyDescent="0.4">
      <c r="B3070" s="16">
        <f t="shared" si="264"/>
        <v>46210</v>
      </c>
      <c r="C3070" s="1">
        <f t="shared" si="265"/>
        <v>4477</v>
      </c>
      <c r="D3070" s="1">
        <f t="shared" si="266"/>
        <v>801</v>
      </c>
      <c r="E3070" s="1">
        <f t="shared" si="267"/>
        <v>1830</v>
      </c>
      <c r="F3070" s="1">
        <f t="shared" si="268"/>
        <v>1230</v>
      </c>
      <c r="L3070" s="11">
        <v>46210</v>
      </c>
      <c r="M3070" s="9">
        <v>4477</v>
      </c>
      <c r="N3070" s="9">
        <v>801</v>
      </c>
      <c r="O3070" s="9">
        <v>1830</v>
      </c>
      <c r="P3070" s="9">
        <v>1230</v>
      </c>
    </row>
    <row r="3071" spans="2:16" x14ac:dyDescent="0.4">
      <c r="B3071" s="16">
        <f t="shared" si="264"/>
        <v>46211</v>
      </c>
      <c r="C3071" s="1">
        <f t="shared" si="265"/>
        <v>4536</v>
      </c>
      <c r="D3071" s="1">
        <f t="shared" si="266"/>
        <v>811</v>
      </c>
      <c r="E3071" s="1">
        <f t="shared" si="267"/>
        <v>1825</v>
      </c>
      <c r="F3071" s="1">
        <f t="shared" si="268"/>
        <v>1230</v>
      </c>
      <c r="L3071" s="11">
        <v>46211</v>
      </c>
      <c r="M3071" s="9">
        <v>4536</v>
      </c>
      <c r="N3071" s="9">
        <v>811</v>
      </c>
      <c r="O3071" s="9">
        <v>1825</v>
      </c>
      <c r="P3071" s="9">
        <v>1230</v>
      </c>
    </row>
    <row r="3072" spans="2:16" x14ac:dyDescent="0.4">
      <c r="B3072" s="16">
        <f t="shared" si="264"/>
        <v>46212</v>
      </c>
      <c r="C3072" s="1">
        <f t="shared" si="265"/>
        <v>4586</v>
      </c>
      <c r="D3072" s="1">
        <f t="shared" si="266"/>
        <v>821</v>
      </c>
      <c r="E3072" s="1">
        <f t="shared" si="267"/>
        <v>1825</v>
      </c>
      <c r="F3072" s="1">
        <f t="shared" si="268"/>
        <v>1230</v>
      </c>
      <c r="L3072" s="11">
        <v>46212</v>
      </c>
      <c r="M3072" s="9">
        <v>4586</v>
      </c>
      <c r="N3072" s="9">
        <v>821</v>
      </c>
      <c r="O3072" s="9">
        <v>1825</v>
      </c>
      <c r="P3072" s="9">
        <v>1230</v>
      </c>
    </row>
    <row r="3073" spans="2:16" x14ac:dyDescent="0.4">
      <c r="B3073" s="16">
        <f t="shared" si="264"/>
        <v>46213</v>
      </c>
      <c r="C3073" s="1">
        <f t="shared" si="265"/>
        <v>4580</v>
      </c>
      <c r="D3073" s="1">
        <f t="shared" si="266"/>
        <v>836</v>
      </c>
      <c r="E3073" s="1">
        <f t="shared" si="267"/>
        <v>1820</v>
      </c>
      <c r="F3073" s="1">
        <f t="shared" si="268"/>
        <v>1230</v>
      </c>
      <c r="L3073" s="11">
        <v>46213</v>
      </c>
      <c r="M3073" s="9">
        <v>4580</v>
      </c>
      <c r="N3073" s="9">
        <v>836</v>
      </c>
      <c r="O3073" s="9">
        <v>1820</v>
      </c>
      <c r="P3073" s="9">
        <v>1230</v>
      </c>
    </row>
    <row r="3074" spans="2:16" x14ac:dyDescent="0.4">
      <c r="B3074" s="16">
        <f t="shared" ref="B3074:B3079" si="269">L3074</f>
        <v>46216</v>
      </c>
      <c r="C3074" s="1">
        <f t="shared" ref="C3074:C3079" si="270">IF(M3074&lt;&gt;0,M3074,C3073)</f>
        <v>4612</v>
      </c>
      <c r="D3074" s="1">
        <f t="shared" ref="D3074:D3079" si="271">IF(N3074&lt;&gt;0,N3074,D3073)</f>
        <v>876</v>
      </c>
      <c r="E3074" s="1">
        <f t="shared" ref="E3074:E3079" si="272">IF(O3074&lt;&gt;0,O3074,E3073)</f>
        <v>1815</v>
      </c>
      <c r="F3074" s="1">
        <f t="shared" ref="F3074:F3079" si="273">IF(P3074&lt;&gt;0,P3074,F3073)</f>
        <v>1230</v>
      </c>
      <c r="L3074" s="11">
        <v>46216</v>
      </c>
      <c r="M3074" s="9">
        <v>4612</v>
      </c>
      <c r="N3074" s="9">
        <v>876</v>
      </c>
      <c r="O3074" s="9">
        <v>1815</v>
      </c>
      <c r="P3074" s="9">
        <v>1230</v>
      </c>
    </row>
    <row r="3075" spans="2:16" x14ac:dyDescent="0.4">
      <c r="B3075" s="16">
        <f t="shared" si="269"/>
        <v>46217</v>
      </c>
      <c r="C3075" s="1">
        <f t="shared" si="270"/>
        <v>4693</v>
      </c>
      <c r="D3075" s="1">
        <f t="shared" si="271"/>
        <v>901</v>
      </c>
      <c r="E3075" s="1">
        <f t="shared" si="272"/>
        <v>1815</v>
      </c>
      <c r="F3075" s="1">
        <f t="shared" si="273"/>
        <v>1230</v>
      </c>
      <c r="L3075" s="11">
        <v>46217</v>
      </c>
      <c r="M3075" s="9">
        <v>4693</v>
      </c>
      <c r="N3075" s="9">
        <v>901</v>
      </c>
      <c r="O3075" s="9">
        <v>1815</v>
      </c>
      <c r="P3075" s="9">
        <v>1230</v>
      </c>
    </row>
    <row r="3076" spans="2:16" x14ac:dyDescent="0.4">
      <c r="B3076" s="16">
        <f t="shared" si="269"/>
        <v>46218</v>
      </c>
      <c r="C3076" s="1">
        <f t="shared" si="270"/>
        <v>4749</v>
      </c>
      <c r="D3076" s="1">
        <f t="shared" si="271"/>
        <v>951</v>
      </c>
      <c r="E3076" s="1">
        <f t="shared" si="272"/>
        <v>1805</v>
      </c>
      <c r="F3076" s="1">
        <f t="shared" si="273"/>
        <v>1230</v>
      </c>
      <c r="L3076" s="11">
        <v>46218</v>
      </c>
      <c r="M3076" s="9">
        <v>4749</v>
      </c>
      <c r="N3076" s="9">
        <v>951</v>
      </c>
      <c r="O3076" s="9">
        <v>1805</v>
      </c>
      <c r="P3076" s="9">
        <v>1230</v>
      </c>
    </row>
    <row r="3077" spans="2:16" x14ac:dyDescent="0.4">
      <c r="B3077" s="16">
        <f t="shared" si="269"/>
        <v>46219</v>
      </c>
      <c r="C3077" s="1">
        <f t="shared" si="270"/>
        <v>4746</v>
      </c>
      <c r="D3077" s="1">
        <f t="shared" si="271"/>
        <v>951</v>
      </c>
      <c r="E3077" s="1">
        <f t="shared" si="272"/>
        <v>1805</v>
      </c>
      <c r="F3077" s="1">
        <f t="shared" si="273"/>
        <v>1230</v>
      </c>
      <c r="L3077" s="11">
        <v>46219</v>
      </c>
      <c r="M3077" s="9">
        <v>4746</v>
      </c>
      <c r="N3077" s="9">
        <v>951</v>
      </c>
      <c r="O3077" s="9">
        <v>1805</v>
      </c>
      <c r="P3077" s="9">
        <v>1230</v>
      </c>
    </row>
    <row r="3078" spans="2:16" x14ac:dyDescent="0.4">
      <c r="B3078" s="16">
        <f t="shared" si="269"/>
        <v>46220</v>
      </c>
      <c r="C3078" s="1">
        <f t="shared" si="270"/>
        <v>4721</v>
      </c>
      <c r="D3078" s="1">
        <f t="shared" si="271"/>
        <v>941</v>
      </c>
      <c r="E3078" s="1">
        <f t="shared" si="272"/>
        <v>1800</v>
      </c>
      <c r="F3078" s="1">
        <f t="shared" si="273"/>
        <v>1230</v>
      </c>
      <c r="L3078" s="11">
        <v>46220</v>
      </c>
      <c r="M3078" s="9">
        <v>4721</v>
      </c>
      <c r="N3078" s="9">
        <v>941</v>
      </c>
      <c r="O3078" s="9">
        <v>1800</v>
      </c>
      <c r="P3078" s="9">
        <v>1230</v>
      </c>
    </row>
    <row r="3079" spans="2:16" x14ac:dyDescent="0.4">
      <c r="B3079" s="16">
        <f t="shared" si="269"/>
        <v>46223</v>
      </c>
      <c r="C3079" s="1">
        <f t="shared" si="270"/>
        <v>4768</v>
      </c>
      <c r="D3079" s="1">
        <f t="shared" si="271"/>
        <v>941</v>
      </c>
      <c r="E3079" s="1">
        <f t="shared" si="272"/>
        <v>1790</v>
      </c>
      <c r="F3079" s="1">
        <f t="shared" si="273"/>
        <v>1230</v>
      </c>
      <c r="L3079" s="11">
        <v>46223</v>
      </c>
      <c r="M3079" s="9">
        <v>4768</v>
      </c>
      <c r="N3079" s="9">
        <v>941</v>
      </c>
      <c r="O3079" s="9">
        <v>1790</v>
      </c>
      <c r="P3079" s="9">
        <v>1230</v>
      </c>
    </row>
    <row r="3080" spans="2:16" x14ac:dyDescent="0.4">
      <c r="B3080" s="16">
        <f t="shared" ref="B3080:B3084" si="274">L3080</f>
        <v>46224</v>
      </c>
      <c r="C3080" s="1">
        <f t="shared" ref="C3080:C3084" si="275">IF(M3080&lt;&gt;0,M3080,C3079)</f>
        <v>4776</v>
      </c>
      <c r="D3080" s="1">
        <f t="shared" ref="D3080:D3084" si="276">IF(N3080&lt;&gt;0,N3080,D3079)</f>
        <v>941</v>
      </c>
      <c r="E3080" s="1">
        <f t="shared" ref="E3080:E3084" si="277">IF(O3080&lt;&gt;0,O3080,E3079)</f>
        <v>1790</v>
      </c>
      <c r="F3080" s="1">
        <f t="shared" ref="F3080:F3084" si="278">IF(P3080&lt;&gt;0,P3080,F3079)</f>
        <v>1230</v>
      </c>
      <c r="L3080" s="11">
        <v>46224</v>
      </c>
      <c r="M3080" s="9">
        <v>4776</v>
      </c>
      <c r="N3080" s="9">
        <v>941</v>
      </c>
      <c r="O3080" s="9">
        <v>1790</v>
      </c>
      <c r="P3080" s="9">
        <v>1230</v>
      </c>
    </row>
    <row r="3081" spans="2:16" x14ac:dyDescent="0.4">
      <c r="B3081" s="16">
        <f t="shared" si="274"/>
        <v>46225</v>
      </c>
      <c r="C3081" s="1">
        <f t="shared" si="275"/>
        <v>4777</v>
      </c>
      <c r="D3081" s="1">
        <f t="shared" si="276"/>
        <v>951</v>
      </c>
      <c r="E3081" s="1">
        <f t="shared" si="277"/>
        <v>1790</v>
      </c>
      <c r="F3081" s="1">
        <f t="shared" si="278"/>
        <v>1230</v>
      </c>
      <c r="L3081" s="11">
        <v>46225</v>
      </c>
      <c r="M3081" s="9">
        <v>4777</v>
      </c>
      <c r="N3081" s="9">
        <v>951</v>
      </c>
      <c r="O3081" s="9">
        <v>1790</v>
      </c>
      <c r="P3081" s="9">
        <v>1230</v>
      </c>
    </row>
    <row r="3082" spans="2:16" x14ac:dyDescent="0.4">
      <c r="B3082" s="16">
        <f t="shared" si="274"/>
        <v>46226</v>
      </c>
      <c r="C3082" s="1">
        <f t="shared" si="275"/>
        <v>4810</v>
      </c>
      <c r="D3082" s="1">
        <f t="shared" si="276"/>
        <v>981</v>
      </c>
      <c r="E3082" s="1">
        <f t="shared" si="277"/>
        <v>1790</v>
      </c>
      <c r="F3082" s="1">
        <f t="shared" si="278"/>
        <v>1230</v>
      </c>
      <c r="L3082" s="11">
        <v>46226</v>
      </c>
      <c r="M3082" s="9">
        <v>4810</v>
      </c>
      <c r="N3082" s="9">
        <v>981</v>
      </c>
      <c r="O3082" s="9">
        <v>1790</v>
      </c>
      <c r="P3082" s="9">
        <v>1230</v>
      </c>
    </row>
    <row r="3083" spans="2:16" x14ac:dyDescent="0.4">
      <c r="B3083" s="16">
        <f t="shared" si="274"/>
        <v>46227</v>
      </c>
      <c r="C3083" s="1">
        <f t="shared" si="275"/>
        <v>4834</v>
      </c>
      <c r="D3083" s="1">
        <f t="shared" si="276"/>
        <v>981</v>
      </c>
      <c r="E3083" s="1">
        <f t="shared" si="277"/>
        <v>1790</v>
      </c>
      <c r="F3083" s="1">
        <f t="shared" si="278"/>
        <v>1230</v>
      </c>
      <c r="L3083" s="11">
        <v>46227</v>
      </c>
      <c r="M3083" s="9">
        <v>4834</v>
      </c>
      <c r="N3083" s="9">
        <v>981</v>
      </c>
      <c r="O3083" s="9">
        <v>1790</v>
      </c>
      <c r="P3083" s="9">
        <v>1230</v>
      </c>
    </row>
    <row r="3084" spans="2:16" x14ac:dyDescent="0.4">
      <c r="B3084" s="16">
        <f t="shared" si="274"/>
        <v>46230</v>
      </c>
      <c r="C3084" s="1">
        <f t="shared" si="275"/>
        <v>4761</v>
      </c>
      <c r="D3084" s="1">
        <f t="shared" si="276"/>
        <v>981</v>
      </c>
      <c r="E3084" s="1">
        <f t="shared" si="277"/>
        <v>1790</v>
      </c>
      <c r="F3084" s="1">
        <f t="shared" si="278"/>
        <v>1200</v>
      </c>
      <c r="L3084" s="11">
        <v>46230</v>
      </c>
      <c r="M3084" s="9">
        <v>4761</v>
      </c>
      <c r="N3084" s="9">
        <v>981</v>
      </c>
      <c r="O3084" s="9">
        <v>1790</v>
      </c>
      <c r="P3084" s="9">
        <v>1200</v>
      </c>
    </row>
    <row r="3085" spans="2:16" x14ac:dyDescent="0.4">
      <c r="B3085" s="16">
        <f t="shared" ref="B3085:B3089" si="279">L3085</f>
        <v>46231</v>
      </c>
      <c r="C3085" s="1">
        <f t="shared" ref="C3085:C3089" si="280">IF(M3085&lt;&gt;0,M3085,C3084)</f>
        <v>4730</v>
      </c>
      <c r="D3085" s="1">
        <f t="shared" ref="D3085:D3089" si="281">IF(N3085&lt;&gt;0,N3085,D3084)</f>
        <v>981</v>
      </c>
      <c r="E3085" s="1">
        <f t="shared" ref="E3085:E3089" si="282">IF(O3085&lt;&gt;0,O3085,E3084)</f>
        <v>1790</v>
      </c>
      <c r="F3085" s="1">
        <f t="shared" ref="F3085:F3089" si="283">IF(P3085&lt;&gt;0,P3085,F3084)</f>
        <v>1200</v>
      </c>
      <c r="L3085" s="11">
        <v>46231</v>
      </c>
      <c r="M3085" s="9">
        <v>4730</v>
      </c>
      <c r="N3085" s="9">
        <v>981</v>
      </c>
      <c r="O3085" s="9">
        <v>1790</v>
      </c>
      <c r="P3085" s="9">
        <v>1200</v>
      </c>
    </row>
    <row r="3086" spans="2:16" x14ac:dyDescent="0.4">
      <c r="B3086" s="16">
        <f t="shared" si="279"/>
        <v>46232</v>
      </c>
      <c r="C3086" s="1">
        <f t="shared" si="280"/>
        <v>4750</v>
      </c>
      <c r="D3086" s="1">
        <f t="shared" si="281"/>
        <v>981</v>
      </c>
      <c r="E3086" s="1">
        <f t="shared" si="282"/>
        <v>1785</v>
      </c>
      <c r="F3086" s="1">
        <f t="shared" si="283"/>
        <v>1200</v>
      </c>
      <c r="L3086" s="11">
        <v>46232</v>
      </c>
      <c r="M3086" s="9">
        <v>4750</v>
      </c>
      <c r="N3086" s="9">
        <v>981</v>
      </c>
      <c r="O3086" s="9">
        <v>1785</v>
      </c>
      <c r="P3086" s="9">
        <v>1200</v>
      </c>
    </row>
    <row r="3087" spans="2:16" x14ac:dyDescent="0.4">
      <c r="B3087" s="16">
        <f t="shared" si="279"/>
        <v>46233</v>
      </c>
      <c r="C3087" s="1">
        <f t="shared" si="280"/>
        <v>4771</v>
      </c>
      <c r="D3087" s="1">
        <f t="shared" si="281"/>
        <v>981</v>
      </c>
      <c r="E3087" s="1">
        <f t="shared" si="282"/>
        <v>1785</v>
      </c>
      <c r="F3087" s="1">
        <f t="shared" si="283"/>
        <v>1200</v>
      </c>
      <c r="L3087" s="11">
        <v>46233</v>
      </c>
      <c r="M3087" s="9">
        <v>4771</v>
      </c>
      <c r="N3087" s="9">
        <v>981</v>
      </c>
      <c r="O3087" s="9">
        <v>1785</v>
      </c>
      <c r="P3087" s="9">
        <v>1200</v>
      </c>
    </row>
    <row r="3088" spans="2:16" x14ac:dyDescent="0.4">
      <c r="B3088" s="16">
        <f t="shared" si="279"/>
        <v>46234</v>
      </c>
      <c r="C3088" s="1">
        <f t="shared" si="280"/>
        <v>4768</v>
      </c>
      <c r="D3088" s="1">
        <f t="shared" si="281"/>
        <v>1001</v>
      </c>
      <c r="E3088" s="1">
        <f t="shared" si="282"/>
        <v>1785</v>
      </c>
      <c r="F3088" s="1">
        <f t="shared" si="283"/>
        <v>1150</v>
      </c>
      <c r="L3088" s="11">
        <v>46234</v>
      </c>
      <c r="M3088" s="9">
        <v>4768</v>
      </c>
      <c r="N3088" s="9">
        <v>1001</v>
      </c>
      <c r="O3088" s="9">
        <v>1785</v>
      </c>
      <c r="P3088" s="9">
        <v>1150</v>
      </c>
    </row>
    <row r="3089" spans="2:16" x14ac:dyDescent="0.4">
      <c r="B3089" s="16">
        <f t="shared" si="279"/>
        <v>46237</v>
      </c>
      <c r="C3089" s="1">
        <f t="shared" si="280"/>
        <v>4765</v>
      </c>
      <c r="D3089" s="1">
        <f t="shared" si="281"/>
        <v>1001</v>
      </c>
      <c r="E3089" s="1">
        <f t="shared" si="282"/>
        <v>1780</v>
      </c>
      <c r="F3089" s="1">
        <f t="shared" si="283"/>
        <v>1150</v>
      </c>
      <c r="L3089" s="11">
        <v>46237</v>
      </c>
      <c r="M3089" s="9">
        <v>4765</v>
      </c>
      <c r="N3089" s="9">
        <v>1001</v>
      </c>
      <c r="O3089" s="9">
        <v>1780</v>
      </c>
      <c r="P3089" s="9">
        <v>1150</v>
      </c>
    </row>
    <row r="3090" spans="2:16" x14ac:dyDescent="0.4">
      <c r="B3090" s="16">
        <f t="shared" ref="B3090:B3093" si="284">L3090</f>
        <v>46238</v>
      </c>
      <c r="C3090" s="1">
        <f t="shared" ref="C3090:C3093" si="285">IF(M3090&lt;&gt;0,M3090,C3089)</f>
        <v>4770</v>
      </c>
      <c r="D3090" s="1">
        <f t="shared" ref="D3090:D3093" si="286">IF(N3090&lt;&gt;0,N3090,D3089)</f>
        <v>1001</v>
      </c>
      <c r="E3090" s="1">
        <f t="shared" ref="E3090:E3093" si="287">IF(O3090&lt;&gt;0,O3090,E3089)</f>
        <v>1775</v>
      </c>
      <c r="F3090" s="1">
        <f t="shared" ref="F3090:F3093" si="288">IF(P3090&lt;&gt;0,P3090,F3089)</f>
        <v>1150</v>
      </c>
      <c r="L3090" s="11">
        <v>46238</v>
      </c>
      <c r="M3090" s="9">
        <v>4770</v>
      </c>
      <c r="N3090" s="9">
        <v>1001</v>
      </c>
      <c r="O3090" s="9">
        <v>1775</v>
      </c>
      <c r="P3090" s="9">
        <v>1150</v>
      </c>
    </row>
    <row r="3091" spans="2:16" x14ac:dyDescent="0.4">
      <c r="B3091" s="16">
        <f t="shared" si="284"/>
        <v>46239</v>
      </c>
      <c r="C3091" s="1">
        <f t="shared" si="285"/>
        <v>4743</v>
      </c>
      <c r="D3091" s="1">
        <f t="shared" si="286"/>
        <v>1001</v>
      </c>
      <c r="E3091" s="1">
        <f t="shared" si="287"/>
        <v>1770</v>
      </c>
      <c r="F3091" s="1">
        <f t="shared" si="288"/>
        <v>1150</v>
      </c>
      <c r="L3091" s="11">
        <v>46239</v>
      </c>
      <c r="M3091" s="9">
        <v>4743</v>
      </c>
      <c r="N3091" s="9">
        <v>1001</v>
      </c>
      <c r="O3091" s="9">
        <v>1770</v>
      </c>
      <c r="P3091" s="9">
        <v>1150</v>
      </c>
    </row>
    <row r="3092" spans="2:16" x14ac:dyDescent="0.4">
      <c r="B3092" s="16">
        <f t="shared" si="284"/>
        <v>46240</v>
      </c>
      <c r="C3092" s="1">
        <f t="shared" si="285"/>
        <v>4703</v>
      </c>
      <c r="D3092" s="1">
        <f t="shared" si="286"/>
        <v>991</v>
      </c>
      <c r="E3092" s="1">
        <f t="shared" si="287"/>
        <v>1770</v>
      </c>
      <c r="F3092" s="1">
        <f t="shared" si="288"/>
        <v>1150</v>
      </c>
      <c r="L3092" s="11">
        <v>46240</v>
      </c>
      <c r="M3092" s="9">
        <v>4703</v>
      </c>
      <c r="N3092" s="9">
        <v>991</v>
      </c>
      <c r="O3092" s="9">
        <v>1770</v>
      </c>
      <c r="P3092" s="9">
        <v>1150</v>
      </c>
    </row>
    <row r="3093" spans="2:16" x14ac:dyDescent="0.4">
      <c r="B3093" s="16">
        <f t="shared" si="284"/>
        <v>46241</v>
      </c>
      <c r="C3093" s="1">
        <f t="shared" si="285"/>
        <v>4731</v>
      </c>
      <c r="D3093" s="1">
        <f t="shared" si="286"/>
        <v>991</v>
      </c>
      <c r="E3093" s="1">
        <f t="shared" si="287"/>
        <v>1770</v>
      </c>
      <c r="F3093" s="1">
        <f t="shared" si="288"/>
        <v>1150</v>
      </c>
      <c r="L3093" s="11">
        <v>46241</v>
      </c>
      <c r="M3093" s="9">
        <v>4731</v>
      </c>
      <c r="N3093" s="9">
        <v>991</v>
      </c>
      <c r="O3093" s="9">
        <v>1770</v>
      </c>
      <c r="P3093" s="9">
        <v>1150</v>
      </c>
    </row>
    <row r="3094" spans="2:16" x14ac:dyDescent="0.4">
      <c r="B3094" s="16">
        <f t="shared" ref="B3094:B3097" si="289">L3094</f>
        <v>46244</v>
      </c>
      <c r="C3094" s="1">
        <f t="shared" ref="C3094:C3097" si="290">IF(M3094&lt;&gt;0,M3094,C3093)</f>
        <v>4751</v>
      </c>
      <c r="D3094" s="1">
        <f t="shared" ref="D3094:D3097" si="291">IF(N3094&lt;&gt;0,N3094,D3093)</f>
        <v>991</v>
      </c>
      <c r="E3094" s="1">
        <f t="shared" ref="E3094:E3097" si="292">IF(O3094&lt;&gt;0,O3094,E3093)</f>
        <v>1770</v>
      </c>
      <c r="F3094" s="1">
        <f t="shared" ref="F3094:F3097" si="293">IF(P3094&lt;&gt;0,P3094,F3093)</f>
        <v>1150</v>
      </c>
      <c r="L3094" s="11">
        <v>46244</v>
      </c>
      <c r="M3094" s="9">
        <v>4751</v>
      </c>
      <c r="N3094" s="9">
        <v>0</v>
      </c>
      <c r="O3094" s="9">
        <v>1770</v>
      </c>
      <c r="P3094" s="9">
        <v>1150</v>
      </c>
    </row>
    <row r="3095" spans="2:16" x14ac:dyDescent="0.4">
      <c r="B3095" s="16">
        <f t="shared" si="289"/>
        <v>46245</v>
      </c>
      <c r="C3095" s="1">
        <f t="shared" si="290"/>
        <v>4757</v>
      </c>
      <c r="D3095" s="1">
        <f t="shared" si="291"/>
        <v>991</v>
      </c>
      <c r="E3095" s="1">
        <f t="shared" si="292"/>
        <v>1770</v>
      </c>
      <c r="F3095" s="1">
        <f t="shared" si="293"/>
        <v>1150</v>
      </c>
      <c r="L3095" s="11">
        <v>46245</v>
      </c>
      <c r="M3095" s="9">
        <v>4757</v>
      </c>
      <c r="N3095" s="9">
        <v>991</v>
      </c>
      <c r="O3095" s="9">
        <v>1770</v>
      </c>
      <c r="P3095" s="9">
        <v>1150</v>
      </c>
    </row>
    <row r="3096" spans="2:16" x14ac:dyDescent="0.4">
      <c r="B3096" s="16">
        <f t="shared" si="289"/>
        <v>46246</v>
      </c>
      <c r="C3096" s="1">
        <f t="shared" si="290"/>
        <v>4770</v>
      </c>
      <c r="D3096" s="1">
        <f t="shared" si="291"/>
        <v>1001</v>
      </c>
      <c r="E3096" s="1">
        <f t="shared" si="292"/>
        <v>1765</v>
      </c>
      <c r="F3096" s="1">
        <f t="shared" si="293"/>
        <v>1150</v>
      </c>
      <c r="L3096" s="11">
        <v>46246</v>
      </c>
      <c r="M3096" s="9">
        <v>4770</v>
      </c>
      <c r="N3096" s="9">
        <v>1001</v>
      </c>
      <c r="O3096" s="9">
        <v>1765</v>
      </c>
      <c r="P3096" s="9">
        <v>1150</v>
      </c>
    </row>
    <row r="3097" spans="2:16" x14ac:dyDescent="0.4">
      <c r="B3097" s="16">
        <f t="shared" si="289"/>
        <v>46247</v>
      </c>
      <c r="C3097" s="1">
        <f t="shared" si="290"/>
        <v>4771</v>
      </c>
      <c r="D3097" s="1">
        <f t="shared" si="291"/>
        <v>966</v>
      </c>
      <c r="E3097" s="1">
        <f t="shared" si="292"/>
        <v>1760</v>
      </c>
      <c r="F3097" s="1">
        <f t="shared" si="293"/>
        <v>1150</v>
      </c>
      <c r="L3097" s="11">
        <v>46247</v>
      </c>
      <c r="M3097" s="9">
        <v>4771</v>
      </c>
      <c r="N3097" s="9">
        <v>966</v>
      </c>
      <c r="O3097" s="9">
        <v>1760</v>
      </c>
      <c r="P3097" s="9">
        <v>1150</v>
      </c>
    </row>
    <row r="3098" spans="2:16" x14ac:dyDescent="0.4">
      <c r="B3098" s="16">
        <f t="shared" ref="B3098:B3103" si="294">L3098</f>
        <v>46248</v>
      </c>
      <c r="C3098" s="1">
        <f t="shared" ref="C3098:C3103" si="295">IF(M3098&lt;&gt;0,M3098,C3097)</f>
        <v>4771</v>
      </c>
      <c r="D3098" s="1">
        <f t="shared" ref="D3098:D3103" si="296">IF(N3098&lt;&gt;0,N3098,D3097)</f>
        <v>966</v>
      </c>
      <c r="E3098" s="1">
        <f t="shared" ref="E3098:E3103" si="297">IF(O3098&lt;&gt;0,O3098,E3097)</f>
        <v>1755</v>
      </c>
      <c r="F3098" s="1">
        <f t="shared" ref="F3098:F3103" si="298">IF(P3098&lt;&gt;0,P3098,F3097)</f>
        <v>1150</v>
      </c>
      <c r="L3098" s="11">
        <v>46248</v>
      </c>
      <c r="M3098" s="9">
        <v>4771</v>
      </c>
      <c r="N3098" s="9">
        <v>966</v>
      </c>
      <c r="O3098" s="9">
        <v>1755</v>
      </c>
      <c r="P3098" s="9">
        <v>1150</v>
      </c>
    </row>
    <row r="3099" spans="2:16" x14ac:dyDescent="0.4">
      <c r="B3099" s="16">
        <f t="shared" si="294"/>
        <v>46251</v>
      </c>
      <c r="C3099" s="1">
        <f t="shared" si="295"/>
        <v>4834</v>
      </c>
      <c r="D3099" s="1">
        <f t="shared" si="296"/>
        <v>981</v>
      </c>
      <c r="E3099" s="1">
        <f t="shared" si="297"/>
        <v>1750</v>
      </c>
      <c r="F3099" s="1">
        <f t="shared" si="298"/>
        <v>1150</v>
      </c>
      <c r="L3099" s="11">
        <v>46251</v>
      </c>
      <c r="M3099" s="9">
        <v>4834</v>
      </c>
      <c r="N3099" s="9">
        <v>981</v>
      </c>
      <c r="O3099" s="9">
        <v>1750</v>
      </c>
      <c r="P3099" s="9">
        <v>1150</v>
      </c>
    </row>
    <row r="3100" spans="2:16" x14ac:dyDescent="0.4">
      <c r="B3100" s="16">
        <f t="shared" si="294"/>
        <v>46252</v>
      </c>
      <c r="C3100" s="1">
        <f t="shared" si="295"/>
        <v>4879</v>
      </c>
      <c r="D3100" s="1">
        <f t="shared" si="296"/>
        <v>981</v>
      </c>
      <c r="E3100" s="1">
        <f t="shared" si="297"/>
        <v>1740</v>
      </c>
      <c r="F3100" s="1">
        <f t="shared" si="298"/>
        <v>1150</v>
      </c>
      <c r="L3100" s="11">
        <v>46252</v>
      </c>
      <c r="M3100" s="9">
        <v>4879</v>
      </c>
      <c r="N3100" s="9">
        <v>981</v>
      </c>
      <c r="O3100" s="9">
        <v>1740</v>
      </c>
      <c r="P3100" s="9">
        <v>1150</v>
      </c>
    </row>
    <row r="3101" spans="2:16" x14ac:dyDescent="0.4">
      <c r="B3101" s="16">
        <f t="shared" si="294"/>
        <v>46253</v>
      </c>
      <c r="C3101" s="1">
        <f t="shared" si="295"/>
        <v>4907</v>
      </c>
      <c r="D3101" s="1">
        <f t="shared" si="296"/>
        <v>1021</v>
      </c>
      <c r="E3101" s="1">
        <f t="shared" si="297"/>
        <v>1740</v>
      </c>
      <c r="F3101" s="1">
        <f t="shared" si="298"/>
        <v>1150</v>
      </c>
      <c r="L3101" s="11">
        <v>46253</v>
      </c>
      <c r="M3101" s="9">
        <v>4907</v>
      </c>
      <c r="N3101" s="9">
        <v>1021</v>
      </c>
      <c r="O3101" s="9">
        <v>1740</v>
      </c>
      <c r="P3101" s="9">
        <v>1150</v>
      </c>
    </row>
    <row r="3102" spans="2:16" x14ac:dyDescent="0.4">
      <c r="B3102" s="16">
        <f t="shared" si="294"/>
        <v>46254</v>
      </c>
      <c r="C3102" s="1">
        <f t="shared" si="295"/>
        <v>4906</v>
      </c>
      <c r="D3102" s="1">
        <f t="shared" si="296"/>
        <v>1061</v>
      </c>
      <c r="E3102" s="1">
        <f t="shared" si="297"/>
        <v>1745</v>
      </c>
      <c r="F3102" s="1">
        <f t="shared" si="298"/>
        <v>1150</v>
      </c>
      <c r="L3102" s="11">
        <v>46254</v>
      </c>
      <c r="M3102" s="9">
        <v>4906</v>
      </c>
      <c r="N3102" s="9">
        <v>1061</v>
      </c>
      <c r="O3102" s="9">
        <v>1745</v>
      </c>
      <c r="P3102" s="9">
        <v>1150</v>
      </c>
    </row>
    <row r="3103" spans="2:16" x14ac:dyDescent="0.4">
      <c r="B3103" s="16">
        <f t="shared" si="294"/>
        <v>46255</v>
      </c>
      <c r="C3103" s="1">
        <f t="shared" si="295"/>
        <v>4935</v>
      </c>
      <c r="D3103" s="1">
        <f t="shared" si="296"/>
        <v>1071</v>
      </c>
      <c r="E3103" s="1">
        <f t="shared" si="297"/>
        <v>1750</v>
      </c>
      <c r="F3103" s="1">
        <f t="shared" si="298"/>
        <v>1150</v>
      </c>
      <c r="L3103" s="11">
        <v>46255</v>
      </c>
      <c r="M3103" s="9">
        <v>4935</v>
      </c>
      <c r="N3103" s="9">
        <v>1071</v>
      </c>
      <c r="O3103" s="9">
        <v>1750</v>
      </c>
      <c r="P3103" s="9">
        <v>1150</v>
      </c>
    </row>
    <row r="3104" spans="2:16" x14ac:dyDescent="0.4">
      <c r="B3104" s="16">
        <f t="shared" ref="B3104:B3113" si="299">L3104</f>
        <v>46258</v>
      </c>
      <c r="C3104" s="1">
        <f t="shared" ref="C3104:C3113" si="300">IF(M3104&lt;&gt;0,M3104,C3103)</f>
        <v>4938</v>
      </c>
      <c r="D3104" s="1">
        <f t="shared" ref="D3104:D3113" si="301">IF(N3104&lt;&gt;0,N3104,D3103)</f>
        <v>1071</v>
      </c>
      <c r="E3104" s="1">
        <f t="shared" ref="E3104:E3113" si="302">IF(O3104&lt;&gt;0,O3104,E3103)</f>
        <v>1750</v>
      </c>
      <c r="F3104" s="1">
        <f t="shared" ref="F3104:F3113" si="303">IF(P3104&lt;&gt;0,P3104,F3103)</f>
        <v>1150</v>
      </c>
      <c r="L3104" s="11">
        <v>46258</v>
      </c>
      <c r="M3104" s="9">
        <v>4938</v>
      </c>
      <c r="N3104" s="9">
        <v>1071</v>
      </c>
      <c r="O3104" s="9">
        <v>1750</v>
      </c>
      <c r="P3104" s="9">
        <v>1150</v>
      </c>
    </row>
    <row r="3105" spans="2:16" x14ac:dyDescent="0.4">
      <c r="B3105" s="16">
        <f t="shared" si="299"/>
        <v>46259</v>
      </c>
      <c r="C3105" s="1">
        <f t="shared" si="300"/>
        <v>4943</v>
      </c>
      <c r="D3105" s="1">
        <f t="shared" si="301"/>
        <v>1071</v>
      </c>
      <c r="E3105" s="1">
        <f t="shared" si="302"/>
        <v>1750</v>
      </c>
      <c r="F3105" s="1">
        <f t="shared" si="303"/>
        <v>1150</v>
      </c>
      <c r="L3105" s="11">
        <v>46259</v>
      </c>
      <c r="M3105" s="9">
        <v>4943</v>
      </c>
      <c r="N3105" s="9">
        <v>1071</v>
      </c>
      <c r="O3105" s="9">
        <v>1750</v>
      </c>
      <c r="P3105" s="9">
        <v>1150</v>
      </c>
    </row>
    <row r="3106" spans="2:16" x14ac:dyDescent="0.4">
      <c r="B3106" s="16">
        <f t="shared" si="299"/>
        <v>46260</v>
      </c>
      <c r="C3106" s="1">
        <f t="shared" si="300"/>
        <v>4872</v>
      </c>
      <c r="D3106" s="1">
        <f t="shared" si="301"/>
        <v>1051</v>
      </c>
      <c r="E3106" s="1">
        <f t="shared" si="302"/>
        <v>1750</v>
      </c>
      <c r="F3106" s="1">
        <f t="shared" si="303"/>
        <v>1150</v>
      </c>
      <c r="L3106" s="11">
        <v>46260</v>
      </c>
      <c r="M3106" s="9">
        <v>4872</v>
      </c>
      <c r="N3106" s="9">
        <v>1051</v>
      </c>
      <c r="O3106" s="9">
        <v>1750</v>
      </c>
      <c r="P3106" s="9">
        <v>1150</v>
      </c>
    </row>
    <row r="3107" spans="2:16" x14ac:dyDescent="0.4">
      <c r="B3107" s="16">
        <f t="shared" si="299"/>
        <v>46261</v>
      </c>
      <c r="C3107" s="1">
        <f t="shared" si="300"/>
        <v>4855</v>
      </c>
      <c r="D3107" s="1">
        <f t="shared" si="301"/>
        <v>1051</v>
      </c>
      <c r="E3107" s="1">
        <f t="shared" si="302"/>
        <v>1745</v>
      </c>
      <c r="F3107" s="1">
        <f t="shared" si="303"/>
        <v>1150</v>
      </c>
      <c r="L3107" s="11">
        <v>46261</v>
      </c>
      <c r="M3107" s="9">
        <v>4855</v>
      </c>
      <c r="N3107" s="9">
        <v>1051</v>
      </c>
      <c r="O3107" s="9">
        <v>1745</v>
      </c>
      <c r="P3107" s="9">
        <v>1150</v>
      </c>
    </row>
    <row r="3108" spans="2:16" x14ac:dyDescent="0.4">
      <c r="B3108" s="16">
        <f t="shared" si="299"/>
        <v>46262</v>
      </c>
      <c r="C3108" s="1">
        <f t="shared" si="300"/>
        <v>4862</v>
      </c>
      <c r="D3108" s="1">
        <f t="shared" si="301"/>
        <v>1051</v>
      </c>
      <c r="E3108" s="1">
        <f t="shared" si="302"/>
        <v>1745</v>
      </c>
      <c r="F3108" s="1">
        <f t="shared" si="303"/>
        <v>1150</v>
      </c>
      <c r="L3108" s="11">
        <v>46262</v>
      </c>
      <c r="M3108" s="9">
        <v>4862</v>
      </c>
      <c r="N3108" s="9">
        <v>1051</v>
      </c>
      <c r="O3108" s="9">
        <v>1745</v>
      </c>
      <c r="P3108" s="9">
        <v>1150</v>
      </c>
    </row>
    <row r="3109" spans="2:16" x14ac:dyDescent="0.4">
      <c r="B3109" s="16">
        <f t="shared" si="299"/>
        <v>46265</v>
      </c>
      <c r="C3109" s="1">
        <f t="shared" si="300"/>
        <v>4961</v>
      </c>
      <c r="D3109" s="1">
        <f t="shared" si="301"/>
        <v>1101</v>
      </c>
      <c r="E3109" s="1">
        <f t="shared" si="302"/>
        <v>1740</v>
      </c>
      <c r="F3109" s="1">
        <f t="shared" si="303"/>
        <v>1150</v>
      </c>
      <c r="L3109" s="11">
        <v>46265</v>
      </c>
      <c r="M3109" s="9">
        <v>4961</v>
      </c>
      <c r="N3109" s="9">
        <v>1101</v>
      </c>
      <c r="O3109" s="9">
        <v>1740</v>
      </c>
      <c r="P3109" s="9">
        <v>1150</v>
      </c>
    </row>
    <row r="3110" spans="2:16" x14ac:dyDescent="0.4">
      <c r="B3110" s="16">
        <f t="shared" si="299"/>
        <v>46266</v>
      </c>
      <c r="C3110" s="1">
        <f t="shared" si="300"/>
        <v>5062</v>
      </c>
      <c r="D3110" s="1">
        <f t="shared" si="301"/>
        <v>1136</v>
      </c>
      <c r="E3110" s="1">
        <f t="shared" si="302"/>
        <v>1740</v>
      </c>
      <c r="F3110" s="1">
        <f t="shared" si="303"/>
        <v>1150</v>
      </c>
      <c r="L3110" s="11">
        <v>46266</v>
      </c>
      <c r="M3110" s="9">
        <v>5062</v>
      </c>
      <c r="N3110" s="9">
        <v>1136</v>
      </c>
      <c r="O3110" s="9">
        <v>1740</v>
      </c>
      <c r="P3110" s="9">
        <v>1150</v>
      </c>
    </row>
    <row r="3111" spans="2:16" x14ac:dyDescent="0.4">
      <c r="B3111" s="16">
        <f t="shared" si="299"/>
        <v>46267</v>
      </c>
      <c r="C3111" s="1">
        <f t="shared" si="300"/>
        <v>5153</v>
      </c>
      <c r="D3111" s="1">
        <f t="shared" si="301"/>
        <v>1136</v>
      </c>
      <c r="E3111" s="1">
        <f t="shared" si="302"/>
        <v>1735</v>
      </c>
      <c r="F3111" s="1">
        <f t="shared" si="303"/>
        <v>1150</v>
      </c>
      <c r="L3111" s="11">
        <v>46267</v>
      </c>
      <c r="M3111" s="9">
        <v>5153</v>
      </c>
      <c r="N3111" s="9">
        <v>1136</v>
      </c>
      <c r="O3111" s="9">
        <v>1735</v>
      </c>
      <c r="P3111" s="9">
        <v>1150</v>
      </c>
    </row>
    <row r="3112" spans="2:16" x14ac:dyDescent="0.4">
      <c r="B3112" s="16">
        <f t="shared" si="299"/>
        <v>46268</v>
      </c>
      <c r="C3112" s="1">
        <f t="shared" si="300"/>
        <v>5169</v>
      </c>
      <c r="D3112" s="1">
        <f t="shared" si="301"/>
        <v>1136</v>
      </c>
      <c r="E3112" s="1">
        <f t="shared" si="302"/>
        <v>1740</v>
      </c>
      <c r="F3112" s="1">
        <f t="shared" si="303"/>
        <v>1150</v>
      </c>
      <c r="L3112" s="11">
        <v>46268</v>
      </c>
      <c r="M3112" s="9">
        <v>5169</v>
      </c>
      <c r="N3112" s="9">
        <v>1136</v>
      </c>
      <c r="O3112" s="9">
        <v>1740</v>
      </c>
      <c r="P3112" s="9">
        <v>1150</v>
      </c>
    </row>
    <row r="3113" spans="2:16" x14ac:dyDescent="0.4">
      <c r="B3113" s="16">
        <f t="shared" si="299"/>
        <v>46269</v>
      </c>
      <c r="C3113" s="1">
        <f t="shared" si="300"/>
        <v>5178</v>
      </c>
      <c r="D3113" s="1">
        <f t="shared" si="301"/>
        <v>1151</v>
      </c>
      <c r="E3113" s="1">
        <f t="shared" si="302"/>
        <v>1740</v>
      </c>
      <c r="F3113" s="1">
        <f t="shared" si="303"/>
        <v>1150</v>
      </c>
      <c r="L3113" s="11">
        <v>46269</v>
      </c>
      <c r="M3113" s="9">
        <v>5178</v>
      </c>
      <c r="N3113" s="9">
        <v>1151</v>
      </c>
      <c r="O3113" s="9">
        <v>1740</v>
      </c>
      <c r="P3113" s="9">
        <v>1150</v>
      </c>
    </row>
    <row r="3114" spans="2:16" x14ac:dyDescent="0.4">
      <c r="B3114" s="16">
        <f t="shared" ref="B3114:B3118" si="304">L3114</f>
        <v>46272</v>
      </c>
      <c r="C3114" s="1">
        <f t="shared" ref="C3114:C3118" si="305">IF(M3114&lt;&gt;0,M3114,C3113)</f>
        <v>5184</v>
      </c>
      <c r="D3114" s="1">
        <f t="shared" ref="D3114:D3118" si="306">IF(N3114&lt;&gt;0,N3114,D3113)</f>
        <v>1181</v>
      </c>
      <c r="E3114" s="1">
        <f t="shared" ref="E3114:E3118" si="307">IF(O3114&lt;&gt;0,O3114,E3113)</f>
        <v>1745</v>
      </c>
      <c r="F3114" s="1">
        <f t="shared" ref="F3114:F3118" si="308">IF(P3114&lt;&gt;0,P3114,F3113)</f>
        <v>1150</v>
      </c>
      <c r="L3114" s="11">
        <v>46272</v>
      </c>
      <c r="M3114" s="9">
        <v>5184</v>
      </c>
      <c r="N3114" s="9">
        <v>1181</v>
      </c>
      <c r="O3114" s="9">
        <v>1745</v>
      </c>
      <c r="P3114" s="9">
        <v>1150</v>
      </c>
    </row>
    <row r="3115" spans="2:16" x14ac:dyDescent="0.4">
      <c r="B3115" s="16">
        <f t="shared" si="304"/>
        <v>46273</v>
      </c>
      <c r="C3115" s="1">
        <f t="shared" si="305"/>
        <v>5229</v>
      </c>
      <c r="D3115" s="1">
        <f t="shared" si="306"/>
        <v>1181</v>
      </c>
      <c r="E3115" s="1">
        <f t="shared" si="307"/>
        <v>1800</v>
      </c>
      <c r="F3115" s="1">
        <f t="shared" si="308"/>
        <v>1150</v>
      </c>
      <c r="L3115" s="11">
        <v>46273</v>
      </c>
      <c r="M3115" s="9">
        <v>5229</v>
      </c>
      <c r="N3115" s="9">
        <v>1181</v>
      </c>
      <c r="O3115" s="9">
        <v>1800</v>
      </c>
      <c r="P3115" s="9">
        <v>1150</v>
      </c>
    </row>
    <row r="3116" spans="2:16" x14ac:dyDescent="0.4">
      <c r="B3116" s="16">
        <f t="shared" si="304"/>
        <v>46274</v>
      </c>
      <c r="C3116" s="1">
        <f t="shared" si="305"/>
        <v>5315</v>
      </c>
      <c r="D3116" s="1">
        <f t="shared" si="306"/>
        <v>1181</v>
      </c>
      <c r="E3116" s="1">
        <f t="shared" si="307"/>
        <v>1805</v>
      </c>
      <c r="F3116" s="1">
        <f t="shared" si="308"/>
        <v>1150</v>
      </c>
      <c r="L3116" s="11">
        <v>46274</v>
      </c>
      <c r="M3116" s="9">
        <v>5315</v>
      </c>
      <c r="N3116" s="9">
        <v>1181</v>
      </c>
      <c r="O3116" s="9">
        <v>1805</v>
      </c>
      <c r="P3116" s="9">
        <v>1150</v>
      </c>
    </row>
    <row r="3117" spans="2:16" x14ac:dyDescent="0.4">
      <c r="B3117" s="16">
        <f t="shared" si="304"/>
        <v>46275</v>
      </c>
      <c r="C3117" s="1">
        <f t="shared" si="305"/>
        <v>5397</v>
      </c>
      <c r="D3117" s="1">
        <f t="shared" si="306"/>
        <v>1181</v>
      </c>
      <c r="E3117" s="1">
        <f t="shared" si="307"/>
        <v>1805</v>
      </c>
      <c r="F3117" s="1">
        <f t="shared" si="308"/>
        <v>1150</v>
      </c>
      <c r="L3117" s="11">
        <v>46275</v>
      </c>
      <c r="M3117" s="9">
        <v>5397</v>
      </c>
      <c r="N3117" s="9">
        <v>1181</v>
      </c>
      <c r="O3117" s="9">
        <v>1805</v>
      </c>
      <c r="P3117" s="9">
        <v>1150</v>
      </c>
    </row>
    <row r="3118" spans="2:16" x14ac:dyDescent="0.4">
      <c r="B3118" s="16">
        <f t="shared" si="304"/>
        <v>46276</v>
      </c>
      <c r="C3118" s="1">
        <f t="shared" si="305"/>
        <v>5424</v>
      </c>
      <c r="D3118" s="1">
        <f t="shared" si="306"/>
        <v>1191</v>
      </c>
      <c r="E3118" s="1">
        <f t="shared" si="307"/>
        <v>1805</v>
      </c>
      <c r="F3118" s="1">
        <f t="shared" si="308"/>
        <v>1150</v>
      </c>
      <c r="L3118" s="11">
        <v>46276</v>
      </c>
      <c r="M3118" s="9">
        <v>5424</v>
      </c>
      <c r="N3118" s="9">
        <v>1191</v>
      </c>
      <c r="O3118" s="9">
        <v>1805</v>
      </c>
      <c r="P3118" s="9">
        <v>1150</v>
      </c>
    </row>
    <row r="3119" spans="2:16" x14ac:dyDescent="0.4">
      <c r="B3119" s="16">
        <f t="shared" ref="B3119:B3122" si="309">L3119</f>
        <v>46279</v>
      </c>
      <c r="C3119" s="1">
        <f t="shared" ref="C3119:C3122" si="310">IF(M3119&lt;&gt;0,M3119,C3118)</f>
        <v>5462</v>
      </c>
      <c r="D3119" s="1">
        <f t="shared" ref="D3119:D3122" si="311">IF(N3119&lt;&gt;0,N3119,D3118)</f>
        <v>1191</v>
      </c>
      <c r="E3119" s="1">
        <f t="shared" ref="E3119:E3122" si="312">IF(O3119&lt;&gt;0,O3119,E3118)</f>
        <v>1800</v>
      </c>
      <c r="F3119" s="1">
        <f t="shared" ref="F3119:F3122" si="313">IF(P3119&lt;&gt;0,P3119,F3118)</f>
        <v>1150</v>
      </c>
      <c r="L3119" s="11">
        <v>46279</v>
      </c>
      <c r="M3119" s="9">
        <v>5462</v>
      </c>
      <c r="N3119" s="9">
        <v>1191</v>
      </c>
      <c r="O3119" s="9">
        <v>1800</v>
      </c>
      <c r="P3119" s="9">
        <v>1150</v>
      </c>
    </row>
    <row r="3120" spans="2:16" x14ac:dyDescent="0.4">
      <c r="B3120" s="16">
        <f t="shared" si="309"/>
        <v>46280</v>
      </c>
      <c r="C3120" s="1">
        <f t="shared" si="310"/>
        <v>5484</v>
      </c>
      <c r="D3120" s="1">
        <f t="shared" si="311"/>
        <v>1201</v>
      </c>
      <c r="E3120" s="1">
        <f t="shared" si="312"/>
        <v>1795</v>
      </c>
      <c r="F3120" s="1">
        <f t="shared" si="313"/>
        <v>1150</v>
      </c>
      <c r="L3120" s="11">
        <v>46280</v>
      </c>
      <c r="M3120" s="9">
        <v>5484</v>
      </c>
      <c r="N3120" s="9">
        <v>1201</v>
      </c>
      <c r="O3120" s="9">
        <v>1795</v>
      </c>
      <c r="P3120" s="9">
        <v>1150</v>
      </c>
    </row>
    <row r="3121" spans="2:16" x14ac:dyDescent="0.4">
      <c r="B3121" s="16">
        <f t="shared" si="309"/>
        <v>46281</v>
      </c>
      <c r="C3121" s="1">
        <f t="shared" si="310"/>
        <v>5543</v>
      </c>
      <c r="D3121" s="1">
        <f t="shared" si="311"/>
        <v>1201</v>
      </c>
      <c r="E3121" s="1">
        <f t="shared" si="312"/>
        <v>1795</v>
      </c>
      <c r="F3121" s="1">
        <f t="shared" si="313"/>
        <v>1150</v>
      </c>
      <c r="L3121" s="11">
        <v>46281</v>
      </c>
      <c r="M3121" s="9">
        <v>5543</v>
      </c>
      <c r="N3121" s="9">
        <v>1201</v>
      </c>
      <c r="O3121" s="9">
        <v>1795</v>
      </c>
      <c r="P3121" s="9">
        <v>1150</v>
      </c>
    </row>
    <row r="3122" spans="2:16" x14ac:dyDescent="0.4">
      <c r="B3122" s="16">
        <f t="shared" si="309"/>
        <v>46282</v>
      </c>
      <c r="C3122" s="1">
        <f t="shared" si="310"/>
        <v>5514</v>
      </c>
      <c r="D3122" s="1">
        <f t="shared" si="311"/>
        <v>1201</v>
      </c>
      <c r="E3122" s="1">
        <f t="shared" si="312"/>
        <v>1795</v>
      </c>
      <c r="F3122" s="1">
        <f t="shared" si="313"/>
        <v>1150</v>
      </c>
      <c r="L3122" s="11">
        <v>46282</v>
      </c>
      <c r="M3122" s="9">
        <v>5514</v>
      </c>
      <c r="N3122" s="9">
        <v>1201</v>
      </c>
      <c r="O3122" s="9">
        <v>1795</v>
      </c>
      <c r="P3122" s="9">
        <v>1150</v>
      </c>
    </row>
    <row r="3123" spans="2:16" x14ac:dyDescent="0.4">
      <c r="B3123" s="16">
        <f t="shared" ref="B3123:B3129" si="314">L3123</f>
        <v>46283</v>
      </c>
      <c r="C3123" s="1">
        <f t="shared" ref="C3123:C3129" si="315">IF(M3123&lt;&gt;0,M3123,C3122)</f>
        <v>5450</v>
      </c>
      <c r="D3123" s="1">
        <f t="shared" ref="D3123:D3129" si="316">IF(N3123&lt;&gt;0,N3123,D3122)</f>
        <v>1201</v>
      </c>
      <c r="E3123" s="1">
        <f t="shared" ref="E3123:E3129" si="317">IF(O3123&lt;&gt;0,O3123,E3122)</f>
        <v>1795</v>
      </c>
      <c r="F3123" s="1">
        <f t="shared" ref="F3123:F3129" si="318">IF(P3123&lt;&gt;0,P3123,F3122)</f>
        <v>1150</v>
      </c>
      <c r="L3123" s="11">
        <v>46283</v>
      </c>
      <c r="M3123" s="9">
        <v>5450</v>
      </c>
      <c r="N3123" s="9">
        <v>1201</v>
      </c>
      <c r="O3123" s="9">
        <v>1795</v>
      </c>
      <c r="P3123" s="9">
        <v>1150</v>
      </c>
    </row>
    <row r="3124" spans="2:16" x14ac:dyDescent="0.4">
      <c r="B3124" s="16">
        <f t="shared" si="314"/>
        <v>46285</v>
      </c>
      <c r="C3124" s="1">
        <f t="shared" si="315"/>
        <v>5446</v>
      </c>
      <c r="D3124" s="1">
        <f t="shared" si="316"/>
        <v>1201</v>
      </c>
      <c r="E3124" s="1">
        <f t="shared" si="317"/>
        <v>1780</v>
      </c>
      <c r="F3124" s="1">
        <f t="shared" si="318"/>
        <v>1150</v>
      </c>
      <c r="L3124" s="11">
        <v>46285</v>
      </c>
      <c r="M3124" s="9">
        <v>5446</v>
      </c>
      <c r="N3124" s="9">
        <v>0</v>
      </c>
      <c r="O3124" s="9">
        <v>1780</v>
      </c>
      <c r="P3124" s="9">
        <v>1150</v>
      </c>
    </row>
    <row r="3125" spans="2:16" x14ac:dyDescent="0.4">
      <c r="B3125" s="16">
        <f t="shared" si="314"/>
        <v>46286</v>
      </c>
      <c r="C3125" s="1">
        <f t="shared" si="315"/>
        <v>5447</v>
      </c>
      <c r="D3125" s="1">
        <f t="shared" si="316"/>
        <v>1201</v>
      </c>
      <c r="E3125" s="1">
        <f t="shared" si="317"/>
        <v>1780</v>
      </c>
      <c r="F3125" s="1">
        <f t="shared" si="318"/>
        <v>1150</v>
      </c>
      <c r="L3125" s="11">
        <v>46286</v>
      </c>
      <c r="M3125" s="9">
        <v>5447</v>
      </c>
      <c r="N3125" s="9">
        <v>1201</v>
      </c>
      <c r="O3125" s="9">
        <v>1780</v>
      </c>
      <c r="P3125" s="9">
        <v>1150</v>
      </c>
    </row>
    <row r="3126" spans="2:16" x14ac:dyDescent="0.4">
      <c r="B3126" s="16">
        <f t="shared" si="314"/>
        <v>46287</v>
      </c>
      <c r="C3126" s="1">
        <f t="shared" si="315"/>
        <v>5434</v>
      </c>
      <c r="D3126" s="1">
        <f t="shared" si="316"/>
        <v>1201</v>
      </c>
      <c r="E3126" s="1">
        <f t="shared" si="317"/>
        <v>1780</v>
      </c>
      <c r="F3126" s="1">
        <f t="shared" si="318"/>
        <v>1150</v>
      </c>
      <c r="L3126" s="11">
        <v>46287</v>
      </c>
      <c r="M3126" s="9">
        <v>5434</v>
      </c>
      <c r="N3126" s="9">
        <v>1201</v>
      </c>
      <c r="O3126" s="9">
        <v>1780</v>
      </c>
      <c r="P3126" s="9">
        <v>1150</v>
      </c>
    </row>
    <row r="3127" spans="2:16" x14ac:dyDescent="0.4">
      <c r="B3127" s="16">
        <f t="shared" si="314"/>
        <v>46288</v>
      </c>
      <c r="C3127" s="1">
        <f t="shared" si="315"/>
        <v>5413</v>
      </c>
      <c r="D3127" s="1">
        <f t="shared" si="316"/>
        <v>1191</v>
      </c>
      <c r="E3127" s="1">
        <f t="shared" si="317"/>
        <v>1770</v>
      </c>
      <c r="F3127" s="1">
        <f t="shared" si="318"/>
        <v>1150</v>
      </c>
      <c r="L3127" s="11">
        <v>46288</v>
      </c>
      <c r="M3127" s="9">
        <v>5413</v>
      </c>
      <c r="N3127" s="9">
        <v>1191</v>
      </c>
      <c r="O3127" s="9">
        <v>1770</v>
      </c>
      <c r="P3127" s="9">
        <v>1150</v>
      </c>
    </row>
    <row r="3128" spans="2:16" x14ac:dyDescent="0.4">
      <c r="B3128" s="16">
        <f t="shared" si="314"/>
        <v>46289</v>
      </c>
      <c r="C3128" s="1">
        <f t="shared" si="315"/>
        <v>5405</v>
      </c>
      <c r="D3128" s="1">
        <f t="shared" si="316"/>
        <v>1191</v>
      </c>
      <c r="E3128" s="1">
        <f t="shared" si="317"/>
        <v>1765</v>
      </c>
      <c r="F3128" s="1">
        <f t="shared" si="318"/>
        <v>1150</v>
      </c>
      <c r="L3128" s="11">
        <v>46289</v>
      </c>
      <c r="M3128" s="9">
        <v>5405</v>
      </c>
      <c r="N3128" s="9">
        <v>1191</v>
      </c>
      <c r="O3128" s="9">
        <v>1765</v>
      </c>
      <c r="P3128" s="9">
        <v>1150</v>
      </c>
    </row>
    <row r="3129" spans="2:16" x14ac:dyDescent="0.4">
      <c r="B3129" s="16">
        <f t="shared" si="314"/>
        <v>46290</v>
      </c>
      <c r="C3129" s="1">
        <f t="shared" si="315"/>
        <v>5405</v>
      </c>
      <c r="D3129" s="1">
        <f t="shared" si="316"/>
        <v>1191</v>
      </c>
      <c r="E3129" s="1">
        <f t="shared" si="317"/>
        <v>1765</v>
      </c>
      <c r="F3129" s="1">
        <f t="shared" si="318"/>
        <v>1150</v>
      </c>
      <c r="L3129" s="11">
        <v>46290</v>
      </c>
      <c r="M3129" s="9">
        <v>0</v>
      </c>
      <c r="N3129" s="9">
        <v>1191</v>
      </c>
      <c r="O3129" s="9">
        <v>0</v>
      </c>
      <c r="P3129" s="9">
        <v>0</v>
      </c>
    </row>
    <row r="3130" spans="2:16" x14ac:dyDescent="0.4">
      <c r="L3130" s="11"/>
      <c r="M3130" s="9"/>
      <c r="N3130" s="9"/>
      <c r="O3130" s="9"/>
      <c r="P3130" s="9"/>
    </row>
    <row r="3131" spans="2:16" x14ac:dyDescent="0.4">
      <c r="L3131" s="11"/>
      <c r="M3131" s="9"/>
      <c r="N3131" s="9"/>
      <c r="O3131" s="9"/>
      <c r="P3131" s="9"/>
    </row>
    <row r="3132" spans="2:16" x14ac:dyDescent="0.4">
      <c r="L3132" s="11"/>
      <c r="M3132" s="9"/>
      <c r="N3132" s="9"/>
      <c r="O3132" s="9"/>
      <c r="P3132" s="9"/>
    </row>
    <row r="3133" spans="2:16" x14ac:dyDescent="0.4">
      <c r="L3133" s="11"/>
      <c r="M3133" s="9"/>
      <c r="N3133" s="9"/>
      <c r="O3133" s="9"/>
      <c r="P3133" s="9"/>
    </row>
    <row r="3134" spans="2:16" x14ac:dyDescent="0.4">
      <c r="L3134" s="11"/>
      <c r="M3134" s="9"/>
      <c r="N3134" s="9"/>
      <c r="O3134" s="9"/>
      <c r="P3134" s="9"/>
    </row>
    <row r="3135" spans="2:16" x14ac:dyDescent="0.4">
      <c r="L3135" s="11"/>
      <c r="M3135" s="9"/>
      <c r="N3135" s="9"/>
      <c r="O3135" s="9"/>
      <c r="P3135" s="9"/>
    </row>
    <row r="3136" spans="2:16" x14ac:dyDescent="0.4">
      <c r="L3136" s="11"/>
      <c r="M3136" s="9"/>
      <c r="N3136" s="9"/>
      <c r="O3136" s="9"/>
      <c r="P3136" s="9"/>
    </row>
    <row r="3137" spans="12:16" x14ac:dyDescent="0.4">
      <c r="L3137" s="11"/>
      <c r="M3137" s="9"/>
      <c r="N3137" s="9"/>
      <c r="O3137" s="9"/>
      <c r="P3137" s="9"/>
    </row>
    <row r="3138" spans="12:16" x14ac:dyDescent="0.4">
      <c r="L3138" s="11"/>
      <c r="M3138" s="9"/>
      <c r="N3138" s="9"/>
      <c r="O3138" s="9"/>
      <c r="P3138" s="9"/>
    </row>
    <row r="3139" spans="12:16" x14ac:dyDescent="0.4">
      <c r="L3139" s="11"/>
      <c r="M3139" s="9"/>
      <c r="N3139" s="9"/>
      <c r="O3139" s="9"/>
      <c r="P3139" s="9"/>
    </row>
    <row r="3140" spans="12:16" x14ac:dyDescent="0.4">
      <c r="L3140" s="11"/>
      <c r="M3140" s="9"/>
      <c r="N3140" s="9"/>
      <c r="O3140" s="9"/>
      <c r="P3140" s="9"/>
    </row>
    <row r="3141" spans="12:16" x14ac:dyDescent="0.4">
      <c r="L3141" s="11"/>
      <c r="M3141" s="9"/>
      <c r="N3141" s="9"/>
      <c r="O3141" s="9"/>
      <c r="P3141" s="9"/>
    </row>
    <row r="3142" spans="12:16" x14ac:dyDescent="0.4">
      <c r="L3142" s="11"/>
      <c r="M3142" s="9"/>
      <c r="N3142" s="9"/>
      <c r="O3142" s="9"/>
      <c r="P3142" s="9"/>
    </row>
    <row r="3143" spans="12:16" x14ac:dyDescent="0.4">
      <c r="L3143" s="11"/>
      <c r="M3143" s="9"/>
      <c r="N3143" s="9"/>
      <c r="O3143" s="9"/>
      <c r="P3143" s="9"/>
    </row>
    <row r="3144" spans="12:16" x14ac:dyDescent="0.4">
      <c r="L3144" s="11"/>
      <c r="M3144" s="9"/>
      <c r="N3144" s="9"/>
      <c r="O3144" s="9"/>
      <c r="P3144" s="9"/>
    </row>
    <row r="3145" spans="12:16" x14ac:dyDescent="0.4">
      <c r="L3145" s="11"/>
      <c r="M3145" s="9"/>
      <c r="N3145" s="9"/>
      <c r="O3145" s="9"/>
      <c r="P3145" s="9"/>
    </row>
    <row r="3146" spans="12:16" x14ac:dyDescent="0.4">
      <c r="L3146" s="11"/>
      <c r="M3146" s="9"/>
      <c r="N3146" s="9"/>
      <c r="O3146" s="9"/>
      <c r="P3146" s="9"/>
    </row>
    <row r="3147" spans="12:16" x14ac:dyDescent="0.4">
      <c r="L3147" s="11"/>
      <c r="M3147" s="9"/>
      <c r="N3147" s="9"/>
      <c r="O3147" s="9"/>
      <c r="P3147" s="9"/>
    </row>
    <row r="3148" spans="12:16" x14ac:dyDescent="0.4">
      <c r="L3148" s="11"/>
      <c r="M3148" s="9"/>
      <c r="N3148" s="9"/>
      <c r="O3148" s="9"/>
      <c r="P3148" s="9"/>
    </row>
    <row r="3149" spans="12:16" x14ac:dyDescent="0.4">
      <c r="L3149" s="11"/>
      <c r="M3149" s="9"/>
      <c r="N3149" s="9"/>
      <c r="O3149" s="9"/>
      <c r="P3149" s="9"/>
    </row>
    <row r="3150" spans="12:16" x14ac:dyDescent="0.4">
      <c r="L3150" s="11"/>
      <c r="M3150" s="9"/>
      <c r="N3150" s="9"/>
      <c r="O3150" s="9"/>
      <c r="P3150" s="9"/>
    </row>
    <row r="3151" spans="12:16" x14ac:dyDescent="0.4">
      <c r="L3151" s="11"/>
      <c r="M3151" s="9"/>
      <c r="N3151" s="9"/>
      <c r="O3151" s="9"/>
      <c r="P3151" s="9"/>
    </row>
    <row r="3152" spans="12:16" x14ac:dyDescent="0.4">
      <c r="L3152" s="11"/>
      <c r="M3152" s="9"/>
      <c r="N3152" s="9"/>
      <c r="O3152" s="9"/>
      <c r="P3152" s="9"/>
    </row>
    <row r="3153" spans="12:16" x14ac:dyDescent="0.4">
      <c r="L3153" s="11"/>
      <c r="M3153" s="9"/>
      <c r="N3153" s="9"/>
      <c r="O3153" s="9"/>
      <c r="P3153" s="9"/>
    </row>
    <row r="3154" spans="12:16" x14ac:dyDescent="0.4">
      <c r="L3154" s="11"/>
      <c r="M3154" s="9"/>
      <c r="N3154" s="9"/>
      <c r="O3154" s="9"/>
      <c r="P3154" s="9"/>
    </row>
    <row r="3155" spans="12:16" x14ac:dyDescent="0.4">
      <c r="L3155" s="11"/>
      <c r="M3155" s="9"/>
      <c r="N3155" s="9"/>
      <c r="O3155" s="9"/>
      <c r="P3155" s="9"/>
    </row>
    <row r="3156" spans="12:16" x14ac:dyDescent="0.4">
      <c r="L3156" s="11"/>
      <c r="M3156" s="9"/>
      <c r="N3156" s="9"/>
      <c r="O3156" s="9"/>
      <c r="P3156" s="9"/>
    </row>
    <row r="3157" spans="12:16" x14ac:dyDescent="0.4">
      <c r="L3157" s="11"/>
      <c r="M3157" s="9"/>
      <c r="N3157" s="9"/>
      <c r="O3157" s="9"/>
      <c r="P3157" s="9"/>
    </row>
    <row r="3158" spans="12:16" x14ac:dyDescent="0.4">
      <c r="L3158" s="11"/>
      <c r="M3158" s="9"/>
      <c r="N3158" s="9"/>
      <c r="O3158" s="9"/>
      <c r="P3158" s="9"/>
    </row>
    <row r="3159" spans="12:16" x14ac:dyDescent="0.4">
      <c r="L3159" s="11"/>
      <c r="M3159" s="9"/>
      <c r="N3159" s="9"/>
      <c r="O3159" s="9"/>
      <c r="P3159" s="9"/>
    </row>
    <row r="3160" spans="12:16" x14ac:dyDescent="0.4">
      <c r="L3160" s="11"/>
      <c r="M3160" s="9"/>
      <c r="N3160" s="9"/>
      <c r="O3160" s="9"/>
      <c r="P3160" s="9"/>
    </row>
    <row r="3161" spans="12:16" x14ac:dyDescent="0.4">
      <c r="L3161" s="11"/>
      <c r="M3161" s="9"/>
      <c r="N3161" s="9"/>
      <c r="O3161" s="9"/>
      <c r="P3161" s="9"/>
    </row>
    <row r="3162" spans="12:16" x14ac:dyDescent="0.4">
      <c r="L3162" s="11"/>
      <c r="M3162" s="9"/>
      <c r="N3162" s="9"/>
      <c r="O3162" s="9"/>
      <c r="P3162" s="9"/>
    </row>
    <row r="3163" spans="12:16" x14ac:dyDescent="0.4">
      <c r="L3163" s="11"/>
      <c r="M3163" s="9"/>
      <c r="N3163" s="9"/>
      <c r="O3163" s="9"/>
      <c r="P3163" s="9"/>
    </row>
    <row r="3164" spans="12:16" x14ac:dyDescent="0.4">
      <c r="L3164" s="11"/>
      <c r="M3164" s="9"/>
      <c r="N3164" s="9"/>
      <c r="O3164" s="9"/>
      <c r="P3164" s="9"/>
    </row>
    <row r="3165" spans="12:16" x14ac:dyDescent="0.4">
      <c r="L3165" s="11"/>
      <c r="M3165" s="9"/>
      <c r="N3165" s="9"/>
      <c r="O3165" s="9"/>
      <c r="P3165" s="9"/>
    </row>
    <row r="3166" spans="12:16" x14ac:dyDescent="0.4">
      <c r="L3166" s="11"/>
      <c r="M3166" s="9"/>
      <c r="N3166" s="9"/>
      <c r="O3166" s="9"/>
      <c r="P3166" s="9"/>
    </row>
    <row r="3167" spans="12:16" x14ac:dyDescent="0.4">
      <c r="L3167" s="11"/>
      <c r="M3167" s="9"/>
      <c r="N3167" s="9"/>
      <c r="O3167" s="9"/>
      <c r="P3167" s="9"/>
    </row>
    <row r="3168" spans="12:16" x14ac:dyDescent="0.4">
      <c r="L3168" s="11"/>
      <c r="M3168" s="9"/>
      <c r="N3168" s="9"/>
      <c r="O3168" s="9"/>
      <c r="P3168" s="9"/>
    </row>
    <row r="3169" spans="12:16" x14ac:dyDescent="0.4">
      <c r="L3169" s="11"/>
      <c r="M3169" s="9"/>
      <c r="N3169" s="9"/>
      <c r="O3169" s="9"/>
      <c r="P3169" s="9"/>
    </row>
    <row r="3170" spans="12:16" x14ac:dyDescent="0.4">
      <c r="L3170" s="11"/>
      <c r="M3170" s="9"/>
      <c r="N3170" s="9"/>
      <c r="O3170" s="9"/>
      <c r="P3170" s="9"/>
    </row>
    <row r="3171" spans="12:16" x14ac:dyDescent="0.4">
      <c r="L3171" s="11"/>
      <c r="M3171" s="9"/>
      <c r="N3171" s="9"/>
      <c r="O3171" s="9"/>
      <c r="P3171" s="9"/>
    </row>
    <row r="3172" spans="12:16" x14ac:dyDescent="0.4">
      <c r="L3172" s="11"/>
      <c r="M3172" s="9"/>
      <c r="N3172" s="9"/>
      <c r="O3172" s="9"/>
      <c r="P3172" s="9"/>
    </row>
    <row r="3173" spans="12:16" x14ac:dyDescent="0.4">
      <c r="L3173" s="11"/>
      <c r="M3173" s="9"/>
      <c r="N3173" s="9"/>
      <c r="O3173" s="9"/>
      <c r="P3173" s="9"/>
    </row>
    <row r="3174" spans="12:16" x14ac:dyDescent="0.4">
      <c r="L3174" s="11"/>
      <c r="M3174" s="9"/>
      <c r="N3174" s="9"/>
      <c r="O3174" s="9"/>
      <c r="P3174" s="9"/>
    </row>
    <row r="3175" spans="12:16" x14ac:dyDescent="0.4">
      <c r="L3175" s="11"/>
      <c r="M3175" s="9"/>
      <c r="N3175" s="9"/>
      <c r="O3175" s="9"/>
      <c r="P3175" s="9"/>
    </row>
    <row r="3176" spans="12:16" x14ac:dyDescent="0.4">
      <c r="L3176" s="11"/>
      <c r="M3176" s="9"/>
      <c r="N3176" s="9"/>
      <c r="O3176" s="9"/>
      <c r="P3176" s="9"/>
    </row>
    <row r="3177" spans="12:16" x14ac:dyDescent="0.4">
      <c r="L3177" s="11"/>
      <c r="M3177" s="9"/>
      <c r="N3177" s="9"/>
      <c r="O3177" s="9"/>
      <c r="P3177" s="9"/>
    </row>
    <row r="3178" spans="12:16" x14ac:dyDescent="0.4">
      <c r="L3178" s="11"/>
      <c r="M3178" s="9"/>
      <c r="N3178" s="9"/>
      <c r="O3178" s="9"/>
      <c r="P3178" s="9"/>
    </row>
    <row r="3179" spans="12:16" x14ac:dyDescent="0.4">
      <c r="L3179" s="11"/>
      <c r="M3179" s="9"/>
      <c r="N3179" s="9"/>
      <c r="O3179" s="9"/>
      <c r="P3179" s="9"/>
    </row>
    <row r="3180" spans="12:16" x14ac:dyDescent="0.4">
      <c r="L3180" s="11"/>
      <c r="M3180" s="9"/>
      <c r="N3180" s="9"/>
      <c r="O3180" s="9"/>
      <c r="P3180" s="9"/>
    </row>
    <row r="3181" spans="12:16" x14ac:dyDescent="0.4">
      <c r="L3181" s="11"/>
      <c r="M3181" s="9"/>
      <c r="N3181" s="9"/>
      <c r="O3181" s="9"/>
      <c r="P3181" s="9"/>
    </row>
    <row r="3182" spans="12:16" x14ac:dyDescent="0.4">
      <c r="L3182" s="11"/>
      <c r="M3182" s="9"/>
      <c r="N3182" s="9"/>
      <c r="O3182" s="9"/>
      <c r="P3182" s="9"/>
    </row>
    <row r="3183" spans="12:16" x14ac:dyDescent="0.4">
      <c r="L3183" s="11"/>
      <c r="M3183" s="9"/>
      <c r="N3183" s="9"/>
      <c r="O3183" s="9"/>
      <c r="P3183" s="9"/>
    </row>
    <row r="3184" spans="12:16" x14ac:dyDescent="0.4">
      <c r="L3184" s="11"/>
      <c r="M3184" s="9"/>
      <c r="N3184" s="9"/>
      <c r="O3184" s="9"/>
      <c r="P3184" s="9"/>
    </row>
    <row r="3185" spans="12:16" x14ac:dyDescent="0.4">
      <c r="L3185" s="11"/>
      <c r="M3185" s="9"/>
      <c r="N3185" s="9"/>
      <c r="O3185" s="9"/>
      <c r="P3185" s="9"/>
    </row>
    <row r="3186" spans="12:16" x14ac:dyDescent="0.4">
      <c r="L3186" s="11"/>
      <c r="M3186" s="9"/>
      <c r="N3186" s="9"/>
      <c r="O3186" s="9"/>
      <c r="P3186" s="9"/>
    </row>
    <row r="3187" spans="12:16" x14ac:dyDescent="0.4">
      <c r="L3187" s="11"/>
      <c r="M3187" s="9"/>
      <c r="N3187" s="9"/>
      <c r="O3187" s="9"/>
      <c r="P3187" s="9"/>
    </row>
    <row r="3188" spans="12:16" x14ac:dyDescent="0.4">
      <c r="L3188" s="11"/>
      <c r="M3188" s="9"/>
      <c r="N3188" s="9"/>
      <c r="O3188" s="9"/>
      <c r="P3188" s="9"/>
    </row>
    <row r="3189" spans="12:16" x14ac:dyDescent="0.4">
      <c r="L3189" s="11"/>
      <c r="M3189" s="9"/>
      <c r="N3189" s="9"/>
      <c r="O3189" s="9"/>
      <c r="P3189" s="9"/>
    </row>
    <row r="3190" spans="12:16" x14ac:dyDescent="0.4">
      <c r="L3190" s="11"/>
      <c r="M3190" s="9"/>
      <c r="N3190" s="9"/>
      <c r="O3190" s="9"/>
      <c r="P3190" s="9"/>
    </row>
    <row r="3191" spans="12:16" x14ac:dyDescent="0.4">
      <c r="L3191" s="11"/>
      <c r="M3191" s="9"/>
      <c r="N3191" s="9"/>
      <c r="O3191" s="9"/>
      <c r="P3191" s="9"/>
    </row>
    <row r="3192" spans="12:16" x14ac:dyDescent="0.4">
      <c r="L3192" s="11"/>
      <c r="M3192" s="9"/>
      <c r="N3192" s="9"/>
      <c r="O3192" s="9"/>
      <c r="P3192" s="9"/>
    </row>
    <row r="3193" spans="12:16" x14ac:dyDescent="0.4">
      <c r="L3193" s="11"/>
      <c r="M3193" s="9"/>
      <c r="N3193" s="9"/>
      <c r="O3193" s="9"/>
      <c r="P3193" s="9"/>
    </row>
    <row r="3194" spans="12:16" x14ac:dyDescent="0.4">
      <c r="L3194" s="11"/>
      <c r="M3194" s="9"/>
      <c r="N3194" s="9"/>
      <c r="O3194" s="9"/>
      <c r="P3194" s="9"/>
    </row>
    <row r="3195" spans="12:16" x14ac:dyDescent="0.4">
      <c r="L3195" s="11"/>
      <c r="M3195" s="9"/>
      <c r="N3195" s="9"/>
      <c r="O3195" s="9"/>
      <c r="P3195" s="9"/>
    </row>
    <row r="3196" spans="12:16" x14ac:dyDescent="0.4">
      <c r="L3196" s="11"/>
      <c r="M3196" s="9"/>
      <c r="N3196" s="9"/>
      <c r="O3196" s="9"/>
      <c r="P3196" s="9"/>
    </row>
    <row r="3197" spans="12:16" x14ac:dyDescent="0.4">
      <c r="L3197" s="11"/>
      <c r="M3197" s="9"/>
      <c r="N3197" s="9"/>
      <c r="O3197" s="9"/>
      <c r="P3197" s="9"/>
    </row>
    <row r="3198" spans="12:16" x14ac:dyDescent="0.4">
      <c r="L3198" s="11"/>
      <c r="M3198" s="9"/>
      <c r="N3198" s="9"/>
      <c r="O3198" s="9"/>
      <c r="P3198" s="9"/>
    </row>
    <row r="3199" spans="12:16" x14ac:dyDescent="0.4">
      <c r="L3199" s="11"/>
      <c r="M3199" s="9"/>
      <c r="N3199" s="9"/>
      <c r="O3199" s="9"/>
      <c r="P3199" s="9"/>
    </row>
    <row r="3200" spans="12:16" x14ac:dyDescent="0.4">
      <c r="L3200" s="11"/>
      <c r="M3200" s="9"/>
      <c r="N3200" s="9"/>
      <c r="O3200" s="9"/>
      <c r="P3200" s="9"/>
    </row>
    <row r="3201" spans="12:16" x14ac:dyDescent="0.4">
      <c r="L3201" s="11"/>
      <c r="M3201" s="9"/>
      <c r="N3201" s="9"/>
      <c r="O3201" s="9"/>
      <c r="P3201" s="9"/>
    </row>
    <row r="3202" spans="12:16" x14ac:dyDescent="0.4">
      <c r="L3202" s="11"/>
      <c r="M3202" s="9"/>
      <c r="N3202" s="9"/>
      <c r="O3202" s="9"/>
      <c r="P3202" s="9"/>
    </row>
    <row r="3203" spans="12:16" x14ac:dyDescent="0.4">
      <c r="L3203" s="11"/>
      <c r="M3203" s="9"/>
      <c r="N3203" s="9"/>
      <c r="O3203" s="9"/>
      <c r="P3203" s="9"/>
    </row>
    <row r="3204" spans="12:16" x14ac:dyDescent="0.4">
      <c r="L3204" s="11"/>
      <c r="M3204" s="9"/>
      <c r="N3204" s="9"/>
      <c r="O3204" s="9"/>
      <c r="P3204" s="9"/>
    </row>
    <row r="3205" spans="12:16" x14ac:dyDescent="0.4">
      <c r="L3205" s="11"/>
      <c r="M3205" s="9"/>
      <c r="N3205" s="9"/>
      <c r="O3205" s="9"/>
      <c r="P3205" s="9"/>
    </row>
    <row r="3206" spans="12:16" x14ac:dyDescent="0.4">
      <c r="L3206" s="11"/>
      <c r="M3206" s="9"/>
      <c r="N3206" s="9"/>
      <c r="O3206" s="9"/>
      <c r="P3206" s="9"/>
    </row>
    <row r="3207" spans="12:16" x14ac:dyDescent="0.4">
      <c r="L3207" s="11"/>
      <c r="M3207" s="9"/>
      <c r="N3207" s="9"/>
      <c r="O3207" s="9"/>
      <c r="P3207" s="9"/>
    </row>
    <row r="3208" spans="12:16" x14ac:dyDescent="0.4">
      <c r="L3208" s="11"/>
      <c r="M3208" s="9"/>
      <c r="N3208" s="9"/>
      <c r="O3208" s="9"/>
      <c r="P3208" s="9"/>
    </row>
    <row r="3209" spans="12:16" x14ac:dyDescent="0.4">
      <c r="L3209" s="11"/>
      <c r="M3209" s="9"/>
      <c r="N3209" s="9"/>
      <c r="O3209" s="9"/>
      <c r="P3209" s="9"/>
    </row>
    <row r="3210" spans="12:16" x14ac:dyDescent="0.4">
      <c r="L3210" s="11"/>
      <c r="M3210" s="9"/>
      <c r="N3210" s="9"/>
      <c r="O3210" s="9"/>
      <c r="P3210" s="9"/>
    </row>
    <row r="3211" spans="12:16" x14ac:dyDescent="0.4">
      <c r="L3211" s="11"/>
      <c r="M3211" s="9"/>
      <c r="N3211" s="9"/>
      <c r="O3211" s="9"/>
      <c r="P3211" s="9"/>
    </row>
    <row r="3212" spans="12:16" x14ac:dyDescent="0.4">
      <c r="L3212" s="11"/>
      <c r="M3212" s="9"/>
      <c r="N3212" s="9"/>
      <c r="O3212" s="9"/>
      <c r="P3212" s="9"/>
    </row>
    <row r="3213" spans="12:16" x14ac:dyDescent="0.4">
      <c r="L3213" s="11"/>
      <c r="M3213" s="9"/>
      <c r="N3213" s="9"/>
      <c r="O3213" s="9"/>
      <c r="P3213" s="9"/>
    </row>
    <row r="3214" spans="12:16" x14ac:dyDescent="0.4">
      <c r="L3214" s="11"/>
      <c r="M3214" s="9"/>
      <c r="N3214" s="9"/>
      <c r="O3214" s="9"/>
      <c r="P3214" s="9"/>
    </row>
    <row r="3215" spans="12:16" x14ac:dyDescent="0.4">
      <c r="L3215" s="11"/>
      <c r="M3215" s="9"/>
      <c r="N3215" s="9"/>
      <c r="O3215" s="9"/>
      <c r="P3215" s="9"/>
    </row>
    <row r="3216" spans="12:16" x14ac:dyDescent="0.4">
      <c r="L3216" s="11"/>
      <c r="M3216" s="9"/>
      <c r="N3216" s="9"/>
      <c r="O3216" s="9"/>
      <c r="P3216" s="9"/>
    </row>
    <row r="3217" spans="12:16" x14ac:dyDescent="0.4">
      <c r="L3217" s="11"/>
      <c r="M3217" s="9"/>
      <c r="N3217" s="9"/>
      <c r="O3217" s="9"/>
      <c r="P3217" s="9"/>
    </row>
    <row r="3218" spans="12:16" x14ac:dyDescent="0.4">
      <c r="L3218" s="11"/>
      <c r="M3218" s="9"/>
      <c r="N3218" s="9"/>
      <c r="O3218" s="9"/>
      <c r="P3218" s="9"/>
    </row>
    <row r="3219" spans="12:16" x14ac:dyDescent="0.4">
      <c r="L3219" s="11"/>
      <c r="M3219" s="9"/>
      <c r="N3219" s="9"/>
      <c r="O3219" s="9"/>
      <c r="P3219" s="9"/>
    </row>
    <row r="3220" spans="12:16" x14ac:dyDescent="0.4">
      <c r="L3220" s="11"/>
      <c r="M3220" s="9"/>
      <c r="N3220" s="9"/>
      <c r="O3220" s="9"/>
      <c r="P3220" s="9"/>
    </row>
    <row r="3221" spans="12:16" x14ac:dyDescent="0.4">
      <c r="L3221" s="11"/>
      <c r="M3221" s="9"/>
      <c r="N3221" s="9"/>
      <c r="O3221" s="9"/>
      <c r="P3221" s="9"/>
    </row>
    <row r="3222" spans="12:16" x14ac:dyDescent="0.4">
      <c r="L3222" s="11"/>
      <c r="M3222" s="9"/>
      <c r="N3222" s="9"/>
      <c r="O3222" s="9"/>
      <c r="P3222" s="9"/>
    </row>
    <row r="3223" spans="12:16" x14ac:dyDescent="0.4">
      <c r="L3223" s="11"/>
      <c r="M3223" s="9"/>
      <c r="N3223" s="9"/>
      <c r="O3223" s="9"/>
      <c r="P3223" s="9"/>
    </row>
    <row r="3224" spans="12:16" x14ac:dyDescent="0.4">
      <c r="L3224" s="11"/>
      <c r="M3224" s="9"/>
      <c r="N3224" s="9"/>
      <c r="O3224" s="9"/>
      <c r="P3224" s="9"/>
    </row>
    <row r="3225" spans="12:16" x14ac:dyDescent="0.4">
      <c r="L3225" s="11"/>
      <c r="M3225" s="9"/>
      <c r="N3225" s="9"/>
      <c r="O3225" s="9"/>
      <c r="P3225" s="9"/>
    </row>
    <row r="3226" spans="12:16" x14ac:dyDescent="0.4">
      <c r="L3226" s="11"/>
      <c r="M3226" s="9"/>
      <c r="N3226" s="9"/>
      <c r="O3226" s="9"/>
      <c r="P3226" s="9"/>
    </row>
    <row r="3227" spans="12:16" x14ac:dyDescent="0.4">
      <c r="L3227" s="11"/>
      <c r="M3227" s="9"/>
      <c r="N3227" s="9"/>
      <c r="O3227" s="9"/>
      <c r="P3227" s="9"/>
    </row>
    <row r="3228" spans="12:16" x14ac:dyDescent="0.4">
      <c r="L3228" s="11"/>
      <c r="M3228" s="9"/>
      <c r="N3228" s="9"/>
      <c r="O3228" s="9"/>
      <c r="P3228" s="9"/>
    </row>
    <row r="3229" spans="12:16" x14ac:dyDescent="0.4">
      <c r="L3229" s="11"/>
      <c r="M3229" s="9"/>
      <c r="N3229" s="9"/>
      <c r="O3229" s="9"/>
      <c r="P3229" s="9"/>
    </row>
    <row r="3230" spans="12:16" x14ac:dyDescent="0.4">
      <c r="L3230" s="11"/>
      <c r="M3230" s="9"/>
      <c r="N3230" s="9"/>
      <c r="O3230" s="9"/>
      <c r="P3230" s="9"/>
    </row>
    <row r="3231" spans="12:16" x14ac:dyDescent="0.4">
      <c r="L3231" s="11"/>
      <c r="M3231" s="9"/>
      <c r="N3231" s="9"/>
      <c r="O3231" s="9"/>
      <c r="P3231" s="9"/>
    </row>
    <row r="3232" spans="12:16" x14ac:dyDescent="0.4">
      <c r="L3232" s="11"/>
      <c r="M3232" s="9"/>
      <c r="N3232" s="9"/>
      <c r="O3232" s="9"/>
      <c r="P3232" s="9"/>
    </row>
    <row r="3233" spans="12:16" x14ac:dyDescent="0.4">
      <c r="L3233" s="11"/>
      <c r="M3233" s="9"/>
      <c r="N3233" s="9"/>
      <c r="O3233" s="9"/>
      <c r="P3233" s="9"/>
    </row>
    <row r="3234" spans="12:16" x14ac:dyDescent="0.4">
      <c r="L3234" s="11"/>
      <c r="M3234" s="9"/>
      <c r="N3234" s="9"/>
      <c r="O3234" s="9"/>
      <c r="P3234" s="9"/>
    </row>
    <row r="3235" spans="12:16" x14ac:dyDescent="0.4">
      <c r="L3235" s="11"/>
      <c r="M3235" s="9"/>
      <c r="N3235" s="9"/>
      <c r="O3235" s="9"/>
      <c r="P3235" s="9"/>
    </row>
    <row r="3236" spans="12:16" x14ac:dyDescent="0.4">
      <c r="L3236" s="11"/>
      <c r="M3236" s="9"/>
      <c r="N3236" s="9"/>
      <c r="O3236" s="9"/>
      <c r="P3236" s="9"/>
    </row>
    <row r="3237" spans="12:16" x14ac:dyDescent="0.4">
      <c r="L3237" s="11"/>
      <c r="M3237" s="9"/>
      <c r="N3237" s="9"/>
      <c r="O3237" s="9"/>
      <c r="P3237" s="9"/>
    </row>
    <row r="3238" spans="12:16" x14ac:dyDescent="0.4">
      <c r="L3238" s="11"/>
      <c r="M3238" s="9"/>
      <c r="N3238" s="9"/>
      <c r="O3238" s="9"/>
      <c r="P3238" s="9"/>
    </row>
    <row r="3239" spans="12:16" x14ac:dyDescent="0.4">
      <c r="L3239" s="11"/>
      <c r="M3239" s="9"/>
      <c r="N3239" s="9"/>
      <c r="O3239" s="9"/>
      <c r="P3239" s="9"/>
    </row>
    <row r="3240" spans="12:16" x14ac:dyDescent="0.4">
      <c r="L3240" s="11"/>
      <c r="M3240" s="9"/>
      <c r="N3240" s="9"/>
      <c r="O3240" s="9"/>
      <c r="P3240" s="9"/>
    </row>
    <row r="3241" spans="12:16" x14ac:dyDescent="0.4">
      <c r="L3241" s="11"/>
      <c r="M3241" s="9"/>
      <c r="N3241" s="9"/>
      <c r="O3241" s="9"/>
      <c r="P3241" s="9"/>
    </row>
    <row r="3242" spans="12:16" x14ac:dyDescent="0.4">
      <c r="L3242" s="11"/>
      <c r="M3242" s="9"/>
      <c r="N3242" s="9"/>
      <c r="O3242" s="9"/>
      <c r="P3242" s="9"/>
    </row>
    <row r="3243" spans="12:16" x14ac:dyDescent="0.4">
      <c r="L3243" s="11"/>
      <c r="M3243" s="9"/>
      <c r="N3243" s="9"/>
      <c r="O3243" s="9"/>
      <c r="P3243" s="9"/>
    </row>
    <row r="3244" spans="12:16" x14ac:dyDescent="0.4">
      <c r="L3244" s="11"/>
      <c r="M3244" s="9"/>
      <c r="N3244" s="9"/>
      <c r="O3244" s="9"/>
      <c r="P3244" s="9"/>
    </row>
    <row r="3245" spans="12:16" x14ac:dyDescent="0.4">
      <c r="L3245" s="11"/>
      <c r="M3245" s="9"/>
      <c r="N3245" s="9"/>
      <c r="O3245" s="9"/>
      <c r="P3245" s="9"/>
    </row>
    <row r="3246" spans="12:16" x14ac:dyDescent="0.4">
      <c r="L3246" s="11"/>
      <c r="M3246" s="9"/>
      <c r="N3246" s="9"/>
      <c r="O3246" s="9"/>
      <c r="P3246" s="9"/>
    </row>
    <row r="3247" spans="12:16" x14ac:dyDescent="0.4">
      <c r="L3247" s="11"/>
      <c r="M3247" s="9"/>
      <c r="N3247" s="9"/>
      <c r="O3247" s="9"/>
      <c r="P3247" s="9"/>
    </row>
    <row r="3248" spans="12:16" x14ac:dyDescent="0.4">
      <c r="L3248" s="11"/>
      <c r="M3248" s="9"/>
      <c r="N3248" s="9"/>
      <c r="O3248" s="9"/>
      <c r="P3248" s="9"/>
    </row>
    <row r="3249" spans="12:16" x14ac:dyDescent="0.4">
      <c r="L3249" s="11"/>
      <c r="M3249" s="9"/>
      <c r="N3249" s="9"/>
      <c r="O3249" s="9"/>
      <c r="P3249" s="9"/>
    </row>
    <row r="3250" spans="12:16" x14ac:dyDescent="0.4">
      <c r="L3250" s="11"/>
      <c r="M3250" s="9"/>
      <c r="N3250" s="9"/>
      <c r="O3250" s="9"/>
      <c r="P3250" s="9"/>
    </row>
    <row r="3251" spans="12:16" x14ac:dyDescent="0.4">
      <c r="L3251" s="11"/>
      <c r="M3251" s="9"/>
      <c r="N3251" s="9"/>
      <c r="O3251" s="9"/>
      <c r="P3251" s="9"/>
    </row>
    <row r="3252" spans="12:16" x14ac:dyDescent="0.4">
      <c r="L3252" s="11"/>
      <c r="M3252" s="9"/>
      <c r="N3252" s="9"/>
      <c r="O3252" s="9"/>
      <c r="P3252" s="9"/>
    </row>
    <row r="3253" spans="12:16" x14ac:dyDescent="0.4">
      <c r="L3253" s="11"/>
      <c r="M3253" s="9"/>
      <c r="N3253" s="9"/>
      <c r="O3253" s="9"/>
      <c r="P3253" s="9"/>
    </row>
    <row r="3254" spans="12:16" x14ac:dyDescent="0.4">
      <c r="L3254" s="11"/>
      <c r="M3254" s="9"/>
      <c r="N3254" s="9"/>
      <c r="O3254" s="9"/>
      <c r="P3254" s="9"/>
    </row>
    <row r="3255" spans="12:16" x14ac:dyDescent="0.4">
      <c r="L3255" s="11"/>
      <c r="M3255" s="9"/>
      <c r="N3255" s="9"/>
      <c r="O3255" s="9"/>
      <c r="P3255" s="9"/>
    </row>
    <row r="3256" spans="12:16" x14ac:dyDescent="0.4">
      <c r="L3256" s="11"/>
      <c r="M3256" s="9"/>
      <c r="N3256" s="9"/>
      <c r="O3256" s="9"/>
      <c r="P3256" s="9"/>
    </row>
    <row r="3257" spans="12:16" x14ac:dyDescent="0.4">
      <c r="L3257" s="11"/>
      <c r="M3257" s="9"/>
      <c r="N3257" s="9"/>
      <c r="O3257" s="9"/>
      <c r="P3257" s="9"/>
    </row>
    <row r="3258" spans="12:16" x14ac:dyDescent="0.4">
      <c r="L3258" s="11"/>
      <c r="M3258" s="9"/>
      <c r="N3258" s="9"/>
      <c r="O3258" s="9"/>
      <c r="P3258" s="9"/>
    </row>
    <row r="3259" spans="12:16" x14ac:dyDescent="0.4">
      <c r="L3259" s="11"/>
      <c r="M3259" s="9"/>
      <c r="N3259" s="9"/>
      <c r="O3259" s="9"/>
      <c r="P3259" s="9"/>
    </row>
    <row r="3260" spans="12:16" x14ac:dyDescent="0.4">
      <c r="L3260" s="11"/>
      <c r="M3260" s="9"/>
      <c r="N3260" s="9"/>
      <c r="O3260" s="9"/>
      <c r="P3260" s="9"/>
    </row>
    <row r="3261" spans="12:16" x14ac:dyDescent="0.4">
      <c r="L3261" s="11"/>
      <c r="M3261" s="9"/>
      <c r="N3261" s="9"/>
      <c r="O3261" s="9"/>
      <c r="P3261" s="9"/>
    </row>
    <row r="3262" spans="12:16" x14ac:dyDescent="0.4">
      <c r="L3262" s="11"/>
      <c r="M3262" s="9"/>
      <c r="N3262" s="9"/>
      <c r="O3262" s="9"/>
      <c r="P3262" s="9"/>
    </row>
    <row r="3263" spans="12:16" x14ac:dyDescent="0.4">
      <c r="L3263" s="11"/>
      <c r="M3263" s="9"/>
      <c r="N3263" s="9"/>
      <c r="O3263" s="9"/>
      <c r="P3263" s="9"/>
    </row>
    <row r="3264" spans="12:16" x14ac:dyDescent="0.4">
      <c r="L3264" s="11"/>
      <c r="M3264" s="9"/>
      <c r="N3264" s="9"/>
      <c r="O3264" s="9"/>
      <c r="P3264" s="9"/>
    </row>
    <row r="3265" spans="12:16" x14ac:dyDescent="0.4">
      <c r="L3265" s="11"/>
      <c r="M3265" s="9"/>
      <c r="N3265" s="9"/>
      <c r="O3265" s="9"/>
      <c r="P3265" s="9"/>
    </row>
    <row r="3266" spans="12:16" x14ac:dyDescent="0.4">
      <c r="L3266" s="11"/>
      <c r="M3266" s="9"/>
      <c r="N3266" s="9"/>
      <c r="O3266" s="9"/>
      <c r="P3266" s="9"/>
    </row>
    <row r="3267" spans="12:16" x14ac:dyDescent="0.4">
      <c r="L3267" s="11"/>
      <c r="M3267" s="9"/>
      <c r="N3267" s="9"/>
      <c r="O3267" s="9"/>
      <c r="P3267" s="9"/>
    </row>
    <row r="3268" spans="12:16" x14ac:dyDescent="0.4">
      <c r="L3268" s="11"/>
      <c r="M3268" s="9"/>
      <c r="N3268" s="9"/>
      <c r="O3268" s="9"/>
      <c r="P3268" s="9"/>
    </row>
    <row r="3269" spans="12:16" x14ac:dyDescent="0.4">
      <c r="L3269" s="11"/>
      <c r="M3269" s="9"/>
      <c r="N3269" s="9"/>
      <c r="O3269" s="9"/>
      <c r="P3269" s="9"/>
    </row>
    <row r="3270" spans="12:16" x14ac:dyDescent="0.4">
      <c r="L3270" s="11"/>
      <c r="M3270" s="9"/>
      <c r="N3270" s="9"/>
      <c r="O3270" s="9"/>
      <c r="P3270" s="9"/>
    </row>
    <row r="3271" spans="12:16" x14ac:dyDescent="0.4">
      <c r="L3271" s="11"/>
      <c r="M3271" s="9"/>
      <c r="N3271" s="9"/>
      <c r="O3271" s="9"/>
      <c r="P3271" s="9"/>
    </row>
    <row r="3272" spans="12:16" x14ac:dyDescent="0.4">
      <c r="L3272" s="11"/>
      <c r="M3272" s="9"/>
      <c r="N3272" s="9"/>
      <c r="O3272" s="9"/>
      <c r="P3272" s="9"/>
    </row>
    <row r="3273" spans="12:16" x14ac:dyDescent="0.4">
      <c r="L3273" s="11"/>
      <c r="M3273" s="9"/>
      <c r="N3273" s="9"/>
      <c r="O3273" s="9"/>
      <c r="P3273" s="9"/>
    </row>
    <row r="3274" spans="12:16" x14ac:dyDescent="0.4">
      <c r="L3274" s="11"/>
      <c r="M3274" s="9"/>
      <c r="N3274" s="9"/>
      <c r="O3274" s="9"/>
      <c r="P3274" s="9"/>
    </row>
    <row r="3275" spans="12:16" x14ac:dyDescent="0.4">
      <c r="L3275" s="11"/>
      <c r="M3275" s="9"/>
      <c r="N3275" s="9"/>
      <c r="O3275" s="9"/>
      <c r="P3275" s="9"/>
    </row>
    <row r="3276" spans="12:16" x14ac:dyDescent="0.4">
      <c r="L3276" s="11"/>
      <c r="M3276" s="9"/>
      <c r="N3276" s="9"/>
      <c r="O3276" s="9"/>
      <c r="P3276" s="9"/>
    </row>
    <row r="3277" spans="12:16" x14ac:dyDescent="0.4">
      <c r="L3277" s="11"/>
      <c r="M3277" s="9"/>
      <c r="N3277" s="9"/>
      <c r="O3277" s="9"/>
      <c r="P3277" s="9"/>
    </row>
    <row r="3278" spans="12:16" x14ac:dyDescent="0.4">
      <c r="L3278" s="11"/>
      <c r="M3278" s="9"/>
      <c r="N3278" s="9"/>
      <c r="O3278" s="9"/>
      <c r="P3278" s="9"/>
    </row>
    <row r="3279" spans="12:16" x14ac:dyDescent="0.4">
      <c r="L3279" s="11"/>
      <c r="M3279" s="9"/>
      <c r="N3279" s="9"/>
      <c r="O3279" s="9"/>
      <c r="P3279" s="9"/>
    </row>
    <row r="3280" spans="12:16" x14ac:dyDescent="0.4">
      <c r="L3280" s="11"/>
      <c r="M3280" s="9"/>
      <c r="N3280" s="9"/>
      <c r="O3280" s="9"/>
      <c r="P3280" s="9"/>
    </row>
    <row r="3281" spans="12:16" x14ac:dyDescent="0.4">
      <c r="L3281" s="11"/>
      <c r="M3281" s="9"/>
      <c r="N3281" s="9"/>
      <c r="O3281" s="9"/>
      <c r="P3281" s="9"/>
    </row>
    <row r="3282" spans="12:16" x14ac:dyDescent="0.4">
      <c r="L3282" s="11"/>
      <c r="M3282" s="9"/>
      <c r="N3282" s="9"/>
      <c r="O3282" s="9"/>
      <c r="P3282" s="9"/>
    </row>
    <row r="3283" spans="12:16" x14ac:dyDescent="0.4">
      <c r="L3283" s="11"/>
      <c r="M3283" s="9"/>
      <c r="N3283" s="9"/>
      <c r="O3283" s="9"/>
      <c r="P3283" s="9"/>
    </row>
    <row r="3284" spans="12:16" x14ac:dyDescent="0.4">
      <c r="L3284" s="11"/>
      <c r="M3284" s="9"/>
      <c r="N3284" s="9"/>
      <c r="O3284" s="9"/>
      <c r="P3284" s="9"/>
    </row>
    <row r="3285" spans="12:16" x14ac:dyDescent="0.4">
      <c r="L3285" s="11"/>
      <c r="M3285" s="9"/>
      <c r="N3285" s="9"/>
      <c r="O3285" s="9"/>
      <c r="P3285" s="9"/>
    </row>
    <row r="3286" spans="12:16" x14ac:dyDescent="0.4">
      <c r="L3286" s="11"/>
      <c r="M3286" s="9"/>
      <c r="N3286" s="9"/>
      <c r="O3286" s="9"/>
      <c r="P3286" s="9"/>
    </row>
    <row r="3287" spans="12:16" x14ac:dyDescent="0.4">
      <c r="L3287" s="11"/>
      <c r="M3287" s="9"/>
      <c r="N3287" s="9"/>
      <c r="O3287" s="9"/>
      <c r="P3287" s="9"/>
    </row>
    <row r="3288" spans="12:16" x14ac:dyDescent="0.4">
      <c r="L3288" s="11"/>
      <c r="M3288" s="9"/>
      <c r="N3288" s="9"/>
      <c r="O3288" s="9"/>
      <c r="P3288" s="9"/>
    </row>
    <row r="3289" spans="12:16" x14ac:dyDescent="0.4">
      <c r="L3289" s="11"/>
      <c r="M3289" s="9"/>
      <c r="N3289" s="9"/>
      <c r="O3289" s="9"/>
      <c r="P3289" s="9"/>
    </row>
    <row r="3290" spans="12:16" x14ac:dyDescent="0.4">
      <c r="L3290" s="11"/>
      <c r="M3290" s="9"/>
      <c r="N3290" s="9"/>
      <c r="O3290" s="9"/>
      <c r="P3290" s="9"/>
    </row>
    <row r="3291" spans="12:16" x14ac:dyDescent="0.4">
      <c r="L3291" s="11"/>
      <c r="M3291" s="9"/>
      <c r="N3291" s="9"/>
      <c r="O3291" s="9"/>
      <c r="P3291" s="9"/>
    </row>
    <row r="3292" spans="12:16" x14ac:dyDescent="0.4">
      <c r="L3292" s="11"/>
      <c r="M3292" s="9"/>
      <c r="N3292" s="9"/>
      <c r="O3292" s="9"/>
      <c r="P3292" s="9"/>
    </row>
    <row r="3293" spans="12:16" x14ac:dyDescent="0.4">
      <c r="L3293" s="11"/>
      <c r="M3293" s="9"/>
      <c r="N3293" s="9"/>
      <c r="O3293" s="9"/>
      <c r="P3293" s="9"/>
    </row>
    <row r="3294" spans="12:16" x14ac:dyDescent="0.4">
      <c r="L3294" s="11"/>
      <c r="M3294" s="9"/>
      <c r="N3294" s="9"/>
      <c r="O3294" s="9"/>
      <c r="P3294" s="9"/>
    </row>
    <row r="3295" spans="12:16" x14ac:dyDescent="0.4">
      <c r="L3295" s="11"/>
      <c r="M3295" s="9"/>
      <c r="N3295" s="9"/>
      <c r="O3295" s="9"/>
      <c r="P3295" s="9"/>
    </row>
    <row r="3296" spans="12:16" x14ac:dyDescent="0.4">
      <c r="L3296" s="11"/>
      <c r="M3296" s="9"/>
      <c r="N3296" s="9"/>
      <c r="O3296" s="9"/>
      <c r="P3296" s="9"/>
    </row>
    <row r="3297" spans="12:16" x14ac:dyDescent="0.4">
      <c r="L3297" s="11"/>
      <c r="M3297" s="9"/>
      <c r="N3297" s="9"/>
      <c r="O3297" s="9"/>
      <c r="P3297" s="9"/>
    </row>
    <row r="3298" spans="12:16" x14ac:dyDescent="0.4">
      <c r="L3298" s="11"/>
      <c r="M3298" s="9"/>
      <c r="N3298" s="9"/>
      <c r="O3298" s="9"/>
      <c r="P3298" s="9"/>
    </row>
    <row r="3299" spans="12:16" x14ac:dyDescent="0.4">
      <c r="L3299" s="11"/>
      <c r="M3299" s="9"/>
      <c r="N3299" s="9"/>
      <c r="O3299" s="9"/>
      <c r="P3299" s="9"/>
    </row>
    <row r="3300" spans="12:16" x14ac:dyDescent="0.4">
      <c r="L3300" s="11"/>
      <c r="M3300" s="9"/>
      <c r="N3300" s="9"/>
      <c r="O3300" s="9"/>
      <c r="P3300" s="9"/>
    </row>
    <row r="3301" spans="12:16" x14ac:dyDescent="0.4">
      <c r="L3301" s="11"/>
      <c r="M3301" s="9"/>
      <c r="N3301" s="9"/>
      <c r="O3301" s="9"/>
      <c r="P3301" s="9"/>
    </row>
    <row r="3302" spans="12:16" x14ac:dyDescent="0.4">
      <c r="L3302" s="11"/>
      <c r="M3302" s="9"/>
      <c r="N3302" s="9"/>
      <c r="O3302" s="9"/>
      <c r="P3302" s="9"/>
    </row>
    <row r="3303" spans="12:16" x14ac:dyDescent="0.4">
      <c r="L3303" s="11"/>
      <c r="M3303" s="9"/>
      <c r="N3303" s="9"/>
      <c r="O3303" s="9"/>
      <c r="P3303" s="9"/>
    </row>
    <row r="3304" spans="12:16" x14ac:dyDescent="0.4">
      <c r="L3304" s="11"/>
      <c r="M3304" s="9"/>
      <c r="N3304" s="9"/>
      <c r="O3304" s="9"/>
      <c r="P3304" s="9"/>
    </row>
    <row r="3305" spans="12:16" x14ac:dyDescent="0.4">
      <c r="L3305" s="11"/>
      <c r="M3305" s="9"/>
      <c r="N3305" s="9"/>
      <c r="O3305" s="9"/>
      <c r="P3305" s="9"/>
    </row>
    <row r="3306" spans="12:16" x14ac:dyDescent="0.4">
      <c r="L3306" s="11"/>
      <c r="M3306" s="9"/>
      <c r="N3306" s="9"/>
      <c r="O3306" s="9"/>
      <c r="P3306" s="9"/>
    </row>
    <row r="3307" spans="12:16" x14ac:dyDescent="0.4">
      <c r="L3307" s="11"/>
      <c r="M3307" s="9"/>
      <c r="N3307" s="9"/>
      <c r="O3307" s="9"/>
      <c r="P3307" s="9"/>
    </row>
    <row r="3308" spans="12:16" x14ac:dyDescent="0.4">
      <c r="L3308" s="11"/>
      <c r="M3308" s="9"/>
      <c r="N3308" s="9"/>
      <c r="O3308" s="9"/>
      <c r="P3308" s="9"/>
    </row>
    <row r="3309" spans="12:16" x14ac:dyDescent="0.4">
      <c r="L3309" s="11"/>
      <c r="M3309" s="9"/>
      <c r="N3309" s="9"/>
      <c r="O3309" s="9"/>
      <c r="P3309" s="9"/>
    </row>
    <row r="3310" spans="12:16" x14ac:dyDescent="0.4">
      <c r="L3310" s="11"/>
      <c r="M3310" s="9"/>
      <c r="N3310" s="9"/>
      <c r="O3310" s="9"/>
      <c r="P3310" s="9"/>
    </row>
    <row r="3311" spans="12:16" x14ac:dyDescent="0.4">
      <c r="L3311" s="11"/>
      <c r="M3311" s="9"/>
      <c r="N3311" s="9"/>
      <c r="O3311" s="9"/>
      <c r="P3311" s="9"/>
    </row>
    <row r="3312" spans="12:16" x14ac:dyDescent="0.4">
      <c r="L3312" s="11"/>
      <c r="M3312" s="9"/>
      <c r="N3312" s="9"/>
      <c r="O3312" s="9"/>
      <c r="P3312" s="9"/>
    </row>
    <row r="3313" spans="12:16" x14ac:dyDescent="0.4">
      <c r="L3313" s="11"/>
      <c r="M3313" s="9"/>
      <c r="N3313" s="9"/>
      <c r="O3313" s="9"/>
      <c r="P3313" s="9"/>
    </row>
    <row r="3314" spans="12:16" x14ac:dyDescent="0.4">
      <c r="L3314" s="11"/>
      <c r="M3314" s="9"/>
      <c r="N3314" s="9"/>
      <c r="O3314" s="9"/>
      <c r="P3314" s="9"/>
    </row>
    <row r="3315" spans="12:16" x14ac:dyDescent="0.4">
      <c r="L3315" s="11"/>
      <c r="M3315" s="9"/>
      <c r="N3315" s="9"/>
      <c r="O3315" s="9"/>
      <c r="P3315" s="9"/>
    </row>
    <row r="3316" spans="12:16" x14ac:dyDescent="0.4">
      <c r="L3316" s="11"/>
      <c r="M3316" s="9"/>
      <c r="N3316" s="9"/>
      <c r="O3316" s="9"/>
      <c r="P3316" s="9"/>
    </row>
    <row r="3317" spans="12:16" x14ac:dyDescent="0.4">
      <c r="L3317" s="11"/>
      <c r="M3317" s="9"/>
      <c r="N3317" s="9"/>
      <c r="O3317" s="9"/>
      <c r="P3317" s="9"/>
    </row>
    <row r="3318" spans="12:16" x14ac:dyDescent="0.4">
      <c r="L3318" s="11"/>
      <c r="M3318" s="9"/>
      <c r="N3318" s="9"/>
      <c r="O3318" s="9"/>
      <c r="P3318" s="9"/>
    </row>
    <row r="3319" spans="12:16" x14ac:dyDescent="0.4">
      <c r="L3319" s="11"/>
      <c r="M3319" s="9"/>
      <c r="N3319" s="9"/>
      <c r="O3319" s="9"/>
      <c r="P3319" s="9"/>
    </row>
    <row r="3320" spans="12:16" x14ac:dyDescent="0.4">
      <c r="L3320" s="11"/>
      <c r="M3320" s="9"/>
      <c r="N3320" s="9"/>
      <c r="O3320" s="9"/>
      <c r="P3320" s="9"/>
    </row>
    <row r="3321" spans="12:16" x14ac:dyDescent="0.4">
      <c r="L3321" s="11"/>
      <c r="M3321" s="9"/>
      <c r="N3321" s="9"/>
      <c r="O3321" s="9"/>
      <c r="P3321" s="9"/>
    </row>
    <row r="3322" spans="12:16" x14ac:dyDescent="0.4">
      <c r="L3322" s="11"/>
      <c r="M3322" s="9"/>
      <c r="N3322" s="9"/>
      <c r="O3322" s="9"/>
      <c r="P3322" s="9"/>
    </row>
    <row r="3323" spans="12:16" x14ac:dyDescent="0.4">
      <c r="L3323" s="11"/>
      <c r="M3323" s="9"/>
      <c r="N3323" s="9"/>
      <c r="O3323" s="9"/>
      <c r="P3323" s="9"/>
    </row>
    <row r="3324" spans="12:16" x14ac:dyDescent="0.4">
      <c r="L3324" s="11"/>
      <c r="M3324" s="9"/>
      <c r="N3324" s="9"/>
      <c r="O3324" s="9"/>
      <c r="P3324" s="9"/>
    </row>
    <row r="3325" spans="12:16" x14ac:dyDescent="0.4">
      <c r="L3325" s="11"/>
      <c r="M3325" s="9"/>
      <c r="N3325" s="9"/>
      <c r="O3325" s="9"/>
      <c r="P3325" s="9"/>
    </row>
    <row r="3326" spans="12:16" x14ac:dyDescent="0.4">
      <c r="L3326" s="11"/>
      <c r="M3326" s="9"/>
      <c r="N3326" s="9"/>
      <c r="O3326" s="9"/>
      <c r="P3326" s="9"/>
    </row>
    <row r="3327" spans="12:16" x14ac:dyDescent="0.4">
      <c r="L3327" s="11"/>
      <c r="M3327" s="9"/>
      <c r="N3327" s="9"/>
      <c r="O3327" s="9"/>
      <c r="P3327" s="9"/>
    </row>
    <row r="3328" spans="12:16" x14ac:dyDescent="0.4">
      <c r="L3328" s="11"/>
      <c r="M3328" s="9"/>
      <c r="N3328" s="9"/>
      <c r="O3328" s="9"/>
      <c r="P3328" s="9"/>
    </row>
    <row r="3329" spans="12:16" x14ac:dyDescent="0.4">
      <c r="L3329" s="11"/>
      <c r="M3329" s="9"/>
      <c r="N3329" s="9"/>
      <c r="O3329" s="9"/>
      <c r="P3329" s="9"/>
    </row>
    <row r="3330" spans="12:16" x14ac:dyDescent="0.4">
      <c r="L3330" s="11"/>
      <c r="M3330" s="9"/>
      <c r="N3330" s="9"/>
      <c r="O3330" s="9"/>
      <c r="P3330" s="9"/>
    </row>
    <row r="3331" spans="12:16" x14ac:dyDescent="0.4">
      <c r="L3331" s="11"/>
      <c r="M3331" s="9"/>
      <c r="N3331" s="9"/>
      <c r="O3331" s="9"/>
      <c r="P3331" s="9"/>
    </row>
    <row r="3332" spans="12:16" x14ac:dyDescent="0.4">
      <c r="L3332" s="11"/>
      <c r="M3332" s="9"/>
      <c r="N3332" s="9"/>
      <c r="O3332" s="9"/>
      <c r="P3332" s="9"/>
    </row>
    <row r="3333" spans="12:16" x14ac:dyDescent="0.4">
      <c r="L3333" s="11"/>
      <c r="M3333" s="9"/>
      <c r="N3333" s="9"/>
      <c r="O3333" s="9"/>
      <c r="P3333" s="9"/>
    </row>
    <row r="3334" spans="12:16" x14ac:dyDescent="0.4">
      <c r="L3334" s="11"/>
      <c r="M3334" s="9"/>
      <c r="N3334" s="9"/>
      <c r="O3334" s="9"/>
      <c r="P3334" s="9"/>
    </row>
    <row r="3335" spans="12:16" x14ac:dyDescent="0.4">
      <c r="L3335" s="11"/>
      <c r="M3335" s="9"/>
      <c r="N3335" s="9"/>
      <c r="O3335" s="9"/>
      <c r="P3335" s="9"/>
    </row>
    <row r="3336" spans="12:16" x14ac:dyDescent="0.4">
      <c r="L3336" s="11"/>
      <c r="M3336" s="9"/>
      <c r="N3336" s="9"/>
      <c r="O3336" s="9"/>
      <c r="P3336" s="9"/>
    </row>
    <row r="3337" spans="12:16" x14ac:dyDescent="0.4">
      <c r="L3337" s="11"/>
      <c r="M3337" s="9"/>
      <c r="N3337" s="9"/>
      <c r="O3337" s="9"/>
      <c r="P3337" s="9"/>
    </row>
    <row r="3338" spans="12:16" x14ac:dyDescent="0.4">
      <c r="L3338" s="11"/>
      <c r="M3338" s="9"/>
      <c r="N3338" s="9"/>
      <c r="O3338" s="9"/>
      <c r="P3338" s="9"/>
    </row>
    <row r="3339" spans="12:16" x14ac:dyDescent="0.4">
      <c r="L3339" s="11"/>
      <c r="M3339" s="9"/>
      <c r="N3339" s="9"/>
      <c r="O3339" s="9"/>
      <c r="P3339" s="9"/>
    </row>
    <row r="3340" spans="12:16" x14ac:dyDescent="0.4">
      <c r="L3340" s="11"/>
      <c r="M3340" s="9"/>
      <c r="N3340" s="9"/>
      <c r="O3340" s="9"/>
      <c r="P3340" s="9"/>
    </row>
    <row r="3341" spans="12:16" x14ac:dyDescent="0.4">
      <c r="L3341" s="11"/>
      <c r="M3341" s="9"/>
      <c r="N3341" s="9"/>
      <c r="O3341" s="9"/>
      <c r="P3341" s="9"/>
    </row>
    <row r="3342" spans="12:16" x14ac:dyDescent="0.4">
      <c r="L3342" s="11"/>
      <c r="M3342" s="9"/>
      <c r="N3342" s="9"/>
      <c r="O3342" s="9"/>
      <c r="P3342" s="9"/>
    </row>
    <row r="3343" spans="12:16" x14ac:dyDescent="0.4">
      <c r="L3343" s="11"/>
      <c r="M3343" s="9"/>
      <c r="N3343" s="9"/>
      <c r="O3343" s="9"/>
      <c r="P3343" s="9"/>
    </row>
    <row r="3344" spans="12:16" x14ac:dyDescent="0.4">
      <c r="L3344" s="11"/>
      <c r="M3344" s="9"/>
      <c r="N3344" s="9"/>
      <c r="O3344" s="9"/>
      <c r="P3344" s="9"/>
    </row>
    <row r="3345" spans="12:16" x14ac:dyDescent="0.4">
      <c r="L3345" s="11"/>
      <c r="M3345" s="9"/>
      <c r="N3345" s="9"/>
      <c r="O3345" s="9"/>
      <c r="P3345" s="9"/>
    </row>
    <row r="3346" spans="12:16" x14ac:dyDescent="0.4">
      <c r="L3346" s="11"/>
      <c r="M3346" s="9"/>
      <c r="N3346" s="9"/>
      <c r="O3346" s="9"/>
      <c r="P3346" s="9"/>
    </row>
    <row r="3347" spans="12:16" x14ac:dyDescent="0.4">
      <c r="L3347" s="11"/>
      <c r="M3347" s="9"/>
      <c r="N3347" s="9"/>
      <c r="O3347" s="9"/>
      <c r="P3347" s="9"/>
    </row>
    <row r="3348" spans="12:16" x14ac:dyDescent="0.4">
      <c r="L3348" s="11"/>
      <c r="M3348" s="9"/>
      <c r="N3348" s="9"/>
      <c r="O3348" s="9"/>
      <c r="P3348" s="9"/>
    </row>
    <row r="3349" spans="12:16" x14ac:dyDescent="0.4">
      <c r="L3349" s="11"/>
      <c r="M3349" s="9"/>
      <c r="N3349" s="9"/>
      <c r="O3349" s="9"/>
      <c r="P3349" s="9"/>
    </row>
    <row r="3350" spans="12:16" x14ac:dyDescent="0.4">
      <c r="L3350" s="11"/>
      <c r="M3350" s="9"/>
      <c r="N3350" s="9"/>
      <c r="O3350" s="9"/>
      <c r="P3350" s="9"/>
    </row>
    <row r="3351" spans="12:16" x14ac:dyDescent="0.4">
      <c r="L3351" s="11"/>
      <c r="M3351" s="9"/>
      <c r="N3351" s="9"/>
      <c r="O3351" s="9"/>
      <c r="P3351" s="9"/>
    </row>
    <row r="3352" spans="12:16" x14ac:dyDescent="0.4">
      <c r="L3352" s="11"/>
      <c r="M3352" s="9"/>
      <c r="N3352" s="9"/>
      <c r="O3352" s="9"/>
      <c r="P3352" s="9"/>
    </row>
    <row r="3353" spans="12:16" x14ac:dyDescent="0.4">
      <c r="L3353" s="11"/>
      <c r="M3353" s="9"/>
      <c r="N3353" s="9"/>
      <c r="O3353" s="9"/>
      <c r="P3353" s="9"/>
    </row>
    <row r="3354" spans="12:16" x14ac:dyDescent="0.4">
      <c r="L3354" s="11"/>
      <c r="M3354" s="9"/>
      <c r="N3354" s="9"/>
      <c r="O3354" s="9"/>
      <c r="P3354" s="9"/>
    </row>
    <row r="3355" spans="12:16" x14ac:dyDescent="0.4">
      <c r="L3355" s="11"/>
      <c r="M3355" s="9"/>
      <c r="N3355" s="9"/>
      <c r="O3355" s="9"/>
      <c r="P3355" s="9"/>
    </row>
    <row r="3356" spans="12:16" x14ac:dyDescent="0.4">
      <c r="L3356" s="11"/>
      <c r="M3356" s="9"/>
      <c r="N3356" s="9"/>
      <c r="O3356" s="9"/>
      <c r="P3356" s="9"/>
    </row>
    <row r="3357" spans="12:16" x14ac:dyDescent="0.4">
      <c r="L3357" s="11"/>
      <c r="M3357" s="9"/>
      <c r="N3357" s="9"/>
      <c r="O3357" s="9"/>
      <c r="P3357" s="9"/>
    </row>
    <row r="3358" spans="12:16" x14ac:dyDescent="0.4">
      <c r="L3358" s="11"/>
      <c r="M3358" s="9"/>
      <c r="N3358" s="9"/>
      <c r="O3358" s="9"/>
      <c r="P3358" s="9"/>
    </row>
    <row r="3359" spans="12:16" x14ac:dyDescent="0.4">
      <c r="L3359" s="11"/>
      <c r="M3359" s="9"/>
      <c r="N3359" s="9"/>
      <c r="O3359" s="9"/>
      <c r="P3359" s="9"/>
    </row>
    <row r="3360" spans="12:16" x14ac:dyDescent="0.4">
      <c r="L3360" s="11"/>
      <c r="M3360" s="9"/>
      <c r="N3360" s="9"/>
      <c r="O3360" s="9"/>
      <c r="P3360" s="9"/>
    </row>
    <row r="3361" spans="12:16" x14ac:dyDescent="0.4">
      <c r="L3361" s="11"/>
      <c r="M3361" s="9"/>
      <c r="N3361" s="9"/>
      <c r="O3361" s="9"/>
      <c r="P3361" s="9"/>
    </row>
    <row r="3362" spans="12:16" x14ac:dyDescent="0.4">
      <c r="L3362" s="11"/>
      <c r="M3362" s="9"/>
      <c r="N3362" s="9"/>
      <c r="O3362" s="9"/>
      <c r="P3362" s="9"/>
    </row>
    <row r="3363" spans="12:16" x14ac:dyDescent="0.4">
      <c r="L3363" s="11"/>
      <c r="M3363" s="9"/>
      <c r="N3363" s="9"/>
      <c r="O3363" s="9"/>
      <c r="P3363" s="9"/>
    </row>
    <row r="3364" spans="12:16" x14ac:dyDescent="0.4">
      <c r="L3364" s="11"/>
      <c r="M3364" s="9"/>
      <c r="N3364" s="9"/>
      <c r="O3364" s="9"/>
      <c r="P3364" s="9"/>
    </row>
    <row r="3365" spans="12:16" x14ac:dyDescent="0.4">
      <c r="L3365" s="11"/>
      <c r="M3365" s="9"/>
      <c r="N3365" s="9"/>
      <c r="O3365" s="9"/>
      <c r="P3365" s="9"/>
    </row>
    <row r="3366" spans="12:16" x14ac:dyDescent="0.4">
      <c r="L3366" s="11"/>
      <c r="M3366" s="9"/>
      <c r="N3366" s="9"/>
      <c r="O3366" s="9"/>
      <c r="P3366" s="9"/>
    </row>
    <row r="3367" spans="12:16" x14ac:dyDescent="0.4">
      <c r="L3367" s="11"/>
      <c r="M3367" s="9"/>
      <c r="N3367" s="9"/>
      <c r="O3367" s="9"/>
      <c r="P3367" s="9"/>
    </row>
    <row r="3368" spans="12:16" x14ac:dyDescent="0.4">
      <c r="L3368" s="11"/>
      <c r="M3368" s="9"/>
      <c r="N3368" s="9"/>
      <c r="O3368" s="9"/>
      <c r="P3368" s="9"/>
    </row>
    <row r="3369" spans="12:16" x14ac:dyDescent="0.4">
      <c r="L3369" s="11"/>
      <c r="M3369" s="9"/>
      <c r="N3369" s="9"/>
      <c r="O3369" s="9"/>
      <c r="P3369" s="9"/>
    </row>
    <row r="3370" spans="12:16" x14ac:dyDescent="0.4">
      <c r="L3370" s="11"/>
      <c r="M3370" s="9"/>
      <c r="N3370" s="9"/>
      <c r="O3370" s="9"/>
      <c r="P3370" s="9"/>
    </row>
    <row r="3371" spans="12:16" x14ac:dyDescent="0.4">
      <c r="L3371" s="11"/>
      <c r="M3371" s="9"/>
      <c r="N3371" s="9"/>
      <c r="O3371" s="9"/>
      <c r="P3371" s="9"/>
    </row>
    <row r="3372" spans="12:16" x14ac:dyDescent="0.4">
      <c r="L3372" s="11"/>
      <c r="M3372" s="9"/>
      <c r="N3372" s="9"/>
      <c r="O3372" s="9"/>
      <c r="P3372" s="9"/>
    </row>
    <row r="3373" spans="12:16" x14ac:dyDescent="0.4">
      <c r="L3373" s="11"/>
      <c r="M3373" s="9"/>
      <c r="N3373" s="9"/>
      <c r="O3373" s="9"/>
      <c r="P3373" s="9"/>
    </row>
    <row r="3374" spans="12:16" x14ac:dyDescent="0.4">
      <c r="L3374" s="11"/>
      <c r="M3374" s="9"/>
      <c r="N3374" s="9"/>
      <c r="O3374" s="9"/>
      <c r="P3374" s="9"/>
    </row>
    <row r="3375" spans="12:16" x14ac:dyDescent="0.4">
      <c r="L3375" s="11"/>
      <c r="M3375" s="9"/>
      <c r="N3375" s="9"/>
      <c r="O3375" s="9"/>
      <c r="P3375" s="9"/>
    </row>
    <row r="3376" spans="12:16" x14ac:dyDescent="0.4">
      <c r="L3376" s="11"/>
      <c r="M3376" s="9"/>
      <c r="N3376" s="9"/>
      <c r="O3376" s="9"/>
      <c r="P3376" s="9"/>
    </row>
    <row r="3377" spans="12:16" x14ac:dyDescent="0.4">
      <c r="L3377" s="11"/>
      <c r="M3377" s="9"/>
      <c r="N3377" s="9"/>
      <c r="O3377" s="9"/>
      <c r="P3377" s="9"/>
    </row>
    <row r="3378" spans="12:16" x14ac:dyDescent="0.4">
      <c r="L3378" s="11"/>
      <c r="M3378" s="9"/>
      <c r="N3378" s="9"/>
      <c r="O3378" s="9"/>
      <c r="P3378" s="9"/>
    </row>
    <row r="3379" spans="12:16" x14ac:dyDescent="0.4">
      <c r="L3379" s="11"/>
      <c r="M3379" s="9"/>
      <c r="N3379" s="9"/>
      <c r="O3379" s="9"/>
      <c r="P3379" s="9"/>
    </row>
    <row r="3380" spans="12:16" x14ac:dyDescent="0.4">
      <c r="L3380" s="11"/>
      <c r="M3380" s="9"/>
      <c r="N3380" s="9"/>
      <c r="O3380" s="9"/>
      <c r="P3380" s="9"/>
    </row>
    <row r="3381" spans="12:16" x14ac:dyDescent="0.4">
      <c r="L3381" s="11"/>
      <c r="M3381" s="9"/>
      <c r="N3381" s="9"/>
      <c r="O3381" s="9"/>
      <c r="P3381" s="9"/>
    </row>
    <row r="3382" spans="12:16" x14ac:dyDescent="0.4">
      <c r="L3382" s="11"/>
      <c r="M3382" s="9"/>
      <c r="N3382" s="9"/>
      <c r="O3382" s="9"/>
      <c r="P3382" s="9"/>
    </row>
    <row r="3383" spans="12:16" x14ac:dyDescent="0.4">
      <c r="L3383" s="11"/>
      <c r="M3383" s="9"/>
      <c r="N3383" s="9"/>
      <c r="O3383" s="9"/>
      <c r="P3383" s="9"/>
    </row>
    <row r="3384" spans="12:16" x14ac:dyDescent="0.4">
      <c r="L3384" s="11"/>
      <c r="M3384" s="9"/>
      <c r="N3384" s="9"/>
      <c r="O3384" s="9"/>
      <c r="P3384" s="9"/>
    </row>
    <row r="3385" spans="12:16" x14ac:dyDescent="0.4">
      <c r="L3385" s="11"/>
      <c r="M3385" s="9"/>
      <c r="N3385" s="9"/>
      <c r="O3385" s="9"/>
      <c r="P3385" s="9"/>
    </row>
    <row r="3386" spans="12:16" x14ac:dyDescent="0.4">
      <c r="L3386" s="11"/>
      <c r="M3386" s="9"/>
      <c r="N3386" s="9"/>
      <c r="O3386" s="9"/>
      <c r="P3386" s="9"/>
    </row>
    <row r="3387" spans="12:16" x14ac:dyDescent="0.4">
      <c r="L3387" s="11"/>
      <c r="M3387" s="9"/>
      <c r="N3387" s="9"/>
      <c r="O3387" s="9"/>
      <c r="P3387" s="9"/>
    </row>
    <row r="3388" spans="12:16" x14ac:dyDescent="0.4">
      <c r="L3388" s="11"/>
      <c r="M3388" s="9"/>
      <c r="N3388" s="9"/>
      <c r="O3388" s="9"/>
      <c r="P3388" s="9"/>
    </row>
    <row r="3389" spans="12:16" x14ac:dyDescent="0.4">
      <c r="L3389" s="11"/>
      <c r="M3389" s="9"/>
      <c r="N3389" s="9"/>
      <c r="O3389" s="9"/>
      <c r="P3389" s="9"/>
    </row>
    <row r="3390" spans="12:16" x14ac:dyDescent="0.4">
      <c r="L3390" s="11"/>
      <c r="M3390" s="9"/>
      <c r="N3390" s="9"/>
      <c r="O3390" s="9"/>
      <c r="P3390" s="9"/>
    </row>
    <row r="3391" spans="12:16" x14ac:dyDescent="0.4">
      <c r="L3391" s="11"/>
      <c r="M3391" s="9"/>
      <c r="N3391" s="9"/>
      <c r="O3391" s="9"/>
      <c r="P3391" s="9"/>
    </row>
    <row r="3392" spans="12:16" x14ac:dyDescent="0.4">
      <c r="L3392" s="11"/>
      <c r="M3392" s="9"/>
      <c r="N3392" s="9"/>
      <c r="O3392" s="9"/>
      <c r="P3392" s="9"/>
    </row>
    <row r="3393" spans="12:16" x14ac:dyDescent="0.4">
      <c r="L3393" s="11"/>
      <c r="M3393" s="9"/>
      <c r="N3393" s="9"/>
      <c r="O3393" s="9"/>
      <c r="P3393" s="9"/>
    </row>
    <row r="3394" spans="12:16" x14ac:dyDescent="0.4">
      <c r="L3394" s="11"/>
      <c r="M3394" s="9"/>
      <c r="N3394" s="9"/>
      <c r="O3394" s="9"/>
      <c r="P3394" s="9"/>
    </row>
    <row r="3395" spans="12:16" x14ac:dyDescent="0.4">
      <c r="L3395" s="11"/>
      <c r="M3395" s="9"/>
      <c r="N3395" s="9"/>
      <c r="O3395" s="9"/>
      <c r="P3395" s="9"/>
    </row>
    <row r="3396" spans="12:16" x14ac:dyDescent="0.4">
      <c r="L3396" s="11"/>
      <c r="M3396" s="9"/>
      <c r="N3396" s="9"/>
      <c r="O3396" s="9"/>
      <c r="P3396" s="9"/>
    </row>
    <row r="3397" spans="12:16" x14ac:dyDescent="0.4">
      <c r="L3397" s="11"/>
      <c r="M3397" s="9"/>
      <c r="N3397" s="9"/>
      <c r="O3397" s="9"/>
      <c r="P3397" s="9"/>
    </row>
    <row r="3398" spans="12:16" x14ac:dyDescent="0.4">
      <c r="L3398" s="11"/>
      <c r="M3398" s="9"/>
      <c r="N3398" s="9"/>
      <c r="O3398" s="9"/>
      <c r="P3398" s="9"/>
    </row>
    <row r="3399" spans="12:16" x14ac:dyDescent="0.4">
      <c r="L3399" s="11"/>
      <c r="M3399" s="9"/>
      <c r="N3399" s="9"/>
      <c r="O3399" s="9"/>
      <c r="P3399" s="9"/>
    </row>
    <row r="3400" spans="12:16" x14ac:dyDescent="0.4">
      <c r="L3400" s="11"/>
      <c r="M3400" s="9"/>
      <c r="N3400" s="9"/>
      <c r="O3400" s="9"/>
      <c r="P3400" s="9"/>
    </row>
    <row r="3401" spans="12:16" x14ac:dyDescent="0.4">
      <c r="L3401" s="11"/>
      <c r="M3401" s="9"/>
      <c r="N3401" s="9"/>
      <c r="O3401" s="9"/>
      <c r="P3401" s="9"/>
    </row>
    <row r="3402" spans="12:16" x14ac:dyDescent="0.4">
      <c r="L3402" s="11"/>
      <c r="M3402" s="9"/>
      <c r="N3402" s="9"/>
      <c r="O3402" s="9"/>
      <c r="P3402" s="9"/>
    </row>
    <row r="3403" spans="12:16" x14ac:dyDescent="0.4">
      <c r="L3403" s="11"/>
      <c r="M3403" s="9"/>
      <c r="N3403" s="9"/>
      <c r="O3403" s="9"/>
      <c r="P3403" s="9"/>
    </row>
    <row r="3404" spans="12:16" x14ac:dyDescent="0.4">
      <c r="L3404" s="11"/>
      <c r="M3404" s="9"/>
      <c r="N3404" s="9"/>
      <c r="O3404" s="9"/>
      <c r="P3404" s="9"/>
    </row>
    <row r="3405" spans="12:16" x14ac:dyDescent="0.4">
      <c r="L3405" s="11"/>
      <c r="M3405" s="9"/>
      <c r="N3405" s="9"/>
      <c r="O3405" s="9"/>
      <c r="P3405" s="9"/>
    </row>
    <row r="3406" spans="12:16" x14ac:dyDescent="0.4">
      <c r="L3406" s="11"/>
      <c r="M3406" s="9"/>
      <c r="N3406" s="9"/>
      <c r="O3406" s="9"/>
      <c r="P3406" s="9"/>
    </row>
    <row r="3407" spans="12:16" x14ac:dyDescent="0.4">
      <c r="L3407" s="11"/>
      <c r="M3407" s="9"/>
      <c r="N3407" s="9"/>
      <c r="O3407" s="9"/>
      <c r="P3407" s="9"/>
    </row>
    <row r="3408" spans="12:16" x14ac:dyDescent="0.4">
      <c r="L3408" s="11"/>
      <c r="M3408" s="9"/>
      <c r="N3408" s="9"/>
      <c r="O3408" s="9"/>
      <c r="P3408" s="9"/>
    </row>
    <row r="3409" spans="12:16" x14ac:dyDescent="0.4">
      <c r="L3409" s="11"/>
      <c r="M3409" s="9"/>
      <c r="N3409" s="9"/>
      <c r="O3409" s="9"/>
      <c r="P3409" s="9"/>
    </row>
    <row r="3410" spans="12:16" x14ac:dyDescent="0.4">
      <c r="L3410" s="11"/>
      <c r="M3410" s="9"/>
      <c r="N3410" s="9"/>
      <c r="O3410" s="9"/>
      <c r="P3410" s="9"/>
    </row>
    <row r="3411" spans="12:16" x14ac:dyDescent="0.4">
      <c r="L3411" s="11"/>
      <c r="M3411" s="9"/>
      <c r="N3411" s="9"/>
      <c r="O3411" s="9"/>
      <c r="P3411" s="9"/>
    </row>
    <row r="3412" spans="12:16" x14ac:dyDescent="0.4">
      <c r="L3412" s="11"/>
      <c r="M3412" s="9"/>
      <c r="N3412" s="9"/>
      <c r="O3412" s="9"/>
      <c r="P3412" s="9"/>
    </row>
    <row r="3413" spans="12:16" x14ac:dyDescent="0.4">
      <c r="L3413" s="11"/>
      <c r="M3413" s="9"/>
      <c r="N3413" s="9"/>
      <c r="O3413" s="9"/>
      <c r="P3413" s="9"/>
    </row>
    <row r="3414" spans="12:16" x14ac:dyDescent="0.4">
      <c r="L3414" s="11"/>
      <c r="M3414" s="9"/>
      <c r="N3414" s="9"/>
      <c r="O3414" s="9"/>
      <c r="P3414" s="9"/>
    </row>
    <row r="3415" spans="12:16" x14ac:dyDescent="0.4">
      <c r="L3415" s="11"/>
      <c r="M3415" s="9"/>
      <c r="N3415" s="9"/>
      <c r="O3415" s="9"/>
      <c r="P3415" s="9"/>
    </row>
    <row r="3416" spans="12:16" x14ac:dyDescent="0.4">
      <c r="L3416" s="11"/>
      <c r="M3416" s="9"/>
      <c r="N3416" s="9"/>
      <c r="O3416" s="9"/>
      <c r="P3416" s="9"/>
    </row>
    <row r="3417" spans="12:16" x14ac:dyDescent="0.4">
      <c r="L3417" s="11"/>
      <c r="M3417" s="9"/>
      <c r="N3417" s="9"/>
      <c r="O3417" s="9"/>
      <c r="P3417" s="9"/>
    </row>
    <row r="3418" spans="12:16" x14ac:dyDescent="0.4">
      <c r="L3418" s="11"/>
      <c r="M3418" s="9"/>
      <c r="N3418" s="9"/>
      <c r="O3418" s="9"/>
      <c r="P3418" s="9"/>
    </row>
    <row r="3419" spans="12:16" x14ac:dyDescent="0.4">
      <c r="L3419" s="11"/>
      <c r="M3419" s="9"/>
      <c r="N3419" s="9"/>
      <c r="O3419" s="9"/>
      <c r="P3419" s="9"/>
    </row>
    <row r="3420" spans="12:16" x14ac:dyDescent="0.4">
      <c r="L3420" s="11"/>
      <c r="M3420" s="9"/>
      <c r="N3420" s="9"/>
      <c r="O3420" s="9"/>
      <c r="P3420" s="9"/>
    </row>
    <row r="3421" spans="12:16" x14ac:dyDescent="0.4">
      <c r="L3421" s="11"/>
      <c r="M3421" s="9"/>
      <c r="N3421" s="9"/>
      <c r="O3421" s="9"/>
      <c r="P3421" s="9"/>
    </row>
    <row r="3422" spans="12:16" x14ac:dyDescent="0.4">
      <c r="L3422" s="11"/>
      <c r="M3422" s="9"/>
      <c r="N3422" s="9"/>
      <c r="O3422" s="9"/>
      <c r="P3422" s="9"/>
    </row>
    <row r="3423" spans="12:16" x14ac:dyDescent="0.4">
      <c r="L3423" s="11"/>
      <c r="M3423" s="9"/>
      <c r="N3423" s="9"/>
      <c r="O3423" s="9"/>
      <c r="P3423" s="9"/>
    </row>
    <row r="3424" spans="12:16" x14ac:dyDescent="0.4">
      <c r="L3424" s="11"/>
      <c r="M3424" s="9"/>
      <c r="N3424" s="9"/>
      <c r="O3424" s="9"/>
      <c r="P3424" s="9"/>
    </row>
    <row r="3425" spans="12:16" x14ac:dyDescent="0.4">
      <c r="L3425" s="11"/>
      <c r="M3425" s="9"/>
      <c r="N3425" s="9"/>
      <c r="O3425" s="9"/>
      <c r="P3425" s="9"/>
    </row>
    <row r="3426" spans="12:16" x14ac:dyDescent="0.4">
      <c r="L3426" s="11"/>
      <c r="M3426" s="9"/>
      <c r="N3426" s="9"/>
      <c r="O3426" s="9"/>
      <c r="P3426" s="9"/>
    </row>
    <row r="3427" spans="12:16" x14ac:dyDescent="0.4">
      <c r="L3427" s="11"/>
      <c r="M3427" s="9"/>
      <c r="N3427" s="9"/>
      <c r="O3427" s="9"/>
      <c r="P3427" s="9"/>
    </row>
    <row r="3428" spans="12:16" x14ac:dyDescent="0.4">
      <c r="L3428" s="11"/>
      <c r="M3428" s="9"/>
      <c r="N3428" s="9"/>
      <c r="O3428" s="9"/>
      <c r="P3428" s="9"/>
    </row>
    <row r="3429" spans="12:16" x14ac:dyDescent="0.4">
      <c r="L3429" s="11"/>
      <c r="M3429" s="9"/>
      <c r="N3429" s="9"/>
      <c r="O3429" s="9"/>
      <c r="P3429" s="9"/>
    </row>
    <row r="3430" spans="12:16" x14ac:dyDescent="0.4">
      <c r="L3430" s="11"/>
      <c r="M3430" s="9"/>
      <c r="N3430" s="9"/>
      <c r="O3430" s="9"/>
      <c r="P3430" s="9"/>
    </row>
    <row r="3431" spans="12:16" x14ac:dyDescent="0.4">
      <c r="L3431" s="11"/>
      <c r="M3431" s="9"/>
      <c r="N3431" s="9"/>
      <c r="O3431" s="9"/>
      <c r="P3431" s="9"/>
    </row>
    <row r="3432" spans="12:16" x14ac:dyDescent="0.4">
      <c r="L3432" s="11"/>
      <c r="M3432" s="9"/>
      <c r="N3432" s="9"/>
      <c r="O3432" s="9"/>
      <c r="P3432" s="9"/>
    </row>
    <row r="3433" spans="12:16" x14ac:dyDescent="0.4">
      <c r="L3433" s="11"/>
      <c r="M3433" s="9"/>
      <c r="N3433" s="9"/>
      <c r="O3433" s="9"/>
      <c r="P3433" s="9"/>
    </row>
    <row r="3434" spans="12:16" x14ac:dyDescent="0.4">
      <c r="L3434" s="11"/>
      <c r="M3434" s="9"/>
      <c r="N3434" s="9"/>
      <c r="O3434" s="9"/>
      <c r="P3434" s="9"/>
    </row>
    <row r="3435" spans="12:16" x14ac:dyDescent="0.4">
      <c r="L3435" s="11"/>
      <c r="M3435" s="9"/>
      <c r="N3435" s="9"/>
      <c r="O3435" s="9"/>
      <c r="P3435" s="9"/>
    </row>
    <row r="3436" spans="12:16" x14ac:dyDescent="0.4">
      <c r="L3436" s="11"/>
      <c r="M3436" s="9"/>
      <c r="N3436" s="9"/>
      <c r="O3436" s="9"/>
      <c r="P3436" s="9"/>
    </row>
    <row r="3437" spans="12:16" x14ac:dyDescent="0.4">
      <c r="L3437" s="11"/>
      <c r="M3437" s="9"/>
      <c r="N3437" s="9"/>
      <c r="O3437" s="9"/>
      <c r="P3437" s="9"/>
    </row>
    <row r="3438" spans="12:16" x14ac:dyDescent="0.4">
      <c r="L3438" s="11"/>
      <c r="M3438" s="9"/>
      <c r="N3438" s="9"/>
      <c r="O3438" s="9"/>
      <c r="P3438" s="9"/>
    </row>
    <row r="3439" spans="12:16" x14ac:dyDescent="0.4">
      <c r="L3439" s="11"/>
      <c r="M3439" s="9"/>
      <c r="N3439" s="9"/>
      <c r="O3439" s="9"/>
      <c r="P3439" s="9"/>
    </row>
    <row r="3440" spans="12:16" x14ac:dyDescent="0.4">
      <c r="L3440" s="11"/>
      <c r="M3440" s="9"/>
      <c r="N3440" s="9"/>
      <c r="O3440" s="9"/>
      <c r="P3440" s="9"/>
    </row>
    <row r="3441" spans="12:16" x14ac:dyDescent="0.4">
      <c r="L3441" s="11"/>
      <c r="M3441" s="9"/>
      <c r="N3441" s="9"/>
      <c r="O3441" s="9"/>
      <c r="P3441" s="9"/>
    </row>
    <row r="3442" spans="12:16" x14ac:dyDescent="0.4">
      <c r="L3442" s="11"/>
      <c r="M3442" s="9"/>
      <c r="N3442" s="9"/>
      <c r="O3442" s="9"/>
      <c r="P3442" s="9"/>
    </row>
    <row r="3443" spans="12:16" x14ac:dyDescent="0.4">
      <c r="L3443" s="11"/>
      <c r="M3443" s="9"/>
      <c r="N3443" s="9"/>
      <c r="O3443" s="9"/>
      <c r="P3443" s="9"/>
    </row>
    <row r="3444" spans="12:16" x14ac:dyDescent="0.4">
      <c r="L3444" s="11"/>
      <c r="M3444" s="9"/>
      <c r="N3444" s="9"/>
      <c r="O3444" s="9"/>
      <c r="P3444" s="9"/>
    </row>
    <row r="3445" spans="12:16" x14ac:dyDescent="0.4">
      <c r="L3445" s="11"/>
      <c r="M3445" s="9"/>
      <c r="N3445" s="9"/>
      <c r="O3445" s="9"/>
      <c r="P3445" s="9"/>
    </row>
    <row r="3446" spans="12:16" x14ac:dyDescent="0.4">
      <c r="L3446" s="11"/>
      <c r="M3446" s="9"/>
      <c r="N3446" s="9"/>
      <c r="O3446" s="9"/>
      <c r="P3446" s="9"/>
    </row>
    <row r="3447" spans="12:16" x14ac:dyDescent="0.4">
      <c r="L3447" s="11"/>
      <c r="M3447" s="9"/>
      <c r="N3447" s="9"/>
      <c r="O3447" s="9"/>
      <c r="P3447" s="9"/>
    </row>
    <row r="3448" spans="12:16" x14ac:dyDescent="0.4">
      <c r="L3448" s="11"/>
      <c r="M3448" s="9"/>
      <c r="N3448" s="9"/>
      <c r="O3448" s="9"/>
      <c r="P3448" s="9"/>
    </row>
    <row r="3449" spans="12:16" x14ac:dyDescent="0.4">
      <c r="L3449" s="11"/>
      <c r="M3449" s="9"/>
      <c r="N3449" s="9"/>
      <c r="O3449" s="9"/>
      <c r="P3449" s="9"/>
    </row>
    <row r="3450" spans="12:16" x14ac:dyDescent="0.4">
      <c r="L3450" s="11"/>
      <c r="M3450" s="9"/>
      <c r="N3450" s="9"/>
      <c r="O3450" s="9"/>
      <c r="P3450" s="9"/>
    </row>
    <row r="3451" spans="12:16" x14ac:dyDescent="0.4">
      <c r="L3451" s="11"/>
      <c r="M3451" s="9"/>
      <c r="N3451" s="9"/>
      <c r="O3451" s="9"/>
      <c r="P3451" s="9"/>
    </row>
    <row r="3452" spans="12:16" x14ac:dyDescent="0.4">
      <c r="L3452" s="11"/>
      <c r="M3452" s="9"/>
      <c r="N3452" s="9"/>
      <c r="O3452" s="9"/>
      <c r="P3452" s="9"/>
    </row>
    <row r="3453" spans="12:16" x14ac:dyDescent="0.4">
      <c r="L3453" s="11"/>
      <c r="M3453" s="9"/>
      <c r="N3453" s="9"/>
      <c r="O3453" s="9"/>
      <c r="P3453" s="9"/>
    </row>
    <row r="3454" spans="12:16" x14ac:dyDescent="0.4">
      <c r="L3454" s="11"/>
      <c r="M3454" s="9"/>
      <c r="N3454" s="9"/>
      <c r="O3454" s="9"/>
      <c r="P3454" s="9"/>
    </row>
    <row r="3455" spans="12:16" x14ac:dyDescent="0.4">
      <c r="L3455" s="11"/>
      <c r="M3455" s="9"/>
      <c r="N3455" s="9"/>
      <c r="O3455" s="9"/>
      <c r="P3455" s="9"/>
    </row>
    <row r="3456" spans="12:16" x14ac:dyDescent="0.4">
      <c r="L3456" s="11"/>
      <c r="M3456" s="9"/>
      <c r="N3456" s="9"/>
      <c r="O3456" s="9"/>
      <c r="P3456" s="9"/>
    </row>
    <row r="3457" spans="12:16" x14ac:dyDescent="0.4">
      <c r="L3457" s="11"/>
      <c r="M3457" s="9"/>
      <c r="N3457" s="9"/>
      <c r="O3457" s="9"/>
      <c r="P3457" s="9"/>
    </row>
    <row r="3458" spans="12:16" x14ac:dyDescent="0.4">
      <c r="L3458" s="11"/>
      <c r="M3458" s="9"/>
      <c r="N3458" s="9"/>
      <c r="O3458" s="9"/>
      <c r="P3458" s="9"/>
    </row>
    <row r="3459" spans="12:16" x14ac:dyDescent="0.4">
      <c r="L3459" s="11"/>
      <c r="M3459" s="9"/>
      <c r="N3459" s="9"/>
      <c r="O3459" s="9"/>
      <c r="P3459" s="9"/>
    </row>
    <row r="3460" spans="12:16" x14ac:dyDescent="0.4">
      <c r="L3460" s="11"/>
      <c r="M3460" s="9"/>
      <c r="N3460" s="9"/>
      <c r="O3460" s="9"/>
      <c r="P3460" s="9"/>
    </row>
    <row r="3461" spans="12:16" x14ac:dyDescent="0.4">
      <c r="L3461" s="11"/>
      <c r="M3461" s="9"/>
      <c r="N3461" s="9"/>
      <c r="O3461" s="9"/>
      <c r="P3461" s="9"/>
    </row>
    <row r="3462" spans="12:16" x14ac:dyDescent="0.4">
      <c r="L3462" s="11"/>
      <c r="M3462" s="9"/>
      <c r="N3462" s="9"/>
      <c r="O3462" s="9"/>
      <c r="P3462" s="9"/>
    </row>
    <row r="3463" spans="12:16" x14ac:dyDescent="0.4">
      <c r="L3463" s="11"/>
      <c r="M3463" s="9"/>
      <c r="N3463" s="9"/>
      <c r="O3463" s="9"/>
      <c r="P3463" s="9"/>
    </row>
    <row r="3464" spans="12:16" x14ac:dyDescent="0.4">
      <c r="L3464" s="11"/>
      <c r="M3464" s="9"/>
      <c r="N3464" s="9"/>
      <c r="O3464" s="9"/>
      <c r="P3464" s="9"/>
    </row>
    <row r="3465" spans="12:16" x14ac:dyDescent="0.4">
      <c r="L3465" s="11"/>
      <c r="M3465" s="9"/>
      <c r="N3465" s="9"/>
      <c r="O3465" s="9"/>
      <c r="P3465" s="9"/>
    </row>
    <row r="3466" spans="12:16" x14ac:dyDescent="0.4">
      <c r="L3466" s="11"/>
      <c r="M3466" s="9"/>
      <c r="N3466" s="9"/>
      <c r="O3466" s="9"/>
      <c r="P3466" s="9"/>
    </row>
    <row r="3467" spans="12:16" x14ac:dyDescent="0.4">
      <c r="L3467" s="11"/>
      <c r="M3467" s="9"/>
      <c r="N3467" s="9"/>
      <c r="O3467" s="9"/>
      <c r="P3467" s="9"/>
    </row>
    <row r="3468" spans="12:16" x14ac:dyDescent="0.4">
      <c r="L3468" s="11"/>
      <c r="M3468" s="9"/>
      <c r="N3468" s="9"/>
      <c r="O3468" s="9"/>
      <c r="P3468" s="9"/>
    </row>
    <row r="3469" spans="12:16" x14ac:dyDescent="0.4">
      <c r="L3469" s="11"/>
      <c r="M3469" s="9"/>
      <c r="N3469" s="9"/>
      <c r="O3469" s="9"/>
      <c r="P3469" s="9"/>
    </row>
    <row r="3470" spans="12:16" x14ac:dyDescent="0.4">
      <c r="L3470" s="11"/>
      <c r="M3470" s="9"/>
      <c r="N3470" s="9"/>
      <c r="O3470" s="9"/>
      <c r="P3470" s="9"/>
    </row>
    <row r="3471" spans="12:16" x14ac:dyDescent="0.4">
      <c r="L3471" s="11"/>
      <c r="M3471" s="9"/>
      <c r="N3471" s="9"/>
      <c r="O3471" s="9"/>
      <c r="P3471" s="9"/>
    </row>
    <row r="3472" spans="12:16" x14ac:dyDescent="0.4">
      <c r="L3472" s="11"/>
      <c r="M3472" s="9"/>
      <c r="N3472" s="9"/>
      <c r="O3472" s="9"/>
      <c r="P3472" s="9"/>
    </row>
    <row r="3473" spans="12:16" x14ac:dyDescent="0.4">
      <c r="L3473" s="11"/>
      <c r="M3473" s="9"/>
      <c r="N3473" s="9"/>
      <c r="O3473" s="9"/>
      <c r="P3473" s="9"/>
    </row>
    <row r="3474" spans="12:16" x14ac:dyDescent="0.4">
      <c r="L3474" s="11"/>
      <c r="M3474" s="9"/>
      <c r="N3474" s="9"/>
      <c r="O3474" s="9"/>
      <c r="P3474" s="9"/>
    </row>
    <row r="3475" spans="12:16" x14ac:dyDescent="0.4">
      <c r="L3475" s="11"/>
      <c r="M3475" s="9"/>
      <c r="N3475" s="9"/>
      <c r="O3475" s="9"/>
      <c r="P3475" s="9"/>
    </row>
    <row r="3476" spans="12:16" x14ac:dyDescent="0.4">
      <c r="L3476" s="11"/>
      <c r="M3476" s="9"/>
      <c r="N3476" s="9"/>
      <c r="O3476" s="9"/>
      <c r="P3476" s="9"/>
    </row>
    <row r="3477" spans="12:16" x14ac:dyDescent="0.4">
      <c r="L3477" s="11"/>
      <c r="M3477" s="9"/>
      <c r="N3477" s="9"/>
      <c r="O3477" s="9"/>
      <c r="P3477" s="9"/>
    </row>
    <row r="3478" spans="12:16" x14ac:dyDescent="0.4">
      <c r="L3478" s="11"/>
      <c r="M3478" s="9"/>
      <c r="N3478" s="9"/>
      <c r="O3478" s="9"/>
      <c r="P3478" s="9"/>
    </row>
    <row r="3479" spans="12:16" x14ac:dyDescent="0.4">
      <c r="L3479" s="11"/>
      <c r="M3479" s="9"/>
      <c r="N3479" s="9"/>
      <c r="O3479" s="9"/>
      <c r="P3479" s="9"/>
    </row>
    <row r="3480" spans="12:16" x14ac:dyDescent="0.4">
      <c r="L3480" s="11"/>
      <c r="M3480" s="9"/>
      <c r="N3480" s="9"/>
      <c r="O3480" s="9"/>
      <c r="P3480" s="9"/>
    </row>
    <row r="3481" spans="12:16" x14ac:dyDescent="0.4">
      <c r="L3481" s="11"/>
      <c r="M3481" s="9"/>
      <c r="N3481" s="9"/>
      <c r="O3481" s="9"/>
      <c r="P3481" s="9"/>
    </row>
    <row r="3482" spans="12:16" x14ac:dyDescent="0.4">
      <c r="L3482" s="11"/>
      <c r="M3482" s="9"/>
      <c r="N3482" s="9"/>
      <c r="O3482" s="9"/>
      <c r="P3482" s="9"/>
    </row>
    <row r="3483" spans="12:16" x14ac:dyDescent="0.4">
      <c r="L3483" s="11"/>
      <c r="M3483" s="9"/>
      <c r="N3483" s="9"/>
      <c r="O3483" s="9"/>
      <c r="P3483" s="9"/>
    </row>
    <row r="3484" spans="12:16" x14ac:dyDescent="0.4">
      <c r="L3484" s="11"/>
      <c r="M3484" s="9"/>
      <c r="N3484" s="9"/>
      <c r="O3484" s="9"/>
      <c r="P3484" s="9"/>
    </row>
    <row r="3485" spans="12:16" x14ac:dyDescent="0.4">
      <c r="L3485" s="11"/>
      <c r="M3485" s="9"/>
      <c r="N3485" s="9"/>
      <c r="O3485" s="9"/>
      <c r="P3485" s="9"/>
    </row>
    <row r="3486" spans="12:16" x14ac:dyDescent="0.4">
      <c r="L3486" s="11"/>
      <c r="M3486" s="9"/>
      <c r="N3486" s="9"/>
      <c r="O3486" s="9"/>
      <c r="P3486" s="9"/>
    </row>
    <row r="3487" spans="12:16" x14ac:dyDescent="0.4">
      <c r="L3487" s="11"/>
      <c r="M3487" s="9"/>
      <c r="N3487" s="9"/>
      <c r="O3487" s="9"/>
      <c r="P3487" s="9"/>
    </row>
    <row r="3488" spans="12:16" x14ac:dyDescent="0.4">
      <c r="L3488" s="11"/>
      <c r="M3488" s="9"/>
      <c r="N3488" s="9"/>
      <c r="O3488" s="9"/>
      <c r="P3488" s="9"/>
    </row>
    <row r="3489" spans="12:16" x14ac:dyDescent="0.4">
      <c r="L3489" s="11"/>
      <c r="M3489" s="9"/>
      <c r="N3489" s="9"/>
      <c r="O3489" s="9"/>
      <c r="P3489" s="9"/>
    </row>
    <row r="3490" spans="12:16" x14ac:dyDescent="0.4">
      <c r="L3490" s="11"/>
      <c r="M3490" s="9"/>
      <c r="N3490" s="9"/>
      <c r="O3490" s="9"/>
      <c r="P3490" s="9"/>
    </row>
    <row r="3491" spans="12:16" x14ac:dyDescent="0.4">
      <c r="L3491" s="11"/>
      <c r="M3491" s="9"/>
      <c r="N3491" s="9"/>
      <c r="O3491" s="9"/>
      <c r="P3491" s="9"/>
    </row>
    <row r="3492" spans="12:16" x14ac:dyDescent="0.4">
      <c r="L3492" s="11"/>
      <c r="M3492" s="9"/>
      <c r="N3492" s="9"/>
      <c r="O3492" s="9"/>
      <c r="P3492" s="9"/>
    </row>
    <row r="3493" spans="12:16" x14ac:dyDescent="0.4">
      <c r="L3493" s="11"/>
      <c r="M3493" s="9"/>
      <c r="N3493" s="9"/>
      <c r="O3493" s="9"/>
      <c r="P3493" s="9"/>
    </row>
    <row r="3494" spans="12:16" x14ac:dyDescent="0.4">
      <c r="L3494" s="11"/>
      <c r="M3494" s="9"/>
      <c r="N3494" s="9"/>
      <c r="O3494" s="9"/>
      <c r="P3494" s="9"/>
    </row>
    <row r="3495" spans="12:16" x14ac:dyDescent="0.4">
      <c r="L3495" s="11"/>
      <c r="M3495" s="9"/>
      <c r="N3495" s="9"/>
      <c r="O3495" s="9"/>
      <c r="P3495" s="9"/>
    </row>
    <row r="3496" spans="12:16" x14ac:dyDescent="0.4">
      <c r="L3496" s="11"/>
      <c r="M3496" s="9"/>
      <c r="N3496" s="9"/>
      <c r="O3496" s="9"/>
      <c r="P3496" s="9"/>
    </row>
    <row r="3497" spans="12:16" x14ac:dyDescent="0.4">
      <c r="L3497" s="11"/>
      <c r="M3497" s="9"/>
      <c r="N3497" s="9"/>
      <c r="O3497" s="9"/>
      <c r="P3497" s="9"/>
    </row>
    <row r="3498" spans="12:16" x14ac:dyDescent="0.4">
      <c r="L3498" s="11"/>
      <c r="M3498" s="9"/>
      <c r="N3498" s="9"/>
      <c r="O3498" s="9"/>
      <c r="P3498" s="9"/>
    </row>
    <row r="3499" spans="12:16" x14ac:dyDescent="0.4">
      <c r="L3499" s="11"/>
      <c r="M3499" s="9"/>
      <c r="N3499" s="9"/>
      <c r="O3499" s="9"/>
      <c r="P3499" s="9"/>
    </row>
    <row r="3500" spans="12:16" x14ac:dyDescent="0.4">
      <c r="L3500" s="11"/>
      <c r="M3500" s="9"/>
      <c r="N3500" s="9"/>
      <c r="O3500" s="9"/>
      <c r="P3500" s="9"/>
    </row>
    <row r="3501" spans="12:16" x14ac:dyDescent="0.4">
      <c r="L3501" s="11"/>
      <c r="M3501" s="9"/>
      <c r="N3501" s="9"/>
      <c r="O3501" s="9"/>
      <c r="P3501" s="9"/>
    </row>
    <row r="3502" spans="12:16" x14ac:dyDescent="0.4">
      <c r="L3502" s="11"/>
      <c r="M3502" s="9"/>
      <c r="N3502" s="9"/>
      <c r="O3502" s="9"/>
      <c r="P3502" s="9"/>
    </row>
    <row r="3503" spans="12:16" x14ac:dyDescent="0.4">
      <c r="L3503" s="11"/>
      <c r="M3503" s="9"/>
      <c r="N3503" s="9"/>
      <c r="O3503" s="9"/>
      <c r="P3503" s="9"/>
    </row>
    <row r="3504" spans="12:16" x14ac:dyDescent="0.4">
      <c r="L3504" s="11"/>
      <c r="M3504" s="9"/>
      <c r="N3504" s="9"/>
      <c r="O3504" s="9"/>
      <c r="P3504" s="9"/>
    </row>
    <row r="3505" spans="12:16" x14ac:dyDescent="0.4">
      <c r="L3505" s="11"/>
      <c r="M3505" s="9"/>
      <c r="N3505" s="9"/>
      <c r="O3505" s="9"/>
      <c r="P3505" s="9"/>
    </row>
    <row r="3506" spans="12:16" x14ac:dyDescent="0.4">
      <c r="L3506" s="11"/>
      <c r="M3506" s="9"/>
      <c r="N3506" s="9"/>
      <c r="O3506" s="9"/>
      <c r="P3506" s="9"/>
    </row>
    <row r="3507" spans="12:16" x14ac:dyDescent="0.4">
      <c r="L3507" s="11"/>
      <c r="M3507" s="9"/>
      <c r="N3507" s="9"/>
      <c r="O3507" s="9"/>
      <c r="P3507" s="9"/>
    </row>
    <row r="3508" spans="12:16" x14ac:dyDescent="0.4">
      <c r="L3508" s="11"/>
      <c r="M3508" s="9"/>
      <c r="N3508" s="9"/>
      <c r="O3508" s="9"/>
      <c r="P3508" s="9"/>
    </row>
    <row r="3509" spans="12:16" x14ac:dyDescent="0.4">
      <c r="L3509" s="11"/>
      <c r="M3509" s="9"/>
      <c r="N3509" s="9"/>
      <c r="O3509" s="9"/>
      <c r="P3509" s="9"/>
    </row>
    <row r="3510" spans="12:16" x14ac:dyDescent="0.4">
      <c r="L3510" s="11"/>
      <c r="M3510" s="9"/>
      <c r="N3510" s="9"/>
      <c r="O3510" s="9"/>
      <c r="P3510" s="9"/>
    </row>
    <row r="3511" spans="12:16" x14ac:dyDescent="0.4">
      <c r="L3511" s="11"/>
      <c r="M3511" s="9"/>
      <c r="N3511" s="9"/>
      <c r="O3511" s="9"/>
      <c r="P3511" s="9"/>
    </row>
    <row r="3512" spans="12:16" x14ac:dyDescent="0.4">
      <c r="L3512" s="11"/>
      <c r="M3512" s="9"/>
      <c r="N3512" s="9"/>
      <c r="O3512" s="9"/>
      <c r="P3512" s="9"/>
    </row>
    <row r="3513" spans="12:16" x14ac:dyDescent="0.4">
      <c r="L3513" s="11"/>
      <c r="M3513" s="9"/>
      <c r="N3513" s="9"/>
      <c r="O3513" s="9"/>
      <c r="P3513" s="9"/>
    </row>
    <row r="3514" spans="12:16" x14ac:dyDescent="0.4">
      <c r="L3514" s="11"/>
      <c r="M3514" s="9"/>
      <c r="N3514" s="9"/>
      <c r="O3514" s="9"/>
      <c r="P3514" s="9"/>
    </row>
    <row r="3515" spans="12:16" x14ac:dyDescent="0.4">
      <c r="L3515" s="11"/>
      <c r="M3515" s="9"/>
      <c r="N3515" s="9"/>
      <c r="O3515" s="9"/>
      <c r="P3515" s="9"/>
    </row>
    <row r="3516" spans="12:16" x14ac:dyDescent="0.4">
      <c r="L3516" s="11"/>
      <c r="M3516" s="9"/>
      <c r="N3516" s="9"/>
      <c r="O3516" s="9"/>
      <c r="P3516" s="9"/>
    </row>
    <row r="3517" spans="12:16" x14ac:dyDescent="0.4">
      <c r="L3517" s="11"/>
      <c r="M3517" s="9"/>
      <c r="N3517" s="9"/>
      <c r="O3517" s="9"/>
      <c r="P3517" s="9"/>
    </row>
    <row r="3518" spans="12:16" x14ac:dyDescent="0.4">
      <c r="L3518" s="11"/>
      <c r="M3518" s="9"/>
      <c r="N3518" s="9"/>
      <c r="O3518" s="9"/>
      <c r="P3518" s="9"/>
    </row>
    <row r="3519" spans="12:16" x14ac:dyDescent="0.4">
      <c r="L3519" s="11"/>
      <c r="M3519" s="9"/>
      <c r="N3519" s="9"/>
      <c r="O3519" s="9"/>
      <c r="P3519" s="9"/>
    </row>
    <row r="3520" spans="12:16" x14ac:dyDescent="0.4">
      <c r="L3520" s="11"/>
      <c r="M3520" s="9"/>
      <c r="N3520" s="9"/>
      <c r="O3520" s="9"/>
      <c r="P3520" s="9"/>
    </row>
    <row r="3521" spans="12:16" x14ac:dyDescent="0.4">
      <c r="L3521" s="11"/>
      <c r="M3521" s="9"/>
      <c r="N3521" s="9"/>
      <c r="O3521" s="9"/>
      <c r="P3521" s="9"/>
    </row>
    <row r="3522" spans="12:16" x14ac:dyDescent="0.4">
      <c r="L3522" s="11"/>
      <c r="M3522" s="9"/>
      <c r="N3522" s="9"/>
      <c r="O3522" s="9"/>
      <c r="P3522" s="9"/>
    </row>
    <row r="3523" spans="12:16" x14ac:dyDescent="0.4">
      <c r="L3523" s="11"/>
      <c r="M3523" s="9"/>
      <c r="N3523" s="9"/>
      <c r="O3523" s="9"/>
      <c r="P3523" s="9"/>
    </row>
    <row r="3524" spans="12:16" x14ac:dyDescent="0.4">
      <c r="L3524" s="11"/>
      <c r="M3524" s="9"/>
      <c r="N3524" s="9"/>
      <c r="O3524" s="9"/>
      <c r="P3524" s="9"/>
    </row>
    <row r="3525" spans="12:16" x14ac:dyDescent="0.4">
      <c r="L3525" s="11"/>
      <c r="M3525" s="9"/>
      <c r="N3525" s="9"/>
      <c r="O3525" s="9"/>
      <c r="P3525" s="9"/>
    </row>
    <row r="3526" spans="12:16" x14ac:dyDescent="0.4">
      <c r="L3526" s="11"/>
      <c r="M3526" s="9"/>
      <c r="N3526" s="9"/>
      <c r="O3526" s="9"/>
      <c r="P3526" s="9"/>
    </row>
    <row r="3527" spans="12:16" x14ac:dyDescent="0.4">
      <c r="L3527" s="11"/>
      <c r="M3527" s="9"/>
      <c r="N3527" s="9"/>
      <c r="O3527" s="9"/>
      <c r="P3527" s="9"/>
    </row>
    <row r="3528" spans="12:16" x14ac:dyDescent="0.4">
      <c r="L3528" s="11"/>
      <c r="M3528" s="9"/>
      <c r="N3528" s="9"/>
      <c r="O3528" s="9"/>
      <c r="P3528" s="9"/>
    </row>
    <row r="3529" spans="12:16" x14ac:dyDescent="0.4">
      <c r="L3529" s="11"/>
      <c r="M3529" s="9"/>
      <c r="N3529" s="9"/>
      <c r="O3529" s="9"/>
      <c r="P3529" s="9"/>
    </row>
    <row r="3530" spans="12:16" x14ac:dyDescent="0.4">
      <c r="L3530" s="11"/>
      <c r="M3530" s="9"/>
      <c r="N3530" s="9"/>
      <c r="O3530" s="9"/>
      <c r="P3530" s="9"/>
    </row>
    <row r="3531" spans="12:16" x14ac:dyDescent="0.4">
      <c r="L3531" s="11"/>
      <c r="M3531" s="9"/>
      <c r="N3531" s="9"/>
      <c r="O3531" s="9"/>
      <c r="P3531" s="9"/>
    </row>
    <row r="3532" spans="12:16" x14ac:dyDescent="0.4">
      <c r="L3532" s="11"/>
      <c r="M3532" s="9"/>
      <c r="N3532" s="9"/>
      <c r="O3532" s="9"/>
      <c r="P3532" s="9"/>
    </row>
    <row r="3533" spans="12:16" x14ac:dyDescent="0.4">
      <c r="L3533" s="11"/>
      <c r="M3533" s="9"/>
      <c r="N3533" s="9"/>
      <c r="O3533" s="9"/>
      <c r="P3533" s="9"/>
    </row>
    <row r="3534" spans="12:16" x14ac:dyDescent="0.4">
      <c r="L3534" s="11"/>
      <c r="M3534" s="9"/>
      <c r="N3534" s="9"/>
      <c r="O3534" s="9"/>
      <c r="P3534" s="9"/>
    </row>
    <row r="3535" spans="12:16" x14ac:dyDescent="0.4">
      <c r="L3535" s="11"/>
      <c r="M3535" s="9"/>
      <c r="N3535" s="9"/>
      <c r="O3535" s="9"/>
      <c r="P3535" s="9"/>
    </row>
    <row r="3536" spans="12:16" x14ac:dyDescent="0.4">
      <c r="L3536" s="11"/>
      <c r="M3536" s="9"/>
      <c r="N3536" s="9"/>
      <c r="O3536" s="9"/>
      <c r="P3536" s="9"/>
    </row>
    <row r="3537" spans="12:16" x14ac:dyDescent="0.4">
      <c r="L3537" s="11"/>
      <c r="M3537" s="9"/>
      <c r="N3537" s="9"/>
      <c r="O3537" s="9"/>
      <c r="P3537" s="9"/>
    </row>
    <row r="3538" spans="12:16" x14ac:dyDescent="0.4">
      <c r="L3538" s="11"/>
      <c r="M3538" s="9"/>
      <c r="N3538" s="9"/>
      <c r="O3538" s="9"/>
      <c r="P3538" s="9"/>
    </row>
    <row r="3539" spans="12:16" x14ac:dyDescent="0.4">
      <c r="L3539" s="11"/>
      <c r="M3539" s="9"/>
      <c r="N3539" s="9"/>
      <c r="O3539" s="9"/>
      <c r="P3539" s="9"/>
    </row>
    <row r="3540" spans="12:16" x14ac:dyDescent="0.4">
      <c r="L3540" s="11"/>
      <c r="M3540" s="9"/>
      <c r="N3540" s="9"/>
      <c r="O3540" s="9"/>
      <c r="P3540" s="9"/>
    </row>
    <row r="3541" spans="12:16" x14ac:dyDescent="0.4">
      <c r="L3541" s="11"/>
      <c r="M3541" s="9"/>
      <c r="N3541" s="9"/>
      <c r="O3541" s="9"/>
      <c r="P3541" s="9"/>
    </row>
    <row r="3542" spans="12:16" x14ac:dyDescent="0.4">
      <c r="L3542" s="11"/>
      <c r="M3542" s="9"/>
      <c r="N3542" s="9"/>
      <c r="O3542" s="9"/>
      <c r="P3542" s="9"/>
    </row>
    <row r="3543" spans="12:16" x14ac:dyDescent="0.4">
      <c r="L3543" s="11"/>
      <c r="M3543" s="9"/>
      <c r="N3543" s="9"/>
      <c r="O3543" s="9"/>
      <c r="P3543" s="9"/>
    </row>
    <row r="3544" spans="12:16" x14ac:dyDescent="0.4">
      <c r="L3544" s="11"/>
      <c r="M3544" s="9"/>
      <c r="N3544" s="9"/>
      <c r="O3544" s="9"/>
      <c r="P3544" s="9"/>
    </row>
    <row r="3545" spans="12:16" x14ac:dyDescent="0.4">
      <c r="L3545" s="11"/>
      <c r="M3545" s="9"/>
      <c r="N3545" s="9"/>
      <c r="O3545" s="9"/>
      <c r="P3545" s="9"/>
    </row>
    <row r="3546" spans="12:16" x14ac:dyDescent="0.4">
      <c r="L3546" s="11"/>
      <c r="M3546" s="9"/>
      <c r="N3546" s="9"/>
      <c r="O3546" s="9"/>
      <c r="P3546" s="9"/>
    </row>
    <row r="3547" spans="12:16" x14ac:dyDescent="0.4">
      <c r="L3547" s="11"/>
      <c r="M3547" s="9"/>
      <c r="N3547" s="9"/>
      <c r="O3547" s="9"/>
      <c r="P3547" s="9"/>
    </row>
    <row r="3548" spans="12:16" x14ac:dyDescent="0.4">
      <c r="L3548" s="11"/>
      <c r="M3548" s="9"/>
      <c r="N3548" s="9"/>
      <c r="O3548" s="9"/>
      <c r="P3548" s="9"/>
    </row>
    <row r="3549" spans="12:16" x14ac:dyDescent="0.4">
      <c r="L3549" s="11"/>
      <c r="M3549" s="9"/>
      <c r="N3549" s="9"/>
      <c r="O3549" s="9"/>
      <c r="P3549" s="9"/>
    </row>
    <row r="3550" spans="12:16" x14ac:dyDescent="0.4">
      <c r="L3550" s="11"/>
      <c r="M3550" s="9"/>
      <c r="N3550" s="9"/>
      <c r="O3550" s="9"/>
      <c r="P3550" s="9"/>
    </row>
    <row r="3551" spans="12:16" x14ac:dyDescent="0.4">
      <c r="L3551" s="11"/>
      <c r="M3551" s="9"/>
      <c r="N3551" s="9"/>
      <c r="O3551" s="9"/>
      <c r="P3551" s="9"/>
    </row>
    <row r="3552" spans="12:16" x14ac:dyDescent="0.4">
      <c r="L3552" s="11"/>
      <c r="M3552" s="9"/>
      <c r="N3552" s="9"/>
      <c r="O3552" s="9"/>
      <c r="P3552" s="9"/>
    </row>
    <row r="3553" spans="12:16" x14ac:dyDescent="0.4">
      <c r="L3553" s="11"/>
      <c r="M3553" s="9"/>
      <c r="N3553" s="9"/>
      <c r="O3553" s="9"/>
      <c r="P3553" s="9"/>
    </row>
    <row r="3554" spans="12:16" x14ac:dyDescent="0.4">
      <c r="L3554" s="11"/>
      <c r="M3554" s="9"/>
      <c r="N3554" s="9"/>
      <c r="O3554" s="9"/>
      <c r="P3554" s="9"/>
    </row>
    <row r="3555" spans="12:16" x14ac:dyDescent="0.4">
      <c r="L3555" s="11"/>
      <c r="M3555" s="9"/>
      <c r="N3555" s="9"/>
      <c r="O3555" s="9"/>
      <c r="P3555" s="9"/>
    </row>
    <row r="3556" spans="12:16" x14ac:dyDescent="0.4">
      <c r="L3556" s="11"/>
      <c r="M3556" s="9"/>
      <c r="N3556" s="9"/>
      <c r="O3556" s="9"/>
      <c r="P3556" s="9"/>
    </row>
    <row r="3557" spans="12:16" x14ac:dyDescent="0.4">
      <c r="L3557" s="11"/>
      <c r="M3557" s="9"/>
      <c r="N3557" s="9"/>
      <c r="O3557" s="9"/>
      <c r="P3557" s="9"/>
    </row>
    <row r="3558" spans="12:16" x14ac:dyDescent="0.4">
      <c r="L3558" s="11"/>
      <c r="M3558" s="9"/>
      <c r="N3558" s="9"/>
      <c r="O3558" s="9"/>
      <c r="P3558" s="9"/>
    </row>
    <row r="3559" spans="12:16" x14ac:dyDescent="0.4">
      <c r="L3559" s="11"/>
      <c r="M3559" s="9"/>
      <c r="N3559" s="9"/>
      <c r="O3559" s="9"/>
      <c r="P3559" s="9"/>
    </row>
    <row r="3560" spans="12:16" x14ac:dyDescent="0.4">
      <c r="L3560" s="11"/>
      <c r="M3560" s="9"/>
      <c r="N3560" s="9"/>
      <c r="O3560" s="9"/>
      <c r="P3560" s="9"/>
    </row>
    <row r="3561" spans="12:16" x14ac:dyDescent="0.4">
      <c r="L3561" s="11"/>
      <c r="M3561" s="9"/>
      <c r="N3561" s="9"/>
      <c r="O3561" s="9"/>
      <c r="P3561" s="9"/>
    </row>
    <row r="3562" spans="12:16" x14ac:dyDescent="0.4">
      <c r="L3562" s="11"/>
      <c r="M3562" s="9"/>
      <c r="N3562" s="9"/>
      <c r="O3562" s="9"/>
      <c r="P3562" s="9"/>
    </row>
    <row r="3563" spans="12:16" x14ac:dyDescent="0.4">
      <c r="L3563" s="11"/>
      <c r="M3563" s="9"/>
      <c r="N3563" s="9"/>
      <c r="O3563" s="9"/>
      <c r="P3563" s="9"/>
    </row>
    <row r="3564" spans="12:16" x14ac:dyDescent="0.4">
      <c r="L3564" s="11"/>
      <c r="M3564" s="9"/>
      <c r="N3564" s="9"/>
      <c r="O3564" s="9"/>
      <c r="P3564" s="9"/>
    </row>
    <row r="3565" spans="12:16" x14ac:dyDescent="0.4">
      <c r="L3565" s="11"/>
      <c r="M3565" s="9"/>
      <c r="N3565" s="9"/>
      <c r="O3565" s="9"/>
      <c r="P3565" s="9"/>
    </row>
    <row r="3566" spans="12:16" x14ac:dyDescent="0.4">
      <c r="L3566" s="11"/>
      <c r="M3566" s="9"/>
      <c r="N3566" s="9"/>
      <c r="O3566" s="9"/>
      <c r="P3566" s="9"/>
    </row>
    <row r="3567" spans="12:16" x14ac:dyDescent="0.4">
      <c r="L3567" s="11"/>
      <c r="M3567" s="9"/>
      <c r="N3567" s="9"/>
      <c r="O3567" s="9"/>
      <c r="P3567" s="9"/>
    </row>
    <row r="3568" spans="12:16" x14ac:dyDescent="0.4">
      <c r="L3568" s="11"/>
      <c r="M3568" s="9"/>
      <c r="N3568" s="9"/>
      <c r="O3568" s="9"/>
      <c r="P3568" s="9"/>
    </row>
    <row r="3569" spans="12:16" x14ac:dyDescent="0.4">
      <c r="L3569" s="11"/>
      <c r="M3569" s="9"/>
      <c r="N3569" s="9"/>
      <c r="O3569" s="9"/>
      <c r="P3569" s="9"/>
    </row>
    <row r="3570" spans="12:16" x14ac:dyDescent="0.4">
      <c r="L3570" s="11"/>
      <c r="M3570" s="9"/>
      <c r="N3570" s="9"/>
      <c r="O3570" s="9"/>
      <c r="P3570" s="9"/>
    </row>
    <row r="3571" spans="12:16" x14ac:dyDescent="0.4">
      <c r="L3571" s="11"/>
      <c r="M3571" s="9"/>
      <c r="N3571" s="9"/>
      <c r="O3571" s="9"/>
      <c r="P3571" s="9"/>
    </row>
    <row r="3572" spans="12:16" x14ac:dyDescent="0.4">
      <c r="L3572" s="11"/>
      <c r="M3572" s="9"/>
      <c r="N3572" s="9"/>
      <c r="O3572" s="9"/>
      <c r="P3572" s="9"/>
    </row>
    <row r="3573" spans="12:16" x14ac:dyDescent="0.4">
      <c r="L3573" s="11"/>
      <c r="M3573" s="9"/>
      <c r="N3573" s="9"/>
      <c r="O3573" s="9"/>
      <c r="P3573" s="9"/>
    </row>
    <row r="3574" spans="12:16" x14ac:dyDescent="0.4">
      <c r="L3574" s="11"/>
      <c r="M3574" s="9"/>
      <c r="N3574" s="9"/>
      <c r="O3574" s="9"/>
      <c r="P3574" s="9"/>
    </row>
    <row r="3575" spans="12:16" x14ac:dyDescent="0.4">
      <c r="L3575" s="11"/>
      <c r="M3575" s="9"/>
      <c r="N3575" s="9"/>
      <c r="O3575" s="9"/>
      <c r="P3575" s="9"/>
    </row>
    <row r="3576" spans="12:16" x14ac:dyDescent="0.4">
      <c r="L3576" s="11"/>
      <c r="M3576" s="9"/>
      <c r="N3576" s="9"/>
      <c r="O3576" s="9"/>
      <c r="P3576" s="9"/>
    </row>
    <row r="3577" spans="12:16" x14ac:dyDescent="0.4">
      <c r="L3577" s="11"/>
      <c r="M3577" s="9"/>
      <c r="N3577" s="9"/>
      <c r="O3577" s="9"/>
      <c r="P3577" s="9"/>
    </row>
    <row r="3578" spans="12:16" x14ac:dyDescent="0.4">
      <c r="L3578" s="11"/>
      <c r="M3578" s="9"/>
      <c r="N3578" s="9"/>
      <c r="O3578" s="9"/>
      <c r="P3578" s="9"/>
    </row>
    <row r="3579" spans="12:16" x14ac:dyDescent="0.4">
      <c r="L3579" s="11"/>
      <c r="M3579" s="9"/>
      <c r="N3579" s="9"/>
      <c r="O3579" s="9"/>
      <c r="P3579" s="9"/>
    </row>
    <row r="3580" spans="12:16" x14ac:dyDescent="0.4">
      <c r="L3580" s="11"/>
      <c r="M3580" s="9"/>
      <c r="N3580" s="9"/>
      <c r="O3580" s="9"/>
      <c r="P3580" s="9"/>
    </row>
    <row r="3581" spans="12:16" x14ac:dyDescent="0.4">
      <c r="L3581" s="11"/>
      <c r="M3581" s="9"/>
      <c r="N3581" s="9"/>
      <c r="O3581" s="9"/>
      <c r="P3581" s="9"/>
    </row>
    <row r="3582" spans="12:16" x14ac:dyDescent="0.4">
      <c r="L3582" s="11"/>
      <c r="M3582" s="9"/>
      <c r="N3582" s="9"/>
      <c r="O3582" s="9"/>
      <c r="P3582" s="9"/>
    </row>
    <row r="3583" spans="12:16" x14ac:dyDescent="0.4">
      <c r="L3583" s="11"/>
      <c r="M3583" s="9"/>
      <c r="N3583" s="9"/>
      <c r="O3583" s="9"/>
      <c r="P3583" s="9"/>
    </row>
    <row r="3584" spans="12:16" x14ac:dyDescent="0.4">
      <c r="L3584" s="11"/>
      <c r="M3584" s="9"/>
      <c r="N3584" s="9"/>
      <c r="O3584" s="9"/>
      <c r="P3584" s="9"/>
    </row>
    <row r="3585" spans="12:16" x14ac:dyDescent="0.4">
      <c r="L3585" s="11"/>
      <c r="M3585" s="9"/>
      <c r="N3585" s="9"/>
      <c r="O3585" s="9"/>
      <c r="P3585" s="9"/>
    </row>
    <row r="3586" spans="12:16" x14ac:dyDescent="0.4">
      <c r="L3586" s="11"/>
      <c r="M3586" s="9"/>
      <c r="N3586" s="9"/>
      <c r="O3586" s="9"/>
      <c r="P3586" s="9"/>
    </row>
    <row r="3587" spans="12:16" x14ac:dyDescent="0.4">
      <c r="L3587" s="11"/>
      <c r="M3587" s="9"/>
      <c r="N3587" s="9"/>
      <c r="O3587" s="9"/>
      <c r="P3587" s="9"/>
    </row>
    <row r="3588" spans="12:16" x14ac:dyDescent="0.4">
      <c r="L3588" s="11"/>
      <c r="M3588" s="9"/>
      <c r="N3588" s="9"/>
      <c r="O3588" s="9"/>
      <c r="P3588" s="9"/>
    </row>
    <row r="3589" spans="12:16" x14ac:dyDescent="0.4">
      <c r="L3589" s="11"/>
      <c r="M3589" s="9"/>
      <c r="N3589" s="9"/>
      <c r="O3589" s="9"/>
      <c r="P3589" s="9"/>
    </row>
    <row r="3590" spans="12:16" x14ac:dyDescent="0.4">
      <c r="L3590" s="11"/>
      <c r="M3590" s="9"/>
      <c r="N3590" s="9"/>
      <c r="O3590" s="9"/>
      <c r="P3590" s="9"/>
    </row>
    <row r="3591" spans="12:16" x14ac:dyDescent="0.4">
      <c r="L3591" s="11"/>
      <c r="M3591" s="9"/>
      <c r="N3591" s="9"/>
      <c r="O3591" s="9"/>
      <c r="P3591" s="9"/>
    </row>
    <row r="3592" spans="12:16" x14ac:dyDescent="0.4">
      <c r="L3592" s="11"/>
      <c r="M3592" s="9"/>
      <c r="N3592" s="9"/>
      <c r="O3592" s="9"/>
      <c r="P3592" s="9"/>
    </row>
    <row r="3593" spans="12:16" x14ac:dyDescent="0.4">
      <c r="L3593" s="11"/>
      <c r="M3593" s="9"/>
      <c r="N3593" s="9"/>
      <c r="O3593" s="9"/>
      <c r="P3593" s="9"/>
    </row>
    <row r="3594" spans="12:16" x14ac:dyDescent="0.4">
      <c r="L3594" s="11"/>
      <c r="M3594" s="9"/>
      <c r="N3594" s="9"/>
      <c r="O3594" s="9"/>
      <c r="P3594" s="9"/>
    </row>
    <row r="3595" spans="12:16" x14ac:dyDescent="0.4">
      <c r="L3595" s="11"/>
      <c r="M3595" s="9"/>
      <c r="N3595" s="9"/>
      <c r="O3595" s="9"/>
      <c r="P3595" s="9"/>
    </row>
    <row r="3596" spans="12:16" x14ac:dyDescent="0.4">
      <c r="L3596" s="11"/>
      <c r="M3596" s="9"/>
      <c r="N3596" s="9"/>
      <c r="O3596" s="9"/>
      <c r="P3596" s="9"/>
    </row>
    <row r="3597" spans="12:16" x14ac:dyDescent="0.4">
      <c r="L3597" s="11"/>
      <c r="M3597" s="9"/>
      <c r="N3597" s="9"/>
      <c r="O3597" s="9"/>
      <c r="P3597" s="9"/>
    </row>
    <row r="3598" spans="12:16" x14ac:dyDescent="0.4">
      <c r="L3598" s="11"/>
      <c r="M3598" s="9"/>
      <c r="N3598" s="9"/>
      <c r="O3598" s="9"/>
      <c r="P3598" s="9"/>
    </row>
    <row r="3599" spans="12:16" x14ac:dyDescent="0.4">
      <c r="L3599" s="11"/>
      <c r="M3599" s="9"/>
      <c r="N3599" s="9"/>
      <c r="O3599" s="9"/>
      <c r="P3599" s="9"/>
    </row>
    <row r="3600" spans="12:16" x14ac:dyDescent="0.4">
      <c r="L3600" s="11"/>
      <c r="M3600" s="9"/>
      <c r="N3600" s="9"/>
      <c r="O3600" s="9"/>
      <c r="P3600" s="9"/>
    </row>
    <row r="3601" spans="12:16" x14ac:dyDescent="0.4">
      <c r="L3601" s="11"/>
      <c r="M3601" s="9"/>
      <c r="N3601" s="9"/>
      <c r="O3601" s="9"/>
      <c r="P3601" s="9"/>
    </row>
    <row r="3602" spans="12:16" x14ac:dyDescent="0.4">
      <c r="L3602" s="11"/>
      <c r="M3602" s="9"/>
      <c r="N3602" s="9"/>
      <c r="O3602" s="9"/>
      <c r="P3602" s="9"/>
    </row>
    <row r="3603" spans="12:16" x14ac:dyDescent="0.4">
      <c r="L3603" s="11"/>
      <c r="M3603" s="9"/>
      <c r="N3603" s="9"/>
      <c r="O3603" s="9"/>
      <c r="P3603" s="9"/>
    </row>
    <row r="3604" spans="12:16" x14ac:dyDescent="0.4">
      <c r="L3604" s="11"/>
      <c r="M3604" s="9"/>
      <c r="N3604" s="9"/>
      <c r="O3604" s="9"/>
      <c r="P3604" s="9"/>
    </row>
    <row r="3605" spans="12:16" x14ac:dyDescent="0.4">
      <c r="L3605" s="11"/>
      <c r="M3605" s="9"/>
      <c r="N3605" s="9"/>
      <c r="O3605" s="9"/>
      <c r="P3605" s="9"/>
    </row>
    <row r="3606" spans="12:16" x14ac:dyDescent="0.4">
      <c r="L3606" s="11"/>
      <c r="M3606" s="9"/>
      <c r="N3606" s="9"/>
      <c r="O3606" s="9"/>
      <c r="P3606" s="9"/>
    </row>
    <row r="3607" spans="12:16" x14ac:dyDescent="0.4">
      <c r="L3607" s="11"/>
      <c r="M3607" s="9"/>
      <c r="N3607" s="9"/>
      <c r="O3607" s="9"/>
      <c r="P3607" s="9"/>
    </row>
    <row r="3608" spans="12:16" x14ac:dyDescent="0.4">
      <c r="L3608" s="11"/>
      <c r="M3608" s="9"/>
      <c r="N3608" s="9"/>
      <c r="O3608" s="9"/>
      <c r="P3608" s="9"/>
    </row>
    <row r="3609" spans="12:16" x14ac:dyDescent="0.4">
      <c r="L3609" s="11"/>
      <c r="M3609" s="9"/>
      <c r="N3609" s="9"/>
      <c r="O3609" s="9"/>
      <c r="P3609" s="9"/>
    </row>
    <row r="3610" spans="12:16" x14ac:dyDescent="0.4">
      <c r="L3610" s="11"/>
      <c r="M3610" s="9"/>
      <c r="N3610" s="9"/>
      <c r="O3610" s="9"/>
      <c r="P3610" s="9"/>
    </row>
    <row r="3611" spans="12:16" x14ac:dyDescent="0.4">
      <c r="L3611" s="11"/>
      <c r="M3611" s="9"/>
      <c r="N3611" s="9"/>
      <c r="O3611" s="9"/>
      <c r="P3611" s="9"/>
    </row>
    <row r="3612" spans="12:16" x14ac:dyDescent="0.4">
      <c r="L3612" s="11"/>
      <c r="M3612" s="9"/>
      <c r="N3612" s="9"/>
      <c r="O3612" s="9"/>
      <c r="P3612" s="9"/>
    </row>
    <row r="3613" spans="12:16" x14ac:dyDescent="0.4">
      <c r="L3613" s="11"/>
      <c r="M3613" s="9"/>
      <c r="N3613" s="9"/>
      <c r="O3613" s="9"/>
      <c r="P3613" s="9"/>
    </row>
    <row r="3614" spans="12:16" x14ac:dyDescent="0.4">
      <c r="L3614" s="11"/>
      <c r="M3614" s="9"/>
      <c r="N3614" s="9"/>
      <c r="O3614" s="9"/>
      <c r="P3614" s="9"/>
    </row>
    <row r="3615" spans="12:16" x14ac:dyDescent="0.4">
      <c r="L3615" s="11"/>
      <c r="M3615" s="9"/>
      <c r="N3615" s="9"/>
      <c r="O3615" s="9"/>
      <c r="P3615" s="9"/>
    </row>
    <row r="3616" spans="12:16" x14ac:dyDescent="0.4">
      <c r="L3616" s="11"/>
      <c r="M3616" s="9"/>
      <c r="N3616" s="9"/>
      <c r="O3616" s="9"/>
      <c r="P3616" s="9"/>
    </row>
    <row r="3617" spans="12:16" x14ac:dyDescent="0.4">
      <c r="L3617" s="11"/>
      <c r="M3617" s="9"/>
      <c r="N3617" s="9"/>
      <c r="O3617" s="9"/>
      <c r="P3617" s="9"/>
    </row>
    <row r="3618" spans="12:16" x14ac:dyDescent="0.4">
      <c r="L3618" s="11"/>
      <c r="M3618" s="9"/>
      <c r="N3618" s="9"/>
      <c r="O3618" s="9"/>
      <c r="P3618" s="9"/>
    </row>
    <row r="3619" spans="12:16" x14ac:dyDescent="0.4">
      <c r="L3619" s="11"/>
      <c r="M3619" s="9"/>
      <c r="N3619" s="9"/>
      <c r="O3619" s="9"/>
      <c r="P3619" s="9"/>
    </row>
    <row r="3620" spans="12:16" x14ac:dyDescent="0.4">
      <c r="L3620" s="11"/>
      <c r="M3620" s="9"/>
      <c r="N3620" s="9"/>
      <c r="O3620" s="9"/>
      <c r="P3620" s="9"/>
    </row>
    <row r="3621" spans="12:16" x14ac:dyDescent="0.4">
      <c r="L3621" s="11"/>
      <c r="M3621" s="9"/>
      <c r="N3621" s="9"/>
      <c r="O3621" s="9"/>
      <c r="P3621" s="9"/>
    </row>
    <row r="3622" spans="12:16" x14ac:dyDescent="0.4">
      <c r="L3622" s="11"/>
      <c r="M3622" s="9"/>
      <c r="N3622" s="9"/>
      <c r="O3622" s="9"/>
      <c r="P3622" s="9"/>
    </row>
    <row r="3623" spans="12:16" x14ac:dyDescent="0.4">
      <c r="L3623" s="11"/>
      <c r="M3623" s="9"/>
      <c r="N3623" s="9"/>
      <c r="O3623" s="9"/>
      <c r="P3623" s="9"/>
    </row>
    <row r="3624" spans="12:16" x14ac:dyDescent="0.4">
      <c r="L3624" s="11"/>
      <c r="M3624" s="9"/>
      <c r="N3624" s="9"/>
      <c r="O3624" s="9"/>
      <c r="P3624" s="9"/>
    </row>
    <row r="3625" spans="12:16" x14ac:dyDescent="0.4">
      <c r="L3625" s="11"/>
      <c r="M3625" s="9"/>
      <c r="N3625" s="9"/>
      <c r="O3625" s="9"/>
      <c r="P3625" s="9"/>
    </row>
    <row r="3626" spans="12:16" x14ac:dyDescent="0.4">
      <c r="L3626" s="11"/>
      <c r="M3626" s="9"/>
      <c r="N3626" s="9"/>
      <c r="O3626" s="9"/>
      <c r="P3626" s="9"/>
    </row>
    <row r="3627" spans="12:16" x14ac:dyDescent="0.4">
      <c r="L3627" s="11"/>
      <c r="M3627" s="9"/>
      <c r="N3627" s="9"/>
      <c r="O3627" s="9"/>
      <c r="P3627" s="9"/>
    </row>
    <row r="3628" spans="12:16" x14ac:dyDescent="0.4">
      <c r="L3628" s="11"/>
      <c r="M3628" s="9"/>
      <c r="N3628" s="9"/>
      <c r="O3628" s="9"/>
      <c r="P3628" s="9"/>
    </row>
    <row r="3629" spans="12:16" x14ac:dyDescent="0.4">
      <c r="L3629" s="11"/>
      <c r="M3629" s="9"/>
      <c r="N3629" s="9"/>
      <c r="O3629" s="9"/>
      <c r="P3629" s="9"/>
    </row>
    <row r="3630" spans="12:16" x14ac:dyDescent="0.4">
      <c r="L3630" s="11"/>
      <c r="M3630" s="9"/>
      <c r="N3630" s="9"/>
      <c r="O3630" s="9"/>
      <c r="P3630" s="9"/>
    </row>
    <row r="3631" spans="12:16" x14ac:dyDescent="0.4">
      <c r="L3631" s="11"/>
      <c r="M3631" s="9"/>
      <c r="N3631" s="9"/>
      <c r="O3631" s="9"/>
      <c r="P3631" s="9"/>
    </row>
    <row r="3632" spans="12:16" x14ac:dyDescent="0.4">
      <c r="L3632" s="11"/>
      <c r="M3632" s="9"/>
      <c r="N3632" s="9"/>
      <c r="O3632" s="9"/>
      <c r="P3632" s="9"/>
    </row>
    <row r="3633" spans="12:16" x14ac:dyDescent="0.4">
      <c r="L3633" s="11"/>
      <c r="M3633" s="9"/>
      <c r="N3633" s="9"/>
      <c r="O3633" s="9"/>
      <c r="P3633" s="9"/>
    </row>
    <row r="3634" spans="12:16" x14ac:dyDescent="0.4">
      <c r="L3634" s="11"/>
      <c r="M3634" s="9"/>
      <c r="N3634" s="9"/>
      <c r="O3634" s="9"/>
      <c r="P3634" s="9"/>
    </row>
    <row r="3635" spans="12:16" x14ac:dyDescent="0.4">
      <c r="L3635" s="11"/>
      <c r="M3635" s="9"/>
      <c r="N3635" s="9"/>
      <c r="O3635" s="9"/>
      <c r="P3635" s="9"/>
    </row>
    <row r="3636" spans="12:16" x14ac:dyDescent="0.4">
      <c r="L3636" s="11"/>
      <c r="M3636" s="9"/>
      <c r="N3636" s="9"/>
      <c r="O3636" s="9"/>
      <c r="P3636" s="9"/>
    </row>
    <row r="3637" spans="12:16" x14ac:dyDescent="0.4">
      <c r="L3637" s="11"/>
      <c r="M3637" s="9"/>
      <c r="N3637" s="9"/>
      <c r="O3637" s="9"/>
      <c r="P3637" s="9"/>
    </row>
    <row r="3638" spans="12:16" x14ac:dyDescent="0.4">
      <c r="L3638" s="11"/>
      <c r="M3638" s="9"/>
      <c r="N3638" s="9"/>
      <c r="O3638" s="9"/>
      <c r="P3638" s="9"/>
    </row>
    <row r="3639" spans="12:16" x14ac:dyDescent="0.4">
      <c r="L3639" s="11"/>
      <c r="M3639" s="9"/>
      <c r="N3639" s="9"/>
      <c r="O3639" s="9"/>
      <c r="P3639" s="9"/>
    </row>
    <row r="3640" spans="12:16" x14ac:dyDescent="0.4">
      <c r="L3640" s="11"/>
      <c r="M3640" s="9"/>
      <c r="N3640" s="9"/>
      <c r="O3640" s="9"/>
      <c r="P3640" s="9"/>
    </row>
    <row r="3641" spans="12:16" x14ac:dyDescent="0.4">
      <c r="L3641" s="11"/>
      <c r="M3641" s="9"/>
      <c r="N3641" s="9"/>
      <c r="O3641" s="9"/>
      <c r="P3641" s="9"/>
    </row>
    <row r="3642" spans="12:16" x14ac:dyDescent="0.4">
      <c r="L3642" s="11"/>
      <c r="M3642" s="9"/>
      <c r="N3642" s="9"/>
      <c r="O3642" s="9"/>
      <c r="P3642" s="9"/>
    </row>
    <row r="3643" spans="12:16" x14ac:dyDescent="0.4">
      <c r="L3643" s="11"/>
      <c r="M3643" s="9"/>
      <c r="N3643" s="9"/>
      <c r="O3643" s="9"/>
      <c r="P3643" s="9"/>
    </row>
    <row r="3644" spans="12:16" x14ac:dyDescent="0.4">
      <c r="L3644" s="11"/>
      <c r="M3644" s="9"/>
      <c r="N3644" s="9"/>
      <c r="O3644" s="9"/>
      <c r="P3644" s="9"/>
    </row>
    <row r="3645" spans="12:16" x14ac:dyDescent="0.4">
      <c r="L3645" s="11"/>
      <c r="M3645" s="9"/>
      <c r="N3645" s="9"/>
      <c r="O3645" s="9"/>
      <c r="P3645" s="9"/>
    </row>
    <row r="3646" spans="12:16" x14ac:dyDescent="0.4">
      <c r="L3646" s="11"/>
      <c r="M3646" s="9"/>
      <c r="N3646" s="9"/>
      <c r="O3646" s="9"/>
      <c r="P3646" s="9"/>
    </row>
    <row r="3647" spans="12:16" x14ac:dyDescent="0.4">
      <c r="L3647" s="11"/>
      <c r="M3647" s="9"/>
      <c r="N3647" s="9"/>
      <c r="O3647" s="9"/>
      <c r="P3647" s="9"/>
    </row>
    <row r="3648" spans="12:16" x14ac:dyDescent="0.4">
      <c r="L3648" s="11"/>
      <c r="M3648" s="9"/>
      <c r="N3648" s="9"/>
      <c r="O3648" s="9"/>
      <c r="P3648" s="9"/>
    </row>
    <row r="3649" spans="12:16" x14ac:dyDescent="0.4">
      <c r="L3649" s="11"/>
      <c r="M3649" s="9"/>
      <c r="N3649" s="9"/>
      <c r="O3649" s="9"/>
      <c r="P3649" s="9"/>
    </row>
    <row r="3650" spans="12:16" x14ac:dyDescent="0.4">
      <c r="L3650" s="11"/>
      <c r="M3650" s="9"/>
      <c r="N3650" s="9"/>
      <c r="O3650" s="9"/>
      <c r="P3650" s="9"/>
    </row>
    <row r="3651" spans="12:16" x14ac:dyDescent="0.4">
      <c r="L3651" s="11"/>
      <c r="M3651" s="9"/>
      <c r="N3651" s="9"/>
      <c r="O3651" s="9"/>
      <c r="P3651" s="9"/>
    </row>
    <row r="3652" spans="12:16" x14ac:dyDescent="0.4">
      <c r="L3652" s="11"/>
      <c r="M3652" s="9"/>
      <c r="N3652" s="9"/>
      <c r="O3652" s="9"/>
      <c r="P3652" s="9"/>
    </row>
    <row r="3653" spans="12:16" x14ac:dyDescent="0.4">
      <c r="L3653" s="11"/>
      <c r="M3653" s="9"/>
      <c r="N3653" s="9"/>
      <c r="O3653" s="9"/>
      <c r="P3653" s="9"/>
    </row>
    <row r="3654" spans="12:16" x14ac:dyDescent="0.4">
      <c r="L3654" s="11"/>
      <c r="M3654" s="9"/>
      <c r="N3654" s="9"/>
      <c r="O3654" s="9"/>
      <c r="P3654" s="9"/>
    </row>
    <row r="3655" spans="12:16" x14ac:dyDescent="0.4">
      <c r="L3655" s="11"/>
      <c r="M3655" s="9"/>
      <c r="N3655" s="9"/>
      <c r="O3655" s="9"/>
      <c r="P3655" s="9"/>
    </row>
    <row r="3656" spans="12:16" x14ac:dyDescent="0.4">
      <c r="L3656" s="11"/>
      <c r="M3656" s="9"/>
      <c r="N3656" s="9"/>
      <c r="O3656" s="9"/>
      <c r="P3656" s="9"/>
    </row>
    <row r="3657" spans="12:16" x14ac:dyDescent="0.4">
      <c r="L3657" s="11"/>
      <c r="M3657" s="9"/>
      <c r="N3657" s="9"/>
      <c r="O3657" s="9"/>
      <c r="P3657" s="9"/>
    </row>
    <row r="3658" spans="12:16" x14ac:dyDescent="0.4">
      <c r="L3658" s="11"/>
      <c r="M3658" s="9"/>
      <c r="N3658" s="9"/>
      <c r="O3658" s="9"/>
      <c r="P3658" s="9"/>
    </row>
    <row r="3659" spans="12:16" x14ac:dyDescent="0.4">
      <c r="L3659" s="11"/>
      <c r="M3659" s="9"/>
      <c r="N3659" s="9"/>
      <c r="O3659" s="9"/>
      <c r="P3659" s="9"/>
    </row>
    <row r="3660" spans="12:16" x14ac:dyDescent="0.4">
      <c r="L3660" s="11"/>
      <c r="M3660" s="9"/>
      <c r="N3660" s="9"/>
      <c r="O3660" s="9"/>
      <c r="P3660" s="9"/>
    </row>
    <row r="3661" spans="12:16" x14ac:dyDescent="0.4">
      <c r="L3661" s="11"/>
      <c r="M3661" s="9"/>
      <c r="N3661" s="9"/>
      <c r="O3661" s="9"/>
      <c r="P3661" s="9"/>
    </row>
    <row r="3662" spans="12:16" x14ac:dyDescent="0.4">
      <c r="L3662" s="11"/>
      <c r="M3662" s="9"/>
      <c r="N3662" s="9"/>
      <c r="O3662" s="9"/>
      <c r="P3662" s="9"/>
    </row>
    <row r="3663" spans="12:16" x14ac:dyDescent="0.4">
      <c r="L3663" s="11"/>
      <c r="M3663" s="9"/>
      <c r="N3663" s="9"/>
      <c r="O3663" s="9"/>
      <c r="P3663" s="9"/>
    </row>
    <row r="3664" spans="12:16" x14ac:dyDescent="0.4">
      <c r="L3664" s="11"/>
      <c r="M3664" s="9"/>
      <c r="N3664" s="9"/>
      <c r="O3664" s="9"/>
      <c r="P3664" s="9"/>
    </row>
    <row r="3665" spans="12:16" x14ac:dyDescent="0.4">
      <c r="L3665" s="11"/>
      <c r="M3665" s="9"/>
      <c r="N3665" s="9"/>
      <c r="O3665" s="9"/>
      <c r="P3665" s="9"/>
    </row>
    <row r="3666" spans="12:16" x14ac:dyDescent="0.4">
      <c r="L3666" s="11"/>
      <c r="M3666" s="9"/>
      <c r="N3666" s="9"/>
      <c r="O3666" s="9"/>
      <c r="P3666" s="9"/>
    </row>
    <row r="3667" spans="12:16" x14ac:dyDescent="0.4">
      <c r="L3667" s="11"/>
      <c r="M3667" s="9"/>
      <c r="N3667" s="9"/>
      <c r="O3667" s="9"/>
      <c r="P3667" s="9"/>
    </row>
    <row r="3668" spans="12:16" x14ac:dyDescent="0.4">
      <c r="L3668" s="11"/>
      <c r="M3668" s="9"/>
      <c r="N3668" s="9"/>
      <c r="O3668" s="9"/>
      <c r="P3668" s="9"/>
    </row>
    <row r="3669" spans="12:16" x14ac:dyDescent="0.4">
      <c r="L3669" s="11"/>
      <c r="M3669" s="9"/>
      <c r="N3669" s="9"/>
      <c r="O3669" s="9"/>
      <c r="P3669" s="9"/>
    </row>
    <row r="3670" spans="12:16" x14ac:dyDescent="0.4">
      <c r="L3670" s="11"/>
      <c r="M3670" s="9"/>
      <c r="N3670" s="9"/>
      <c r="O3670" s="9"/>
      <c r="P3670" s="9"/>
    </row>
    <row r="3671" spans="12:16" x14ac:dyDescent="0.4">
      <c r="L3671" s="11"/>
      <c r="M3671" s="9"/>
      <c r="N3671" s="9"/>
      <c r="O3671" s="9"/>
      <c r="P3671" s="9"/>
    </row>
    <row r="3672" spans="12:16" x14ac:dyDescent="0.4">
      <c r="L3672" s="11"/>
      <c r="M3672" s="9"/>
      <c r="N3672" s="9"/>
      <c r="O3672" s="9"/>
      <c r="P3672" s="9"/>
    </row>
    <row r="3673" spans="12:16" x14ac:dyDescent="0.4">
      <c r="L3673" s="11"/>
      <c r="M3673" s="9"/>
      <c r="N3673" s="9"/>
      <c r="O3673" s="9"/>
      <c r="P3673" s="9"/>
    </row>
    <row r="3674" spans="12:16" x14ac:dyDescent="0.4">
      <c r="L3674" s="11"/>
      <c r="M3674" s="9"/>
      <c r="N3674" s="9"/>
      <c r="O3674" s="9"/>
      <c r="P3674" s="9"/>
    </row>
    <row r="3675" spans="12:16" x14ac:dyDescent="0.4">
      <c r="L3675" s="11"/>
      <c r="M3675" s="9"/>
      <c r="N3675" s="9"/>
      <c r="O3675" s="9"/>
      <c r="P3675" s="9"/>
    </row>
    <row r="3676" spans="12:16" x14ac:dyDescent="0.4">
      <c r="L3676" s="11"/>
      <c r="M3676" s="9"/>
      <c r="N3676" s="9"/>
      <c r="O3676" s="9"/>
      <c r="P3676" s="9"/>
    </row>
    <row r="3677" spans="12:16" x14ac:dyDescent="0.4">
      <c r="L3677" s="11"/>
      <c r="M3677" s="9"/>
      <c r="N3677" s="9"/>
      <c r="O3677" s="9"/>
      <c r="P3677" s="9"/>
    </row>
    <row r="3678" spans="12:16" x14ac:dyDescent="0.4">
      <c r="L3678" s="11"/>
      <c r="M3678" s="9"/>
      <c r="N3678" s="9"/>
      <c r="O3678" s="9"/>
      <c r="P3678" s="9"/>
    </row>
    <row r="3679" spans="12:16" x14ac:dyDescent="0.4">
      <c r="L3679" s="11"/>
      <c r="M3679" s="9"/>
      <c r="N3679" s="9"/>
      <c r="O3679" s="9"/>
      <c r="P3679" s="9"/>
    </row>
    <row r="3680" spans="12:16" x14ac:dyDescent="0.4">
      <c r="L3680" s="11"/>
      <c r="M3680" s="9"/>
      <c r="N3680" s="9"/>
      <c r="O3680" s="9"/>
      <c r="P3680" s="9"/>
    </row>
    <row r="3681" spans="12:16" x14ac:dyDescent="0.4">
      <c r="L3681" s="11"/>
      <c r="M3681" s="9"/>
      <c r="N3681" s="9"/>
      <c r="O3681" s="9"/>
      <c r="P3681" s="9"/>
    </row>
    <row r="3682" spans="12:16" x14ac:dyDescent="0.4">
      <c r="L3682" s="11"/>
      <c r="M3682" s="9"/>
      <c r="N3682" s="9"/>
      <c r="O3682" s="9"/>
      <c r="P3682" s="9"/>
    </row>
    <row r="3683" spans="12:16" x14ac:dyDescent="0.4">
      <c r="L3683" s="11"/>
      <c r="M3683" s="9"/>
      <c r="N3683" s="9"/>
      <c r="O3683" s="9"/>
      <c r="P3683" s="9"/>
    </row>
    <row r="3684" spans="12:16" x14ac:dyDescent="0.4">
      <c r="L3684" s="11"/>
      <c r="M3684" s="9"/>
      <c r="N3684" s="9"/>
      <c r="O3684" s="9"/>
      <c r="P3684" s="9"/>
    </row>
    <row r="3685" spans="12:16" x14ac:dyDescent="0.4">
      <c r="L3685" s="11"/>
      <c r="M3685" s="9"/>
      <c r="N3685" s="9"/>
      <c r="O3685" s="9"/>
      <c r="P3685" s="9"/>
    </row>
    <row r="3686" spans="12:16" x14ac:dyDescent="0.4">
      <c r="L3686" s="11"/>
      <c r="M3686" s="9"/>
      <c r="N3686" s="9"/>
      <c r="O3686" s="9"/>
      <c r="P3686" s="9"/>
    </row>
    <row r="3687" spans="12:16" x14ac:dyDescent="0.4">
      <c r="L3687" s="11"/>
      <c r="M3687" s="9"/>
      <c r="N3687" s="9"/>
      <c r="O3687" s="9"/>
      <c r="P3687" s="9"/>
    </row>
    <row r="3688" spans="12:16" x14ac:dyDescent="0.4">
      <c r="L3688" s="11"/>
      <c r="M3688" s="9"/>
      <c r="N3688" s="9"/>
      <c r="O3688" s="9"/>
      <c r="P3688" s="9"/>
    </row>
    <row r="3689" spans="12:16" x14ac:dyDescent="0.4">
      <c r="L3689" s="11"/>
      <c r="M3689" s="9"/>
      <c r="N3689" s="9"/>
      <c r="O3689" s="9"/>
      <c r="P3689" s="9"/>
    </row>
    <row r="3690" spans="12:16" x14ac:dyDescent="0.4">
      <c r="L3690" s="11"/>
      <c r="M3690" s="9"/>
      <c r="N3690" s="9"/>
      <c r="O3690" s="9"/>
      <c r="P3690" s="9"/>
    </row>
    <row r="3691" spans="12:16" x14ac:dyDescent="0.4">
      <c r="L3691" s="11"/>
      <c r="M3691" s="9"/>
      <c r="N3691" s="9"/>
      <c r="O3691" s="9"/>
      <c r="P3691" s="9"/>
    </row>
    <row r="3692" spans="12:16" x14ac:dyDescent="0.4">
      <c r="L3692" s="11"/>
      <c r="M3692" s="9"/>
      <c r="N3692" s="9"/>
      <c r="O3692" s="9"/>
      <c r="P3692" s="9"/>
    </row>
    <row r="3693" spans="12:16" x14ac:dyDescent="0.4">
      <c r="L3693" s="11"/>
      <c r="M3693" s="9"/>
      <c r="N3693" s="9"/>
      <c r="O3693" s="9"/>
      <c r="P3693" s="9"/>
    </row>
    <row r="3694" spans="12:16" x14ac:dyDescent="0.4">
      <c r="L3694" s="11"/>
      <c r="M3694" s="9"/>
      <c r="N3694" s="9"/>
      <c r="O3694" s="9"/>
      <c r="P3694" s="9"/>
    </row>
    <row r="3695" spans="12:16" x14ac:dyDescent="0.4">
      <c r="L3695" s="11"/>
      <c r="M3695" s="9"/>
      <c r="N3695" s="9"/>
      <c r="O3695" s="9"/>
      <c r="P3695" s="9"/>
    </row>
    <row r="3696" spans="12:16" x14ac:dyDescent="0.4">
      <c r="L3696" s="11"/>
      <c r="M3696" s="9"/>
      <c r="N3696" s="9"/>
      <c r="O3696" s="9"/>
      <c r="P3696" s="9"/>
    </row>
    <row r="3697" spans="12:16" x14ac:dyDescent="0.4">
      <c r="L3697" s="11"/>
      <c r="M3697" s="9"/>
      <c r="N3697" s="9"/>
      <c r="O3697" s="9"/>
      <c r="P3697" s="9"/>
    </row>
    <row r="3698" spans="12:16" x14ac:dyDescent="0.4">
      <c r="L3698" s="11"/>
      <c r="M3698" s="9"/>
      <c r="N3698" s="9"/>
      <c r="O3698" s="9"/>
      <c r="P3698" s="9"/>
    </row>
    <row r="3699" spans="12:16" x14ac:dyDescent="0.4">
      <c r="L3699" s="11"/>
      <c r="M3699" s="9"/>
      <c r="N3699" s="9"/>
      <c r="O3699" s="9"/>
      <c r="P3699" s="9"/>
    </row>
    <row r="3700" spans="12:16" x14ac:dyDescent="0.4">
      <c r="L3700" s="11"/>
      <c r="M3700" s="9"/>
      <c r="N3700" s="9"/>
      <c r="O3700" s="9"/>
      <c r="P3700" s="9"/>
    </row>
    <row r="3701" spans="12:16" x14ac:dyDescent="0.4">
      <c r="L3701" s="11"/>
      <c r="M3701" s="9"/>
      <c r="N3701" s="9"/>
      <c r="O3701" s="9"/>
      <c r="P3701" s="9"/>
    </row>
    <row r="3702" spans="12:16" x14ac:dyDescent="0.4">
      <c r="L3702" s="11"/>
      <c r="M3702" s="9"/>
      <c r="N3702" s="9"/>
      <c r="O3702" s="9"/>
      <c r="P3702" s="9"/>
    </row>
    <row r="3703" spans="12:16" x14ac:dyDescent="0.4">
      <c r="L3703" s="11"/>
      <c r="M3703" s="9"/>
      <c r="N3703" s="9"/>
      <c r="O3703" s="9"/>
      <c r="P3703" s="9"/>
    </row>
    <row r="3704" spans="12:16" x14ac:dyDescent="0.4">
      <c r="L3704" s="11"/>
      <c r="M3704" s="9"/>
      <c r="N3704" s="9"/>
      <c r="O3704" s="9"/>
      <c r="P3704" s="9"/>
    </row>
    <row r="3705" spans="12:16" x14ac:dyDescent="0.4">
      <c r="L3705" s="11"/>
      <c r="M3705" s="9"/>
      <c r="N3705" s="9"/>
      <c r="O3705" s="9"/>
      <c r="P3705" s="9"/>
    </row>
    <row r="3706" spans="12:16" x14ac:dyDescent="0.4">
      <c r="L3706" s="11"/>
      <c r="M3706" s="9"/>
      <c r="N3706" s="9"/>
      <c r="O3706" s="9"/>
      <c r="P3706" s="9"/>
    </row>
    <row r="3707" spans="12:16" x14ac:dyDescent="0.4">
      <c r="L3707" s="11"/>
      <c r="M3707" s="9"/>
      <c r="N3707" s="9"/>
      <c r="O3707" s="9"/>
      <c r="P3707" s="9"/>
    </row>
    <row r="3708" spans="12:16" x14ac:dyDescent="0.4">
      <c r="L3708" s="11"/>
      <c r="M3708" s="9"/>
      <c r="N3708" s="9"/>
      <c r="O3708" s="9"/>
      <c r="P3708" s="9"/>
    </row>
    <row r="3709" spans="12:16" x14ac:dyDescent="0.4">
      <c r="L3709" s="11"/>
      <c r="M3709" s="9"/>
      <c r="N3709" s="9"/>
      <c r="O3709" s="9"/>
      <c r="P3709" s="9"/>
    </row>
    <row r="3710" spans="12:16" x14ac:dyDescent="0.4">
      <c r="L3710" s="11"/>
      <c r="M3710" s="9"/>
      <c r="N3710" s="9"/>
      <c r="O3710" s="9"/>
      <c r="P3710" s="9"/>
    </row>
    <row r="3711" spans="12:16" x14ac:dyDescent="0.4">
      <c r="L3711" s="11"/>
      <c r="M3711" s="9"/>
      <c r="N3711" s="9"/>
      <c r="O3711" s="9"/>
      <c r="P3711" s="9"/>
    </row>
    <row r="3712" spans="12:16" x14ac:dyDescent="0.4">
      <c r="L3712" s="11"/>
      <c r="M3712" s="9"/>
      <c r="N3712" s="9"/>
      <c r="O3712" s="9"/>
      <c r="P3712" s="9"/>
    </row>
    <row r="3713" spans="12:16" x14ac:dyDescent="0.4">
      <c r="L3713" s="11"/>
      <c r="M3713" s="9"/>
      <c r="N3713" s="9"/>
      <c r="O3713" s="9"/>
      <c r="P3713" s="9"/>
    </row>
    <row r="3714" spans="12:16" x14ac:dyDescent="0.4">
      <c r="L3714" s="11"/>
      <c r="M3714" s="9"/>
      <c r="N3714" s="9"/>
      <c r="O3714" s="9"/>
      <c r="P3714" s="9"/>
    </row>
    <row r="3715" spans="12:16" x14ac:dyDescent="0.4">
      <c r="L3715" s="11"/>
      <c r="M3715" s="9"/>
      <c r="N3715" s="9"/>
      <c r="O3715" s="9"/>
      <c r="P3715" s="9"/>
    </row>
    <row r="3716" spans="12:16" x14ac:dyDescent="0.4">
      <c r="L3716" s="11"/>
      <c r="M3716" s="9"/>
      <c r="N3716" s="9"/>
      <c r="O3716" s="9"/>
      <c r="P3716" s="9"/>
    </row>
    <row r="3717" spans="12:16" x14ac:dyDescent="0.4">
      <c r="L3717" s="11"/>
      <c r="M3717" s="9"/>
      <c r="N3717" s="9"/>
      <c r="O3717" s="9"/>
      <c r="P3717" s="9"/>
    </row>
    <row r="3718" spans="12:16" x14ac:dyDescent="0.4">
      <c r="L3718" s="11"/>
      <c r="M3718" s="9"/>
      <c r="N3718" s="9"/>
      <c r="O3718" s="9"/>
      <c r="P3718" s="9"/>
    </row>
    <row r="3719" spans="12:16" x14ac:dyDescent="0.4">
      <c r="L3719" s="11"/>
      <c r="M3719" s="9"/>
      <c r="N3719" s="9"/>
      <c r="O3719" s="9"/>
      <c r="P3719" s="9"/>
    </row>
    <row r="3720" spans="12:16" x14ac:dyDescent="0.4">
      <c r="L3720" s="11"/>
      <c r="M3720" s="9"/>
      <c r="N3720" s="9"/>
      <c r="O3720" s="9"/>
      <c r="P3720" s="9"/>
    </row>
    <row r="3721" spans="12:16" x14ac:dyDescent="0.4">
      <c r="L3721" s="11"/>
      <c r="M3721" s="9"/>
      <c r="N3721" s="9"/>
      <c r="O3721" s="9"/>
      <c r="P3721" s="9"/>
    </row>
    <row r="3722" spans="12:16" x14ac:dyDescent="0.4">
      <c r="L3722" s="11"/>
      <c r="M3722" s="9"/>
      <c r="N3722" s="9"/>
      <c r="O3722" s="9"/>
      <c r="P3722" s="9"/>
    </row>
    <row r="3723" spans="12:16" x14ac:dyDescent="0.4">
      <c r="L3723" s="11"/>
      <c r="M3723" s="9"/>
      <c r="N3723" s="9"/>
      <c r="O3723" s="9"/>
      <c r="P3723" s="9"/>
    </row>
    <row r="3724" spans="12:16" x14ac:dyDescent="0.4">
      <c r="L3724" s="11"/>
      <c r="M3724" s="9"/>
      <c r="N3724" s="9"/>
      <c r="O3724" s="9"/>
      <c r="P3724" s="9"/>
    </row>
    <row r="3725" spans="12:16" x14ac:dyDescent="0.4">
      <c r="L3725" s="11"/>
      <c r="M3725" s="9"/>
      <c r="N3725" s="9"/>
      <c r="O3725" s="9"/>
      <c r="P3725" s="9"/>
    </row>
    <row r="3726" spans="12:16" x14ac:dyDescent="0.4">
      <c r="L3726" s="11"/>
      <c r="M3726" s="9"/>
      <c r="N3726" s="9"/>
      <c r="O3726" s="9"/>
      <c r="P3726" s="9"/>
    </row>
    <row r="3727" spans="12:16" x14ac:dyDescent="0.4">
      <c r="L3727" s="11"/>
      <c r="M3727" s="9"/>
      <c r="N3727" s="9"/>
      <c r="O3727" s="9"/>
      <c r="P3727" s="9"/>
    </row>
    <row r="3728" spans="12:16" x14ac:dyDescent="0.4">
      <c r="L3728" s="11"/>
      <c r="M3728" s="9"/>
      <c r="N3728" s="9"/>
      <c r="O3728" s="9"/>
      <c r="P3728" s="9"/>
    </row>
    <row r="3729" spans="12:16" x14ac:dyDescent="0.4">
      <c r="L3729" s="11"/>
      <c r="M3729" s="9"/>
      <c r="N3729" s="9"/>
      <c r="O3729" s="9"/>
      <c r="P3729" s="9"/>
    </row>
    <row r="3730" spans="12:16" x14ac:dyDescent="0.4">
      <c r="L3730" s="11"/>
      <c r="M3730" s="9"/>
      <c r="N3730" s="9"/>
      <c r="O3730" s="9"/>
      <c r="P3730" s="9"/>
    </row>
    <row r="3731" spans="12:16" x14ac:dyDescent="0.4">
      <c r="L3731" s="11"/>
      <c r="M3731" s="9"/>
      <c r="N3731" s="9"/>
      <c r="O3731" s="9"/>
      <c r="P3731" s="9"/>
    </row>
    <row r="3732" spans="12:16" x14ac:dyDescent="0.4">
      <c r="L3732" s="11"/>
      <c r="M3732" s="9"/>
      <c r="N3732" s="9"/>
      <c r="O3732" s="9"/>
      <c r="P3732" s="9"/>
    </row>
    <row r="3733" spans="12:16" x14ac:dyDescent="0.4">
      <c r="L3733" s="11"/>
      <c r="M3733" s="9"/>
      <c r="N3733" s="9"/>
      <c r="O3733" s="9"/>
      <c r="P3733" s="9"/>
    </row>
    <row r="3734" spans="12:16" x14ac:dyDescent="0.4">
      <c r="L3734" s="11"/>
      <c r="M3734" s="9"/>
      <c r="N3734" s="9"/>
      <c r="O3734" s="9"/>
      <c r="P3734" s="9"/>
    </row>
    <row r="3735" spans="12:16" x14ac:dyDescent="0.4">
      <c r="L3735" s="11"/>
      <c r="M3735" s="9"/>
      <c r="N3735" s="9"/>
      <c r="O3735" s="9"/>
      <c r="P3735" s="9"/>
    </row>
    <row r="3736" spans="12:16" x14ac:dyDescent="0.4">
      <c r="L3736" s="11"/>
      <c r="M3736" s="9"/>
      <c r="N3736" s="9"/>
      <c r="O3736" s="9"/>
      <c r="P3736" s="9"/>
    </row>
    <row r="3737" spans="12:16" x14ac:dyDescent="0.4">
      <c r="L3737" s="11"/>
      <c r="M3737" s="9"/>
      <c r="N3737" s="9"/>
      <c r="O3737" s="9"/>
      <c r="P3737" s="9"/>
    </row>
    <row r="3738" spans="12:16" x14ac:dyDescent="0.4">
      <c r="L3738" s="11"/>
      <c r="M3738" s="9"/>
      <c r="N3738" s="9"/>
      <c r="O3738" s="9"/>
      <c r="P3738" s="9"/>
    </row>
    <row r="3739" spans="12:16" x14ac:dyDescent="0.4">
      <c r="L3739" s="11"/>
      <c r="M3739" s="9"/>
      <c r="N3739" s="9"/>
      <c r="O3739" s="9"/>
      <c r="P3739" s="9"/>
    </row>
    <row r="3740" spans="12:16" x14ac:dyDescent="0.4">
      <c r="L3740" s="11"/>
      <c r="M3740" s="9"/>
      <c r="N3740" s="9"/>
      <c r="O3740" s="9"/>
      <c r="P3740" s="9"/>
    </row>
    <row r="3741" spans="12:16" x14ac:dyDescent="0.4">
      <c r="L3741" s="11"/>
      <c r="M3741" s="9"/>
      <c r="N3741" s="9"/>
      <c r="O3741" s="9"/>
      <c r="P3741" s="9"/>
    </row>
    <row r="3742" spans="12:16" x14ac:dyDescent="0.4">
      <c r="L3742" s="11"/>
      <c r="M3742" s="9"/>
      <c r="N3742" s="9"/>
      <c r="O3742" s="9"/>
      <c r="P3742" s="9"/>
    </row>
    <row r="3743" spans="12:16" x14ac:dyDescent="0.4">
      <c r="L3743" s="11"/>
      <c r="M3743" s="9"/>
      <c r="N3743" s="9"/>
      <c r="O3743" s="9"/>
      <c r="P3743" s="9"/>
    </row>
    <row r="3744" spans="12:16" x14ac:dyDescent="0.4">
      <c r="L3744" s="11"/>
      <c r="M3744" s="9"/>
      <c r="N3744" s="9"/>
      <c r="O3744" s="9"/>
      <c r="P3744" s="9"/>
    </row>
    <row r="3745" spans="12:16" x14ac:dyDescent="0.4">
      <c r="L3745" s="11"/>
      <c r="M3745" s="9"/>
      <c r="N3745" s="9"/>
      <c r="O3745" s="9"/>
      <c r="P3745" s="9"/>
    </row>
    <row r="3746" spans="12:16" x14ac:dyDescent="0.4">
      <c r="L3746" s="11"/>
      <c r="M3746" s="9"/>
      <c r="N3746" s="9"/>
      <c r="O3746" s="9"/>
      <c r="P3746" s="9"/>
    </row>
    <row r="3747" spans="12:16" x14ac:dyDescent="0.4">
      <c r="L3747" s="11"/>
      <c r="M3747" s="9"/>
      <c r="N3747" s="9"/>
      <c r="O3747" s="9"/>
      <c r="P3747" s="9"/>
    </row>
    <row r="3748" spans="12:16" x14ac:dyDescent="0.4">
      <c r="L3748" s="11"/>
      <c r="M3748" s="9"/>
      <c r="N3748" s="9"/>
      <c r="O3748" s="9"/>
      <c r="P3748" s="9"/>
    </row>
    <row r="3749" spans="12:16" x14ac:dyDescent="0.4">
      <c r="L3749" s="11"/>
      <c r="M3749" s="9"/>
      <c r="N3749" s="9"/>
      <c r="O3749" s="9"/>
      <c r="P3749" s="9"/>
    </row>
    <row r="3750" spans="12:16" x14ac:dyDescent="0.4">
      <c r="L3750" s="11"/>
      <c r="M3750" s="9"/>
      <c r="N3750" s="9"/>
      <c r="O3750" s="9"/>
      <c r="P3750" s="9"/>
    </row>
    <row r="3751" spans="12:16" x14ac:dyDescent="0.4">
      <c r="L3751" s="11"/>
      <c r="M3751" s="9"/>
      <c r="N3751" s="9"/>
      <c r="O3751" s="9"/>
      <c r="P3751" s="9"/>
    </row>
    <row r="3752" spans="12:16" x14ac:dyDescent="0.4">
      <c r="L3752" s="11"/>
      <c r="M3752" s="9"/>
      <c r="N3752" s="9"/>
      <c r="O3752" s="9"/>
      <c r="P3752" s="9"/>
    </row>
    <row r="3753" spans="12:16" x14ac:dyDescent="0.4">
      <c r="L3753" s="11"/>
      <c r="M3753" s="9"/>
      <c r="N3753" s="9"/>
      <c r="O3753" s="9"/>
      <c r="P3753" s="9"/>
    </row>
    <row r="3754" spans="12:16" x14ac:dyDescent="0.4">
      <c r="L3754" s="11"/>
      <c r="M3754" s="9"/>
      <c r="N3754" s="9"/>
      <c r="O3754" s="9"/>
      <c r="P3754" s="9"/>
    </row>
    <row r="3755" spans="12:16" x14ac:dyDescent="0.4">
      <c r="L3755" s="11"/>
      <c r="M3755" s="9"/>
      <c r="N3755" s="9"/>
      <c r="O3755" s="9"/>
      <c r="P3755" s="9"/>
    </row>
    <row r="3756" spans="12:16" x14ac:dyDescent="0.4">
      <c r="L3756" s="11"/>
      <c r="M3756" s="9"/>
      <c r="N3756" s="9"/>
      <c r="O3756" s="9"/>
      <c r="P3756" s="9"/>
    </row>
    <row r="3757" spans="12:16" x14ac:dyDescent="0.4">
      <c r="L3757" s="11"/>
      <c r="M3757" s="9"/>
      <c r="N3757" s="9"/>
      <c r="O3757" s="9"/>
      <c r="P3757" s="9"/>
    </row>
    <row r="3758" spans="12:16" x14ac:dyDescent="0.4">
      <c r="L3758" s="11"/>
      <c r="M3758" s="9"/>
      <c r="N3758" s="9"/>
      <c r="O3758" s="9"/>
      <c r="P3758" s="9"/>
    </row>
    <row r="3759" spans="12:16" x14ac:dyDescent="0.4">
      <c r="L3759" s="11"/>
      <c r="M3759" s="9"/>
      <c r="N3759" s="9"/>
      <c r="O3759" s="9"/>
      <c r="P3759" s="9"/>
    </row>
    <row r="3760" spans="12:16" x14ac:dyDescent="0.4">
      <c r="L3760" s="11"/>
      <c r="M3760" s="9"/>
      <c r="N3760" s="9"/>
      <c r="O3760" s="9"/>
      <c r="P3760" s="9"/>
    </row>
    <row r="3761" spans="12:16" x14ac:dyDescent="0.4">
      <c r="L3761" s="11"/>
      <c r="M3761" s="9"/>
      <c r="N3761" s="9"/>
      <c r="O3761" s="9"/>
      <c r="P3761" s="9"/>
    </row>
    <row r="3762" spans="12:16" x14ac:dyDescent="0.4">
      <c r="L3762" s="11"/>
      <c r="M3762" s="9"/>
      <c r="N3762" s="9"/>
      <c r="O3762" s="9"/>
      <c r="P3762" s="9"/>
    </row>
    <row r="3763" spans="12:16" x14ac:dyDescent="0.4">
      <c r="L3763" s="11"/>
      <c r="M3763" s="9"/>
      <c r="N3763" s="9"/>
      <c r="O3763" s="9"/>
      <c r="P3763" s="9"/>
    </row>
    <row r="3764" spans="12:16" x14ac:dyDescent="0.4">
      <c r="L3764" s="11"/>
      <c r="M3764" s="9"/>
      <c r="N3764" s="9"/>
      <c r="O3764" s="9"/>
      <c r="P3764" s="9"/>
    </row>
    <row r="3765" spans="12:16" x14ac:dyDescent="0.4">
      <c r="L3765" s="11"/>
      <c r="M3765" s="9"/>
      <c r="N3765" s="9"/>
      <c r="O3765" s="9"/>
      <c r="P3765" s="9"/>
    </row>
    <row r="3766" spans="12:16" x14ac:dyDescent="0.4">
      <c r="L3766" s="11"/>
      <c r="M3766" s="9"/>
      <c r="N3766" s="9"/>
      <c r="O3766" s="9"/>
      <c r="P3766" s="9"/>
    </row>
    <row r="3767" spans="12:16" x14ac:dyDescent="0.4">
      <c r="L3767" s="11"/>
      <c r="M3767" s="9"/>
      <c r="N3767" s="9"/>
      <c r="O3767" s="9"/>
      <c r="P3767" s="9"/>
    </row>
    <row r="3768" spans="12:16" x14ac:dyDescent="0.4">
      <c r="L3768" s="11"/>
      <c r="M3768" s="9"/>
      <c r="N3768" s="9"/>
      <c r="O3768" s="9"/>
      <c r="P3768" s="9"/>
    </row>
    <row r="3769" spans="12:16" x14ac:dyDescent="0.4">
      <c r="L3769" s="11"/>
      <c r="M3769" s="9"/>
      <c r="N3769" s="9"/>
      <c r="O3769" s="9"/>
      <c r="P3769" s="9"/>
    </row>
    <row r="3770" spans="12:16" x14ac:dyDescent="0.4">
      <c r="L3770" s="11"/>
      <c r="M3770" s="9"/>
      <c r="N3770" s="9"/>
      <c r="O3770" s="9"/>
      <c r="P3770" s="9"/>
    </row>
    <row r="3771" spans="12:16" x14ac:dyDescent="0.4">
      <c r="L3771" s="11"/>
      <c r="M3771" s="9"/>
      <c r="N3771" s="9"/>
      <c r="O3771" s="9"/>
      <c r="P3771" s="9"/>
    </row>
    <row r="3772" spans="12:16" x14ac:dyDescent="0.4">
      <c r="L3772" s="11"/>
      <c r="M3772" s="9"/>
      <c r="N3772" s="9"/>
      <c r="O3772" s="9"/>
      <c r="P3772" s="9"/>
    </row>
    <row r="3773" spans="12:16" x14ac:dyDescent="0.4">
      <c r="L3773" s="11"/>
      <c r="M3773" s="9"/>
      <c r="N3773" s="9"/>
      <c r="O3773" s="9"/>
      <c r="P3773" s="9"/>
    </row>
    <row r="3774" spans="12:16" x14ac:dyDescent="0.4">
      <c r="L3774" s="11"/>
      <c r="M3774" s="9"/>
      <c r="N3774" s="9"/>
      <c r="O3774" s="9"/>
      <c r="P3774" s="9"/>
    </row>
    <row r="3775" spans="12:16" x14ac:dyDescent="0.4">
      <c r="L3775" s="11"/>
      <c r="M3775" s="9"/>
      <c r="N3775" s="9"/>
      <c r="O3775" s="9"/>
      <c r="P3775" s="9"/>
    </row>
    <row r="3776" spans="12:16" x14ac:dyDescent="0.4">
      <c r="L3776" s="11"/>
      <c r="M3776" s="9"/>
      <c r="N3776" s="9"/>
      <c r="O3776" s="9"/>
      <c r="P3776" s="9"/>
    </row>
    <row r="3777" spans="12:16" x14ac:dyDescent="0.4">
      <c r="L3777" s="11"/>
      <c r="M3777" s="9"/>
      <c r="N3777" s="9"/>
      <c r="O3777" s="9"/>
      <c r="P3777" s="9"/>
    </row>
    <row r="3778" spans="12:16" x14ac:dyDescent="0.4">
      <c r="L3778" s="11"/>
      <c r="M3778" s="9"/>
      <c r="N3778" s="9"/>
      <c r="O3778" s="9"/>
      <c r="P3778" s="9"/>
    </row>
    <row r="3779" spans="12:16" x14ac:dyDescent="0.4">
      <c r="L3779" s="11"/>
      <c r="M3779" s="9"/>
      <c r="N3779" s="9"/>
      <c r="O3779" s="9"/>
      <c r="P3779" s="9"/>
    </row>
    <row r="3780" spans="12:16" x14ac:dyDescent="0.4">
      <c r="L3780" s="11"/>
      <c r="M3780" s="9"/>
      <c r="N3780" s="9"/>
      <c r="O3780" s="9"/>
      <c r="P3780" s="9"/>
    </row>
    <row r="3781" spans="12:16" x14ac:dyDescent="0.4">
      <c r="L3781" s="11"/>
      <c r="M3781" s="9"/>
      <c r="N3781" s="9"/>
      <c r="O3781" s="9"/>
      <c r="P3781" s="9"/>
    </row>
    <row r="3782" spans="12:16" x14ac:dyDescent="0.4">
      <c r="L3782" s="11"/>
      <c r="M3782" s="9"/>
      <c r="N3782" s="9"/>
      <c r="O3782" s="9"/>
      <c r="P3782" s="9"/>
    </row>
    <row r="3783" spans="12:16" x14ac:dyDescent="0.4">
      <c r="L3783" s="11"/>
      <c r="M3783" s="9"/>
      <c r="N3783" s="9"/>
      <c r="O3783" s="9"/>
      <c r="P3783" s="9"/>
    </row>
    <row r="3784" spans="12:16" x14ac:dyDescent="0.4">
      <c r="L3784" s="11"/>
      <c r="M3784" s="9"/>
      <c r="N3784" s="9"/>
      <c r="O3784" s="9"/>
      <c r="P3784" s="9"/>
    </row>
    <row r="3785" spans="12:16" x14ac:dyDescent="0.4">
      <c r="L3785" s="11"/>
      <c r="M3785" s="9"/>
      <c r="N3785" s="9"/>
      <c r="O3785" s="9"/>
      <c r="P3785" s="9"/>
    </row>
    <row r="3786" spans="12:16" x14ac:dyDescent="0.4">
      <c r="L3786" s="11"/>
      <c r="M3786" s="9"/>
      <c r="N3786" s="9"/>
      <c r="O3786" s="9"/>
      <c r="P3786" s="9"/>
    </row>
    <row r="3787" spans="12:16" x14ac:dyDescent="0.4">
      <c r="L3787" s="11"/>
      <c r="M3787" s="9"/>
      <c r="N3787" s="9"/>
      <c r="O3787" s="9"/>
      <c r="P3787" s="9"/>
    </row>
    <row r="3788" spans="12:16" x14ac:dyDescent="0.4">
      <c r="L3788" s="11"/>
      <c r="M3788" s="9"/>
      <c r="N3788" s="9"/>
      <c r="O3788" s="9"/>
      <c r="P3788" s="9"/>
    </row>
    <row r="3789" spans="12:16" x14ac:dyDescent="0.4">
      <c r="L3789" s="11"/>
      <c r="M3789" s="9"/>
      <c r="N3789" s="9"/>
      <c r="O3789" s="9"/>
      <c r="P3789" s="9"/>
    </row>
    <row r="3790" spans="12:16" x14ac:dyDescent="0.4">
      <c r="L3790" s="11"/>
      <c r="M3790" s="9"/>
      <c r="N3790" s="9"/>
      <c r="O3790" s="9"/>
      <c r="P3790" s="9"/>
    </row>
    <row r="3791" spans="12:16" x14ac:dyDescent="0.4">
      <c r="L3791" s="11"/>
      <c r="M3791" s="9"/>
      <c r="N3791" s="9"/>
      <c r="O3791" s="9"/>
      <c r="P3791" s="9"/>
    </row>
    <row r="3792" spans="12:16" x14ac:dyDescent="0.4">
      <c r="L3792" s="11"/>
      <c r="M3792" s="9"/>
      <c r="N3792" s="9"/>
      <c r="O3792" s="9"/>
      <c r="P3792" s="9"/>
    </row>
    <row r="3793" spans="12:16" x14ac:dyDescent="0.4">
      <c r="L3793" s="11"/>
      <c r="M3793" s="9"/>
      <c r="N3793" s="9"/>
      <c r="O3793" s="9"/>
      <c r="P3793" s="9"/>
    </row>
    <row r="3794" spans="12:16" x14ac:dyDescent="0.4">
      <c r="L3794" s="11"/>
      <c r="M3794" s="9"/>
      <c r="N3794" s="9"/>
      <c r="O3794" s="9"/>
      <c r="P3794" s="9"/>
    </row>
    <row r="3795" spans="12:16" x14ac:dyDescent="0.4">
      <c r="L3795" s="11"/>
      <c r="M3795" s="9"/>
      <c r="N3795" s="9"/>
      <c r="O3795" s="9"/>
      <c r="P3795" s="9"/>
    </row>
    <row r="3796" spans="12:16" x14ac:dyDescent="0.4">
      <c r="L3796" s="11"/>
      <c r="M3796" s="9"/>
      <c r="N3796" s="9"/>
      <c r="O3796" s="9"/>
      <c r="P3796" s="9"/>
    </row>
    <row r="3797" spans="12:16" x14ac:dyDescent="0.4">
      <c r="L3797" s="11"/>
      <c r="M3797" s="9"/>
      <c r="N3797" s="9"/>
      <c r="O3797" s="9"/>
      <c r="P3797" s="9"/>
    </row>
    <row r="3798" spans="12:16" x14ac:dyDescent="0.4">
      <c r="L3798" s="11"/>
      <c r="M3798" s="9"/>
      <c r="N3798" s="9"/>
      <c r="O3798" s="9"/>
      <c r="P3798" s="9"/>
    </row>
    <row r="3799" spans="12:16" x14ac:dyDescent="0.4">
      <c r="L3799" s="11"/>
      <c r="M3799" s="9"/>
      <c r="N3799" s="9"/>
      <c r="O3799" s="9"/>
      <c r="P3799" s="9"/>
    </row>
    <row r="3800" spans="12:16" x14ac:dyDescent="0.4">
      <c r="L3800" s="11"/>
      <c r="M3800" s="9"/>
      <c r="N3800" s="9"/>
      <c r="O3800" s="9"/>
      <c r="P3800" s="9"/>
    </row>
    <row r="3801" spans="12:16" x14ac:dyDescent="0.4">
      <c r="L3801" s="11"/>
      <c r="M3801" s="9"/>
      <c r="N3801" s="9"/>
      <c r="O3801" s="9"/>
      <c r="P3801" s="9"/>
    </row>
    <row r="3802" spans="12:16" x14ac:dyDescent="0.4">
      <c r="L3802" s="11"/>
      <c r="M3802" s="9"/>
      <c r="N3802" s="9"/>
      <c r="O3802" s="9"/>
      <c r="P3802" s="9"/>
    </row>
    <row r="3803" spans="12:16" x14ac:dyDescent="0.4">
      <c r="L3803" s="11"/>
      <c r="M3803" s="9"/>
      <c r="N3803" s="9"/>
      <c r="O3803" s="9"/>
      <c r="P3803" s="9"/>
    </row>
    <row r="3804" spans="12:16" x14ac:dyDescent="0.4">
      <c r="L3804" s="11"/>
      <c r="M3804" s="9"/>
      <c r="N3804" s="9"/>
      <c r="O3804" s="9"/>
      <c r="P3804" s="9"/>
    </row>
    <row r="3805" spans="12:16" x14ac:dyDescent="0.4">
      <c r="L3805" s="11"/>
      <c r="M3805" s="9"/>
      <c r="N3805" s="9"/>
      <c r="O3805" s="9"/>
      <c r="P3805" s="9"/>
    </row>
    <row r="3806" spans="12:16" x14ac:dyDescent="0.4">
      <c r="L3806" s="11"/>
      <c r="M3806" s="9"/>
      <c r="N3806" s="9"/>
      <c r="O3806" s="9"/>
      <c r="P3806" s="9"/>
    </row>
    <row r="3807" spans="12:16" x14ac:dyDescent="0.4">
      <c r="L3807" s="11"/>
      <c r="M3807" s="9"/>
      <c r="N3807" s="9"/>
      <c r="O3807" s="9"/>
      <c r="P3807" s="9"/>
    </row>
    <row r="3808" spans="12:16" x14ac:dyDescent="0.4">
      <c r="L3808" s="11"/>
      <c r="M3808" s="9"/>
      <c r="N3808" s="9"/>
      <c r="O3808" s="9"/>
      <c r="P3808" s="9"/>
    </row>
    <row r="3809" spans="12:16" x14ac:dyDescent="0.4">
      <c r="L3809" s="11"/>
      <c r="M3809" s="9"/>
      <c r="N3809" s="9"/>
      <c r="O3809" s="9"/>
      <c r="P3809" s="9"/>
    </row>
    <row r="3810" spans="12:16" x14ac:dyDescent="0.4">
      <c r="L3810" s="11"/>
      <c r="M3810" s="9"/>
      <c r="N3810" s="9"/>
      <c r="O3810" s="9"/>
      <c r="P3810" s="9"/>
    </row>
    <row r="3811" spans="12:16" x14ac:dyDescent="0.4">
      <c r="L3811" s="11"/>
      <c r="M3811" s="9"/>
      <c r="N3811" s="9"/>
      <c r="O3811" s="9"/>
      <c r="P3811" s="9"/>
    </row>
    <row r="3812" spans="12:16" x14ac:dyDescent="0.4">
      <c r="L3812" s="11"/>
      <c r="M3812" s="9"/>
      <c r="N3812" s="9"/>
      <c r="O3812" s="9"/>
      <c r="P3812" s="9"/>
    </row>
    <row r="3813" spans="12:16" x14ac:dyDescent="0.4">
      <c r="L3813" s="11"/>
      <c r="M3813" s="9"/>
      <c r="N3813" s="9"/>
      <c r="O3813" s="9"/>
      <c r="P3813" s="9"/>
    </row>
    <row r="3814" spans="12:16" x14ac:dyDescent="0.4">
      <c r="L3814" s="11"/>
      <c r="M3814" s="9"/>
      <c r="N3814" s="9"/>
      <c r="O3814" s="9"/>
      <c r="P3814" s="9"/>
    </row>
    <row r="3815" spans="12:16" x14ac:dyDescent="0.4">
      <c r="L3815" s="11"/>
      <c r="M3815" s="9"/>
      <c r="N3815" s="9"/>
      <c r="O3815" s="9"/>
      <c r="P3815" s="9"/>
    </row>
    <row r="3816" spans="12:16" x14ac:dyDescent="0.4">
      <c r="L3816" s="11"/>
      <c r="M3816" s="9"/>
      <c r="N3816" s="9"/>
      <c r="O3816" s="9"/>
      <c r="P3816" s="9"/>
    </row>
    <row r="3817" spans="12:16" x14ac:dyDescent="0.4">
      <c r="L3817" s="11"/>
      <c r="M3817" s="9"/>
      <c r="N3817" s="9"/>
      <c r="O3817" s="9"/>
      <c r="P3817" s="9"/>
    </row>
    <row r="3818" spans="12:16" x14ac:dyDescent="0.4">
      <c r="L3818" s="11"/>
      <c r="M3818" s="9"/>
      <c r="N3818" s="9"/>
      <c r="O3818" s="9"/>
      <c r="P3818" s="9"/>
    </row>
    <row r="3819" spans="12:16" x14ac:dyDescent="0.4">
      <c r="L3819" s="11"/>
      <c r="M3819" s="9"/>
      <c r="N3819" s="9"/>
      <c r="O3819" s="9"/>
      <c r="P3819" s="9"/>
    </row>
    <row r="3820" spans="12:16" x14ac:dyDescent="0.4">
      <c r="L3820" s="11"/>
      <c r="M3820" s="9"/>
      <c r="N3820" s="9"/>
      <c r="O3820" s="9"/>
      <c r="P3820" s="9"/>
    </row>
    <row r="3821" spans="12:16" x14ac:dyDescent="0.4">
      <c r="L3821" s="11"/>
      <c r="M3821" s="9"/>
      <c r="N3821" s="9"/>
      <c r="O3821" s="9"/>
      <c r="P3821" s="9"/>
    </row>
    <row r="3822" spans="12:16" x14ac:dyDescent="0.4">
      <c r="L3822" s="11"/>
      <c r="M3822" s="9"/>
      <c r="N3822" s="9"/>
      <c r="O3822" s="9"/>
      <c r="P3822" s="9"/>
    </row>
    <row r="3823" spans="12:16" x14ac:dyDescent="0.4">
      <c r="L3823" s="11"/>
      <c r="M3823" s="9"/>
      <c r="N3823" s="9"/>
      <c r="O3823" s="9"/>
      <c r="P3823" s="9"/>
    </row>
    <row r="3824" spans="12:16" x14ac:dyDescent="0.4">
      <c r="L3824" s="11"/>
      <c r="M3824" s="9"/>
      <c r="N3824" s="9"/>
      <c r="O3824" s="9"/>
      <c r="P3824" s="9"/>
    </row>
    <row r="3825" spans="12:16" x14ac:dyDescent="0.4">
      <c r="L3825" s="11"/>
      <c r="M3825" s="9"/>
      <c r="N3825" s="9"/>
      <c r="O3825" s="9"/>
      <c r="P3825" s="9"/>
    </row>
    <row r="3826" spans="12:16" x14ac:dyDescent="0.4">
      <c r="L3826" s="11"/>
      <c r="M3826" s="9"/>
      <c r="N3826" s="9"/>
      <c r="O3826" s="9"/>
      <c r="P3826" s="9"/>
    </row>
    <row r="3827" spans="12:16" x14ac:dyDescent="0.4">
      <c r="L3827" s="11"/>
      <c r="M3827" s="9"/>
      <c r="N3827" s="9"/>
      <c r="O3827" s="9"/>
      <c r="P3827" s="9"/>
    </row>
    <row r="3828" spans="12:16" x14ac:dyDescent="0.4">
      <c r="L3828" s="11"/>
      <c r="M3828" s="9"/>
      <c r="N3828" s="9"/>
      <c r="O3828" s="9"/>
      <c r="P3828" s="9"/>
    </row>
    <row r="3829" spans="12:16" x14ac:dyDescent="0.4">
      <c r="L3829" s="11"/>
      <c r="M3829" s="9"/>
      <c r="N3829" s="9"/>
      <c r="O3829" s="9"/>
      <c r="P3829" s="9"/>
    </row>
    <row r="3830" spans="12:16" x14ac:dyDescent="0.4">
      <c r="L3830" s="11"/>
      <c r="M3830" s="9"/>
      <c r="N3830" s="9"/>
      <c r="O3830" s="9"/>
      <c r="P3830" s="9"/>
    </row>
    <row r="3831" spans="12:16" x14ac:dyDescent="0.4">
      <c r="L3831" s="11"/>
      <c r="M3831" s="9"/>
      <c r="N3831" s="9"/>
      <c r="O3831" s="9"/>
      <c r="P3831" s="9"/>
    </row>
    <row r="3832" spans="12:16" x14ac:dyDescent="0.4">
      <c r="L3832" s="11"/>
      <c r="M3832" s="9"/>
      <c r="N3832" s="9"/>
      <c r="O3832" s="9"/>
      <c r="P3832" s="9"/>
    </row>
    <row r="3833" spans="12:16" x14ac:dyDescent="0.4">
      <c r="L3833" s="11"/>
      <c r="M3833" s="9"/>
      <c r="N3833" s="9"/>
      <c r="O3833" s="9"/>
      <c r="P3833" s="9"/>
    </row>
    <row r="3834" spans="12:16" x14ac:dyDescent="0.4">
      <c r="L3834" s="11"/>
      <c r="M3834" s="9"/>
      <c r="N3834" s="9"/>
      <c r="O3834" s="9"/>
      <c r="P3834" s="9"/>
    </row>
    <row r="3835" spans="12:16" x14ac:dyDescent="0.4">
      <c r="L3835" s="11"/>
      <c r="M3835" s="9"/>
      <c r="N3835" s="9"/>
      <c r="O3835" s="9"/>
      <c r="P3835" s="9"/>
    </row>
    <row r="3836" spans="12:16" x14ac:dyDescent="0.4">
      <c r="L3836" s="11"/>
      <c r="M3836" s="9"/>
      <c r="N3836" s="9"/>
      <c r="O3836" s="9"/>
      <c r="P3836" s="9"/>
    </row>
    <row r="3837" spans="12:16" x14ac:dyDescent="0.4">
      <c r="L3837" s="11"/>
      <c r="M3837" s="9"/>
      <c r="N3837" s="9"/>
      <c r="O3837" s="9"/>
      <c r="P3837" s="9"/>
    </row>
    <row r="3838" spans="12:16" x14ac:dyDescent="0.4">
      <c r="L3838" s="11"/>
      <c r="M3838" s="9"/>
      <c r="N3838" s="9"/>
      <c r="O3838" s="9"/>
      <c r="P3838" s="9"/>
    </row>
    <row r="3839" spans="12:16" x14ac:dyDescent="0.4">
      <c r="L3839" s="11"/>
      <c r="M3839" s="9"/>
      <c r="N3839" s="9"/>
      <c r="O3839" s="9"/>
      <c r="P3839" s="9"/>
    </row>
    <row r="3840" spans="12:16" x14ac:dyDescent="0.4">
      <c r="L3840" s="11"/>
      <c r="M3840" s="9"/>
      <c r="N3840" s="9"/>
      <c r="O3840" s="9"/>
      <c r="P3840" s="9"/>
    </row>
    <row r="3841" spans="12:16" x14ac:dyDescent="0.4">
      <c r="L3841" s="11"/>
      <c r="M3841" s="9"/>
      <c r="N3841" s="9"/>
      <c r="O3841" s="9"/>
      <c r="P3841" s="9"/>
    </row>
    <row r="3842" spans="12:16" x14ac:dyDescent="0.4">
      <c r="L3842" s="11"/>
      <c r="M3842" s="9"/>
      <c r="N3842" s="9"/>
      <c r="O3842" s="9"/>
      <c r="P3842" s="9"/>
    </row>
    <row r="3843" spans="12:16" x14ac:dyDescent="0.4">
      <c r="L3843" s="11"/>
      <c r="M3843" s="9"/>
      <c r="N3843" s="9"/>
      <c r="O3843" s="9"/>
      <c r="P3843" s="9"/>
    </row>
    <row r="3844" spans="12:16" x14ac:dyDescent="0.4">
      <c r="L3844" s="11"/>
      <c r="M3844" s="9"/>
      <c r="N3844" s="9"/>
      <c r="O3844" s="9"/>
      <c r="P3844" s="9"/>
    </row>
    <row r="3845" spans="12:16" x14ac:dyDescent="0.4">
      <c r="L3845" s="11"/>
      <c r="M3845" s="9"/>
      <c r="N3845" s="9"/>
      <c r="O3845" s="9"/>
      <c r="P3845" s="9"/>
    </row>
    <row r="3846" spans="12:16" x14ac:dyDescent="0.4">
      <c r="L3846" s="11"/>
      <c r="M3846" s="9"/>
      <c r="N3846" s="9"/>
      <c r="O3846" s="9"/>
      <c r="P3846" s="9"/>
    </row>
    <row r="3847" spans="12:16" x14ac:dyDescent="0.4">
      <c r="L3847" s="11"/>
      <c r="M3847" s="9"/>
      <c r="N3847" s="9"/>
      <c r="O3847" s="9"/>
      <c r="P3847" s="9"/>
    </row>
    <row r="3848" spans="12:16" x14ac:dyDescent="0.4">
      <c r="L3848" s="11"/>
      <c r="M3848" s="9"/>
      <c r="N3848" s="9"/>
      <c r="O3848" s="9"/>
      <c r="P3848" s="9"/>
    </row>
    <row r="3849" spans="12:16" x14ac:dyDescent="0.4">
      <c r="L3849" s="11"/>
      <c r="M3849" s="9"/>
      <c r="N3849" s="9"/>
      <c r="O3849" s="9"/>
      <c r="P3849" s="9"/>
    </row>
    <row r="3850" spans="12:16" x14ac:dyDescent="0.4">
      <c r="L3850" s="11"/>
      <c r="M3850" s="9"/>
      <c r="N3850" s="9"/>
      <c r="O3850" s="9"/>
      <c r="P3850" s="9"/>
    </row>
    <row r="3851" spans="12:16" x14ac:dyDescent="0.4">
      <c r="L3851" s="11"/>
      <c r="M3851" s="9"/>
      <c r="N3851" s="9"/>
      <c r="O3851" s="9"/>
      <c r="P3851" s="9"/>
    </row>
    <row r="3852" spans="12:16" x14ac:dyDescent="0.4">
      <c r="L3852" s="11"/>
      <c r="M3852" s="9"/>
      <c r="N3852" s="9"/>
      <c r="O3852" s="9"/>
      <c r="P3852" s="9"/>
    </row>
    <row r="3853" spans="12:16" x14ac:dyDescent="0.4">
      <c r="L3853" s="11"/>
      <c r="M3853" s="9"/>
      <c r="N3853" s="9"/>
      <c r="O3853" s="9"/>
      <c r="P3853" s="9"/>
    </row>
    <row r="3854" spans="12:16" x14ac:dyDescent="0.4">
      <c r="L3854" s="11"/>
      <c r="M3854" s="9"/>
      <c r="N3854" s="9"/>
      <c r="O3854" s="9"/>
      <c r="P3854" s="9"/>
    </row>
    <row r="3855" spans="12:16" x14ac:dyDescent="0.4">
      <c r="L3855" s="11"/>
      <c r="M3855" s="9"/>
      <c r="N3855" s="9"/>
      <c r="O3855" s="9"/>
      <c r="P3855" s="9"/>
    </row>
    <row r="3856" spans="12:16" x14ac:dyDescent="0.4">
      <c r="L3856" s="11"/>
      <c r="M3856" s="9"/>
      <c r="N3856" s="9"/>
      <c r="O3856" s="9"/>
      <c r="P3856" s="9"/>
    </row>
    <row r="3857" spans="12:16" x14ac:dyDescent="0.4">
      <c r="L3857" s="11"/>
      <c r="M3857" s="9"/>
      <c r="N3857" s="9"/>
      <c r="O3857" s="9"/>
      <c r="P3857" s="9"/>
    </row>
    <row r="3858" spans="12:16" x14ac:dyDescent="0.4">
      <c r="L3858" s="11"/>
      <c r="M3858" s="9"/>
      <c r="N3858" s="9"/>
      <c r="O3858" s="9"/>
      <c r="P3858" s="9"/>
    </row>
    <row r="3859" spans="12:16" x14ac:dyDescent="0.4">
      <c r="L3859" s="11"/>
      <c r="M3859" s="9"/>
      <c r="N3859" s="9"/>
      <c r="O3859" s="9"/>
      <c r="P3859" s="9"/>
    </row>
    <row r="3860" spans="12:16" x14ac:dyDescent="0.4">
      <c r="L3860" s="11"/>
      <c r="M3860" s="9"/>
      <c r="N3860" s="9"/>
      <c r="O3860" s="9"/>
      <c r="P3860" s="9"/>
    </row>
    <row r="3861" spans="12:16" x14ac:dyDescent="0.4">
      <c r="L3861" s="11"/>
      <c r="M3861" s="9"/>
      <c r="N3861" s="9"/>
      <c r="O3861" s="9"/>
      <c r="P3861" s="9"/>
    </row>
    <row r="3862" spans="12:16" x14ac:dyDescent="0.4">
      <c r="L3862" s="11"/>
      <c r="M3862" s="9"/>
      <c r="N3862" s="9"/>
      <c r="O3862" s="9"/>
      <c r="P3862" s="9"/>
    </row>
    <row r="3863" spans="12:16" x14ac:dyDescent="0.4">
      <c r="L3863" s="11"/>
      <c r="M3863" s="9"/>
      <c r="N3863" s="9"/>
      <c r="O3863" s="9"/>
      <c r="P3863" s="9"/>
    </row>
    <row r="3864" spans="12:16" x14ac:dyDescent="0.4">
      <c r="L3864" s="11"/>
      <c r="M3864" s="9"/>
      <c r="N3864" s="9"/>
      <c r="O3864" s="9"/>
      <c r="P3864" s="9"/>
    </row>
    <row r="3865" spans="12:16" x14ac:dyDescent="0.4">
      <c r="L3865" s="11"/>
      <c r="M3865" s="9"/>
      <c r="N3865" s="9"/>
      <c r="O3865" s="9"/>
      <c r="P3865" s="9"/>
    </row>
    <row r="3866" spans="12:16" x14ac:dyDescent="0.4">
      <c r="L3866" s="11"/>
      <c r="M3866" s="9"/>
      <c r="N3866" s="9"/>
      <c r="O3866" s="9"/>
      <c r="P3866" s="9"/>
    </row>
    <row r="3867" spans="12:16" x14ac:dyDescent="0.4">
      <c r="L3867" s="11"/>
      <c r="M3867" s="9"/>
      <c r="N3867" s="9"/>
      <c r="O3867" s="9"/>
      <c r="P3867" s="9"/>
    </row>
    <row r="3868" spans="12:16" x14ac:dyDescent="0.4">
      <c r="L3868" s="11"/>
      <c r="M3868" s="9"/>
      <c r="N3868" s="9"/>
      <c r="O3868" s="9"/>
      <c r="P3868" s="9"/>
    </row>
    <row r="3869" spans="12:16" x14ac:dyDescent="0.4">
      <c r="L3869" s="11"/>
      <c r="M3869" s="9"/>
      <c r="N3869" s="9"/>
      <c r="O3869" s="9"/>
      <c r="P3869" s="9"/>
    </row>
    <row r="3870" spans="12:16" x14ac:dyDescent="0.4">
      <c r="L3870" s="11"/>
      <c r="M3870" s="9"/>
      <c r="N3870" s="9"/>
      <c r="O3870" s="9"/>
      <c r="P3870" s="9"/>
    </row>
    <row r="3871" spans="12:16" x14ac:dyDescent="0.4">
      <c r="L3871" s="11"/>
      <c r="M3871" s="9"/>
      <c r="N3871" s="9"/>
      <c r="O3871" s="9"/>
      <c r="P3871" s="9"/>
    </row>
    <row r="3872" spans="12:16" x14ac:dyDescent="0.4">
      <c r="L3872" s="11"/>
      <c r="M3872" s="9"/>
      <c r="N3872" s="9"/>
      <c r="O3872" s="9"/>
      <c r="P3872" s="9"/>
    </row>
    <row r="3873" spans="12:16" x14ac:dyDescent="0.4">
      <c r="L3873" s="11"/>
      <c r="M3873" s="9"/>
      <c r="N3873" s="9"/>
      <c r="O3873" s="9"/>
      <c r="P3873" s="9"/>
    </row>
    <row r="3874" spans="12:16" x14ac:dyDescent="0.4">
      <c r="L3874" s="11"/>
      <c r="M3874" s="9"/>
      <c r="N3874" s="9"/>
      <c r="O3874" s="9"/>
      <c r="P3874" s="9"/>
    </row>
    <row r="3875" spans="12:16" x14ac:dyDescent="0.4">
      <c r="L3875" s="11"/>
      <c r="M3875" s="9"/>
      <c r="N3875" s="9"/>
      <c r="O3875" s="9"/>
      <c r="P3875" s="9"/>
    </row>
    <row r="3876" spans="12:16" x14ac:dyDescent="0.4">
      <c r="L3876" s="11"/>
      <c r="M3876" s="9"/>
      <c r="N3876" s="9"/>
      <c r="O3876" s="9"/>
      <c r="P3876" s="9"/>
    </row>
    <row r="3877" spans="12:16" x14ac:dyDescent="0.4">
      <c r="L3877" s="11"/>
      <c r="M3877" s="9"/>
      <c r="N3877" s="9"/>
      <c r="O3877" s="9"/>
      <c r="P3877" s="9"/>
    </row>
    <row r="3878" spans="12:16" x14ac:dyDescent="0.4">
      <c r="L3878" s="11"/>
      <c r="M3878" s="9"/>
      <c r="N3878" s="9"/>
      <c r="O3878" s="9"/>
      <c r="P3878" s="9"/>
    </row>
    <row r="3879" spans="12:16" x14ac:dyDescent="0.4">
      <c r="L3879" s="11"/>
      <c r="M3879" s="9"/>
      <c r="N3879" s="9"/>
      <c r="O3879" s="9"/>
      <c r="P3879" s="9"/>
    </row>
    <row r="3880" spans="12:16" x14ac:dyDescent="0.4">
      <c r="L3880" s="11"/>
      <c r="M3880" s="9"/>
      <c r="N3880" s="9"/>
      <c r="O3880" s="9"/>
      <c r="P3880" s="9"/>
    </row>
    <row r="3881" spans="12:16" x14ac:dyDescent="0.4">
      <c r="L3881" s="11"/>
      <c r="M3881" s="9"/>
      <c r="N3881" s="9"/>
      <c r="O3881" s="9"/>
      <c r="P3881" s="9"/>
    </row>
    <row r="3882" spans="12:16" x14ac:dyDescent="0.4">
      <c r="L3882" s="11"/>
      <c r="M3882" s="9"/>
      <c r="N3882" s="9"/>
      <c r="O3882" s="9"/>
      <c r="P3882" s="9"/>
    </row>
    <row r="3883" spans="12:16" x14ac:dyDescent="0.4">
      <c r="L3883" s="11"/>
      <c r="M3883" s="9"/>
      <c r="N3883" s="9"/>
      <c r="O3883" s="9"/>
      <c r="P3883" s="9"/>
    </row>
    <row r="3884" spans="12:16" x14ac:dyDescent="0.4">
      <c r="L3884" s="11"/>
      <c r="M3884" s="9"/>
      <c r="N3884" s="9"/>
      <c r="O3884" s="9"/>
      <c r="P3884" s="9"/>
    </row>
    <row r="3885" spans="12:16" x14ac:dyDescent="0.4">
      <c r="L3885" s="11"/>
      <c r="M3885" s="9"/>
      <c r="N3885" s="9"/>
      <c r="O3885" s="9"/>
      <c r="P3885" s="9"/>
    </row>
    <row r="3886" spans="12:16" x14ac:dyDescent="0.4">
      <c r="L3886" s="11"/>
      <c r="M3886" s="9"/>
      <c r="N3886" s="9"/>
      <c r="O3886" s="9"/>
      <c r="P3886" s="9"/>
    </row>
    <row r="3887" spans="12:16" x14ac:dyDescent="0.4">
      <c r="L3887" s="11"/>
      <c r="M3887" s="9"/>
      <c r="N3887" s="9"/>
      <c r="O3887" s="9"/>
      <c r="P3887" s="9"/>
    </row>
    <row r="3888" spans="12:16" x14ac:dyDescent="0.4">
      <c r="L3888" s="11"/>
      <c r="M3888" s="9"/>
      <c r="N3888" s="9"/>
      <c r="O3888" s="9"/>
      <c r="P3888" s="9"/>
    </row>
    <row r="3889" spans="12:16" x14ac:dyDescent="0.4">
      <c r="L3889" s="11"/>
      <c r="M3889" s="9"/>
      <c r="N3889" s="9"/>
      <c r="O3889" s="9"/>
      <c r="P3889" s="9"/>
    </row>
    <row r="3890" spans="12:16" x14ac:dyDescent="0.4">
      <c r="L3890" s="11"/>
      <c r="M3890" s="9"/>
      <c r="N3890" s="9"/>
      <c r="O3890" s="9"/>
      <c r="P3890" s="9"/>
    </row>
    <row r="3891" spans="12:16" x14ac:dyDescent="0.4">
      <c r="L3891" s="11"/>
      <c r="M3891" s="9"/>
      <c r="N3891" s="9"/>
      <c r="O3891" s="9"/>
      <c r="P3891" s="9"/>
    </row>
    <row r="3892" spans="12:16" x14ac:dyDescent="0.4">
      <c r="L3892" s="11"/>
      <c r="M3892" s="9"/>
      <c r="N3892" s="9"/>
      <c r="O3892" s="9"/>
      <c r="P3892" s="9"/>
    </row>
    <row r="3893" spans="12:16" x14ac:dyDescent="0.4">
      <c r="L3893" s="11"/>
      <c r="M3893" s="9"/>
      <c r="N3893" s="9"/>
      <c r="O3893" s="9"/>
      <c r="P3893" s="9"/>
    </row>
    <row r="3894" spans="12:16" x14ac:dyDescent="0.4">
      <c r="L3894" s="11"/>
      <c r="M3894" s="9"/>
      <c r="N3894" s="9"/>
      <c r="O3894" s="9"/>
      <c r="P3894" s="9"/>
    </row>
    <row r="3895" spans="12:16" x14ac:dyDescent="0.4">
      <c r="L3895" s="11"/>
      <c r="M3895" s="9"/>
      <c r="N3895" s="9"/>
      <c r="O3895" s="9"/>
      <c r="P3895" s="9"/>
    </row>
    <row r="3896" spans="12:16" x14ac:dyDescent="0.4">
      <c r="L3896" s="11"/>
      <c r="M3896" s="9"/>
      <c r="N3896" s="9"/>
      <c r="O3896" s="9"/>
      <c r="P3896" s="9"/>
    </row>
    <row r="3897" spans="12:16" x14ac:dyDescent="0.4">
      <c r="L3897" s="11"/>
      <c r="M3897" s="9"/>
      <c r="N3897" s="9"/>
      <c r="O3897" s="9"/>
      <c r="P3897" s="9"/>
    </row>
    <row r="3898" spans="12:16" x14ac:dyDescent="0.4">
      <c r="L3898" s="11"/>
      <c r="M3898" s="9"/>
      <c r="N3898" s="9"/>
      <c r="O3898" s="9"/>
      <c r="P3898" s="9"/>
    </row>
    <row r="3899" spans="12:16" x14ac:dyDescent="0.4">
      <c r="L3899" s="11"/>
      <c r="M3899" s="9"/>
      <c r="N3899" s="9"/>
      <c r="O3899" s="9"/>
      <c r="P3899" s="9"/>
    </row>
    <row r="3900" spans="12:16" x14ac:dyDescent="0.4">
      <c r="L3900" s="11"/>
      <c r="M3900" s="9"/>
      <c r="N3900" s="9"/>
      <c r="O3900" s="9"/>
      <c r="P3900" s="9"/>
    </row>
    <row r="3901" spans="12:16" x14ac:dyDescent="0.4">
      <c r="L3901" s="11"/>
      <c r="M3901" s="9"/>
      <c r="N3901" s="9"/>
      <c r="O3901" s="9"/>
      <c r="P3901" s="9"/>
    </row>
    <row r="3902" spans="12:16" x14ac:dyDescent="0.4">
      <c r="L3902" s="11"/>
      <c r="M3902" s="9"/>
      <c r="N3902" s="9"/>
      <c r="O3902" s="9"/>
      <c r="P3902" s="9"/>
    </row>
    <row r="3903" spans="12:16" x14ac:dyDescent="0.4">
      <c r="L3903" s="11"/>
      <c r="M3903" s="9"/>
      <c r="N3903" s="9"/>
      <c r="O3903" s="9"/>
      <c r="P3903" s="9"/>
    </row>
    <row r="3904" spans="12:16" x14ac:dyDescent="0.4">
      <c r="L3904" s="11"/>
      <c r="M3904" s="9"/>
      <c r="N3904" s="9"/>
      <c r="O3904" s="9"/>
      <c r="P3904" s="9"/>
    </row>
    <row r="3905" spans="12:16" x14ac:dyDescent="0.4">
      <c r="L3905" s="11"/>
      <c r="M3905" s="9"/>
      <c r="N3905" s="9"/>
      <c r="O3905" s="9"/>
      <c r="P3905" s="9"/>
    </row>
    <row r="3906" spans="12:16" x14ac:dyDescent="0.4">
      <c r="L3906" s="11"/>
      <c r="M3906" s="9"/>
      <c r="N3906" s="9"/>
      <c r="O3906" s="9"/>
      <c r="P3906" s="9"/>
    </row>
    <row r="3907" spans="12:16" x14ac:dyDescent="0.4">
      <c r="L3907" s="11"/>
      <c r="M3907" s="9"/>
      <c r="N3907" s="9"/>
      <c r="O3907" s="9"/>
      <c r="P3907" s="9"/>
    </row>
    <row r="3908" spans="12:16" x14ac:dyDescent="0.4">
      <c r="L3908" s="11"/>
      <c r="M3908" s="9"/>
      <c r="N3908" s="9"/>
      <c r="O3908" s="9"/>
      <c r="P3908" s="9"/>
    </row>
    <row r="3909" spans="12:16" x14ac:dyDescent="0.4">
      <c r="L3909" s="11"/>
      <c r="M3909" s="9"/>
      <c r="N3909" s="9"/>
      <c r="O3909" s="9"/>
      <c r="P3909" s="9"/>
    </row>
    <row r="3910" spans="12:16" x14ac:dyDescent="0.4">
      <c r="L3910" s="11"/>
      <c r="M3910" s="9"/>
      <c r="N3910" s="9"/>
      <c r="O3910" s="9"/>
      <c r="P3910" s="9"/>
    </row>
    <row r="3911" spans="12:16" x14ac:dyDescent="0.4">
      <c r="L3911" s="11"/>
      <c r="M3911" s="9"/>
      <c r="N3911" s="9"/>
      <c r="O3911" s="9"/>
      <c r="P3911" s="9"/>
    </row>
    <row r="3912" spans="12:16" x14ac:dyDescent="0.4">
      <c r="L3912" s="11"/>
      <c r="M3912" s="9"/>
      <c r="N3912" s="9"/>
      <c r="O3912" s="9"/>
      <c r="P3912" s="9"/>
    </row>
    <row r="3913" spans="12:16" x14ac:dyDescent="0.4">
      <c r="L3913" s="11"/>
      <c r="M3913" s="9"/>
      <c r="N3913" s="9"/>
      <c r="O3913" s="9"/>
      <c r="P3913" s="9"/>
    </row>
    <row r="3914" spans="12:16" x14ac:dyDescent="0.4">
      <c r="L3914" s="11"/>
      <c r="M3914" s="9"/>
      <c r="N3914" s="9"/>
      <c r="O3914" s="9"/>
      <c r="P3914" s="9"/>
    </row>
    <row r="3915" spans="12:16" x14ac:dyDescent="0.4">
      <c r="L3915" s="11"/>
      <c r="M3915" s="9"/>
      <c r="N3915" s="9"/>
      <c r="O3915" s="9"/>
      <c r="P3915" s="9"/>
    </row>
    <row r="3916" spans="12:16" x14ac:dyDescent="0.4">
      <c r="L3916" s="11"/>
      <c r="M3916" s="9"/>
      <c r="N3916" s="9"/>
      <c r="O3916" s="9"/>
      <c r="P3916" s="9"/>
    </row>
    <row r="3917" spans="12:16" x14ac:dyDescent="0.4">
      <c r="L3917" s="11"/>
      <c r="M3917" s="9"/>
      <c r="N3917" s="9"/>
      <c r="O3917" s="9"/>
      <c r="P3917" s="9"/>
    </row>
    <row r="3918" spans="12:16" x14ac:dyDescent="0.4">
      <c r="L3918" s="11"/>
      <c r="M3918" s="9"/>
      <c r="N3918" s="9"/>
      <c r="O3918" s="9"/>
      <c r="P3918" s="9"/>
    </row>
    <row r="3919" spans="12:16" x14ac:dyDescent="0.4">
      <c r="L3919" s="11"/>
      <c r="M3919" s="9"/>
      <c r="N3919" s="9"/>
      <c r="O3919" s="9"/>
      <c r="P3919" s="9"/>
    </row>
    <row r="3920" spans="12:16" x14ac:dyDescent="0.4">
      <c r="L3920" s="11"/>
      <c r="M3920" s="9"/>
      <c r="N3920" s="9"/>
      <c r="O3920" s="9"/>
      <c r="P3920" s="9"/>
    </row>
    <row r="3921" spans="12:16" x14ac:dyDescent="0.4">
      <c r="L3921" s="11"/>
      <c r="M3921" s="9"/>
      <c r="N3921" s="9"/>
      <c r="O3921" s="9"/>
      <c r="P3921" s="9"/>
    </row>
    <row r="3922" spans="12:16" x14ac:dyDescent="0.4">
      <c r="L3922" s="11"/>
      <c r="M3922" s="9"/>
      <c r="N3922" s="9"/>
      <c r="O3922" s="9"/>
      <c r="P3922" s="9"/>
    </row>
    <row r="3923" spans="12:16" x14ac:dyDescent="0.4">
      <c r="L3923" s="11"/>
      <c r="M3923" s="9"/>
      <c r="N3923" s="9"/>
      <c r="O3923" s="9"/>
      <c r="P3923" s="9"/>
    </row>
    <row r="3924" spans="12:16" x14ac:dyDescent="0.4">
      <c r="L3924" s="11"/>
      <c r="M3924" s="9"/>
      <c r="N3924" s="9"/>
      <c r="O3924" s="9"/>
      <c r="P3924" s="9"/>
    </row>
    <row r="3925" spans="12:16" x14ac:dyDescent="0.4">
      <c r="L3925" s="11"/>
      <c r="M3925" s="9"/>
      <c r="N3925" s="9"/>
      <c r="O3925" s="9"/>
      <c r="P3925" s="9"/>
    </row>
    <row r="3926" spans="12:16" x14ac:dyDescent="0.4">
      <c r="L3926" s="11"/>
      <c r="M3926" s="9"/>
      <c r="N3926" s="9"/>
      <c r="O3926" s="9"/>
      <c r="P3926" s="9"/>
    </row>
    <row r="3927" spans="12:16" x14ac:dyDescent="0.4">
      <c r="L3927" s="11"/>
      <c r="M3927" s="9"/>
      <c r="N3927" s="9"/>
      <c r="O3927" s="9"/>
      <c r="P3927" s="9"/>
    </row>
    <row r="3928" spans="12:16" x14ac:dyDescent="0.4">
      <c r="L3928" s="11"/>
      <c r="M3928" s="9"/>
      <c r="N3928" s="9"/>
      <c r="O3928" s="9"/>
      <c r="P3928" s="9"/>
    </row>
    <row r="3929" spans="12:16" x14ac:dyDescent="0.4">
      <c r="L3929" s="11"/>
      <c r="M3929" s="9"/>
      <c r="N3929" s="9"/>
      <c r="O3929" s="9"/>
      <c r="P3929" s="9"/>
    </row>
    <row r="3930" spans="12:16" x14ac:dyDescent="0.4">
      <c r="L3930" s="11"/>
      <c r="M3930" s="9"/>
      <c r="N3930" s="9"/>
      <c r="O3930" s="9"/>
      <c r="P3930" s="9"/>
    </row>
    <row r="3931" spans="12:16" x14ac:dyDescent="0.4">
      <c r="L3931" s="11"/>
      <c r="M3931" s="9"/>
      <c r="N3931" s="9"/>
      <c r="O3931" s="9"/>
      <c r="P3931" s="9"/>
    </row>
    <row r="3932" spans="12:16" x14ac:dyDescent="0.4">
      <c r="L3932" s="11"/>
      <c r="M3932" s="9"/>
      <c r="N3932" s="9"/>
      <c r="O3932" s="9"/>
      <c r="P3932" s="9"/>
    </row>
    <row r="3933" spans="12:16" x14ac:dyDescent="0.4">
      <c r="L3933" s="11"/>
      <c r="M3933" s="9"/>
      <c r="N3933" s="9"/>
      <c r="O3933" s="9"/>
      <c r="P3933" s="9"/>
    </row>
    <row r="3934" spans="12:16" x14ac:dyDescent="0.4">
      <c r="L3934" s="11"/>
      <c r="M3934" s="9"/>
      <c r="N3934" s="9"/>
      <c r="O3934" s="9"/>
      <c r="P3934" s="9"/>
    </row>
    <row r="3935" spans="12:16" x14ac:dyDescent="0.4">
      <c r="L3935" s="11"/>
      <c r="M3935" s="9"/>
      <c r="N3935" s="9"/>
      <c r="O3935" s="9"/>
      <c r="P3935" s="9"/>
    </row>
    <row r="3936" spans="12:16" x14ac:dyDescent="0.4">
      <c r="L3936" s="11"/>
      <c r="M3936" s="9"/>
      <c r="N3936" s="9"/>
      <c r="O3936" s="9"/>
      <c r="P3936" s="9"/>
    </row>
    <row r="3937" spans="12:16" x14ac:dyDescent="0.4">
      <c r="L3937" s="11"/>
      <c r="M3937" s="9"/>
      <c r="N3937" s="9"/>
      <c r="O3937" s="9"/>
      <c r="P3937" s="9"/>
    </row>
    <row r="3938" spans="12:16" x14ac:dyDescent="0.4">
      <c r="L3938" s="11"/>
      <c r="M3938" s="9"/>
      <c r="N3938" s="9"/>
      <c r="O3938" s="9"/>
      <c r="P3938" s="9"/>
    </row>
    <row r="3939" spans="12:16" x14ac:dyDescent="0.4">
      <c r="L3939" s="11"/>
      <c r="M3939" s="9"/>
      <c r="N3939" s="9"/>
      <c r="O3939" s="9"/>
      <c r="P3939" s="9"/>
    </row>
    <row r="3940" spans="12:16" x14ac:dyDescent="0.4">
      <c r="L3940" s="11"/>
      <c r="M3940" s="9"/>
      <c r="N3940" s="9"/>
      <c r="O3940" s="9"/>
      <c r="P3940" s="9"/>
    </row>
    <row r="3941" spans="12:16" x14ac:dyDescent="0.4">
      <c r="L3941" s="11"/>
      <c r="M3941" s="9"/>
      <c r="N3941" s="9"/>
      <c r="O3941" s="9"/>
      <c r="P3941" s="9"/>
    </row>
    <row r="3942" spans="12:16" x14ac:dyDescent="0.4">
      <c r="L3942" s="11"/>
      <c r="M3942" s="9"/>
      <c r="N3942" s="9"/>
      <c r="O3942" s="9"/>
      <c r="P3942" s="9"/>
    </row>
    <row r="3943" spans="12:16" x14ac:dyDescent="0.4">
      <c r="L3943" s="11"/>
      <c r="M3943" s="9"/>
      <c r="N3943" s="9"/>
      <c r="O3943" s="9"/>
      <c r="P3943" s="9"/>
    </row>
    <row r="3944" spans="12:16" x14ac:dyDescent="0.4">
      <c r="L3944" s="11"/>
      <c r="M3944" s="9"/>
      <c r="N3944" s="9"/>
      <c r="O3944" s="9"/>
      <c r="P3944" s="9"/>
    </row>
    <row r="3945" spans="12:16" x14ac:dyDescent="0.4">
      <c r="L3945" s="11"/>
      <c r="M3945" s="9"/>
      <c r="N3945" s="9"/>
      <c r="O3945" s="9"/>
      <c r="P3945" s="9"/>
    </row>
    <row r="3946" spans="12:16" x14ac:dyDescent="0.4">
      <c r="L3946" s="11"/>
      <c r="M3946" s="9"/>
      <c r="N3946" s="9"/>
      <c r="O3946" s="9"/>
      <c r="P3946" s="9"/>
    </row>
    <row r="3947" spans="12:16" x14ac:dyDescent="0.4">
      <c r="L3947" s="11"/>
      <c r="M3947" s="9"/>
      <c r="N3947" s="9"/>
      <c r="O3947" s="9"/>
      <c r="P3947" s="9"/>
    </row>
    <row r="3948" spans="12:16" x14ac:dyDescent="0.4">
      <c r="L3948" s="11"/>
      <c r="M3948" s="9"/>
      <c r="N3948" s="9"/>
      <c r="O3948" s="9"/>
      <c r="P3948" s="9"/>
    </row>
    <row r="3949" spans="12:16" x14ac:dyDescent="0.4">
      <c r="L3949" s="11"/>
      <c r="M3949" s="9"/>
      <c r="N3949" s="9"/>
      <c r="O3949" s="9"/>
      <c r="P3949" s="9"/>
    </row>
    <row r="3950" spans="12:16" x14ac:dyDescent="0.4">
      <c r="L3950" s="11"/>
      <c r="M3950" s="9"/>
      <c r="N3950" s="9"/>
      <c r="O3950" s="9"/>
      <c r="P3950" s="9"/>
    </row>
    <row r="3951" spans="12:16" x14ac:dyDescent="0.4">
      <c r="L3951" s="11"/>
      <c r="M3951" s="9"/>
      <c r="N3951" s="9"/>
      <c r="O3951" s="9"/>
      <c r="P3951" s="9"/>
    </row>
    <row r="3952" spans="12:16" x14ac:dyDescent="0.4">
      <c r="L3952" s="11"/>
      <c r="M3952" s="9"/>
      <c r="N3952" s="9"/>
      <c r="O3952" s="9"/>
      <c r="P3952" s="9"/>
    </row>
    <row r="3953" spans="12:16" x14ac:dyDescent="0.4">
      <c r="L3953" s="11"/>
      <c r="M3953" s="9"/>
      <c r="N3953" s="9"/>
      <c r="O3953" s="9"/>
      <c r="P3953" s="9"/>
    </row>
    <row r="3954" spans="12:16" x14ac:dyDescent="0.4">
      <c r="L3954" s="11"/>
      <c r="M3954" s="9"/>
      <c r="N3954" s="9"/>
      <c r="O3954" s="9"/>
      <c r="P3954" s="9"/>
    </row>
    <row r="3955" spans="12:16" x14ac:dyDescent="0.4">
      <c r="L3955" s="11"/>
      <c r="M3955" s="9"/>
      <c r="N3955" s="9"/>
      <c r="O3955" s="9"/>
      <c r="P3955" s="9"/>
    </row>
    <row r="3956" spans="12:16" x14ac:dyDescent="0.4">
      <c r="L3956" s="11"/>
      <c r="M3956" s="9"/>
      <c r="N3956" s="9"/>
      <c r="O3956" s="9"/>
      <c r="P3956" s="9"/>
    </row>
    <row r="3957" spans="12:16" x14ac:dyDescent="0.4">
      <c r="L3957" s="11"/>
      <c r="M3957" s="9"/>
      <c r="N3957" s="9"/>
      <c r="O3957" s="9"/>
      <c r="P3957" s="9"/>
    </row>
    <row r="3958" spans="12:16" x14ac:dyDescent="0.4">
      <c r="L3958" s="11"/>
      <c r="M3958" s="9"/>
      <c r="N3958" s="9"/>
      <c r="O3958" s="9"/>
      <c r="P3958" s="9"/>
    </row>
    <row r="3959" spans="12:16" x14ac:dyDescent="0.4">
      <c r="L3959" s="11"/>
      <c r="M3959" s="9"/>
      <c r="N3959" s="9"/>
      <c r="O3959" s="9"/>
      <c r="P3959" s="9"/>
    </row>
    <row r="3960" spans="12:16" x14ac:dyDescent="0.4">
      <c r="L3960" s="11"/>
      <c r="M3960" s="9"/>
      <c r="N3960" s="9"/>
      <c r="O3960" s="9"/>
      <c r="P3960" s="9"/>
    </row>
    <row r="3961" spans="12:16" x14ac:dyDescent="0.4">
      <c r="L3961" s="11"/>
      <c r="M3961" s="9"/>
      <c r="N3961" s="9"/>
      <c r="O3961" s="9"/>
      <c r="P3961" s="9"/>
    </row>
    <row r="3962" spans="12:16" x14ac:dyDescent="0.4">
      <c r="L3962" s="11"/>
      <c r="M3962" s="9"/>
      <c r="N3962" s="9"/>
      <c r="O3962" s="9"/>
      <c r="P3962" s="9"/>
    </row>
    <row r="3963" spans="12:16" x14ac:dyDescent="0.4">
      <c r="L3963" s="11"/>
      <c r="M3963" s="9"/>
      <c r="N3963" s="9"/>
      <c r="O3963" s="9"/>
      <c r="P3963" s="9"/>
    </row>
    <row r="3964" spans="12:16" x14ac:dyDescent="0.4">
      <c r="L3964" s="11"/>
      <c r="M3964" s="9"/>
      <c r="N3964" s="9"/>
      <c r="O3964" s="9"/>
      <c r="P3964" s="9"/>
    </row>
    <row r="3965" spans="12:16" x14ac:dyDescent="0.4">
      <c r="L3965" s="11"/>
      <c r="M3965" s="9"/>
      <c r="N3965" s="9"/>
      <c r="O3965" s="9"/>
      <c r="P3965" s="9"/>
    </row>
    <row r="3966" spans="12:16" x14ac:dyDescent="0.4">
      <c r="L3966" s="11"/>
      <c r="M3966" s="9"/>
      <c r="N3966" s="9"/>
      <c r="O3966" s="9"/>
      <c r="P3966" s="9"/>
    </row>
    <row r="3967" spans="12:16" x14ac:dyDescent="0.4">
      <c r="L3967" s="11"/>
      <c r="M3967" s="9"/>
      <c r="N3967" s="9"/>
      <c r="O3967" s="9"/>
      <c r="P3967" s="9"/>
    </row>
    <row r="3968" spans="12:16" x14ac:dyDescent="0.4">
      <c r="L3968" s="11"/>
      <c r="M3968" s="9"/>
      <c r="N3968" s="9"/>
      <c r="O3968" s="9"/>
      <c r="P3968" s="9"/>
    </row>
    <row r="3969" spans="12:16" x14ac:dyDescent="0.4">
      <c r="L3969" s="11"/>
      <c r="M3969" s="9"/>
      <c r="N3969" s="9"/>
      <c r="O3969" s="9"/>
      <c r="P3969" s="9"/>
    </row>
    <row r="3970" spans="12:16" x14ac:dyDescent="0.4">
      <c r="L3970" s="11"/>
      <c r="M3970" s="9"/>
      <c r="N3970" s="9"/>
      <c r="O3970" s="9"/>
      <c r="P3970" s="9"/>
    </row>
    <row r="3971" spans="12:16" x14ac:dyDescent="0.4">
      <c r="L3971" s="11"/>
      <c r="M3971" s="9"/>
      <c r="N3971" s="9"/>
      <c r="O3971" s="9"/>
      <c r="P3971" s="9"/>
    </row>
    <row r="3972" spans="12:16" x14ac:dyDescent="0.4">
      <c r="L3972" s="11"/>
      <c r="M3972" s="9"/>
      <c r="N3972" s="9"/>
      <c r="O3972" s="9"/>
      <c r="P3972" s="9"/>
    </row>
    <row r="3973" spans="12:16" x14ac:dyDescent="0.4">
      <c r="L3973" s="11"/>
      <c r="M3973" s="9"/>
      <c r="N3973" s="9"/>
      <c r="O3973" s="9"/>
      <c r="P3973" s="9"/>
    </row>
    <row r="3974" spans="12:16" x14ac:dyDescent="0.4">
      <c r="L3974" s="11"/>
      <c r="M3974" s="9"/>
      <c r="N3974" s="9"/>
      <c r="O3974" s="9"/>
      <c r="P3974" s="9"/>
    </row>
    <row r="3975" spans="12:16" x14ac:dyDescent="0.4">
      <c r="L3975" s="11"/>
      <c r="M3975" s="9"/>
      <c r="N3975" s="9"/>
      <c r="O3975" s="9"/>
      <c r="P3975" s="9"/>
    </row>
    <row r="3976" spans="12:16" x14ac:dyDescent="0.4">
      <c r="L3976" s="11"/>
      <c r="M3976" s="9"/>
      <c r="N3976" s="9"/>
      <c r="O3976" s="9"/>
      <c r="P3976" s="9"/>
    </row>
    <row r="3977" spans="12:16" x14ac:dyDescent="0.4">
      <c r="L3977" s="11"/>
      <c r="M3977" s="9"/>
      <c r="N3977" s="9"/>
      <c r="O3977" s="9"/>
      <c r="P3977" s="9"/>
    </row>
    <row r="3978" spans="12:16" x14ac:dyDescent="0.4">
      <c r="L3978" s="11"/>
      <c r="M3978" s="9"/>
      <c r="N3978" s="9"/>
      <c r="O3978" s="9"/>
      <c r="P3978" s="9"/>
    </row>
    <row r="3979" spans="12:16" x14ac:dyDescent="0.4">
      <c r="L3979" s="11"/>
      <c r="M3979" s="9"/>
      <c r="N3979" s="9"/>
      <c r="O3979" s="9"/>
      <c r="P3979" s="9"/>
    </row>
    <row r="3980" spans="12:16" x14ac:dyDescent="0.4">
      <c r="L3980" s="11"/>
      <c r="M3980" s="9"/>
      <c r="N3980" s="9"/>
      <c r="O3980" s="9"/>
      <c r="P3980" s="9"/>
    </row>
    <row r="3981" spans="12:16" x14ac:dyDescent="0.4">
      <c r="L3981" s="11"/>
      <c r="M3981" s="9"/>
      <c r="N3981" s="9"/>
      <c r="O3981" s="9"/>
      <c r="P3981" s="9"/>
    </row>
    <row r="3982" spans="12:16" x14ac:dyDescent="0.4">
      <c r="L3982" s="11"/>
      <c r="M3982" s="9"/>
      <c r="N3982" s="9"/>
      <c r="O3982" s="9"/>
      <c r="P3982" s="9"/>
    </row>
    <row r="3983" spans="12:16" x14ac:dyDescent="0.4">
      <c r="L3983" s="11"/>
      <c r="M3983" s="9"/>
      <c r="N3983" s="9"/>
      <c r="O3983" s="9"/>
      <c r="P3983" s="9"/>
    </row>
    <row r="3984" spans="12:16" x14ac:dyDescent="0.4">
      <c r="L3984" s="11"/>
      <c r="M3984" s="9"/>
      <c r="N3984" s="9"/>
      <c r="O3984" s="9"/>
      <c r="P3984" s="9"/>
    </row>
    <row r="3985" spans="12:16" x14ac:dyDescent="0.4">
      <c r="L3985" s="11"/>
      <c r="M3985" s="9"/>
      <c r="N3985" s="9"/>
      <c r="O3985" s="9"/>
      <c r="P3985" s="9"/>
    </row>
    <row r="3986" spans="12:16" x14ac:dyDescent="0.4">
      <c r="L3986" s="11"/>
      <c r="M3986" s="9"/>
      <c r="N3986" s="9"/>
      <c r="O3986" s="9"/>
      <c r="P3986" s="9"/>
    </row>
    <row r="3987" spans="12:16" x14ac:dyDescent="0.4">
      <c r="L3987" s="11"/>
      <c r="M3987" s="9"/>
      <c r="N3987" s="9"/>
      <c r="O3987" s="9"/>
      <c r="P3987" s="9"/>
    </row>
    <row r="3988" spans="12:16" x14ac:dyDescent="0.4">
      <c r="L3988" s="11"/>
      <c r="M3988" s="9"/>
      <c r="N3988" s="9"/>
      <c r="O3988" s="9"/>
      <c r="P3988" s="9"/>
    </row>
    <row r="3989" spans="12:16" x14ac:dyDescent="0.4">
      <c r="L3989" s="11"/>
      <c r="M3989" s="9"/>
      <c r="N3989" s="9"/>
      <c r="O3989" s="9"/>
      <c r="P3989" s="9"/>
    </row>
    <row r="3990" spans="12:16" x14ac:dyDescent="0.4">
      <c r="L3990" s="11"/>
      <c r="M3990" s="9"/>
      <c r="N3990" s="9"/>
      <c r="O3990" s="9"/>
      <c r="P3990" s="9"/>
    </row>
    <row r="3991" spans="12:16" x14ac:dyDescent="0.4">
      <c r="L3991" s="11"/>
      <c r="M3991" s="9"/>
      <c r="N3991" s="9"/>
      <c r="O3991" s="9"/>
      <c r="P3991" s="9"/>
    </row>
    <row r="3992" spans="12:16" x14ac:dyDescent="0.4">
      <c r="L3992" s="11"/>
      <c r="M3992" s="9"/>
      <c r="N3992" s="9"/>
      <c r="O3992" s="9"/>
      <c r="P3992" s="9"/>
    </row>
    <row r="3993" spans="12:16" x14ac:dyDescent="0.4">
      <c r="L3993" s="11"/>
      <c r="M3993" s="9"/>
      <c r="N3993" s="9"/>
      <c r="O3993" s="9"/>
      <c r="P3993" s="9"/>
    </row>
    <row r="3994" spans="12:16" x14ac:dyDescent="0.4">
      <c r="L3994" s="11"/>
      <c r="M3994" s="9"/>
      <c r="N3994" s="9"/>
      <c r="O3994" s="9"/>
      <c r="P3994" s="9"/>
    </row>
    <row r="3995" spans="12:16" x14ac:dyDescent="0.4">
      <c r="L3995" s="11"/>
      <c r="M3995" s="9"/>
      <c r="N3995" s="9"/>
      <c r="O3995" s="9"/>
      <c r="P3995" s="9"/>
    </row>
    <row r="3996" spans="12:16" x14ac:dyDescent="0.4">
      <c r="L3996" s="11"/>
      <c r="M3996" s="9"/>
      <c r="N3996" s="9"/>
      <c r="O3996" s="9"/>
      <c r="P3996" s="9"/>
    </row>
    <row r="3997" spans="12:16" x14ac:dyDescent="0.4">
      <c r="L3997" s="11"/>
      <c r="M3997" s="9"/>
      <c r="N3997" s="9"/>
      <c r="O3997" s="9"/>
      <c r="P3997" s="9"/>
    </row>
    <row r="3998" spans="12:16" x14ac:dyDescent="0.4">
      <c r="L3998" s="11"/>
      <c r="M3998" s="9"/>
      <c r="N3998" s="9"/>
      <c r="O3998" s="9"/>
      <c r="P3998" s="9"/>
    </row>
    <row r="3999" spans="12:16" x14ac:dyDescent="0.4">
      <c r="L3999" s="11"/>
      <c r="M3999" s="9"/>
      <c r="N3999" s="9"/>
      <c r="O3999" s="9"/>
      <c r="P3999" s="9"/>
    </row>
    <row r="4000" spans="12:16" x14ac:dyDescent="0.4">
      <c r="L4000" s="11"/>
      <c r="M4000" s="9"/>
      <c r="N4000" s="9"/>
      <c r="O4000" s="9"/>
      <c r="P4000" s="9"/>
    </row>
    <row r="4001" spans="12:16" x14ac:dyDescent="0.4">
      <c r="L4001" s="11"/>
      <c r="M4001" s="9"/>
      <c r="N4001" s="9"/>
      <c r="O4001" s="9"/>
      <c r="P4001" s="9"/>
    </row>
    <row r="4002" spans="12:16" x14ac:dyDescent="0.4">
      <c r="L4002" s="11"/>
      <c r="M4002" s="9"/>
      <c r="N4002" s="9"/>
      <c r="O4002" s="9"/>
      <c r="P4002" s="9"/>
    </row>
    <row r="4003" spans="12:16" x14ac:dyDescent="0.4">
      <c r="L4003" s="11"/>
      <c r="M4003" s="9"/>
      <c r="N4003" s="9"/>
      <c r="O4003" s="9"/>
      <c r="P4003" s="9"/>
    </row>
    <row r="4004" spans="12:16" x14ac:dyDescent="0.4">
      <c r="L4004" s="11"/>
      <c r="M4004" s="9"/>
      <c r="N4004" s="9"/>
      <c r="O4004" s="9"/>
      <c r="P4004" s="9"/>
    </row>
    <row r="4005" spans="12:16" x14ac:dyDescent="0.4">
      <c r="L4005" s="11"/>
      <c r="M4005" s="9"/>
      <c r="N4005" s="9"/>
      <c r="O4005" s="9"/>
      <c r="P4005" s="9"/>
    </row>
    <row r="4006" spans="12:16" x14ac:dyDescent="0.4">
      <c r="L4006" s="11"/>
      <c r="M4006" s="9"/>
      <c r="N4006" s="9"/>
      <c r="O4006" s="9"/>
      <c r="P4006" s="9"/>
    </row>
    <row r="4007" spans="12:16" x14ac:dyDescent="0.4">
      <c r="L4007" s="11"/>
      <c r="M4007" s="9"/>
      <c r="N4007" s="9"/>
      <c r="O4007" s="9"/>
      <c r="P4007" s="9"/>
    </row>
    <row r="4008" spans="12:16" x14ac:dyDescent="0.4">
      <c r="L4008" s="11"/>
      <c r="M4008" s="9"/>
      <c r="N4008" s="9"/>
      <c r="O4008" s="9"/>
      <c r="P4008" s="9"/>
    </row>
    <row r="4009" spans="12:16" x14ac:dyDescent="0.4">
      <c r="L4009" s="11"/>
      <c r="M4009" s="9"/>
      <c r="N4009" s="9"/>
      <c r="O4009" s="9"/>
      <c r="P4009" s="9"/>
    </row>
    <row r="4010" spans="12:16" x14ac:dyDescent="0.4">
      <c r="L4010" s="11"/>
      <c r="M4010" s="9"/>
      <c r="N4010" s="9"/>
      <c r="O4010" s="9"/>
      <c r="P4010" s="9"/>
    </row>
    <row r="4011" spans="12:16" x14ac:dyDescent="0.4">
      <c r="L4011" s="11"/>
      <c r="M4011" s="9"/>
      <c r="N4011" s="9"/>
      <c r="O4011" s="9"/>
      <c r="P4011" s="9"/>
    </row>
    <row r="4012" spans="12:16" x14ac:dyDescent="0.4">
      <c r="L4012" s="11"/>
      <c r="M4012" s="9"/>
      <c r="N4012" s="9"/>
      <c r="O4012" s="9"/>
      <c r="P4012" s="9"/>
    </row>
    <row r="4013" spans="12:16" x14ac:dyDescent="0.4">
      <c r="L4013" s="11"/>
      <c r="M4013" s="9"/>
      <c r="N4013" s="9"/>
      <c r="O4013" s="9"/>
      <c r="P4013" s="9"/>
    </row>
    <row r="4014" spans="12:16" x14ac:dyDescent="0.4">
      <c r="L4014" s="11"/>
      <c r="M4014" s="9"/>
      <c r="N4014" s="9"/>
      <c r="O4014" s="9"/>
      <c r="P4014" s="9"/>
    </row>
    <row r="4015" spans="12:16" x14ac:dyDescent="0.4">
      <c r="L4015" s="11"/>
      <c r="M4015" s="9"/>
      <c r="N4015" s="9"/>
      <c r="O4015" s="9"/>
      <c r="P4015" s="9"/>
    </row>
    <row r="4016" spans="12:16" x14ac:dyDescent="0.4">
      <c r="L4016" s="11"/>
      <c r="M4016" s="9"/>
      <c r="N4016" s="9"/>
      <c r="O4016" s="9"/>
      <c r="P4016" s="9"/>
    </row>
    <row r="4017" spans="12:16" x14ac:dyDescent="0.4">
      <c r="L4017" s="11"/>
      <c r="M4017" s="9"/>
      <c r="N4017" s="9"/>
      <c r="O4017" s="9"/>
      <c r="P4017" s="9"/>
    </row>
    <row r="4018" spans="12:16" x14ac:dyDescent="0.4">
      <c r="L4018" s="11"/>
      <c r="M4018" s="9"/>
      <c r="N4018" s="9"/>
      <c r="O4018" s="9"/>
      <c r="P4018" s="9"/>
    </row>
    <row r="4019" spans="12:16" x14ac:dyDescent="0.4">
      <c r="L4019" s="11"/>
      <c r="M4019" s="9"/>
      <c r="N4019" s="9"/>
      <c r="O4019" s="9"/>
      <c r="P4019" s="9"/>
    </row>
    <row r="4020" spans="12:16" x14ac:dyDescent="0.4">
      <c r="L4020" s="11"/>
      <c r="M4020" s="9"/>
      <c r="N4020" s="9"/>
      <c r="O4020" s="9"/>
      <c r="P4020" s="9"/>
    </row>
    <row r="4021" spans="12:16" x14ac:dyDescent="0.4">
      <c r="L4021" s="11"/>
      <c r="M4021" s="9"/>
      <c r="N4021" s="9"/>
      <c r="O4021" s="9"/>
      <c r="P4021" s="9"/>
    </row>
    <row r="4022" spans="12:16" x14ac:dyDescent="0.4">
      <c r="L4022" s="11"/>
      <c r="M4022" s="9"/>
      <c r="N4022" s="9"/>
      <c r="O4022" s="9"/>
      <c r="P4022" s="9"/>
    </row>
    <row r="4023" spans="12:16" x14ac:dyDescent="0.4">
      <c r="L4023" s="11"/>
      <c r="M4023" s="9"/>
      <c r="N4023" s="9"/>
      <c r="O4023" s="9"/>
      <c r="P4023" s="9"/>
    </row>
    <row r="4024" spans="12:16" x14ac:dyDescent="0.4">
      <c r="L4024" s="11"/>
      <c r="M4024" s="9"/>
      <c r="N4024" s="9"/>
      <c r="O4024" s="9"/>
      <c r="P4024" s="9"/>
    </row>
    <row r="4025" spans="12:16" x14ac:dyDescent="0.4">
      <c r="L4025" s="11"/>
      <c r="M4025" s="9"/>
      <c r="N4025" s="9"/>
      <c r="O4025" s="9"/>
      <c r="P4025" s="9"/>
    </row>
    <row r="4026" spans="12:16" x14ac:dyDescent="0.4">
      <c r="L4026" s="11"/>
      <c r="M4026" s="9"/>
      <c r="N4026" s="9"/>
      <c r="O4026" s="9"/>
      <c r="P4026" s="9"/>
    </row>
    <row r="4027" spans="12:16" x14ac:dyDescent="0.4">
      <c r="L4027" s="11"/>
      <c r="M4027" s="9"/>
      <c r="N4027" s="9"/>
      <c r="O4027" s="9"/>
      <c r="P4027" s="9"/>
    </row>
    <row r="4028" spans="12:16" x14ac:dyDescent="0.4">
      <c r="L4028" s="11"/>
      <c r="M4028" s="9"/>
      <c r="N4028" s="9"/>
      <c r="O4028" s="9"/>
      <c r="P4028" s="9"/>
    </row>
    <row r="4029" spans="12:16" x14ac:dyDescent="0.4">
      <c r="L4029" s="11"/>
      <c r="M4029" s="9"/>
      <c r="N4029" s="9"/>
      <c r="O4029" s="9"/>
      <c r="P4029" s="9"/>
    </row>
    <row r="4030" spans="12:16" x14ac:dyDescent="0.4">
      <c r="L4030" s="11"/>
      <c r="M4030" s="9"/>
      <c r="N4030" s="9"/>
      <c r="O4030" s="9"/>
      <c r="P4030" s="9"/>
    </row>
    <row r="4031" spans="12:16" x14ac:dyDescent="0.4">
      <c r="L4031" s="11"/>
      <c r="M4031" s="9"/>
      <c r="N4031" s="9"/>
      <c r="O4031" s="9"/>
      <c r="P4031" s="9"/>
    </row>
    <row r="4032" spans="12:16" x14ac:dyDescent="0.4">
      <c r="L4032" s="11"/>
      <c r="M4032" s="9"/>
      <c r="N4032" s="9"/>
      <c r="O4032" s="9"/>
      <c r="P4032" s="9"/>
    </row>
    <row r="4033" spans="12:16" x14ac:dyDescent="0.4">
      <c r="L4033" s="11"/>
      <c r="M4033" s="9"/>
      <c r="N4033" s="9"/>
      <c r="O4033" s="9"/>
      <c r="P4033" s="9"/>
    </row>
    <row r="4034" spans="12:16" x14ac:dyDescent="0.4">
      <c r="L4034" s="11"/>
      <c r="M4034" s="9"/>
      <c r="N4034" s="9"/>
      <c r="O4034" s="9"/>
      <c r="P4034" s="9"/>
    </row>
    <row r="4035" spans="12:16" x14ac:dyDescent="0.4">
      <c r="L4035" s="11"/>
      <c r="M4035" s="9"/>
      <c r="N4035" s="9"/>
      <c r="O4035" s="9"/>
      <c r="P4035" s="9"/>
    </row>
    <row r="4036" spans="12:16" x14ac:dyDescent="0.4">
      <c r="L4036" s="11"/>
      <c r="M4036" s="9"/>
      <c r="N4036" s="9"/>
      <c r="O4036" s="9"/>
      <c r="P4036" s="9"/>
    </row>
    <row r="4037" spans="12:16" x14ac:dyDescent="0.4">
      <c r="L4037" s="11"/>
      <c r="M4037" s="9"/>
      <c r="N4037" s="9"/>
      <c r="O4037" s="9"/>
      <c r="P4037" s="9"/>
    </row>
    <row r="4038" spans="12:16" x14ac:dyDescent="0.4">
      <c r="L4038" s="11"/>
      <c r="M4038" s="9"/>
      <c r="N4038" s="9"/>
      <c r="O4038" s="9"/>
      <c r="P4038" s="9"/>
    </row>
    <row r="4039" spans="12:16" x14ac:dyDescent="0.4">
      <c r="L4039" s="11"/>
      <c r="M4039" s="9"/>
      <c r="N4039" s="9"/>
      <c r="O4039" s="9"/>
      <c r="P4039" s="9"/>
    </row>
    <row r="4040" spans="12:16" x14ac:dyDescent="0.4">
      <c r="L4040" s="11"/>
      <c r="M4040" s="9"/>
      <c r="N4040" s="9"/>
      <c r="O4040" s="9"/>
      <c r="P4040" s="9"/>
    </row>
    <row r="4041" spans="12:16" x14ac:dyDescent="0.4">
      <c r="L4041" s="11"/>
      <c r="M4041" s="9"/>
      <c r="N4041" s="9"/>
      <c r="O4041" s="9"/>
      <c r="P4041" s="9"/>
    </row>
    <row r="4042" spans="12:16" x14ac:dyDescent="0.4">
      <c r="L4042" s="11"/>
      <c r="M4042" s="9"/>
      <c r="N4042" s="9"/>
      <c r="O4042" s="9"/>
      <c r="P4042" s="9"/>
    </row>
    <row r="4043" spans="12:16" x14ac:dyDescent="0.4">
      <c r="L4043" s="11"/>
      <c r="M4043" s="9"/>
      <c r="N4043" s="9"/>
      <c r="O4043" s="9"/>
      <c r="P4043" s="9"/>
    </row>
    <row r="4044" spans="12:16" x14ac:dyDescent="0.4">
      <c r="L4044" s="11"/>
      <c r="M4044" s="9"/>
      <c r="N4044" s="9"/>
      <c r="O4044" s="9"/>
      <c r="P4044" s="9"/>
    </row>
    <row r="4045" spans="12:16" x14ac:dyDescent="0.4">
      <c r="L4045" s="11"/>
      <c r="M4045" s="9"/>
      <c r="N4045" s="9"/>
      <c r="O4045" s="9"/>
      <c r="P4045" s="9"/>
    </row>
    <row r="4046" spans="12:16" x14ac:dyDescent="0.4">
      <c r="L4046" s="11"/>
      <c r="M4046" s="9"/>
      <c r="N4046" s="9"/>
      <c r="O4046" s="9"/>
      <c r="P4046" s="9"/>
    </row>
    <row r="4047" spans="12:16" x14ac:dyDescent="0.4">
      <c r="L4047" s="11"/>
      <c r="M4047" s="9"/>
      <c r="N4047" s="9"/>
      <c r="O4047" s="9"/>
      <c r="P4047" s="9"/>
    </row>
    <row r="4048" spans="12:16" x14ac:dyDescent="0.4">
      <c r="L4048" s="11"/>
      <c r="M4048" s="9"/>
      <c r="N4048" s="9"/>
      <c r="O4048" s="9"/>
      <c r="P4048" s="9"/>
    </row>
    <row r="4049" spans="12:16" x14ac:dyDescent="0.4">
      <c r="L4049" s="11"/>
      <c r="M4049" s="9"/>
      <c r="N4049" s="9"/>
      <c r="O4049" s="9"/>
      <c r="P4049" s="9"/>
    </row>
    <row r="4050" spans="12:16" x14ac:dyDescent="0.4">
      <c r="L4050" s="11"/>
      <c r="M4050" s="9"/>
      <c r="N4050" s="9"/>
      <c r="O4050" s="9"/>
      <c r="P4050" s="9"/>
    </row>
    <row r="4051" spans="12:16" x14ac:dyDescent="0.4">
      <c r="L4051" s="11"/>
      <c r="M4051" s="9"/>
      <c r="N4051" s="9"/>
      <c r="O4051" s="9"/>
      <c r="P4051" s="9"/>
    </row>
    <row r="4052" spans="12:16" x14ac:dyDescent="0.4">
      <c r="L4052" s="11"/>
      <c r="M4052" s="9"/>
      <c r="N4052" s="9"/>
      <c r="O4052" s="9"/>
      <c r="P4052" s="9"/>
    </row>
    <row r="4053" spans="12:16" x14ac:dyDescent="0.4">
      <c r="L4053" s="11"/>
      <c r="M4053" s="9"/>
      <c r="N4053" s="9"/>
      <c r="O4053" s="9"/>
      <c r="P4053" s="9"/>
    </row>
    <row r="4054" spans="12:16" x14ac:dyDescent="0.4">
      <c r="L4054" s="11"/>
      <c r="M4054" s="9"/>
      <c r="N4054" s="9"/>
      <c r="O4054" s="9"/>
      <c r="P4054" s="9"/>
    </row>
    <row r="4055" spans="12:16" x14ac:dyDescent="0.4">
      <c r="L4055" s="11"/>
      <c r="M4055" s="9"/>
      <c r="N4055" s="9"/>
      <c r="O4055" s="9"/>
      <c r="P4055" s="9"/>
    </row>
    <row r="4056" spans="12:16" x14ac:dyDescent="0.4">
      <c r="L4056" s="11"/>
      <c r="M4056" s="9"/>
      <c r="N4056" s="9"/>
      <c r="O4056" s="9"/>
      <c r="P4056" s="9"/>
    </row>
    <row r="4057" spans="12:16" x14ac:dyDescent="0.4">
      <c r="L4057" s="11"/>
      <c r="M4057" s="9"/>
      <c r="N4057" s="9"/>
      <c r="O4057" s="9"/>
      <c r="P4057" s="9"/>
    </row>
    <row r="4058" spans="12:16" x14ac:dyDescent="0.4">
      <c r="L4058" s="11"/>
      <c r="M4058" s="9"/>
      <c r="N4058" s="9"/>
      <c r="O4058" s="9"/>
      <c r="P4058" s="9"/>
    </row>
    <row r="4059" spans="12:16" x14ac:dyDescent="0.4">
      <c r="L4059" s="11"/>
      <c r="M4059" s="9"/>
      <c r="N4059" s="9"/>
      <c r="O4059" s="9"/>
      <c r="P4059" s="9"/>
    </row>
    <row r="4060" spans="12:16" x14ac:dyDescent="0.4">
      <c r="L4060" s="11"/>
      <c r="M4060" s="9"/>
      <c r="N4060" s="9"/>
      <c r="O4060" s="9"/>
      <c r="P4060" s="9"/>
    </row>
    <row r="4061" spans="12:16" x14ac:dyDescent="0.4">
      <c r="L4061" s="11"/>
      <c r="M4061" s="9"/>
      <c r="N4061" s="9"/>
      <c r="O4061" s="9"/>
      <c r="P4061" s="9"/>
    </row>
    <row r="4062" spans="12:16" x14ac:dyDescent="0.4">
      <c r="L4062" s="11"/>
      <c r="M4062" s="9"/>
      <c r="N4062" s="9"/>
      <c r="O4062" s="9"/>
      <c r="P4062" s="9"/>
    </row>
    <row r="4063" spans="12:16" x14ac:dyDescent="0.4">
      <c r="L4063" s="11"/>
      <c r="M4063" s="9"/>
      <c r="N4063" s="9"/>
      <c r="O4063" s="9"/>
      <c r="P4063" s="9"/>
    </row>
    <row r="4064" spans="12:16" x14ac:dyDescent="0.4">
      <c r="L4064" s="11"/>
      <c r="M4064" s="9"/>
      <c r="N4064" s="9"/>
      <c r="O4064" s="9"/>
      <c r="P4064" s="9"/>
    </row>
    <row r="4065" spans="12:16" x14ac:dyDescent="0.4">
      <c r="L4065" s="11"/>
      <c r="M4065" s="9"/>
      <c r="N4065" s="9"/>
      <c r="O4065" s="9"/>
      <c r="P4065" s="9"/>
    </row>
    <row r="4066" spans="12:16" x14ac:dyDescent="0.4">
      <c r="L4066" s="11"/>
      <c r="M4066" s="9"/>
      <c r="N4066" s="9"/>
      <c r="O4066" s="9"/>
      <c r="P4066" s="9"/>
    </row>
    <row r="4067" spans="12:16" x14ac:dyDescent="0.4">
      <c r="L4067" s="11"/>
      <c r="M4067" s="9"/>
      <c r="N4067" s="9"/>
      <c r="O4067" s="9"/>
      <c r="P4067" s="9"/>
    </row>
    <row r="4068" spans="12:16" x14ac:dyDescent="0.4">
      <c r="L4068" s="11"/>
      <c r="M4068" s="9"/>
      <c r="N4068" s="9"/>
      <c r="O4068" s="9"/>
      <c r="P4068" s="9"/>
    </row>
    <row r="4069" spans="12:16" x14ac:dyDescent="0.4">
      <c r="L4069" s="11"/>
      <c r="M4069" s="9"/>
      <c r="N4069" s="9"/>
      <c r="O4069" s="9"/>
      <c r="P4069" s="9"/>
    </row>
    <row r="4070" spans="12:16" x14ac:dyDescent="0.4">
      <c r="L4070" s="11"/>
      <c r="M4070" s="9"/>
      <c r="N4070" s="9"/>
      <c r="O4070" s="9"/>
      <c r="P4070" s="9"/>
    </row>
    <row r="4071" spans="12:16" x14ac:dyDescent="0.4">
      <c r="L4071" s="11"/>
      <c r="M4071" s="9"/>
      <c r="N4071" s="9"/>
      <c r="O4071" s="9"/>
      <c r="P4071" s="9"/>
    </row>
    <row r="4072" spans="12:16" x14ac:dyDescent="0.4">
      <c r="L4072" s="11"/>
      <c r="M4072" s="9"/>
      <c r="N4072" s="9"/>
      <c r="O4072" s="9"/>
      <c r="P4072" s="9"/>
    </row>
    <row r="4073" spans="12:16" x14ac:dyDescent="0.4">
      <c r="L4073" s="11"/>
      <c r="M4073" s="9"/>
      <c r="N4073" s="9"/>
      <c r="O4073" s="9"/>
      <c r="P4073" s="9"/>
    </row>
    <row r="4074" spans="12:16" x14ac:dyDescent="0.4">
      <c r="L4074" s="11"/>
      <c r="M4074" s="9"/>
      <c r="N4074" s="9"/>
      <c r="O4074" s="9"/>
      <c r="P4074" s="9"/>
    </row>
    <row r="4075" spans="12:16" x14ac:dyDescent="0.4">
      <c r="L4075" s="11"/>
      <c r="M4075" s="9"/>
      <c r="N4075" s="9"/>
      <c r="O4075" s="9"/>
      <c r="P4075" s="9"/>
    </row>
    <row r="4076" spans="12:16" x14ac:dyDescent="0.4">
      <c r="L4076" s="11"/>
      <c r="M4076" s="9"/>
      <c r="N4076" s="9"/>
      <c r="O4076" s="9"/>
      <c r="P4076" s="9"/>
    </row>
    <row r="4077" spans="12:16" x14ac:dyDescent="0.4">
      <c r="L4077" s="11"/>
      <c r="M4077" s="9"/>
      <c r="N4077" s="9"/>
      <c r="O4077" s="9"/>
      <c r="P4077" s="9"/>
    </row>
    <row r="4078" spans="12:16" x14ac:dyDescent="0.4">
      <c r="L4078" s="11"/>
      <c r="M4078" s="9"/>
      <c r="N4078" s="9"/>
      <c r="O4078" s="9"/>
      <c r="P4078" s="9"/>
    </row>
    <row r="4079" spans="12:16" x14ac:dyDescent="0.4">
      <c r="L4079" s="11"/>
      <c r="M4079" s="9"/>
      <c r="N4079" s="9"/>
      <c r="O4079" s="9"/>
      <c r="P4079" s="9"/>
    </row>
    <row r="4080" spans="12:16" x14ac:dyDescent="0.4">
      <c r="L4080" s="11"/>
      <c r="M4080" s="9"/>
      <c r="N4080" s="9"/>
      <c r="O4080" s="9"/>
      <c r="P4080" s="9"/>
    </row>
    <row r="4081" spans="12:16" x14ac:dyDescent="0.4">
      <c r="L4081" s="11"/>
      <c r="M4081" s="9"/>
      <c r="N4081" s="9"/>
      <c r="O4081" s="9"/>
      <c r="P4081" s="9"/>
    </row>
    <row r="4082" spans="12:16" x14ac:dyDescent="0.4">
      <c r="L4082" s="11"/>
      <c r="M4082" s="9"/>
      <c r="N4082" s="9"/>
      <c r="O4082" s="9"/>
      <c r="P4082" s="9"/>
    </row>
    <row r="4083" spans="12:16" x14ac:dyDescent="0.4">
      <c r="L4083" s="11"/>
      <c r="M4083" s="9"/>
      <c r="N4083" s="9"/>
      <c r="O4083" s="9"/>
      <c r="P4083" s="9"/>
    </row>
    <row r="4084" spans="12:16" x14ac:dyDescent="0.4">
      <c r="L4084" s="11"/>
      <c r="M4084" s="9"/>
      <c r="N4084" s="9"/>
      <c r="O4084" s="9"/>
      <c r="P4084" s="9"/>
    </row>
    <row r="4085" spans="12:16" x14ac:dyDescent="0.4">
      <c r="L4085" s="11"/>
      <c r="M4085" s="9"/>
      <c r="N4085" s="9"/>
      <c r="O4085" s="9"/>
      <c r="P4085" s="9"/>
    </row>
    <row r="4086" spans="12:16" x14ac:dyDescent="0.4">
      <c r="L4086" s="11"/>
      <c r="M4086" s="9"/>
      <c r="N4086" s="9"/>
      <c r="O4086" s="9"/>
      <c r="P4086" s="9"/>
    </row>
    <row r="4087" spans="12:16" x14ac:dyDescent="0.4">
      <c r="L4087" s="11"/>
      <c r="M4087" s="9"/>
      <c r="N4087" s="9"/>
      <c r="O4087" s="9"/>
      <c r="P4087" s="9"/>
    </row>
    <row r="4088" spans="12:16" x14ac:dyDescent="0.4">
      <c r="L4088" s="11"/>
      <c r="M4088" s="9"/>
      <c r="N4088" s="9"/>
      <c r="O4088" s="9"/>
      <c r="P4088" s="9"/>
    </row>
    <row r="4089" spans="12:16" x14ac:dyDescent="0.4">
      <c r="L4089" s="11"/>
      <c r="M4089" s="9"/>
      <c r="N4089" s="9"/>
      <c r="O4089" s="9"/>
      <c r="P4089" s="9"/>
    </row>
    <row r="4090" spans="12:16" x14ac:dyDescent="0.4">
      <c r="L4090" s="11"/>
      <c r="M4090" s="9"/>
      <c r="N4090" s="9"/>
      <c r="O4090" s="9"/>
      <c r="P4090" s="9"/>
    </row>
    <row r="4091" spans="12:16" x14ac:dyDescent="0.4">
      <c r="L4091" s="11"/>
      <c r="M4091" s="9"/>
      <c r="N4091" s="9"/>
      <c r="O4091" s="9"/>
      <c r="P4091" s="9"/>
    </row>
    <row r="4092" spans="12:16" x14ac:dyDescent="0.4">
      <c r="L4092" s="11"/>
      <c r="M4092" s="9"/>
      <c r="N4092" s="9"/>
      <c r="O4092" s="9"/>
      <c r="P4092" s="9"/>
    </row>
    <row r="4093" spans="12:16" x14ac:dyDescent="0.4">
      <c r="L4093" s="11"/>
      <c r="M4093" s="9"/>
      <c r="N4093" s="9"/>
      <c r="O4093" s="9"/>
      <c r="P4093" s="9"/>
    </row>
    <row r="4094" spans="12:16" x14ac:dyDescent="0.4">
      <c r="L4094" s="11"/>
      <c r="M4094" s="9"/>
      <c r="N4094" s="9"/>
      <c r="O4094" s="9"/>
      <c r="P4094" s="9"/>
    </row>
    <row r="4095" spans="12:16" x14ac:dyDescent="0.4">
      <c r="L4095" s="11"/>
      <c r="M4095" s="9"/>
      <c r="N4095" s="9"/>
      <c r="O4095" s="9"/>
      <c r="P4095" s="9"/>
    </row>
    <row r="4096" spans="12:16" x14ac:dyDescent="0.4">
      <c r="L4096" s="11"/>
      <c r="M4096" s="9"/>
      <c r="N4096" s="9"/>
      <c r="O4096" s="9"/>
      <c r="P4096" s="9"/>
    </row>
    <row r="4097" spans="12:16" x14ac:dyDescent="0.4">
      <c r="L4097" s="11"/>
      <c r="M4097" s="9"/>
      <c r="N4097" s="9"/>
      <c r="O4097" s="9"/>
      <c r="P4097" s="9"/>
    </row>
    <row r="4098" spans="12:16" x14ac:dyDescent="0.4">
      <c r="L4098" s="11"/>
      <c r="M4098" s="9"/>
      <c r="N4098" s="9"/>
      <c r="O4098" s="9"/>
      <c r="P4098" s="9"/>
    </row>
    <row r="4099" spans="12:16" x14ac:dyDescent="0.4">
      <c r="L4099" s="11"/>
      <c r="M4099" s="9"/>
      <c r="N4099" s="9"/>
      <c r="O4099" s="9"/>
      <c r="P4099" s="9"/>
    </row>
    <row r="4100" spans="12:16" x14ac:dyDescent="0.4">
      <c r="L4100" s="11"/>
      <c r="M4100" s="9"/>
      <c r="N4100" s="9"/>
      <c r="O4100" s="9"/>
      <c r="P4100" s="9"/>
    </row>
    <row r="4101" spans="12:16" x14ac:dyDescent="0.4">
      <c r="L4101" s="11"/>
      <c r="M4101" s="9"/>
      <c r="N4101" s="9"/>
      <c r="O4101" s="9"/>
      <c r="P4101" s="9"/>
    </row>
    <row r="4102" spans="12:16" x14ac:dyDescent="0.4">
      <c r="L4102" s="11"/>
      <c r="M4102" s="9"/>
      <c r="N4102" s="9"/>
      <c r="O4102" s="9"/>
      <c r="P4102" s="9"/>
    </row>
    <row r="4103" spans="12:16" x14ac:dyDescent="0.4">
      <c r="L4103" s="11"/>
      <c r="M4103" s="9"/>
      <c r="N4103" s="9"/>
      <c r="O4103" s="9"/>
      <c r="P4103" s="9"/>
    </row>
    <row r="4104" spans="12:16" x14ac:dyDescent="0.4">
      <c r="L4104" s="11"/>
      <c r="M4104" s="9"/>
      <c r="N4104" s="9"/>
      <c r="O4104" s="9"/>
      <c r="P4104" s="9"/>
    </row>
    <row r="4105" spans="12:16" x14ac:dyDescent="0.4">
      <c r="L4105" s="11"/>
      <c r="M4105" s="9"/>
      <c r="N4105" s="9"/>
      <c r="O4105" s="9"/>
      <c r="P4105" s="9"/>
    </row>
    <row r="4106" spans="12:16" x14ac:dyDescent="0.4">
      <c r="L4106" s="11"/>
      <c r="M4106" s="9"/>
      <c r="N4106" s="9"/>
      <c r="O4106" s="9"/>
      <c r="P4106" s="9"/>
    </row>
    <row r="4107" spans="12:16" x14ac:dyDescent="0.4">
      <c r="L4107" s="11"/>
      <c r="M4107" s="9"/>
      <c r="N4107" s="9"/>
      <c r="O4107" s="9"/>
      <c r="P4107" s="9"/>
    </row>
    <row r="4108" spans="12:16" x14ac:dyDescent="0.4">
      <c r="L4108" s="11"/>
      <c r="M4108" s="9"/>
      <c r="N4108" s="9"/>
      <c r="O4108" s="9"/>
      <c r="P4108" s="9"/>
    </row>
    <row r="4109" spans="12:16" x14ac:dyDescent="0.4">
      <c r="L4109" s="11"/>
      <c r="M4109" s="9"/>
      <c r="N4109" s="9"/>
      <c r="O4109" s="9"/>
      <c r="P4109" s="9"/>
    </row>
    <row r="4110" spans="12:16" x14ac:dyDescent="0.4">
      <c r="L4110" s="11"/>
      <c r="M4110" s="9"/>
      <c r="N4110" s="9"/>
      <c r="O4110" s="9"/>
      <c r="P4110" s="9"/>
    </row>
    <row r="4111" spans="12:16" x14ac:dyDescent="0.4">
      <c r="L4111" s="11"/>
      <c r="M4111" s="9"/>
      <c r="N4111" s="9"/>
      <c r="O4111" s="9"/>
      <c r="P4111" s="9"/>
    </row>
    <row r="4112" spans="12:16" x14ac:dyDescent="0.4">
      <c r="L4112" s="11"/>
      <c r="M4112" s="9"/>
      <c r="N4112" s="9"/>
      <c r="O4112" s="9"/>
      <c r="P4112" s="9"/>
    </row>
    <row r="4113" spans="12:16" x14ac:dyDescent="0.4">
      <c r="L4113" s="11"/>
      <c r="M4113" s="9"/>
      <c r="N4113" s="9"/>
      <c r="O4113" s="9"/>
      <c r="P4113" s="9"/>
    </row>
    <row r="4114" spans="12:16" x14ac:dyDescent="0.4">
      <c r="L4114" s="11"/>
      <c r="M4114" s="9"/>
      <c r="N4114" s="9"/>
      <c r="O4114" s="9"/>
      <c r="P4114" s="9"/>
    </row>
    <row r="4115" spans="12:16" x14ac:dyDescent="0.4">
      <c r="L4115" s="11"/>
      <c r="M4115" s="9"/>
      <c r="N4115" s="9"/>
      <c r="O4115" s="9"/>
      <c r="P4115" s="9"/>
    </row>
    <row r="4116" spans="12:16" x14ac:dyDescent="0.4">
      <c r="L4116" s="11"/>
      <c r="M4116" s="9"/>
      <c r="N4116" s="9"/>
      <c r="O4116" s="9"/>
      <c r="P4116" s="9"/>
    </row>
    <row r="4117" spans="12:16" x14ac:dyDescent="0.4">
      <c r="L4117" s="11"/>
      <c r="M4117" s="9"/>
      <c r="N4117" s="9"/>
      <c r="O4117" s="9"/>
      <c r="P4117" s="9"/>
    </row>
    <row r="4118" spans="12:16" x14ac:dyDescent="0.4">
      <c r="L4118" s="11"/>
      <c r="M4118" s="9"/>
      <c r="N4118" s="9"/>
      <c r="O4118" s="9"/>
      <c r="P4118" s="9"/>
    </row>
    <row r="4119" spans="12:16" x14ac:dyDescent="0.4">
      <c r="L4119" s="11"/>
      <c r="M4119" s="9"/>
      <c r="N4119" s="9"/>
      <c r="O4119" s="9"/>
      <c r="P4119" s="9"/>
    </row>
    <row r="4120" spans="12:16" x14ac:dyDescent="0.4">
      <c r="L4120" s="11"/>
      <c r="M4120" s="9"/>
      <c r="N4120" s="9"/>
      <c r="O4120" s="9"/>
      <c r="P4120" s="9"/>
    </row>
    <row r="4121" spans="12:16" x14ac:dyDescent="0.4">
      <c r="L4121" s="11"/>
      <c r="M4121" s="9"/>
      <c r="N4121" s="9"/>
      <c r="O4121" s="9"/>
      <c r="P4121" s="9"/>
    </row>
    <row r="4122" spans="12:16" x14ac:dyDescent="0.4">
      <c r="L4122" s="11"/>
      <c r="M4122" s="9"/>
      <c r="N4122" s="9"/>
      <c r="O4122" s="9"/>
      <c r="P4122" s="9"/>
    </row>
    <row r="4123" spans="12:16" x14ac:dyDescent="0.4">
      <c r="L4123" s="11"/>
      <c r="M4123" s="9"/>
      <c r="N4123" s="9"/>
      <c r="O4123" s="9"/>
      <c r="P4123" s="9"/>
    </row>
    <row r="4124" spans="12:16" x14ac:dyDescent="0.4">
      <c r="L4124" s="11"/>
      <c r="M4124" s="9"/>
      <c r="N4124" s="9"/>
      <c r="O4124" s="9"/>
      <c r="P4124" s="9"/>
    </row>
    <row r="4125" spans="12:16" x14ac:dyDescent="0.4">
      <c r="L4125" s="11"/>
      <c r="M4125" s="9"/>
      <c r="N4125" s="9"/>
      <c r="O4125" s="9"/>
      <c r="P4125" s="9"/>
    </row>
    <row r="4126" spans="12:16" x14ac:dyDescent="0.4">
      <c r="L4126" s="11"/>
      <c r="M4126" s="9"/>
      <c r="N4126" s="9"/>
      <c r="O4126" s="9"/>
      <c r="P4126" s="9"/>
    </row>
    <row r="4127" spans="12:16" x14ac:dyDescent="0.4">
      <c r="L4127" s="11"/>
      <c r="M4127" s="9"/>
      <c r="N4127" s="9"/>
      <c r="O4127" s="9"/>
      <c r="P4127" s="9"/>
    </row>
    <row r="4128" spans="12:16" x14ac:dyDescent="0.4">
      <c r="L4128" s="11"/>
      <c r="M4128" s="9"/>
      <c r="N4128" s="9"/>
      <c r="O4128" s="9"/>
      <c r="P4128" s="9"/>
    </row>
    <row r="4129" spans="12:16" x14ac:dyDescent="0.4">
      <c r="L4129" s="11"/>
      <c r="M4129" s="9"/>
      <c r="N4129" s="9"/>
      <c r="O4129" s="9"/>
      <c r="P4129" s="9"/>
    </row>
    <row r="4130" spans="12:16" x14ac:dyDescent="0.4">
      <c r="L4130" s="11"/>
      <c r="M4130" s="9"/>
      <c r="N4130" s="9"/>
      <c r="O4130" s="9"/>
      <c r="P4130" s="9"/>
    </row>
    <row r="4131" spans="12:16" x14ac:dyDescent="0.4">
      <c r="L4131" s="11"/>
      <c r="M4131" s="9"/>
      <c r="N4131" s="9"/>
      <c r="O4131" s="9"/>
      <c r="P4131" s="9"/>
    </row>
    <row r="4132" spans="12:16" x14ac:dyDescent="0.4">
      <c r="L4132" s="11"/>
      <c r="M4132" s="9"/>
      <c r="N4132" s="9"/>
      <c r="O4132" s="9"/>
      <c r="P4132" s="9"/>
    </row>
    <row r="4133" spans="12:16" x14ac:dyDescent="0.4">
      <c r="L4133" s="11"/>
      <c r="M4133" s="9"/>
      <c r="N4133" s="9"/>
      <c r="O4133" s="9"/>
      <c r="P4133" s="9"/>
    </row>
    <row r="4134" spans="12:16" x14ac:dyDescent="0.4">
      <c r="L4134" s="11"/>
      <c r="M4134" s="9"/>
      <c r="N4134" s="9"/>
      <c r="O4134" s="9"/>
      <c r="P4134" s="9"/>
    </row>
    <row r="4135" spans="12:16" x14ac:dyDescent="0.4">
      <c r="L4135" s="11"/>
      <c r="M4135" s="9"/>
      <c r="N4135" s="9"/>
      <c r="O4135" s="9"/>
      <c r="P4135" s="9"/>
    </row>
    <row r="4136" spans="12:16" x14ac:dyDescent="0.4">
      <c r="L4136" s="11"/>
      <c r="M4136" s="9"/>
      <c r="N4136" s="9"/>
      <c r="O4136" s="9"/>
      <c r="P4136" s="9"/>
    </row>
    <row r="4137" spans="12:16" x14ac:dyDescent="0.4">
      <c r="L4137" s="11"/>
      <c r="M4137" s="9"/>
      <c r="N4137" s="9"/>
      <c r="O4137" s="9"/>
      <c r="P4137" s="9"/>
    </row>
    <row r="4138" spans="12:16" x14ac:dyDescent="0.4">
      <c r="L4138" s="11"/>
      <c r="M4138" s="9"/>
      <c r="N4138" s="9"/>
      <c r="O4138" s="9"/>
      <c r="P4138" s="9"/>
    </row>
    <row r="4139" spans="12:16" x14ac:dyDescent="0.4">
      <c r="L4139" s="11"/>
      <c r="M4139" s="9"/>
      <c r="N4139" s="9"/>
      <c r="O4139" s="9"/>
      <c r="P4139" s="9"/>
    </row>
    <row r="4140" spans="12:16" x14ac:dyDescent="0.4">
      <c r="L4140" s="11"/>
      <c r="M4140" s="9"/>
      <c r="N4140" s="9"/>
      <c r="O4140" s="9"/>
      <c r="P4140" s="9"/>
    </row>
    <row r="4141" spans="12:16" x14ac:dyDescent="0.4">
      <c r="L4141" s="11"/>
      <c r="M4141" s="9"/>
      <c r="N4141" s="9"/>
      <c r="O4141" s="9"/>
      <c r="P4141" s="9"/>
    </row>
    <row r="4142" spans="12:16" x14ac:dyDescent="0.4">
      <c r="L4142" s="11"/>
      <c r="M4142" s="9"/>
      <c r="N4142" s="9"/>
      <c r="O4142" s="9"/>
      <c r="P4142" s="9"/>
    </row>
    <row r="4143" spans="12:16" x14ac:dyDescent="0.4">
      <c r="L4143" s="11"/>
      <c r="M4143" s="9"/>
      <c r="N4143" s="9"/>
      <c r="O4143" s="9"/>
      <c r="P4143" s="9"/>
    </row>
    <row r="4144" spans="12:16" x14ac:dyDescent="0.4">
      <c r="L4144" s="11"/>
      <c r="M4144" s="9"/>
      <c r="N4144" s="9"/>
      <c r="O4144" s="9"/>
      <c r="P4144" s="9"/>
    </row>
    <row r="4145" spans="12:16" x14ac:dyDescent="0.4">
      <c r="L4145" s="11"/>
      <c r="M4145" s="9"/>
      <c r="N4145" s="9"/>
      <c r="O4145" s="9"/>
      <c r="P4145" s="9"/>
    </row>
    <row r="4146" spans="12:16" x14ac:dyDescent="0.4">
      <c r="L4146" s="11"/>
      <c r="M4146" s="9"/>
      <c r="N4146" s="9"/>
      <c r="O4146" s="9"/>
      <c r="P4146" s="9"/>
    </row>
    <row r="4147" spans="12:16" x14ac:dyDescent="0.4">
      <c r="L4147" s="11"/>
      <c r="M4147" s="9"/>
      <c r="N4147" s="9"/>
      <c r="O4147" s="9"/>
      <c r="P4147" s="9"/>
    </row>
    <row r="4148" spans="12:16" x14ac:dyDescent="0.4">
      <c r="L4148" s="11"/>
      <c r="M4148" s="9"/>
      <c r="N4148" s="9"/>
      <c r="O4148" s="9"/>
      <c r="P4148" s="9"/>
    </row>
    <row r="4149" spans="12:16" x14ac:dyDescent="0.4">
      <c r="L4149" s="11"/>
      <c r="M4149" s="9"/>
      <c r="N4149" s="9"/>
      <c r="O4149" s="9"/>
      <c r="P4149" s="9"/>
    </row>
    <row r="4150" spans="12:16" x14ac:dyDescent="0.4">
      <c r="L4150" s="11"/>
      <c r="M4150" s="9"/>
      <c r="N4150" s="9"/>
      <c r="O4150" s="9"/>
      <c r="P4150" s="9"/>
    </row>
    <row r="4151" spans="12:16" x14ac:dyDescent="0.4">
      <c r="L4151" s="11"/>
      <c r="M4151" s="9"/>
      <c r="N4151" s="9"/>
      <c r="O4151" s="9"/>
      <c r="P4151" s="9"/>
    </row>
    <row r="4152" spans="12:16" x14ac:dyDescent="0.4">
      <c r="L4152" s="11"/>
      <c r="M4152" s="9"/>
      <c r="N4152" s="9"/>
      <c r="O4152" s="9"/>
      <c r="P4152" s="9"/>
    </row>
    <row r="4153" spans="12:16" x14ac:dyDescent="0.4">
      <c r="L4153" s="11"/>
      <c r="M4153" s="9"/>
      <c r="N4153" s="9"/>
      <c r="O4153" s="9"/>
      <c r="P4153" s="9"/>
    </row>
    <row r="4154" spans="12:16" x14ac:dyDescent="0.4">
      <c r="L4154" s="11"/>
      <c r="M4154" s="9"/>
      <c r="N4154" s="9"/>
      <c r="O4154" s="9"/>
      <c r="P4154" s="9"/>
    </row>
    <row r="4155" spans="12:16" x14ac:dyDescent="0.4">
      <c r="L4155" s="11"/>
      <c r="M4155" s="9"/>
      <c r="N4155" s="9"/>
      <c r="O4155" s="9"/>
      <c r="P4155" s="9"/>
    </row>
    <row r="4156" spans="12:16" x14ac:dyDescent="0.4">
      <c r="L4156" s="11"/>
      <c r="M4156" s="9"/>
      <c r="N4156" s="9"/>
      <c r="O4156" s="9"/>
      <c r="P4156" s="9"/>
    </row>
    <row r="4157" spans="12:16" x14ac:dyDescent="0.4">
      <c r="L4157" s="11"/>
      <c r="M4157" s="9"/>
      <c r="N4157" s="9"/>
      <c r="O4157" s="9"/>
      <c r="P4157" s="9"/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BC80-4A9A-4D8B-9B08-93EEEBFED41C}">
  <dimension ref="A1:M991"/>
  <sheetViews>
    <sheetView zoomScale="70" zoomScaleNormal="70" workbookViewId="0">
      <pane xSplit="1" ySplit="4" topLeftCell="B896" activePane="bottomRight" state="frozen"/>
      <selection pane="topRight" activeCell="B1" sqref="B1"/>
      <selection pane="bottomLeft" activeCell="A5" sqref="A5"/>
      <selection pane="bottomRight" activeCell="E916" sqref="E916"/>
    </sheetView>
  </sheetViews>
  <sheetFormatPr defaultRowHeight="13.9" outlineLevelCol="1" x14ac:dyDescent="0.4"/>
  <cols>
    <col min="1" max="1" width="11.59765625" bestFit="1" customWidth="1"/>
    <col min="2" max="2" width="25.1328125" style="1" bestFit="1" customWidth="1"/>
    <col min="3" max="3" width="35.46484375" style="1" bestFit="1" customWidth="1"/>
    <col min="4" max="4" width="36.73046875" style="1" bestFit="1" customWidth="1"/>
    <col min="5" max="6" width="36.59765625" style="1" bestFit="1" customWidth="1"/>
    <col min="8" max="8" width="11.59765625" customWidth="1" outlineLevel="1"/>
    <col min="9" max="9" width="24.73046875" customWidth="1" outlineLevel="1"/>
    <col min="10" max="10" width="35.1328125" customWidth="1" outlineLevel="1"/>
    <col min="11" max="11" width="35.73046875" customWidth="1" outlineLevel="1"/>
    <col min="12" max="12" width="35.46484375" customWidth="1" outlineLevel="1"/>
    <col min="13" max="13" width="35.59765625" customWidth="1" outlineLevel="1"/>
    <col min="14" max="14" width="9.1328125"/>
  </cols>
  <sheetData>
    <row r="1" spans="1:13" x14ac:dyDescent="0.4">
      <c r="H1" s="15" t="str">
        <f>[1]!edb()</f>
        <v>Wind</v>
      </c>
    </row>
    <row r="2" spans="1:13" x14ac:dyDescent="0.4">
      <c r="A2" s="7"/>
      <c r="B2" s="7" t="s">
        <v>39</v>
      </c>
      <c r="C2" s="7" t="s">
        <v>57</v>
      </c>
      <c r="D2" s="7" t="s">
        <v>17</v>
      </c>
      <c r="E2" s="7" t="s">
        <v>46</v>
      </c>
      <c r="F2" s="7" t="s">
        <v>45</v>
      </c>
      <c r="H2" s="40" t="s">
        <v>6</v>
      </c>
      <c r="I2" s="40" t="s">
        <v>15</v>
      </c>
      <c r="J2" s="40" t="s">
        <v>16</v>
      </c>
      <c r="K2" s="40" t="s">
        <v>17</v>
      </c>
      <c r="L2" s="40" t="s">
        <v>19</v>
      </c>
      <c r="M2" s="40" t="s">
        <v>18</v>
      </c>
    </row>
    <row r="3" spans="1:13" x14ac:dyDescent="0.4">
      <c r="A3" s="1" t="s">
        <v>0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H3" s="37" t="s">
        <v>11</v>
      </c>
      <c r="I3" s="37" t="s">
        <v>7</v>
      </c>
      <c r="J3" s="37" t="s">
        <v>7</v>
      </c>
      <c r="K3" s="37" t="s">
        <v>7</v>
      </c>
      <c r="L3" s="37" t="s">
        <v>7</v>
      </c>
      <c r="M3" s="37" t="s">
        <v>7</v>
      </c>
    </row>
    <row r="4" spans="1:13" x14ac:dyDescent="0.4">
      <c r="A4" s="1" t="s">
        <v>34</v>
      </c>
      <c r="B4" s="1" t="s">
        <v>40</v>
      </c>
      <c r="C4" s="1" t="s">
        <v>47</v>
      </c>
      <c r="D4" s="1" t="s">
        <v>47</v>
      </c>
      <c r="E4" s="1" t="s">
        <v>47</v>
      </c>
      <c r="F4" s="1" t="s">
        <v>47</v>
      </c>
      <c r="H4" s="37" t="s">
        <v>4</v>
      </c>
      <c r="I4" s="37" t="s">
        <v>20</v>
      </c>
      <c r="J4" s="37" t="s">
        <v>21</v>
      </c>
      <c r="K4" s="37" t="s">
        <v>21</v>
      </c>
      <c r="L4" s="37" t="s">
        <v>21</v>
      </c>
      <c r="M4" s="37" t="s">
        <v>21</v>
      </c>
    </row>
    <row r="5" spans="1:13" x14ac:dyDescent="0.4">
      <c r="A5" s="16">
        <f>H5</f>
        <v>42005</v>
      </c>
      <c r="B5" s="1">
        <f>IF(I5&lt;&gt;0,I5,B4)</f>
        <v>58.2</v>
      </c>
      <c r="C5" s="1">
        <v>4.5</v>
      </c>
      <c r="D5" s="1">
        <v>10</v>
      </c>
      <c r="E5" s="1">
        <v>15.5</v>
      </c>
      <c r="F5" s="1">
        <v>19.5</v>
      </c>
      <c r="H5" s="11">
        <v>42005</v>
      </c>
      <c r="I5" s="25">
        <v>58.2</v>
      </c>
      <c r="J5" s="9">
        <v>0</v>
      </c>
      <c r="K5" s="9">
        <v>0</v>
      </c>
      <c r="L5" s="9">
        <v>0</v>
      </c>
      <c r="M5" s="9">
        <v>0</v>
      </c>
    </row>
    <row r="6" spans="1:13" x14ac:dyDescent="0.4">
      <c r="A6" s="16">
        <f t="shared" ref="A6:A69" si="0">H6</f>
        <v>42012</v>
      </c>
      <c r="B6" s="1">
        <f t="shared" ref="B6:B69" si="1">IF(I6&lt;&gt;0,I6,B5)</f>
        <v>56.2</v>
      </c>
      <c r="C6" s="1">
        <f>IF(J6&lt;&gt;0,J6,C5)</f>
        <v>4.5</v>
      </c>
      <c r="D6" s="1">
        <f>IF(K6&lt;&gt;0,K6,D5)</f>
        <v>10</v>
      </c>
      <c r="E6" s="1">
        <f>IF(L6&lt;&gt;0,L6,E5)</f>
        <v>15.5</v>
      </c>
      <c r="F6" s="1">
        <f>IF(M6&lt;&gt;0,M6,F5)</f>
        <v>19.5</v>
      </c>
      <c r="H6" s="11">
        <v>42012</v>
      </c>
      <c r="I6" s="25">
        <v>56.2</v>
      </c>
      <c r="J6" s="9">
        <v>0</v>
      </c>
      <c r="K6" s="9">
        <v>0</v>
      </c>
      <c r="L6" s="9">
        <v>0</v>
      </c>
      <c r="M6" s="9">
        <v>0</v>
      </c>
    </row>
    <row r="7" spans="1:13" x14ac:dyDescent="0.4">
      <c r="A7" s="16">
        <f t="shared" si="0"/>
        <v>42013</v>
      </c>
      <c r="B7" s="1">
        <f t="shared" si="1"/>
        <v>56.2</v>
      </c>
      <c r="C7" s="1">
        <f t="shared" ref="C7:C70" si="2">IF(J7&lt;&gt;0,J7,C6)</f>
        <v>4.5</v>
      </c>
      <c r="D7" s="1">
        <f t="shared" ref="D7:D70" si="3">IF(K7&lt;&gt;0,K7,D6)</f>
        <v>10</v>
      </c>
      <c r="E7" s="1">
        <f t="shared" ref="E7:E70" si="4">IF(L7&lt;&gt;0,L7,E6)</f>
        <v>15.5</v>
      </c>
      <c r="F7" s="1">
        <f t="shared" ref="F7:F70" si="5">IF(M7&lt;&gt;0,M7,F6)</f>
        <v>19.5</v>
      </c>
      <c r="H7" s="11">
        <v>42013</v>
      </c>
      <c r="I7" s="25">
        <v>0</v>
      </c>
      <c r="J7" s="9">
        <v>4.5</v>
      </c>
      <c r="K7" s="9">
        <v>10</v>
      </c>
      <c r="L7" s="9">
        <v>15.5</v>
      </c>
      <c r="M7" s="9">
        <v>19.5</v>
      </c>
    </row>
    <row r="8" spans="1:13" x14ac:dyDescent="0.4">
      <c r="A8" s="16">
        <f t="shared" si="0"/>
        <v>42019</v>
      </c>
      <c r="B8" s="1">
        <f t="shared" si="1"/>
        <v>51.6</v>
      </c>
      <c r="C8" s="1">
        <f t="shared" si="2"/>
        <v>4.5</v>
      </c>
      <c r="D8" s="1">
        <f t="shared" si="3"/>
        <v>10</v>
      </c>
      <c r="E8" s="1">
        <f t="shared" si="4"/>
        <v>15.5</v>
      </c>
      <c r="F8" s="1">
        <f t="shared" si="5"/>
        <v>19.5</v>
      </c>
      <c r="H8" s="11">
        <v>42019</v>
      </c>
      <c r="I8" s="25">
        <v>51.6</v>
      </c>
      <c r="J8" s="9">
        <v>0</v>
      </c>
      <c r="K8" s="9">
        <v>0</v>
      </c>
      <c r="L8" s="9">
        <v>0</v>
      </c>
      <c r="M8" s="9">
        <v>0</v>
      </c>
    </row>
    <row r="9" spans="1:13" x14ac:dyDescent="0.4">
      <c r="A9" s="16">
        <f t="shared" si="0"/>
        <v>42020</v>
      </c>
      <c r="B9" s="1">
        <f t="shared" si="1"/>
        <v>51.6</v>
      </c>
      <c r="C9" s="1">
        <f t="shared" si="2"/>
        <v>5.5</v>
      </c>
      <c r="D9" s="1">
        <f t="shared" si="3"/>
        <v>7</v>
      </c>
      <c r="E9" s="1">
        <f t="shared" si="4"/>
        <v>16.5</v>
      </c>
      <c r="F9" s="1">
        <f t="shared" si="5"/>
        <v>20.5</v>
      </c>
      <c r="H9" s="11">
        <v>42020</v>
      </c>
      <c r="I9" s="25">
        <v>0</v>
      </c>
      <c r="J9" s="9">
        <v>5.5</v>
      </c>
      <c r="K9" s="9">
        <v>7</v>
      </c>
      <c r="L9" s="9">
        <v>16.5</v>
      </c>
      <c r="M9" s="9">
        <v>20.5</v>
      </c>
    </row>
    <row r="10" spans="1:13" x14ac:dyDescent="0.4">
      <c r="A10" s="16">
        <f t="shared" si="0"/>
        <v>42027</v>
      </c>
      <c r="B10" s="1">
        <f t="shared" si="1"/>
        <v>51.6</v>
      </c>
      <c r="C10" s="1">
        <f t="shared" si="2"/>
        <v>5</v>
      </c>
      <c r="D10" s="1">
        <f t="shared" si="3"/>
        <v>3</v>
      </c>
      <c r="E10" s="1">
        <f t="shared" si="4"/>
        <v>11.5</v>
      </c>
      <c r="F10" s="1">
        <f t="shared" si="5"/>
        <v>13.5</v>
      </c>
      <c r="H10" s="11">
        <v>42027</v>
      </c>
      <c r="I10" s="25">
        <v>0</v>
      </c>
      <c r="J10" s="9">
        <v>5</v>
      </c>
      <c r="K10" s="9">
        <v>3</v>
      </c>
      <c r="L10" s="9">
        <v>11.5</v>
      </c>
      <c r="M10" s="9">
        <v>13.5</v>
      </c>
    </row>
    <row r="11" spans="1:13" x14ac:dyDescent="0.4">
      <c r="A11" s="16">
        <f t="shared" si="0"/>
        <v>42033</v>
      </c>
      <c r="B11" s="1">
        <f t="shared" si="1"/>
        <v>49.8</v>
      </c>
      <c r="C11" s="1">
        <f t="shared" si="2"/>
        <v>5</v>
      </c>
      <c r="D11" s="1">
        <f t="shared" si="3"/>
        <v>3</v>
      </c>
      <c r="E11" s="1">
        <f t="shared" si="4"/>
        <v>11.5</v>
      </c>
      <c r="F11" s="1">
        <f t="shared" si="5"/>
        <v>13.5</v>
      </c>
      <c r="H11" s="11">
        <v>42033</v>
      </c>
      <c r="I11" s="25">
        <v>49.8</v>
      </c>
      <c r="J11" s="9">
        <v>0</v>
      </c>
      <c r="K11" s="9">
        <v>0</v>
      </c>
      <c r="L11" s="9">
        <v>0</v>
      </c>
      <c r="M11" s="9">
        <v>0</v>
      </c>
    </row>
    <row r="12" spans="1:13" x14ac:dyDescent="0.4">
      <c r="A12" s="16">
        <f t="shared" si="0"/>
        <v>42034</v>
      </c>
      <c r="B12" s="1">
        <f t="shared" si="1"/>
        <v>49.8</v>
      </c>
      <c r="C12" s="1">
        <f t="shared" si="2"/>
        <v>5</v>
      </c>
      <c r="D12" s="1">
        <f t="shared" si="3"/>
        <v>4.5</v>
      </c>
      <c r="E12" s="1">
        <f t="shared" si="4"/>
        <v>9.5</v>
      </c>
      <c r="F12" s="1">
        <f t="shared" si="5"/>
        <v>15.5</v>
      </c>
      <c r="H12" s="11">
        <v>42034</v>
      </c>
      <c r="I12" s="25">
        <v>0</v>
      </c>
      <c r="J12" s="9">
        <v>5</v>
      </c>
      <c r="K12" s="9">
        <v>4.5</v>
      </c>
      <c r="L12" s="9">
        <v>9.5</v>
      </c>
      <c r="M12" s="9">
        <v>15.5</v>
      </c>
    </row>
    <row r="13" spans="1:13" x14ac:dyDescent="0.4">
      <c r="A13" s="16">
        <f t="shared" si="0"/>
        <v>42041</v>
      </c>
      <c r="B13" s="1">
        <f t="shared" si="1"/>
        <v>49.8</v>
      </c>
      <c r="C13" s="1">
        <f t="shared" si="2"/>
        <v>5</v>
      </c>
      <c r="D13" s="1">
        <f t="shared" si="3"/>
        <v>6.5</v>
      </c>
      <c r="E13" s="1">
        <f t="shared" si="4"/>
        <v>7.5</v>
      </c>
      <c r="F13" s="1">
        <f t="shared" si="5"/>
        <v>13</v>
      </c>
      <c r="H13" s="11">
        <v>42041</v>
      </c>
      <c r="I13" s="25">
        <v>0</v>
      </c>
      <c r="J13" s="9">
        <v>5</v>
      </c>
      <c r="K13" s="9">
        <v>6.5</v>
      </c>
      <c r="L13" s="9">
        <v>7.5</v>
      </c>
      <c r="M13" s="9">
        <v>13</v>
      </c>
    </row>
    <row r="14" spans="1:13" x14ac:dyDescent="0.4">
      <c r="A14" s="16">
        <f t="shared" si="0"/>
        <v>42047</v>
      </c>
      <c r="B14" s="1">
        <f t="shared" si="1"/>
        <v>44.2</v>
      </c>
      <c r="C14" s="1">
        <f t="shared" si="2"/>
        <v>5</v>
      </c>
      <c r="D14" s="1">
        <f t="shared" si="3"/>
        <v>6.5</v>
      </c>
      <c r="E14" s="1">
        <f t="shared" si="4"/>
        <v>7.5</v>
      </c>
      <c r="F14" s="1">
        <f t="shared" si="5"/>
        <v>13</v>
      </c>
      <c r="H14" s="11">
        <v>42047</v>
      </c>
      <c r="I14" s="25">
        <v>44.2</v>
      </c>
      <c r="J14" s="9">
        <v>0</v>
      </c>
      <c r="K14" s="9">
        <v>0</v>
      </c>
      <c r="L14" s="9">
        <v>0</v>
      </c>
      <c r="M14" s="9">
        <v>0</v>
      </c>
    </row>
    <row r="15" spans="1:13" x14ac:dyDescent="0.4">
      <c r="A15" s="16">
        <f t="shared" si="0"/>
        <v>42048</v>
      </c>
      <c r="B15" s="1">
        <f t="shared" si="1"/>
        <v>44.2</v>
      </c>
      <c r="C15" s="1">
        <f t="shared" si="2"/>
        <v>4.5</v>
      </c>
      <c r="D15" s="1">
        <f t="shared" si="3"/>
        <v>5.5</v>
      </c>
      <c r="E15" s="1">
        <f t="shared" si="4"/>
        <v>7.5</v>
      </c>
      <c r="F15" s="1">
        <f t="shared" si="5"/>
        <v>14</v>
      </c>
      <c r="H15" s="11">
        <v>42048</v>
      </c>
      <c r="I15" s="25">
        <v>0</v>
      </c>
      <c r="J15" s="9">
        <v>4.5</v>
      </c>
      <c r="K15" s="9">
        <v>5.5</v>
      </c>
      <c r="L15" s="9">
        <v>7.5</v>
      </c>
      <c r="M15" s="9">
        <v>14</v>
      </c>
    </row>
    <row r="16" spans="1:13" x14ac:dyDescent="0.4">
      <c r="A16" s="16">
        <f t="shared" si="0"/>
        <v>42061</v>
      </c>
      <c r="B16" s="1">
        <f t="shared" si="1"/>
        <v>41</v>
      </c>
      <c r="C16" s="1">
        <f t="shared" si="2"/>
        <v>4.5</v>
      </c>
      <c r="D16" s="1">
        <f t="shared" si="3"/>
        <v>5.5</v>
      </c>
      <c r="E16" s="1">
        <f t="shared" si="4"/>
        <v>7.5</v>
      </c>
      <c r="F16" s="1">
        <f t="shared" si="5"/>
        <v>14</v>
      </c>
      <c r="H16" s="11">
        <v>42061</v>
      </c>
      <c r="I16" s="25">
        <v>41</v>
      </c>
      <c r="J16" s="9">
        <v>0</v>
      </c>
      <c r="K16" s="9">
        <v>0</v>
      </c>
      <c r="L16" s="9">
        <v>0</v>
      </c>
      <c r="M16" s="9">
        <v>0</v>
      </c>
    </row>
    <row r="17" spans="1:13" x14ac:dyDescent="0.4">
      <c r="A17" s="16">
        <f t="shared" si="0"/>
        <v>42062</v>
      </c>
      <c r="B17" s="1">
        <f t="shared" si="1"/>
        <v>41</v>
      </c>
      <c r="C17" s="1">
        <f t="shared" si="2"/>
        <v>4.5</v>
      </c>
      <c r="D17" s="1">
        <f t="shared" si="3"/>
        <v>12.5</v>
      </c>
      <c r="E17" s="1">
        <f t="shared" si="4"/>
        <v>20.5</v>
      </c>
      <c r="F17" s="1">
        <f t="shared" si="5"/>
        <v>25</v>
      </c>
      <c r="H17" s="11">
        <v>42062</v>
      </c>
      <c r="I17" s="25">
        <v>0</v>
      </c>
      <c r="J17" s="9">
        <v>4.5</v>
      </c>
      <c r="K17" s="9">
        <v>12.5</v>
      </c>
      <c r="L17" s="9">
        <v>20.5</v>
      </c>
      <c r="M17" s="9">
        <v>25</v>
      </c>
    </row>
    <row r="18" spans="1:13" x14ac:dyDescent="0.4">
      <c r="A18" s="16">
        <f t="shared" si="0"/>
        <v>42065</v>
      </c>
      <c r="B18" s="1">
        <f t="shared" si="1"/>
        <v>41</v>
      </c>
      <c r="C18" s="1">
        <f t="shared" si="2"/>
        <v>4.5</v>
      </c>
      <c r="D18" s="1">
        <f t="shared" si="3"/>
        <v>8.5</v>
      </c>
      <c r="E18" s="1">
        <f t="shared" si="4"/>
        <v>20.5</v>
      </c>
      <c r="F18" s="1">
        <f t="shared" si="5"/>
        <v>25.5</v>
      </c>
      <c r="H18" s="11">
        <v>42065</v>
      </c>
      <c r="I18" s="25">
        <v>0</v>
      </c>
      <c r="J18" s="9">
        <v>0</v>
      </c>
      <c r="K18" s="9">
        <v>8.5</v>
      </c>
      <c r="L18" s="9">
        <v>20.5</v>
      </c>
      <c r="M18" s="9">
        <v>25.5</v>
      </c>
    </row>
    <row r="19" spans="1:13" x14ac:dyDescent="0.4">
      <c r="A19" s="16">
        <f t="shared" si="0"/>
        <v>42069</v>
      </c>
      <c r="B19" s="1">
        <f t="shared" si="1"/>
        <v>41</v>
      </c>
      <c r="C19" s="1">
        <f t="shared" si="2"/>
        <v>4.5</v>
      </c>
      <c r="D19" s="1">
        <f t="shared" si="3"/>
        <v>8.5</v>
      </c>
      <c r="E19" s="1">
        <f t="shared" si="4"/>
        <v>20.5</v>
      </c>
      <c r="F19" s="1">
        <f t="shared" si="5"/>
        <v>25.5</v>
      </c>
      <c r="H19" s="11">
        <v>42069</v>
      </c>
      <c r="I19" s="25">
        <v>0</v>
      </c>
      <c r="J19" s="9">
        <v>4.5</v>
      </c>
      <c r="K19" s="9">
        <v>0</v>
      </c>
      <c r="L19" s="9">
        <v>0</v>
      </c>
      <c r="M19" s="9">
        <v>0</v>
      </c>
    </row>
    <row r="20" spans="1:13" x14ac:dyDescent="0.4">
      <c r="A20" s="16">
        <f t="shared" si="0"/>
        <v>42075</v>
      </c>
      <c r="B20" s="1">
        <f t="shared" si="1"/>
        <v>39.4</v>
      </c>
      <c r="C20" s="1">
        <f t="shared" si="2"/>
        <v>4.5</v>
      </c>
      <c r="D20" s="1">
        <f t="shared" si="3"/>
        <v>8.5</v>
      </c>
      <c r="E20" s="1">
        <f t="shared" si="4"/>
        <v>20.5</v>
      </c>
      <c r="F20" s="1">
        <f t="shared" si="5"/>
        <v>25.5</v>
      </c>
      <c r="H20" s="11">
        <v>42075</v>
      </c>
      <c r="I20" s="25">
        <v>39.4</v>
      </c>
      <c r="J20" s="9">
        <v>0</v>
      </c>
      <c r="K20" s="9">
        <v>0</v>
      </c>
      <c r="L20" s="9">
        <v>0</v>
      </c>
      <c r="M20" s="9">
        <v>0</v>
      </c>
    </row>
    <row r="21" spans="1:13" x14ac:dyDescent="0.4">
      <c r="A21" s="16">
        <f t="shared" si="0"/>
        <v>42076</v>
      </c>
      <c r="B21" s="1">
        <f t="shared" si="1"/>
        <v>39.4</v>
      </c>
      <c r="C21" s="1">
        <f t="shared" si="2"/>
        <v>5</v>
      </c>
      <c r="D21" s="1">
        <f t="shared" si="3"/>
        <v>8.5</v>
      </c>
      <c r="E21" s="1">
        <f t="shared" si="4"/>
        <v>24</v>
      </c>
      <c r="F21" s="1">
        <f t="shared" si="5"/>
        <v>27</v>
      </c>
      <c r="H21" s="11">
        <v>42076</v>
      </c>
      <c r="I21" s="25">
        <v>0</v>
      </c>
      <c r="J21" s="9">
        <v>5</v>
      </c>
      <c r="K21" s="9">
        <v>8.5</v>
      </c>
      <c r="L21" s="9">
        <v>24</v>
      </c>
      <c r="M21" s="9">
        <v>27</v>
      </c>
    </row>
    <row r="22" spans="1:13" x14ac:dyDescent="0.4">
      <c r="A22" s="16">
        <f t="shared" si="0"/>
        <v>42082</v>
      </c>
      <c r="B22" s="1">
        <f t="shared" si="1"/>
        <v>39.200000000000003</v>
      </c>
      <c r="C22" s="1">
        <f t="shared" si="2"/>
        <v>5</v>
      </c>
      <c r="D22" s="1">
        <f t="shared" si="3"/>
        <v>8.5</v>
      </c>
      <c r="E22" s="1">
        <f t="shared" si="4"/>
        <v>24</v>
      </c>
      <c r="F22" s="1">
        <f t="shared" si="5"/>
        <v>27</v>
      </c>
      <c r="H22" s="11">
        <v>42082</v>
      </c>
      <c r="I22" s="25">
        <v>39.200000000000003</v>
      </c>
      <c r="J22" s="9">
        <v>0</v>
      </c>
      <c r="K22" s="9">
        <v>0</v>
      </c>
      <c r="L22" s="9">
        <v>0</v>
      </c>
      <c r="M22" s="9">
        <v>0</v>
      </c>
    </row>
    <row r="23" spans="1:13" x14ac:dyDescent="0.4">
      <c r="A23" s="16">
        <f t="shared" si="0"/>
        <v>42083</v>
      </c>
      <c r="B23" s="1">
        <f t="shared" si="1"/>
        <v>39.200000000000003</v>
      </c>
      <c r="C23" s="1">
        <f t="shared" si="2"/>
        <v>5.5</v>
      </c>
      <c r="D23" s="1">
        <f t="shared" si="3"/>
        <v>11.5</v>
      </c>
      <c r="E23" s="1">
        <f t="shared" si="4"/>
        <v>15</v>
      </c>
      <c r="F23" s="1">
        <f t="shared" si="5"/>
        <v>28</v>
      </c>
      <c r="H23" s="11">
        <v>42083</v>
      </c>
      <c r="I23" s="25">
        <v>0</v>
      </c>
      <c r="J23" s="9">
        <v>5.5</v>
      </c>
      <c r="K23" s="9">
        <v>11.5</v>
      </c>
      <c r="L23" s="9">
        <v>15</v>
      </c>
      <c r="M23" s="9">
        <v>28</v>
      </c>
    </row>
    <row r="24" spans="1:13" x14ac:dyDescent="0.4">
      <c r="A24" s="16">
        <f t="shared" si="0"/>
        <v>42089</v>
      </c>
      <c r="B24" s="1">
        <f t="shared" si="1"/>
        <v>40.200000000000003</v>
      </c>
      <c r="C24" s="1">
        <f t="shared" si="2"/>
        <v>5.5</v>
      </c>
      <c r="D24" s="1">
        <f t="shared" si="3"/>
        <v>11.5</v>
      </c>
      <c r="E24" s="1">
        <f t="shared" si="4"/>
        <v>15</v>
      </c>
      <c r="F24" s="1">
        <f t="shared" si="5"/>
        <v>28</v>
      </c>
      <c r="H24" s="11">
        <v>42089</v>
      </c>
      <c r="I24" s="25">
        <v>40.200000000000003</v>
      </c>
      <c r="J24" s="9">
        <v>0</v>
      </c>
      <c r="K24" s="9">
        <v>0</v>
      </c>
      <c r="L24" s="9">
        <v>0</v>
      </c>
      <c r="M24" s="9">
        <v>0</v>
      </c>
    </row>
    <row r="25" spans="1:13" x14ac:dyDescent="0.4">
      <c r="A25" s="16">
        <f t="shared" si="0"/>
        <v>42090</v>
      </c>
      <c r="B25" s="1">
        <f t="shared" si="1"/>
        <v>40.200000000000003</v>
      </c>
      <c r="C25" s="1">
        <f t="shared" si="2"/>
        <v>5.5</v>
      </c>
      <c r="D25" s="1">
        <f t="shared" si="3"/>
        <v>11.5</v>
      </c>
      <c r="E25" s="1">
        <f t="shared" si="4"/>
        <v>22</v>
      </c>
      <c r="F25" s="1">
        <f t="shared" si="5"/>
        <v>26</v>
      </c>
      <c r="H25" s="11">
        <v>42090</v>
      </c>
      <c r="I25" s="25">
        <v>0</v>
      </c>
      <c r="J25" s="9">
        <v>5.5</v>
      </c>
      <c r="K25" s="9">
        <v>11.5</v>
      </c>
      <c r="L25" s="9">
        <v>22</v>
      </c>
      <c r="M25" s="9">
        <v>26</v>
      </c>
    </row>
    <row r="26" spans="1:13" x14ac:dyDescent="0.4">
      <c r="A26" s="16">
        <f t="shared" si="0"/>
        <v>42096</v>
      </c>
      <c r="B26" s="1">
        <f t="shared" si="1"/>
        <v>41.5</v>
      </c>
      <c r="C26" s="1">
        <f t="shared" si="2"/>
        <v>5.5</v>
      </c>
      <c r="D26" s="1">
        <f t="shared" si="3"/>
        <v>11.5</v>
      </c>
      <c r="E26" s="1">
        <f t="shared" si="4"/>
        <v>22</v>
      </c>
      <c r="F26" s="1">
        <f t="shared" si="5"/>
        <v>26</v>
      </c>
      <c r="H26" s="11">
        <v>42096</v>
      </c>
      <c r="I26" s="25">
        <v>41.5</v>
      </c>
      <c r="J26" s="9">
        <v>0</v>
      </c>
      <c r="K26" s="9">
        <v>0</v>
      </c>
      <c r="L26" s="9">
        <v>0</v>
      </c>
      <c r="M26" s="9">
        <v>0</v>
      </c>
    </row>
    <row r="27" spans="1:13" x14ac:dyDescent="0.4">
      <c r="A27" s="16">
        <f t="shared" si="0"/>
        <v>42097</v>
      </c>
      <c r="B27" s="1">
        <f t="shared" si="1"/>
        <v>41.5</v>
      </c>
      <c r="C27" s="1">
        <f t="shared" si="2"/>
        <v>5.5</v>
      </c>
      <c r="D27" s="1">
        <f t="shared" si="3"/>
        <v>12.5</v>
      </c>
      <c r="E27" s="1">
        <f t="shared" si="4"/>
        <v>23</v>
      </c>
      <c r="F27" s="1">
        <f t="shared" si="5"/>
        <v>26</v>
      </c>
      <c r="H27" s="11">
        <v>42097</v>
      </c>
      <c r="I27" s="25">
        <v>0</v>
      </c>
      <c r="J27" s="9">
        <v>5.5</v>
      </c>
      <c r="K27" s="9">
        <v>12.5</v>
      </c>
      <c r="L27" s="9">
        <v>23</v>
      </c>
      <c r="M27" s="9">
        <v>26</v>
      </c>
    </row>
    <row r="28" spans="1:13" x14ac:dyDescent="0.4">
      <c r="A28" s="16">
        <f t="shared" si="0"/>
        <v>42103</v>
      </c>
      <c r="B28" s="1">
        <f t="shared" si="1"/>
        <v>41.1</v>
      </c>
      <c r="C28" s="1">
        <f t="shared" si="2"/>
        <v>5.5</v>
      </c>
      <c r="D28" s="1">
        <f t="shared" si="3"/>
        <v>12.5</v>
      </c>
      <c r="E28" s="1">
        <f t="shared" si="4"/>
        <v>23</v>
      </c>
      <c r="F28" s="1">
        <f t="shared" si="5"/>
        <v>26</v>
      </c>
      <c r="H28" s="11">
        <v>42103</v>
      </c>
      <c r="I28" s="25">
        <v>41.1</v>
      </c>
      <c r="J28" s="9">
        <v>0</v>
      </c>
      <c r="K28" s="9">
        <v>0</v>
      </c>
      <c r="L28" s="9">
        <v>0</v>
      </c>
      <c r="M28" s="9">
        <v>0</v>
      </c>
    </row>
    <row r="29" spans="1:13" x14ac:dyDescent="0.4">
      <c r="A29" s="16">
        <f t="shared" si="0"/>
        <v>42104</v>
      </c>
      <c r="B29" s="1">
        <f t="shared" si="1"/>
        <v>41.1</v>
      </c>
      <c r="C29" s="1">
        <f t="shared" si="2"/>
        <v>5</v>
      </c>
      <c r="D29" s="1">
        <f t="shared" si="3"/>
        <v>9.5</v>
      </c>
      <c r="E29" s="1">
        <f t="shared" si="4"/>
        <v>18</v>
      </c>
      <c r="F29" s="1">
        <f t="shared" si="5"/>
        <v>20</v>
      </c>
      <c r="H29" s="11">
        <v>42104</v>
      </c>
      <c r="I29" s="25">
        <v>0</v>
      </c>
      <c r="J29" s="9">
        <v>5</v>
      </c>
      <c r="K29" s="9">
        <v>9.5</v>
      </c>
      <c r="L29" s="9">
        <v>18</v>
      </c>
      <c r="M29" s="9">
        <v>20</v>
      </c>
    </row>
    <row r="30" spans="1:13" x14ac:dyDescent="0.4">
      <c r="A30" s="16">
        <f t="shared" si="0"/>
        <v>42110</v>
      </c>
      <c r="B30" s="1">
        <f t="shared" si="1"/>
        <v>45.3</v>
      </c>
      <c r="C30" s="1">
        <f t="shared" si="2"/>
        <v>5</v>
      </c>
      <c r="D30" s="1">
        <f t="shared" si="3"/>
        <v>9.5</v>
      </c>
      <c r="E30" s="1">
        <f t="shared" si="4"/>
        <v>18</v>
      </c>
      <c r="F30" s="1">
        <f t="shared" si="5"/>
        <v>20</v>
      </c>
      <c r="H30" s="11">
        <v>42110</v>
      </c>
      <c r="I30" s="25">
        <v>45.3</v>
      </c>
      <c r="J30" s="9">
        <v>0</v>
      </c>
      <c r="K30" s="9">
        <v>0</v>
      </c>
      <c r="L30" s="9">
        <v>0</v>
      </c>
      <c r="M30" s="9">
        <v>0</v>
      </c>
    </row>
    <row r="31" spans="1:13" x14ac:dyDescent="0.4">
      <c r="A31" s="16">
        <f t="shared" si="0"/>
        <v>42111</v>
      </c>
      <c r="B31" s="1">
        <f t="shared" si="1"/>
        <v>45.3</v>
      </c>
      <c r="C31" s="1">
        <f t="shared" si="2"/>
        <v>5</v>
      </c>
      <c r="D31" s="1">
        <f t="shared" si="3"/>
        <v>7</v>
      </c>
      <c r="E31" s="1">
        <f t="shared" si="4"/>
        <v>9</v>
      </c>
      <c r="F31" s="1">
        <f t="shared" si="5"/>
        <v>16</v>
      </c>
      <c r="H31" s="11">
        <v>42111</v>
      </c>
      <c r="I31" s="25">
        <v>0</v>
      </c>
      <c r="J31" s="9">
        <v>5</v>
      </c>
      <c r="K31" s="9">
        <v>7</v>
      </c>
      <c r="L31" s="9">
        <v>9</v>
      </c>
      <c r="M31" s="9">
        <v>16</v>
      </c>
    </row>
    <row r="32" spans="1:13" x14ac:dyDescent="0.4">
      <c r="A32" s="16">
        <f t="shared" si="0"/>
        <v>42117</v>
      </c>
      <c r="B32" s="1">
        <f t="shared" si="1"/>
        <v>43.9</v>
      </c>
      <c r="C32" s="1">
        <f t="shared" si="2"/>
        <v>5</v>
      </c>
      <c r="D32" s="1">
        <f t="shared" si="3"/>
        <v>7</v>
      </c>
      <c r="E32" s="1">
        <f t="shared" si="4"/>
        <v>9</v>
      </c>
      <c r="F32" s="1">
        <f t="shared" si="5"/>
        <v>16</v>
      </c>
      <c r="H32" s="11">
        <v>42117</v>
      </c>
      <c r="I32" s="25">
        <v>43.9</v>
      </c>
      <c r="J32" s="9">
        <v>0</v>
      </c>
      <c r="K32" s="9">
        <v>0</v>
      </c>
      <c r="L32" s="9">
        <v>0</v>
      </c>
      <c r="M32" s="9">
        <v>0</v>
      </c>
    </row>
    <row r="33" spans="1:13" x14ac:dyDescent="0.4">
      <c r="A33" s="16">
        <f t="shared" si="0"/>
        <v>42118</v>
      </c>
      <c r="B33" s="1">
        <f t="shared" si="1"/>
        <v>43.9</v>
      </c>
      <c r="C33" s="1">
        <f t="shared" si="2"/>
        <v>5</v>
      </c>
      <c r="D33" s="1">
        <f t="shared" si="3"/>
        <v>8</v>
      </c>
      <c r="E33" s="1">
        <f t="shared" si="4"/>
        <v>15</v>
      </c>
      <c r="F33" s="1">
        <f t="shared" si="5"/>
        <v>16</v>
      </c>
      <c r="H33" s="11">
        <v>42118</v>
      </c>
      <c r="I33" s="25">
        <v>0</v>
      </c>
      <c r="J33" s="9">
        <v>5</v>
      </c>
      <c r="K33" s="9">
        <v>8</v>
      </c>
      <c r="L33" s="9">
        <v>15</v>
      </c>
      <c r="M33" s="9">
        <v>16</v>
      </c>
    </row>
    <row r="34" spans="1:13" x14ac:dyDescent="0.4">
      <c r="A34" s="16">
        <f t="shared" si="0"/>
        <v>42124</v>
      </c>
      <c r="B34" s="1">
        <f t="shared" si="1"/>
        <v>43</v>
      </c>
      <c r="C34" s="1">
        <f t="shared" si="2"/>
        <v>5</v>
      </c>
      <c r="D34" s="1">
        <f t="shared" si="3"/>
        <v>9</v>
      </c>
      <c r="E34" s="1">
        <f t="shared" si="4"/>
        <v>15</v>
      </c>
      <c r="F34" s="1">
        <f t="shared" si="5"/>
        <v>18</v>
      </c>
      <c r="H34" s="11">
        <v>42124</v>
      </c>
      <c r="I34" s="25">
        <v>43</v>
      </c>
      <c r="J34" s="9">
        <v>5</v>
      </c>
      <c r="K34" s="9">
        <v>9</v>
      </c>
      <c r="L34" s="9">
        <v>15</v>
      </c>
      <c r="M34" s="9">
        <v>18</v>
      </c>
    </row>
    <row r="35" spans="1:13" x14ac:dyDescent="0.4">
      <c r="A35" s="16">
        <f t="shared" si="0"/>
        <v>42131</v>
      </c>
      <c r="B35" s="1">
        <f t="shared" si="1"/>
        <v>43.4</v>
      </c>
      <c r="C35" s="1">
        <f t="shared" si="2"/>
        <v>4</v>
      </c>
      <c r="D35" s="1">
        <f t="shared" si="3"/>
        <v>9</v>
      </c>
      <c r="E35" s="1">
        <f t="shared" si="4"/>
        <v>15</v>
      </c>
      <c r="F35" s="1">
        <f t="shared" si="5"/>
        <v>18</v>
      </c>
      <c r="H35" s="11">
        <v>42131</v>
      </c>
      <c r="I35" s="25">
        <v>43.4</v>
      </c>
      <c r="J35" s="9">
        <v>4</v>
      </c>
      <c r="K35" s="9">
        <v>0</v>
      </c>
      <c r="L35" s="9">
        <v>0</v>
      </c>
      <c r="M35" s="9">
        <v>0</v>
      </c>
    </row>
    <row r="36" spans="1:13" x14ac:dyDescent="0.4">
      <c r="A36" s="16">
        <f t="shared" si="0"/>
        <v>42132</v>
      </c>
      <c r="B36" s="1">
        <f t="shared" si="1"/>
        <v>43.4</v>
      </c>
      <c r="C36" s="1">
        <f t="shared" si="2"/>
        <v>4</v>
      </c>
      <c r="D36" s="1">
        <f t="shared" si="3"/>
        <v>8.5</v>
      </c>
      <c r="E36" s="1">
        <f t="shared" si="4"/>
        <v>14.5</v>
      </c>
      <c r="F36" s="1">
        <f t="shared" si="5"/>
        <v>16</v>
      </c>
      <c r="H36" s="11">
        <v>42132</v>
      </c>
      <c r="I36" s="25">
        <v>0</v>
      </c>
      <c r="J36" s="9">
        <v>0</v>
      </c>
      <c r="K36" s="9">
        <v>8.5</v>
      </c>
      <c r="L36" s="9">
        <v>14.5</v>
      </c>
      <c r="M36" s="9">
        <v>16</v>
      </c>
    </row>
    <row r="37" spans="1:13" x14ac:dyDescent="0.4">
      <c r="A37" s="16">
        <f t="shared" si="0"/>
        <v>42138</v>
      </c>
      <c r="B37" s="1">
        <f t="shared" si="1"/>
        <v>41.4</v>
      </c>
      <c r="C37" s="1">
        <f t="shared" si="2"/>
        <v>4</v>
      </c>
      <c r="D37" s="1">
        <f t="shared" si="3"/>
        <v>8.5</v>
      </c>
      <c r="E37" s="1">
        <f t="shared" si="4"/>
        <v>14.5</v>
      </c>
      <c r="F37" s="1">
        <f t="shared" si="5"/>
        <v>16</v>
      </c>
      <c r="H37" s="11">
        <v>42138</v>
      </c>
      <c r="I37" s="25">
        <v>41.4</v>
      </c>
      <c r="J37" s="9">
        <v>0</v>
      </c>
      <c r="K37" s="9">
        <v>0</v>
      </c>
      <c r="L37" s="9">
        <v>0</v>
      </c>
      <c r="M37" s="9">
        <v>0</v>
      </c>
    </row>
    <row r="38" spans="1:13" x14ac:dyDescent="0.4">
      <c r="A38" s="16">
        <f t="shared" si="0"/>
        <v>42139</v>
      </c>
      <c r="B38" s="1">
        <f t="shared" si="1"/>
        <v>41.4</v>
      </c>
      <c r="C38" s="1">
        <f t="shared" si="2"/>
        <v>4</v>
      </c>
      <c r="D38" s="1">
        <f t="shared" si="3"/>
        <v>8.5</v>
      </c>
      <c r="E38" s="1">
        <f t="shared" si="4"/>
        <v>11</v>
      </c>
      <c r="F38" s="1">
        <f t="shared" si="5"/>
        <v>18</v>
      </c>
      <c r="H38" s="11">
        <v>42139</v>
      </c>
      <c r="I38" s="25">
        <v>0</v>
      </c>
      <c r="J38" s="9">
        <v>4</v>
      </c>
      <c r="K38" s="9">
        <v>8.5</v>
      </c>
      <c r="L38" s="9">
        <v>11</v>
      </c>
      <c r="M38" s="9">
        <v>18</v>
      </c>
    </row>
    <row r="39" spans="1:13" x14ac:dyDescent="0.4">
      <c r="A39" s="16">
        <f t="shared" si="0"/>
        <v>42145</v>
      </c>
      <c r="B39" s="1">
        <f t="shared" si="1"/>
        <v>40.700000000000003</v>
      </c>
      <c r="C39" s="1">
        <f t="shared" si="2"/>
        <v>4</v>
      </c>
      <c r="D39" s="1">
        <f t="shared" si="3"/>
        <v>8.5</v>
      </c>
      <c r="E39" s="1">
        <f t="shared" si="4"/>
        <v>11</v>
      </c>
      <c r="F39" s="1">
        <f t="shared" si="5"/>
        <v>18</v>
      </c>
      <c r="H39" s="11">
        <v>42145</v>
      </c>
      <c r="I39" s="25">
        <v>40.700000000000003</v>
      </c>
      <c r="J39" s="9">
        <v>0</v>
      </c>
      <c r="K39" s="9">
        <v>0</v>
      </c>
      <c r="L39" s="9">
        <v>0</v>
      </c>
      <c r="M39" s="9">
        <v>0</v>
      </c>
    </row>
    <row r="40" spans="1:13" x14ac:dyDescent="0.4">
      <c r="A40" s="16">
        <f t="shared" si="0"/>
        <v>42146</v>
      </c>
      <c r="B40" s="1">
        <f t="shared" si="1"/>
        <v>40.700000000000003</v>
      </c>
      <c r="C40" s="1">
        <f t="shared" si="2"/>
        <v>4</v>
      </c>
      <c r="D40" s="1">
        <f t="shared" si="3"/>
        <v>11.5</v>
      </c>
      <c r="E40" s="1">
        <f t="shared" si="4"/>
        <v>19</v>
      </c>
      <c r="F40" s="1">
        <f t="shared" si="5"/>
        <v>19</v>
      </c>
      <c r="H40" s="11">
        <v>42146</v>
      </c>
      <c r="I40" s="25">
        <v>0</v>
      </c>
      <c r="J40" s="9">
        <v>4</v>
      </c>
      <c r="K40" s="9">
        <v>11.5</v>
      </c>
      <c r="L40" s="9">
        <v>19</v>
      </c>
      <c r="M40" s="9">
        <v>19</v>
      </c>
    </row>
    <row r="41" spans="1:13" x14ac:dyDescent="0.4">
      <c r="A41" s="16">
        <f t="shared" si="0"/>
        <v>42152</v>
      </c>
      <c r="B41" s="1">
        <f t="shared" si="1"/>
        <v>42.8</v>
      </c>
      <c r="C41" s="1">
        <f t="shared" si="2"/>
        <v>4</v>
      </c>
      <c r="D41" s="1">
        <f t="shared" si="3"/>
        <v>11.5</v>
      </c>
      <c r="E41" s="1">
        <f t="shared" si="4"/>
        <v>19</v>
      </c>
      <c r="F41" s="1">
        <f t="shared" si="5"/>
        <v>19</v>
      </c>
      <c r="H41" s="11">
        <v>42152</v>
      </c>
      <c r="I41" s="25">
        <v>42.8</v>
      </c>
      <c r="J41" s="9">
        <v>0</v>
      </c>
      <c r="K41" s="9">
        <v>0</v>
      </c>
      <c r="L41" s="9">
        <v>0</v>
      </c>
      <c r="M41" s="9">
        <v>0</v>
      </c>
    </row>
    <row r="42" spans="1:13" x14ac:dyDescent="0.4">
      <c r="A42" s="16">
        <f t="shared" si="0"/>
        <v>42153</v>
      </c>
      <c r="B42" s="1">
        <f t="shared" si="1"/>
        <v>42.8</v>
      </c>
      <c r="C42" s="1">
        <f t="shared" si="2"/>
        <v>4</v>
      </c>
      <c r="D42" s="1">
        <f t="shared" si="3"/>
        <v>13.5</v>
      </c>
      <c r="E42" s="1">
        <f t="shared" si="4"/>
        <v>20</v>
      </c>
      <c r="F42" s="1">
        <f t="shared" si="5"/>
        <v>20</v>
      </c>
      <c r="H42" s="11">
        <v>42153</v>
      </c>
      <c r="I42" s="25">
        <v>0</v>
      </c>
      <c r="J42" s="9">
        <v>4</v>
      </c>
      <c r="K42" s="9">
        <v>13.5</v>
      </c>
      <c r="L42" s="9">
        <v>20</v>
      </c>
      <c r="M42" s="9">
        <v>20</v>
      </c>
    </row>
    <row r="43" spans="1:13" x14ac:dyDescent="0.4">
      <c r="A43" s="16">
        <f t="shared" si="0"/>
        <v>42159</v>
      </c>
      <c r="B43" s="1">
        <f t="shared" si="1"/>
        <v>41.8</v>
      </c>
      <c r="C43" s="1">
        <f t="shared" si="2"/>
        <v>4</v>
      </c>
      <c r="D43" s="1">
        <f t="shared" si="3"/>
        <v>13.5</v>
      </c>
      <c r="E43" s="1">
        <f t="shared" si="4"/>
        <v>20</v>
      </c>
      <c r="F43" s="1">
        <f t="shared" si="5"/>
        <v>20</v>
      </c>
      <c r="H43" s="11">
        <v>42159</v>
      </c>
      <c r="I43" s="25">
        <v>41.8</v>
      </c>
      <c r="J43" s="9">
        <v>0</v>
      </c>
      <c r="K43" s="9">
        <v>0</v>
      </c>
      <c r="L43" s="9">
        <v>0</v>
      </c>
      <c r="M43" s="9">
        <v>0</v>
      </c>
    </row>
    <row r="44" spans="1:13" x14ac:dyDescent="0.4">
      <c r="A44" s="16">
        <f t="shared" si="0"/>
        <v>42160</v>
      </c>
      <c r="B44" s="1">
        <f t="shared" si="1"/>
        <v>41.8</v>
      </c>
      <c r="C44" s="1">
        <f t="shared" si="2"/>
        <v>4</v>
      </c>
      <c r="D44" s="1">
        <f t="shared" si="3"/>
        <v>12.5</v>
      </c>
      <c r="E44" s="1">
        <f t="shared" si="4"/>
        <v>17</v>
      </c>
      <c r="F44" s="1">
        <f t="shared" si="5"/>
        <v>18</v>
      </c>
      <c r="H44" s="11">
        <v>42160</v>
      </c>
      <c r="I44" s="25">
        <v>0</v>
      </c>
      <c r="J44" s="9">
        <v>4</v>
      </c>
      <c r="K44" s="9">
        <v>12.5</v>
      </c>
      <c r="L44" s="9">
        <v>17</v>
      </c>
      <c r="M44" s="9">
        <v>18</v>
      </c>
    </row>
    <row r="45" spans="1:13" x14ac:dyDescent="0.4">
      <c r="A45" s="16">
        <f t="shared" si="0"/>
        <v>42167</v>
      </c>
      <c r="B45" s="1">
        <f t="shared" si="1"/>
        <v>41.8</v>
      </c>
      <c r="C45" s="1">
        <f t="shared" si="2"/>
        <v>4</v>
      </c>
      <c r="D45" s="1">
        <f t="shared" si="3"/>
        <v>12.5</v>
      </c>
      <c r="E45" s="1">
        <f t="shared" si="4"/>
        <v>16</v>
      </c>
      <c r="F45" s="1">
        <f t="shared" si="5"/>
        <v>19</v>
      </c>
      <c r="H45" s="11">
        <v>42167</v>
      </c>
      <c r="I45" s="25">
        <v>0</v>
      </c>
      <c r="J45" s="9">
        <v>4</v>
      </c>
      <c r="K45" s="9">
        <v>12.5</v>
      </c>
      <c r="L45" s="9">
        <v>16</v>
      </c>
      <c r="M45" s="9">
        <v>19</v>
      </c>
    </row>
    <row r="46" spans="1:13" x14ac:dyDescent="0.4">
      <c r="A46" s="16">
        <f t="shared" si="0"/>
        <v>42173</v>
      </c>
      <c r="B46" s="1">
        <f t="shared" si="1"/>
        <v>42.4</v>
      </c>
      <c r="C46" s="1">
        <f t="shared" si="2"/>
        <v>4</v>
      </c>
      <c r="D46" s="1">
        <f t="shared" si="3"/>
        <v>12.5</v>
      </c>
      <c r="E46" s="1">
        <f t="shared" si="4"/>
        <v>16</v>
      </c>
      <c r="F46" s="1">
        <f t="shared" si="5"/>
        <v>19</v>
      </c>
      <c r="H46" s="11">
        <v>42173</v>
      </c>
      <c r="I46" s="25">
        <v>42.4</v>
      </c>
      <c r="J46" s="9">
        <v>0</v>
      </c>
      <c r="K46" s="9">
        <v>0</v>
      </c>
      <c r="L46" s="9">
        <v>0</v>
      </c>
      <c r="M46" s="9">
        <v>0</v>
      </c>
    </row>
    <row r="47" spans="1:13" x14ac:dyDescent="0.4">
      <c r="A47" s="16">
        <f t="shared" si="0"/>
        <v>42174</v>
      </c>
      <c r="B47" s="1">
        <f t="shared" si="1"/>
        <v>42.4</v>
      </c>
      <c r="C47" s="1">
        <f t="shared" si="2"/>
        <v>4</v>
      </c>
      <c r="D47" s="1">
        <f t="shared" si="3"/>
        <v>14</v>
      </c>
      <c r="E47" s="1">
        <f t="shared" si="4"/>
        <v>16</v>
      </c>
      <c r="F47" s="1">
        <f t="shared" si="5"/>
        <v>21</v>
      </c>
      <c r="H47" s="11">
        <v>42174</v>
      </c>
      <c r="I47" s="25">
        <v>0</v>
      </c>
      <c r="J47" s="9">
        <v>4</v>
      </c>
      <c r="K47" s="9">
        <v>14</v>
      </c>
      <c r="L47" s="9">
        <v>16</v>
      </c>
      <c r="M47" s="9">
        <v>21</v>
      </c>
    </row>
    <row r="48" spans="1:13" x14ac:dyDescent="0.4">
      <c r="A48" s="16">
        <f t="shared" si="0"/>
        <v>42180</v>
      </c>
      <c r="B48" s="1">
        <f t="shared" si="1"/>
        <v>41.8</v>
      </c>
      <c r="C48" s="1">
        <f t="shared" si="2"/>
        <v>4</v>
      </c>
      <c r="D48" s="1">
        <f t="shared" si="3"/>
        <v>14</v>
      </c>
      <c r="E48" s="1">
        <f t="shared" si="4"/>
        <v>16</v>
      </c>
      <c r="F48" s="1">
        <f t="shared" si="5"/>
        <v>21</v>
      </c>
      <c r="H48" s="11">
        <v>42180</v>
      </c>
      <c r="I48" s="25">
        <v>41.8</v>
      </c>
      <c r="J48" s="9">
        <v>0</v>
      </c>
      <c r="K48" s="9">
        <v>0</v>
      </c>
      <c r="L48" s="9">
        <v>0</v>
      </c>
      <c r="M48" s="9">
        <v>0</v>
      </c>
    </row>
    <row r="49" spans="1:13" x14ac:dyDescent="0.4">
      <c r="A49" s="16">
        <f t="shared" si="0"/>
        <v>42181</v>
      </c>
      <c r="B49" s="1">
        <f t="shared" si="1"/>
        <v>41.8</v>
      </c>
      <c r="C49" s="1">
        <f t="shared" si="2"/>
        <v>4</v>
      </c>
      <c r="D49" s="1">
        <f t="shared" si="3"/>
        <v>12</v>
      </c>
      <c r="E49" s="1">
        <f t="shared" si="4"/>
        <v>16</v>
      </c>
      <c r="F49" s="1">
        <f t="shared" si="5"/>
        <v>19</v>
      </c>
      <c r="H49" s="11">
        <v>42181</v>
      </c>
      <c r="I49" s="25">
        <v>0</v>
      </c>
      <c r="J49" s="9">
        <v>4</v>
      </c>
      <c r="K49" s="9">
        <v>12</v>
      </c>
      <c r="L49" s="9">
        <v>16</v>
      </c>
      <c r="M49" s="9">
        <v>19</v>
      </c>
    </row>
    <row r="50" spans="1:13" x14ac:dyDescent="0.4">
      <c r="A50" s="16">
        <f t="shared" si="0"/>
        <v>42187</v>
      </c>
      <c r="B50" s="1">
        <f t="shared" si="1"/>
        <v>41</v>
      </c>
      <c r="C50" s="1">
        <f t="shared" si="2"/>
        <v>4</v>
      </c>
      <c r="D50" s="1">
        <f t="shared" si="3"/>
        <v>12</v>
      </c>
      <c r="E50" s="1">
        <f t="shared" si="4"/>
        <v>16</v>
      </c>
      <c r="F50" s="1">
        <f t="shared" si="5"/>
        <v>19</v>
      </c>
      <c r="H50" s="11">
        <v>42187</v>
      </c>
      <c r="I50" s="25">
        <v>41</v>
      </c>
      <c r="J50" s="9">
        <v>0</v>
      </c>
      <c r="K50" s="9">
        <v>0</v>
      </c>
      <c r="L50" s="9">
        <v>0</v>
      </c>
      <c r="M50" s="9">
        <v>0</v>
      </c>
    </row>
    <row r="51" spans="1:13" x14ac:dyDescent="0.4">
      <c r="A51" s="16">
        <f t="shared" si="0"/>
        <v>42188</v>
      </c>
      <c r="B51" s="1">
        <f t="shared" si="1"/>
        <v>41</v>
      </c>
      <c r="C51" s="1">
        <f t="shared" si="2"/>
        <v>4</v>
      </c>
      <c r="D51" s="1">
        <f t="shared" si="3"/>
        <v>10</v>
      </c>
      <c r="E51" s="1">
        <f t="shared" si="4"/>
        <v>14</v>
      </c>
      <c r="F51" s="1">
        <f t="shared" si="5"/>
        <v>16.5</v>
      </c>
      <c r="H51" s="11">
        <v>42188</v>
      </c>
      <c r="I51" s="25">
        <v>0</v>
      </c>
      <c r="J51" s="9">
        <v>4</v>
      </c>
      <c r="K51" s="9">
        <v>10</v>
      </c>
      <c r="L51" s="9">
        <v>14</v>
      </c>
      <c r="M51" s="9">
        <v>16.5</v>
      </c>
    </row>
    <row r="52" spans="1:13" x14ac:dyDescent="0.4">
      <c r="A52" s="16">
        <f t="shared" si="0"/>
        <v>42194</v>
      </c>
      <c r="B52" s="1">
        <f t="shared" si="1"/>
        <v>36.1</v>
      </c>
      <c r="C52" s="1">
        <f t="shared" si="2"/>
        <v>4</v>
      </c>
      <c r="D52" s="1">
        <f t="shared" si="3"/>
        <v>10</v>
      </c>
      <c r="E52" s="1">
        <f t="shared" si="4"/>
        <v>14</v>
      </c>
      <c r="F52" s="1">
        <f t="shared" si="5"/>
        <v>16.5</v>
      </c>
      <c r="H52" s="11">
        <v>42194</v>
      </c>
      <c r="I52" s="25">
        <v>36.1</v>
      </c>
      <c r="J52" s="9">
        <v>0</v>
      </c>
      <c r="K52" s="9">
        <v>0</v>
      </c>
      <c r="L52" s="9">
        <v>0</v>
      </c>
      <c r="M52" s="9">
        <v>0</v>
      </c>
    </row>
    <row r="53" spans="1:13" x14ac:dyDescent="0.4">
      <c r="A53" s="16">
        <f t="shared" si="0"/>
        <v>42195</v>
      </c>
      <c r="B53" s="1">
        <f t="shared" si="1"/>
        <v>36.1</v>
      </c>
      <c r="C53" s="1">
        <f t="shared" si="2"/>
        <v>3.5</v>
      </c>
      <c r="D53" s="1">
        <f t="shared" si="3"/>
        <v>10</v>
      </c>
      <c r="E53" s="1">
        <f t="shared" si="4"/>
        <v>12.5</v>
      </c>
      <c r="F53" s="1">
        <f t="shared" si="5"/>
        <v>15.5</v>
      </c>
      <c r="H53" s="11">
        <v>42195</v>
      </c>
      <c r="I53" s="25">
        <v>0</v>
      </c>
      <c r="J53" s="9">
        <v>3.5</v>
      </c>
      <c r="K53" s="9">
        <v>10</v>
      </c>
      <c r="L53" s="9">
        <v>12.5</v>
      </c>
      <c r="M53" s="9">
        <v>15.5</v>
      </c>
    </row>
    <row r="54" spans="1:13" x14ac:dyDescent="0.4">
      <c r="A54" s="16">
        <f t="shared" si="0"/>
        <v>42201</v>
      </c>
      <c r="B54" s="1">
        <f t="shared" si="1"/>
        <v>35.200000000000003</v>
      </c>
      <c r="C54" s="1">
        <f t="shared" si="2"/>
        <v>3.5</v>
      </c>
      <c r="D54" s="1">
        <f t="shared" si="3"/>
        <v>10</v>
      </c>
      <c r="E54" s="1">
        <f t="shared" si="4"/>
        <v>12.5</v>
      </c>
      <c r="F54" s="1">
        <f t="shared" si="5"/>
        <v>15.5</v>
      </c>
      <c r="H54" s="11">
        <v>42201</v>
      </c>
      <c r="I54" s="25">
        <v>35.200000000000003</v>
      </c>
      <c r="J54" s="9">
        <v>0</v>
      </c>
      <c r="K54" s="9">
        <v>0</v>
      </c>
      <c r="L54" s="9">
        <v>0</v>
      </c>
      <c r="M54" s="9">
        <v>0</v>
      </c>
    </row>
    <row r="55" spans="1:13" x14ac:dyDescent="0.4">
      <c r="A55" s="16">
        <f t="shared" si="0"/>
        <v>42202</v>
      </c>
      <c r="B55" s="1">
        <f t="shared" si="1"/>
        <v>35.200000000000003</v>
      </c>
      <c r="C55" s="1">
        <f t="shared" si="2"/>
        <v>3.5</v>
      </c>
      <c r="D55" s="1">
        <f t="shared" si="3"/>
        <v>11</v>
      </c>
      <c r="E55" s="1">
        <f t="shared" si="4"/>
        <v>11.5</v>
      </c>
      <c r="F55" s="1">
        <f t="shared" si="5"/>
        <v>12.5</v>
      </c>
      <c r="H55" s="11">
        <v>42202</v>
      </c>
      <c r="I55" s="25">
        <v>0</v>
      </c>
      <c r="J55" s="9">
        <v>3.5</v>
      </c>
      <c r="K55" s="9">
        <v>11</v>
      </c>
      <c r="L55" s="9">
        <v>11.5</v>
      </c>
      <c r="M55" s="9">
        <v>12.5</v>
      </c>
    </row>
    <row r="56" spans="1:13" x14ac:dyDescent="0.4">
      <c r="A56" s="16">
        <f t="shared" si="0"/>
        <v>42208</v>
      </c>
      <c r="B56" s="1">
        <f t="shared" si="1"/>
        <v>34.799999999999997</v>
      </c>
      <c r="C56" s="1">
        <f t="shared" si="2"/>
        <v>3.5</v>
      </c>
      <c r="D56" s="1">
        <f t="shared" si="3"/>
        <v>11</v>
      </c>
      <c r="E56" s="1">
        <f t="shared" si="4"/>
        <v>11.5</v>
      </c>
      <c r="F56" s="1">
        <f t="shared" si="5"/>
        <v>12.5</v>
      </c>
      <c r="H56" s="11">
        <v>42208</v>
      </c>
      <c r="I56" s="25">
        <v>34.799999999999997</v>
      </c>
      <c r="J56" s="9">
        <v>0</v>
      </c>
      <c r="K56" s="9">
        <v>0</v>
      </c>
      <c r="L56" s="9">
        <v>0</v>
      </c>
      <c r="M56" s="9">
        <v>0</v>
      </c>
    </row>
    <row r="57" spans="1:13" x14ac:dyDescent="0.4">
      <c r="A57" s="16">
        <f t="shared" si="0"/>
        <v>42209</v>
      </c>
      <c r="B57" s="1">
        <f t="shared" si="1"/>
        <v>34.799999999999997</v>
      </c>
      <c r="C57" s="1">
        <f t="shared" si="2"/>
        <v>3.5</v>
      </c>
      <c r="D57" s="1">
        <f t="shared" si="3"/>
        <v>13</v>
      </c>
      <c r="E57" s="1">
        <f t="shared" si="4"/>
        <v>15.5</v>
      </c>
      <c r="F57" s="1">
        <f t="shared" si="5"/>
        <v>16.5</v>
      </c>
      <c r="H57" s="11">
        <v>42209</v>
      </c>
      <c r="I57" s="25">
        <v>0</v>
      </c>
      <c r="J57" s="9">
        <v>3.5</v>
      </c>
      <c r="K57" s="9">
        <v>13</v>
      </c>
      <c r="L57" s="9">
        <v>15.5</v>
      </c>
      <c r="M57" s="9">
        <v>16.5</v>
      </c>
    </row>
    <row r="58" spans="1:13" x14ac:dyDescent="0.4">
      <c r="A58" s="16">
        <f t="shared" si="0"/>
        <v>42215</v>
      </c>
      <c r="B58" s="1">
        <f t="shared" si="1"/>
        <v>34.1</v>
      </c>
      <c r="C58" s="1">
        <f t="shared" si="2"/>
        <v>3.5</v>
      </c>
      <c r="D58" s="1">
        <f t="shared" si="3"/>
        <v>13</v>
      </c>
      <c r="E58" s="1">
        <f t="shared" si="4"/>
        <v>15.5</v>
      </c>
      <c r="F58" s="1">
        <f t="shared" si="5"/>
        <v>16.5</v>
      </c>
      <c r="H58" s="11">
        <v>42215</v>
      </c>
      <c r="I58" s="25">
        <v>34.1</v>
      </c>
      <c r="J58" s="9">
        <v>0</v>
      </c>
      <c r="K58" s="9">
        <v>0</v>
      </c>
      <c r="L58" s="9">
        <v>0</v>
      </c>
      <c r="M58" s="9">
        <v>0</v>
      </c>
    </row>
    <row r="59" spans="1:13" x14ac:dyDescent="0.4">
      <c r="A59" s="16">
        <f t="shared" si="0"/>
        <v>42216</v>
      </c>
      <c r="B59" s="1">
        <f t="shared" si="1"/>
        <v>34.1</v>
      </c>
      <c r="C59" s="1">
        <f t="shared" si="2"/>
        <v>3.5</v>
      </c>
      <c r="D59" s="1">
        <f t="shared" si="3"/>
        <v>11</v>
      </c>
      <c r="E59" s="1">
        <f t="shared" si="4"/>
        <v>18.5</v>
      </c>
      <c r="F59" s="1">
        <f t="shared" si="5"/>
        <v>18.5</v>
      </c>
      <c r="H59" s="11">
        <v>42216</v>
      </c>
      <c r="I59" s="25">
        <v>0</v>
      </c>
      <c r="J59" s="9">
        <v>3.5</v>
      </c>
      <c r="K59" s="9">
        <v>11</v>
      </c>
      <c r="L59" s="9">
        <v>18.5</v>
      </c>
      <c r="M59" s="9">
        <v>18.5</v>
      </c>
    </row>
    <row r="60" spans="1:13" x14ac:dyDescent="0.4">
      <c r="A60" s="16">
        <f t="shared" si="0"/>
        <v>42222</v>
      </c>
      <c r="B60" s="1">
        <f t="shared" si="1"/>
        <v>35.799999999999997</v>
      </c>
      <c r="C60" s="1">
        <f t="shared" si="2"/>
        <v>3.5</v>
      </c>
      <c r="D60" s="1">
        <f t="shared" si="3"/>
        <v>11</v>
      </c>
      <c r="E60" s="1">
        <f t="shared" si="4"/>
        <v>18.5</v>
      </c>
      <c r="F60" s="1">
        <f t="shared" si="5"/>
        <v>18.5</v>
      </c>
      <c r="H60" s="11">
        <v>42222</v>
      </c>
      <c r="I60" s="25">
        <v>35.799999999999997</v>
      </c>
      <c r="J60" s="9">
        <v>0</v>
      </c>
      <c r="K60" s="9">
        <v>0</v>
      </c>
      <c r="L60" s="9">
        <v>0</v>
      </c>
      <c r="M60" s="9">
        <v>0</v>
      </c>
    </row>
    <row r="61" spans="1:13" x14ac:dyDescent="0.4">
      <c r="A61" s="16">
        <f t="shared" si="0"/>
        <v>42223</v>
      </c>
      <c r="B61" s="1">
        <f t="shared" si="1"/>
        <v>35.799999999999997</v>
      </c>
      <c r="C61" s="1">
        <f t="shared" si="2"/>
        <v>3.5</v>
      </c>
      <c r="D61" s="1">
        <f t="shared" si="3"/>
        <v>12</v>
      </c>
      <c r="E61" s="1">
        <f t="shared" si="4"/>
        <v>17.5</v>
      </c>
      <c r="F61" s="1">
        <f t="shared" si="5"/>
        <v>16</v>
      </c>
      <c r="H61" s="11">
        <v>42223</v>
      </c>
      <c r="I61" s="25">
        <v>0</v>
      </c>
      <c r="J61" s="9">
        <v>3.5</v>
      </c>
      <c r="K61" s="9">
        <v>12</v>
      </c>
      <c r="L61" s="9">
        <v>17.5</v>
      </c>
      <c r="M61" s="9">
        <v>16</v>
      </c>
    </row>
    <row r="62" spans="1:13" x14ac:dyDescent="0.4">
      <c r="A62" s="16">
        <f t="shared" si="0"/>
        <v>42229</v>
      </c>
      <c r="B62" s="1">
        <f t="shared" si="1"/>
        <v>37.200000000000003</v>
      </c>
      <c r="C62" s="1">
        <f t="shared" si="2"/>
        <v>3.5</v>
      </c>
      <c r="D62" s="1">
        <f t="shared" si="3"/>
        <v>12</v>
      </c>
      <c r="E62" s="1">
        <f t="shared" si="4"/>
        <v>17.5</v>
      </c>
      <c r="F62" s="1">
        <f t="shared" si="5"/>
        <v>16</v>
      </c>
      <c r="H62" s="11">
        <v>42229</v>
      </c>
      <c r="I62" s="25">
        <v>37.200000000000003</v>
      </c>
      <c r="J62" s="9">
        <v>0</v>
      </c>
      <c r="K62" s="9">
        <v>0</v>
      </c>
      <c r="L62" s="9">
        <v>0</v>
      </c>
      <c r="M62" s="9">
        <v>0</v>
      </c>
    </row>
    <row r="63" spans="1:13" x14ac:dyDescent="0.4">
      <c r="A63" s="16">
        <f t="shared" si="0"/>
        <v>42230</v>
      </c>
      <c r="B63" s="1">
        <f t="shared" si="1"/>
        <v>37.200000000000003</v>
      </c>
      <c r="C63" s="1">
        <f t="shared" si="2"/>
        <v>2</v>
      </c>
      <c r="D63" s="1">
        <f t="shared" si="3"/>
        <v>13</v>
      </c>
      <c r="E63" s="1">
        <f t="shared" si="4"/>
        <v>16.5</v>
      </c>
      <c r="F63" s="1">
        <f t="shared" si="5"/>
        <v>18</v>
      </c>
      <c r="H63" s="11">
        <v>42230</v>
      </c>
      <c r="I63" s="25">
        <v>0</v>
      </c>
      <c r="J63" s="9">
        <v>2</v>
      </c>
      <c r="K63" s="9">
        <v>13</v>
      </c>
      <c r="L63" s="9">
        <v>16.5</v>
      </c>
      <c r="M63" s="9">
        <v>18</v>
      </c>
    </row>
    <row r="64" spans="1:13" x14ac:dyDescent="0.4">
      <c r="A64" s="16">
        <f t="shared" si="0"/>
        <v>42236</v>
      </c>
      <c r="B64" s="1">
        <f t="shared" si="1"/>
        <v>37.9</v>
      </c>
      <c r="C64" s="1">
        <f t="shared" si="2"/>
        <v>2</v>
      </c>
      <c r="D64" s="1">
        <f t="shared" si="3"/>
        <v>13</v>
      </c>
      <c r="E64" s="1">
        <f t="shared" si="4"/>
        <v>16.5</v>
      </c>
      <c r="F64" s="1">
        <f t="shared" si="5"/>
        <v>18</v>
      </c>
      <c r="H64" s="11">
        <v>42236</v>
      </c>
      <c r="I64" s="25">
        <v>37.9</v>
      </c>
      <c r="J64" s="9">
        <v>0</v>
      </c>
      <c r="K64" s="9">
        <v>0</v>
      </c>
      <c r="L64" s="9">
        <v>0</v>
      </c>
      <c r="M64" s="9">
        <v>0</v>
      </c>
    </row>
    <row r="65" spans="1:13" x14ac:dyDescent="0.4">
      <c r="A65" s="16">
        <f t="shared" si="0"/>
        <v>42237</v>
      </c>
      <c r="B65" s="1">
        <f t="shared" si="1"/>
        <v>37.9</v>
      </c>
      <c r="C65" s="1">
        <f t="shared" si="2"/>
        <v>2</v>
      </c>
      <c r="D65" s="1">
        <f t="shared" si="3"/>
        <v>10</v>
      </c>
      <c r="E65" s="1">
        <f t="shared" si="4"/>
        <v>14.5</v>
      </c>
      <c r="F65" s="1">
        <f t="shared" si="5"/>
        <v>16</v>
      </c>
      <c r="H65" s="11">
        <v>42237</v>
      </c>
      <c r="I65" s="25">
        <v>0</v>
      </c>
      <c r="J65" s="9">
        <v>2</v>
      </c>
      <c r="K65" s="9">
        <v>10</v>
      </c>
      <c r="L65" s="9">
        <v>14.5</v>
      </c>
      <c r="M65" s="9">
        <v>16</v>
      </c>
    </row>
    <row r="66" spans="1:13" x14ac:dyDescent="0.4">
      <c r="A66" s="16">
        <f t="shared" si="0"/>
        <v>42243</v>
      </c>
      <c r="B66" s="1">
        <f t="shared" si="1"/>
        <v>36.200000000000003</v>
      </c>
      <c r="C66" s="1">
        <f t="shared" si="2"/>
        <v>2</v>
      </c>
      <c r="D66" s="1">
        <f t="shared" si="3"/>
        <v>10</v>
      </c>
      <c r="E66" s="1">
        <f t="shared" si="4"/>
        <v>14.5</v>
      </c>
      <c r="F66" s="1">
        <f t="shared" si="5"/>
        <v>16</v>
      </c>
      <c r="H66" s="11">
        <v>42243</v>
      </c>
      <c r="I66" s="25">
        <v>36.200000000000003</v>
      </c>
      <c r="J66" s="9">
        <v>0</v>
      </c>
      <c r="K66" s="9">
        <v>0</v>
      </c>
      <c r="L66" s="9">
        <v>0</v>
      </c>
      <c r="M66" s="9">
        <v>0</v>
      </c>
    </row>
    <row r="67" spans="1:13" x14ac:dyDescent="0.4">
      <c r="A67" s="16">
        <f t="shared" si="0"/>
        <v>42244</v>
      </c>
      <c r="B67" s="1">
        <f t="shared" si="1"/>
        <v>36.200000000000003</v>
      </c>
      <c r="C67" s="1">
        <f t="shared" si="2"/>
        <v>3</v>
      </c>
      <c r="D67" s="1">
        <f t="shared" si="3"/>
        <v>11</v>
      </c>
      <c r="E67" s="1">
        <f t="shared" si="4"/>
        <v>16.5</v>
      </c>
      <c r="F67" s="1">
        <f t="shared" si="5"/>
        <v>17</v>
      </c>
      <c r="H67" s="11">
        <v>42244</v>
      </c>
      <c r="I67" s="25">
        <v>0</v>
      </c>
      <c r="J67" s="9">
        <v>3</v>
      </c>
      <c r="K67" s="9">
        <v>11</v>
      </c>
      <c r="L67" s="9">
        <v>16.5</v>
      </c>
      <c r="M67" s="9">
        <v>17</v>
      </c>
    </row>
    <row r="68" spans="1:13" x14ac:dyDescent="0.4">
      <c r="A68" s="16">
        <f t="shared" si="0"/>
        <v>42250</v>
      </c>
      <c r="B68" s="1">
        <f t="shared" si="1"/>
        <v>38.299999999999997</v>
      </c>
      <c r="C68" s="1">
        <f t="shared" si="2"/>
        <v>3</v>
      </c>
      <c r="D68" s="1">
        <f t="shared" si="3"/>
        <v>11</v>
      </c>
      <c r="E68" s="1">
        <f t="shared" si="4"/>
        <v>16.5</v>
      </c>
      <c r="F68" s="1">
        <f t="shared" si="5"/>
        <v>17</v>
      </c>
      <c r="H68" s="11">
        <v>42250</v>
      </c>
      <c r="I68" s="25">
        <v>38.299999999999997</v>
      </c>
      <c r="J68" s="9">
        <v>0</v>
      </c>
      <c r="K68" s="9">
        <v>0</v>
      </c>
      <c r="L68" s="9">
        <v>0</v>
      </c>
      <c r="M68" s="9">
        <v>0</v>
      </c>
    </row>
    <row r="69" spans="1:13" x14ac:dyDescent="0.4">
      <c r="A69" s="16">
        <f t="shared" si="0"/>
        <v>42251</v>
      </c>
      <c r="B69" s="1">
        <f t="shared" si="1"/>
        <v>38.299999999999997</v>
      </c>
      <c r="C69" s="1">
        <f t="shared" si="2"/>
        <v>3</v>
      </c>
      <c r="D69" s="1">
        <f t="shared" si="3"/>
        <v>11</v>
      </c>
      <c r="E69" s="1">
        <f t="shared" si="4"/>
        <v>16.5</v>
      </c>
      <c r="F69" s="1">
        <f t="shared" si="5"/>
        <v>17</v>
      </c>
      <c r="H69" s="11">
        <v>42251</v>
      </c>
      <c r="I69" s="25">
        <v>0</v>
      </c>
      <c r="J69" s="9">
        <v>3</v>
      </c>
      <c r="K69" s="9">
        <v>0</v>
      </c>
      <c r="L69" s="9">
        <v>0</v>
      </c>
      <c r="M69" s="9">
        <v>0</v>
      </c>
    </row>
    <row r="70" spans="1:13" x14ac:dyDescent="0.4">
      <c r="A70" s="16">
        <f t="shared" ref="A70:A133" si="6">H70</f>
        <v>42253</v>
      </c>
      <c r="B70" s="1">
        <f t="shared" ref="B70:B133" si="7">IF(I70&lt;&gt;0,I70,B69)</f>
        <v>38.299999999999997</v>
      </c>
      <c r="C70" s="1">
        <f t="shared" si="2"/>
        <v>3</v>
      </c>
      <c r="D70" s="1">
        <f t="shared" si="3"/>
        <v>13</v>
      </c>
      <c r="E70" s="1">
        <f t="shared" si="4"/>
        <v>17</v>
      </c>
      <c r="F70" s="1">
        <f t="shared" si="5"/>
        <v>18</v>
      </c>
      <c r="H70" s="11">
        <v>42253</v>
      </c>
      <c r="I70" s="25">
        <v>0</v>
      </c>
      <c r="J70" s="9">
        <v>0</v>
      </c>
      <c r="K70" s="9">
        <v>13</v>
      </c>
      <c r="L70" s="9">
        <v>17</v>
      </c>
      <c r="M70" s="9">
        <v>18</v>
      </c>
    </row>
    <row r="71" spans="1:13" x14ac:dyDescent="0.4">
      <c r="A71" s="16">
        <f t="shared" si="6"/>
        <v>42257</v>
      </c>
      <c r="B71" s="1">
        <f t="shared" si="7"/>
        <v>38.799999999999997</v>
      </c>
      <c r="C71" s="1">
        <f t="shared" ref="C71:C134" si="8">IF(J71&lt;&gt;0,J71,C70)</f>
        <v>3</v>
      </c>
      <c r="D71" s="1">
        <f t="shared" ref="D71:D134" si="9">IF(K71&lt;&gt;0,K71,D70)</f>
        <v>13</v>
      </c>
      <c r="E71" s="1">
        <f t="shared" ref="E71:E134" si="10">IF(L71&lt;&gt;0,L71,E70)</f>
        <v>17</v>
      </c>
      <c r="F71" s="1">
        <f t="shared" ref="F71:F134" si="11">IF(M71&lt;&gt;0,M71,F70)</f>
        <v>18</v>
      </c>
      <c r="H71" s="11">
        <v>42257</v>
      </c>
      <c r="I71" s="25">
        <v>38.799999999999997</v>
      </c>
      <c r="J71" s="9">
        <v>0</v>
      </c>
      <c r="K71" s="9">
        <v>0</v>
      </c>
      <c r="L71" s="9">
        <v>0</v>
      </c>
      <c r="M71" s="9">
        <v>0</v>
      </c>
    </row>
    <row r="72" spans="1:13" x14ac:dyDescent="0.4">
      <c r="A72" s="16">
        <f t="shared" si="6"/>
        <v>42258</v>
      </c>
      <c r="B72" s="1">
        <f t="shared" si="7"/>
        <v>38.799999999999997</v>
      </c>
      <c r="C72" s="1">
        <f t="shared" si="8"/>
        <v>2</v>
      </c>
      <c r="D72" s="1">
        <f t="shared" si="9"/>
        <v>12.5</v>
      </c>
      <c r="E72" s="1">
        <f t="shared" si="10"/>
        <v>17.5</v>
      </c>
      <c r="F72" s="1">
        <f t="shared" si="11"/>
        <v>17</v>
      </c>
      <c r="H72" s="11">
        <v>42258</v>
      </c>
      <c r="I72" s="25">
        <v>0</v>
      </c>
      <c r="J72" s="9">
        <v>2</v>
      </c>
      <c r="K72" s="9">
        <v>12.5</v>
      </c>
      <c r="L72" s="9">
        <v>17.5</v>
      </c>
      <c r="M72" s="9">
        <v>17</v>
      </c>
    </row>
    <row r="73" spans="1:13" x14ac:dyDescent="0.4">
      <c r="A73" s="16">
        <f t="shared" si="6"/>
        <v>42264</v>
      </c>
      <c r="B73" s="1">
        <f t="shared" si="7"/>
        <v>35.6</v>
      </c>
      <c r="C73" s="1">
        <f t="shared" si="8"/>
        <v>2</v>
      </c>
      <c r="D73" s="1">
        <f t="shared" si="9"/>
        <v>12.5</v>
      </c>
      <c r="E73" s="1">
        <f t="shared" si="10"/>
        <v>17.5</v>
      </c>
      <c r="F73" s="1">
        <f t="shared" si="11"/>
        <v>17</v>
      </c>
      <c r="H73" s="11">
        <v>42264</v>
      </c>
      <c r="I73" s="25">
        <v>35.6</v>
      </c>
      <c r="J73" s="9">
        <v>0</v>
      </c>
      <c r="K73" s="9">
        <v>0</v>
      </c>
      <c r="L73" s="9">
        <v>0</v>
      </c>
      <c r="M73" s="9">
        <v>0</v>
      </c>
    </row>
    <row r="74" spans="1:13" x14ac:dyDescent="0.4">
      <c r="A74" s="16">
        <f t="shared" si="6"/>
        <v>42265</v>
      </c>
      <c r="B74" s="1">
        <f t="shared" si="7"/>
        <v>35.6</v>
      </c>
      <c r="C74" s="1">
        <f t="shared" si="8"/>
        <v>2</v>
      </c>
      <c r="D74" s="1">
        <f t="shared" si="9"/>
        <v>11</v>
      </c>
      <c r="E74" s="1">
        <f t="shared" si="10"/>
        <v>16.5</v>
      </c>
      <c r="F74" s="1">
        <f t="shared" si="11"/>
        <v>16</v>
      </c>
      <c r="H74" s="11">
        <v>42265</v>
      </c>
      <c r="I74" s="25">
        <v>0</v>
      </c>
      <c r="J74" s="9">
        <v>2</v>
      </c>
      <c r="K74" s="9">
        <v>11</v>
      </c>
      <c r="L74" s="9">
        <v>16.5</v>
      </c>
      <c r="M74" s="9">
        <v>16</v>
      </c>
    </row>
    <row r="75" spans="1:13" x14ac:dyDescent="0.4">
      <c r="A75" s="16">
        <f t="shared" si="6"/>
        <v>42272</v>
      </c>
      <c r="B75" s="1">
        <f t="shared" si="7"/>
        <v>35.6</v>
      </c>
      <c r="C75" s="1">
        <f t="shared" si="8"/>
        <v>2</v>
      </c>
      <c r="D75" s="1">
        <f t="shared" si="9"/>
        <v>13</v>
      </c>
      <c r="E75" s="1">
        <f t="shared" si="10"/>
        <v>17.5</v>
      </c>
      <c r="F75" s="1">
        <f t="shared" si="11"/>
        <v>17</v>
      </c>
      <c r="H75" s="11">
        <v>42272</v>
      </c>
      <c r="I75" s="25">
        <v>0</v>
      </c>
      <c r="J75" s="9">
        <v>2</v>
      </c>
      <c r="K75" s="9">
        <v>13</v>
      </c>
      <c r="L75" s="9">
        <v>17.5</v>
      </c>
      <c r="M75" s="9">
        <v>17</v>
      </c>
    </row>
    <row r="76" spans="1:13" x14ac:dyDescent="0.4">
      <c r="A76" s="16">
        <f t="shared" si="6"/>
        <v>42276</v>
      </c>
      <c r="B76" s="1">
        <f t="shared" si="7"/>
        <v>38</v>
      </c>
      <c r="C76" s="1">
        <f t="shared" si="8"/>
        <v>2</v>
      </c>
      <c r="D76" s="1">
        <f t="shared" si="9"/>
        <v>13</v>
      </c>
      <c r="E76" s="1">
        <f t="shared" si="10"/>
        <v>17.5</v>
      </c>
      <c r="F76" s="1">
        <f t="shared" si="11"/>
        <v>17</v>
      </c>
      <c r="H76" s="11">
        <v>42276</v>
      </c>
      <c r="I76" s="25">
        <v>38</v>
      </c>
      <c r="J76" s="9">
        <v>0</v>
      </c>
      <c r="K76" s="9">
        <v>0</v>
      </c>
      <c r="L76" s="9">
        <v>0</v>
      </c>
      <c r="M76" s="9">
        <v>0</v>
      </c>
    </row>
    <row r="77" spans="1:13" x14ac:dyDescent="0.4">
      <c r="A77" s="16">
        <f t="shared" si="6"/>
        <v>42285</v>
      </c>
      <c r="B77" s="1">
        <f t="shared" si="7"/>
        <v>37.1</v>
      </c>
      <c r="C77" s="1">
        <f t="shared" si="8"/>
        <v>2</v>
      </c>
      <c r="D77" s="1">
        <f t="shared" si="9"/>
        <v>13</v>
      </c>
      <c r="E77" s="1">
        <f t="shared" si="10"/>
        <v>17.5</v>
      </c>
      <c r="F77" s="1">
        <f t="shared" si="11"/>
        <v>17</v>
      </c>
      <c r="H77" s="11">
        <v>42285</v>
      </c>
      <c r="I77" s="25">
        <v>37.1</v>
      </c>
      <c r="J77" s="9">
        <v>0</v>
      </c>
      <c r="K77" s="9">
        <v>0</v>
      </c>
      <c r="L77" s="9">
        <v>0</v>
      </c>
      <c r="M77" s="9">
        <v>0</v>
      </c>
    </row>
    <row r="78" spans="1:13" x14ac:dyDescent="0.4">
      <c r="A78" s="16">
        <f t="shared" si="6"/>
        <v>42286</v>
      </c>
      <c r="B78" s="1">
        <f t="shared" si="7"/>
        <v>37.1</v>
      </c>
      <c r="C78" s="1">
        <f t="shared" si="8"/>
        <v>2</v>
      </c>
      <c r="D78" s="1">
        <f t="shared" si="9"/>
        <v>11</v>
      </c>
      <c r="E78" s="1">
        <f t="shared" si="10"/>
        <v>16</v>
      </c>
      <c r="F78" s="1">
        <f t="shared" si="11"/>
        <v>19</v>
      </c>
      <c r="H78" s="11">
        <v>42286</v>
      </c>
      <c r="I78" s="25">
        <v>0</v>
      </c>
      <c r="J78" s="9">
        <v>2</v>
      </c>
      <c r="K78" s="9">
        <v>11</v>
      </c>
      <c r="L78" s="9">
        <v>16</v>
      </c>
      <c r="M78" s="9">
        <v>19</v>
      </c>
    </row>
    <row r="79" spans="1:13" x14ac:dyDescent="0.4">
      <c r="A79" s="16">
        <f t="shared" si="6"/>
        <v>42292</v>
      </c>
      <c r="B79" s="1">
        <f t="shared" si="7"/>
        <v>37.700000000000003</v>
      </c>
      <c r="C79" s="1">
        <f t="shared" si="8"/>
        <v>2</v>
      </c>
      <c r="D79" s="1">
        <f t="shared" si="9"/>
        <v>11</v>
      </c>
      <c r="E79" s="1">
        <f t="shared" si="10"/>
        <v>16</v>
      </c>
      <c r="F79" s="1">
        <f t="shared" si="11"/>
        <v>19</v>
      </c>
      <c r="H79" s="11">
        <v>42292</v>
      </c>
      <c r="I79" s="25">
        <v>37.700000000000003</v>
      </c>
      <c r="J79" s="9">
        <v>0</v>
      </c>
      <c r="K79" s="9">
        <v>0</v>
      </c>
      <c r="L79" s="9">
        <v>0</v>
      </c>
      <c r="M79" s="9">
        <v>0</v>
      </c>
    </row>
    <row r="80" spans="1:13" x14ac:dyDescent="0.4">
      <c r="A80" s="16">
        <f t="shared" si="6"/>
        <v>42293</v>
      </c>
      <c r="B80" s="1">
        <f t="shared" si="7"/>
        <v>37.700000000000003</v>
      </c>
      <c r="C80" s="1">
        <f t="shared" si="8"/>
        <v>2</v>
      </c>
      <c r="D80" s="1">
        <f t="shared" si="9"/>
        <v>10</v>
      </c>
      <c r="E80" s="1">
        <f t="shared" si="10"/>
        <v>16</v>
      </c>
      <c r="F80" s="1">
        <f t="shared" si="11"/>
        <v>18</v>
      </c>
      <c r="H80" s="11">
        <v>42293</v>
      </c>
      <c r="I80" s="25">
        <v>0</v>
      </c>
      <c r="J80" s="9">
        <v>2</v>
      </c>
      <c r="K80" s="9">
        <v>10</v>
      </c>
      <c r="L80" s="9">
        <v>16</v>
      </c>
      <c r="M80" s="9">
        <v>18</v>
      </c>
    </row>
    <row r="81" spans="1:13" x14ac:dyDescent="0.4">
      <c r="A81" s="16">
        <f t="shared" si="6"/>
        <v>42299</v>
      </c>
      <c r="B81" s="1">
        <f t="shared" si="7"/>
        <v>36.5</v>
      </c>
      <c r="C81" s="1">
        <f t="shared" si="8"/>
        <v>2</v>
      </c>
      <c r="D81" s="1">
        <f t="shared" si="9"/>
        <v>10</v>
      </c>
      <c r="E81" s="1">
        <f t="shared" si="10"/>
        <v>16</v>
      </c>
      <c r="F81" s="1">
        <f t="shared" si="11"/>
        <v>18</v>
      </c>
      <c r="H81" s="11">
        <v>42299</v>
      </c>
      <c r="I81" s="25">
        <v>36.5</v>
      </c>
      <c r="J81" s="9">
        <v>0</v>
      </c>
      <c r="K81" s="9">
        <v>0</v>
      </c>
      <c r="L81" s="9">
        <v>0</v>
      </c>
      <c r="M81" s="9">
        <v>0</v>
      </c>
    </row>
    <row r="82" spans="1:13" x14ac:dyDescent="0.4">
      <c r="A82" s="16">
        <f t="shared" si="6"/>
        <v>42300</v>
      </c>
      <c r="B82" s="1">
        <f t="shared" si="7"/>
        <v>36.5</v>
      </c>
      <c r="C82" s="1">
        <f t="shared" si="8"/>
        <v>2</v>
      </c>
      <c r="D82" s="1">
        <f t="shared" si="9"/>
        <v>13</v>
      </c>
      <c r="E82" s="1">
        <f t="shared" si="10"/>
        <v>18</v>
      </c>
      <c r="F82" s="1">
        <f t="shared" si="11"/>
        <v>21</v>
      </c>
      <c r="H82" s="11">
        <v>42300</v>
      </c>
      <c r="I82" s="25">
        <v>0</v>
      </c>
      <c r="J82" s="9">
        <v>2</v>
      </c>
      <c r="K82" s="9">
        <v>13</v>
      </c>
      <c r="L82" s="9">
        <v>18</v>
      </c>
      <c r="M82" s="9">
        <v>21</v>
      </c>
    </row>
    <row r="83" spans="1:13" x14ac:dyDescent="0.4">
      <c r="A83" s="16">
        <f t="shared" si="6"/>
        <v>42306</v>
      </c>
      <c r="B83" s="1">
        <f t="shared" si="7"/>
        <v>37.299999999999997</v>
      </c>
      <c r="C83" s="1">
        <f t="shared" si="8"/>
        <v>2</v>
      </c>
      <c r="D83" s="1">
        <f t="shared" si="9"/>
        <v>13</v>
      </c>
      <c r="E83" s="1">
        <f t="shared" si="10"/>
        <v>18</v>
      </c>
      <c r="F83" s="1">
        <f t="shared" si="11"/>
        <v>21</v>
      </c>
      <c r="H83" s="11">
        <v>42306</v>
      </c>
      <c r="I83" s="25">
        <v>37.299999999999997</v>
      </c>
      <c r="J83" s="9">
        <v>0</v>
      </c>
      <c r="K83" s="9">
        <v>0</v>
      </c>
      <c r="L83" s="9">
        <v>0</v>
      </c>
      <c r="M83" s="9">
        <v>0</v>
      </c>
    </row>
    <row r="84" spans="1:13" x14ac:dyDescent="0.4">
      <c r="A84" s="16">
        <f t="shared" si="6"/>
        <v>42307</v>
      </c>
      <c r="B84" s="1">
        <f t="shared" si="7"/>
        <v>37.299999999999997</v>
      </c>
      <c r="C84" s="1">
        <f t="shared" si="8"/>
        <v>2</v>
      </c>
      <c r="D84" s="1">
        <f t="shared" si="9"/>
        <v>10</v>
      </c>
      <c r="E84" s="1">
        <f t="shared" si="10"/>
        <v>17</v>
      </c>
      <c r="F84" s="1">
        <f t="shared" si="11"/>
        <v>18</v>
      </c>
      <c r="H84" s="11">
        <v>42307</v>
      </c>
      <c r="I84" s="25">
        <v>0</v>
      </c>
      <c r="J84" s="9">
        <v>2</v>
      </c>
      <c r="K84" s="9">
        <v>10</v>
      </c>
      <c r="L84" s="9">
        <v>17</v>
      </c>
      <c r="M84" s="9">
        <v>18</v>
      </c>
    </row>
    <row r="85" spans="1:13" x14ac:dyDescent="0.4">
      <c r="A85" s="16">
        <f t="shared" si="6"/>
        <v>42313</v>
      </c>
      <c r="B85" s="1">
        <f t="shared" si="7"/>
        <v>34.9</v>
      </c>
      <c r="C85" s="1">
        <f t="shared" si="8"/>
        <v>2</v>
      </c>
      <c r="D85" s="1">
        <f t="shared" si="9"/>
        <v>10</v>
      </c>
      <c r="E85" s="1">
        <f t="shared" si="10"/>
        <v>17</v>
      </c>
      <c r="F85" s="1">
        <f t="shared" si="11"/>
        <v>18</v>
      </c>
      <c r="H85" s="11">
        <v>42313</v>
      </c>
      <c r="I85" s="25">
        <v>34.9</v>
      </c>
      <c r="J85" s="9">
        <v>0</v>
      </c>
      <c r="K85" s="9">
        <v>0</v>
      </c>
      <c r="L85" s="9">
        <v>0</v>
      </c>
      <c r="M85" s="9">
        <v>0</v>
      </c>
    </row>
    <row r="86" spans="1:13" x14ac:dyDescent="0.4">
      <c r="A86" s="16">
        <f t="shared" si="6"/>
        <v>42314</v>
      </c>
      <c r="B86" s="1">
        <f t="shared" si="7"/>
        <v>34.9</v>
      </c>
      <c r="C86" s="1">
        <f t="shared" si="8"/>
        <v>2</v>
      </c>
      <c r="D86" s="1">
        <f t="shared" si="9"/>
        <v>9</v>
      </c>
      <c r="E86" s="1">
        <f t="shared" si="10"/>
        <v>16</v>
      </c>
      <c r="F86" s="1">
        <f t="shared" si="11"/>
        <v>20</v>
      </c>
      <c r="H86" s="11">
        <v>42314</v>
      </c>
      <c r="I86" s="25">
        <v>0</v>
      </c>
      <c r="J86" s="9">
        <v>2</v>
      </c>
      <c r="K86" s="9">
        <v>9</v>
      </c>
      <c r="L86" s="9">
        <v>16</v>
      </c>
      <c r="M86" s="9">
        <v>20</v>
      </c>
    </row>
    <row r="87" spans="1:13" x14ac:dyDescent="0.4">
      <c r="A87" s="16">
        <f t="shared" si="6"/>
        <v>42320</v>
      </c>
      <c r="B87" s="1">
        <f t="shared" si="7"/>
        <v>30.9</v>
      </c>
      <c r="C87" s="1">
        <f t="shared" si="8"/>
        <v>2</v>
      </c>
      <c r="D87" s="1">
        <f t="shared" si="9"/>
        <v>9</v>
      </c>
      <c r="E87" s="1">
        <f t="shared" si="10"/>
        <v>16</v>
      </c>
      <c r="F87" s="1">
        <f t="shared" si="11"/>
        <v>20</v>
      </c>
      <c r="H87" s="11">
        <v>42320</v>
      </c>
      <c r="I87" s="25">
        <v>30.9</v>
      </c>
      <c r="J87" s="9">
        <v>0</v>
      </c>
      <c r="K87" s="9">
        <v>0</v>
      </c>
      <c r="L87" s="9">
        <v>0</v>
      </c>
      <c r="M87" s="9">
        <v>0</v>
      </c>
    </row>
    <row r="88" spans="1:13" x14ac:dyDescent="0.4">
      <c r="A88" s="16">
        <f t="shared" si="6"/>
        <v>42321</v>
      </c>
      <c r="B88" s="1">
        <f t="shared" si="7"/>
        <v>30.9</v>
      </c>
      <c r="C88" s="1">
        <f t="shared" si="8"/>
        <v>2</v>
      </c>
      <c r="D88" s="1">
        <f t="shared" si="9"/>
        <v>11</v>
      </c>
      <c r="E88" s="1">
        <f t="shared" si="10"/>
        <v>18</v>
      </c>
      <c r="F88" s="1">
        <f t="shared" si="11"/>
        <v>20</v>
      </c>
      <c r="H88" s="11">
        <v>42321</v>
      </c>
      <c r="I88" s="25">
        <v>0</v>
      </c>
      <c r="J88" s="9">
        <v>2</v>
      </c>
      <c r="K88" s="9">
        <v>11</v>
      </c>
      <c r="L88" s="9">
        <v>18</v>
      </c>
      <c r="M88" s="9">
        <v>20</v>
      </c>
    </row>
    <row r="89" spans="1:13" x14ac:dyDescent="0.4">
      <c r="A89" s="16">
        <f t="shared" si="6"/>
        <v>42327</v>
      </c>
      <c r="B89" s="1">
        <f t="shared" si="7"/>
        <v>26.2</v>
      </c>
      <c r="C89" s="1">
        <f t="shared" si="8"/>
        <v>2</v>
      </c>
      <c r="D89" s="1">
        <f t="shared" si="9"/>
        <v>11</v>
      </c>
      <c r="E89" s="1">
        <f t="shared" si="10"/>
        <v>18</v>
      </c>
      <c r="F89" s="1">
        <f t="shared" si="11"/>
        <v>20</v>
      </c>
      <c r="H89" s="11">
        <v>42327</v>
      </c>
      <c r="I89" s="25">
        <v>26.2</v>
      </c>
      <c r="J89" s="9">
        <v>0</v>
      </c>
      <c r="K89" s="9">
        <v>0</v>
      </c>
      <c r="L89" s="9">
        <v>0</v>
      </c>
      <c r="M89" s="9">
        <v>0</v>
      </c>
    </row>
    <row r="90" spans="1:13" x14ac:dyDescent="0.4">
      <c r="A90" s="16">
        <f t="shared" si="6"/>
        <v>42328</v>
      </c>
      <c r="B90" s="1">
        <f t="shared" si="7"/>
        <v>26.2</v>
      </c>
      <c r="C90" s="1">
        <f t="shared" si="8"/>
        <v>2</v>
      </c>
      <c r="D90" s="1">
        <f t="shared" si="9"/>
        <v>12</v>
      </c>
      <c r="E90" s="1">
        <f t="shared" si="10"/>
        <v>19.5</v>
      </c>
      <c r="F90" s="1">
        <f t="shared" si="11"/>
        <v>21.5</v>
      </c>
      <c r="H90" s="11">
        <v>42328</v>
      </c>
      <c r="I90" s="25">
        <v>0</v>
      </c>
      <c r="J90" s="9">
        <v>2</v>
      </c>
      <c r="K90" s="9">
        <v>12</v>
      </c>
      <c r="L90" s="9">
        <v>19.5</v>
      </c>
      <c r="M90" s="9">
        <v>21.5</v>
      </c>
    </row>
    <row r="91" spans="1:13" x14ac:dyDescent="0.4">
      <c r="A91" s="16">
        <f t="shared" si="6"/>
        <v>42334</v>
      </c>
      <c r="B91" s="1">
        <f t="shared" si="7"/>
        <v>25.4</v>
      </c>
      <c r="C91" s="1">
        <f t="shared" si="8"/>
        <v>2</v>
      </c>
      <c r="D91" s="1">
        <f t="shared" si="9"/>
        <v>12</v>
      </c>
      <c r="E91" s="1">
        <f t="shared" si="10"/>
        <v>19.5</v>
      </c>
      <c r="F91" s="1">
        <f t="shared" si="11"/>
        <v>21.5</v>
      </c>
      <c r="H91" s="11">
        <v>42334</v>
      </c>
      <c r="I91" s="25">
        <v>25.4</v>
      </c>
      <c r="J91" s="9">
        <v>0</v>
      </c>
      <c r="K91" s="9">
        <v>0</v>
      </c>
      <c r="L91" s="9">
        <v>0</v>
      </c>
      <c r="M91" s="9">
        <v>0</v>
      </c>
    </row>
    <row r="92" spans="1:13" x14ac:dyDescent="0.4">
      <c r="A92" s="16">
        <f t="shared" si="6"/>
        <v>42335</v>
      </c>
      <c r="B92" s="1">
        <f t="shared" si="7"/>
        <v>25.4</v>
      </c>
      <c r="C92" s="1">
        <f t="shared" si="8"/>
        <v>2</v>
      </c>
      <c r="D92" s="1">
        <f t="shared" si="9"/>
        <v>11</v>
      </c>
      <c r="E92" s="1">
        <f t="shared" si="10"/>
        <v>18.5</v>
      </c>
      <c r="F92" s="1">
        <f t="shared" si="11"/>
        <v>21.5</v>
      </c>
      <c r="H92" s="11">
        <v>42335</v>
      </c>
      <c r="I92" s="25">
        <v>0</v>
      </c>
      <c r="J92" s="9">
        <v>2</v>
      </c>
      <c r="K92" s="9">
        <v>11</v>
      </c>
      <c r="L92" s="9">
        <v>18.5</v>
      </c>
      <c r="M92" s="9">
        <v>21.5</v>
      </c>
    </row>
    <row r="93" spans="1:13" x14ac:dyDescent="0.4">
      <c r="A93" s="16">
        <f t="shared" si="6"/>
        <v>42341</v>
      </c>
      <c r="B93" s="1">
        <f t="shared" si="7"/>
        <v>29.8</v>
      </c>
      <c r="C93" s="1">
        <f t="shared" si="8"/>
        <v>2</v>
      </c>
      <c r="D93" s="1">
        <f t="shared" si="9"/>
        <v>11</v>
      </c>
      <c r="E93" s="1">
        <f t="shared" si="10"/>
        <v>18.5</v>
      </c>
      <c r="F93" s="1">
        <f t="shared" si="11"/>
        <v>21.5</v>
      </c>
      <c r="H93" s="11">
        <v>42341</v>
      </c>
      <c r="I93" s="25">
        <v>29.8</v>
      </c>
      <c r="J93" s="9">
        <v>0</v>
      </c>
      <c r="K93" s="9">
        <v>0</v>
      </c>
      <c r="L93" s="9">
        <v>0</v>
      </c>
      <c r="M93" s="9">
        <v>0</v>
      </c>
    </row>
    <row r="94" spans="1:13" x14ac:dyDescent="0.4">
      <c r="A94" s="16">
        <f t="shared" si="6"/>
        <v>42342</v>
      </c>
      <c r="B94" s="1">
        <f t="shared" si="7"/>
        <v>29.8</v>
      </c>
      <c r="C94" s="1">
        <f t="shared" si="8"/>
        <v>1.5</v>
      </c>
      <c r="D94" s="1">
        <f t="shared" si="9"/>
        <v>10</v>
      </c>
      <c r="E94" s="1">
        <f t="shared" si="10"/>
        <v>18.5</v>
      </c>
      <c r="F94" s="1">
        <f t="shared" si="11"/>
        <v>22.5</v>
      </c>
      <c r="H94" s="11">
        <v>42342</v>
      </c>
      <c r="I94" s="25">
        <v>0</v>
      </c>
      <c r="J94" s="9">
        <v>1.5</v>
      </c>
      <c r="K94" s="9">
        <v>10</v>
      </c>
      <c r="L94" s="9">
        <v>18.5</v>
      </c>
      <c r="M94" s="9">
        <v>22.5</v>
      </c>
    </row>
    <row r="95" spans="1:13" x14ac:dyDescent="0.4">
      <c r="A95" s="16">
        <f t="shared" si="6"/>
        <v>42348</v>
      </c>
      <c r="B95" s="1">
        <f t="shared" si="7"/>
        <v>31.2</v>
      </c>
      <c r="C95" s="1">
        <f t="shared" si="8"/>
        <v>1.5</v>
      </c>
      <c r="D95" s="1">
        <f t="shared" si="9"/>
        <v>10</v>
      </c>
      <c r="E95" s="1">
        <f t="shared" si="10"/>
        <v>18.5</v>
      </c>
      <c r="F95" s="1">
        <f t="shared" si="11"/>
        <v>22.5</v>
      </c>
      <c r="H95" s="11">
        <v>42348</v>
      </c>
      <c r="I95" s="25">
        <v>31.2</v>
      </c>
      <c r="J95" s="9">
        <v>0</v>
      </c>
      <c r="K95" s="9">
        <v>0</v>
      </c>
      <c r="L95" s="9">
        <v>0</v>
      </c>
      <c r="M95" s="9">
        <v>0</v>
      </c>
    </row>
    <row r="96" spans="1:13" x14ac:dyDescent="0.4">
      <c r="A96" s="16">
        <f t="shared" si="6"/>
        <v>42349</v>
      </c>
      <c r="B96" s="1">
        <f t="shared" si="7"/>
        <v>31.2</v>
      </c>
      <c r="C96" s="1">
        <f t="shared" si="8"/>
        <v>1.5</v>
      </c>
      <c r="D96" s="1">
        <f t="shared" si="9"/>
        <v>12</v>
      </c>
      <c r="E96" s="1">
        <f t="shared" si="10"/>
        <v>19</v>
      </c>
      <c r="F96" s="1">
        <f t="shared" si="11"/>
        <v>22.5</v>
      </c>
      <c r="H96" s="11">
        <v>42349</v>
      </c>
      <c r="I96" s="25">
        <v>0</v>
      </c>
      <c r="J96" s="9">
        <v>1.5</v>
      </c>
      <c r="K96" s="9">
        <v>12</v>
      </c>
      <c r="L96" s="9">
        <v>19</v>
      </c>
      <c r="M96" s="9">
        <v>22.5</v>
      </c>
    </row>
    <row r="97" spans="1:13" x14ac:dyDescent="0.4">
      <c r="A97" s="16">
        <f t="shared" si="6"/>
        <v>42355</v>
      </c>
      <c r="B97" s="1">
        <f t="shared" si="7"/>
        <v>31</v>
      </c>
      <c r="C97" s="1">
        <f t="shared" si="8"/>
        <v>1.5</v>
      </c>
      <c r="D97" s="1">
        <f t="shared" si="9"/>
        <v>12</v>
      </c>
      <c r="E97" s="1">
        <f t="shared" si="10"/>
        <v>19</v>
      </c>
      <c r="F97" s="1">
        <f t="shared" si="11"/>
        <v>22.5</v>
      </c>
      <c r="H97" s="11">
        <v>42355</v>
      </c>
      <c r="I97" s="25">
        <v>31</v>
      </c>
      <c r="J97" s="9">
        <v>0</v>
      </c>
      <c r="K97" s="9">
        <v>0</v>
      </c>
      <c r="L97" s="9">
        <v>0</v>
      </c>
      <c r="M97" s="9">
        <v>0</v>
      </c>
    </row>
    <row r="98" spans="1:13" x14ac:dyDescent="0.4">
      <c r="A98" s="16">
        <f t="shared" si="6"/>
        <v>42356</v>
      </c>
      <c r="B98" s="1">
        <f t="shared" si="7"/>
        <v>31</v>
      </c>
      <c r="C98" s="1">
        <f t="shared" si="8"/>
        <v>2</v>
      </c>
      <c r="D98" s="1">
        <f t="shared" si="9"/>
        <v>14</v>
      </c>
      <c r="E98" s="1">
        <f t="shared" si="10"/>
        <v>19.5</v>
      </c>
      <c r="F98" s="1">
        <f t="shared" si="11"/>
        <v>22</v>
      </c>
      <c r="H98" s="11">
        <v>42356</v>
      </c>
      <c r="I98" s="25">
        <v>0</v>
      </c>
      <c r="J98" s="9">
        <v>2</v>
      </c>
      <c r="K98" s="9">
        <v>14</v>
      </c>
      <c r="L98" s="9">
        <v>19.5</v>
      </c>
      <c r="M98" s="9">
        <v>22</v>
      </c>
    </row>
    <row r="99" spans="1:13" x14ac:dyDescent="0.4">
      <c r="A99" s="16">
        <f t="shared" si="6"/>
        <v>42362</v>
      </c>
      <c r="B99" s="1">
        <f t="shared" si="7"/>
        <v>31.3</v>
      </c>
      <c r="C99" s="1">
        <f t="shared" si="8"/>
        <v>2</v>
      </c>
      <c r="D99" s="1">
        <f t="shared" si="9"/>
        <v>14</v>
      </c>
      <c r="E99" s="1">
        <f t="shared" si="10"/>
        <v>19.5</v>
      </c>
      <c r="F99" s="1">
        <f t="shared" si="11"/>
        <v>22</v>
      </c>
      <c r="H99" s="11">
        <v>42362</v>
      </c>
      <c r="I99" s="25">
        <v>31.3</v>
      </c>
      <c r="J99" s="9">
        <v>0</v>
      </c>
      <c r="K99" s="9">
        <v>0</v>
      </c>
      <c r="L99" s="9">
        <v>0</v>
      </c>
      <c r="M99" s="9">
        <v>0</v>
      </c>
    </row>
    <row r="100" spans="1:13" x14ac:dyDescent="0.4">
      <c r="A100" s="16">
        <f t="shared" si="6"/>
        <v>42363</v>
      </c>
      <c r="B100" s="1">
        <f t="shared" si="7"/>
        <v>31.3</v>
      </c>
      <c r="C100" s="1">
        <f t="shared" si="8"/>
        <v>2</v>
      </c>
      <c r="D100" s="1">
        <f t="shared" si="9"/>
        <v>13</v>
      </c>
      <c r="E100" s="1">
        <f t="shared" si="10"/>
        <v>18.5</v>
      </c>
      <c r="F100" s="1">
        <f t="shared" si="11"/>
        <v>19.5</v>
      </c>
      <c r="H100" s="11">
        <v>42363</v>
      </c>
      <c r="I100" s="25">
        <v>0</v>
      </c>
      <c r="J100" s="9">
        <v>2</v>
      </c>
      <c r="K100" s="9">
        <v>13</v>
      </c>
      <c r="L100" s="9">
        <v>18.5</v>
      </c>
      <c r="M100" s="9">
        <v>19.5</v>
      </c>
    </row>
    <row r="101" spans="1:13" x14ac:dyDescent="0.4">
      <c r="A101" s="16">
        <f t="shared" si="6"/>
        <v>42369</v>
      </c>
      <c r="B101" s="1">
        <f t="shared" si="7"/>
        <v>29.9</v>
      </c>
      <c r="C101" s="1">
        <f t="shared" si="8"/>
        <v>2</v>
      </c>
      <c r="D101" s="1">
        <f t="shared" si="9"/>
        <v>13</v>
      </c>
      <c r="E101" s="1">
        <f t="shared" si="10"/>
        <v>15.5</v>
      </c>
      <c r="F101" s="1">
        <f t="shared" si="11"/>
        <v>18.5</v>
      </c>
      <c r="H101" s="11">
        <v>42369</v>
      </c>
      <c r="I101" s="25">
        <v>29.9</v>
      </c>
      <c r="J101" s="9">
        <v>2</v>
      </c>
      <c r="K101" s="9">
        <v>13</v>
      </c>
      <c r="L101" s="9">
        <v>15.5</v>
      </c>
      <c r="M101" s="9">
        <v>18.5</v>
      </c>
    </row>
    <row r="102" spans="1:13" x14ac:dyDescent="0.4">
      <c r="A102" s="16">
        <f t="shared" si="6"/>
        <v>42376</v>
      </c>
      <c r="B102" s="1">
        <f t="shared" si="7"/>
        <v>26.2</v>
      </c>
      <c r="C102" s="1">
        <f t="shared" si="8"/>
        <v>2</v>
      </c>
      <c r="D102" s="1">
        <f t="shared" si="9"/>
        <v>13</v>
      </c>
      <c r="E102" s="1">
        <f t="shared" si="10"/>
        <v>15.5</v>
      </c>
      <c r="F102" s="1">
        <f t="shared" si="11"/>
        <v>18.5</v>
      </c>
      <c r="H102" s="11">
        <v>42376</v>
      </c>
      <c r="I102" s="25">
        <v>26.2</v>
      </c>
      <c r="J102" s="9">
        <v>0</v>
      </c>
      <c r="K102" s="9">
        <v>0</v>
      </c>
      <c r="L102" s="9">
        <v>0</v>
      </c>
      <c r="M102" s="9">
        <v>0</v>
      </c>
    </row>
    <row r="103" spans="1:13" x14ac:dyDescent="0.4">
      <c r="A103" s="16">
        <f t="shared" si="6"/>
        <v>42377</v>
      </c>
      <c r="B103" s="1">
        <f t="shared" si="7"/>
        <v>26.2</v>
      </c>
      <c r="C103" s="1">
        <f t="shared" si="8"/>
        <v>2.5</v>
      </c>
      <c r="D103" s="1">
        <f t="shared" si="9"/>
        <v>11</v>
      </c>
      <c r="E103" s="1">
        <f t="shared" si="10"/>
        <v>15.5</v>
      </c>
      <c r="F103" s="1">
        <f t="shared" si="11"/>
        <v>18.5</v>
      </c>
      <c r="H103" s="11">
        <v>42377</v>
      </c>
      <c r="I103" s="25">
        <v>0</v>
      </c>
      <c r="J103" s="9">
        <v>2.5</v>
      </c>
      <c r="K103" s="9">
        <v>11</v>
      </c>
      <c r="L103" s="9">
        <v>15.5</v>
      </c>
      <c r="M103" s="9">
        <v>18.5</v>
      </c>
    </row>
    <row r="104" spans="1:13" x14ac:dyDescent="0.4">
      <c r="A104" s="16">
        <f t="shared" si="6"/>
        <v>42383</v>
      </c>
      <c r="B104" s="1">
        <f t="shared" si="7"/>
        <v>30.1</v>
      </c>
      <c r="C104" s="1">
        <f t="shared" si="8"/>
        <v>2.5</v>
      </c>
      <c r="D104" s="1">
        <f t="shared" si="9"/>
        <v>11</v>
      </c>
      <c r="E104" s="1">
        <f t="shared" si="10"/>
        <v>15.5</v>
      </c>
      <c r="F104" s="1">
        <f t="shared" si="11"/>
        <v>18.5</v>
      </c>
      <c r="H104" s="11">
        <v>42383</v>
      </c>
      <c r="I104" s="25">
        <v>30.1</v>
      </c>
      <c r="J104" s="9">
        <v>0</v>
      </c>
      <c r="K104" s="9">
        <v>0</v>
      </c>
      <c r="L104" s="9">
        <v>0</v>
      </c>
      <c r="M104" s="9">
        <v>0</v>
      </c>
    </row>
    <row r="105" spans="1:13" x14ac:dyDescent="0.4">
      <c r="A105" s="16">
        <f t="shared" si="6"/>
        <v>42384</v>
      </c>
      <c r="B105" s="1">
        <f t="shared" si="7"/>
        <v>30.1</v>
      </c>
      <c r="C105" s="1">
        <f t="shared" si="8"/>
        <v>2.5</v>
      </c>
      <c r="D105" s="1">
        <f t="shared" si="9"/>
        <v>10.5</v>
      </c>
      <c r="E105" s="1">
        <f t="shared" si="10"/>
        <v>14.5</v>
      </c>
      <c r="F105" s="1">
        <f t="shared" si="11"/>
        <v>19</v>
      </c>
      <c r="H105" s="11">
        <v>42384</v>
      </c>
      <c r="I105" s="25">
        <v>0</v>
      </c>
      <c r="J105" s="9">
        <v>2.5</v>
      </c>
      <c r="K105" s="9">
        <v>10.5</v>
      </c>
      <c r="L105" s="9">
        <v>14.5</v>
      </c>
      <c r="M105" s="9">
        <v>19</v>
      </c>
    </row>
    <row r="106" spans="1:13" x14ac:dyDescent="0.4">
      <c r="A106" s="16">
        <f t="shared" si="6"/>
        <v>42390</v>
      </c>
      <c r="B106" s="1">
        <f t="shared" si="7"/>
        <v>32.799999999999997</v>
      </c>
      <c r="C106" s="1">
        <f t="shared" si="8"/>
        <v>2.5</v>
      </c>
      <c r="D106" s="1">
        <f t="shared" si="9"/>
        <v>10.5</v>
      </c>
      <c r="E106" s="1">
        <f t="shared" si="10"/>
        <v>14.5</v>
      </c>
      <c r="F106" s="1">
        <f t="shared" si="11"/>
        <v>19</v>
      </c>
      <c r="H106" s="11">
        <v>42390</v>
      </c>
      <c r="I106" s="25">
        <v>32.799999999999997</v>
      </c>
      <c r="J106" s="9">
        <v>0</v>
      </c>
      <c r="K106" s="9">
        <v>0</v>
      </c>
      <c r="L106" s="9">
        <v>0</v>
      </c>
      <c r="M106" s="9">
        <v>0</v>
      </c>
    </row>
    <row r="107" spans="1:13" x14ac:dyDescent="0.4">
      <c r="A107" s="16">
        <f t="shared" si="6"/>
        <v>42391</v>
      </c>
      <c r="B107" s="1">
        <f t="shared" si="7"/>
        <v>32.799999999999997</v>
      </c>
      <c r="C107" s="1">
        <f t="shared" si="8"/>
        <v>2.5</v>
      </c>
      <c r="D107" s="1">
        <f t="shared" si="9"/>
        <v>11.5</v>
      </c>
      <c r="E107" s="1">
        <f t="shared" si="10"/>
        <v>15</v>
      </c>
      <c r="F107" s="1">
        <f t="shared" si="11"/>
        <v>20</v>
      </c>
      <c r="H107" s="11">
        <v>42391</v>
      </c>
      <c r="I107" s="25">
        <v>0</v>
      </c>
      <c r="J107" s="9">
        <v>2.5</v>
      </c>
      <c r="K107" s="9">
        <v>11.5</v>
      </c>
      <c r="L107" s="9">
        <v>15</v>
      </c>
      <c r="M107" s="9">
        <v>20</v>
      </c>
    </row>
    <row r="108" spans="1:13" x14ac:dyDescent="0.4">
      <c r="A108" s="16">
        <f t="shared" si="6"/>
        <v>42397</v>
      </c>
      <c r="B108" s="1">
        <f t="shared" si="7"/>
        <v>33.1</v>
      </c>
      <c r="C108" s="1">
        <f t="shared" si="8"/>
        <v>2.5</v>
      </c>
      <c r="D108" s="1">
        <f t="shared" si="9"/>
        <v>11.5</v>
      </c>
      <c r="E108" s="1">
        <f t="shared" si="10"/>
        <v>15</v>
      </c>
      <c r="F108" s="1">
        <f t="shared" si="11"/>
        <v>20</v>
      </c>
      <c r="H108" s="11">
        <v>42397</v>
      </c>
      <c r="I108" s="25">
        <v>33.1</v>
      </c>
      <c r="J108" s="9">
        <v>0</v>
      </c>
      <c r="K108" s="9">
        <v>0</v>
      </c>
      <c r="L108" s="9">
        <v>0</v>
      </c>
      <c r="M108" s="9">
        <v>0</v>
      </c>
    </row>
    <row r="109" spans="1:13" x14ac:dyDescent="0.4">
      <c r="A109" s="16">
        <f t="shared" si="6"/>
        <v>42398</v>
      </c>
      <c r="B109" s="1">
        <f t="shared" si="7"/>
        <v>33.1</v>
      </c>
      <c r="C109" s="1">
        <f t="shared" si="8"/>
        <v>3</v>
      </c>
      <c r="D109" s="1">
        <f t="shared" si="9"/>
        <v>12</v>
      </c>
      <c r="E109" s="1">
        <f t="shared" si="10"/>
        <v>15</v>
      </c>
      <c r="F109" s="1">
        <f t="shared" si="11"/>
        <v>19</v>
      </c>
      <c r="H109" s="11">
        <v>42398</v>
      </c>
      <c r="I109" s="25">
        <v>0</v>
      </c>
      <c r="J109" s="9">
        <v>3</v>
      </c>
      <c r="K109" s="9">
        <v>12</v>
      </c>
      <c r="L109" s="9">
        <v>15</v>
      </c>
      <c r="M109" s="9">
        <v>19</v>
      </c>
    </row>
    <row r="110" spans="1:13" x14ac:dyDescent="0.4">
      <c r="A110" s="16">
        <f t="shared" si="6"/>
        <v>42404</v>
      </c>
      <c r="B110" s="1">
        <f t="shared" si="7"/>
        <v>31.4</v>
      </c>
      <c r="C110" s="1">
        <f t="shared" si="8"/>
        <v>3</v>
      </c>
      <c r="D110" s="1">
        <f t="shared" si="9"/>
        <v>12</v>
      </c>
      <c r="E110" s="1">
        <f t="shared" si="10"/>
        <v>15</v>
      </c>
      <c r="F110" s="1">
        <f t="shared" si="11"/>
        <v>19</v>
      </c>
      <c r="H110" s="11">
        <v>42404</v>
      </c>
      <c r="I110" s="25">
        <v>31.4</v>
      </c>
      <c r="J110" s="9">
        <v>0</v>
      </c>
      <c r="K110" s="9">
        <v>0</v>
      </c>
      <c r="L110" s="9">
        <v>0</v>
      </c>
      <c r="M110" s="9">
        <v>0</v>
      </c>
    </row>
    <row r="111" spans="1:13" x14ac:dyDescent="0.4">
      <c r="A111" s="16">
        <f t="shared" si="6"/>
        <v>42405</v>
      </c>
      <c r="B111" s="1">
        <f t="shared" si="7"/>
        <v>31.4</v>
      </c>
      <c r="C111" s="1">
        <f t="shared" si="8"/>
        <v>3</v>
      </c>
      <c r="D111" s="1">
        <f t="shared" si="9"/>
        <v>14</v>
      </c>
      <c r="E111" s="1">
        <f t="shared" si="10"/>
        <v>18</v>
      </c>
      <c r="F111" s="1">
        <f t="shared" si="11"/>
        <v>21.5</v>
      </c>
      <c r="H111" s="11">
        <v>42405</v>
      </c>
      <c r="I111" s="25">
        <v>0</v>
      </c>
      <c r="J111" s="9">
        <v>0</v>
      </c>
      <c r="K111" s="9">
        <v>14</v>
      </c>
      <c r="L111" s="9">
        <v>18</v>
      </c>
      <c r="M111" s="9">
        <v>21.5</v>
      </c>
    </row>
    <row r="112" spans="1:13" x14ac:dyDescent="0.4">
      <c r="A112" s="16">
        <f t="shared" si="6"/>
        <v>42418</v>
      </c>
      <c r="B112" s="1">
        <f t="shared" si="7"/>
        <v>34.200000000000003</v>
      </c>
      <c r="C112" s="1">
        <f t="shared" si="8"/>
        <v>3</v>
      </c>
      <c r="D112" s="1">
        <f t="shared" si="9"/>
        <v>14</v>
      </c>
      <c r="E112" s="1">
        <f t="shared" si="10"/>
        <v>18</v>
      </c>
      <c r="F112" s="1">
        <f t="shared" si="11"/>
        <v>21.5</v>
      </c>
      <c r="H112" s="11">
        <v>42418</v>
      </c>
      <c r="I112" s="25">
        <v>34.200000000000003</v>
      </c>
      <c r="J112" s="9">
        <v>0</v>
      </c>
      <c r="K112" s="9">
        <v>0</v>
      </c>
      <c r="L112" s="9">
        <v>0</v>
      </c>
      <c r="M112" s="9">
        <v>0</v>
      </c>
    </row>
    <row r="113" spans="1:13" x14ac:dyDescent="0.4">
      <c r="A113" s="16">
        <f t="shared" si="6"/>
        <v>42419</v>
      </c>
      <c r="B113" s="1">
        <f t="shared" si="7"/>
        <v>34.200000000000003</v>
      </c>
      <c r="C113" s="1">
        <f t="shared" si="8"/>
        <v>2</v>
      </c>
      <c r="D113" s="1">
        <f t="shared" si="9"/>
        <v>20.5</v>
      </c>
      <c r="E113" s="1">
        <f t="shared" si="10"/>
        <v>20</v>
      </c>
      <c r="F113" s="1">
        <f t="shared" si="11"/>
        <v>28.5</v>
      </c>
      <c r="H113" s="11">
        <v>42419</v>
      </c>
      <c r="I113" s="25">
        <v>0</v>
      </c>
      <c r="J113" s="9">
        <v>2</v>
      </c>
      <c r="K113" s="9">
        <v>20.5</v>
      </c>
      <c r="L113" s="9">
        <v>20</v>
      </c>
      <c r="M113" s="9">
        <v>28.5</v>
      </c>
    </row>
    <row r="114" spans="1:13" x14ac:dyDescent="0.4">
      <c r="A114" s="16">
        <f t="shared" si="6"/>
        <v>42424</v>
      </c>
      <c r="B114" s="1">
        <f t="shared" si="7"/>
        <v>33.6</v>
      </c>
      <c r="C114" s="1">
        <f t="shared" si="8"/>
        <v>2</v>
      </c>
      <c r="D114" s="1">
        <f t="shared" si="9"/>
        <v>20.5</v>
      </c>
      <c r="E114" s="1">
        <f t="shared" si="10"/>
        <v>20</v>
      </c>
      <c r="F114" s="1">
        <f t="shared" si="11"/>
        <v>28.5</v>
      </c>
      <c r="H114" s="11">
        <v>42424</v>
      </c>
      <c r="I114" s="25">
        <v>33.6</v>
      </c>
      <c r="J114" s="9">
        <v>0</v>
      </c>
      <c r="K114" s="9">
        <v>0</v>
      </c>
      <c r="L114" s="9">
        <v>0</v>
      </c>
      <c r="M114" s="9">
        <v>0</v>
      </c>
    </row>
    <row r="115" spans="1:13" x14ac:dyDescent="0.4">
      <c r="A115" s="16">
        <f t="shared" si="6"/>
        <v>42426</v>
      </c>
      <c r="B115" s="1">
        <f t="shared" si="7"/>
        <v>33.6</v>
      </c>
      <c r="C115" s="1">
        <f t="shared" si="8"/>
        <v>2.5</v>
      </c>
      <c r="D115" s="1">
        <f t="shared" si="9"/>
        <v>20</v>
      </c>
      <c r="E115" s="1">
        <f t="shared" si="10"/>
        <v>19</v>
      </c>
      <c r="F115" s="1">
        <f t="shared" si="11"/>
        <v>27.5</v>
      </c>
      <c r="H115" s="11">
        <v>42426</v>
      </c>
      <c r="I115" s="25">
        <v>0</v>
      </c>
      <c r="J115" s="9">
        <v>2.5</v>
      </c>
      <c r="K115" s="9">
        <v>20</v>
      </c>
      <c r="L115" s="9">
        <v>19</v>
      </c>
      <c r="M115" s="9">
        <v>27.5</v>
      </c>
    </row>
    <row r="116" spans="1:13" x14ac:dyDescent="0.4">
      <c r="A116" s="16">
        <f t="shared" si="6"/>
        <v>42432</v>
      </c>
      <c r="B116" s="1">
        <f t="shared" si="7"/>
        <v>32.1</v>
      </c>
      <c r="C116" s="1">
        <f t="shared" si="8"/>
        <v>2.5</v>
      </c>
      <c r="D116" s="1">
        <f t="shared" si="9"/>
        <v>20</v>
      </c>
      <c r="E116" s="1">
        <f t="shared" si="10"/>
        <v>19</v>
      </c>
      <c r="F116" s="1">
        <f t="shared" si="11"/>
        <v>27.5</v>
      </c>
      <c r="H116" s="11">
        <v>42432</v>
      </c>
      <c r="I116" s="25">
        <v>32.1</v>
      </c>
      <c r="J116" s="9">
        <v>0</v>
      </c>
      <c r="K116" s="9">
        <v>0</v>
      </c>
      <c r="L116" s="9">
        <v>0</v>
      </c>
      <c r="M116" s="9">
        <v>0</v>
      </c>
    </row>
    <row r="117" spans="1:13" x14ac:dyDescent="0.4">
      <c r="A117" s="16">
        <f t="shared" si="6"/>
        <v>42433</v>
      </c>
      <c r="B117" s="1">
        <f t="shared" si="7"/>
        <v>32.1</v>
      </c>
      <c r="C117" s="1">
        <f t="shared" si="8"/>
        <v>1.5</v>
      </c>
      <c r="D117" s="1">
        <f t="shared" si="9"/>
        <v>18.5</v>
      </c>
      <c r="E117" s="1">
        <f t="shared" si="10"/>
        <v>15</v>
      </c>
      <c r="F117" s="1">
        <f t="shared" si="11"/>
        <v>25</v>
      </c>
      <c r="H117" s="11">
        <v>42433</v>
      </c>
      <c r="I117" s="25">
        <v>0</v>
      </c>
      <c r="J117" s="9">
        <v>1.5</v>
      </c>
      <c r="K117" s="9">
        <v>18.5</v>
      </c>
      <c r="L117" s="9">
        <v>15</v>
      </c>
      <c r="M117" s="9">
        <v>25</v>
      </c>
    </row>
    <row r="118" spans="1:13" x14ac:dyDescent="0.4">
      <c r="A118" s="16">
        <f t="shared" si="6"/>
        <v>42439</v>
      </c>
      <c r="B118" s="1">
        <f t="shared" si="7"/>
        <v>30.9</v>
      </c>
      <c r="C118" s="1">
        <f t="shared" si="8"/>
        <v>1.5</v>
      </c>
      <c r="D118" s="1">
        <f t="shared" si="9"/>
        <v>18.5</v>
      </c>
      <c r="E118" s="1">
        <f t="shared" si="10"/>
        <v>15</v>
      </c>
      <c r="F118" s="1">
        <f t="shared" si="11"/>
        <v>25</v>
      </c>
      <c r="H118" s="11">
        <v>42439</v>
      </c>
      <c r="I118" s="25">
        <v>30.9</v>
      </c>
      <c r="J118" s="9">
        <v>0</v>
      </c>
      <c r="K118" s="9">
        <v>0</v>
      </c>
      <c r="L118" s="9">
        <v>0</v>
      </c>
      <c r="M118" s="9">
        <v>0</v>
      </c>
    </row>
    <row r="119" spans="1:13" x14ac:dyDescent="0.4">
      <c r="A119" s="16">
        <f t="shared" si="6"/>
        <v>42440</v>
      </c>
      <c r="B119" s="1">
        <f t="shared" si="7"/>
        <v>30.9</v>
      </c>
      <c r="C119" s="1">
        <f t="shared" si="8"/>
        <v>1.5</v>
      </c>
      <c r="D119" s="1">
        <f t="shared" si="9"/>
        <v>15</v>
      </c>
      <c r="E119" s="1">
        <f t="shared" si="10"/>
        <v>11.5</v>
      </c>
      <c r="F119" s="1">
        <f t="shared" si="11"/>
        <v>22.5</v>
      </c>
      <c r="H119" s="11">
        <v>42440</v>
      </c>
      <c r="I119" s="25">
        <v>0</v>
      </c>
      <c r="J119" s="9">
        <v>1.5</v>
      </c>
      <c r="K119" s="9">
        <v>15</v>
      </c>
      <c r="L119" s="9">
        <v>11.5</v>
      </c>
      <c r="M119" s="9">
        <v>22.5</v>
      </c>
    </row>
    <row r="120" spans="1:13" x14ac:dyDescent="0.4">
      <c r="A120" s="16">
        <f t="shared" si="6"/>
        <v>42446</v>
      </c>
      <c r="B120" s="1">
        <f t="shared" si="7"/>
        <v>35.1</v>
      </c>
      <c r="C120" s="1">
        <f t="shared" si="8"/>
        <v>1.5</v>
      </c>
      <c r="D120" s="1">
        <f t="shared" si="9"/>
        <v>15</v>
      </c>
      <c r="E120" s="1">
        <f t="shared" si="10"/>
        <v>11.5</v>
      </c>
      <c r="F120" s="1">
        <f t="shared" si="11"/>
        <v>22.5</v>
      </c>
      <c r="H120" s="11">
        <v>42446</v>
      </c>
      <c r="I120" s="25">
        <v>35.1</v>
      </c>
      <c r="J120" s="9">
        <v>0</v>
      </c>
      <c r="K120" s="9">
        <v>0</v>
      </c>
      <c r="L120" s="9">
        <v>0</v>
      </c>
      <c r="M120" s="9">
        <v>0</v>
      </c>
    </row>
    <row r="121" spans="1:13" x14ac:dyDescent="0.4">
      <c r="A121" s="16">
        <f t="shared" si="6"/>
        <v>42447</v>
      </c>
      <c r="B121" s="1">
        <f t="shared" si="7"/>
        <v>35.1</v>
      </c>
      <c r="C121" s="1">
        <f t="shared" si="8"/>
        <v>1.5</v>
      </c>
      <c r="D121" s="1">
        <f t="shared" si="9"/>
        <v>16</v>
      </c>
      <c r="E121" s="1">
        <f t="shared" si="10"/>
        <v>14</v>
      </c>
      <c r="F121" s="1">
        <f t="shared" si="11"/>
        <v>22.5</v>
      </c>
      <c r="H121" s="11">
        <v>42447</v>
      </c>
      <c r="I121" s="25">
        <v>0</v>
      </c>
      <c r="J121" s="9">
        <v>1.5</v>
      </c>
      <c r="K121" s="9">
        <v>16</v>
      </c>
      <c r="L121" s="9">
        <v>14</v>
      </c>
      <c r="M121" s="9">
        <v>22.5</v>
      </c>
    </row>
    <row r="122" spans="1:13" x14ac:dyDescent="0.4">
      <c r="A122" s="16">
        <f t="shared" si="6"/>
        <v>42453</v>
      </c>
      <c r="B122" s="1">
        <f t="shared" si="7"/>
        <v>36.9</v>
      </c>
      <c r="C122" s="1">
        <f t="shared" si="8"/>
        <v>1.5</v>
      </c>
      <c r="D122" s="1">
        <f t="shared" si="9"/>
        <v>16</v>
      </c>
      <c r="E122" s="1">
        <f t="shared" si="10"/>
        <v>14</v>
      </c>
      <c r="F122" s="1">
        <f t="shared" si="11"/>
        <v>22.5</v>
      </c>
      <c r="H122" s="11">
        <v>42453</v>
      </c>
      <c r="I122" s="25">
        <v>36.9</v>
      </c>
      <c r="J122" s="9">
        <v>0</v>
      </c>
      <c r="K122" s="9">
        <v>0</v>
      </c>
      <c r="L122" s="9">
        <v>0</v>
      </c>
      <c r="M122" s="9">
        <v>0</v>
      </c>
    </row>
    <row r="123" spans="1:13" x14ac:dyDescent="0.4">
      <c r="A123" s="16">
        <f t="shared" si="6"/>
        <v>42454</v>
      </c>
      <c r="B123" s="1">
        <f t="shared" si="7"/>
        <v>36.9</v>
      </c>
      <c r="C123" s="1">
        <f t="shared" si="8"/>
        <v>1.5</v>
      </c>
      <c r="D123" s="1">
        <f t="shared" si="9"/>
        <v>15</v>
      </c>
      <c r="E123" s="1">
        <f t="shared" si="10"/>
        <v>15</v>
      </c>
      <c r="F123" s="1">
        <f t="shared" si="11"/>
        <v>22.5</v>
      </c>
      <c r="H123" s="11">
        <v>42454</v>
      </c>
      <c r="I123" s="25">
        <v>0</v>
      </c>
      <c r="J123" s="9">
        <v>1.5</v>
      </c>
      <c r="K123" s="9">
        <v>15</v>
      </c>
      <c r="L123" s="9">
        <v>15</v>
      </c>
      <c r="M123" s="9">
        <v>22.5</v>
      </c>
    </row>
    <row r="124" spans="1:13" x14ac:dyDescent="0.4">
      <c r="A124" s="16">
        <f t="shared" si="6"/>
        <v>42460</v>
      </c>
      <c r="B124" s="1">
        <f t="shared" si="7"/>
        <v>41</v>
      </c>
      <c r="C124" s="1">
        <f t="shared" si="8"/>
        <v>1.5</v>
      </c>
      <c r="D124" s="1">
        <f t="shared" si="9"/>
        <v>15</v>
      </c>
      <c r="E124" s="1">
        <f t="shared" si="10"/>
        <v>15</v>
      </c>
      <c r="F124" s="1">
        <f t="shared" si="11"/>
        <v>22.5</v>
      </c>
      <c r="H124" s="11">
        <v>42460</v>
      </c>
      <c r="I124" s="25">
        <v>41</v>
      </c>
      <c r="J124" s="9">
        <v>0</v>
      </c>
      <c r="K124" s="9">
        <v>0</v>
      </c>
      <c r="L124" s="9">
        <v>0</v>
      </c>
      <c r="M124" s="9">
        <v>0</v>
      </c>
    </row>
    <row r="125" spans="1:13" x14ac:dyDescent="0.4">
      <c r="A125" s="16">
        <f t="shared" si="6"/>
        <v>42461</v>
      </c>
      <c r="B125" s="1">
        <f t="shared" si="7"/>
        <v>41</v>
      </c>
      <c r="C125" s="1">
        <f t="shared" si="8"/>
        <v>1.5</v>
      </c>
      <c r="D125" s="1">
        <f t="shared" si="9"/>
        <v>15.5</v>
      </c>
      <c r="E125" s="1">
        <f t="shared" si="10"/>
        <v>16.5</v>
      </c>
      <c r="F125" s="1">
        <f t="shared" si="11"/>
        <v>26.8</v>
      </c>
      <c r="H125" s="11">
        <v>42461</v>
      </c>
      <c r="I125" s="25">
        <v>0</v>
      </c>
      <c r="J125" s="9">
        <v>1.5</v>
      </c>
      <c r="K125" s="9">
        <v>15.5</v>
      </c>
      <c r="L125" s="9">
        <v>16.5</v>
      </c>
      <c r="M125" s="9">
        <v>26.8</v>
      </c>
    </row>
    <row r="126" spans="1:13" x14ac:dyDescent="0.4">
      <c r="A126" s="16">
        <f t="shared" si="6"/>
        <v>42467</v>
      </c>
      <c r="B126" s="1">
        <f t="shared" si="7"/>
        <v>38.9</v>
      </c>
      <c r="C126" s="1">
        <f t="shared" si="8"/>
        <v>1.5</v>
      </c>
      <c r="D126" s="1">
        <f t="shared" si="9"/>
        <v>15.5</v>
      </c>
      <c r="E126" s="1">
        <f t="shared" si="10"/>
        <v>16.5</v>
      </c>
      <c r="F126" s="1">
        <f t="shared" si="11"/>
        <v>26.8</v>
      </c>
      <c r="H126" s="11">
        <v>42467</v>
      </c>
      <c r="I126" s="25">
        <v>38.9</v>
      </c>
      <c r="J126" s="9">
        <v>0</v>
      </c>
      <c r="K126" s="9">
        <v>0</v>
      </c>
      <c r="L126" s="9">
        <v>0</v>
      </c>
      <c r="M126" s="9">
        <v>0</v>
      </c>
    </row>
    <row r="127" spans="1:13" x14ac:dyDescent="0.4">
      <c r="A127" s="16">
        <f t="shared" si="6"/>
        <v>42468</v>
      </c>
      <c r="B127" s="1">
        <f t="shared" si="7"/>
        <v>38.9</v>
      </c>
      <c r="C127" s="1">
        <f t="shared" si="8"/>
        <v>1.5</v>
      </c>
      <c r="D127" s="1">
        <f t="shared" si="9"/>
        <v>16</v>
      </c>
      <c r="E127" s="1">
        <f t="shared" si="10"/>
        <v>17</v>
      </c>
      <c r="F127" s="1">
        <f t="shared" si="11"/>
        <v>27</v>
      </c>
      <c r="H127" s="11">
        <v>42468</v>
      </c>
      <c r="I127" s="25">
        <v>0</v>
      </c>
      <c r="J127" s="9">
        <v>1.5</v>
      </c>
      <c r="K127" s="9">
        <v>16</v>
      </c>
      <c r="L127" s="9">
        <v>17</v>
      </c>
      <c r="M127" s="9">
        <v>27</v>
      </c>
    </row>
    <row r="128" spans="1:13" x14ac:dyDescent="0.4">
      <c r="A128" s="16">
        <f t="shared" si="6"/>
        <v>42475</v>
      </c>
      <c r="B128" s="1">
        <f t="shared" si="7"/>
        <v>38.9</v>
      </c>
      <c r="C128" s="1">
        <f t="shared" si="8"/>
        <v>1.5</v>
      </c>
      <c r="D128" s="1">
        <f t="shared" si="9"/>
        <v>14</v>
      </c>
      <c r="E128" s="1">
        <f t="shared" si="10"/>
        <v>16</v>
      </c>
      <c r="F128" s="1">
        <f t="shared" si="11"/>
        <v>26</v>
      </c>
      <c r="H128" s="11">
        <v>42475</v>
      </c>
      <c r="I128" s="25">
        <v>0</v>
      </c>
      <c r="J128" s="9">
        <v>1.5</v>
      </c>
      <c r="K128" s="9">
        <v>14</v>
      </c>
      <c r="L128" s="9">
        <v>16</v>
      </c>
      <c r="M128" s="9">
        <v>26</v>
      </c>
    </row>
    <row r="129" spans="1:13" x14ac:dyDescent="0.4">
      <c r="A129" s="16">
        <f t="shared" si="6"/>
        <v>42482</v>
      </c>
      <c r="B129" s="1">
        <f t="shared" si="7"/>
        <v>38.9</v>
      </c>
      <c r="C129" s="1">
        <f t="shared" si="8"/>
        <v>1.5</v>
      </c>
      <c r="D129" s="1">
        <f t="shared" si="9"/>
        <v>12</v>
      </c>
      <c r="E129" s="1">
        <f t="shared" si="10"/>
        <v>15</v>
      </c>
      <c r="F129" s="1">
        <f t="shared" si="11"/>
        <v>25</v>
      </c>
      <c r="H129" s="11">
        <v>42482</v>
      </c>
      <c r="I129" s="25">
        <v>0</v>
      </c>
      <c r="J129" s="9">
        <v>1.5</v>
      </c>
      <c r="K129" s="9">
        <v>12</v>
      </c>
      <c r="L129" s="9">
        <v>15</v>
      </c>
      <c r="M129" s="9">
        <v>25</v>
      </c>
    </row>
    <row r="130" spans="1:13" x14ac:dyDescent="0.4">
      <c r="A130" s="16">
        <f t="shared" si="6"/>
        <v>42489</v>
      </c>
      <c r="B130" s="1">
        <f t="shared" si="7"/>
        <v>38.9</v>
      </c>
      <c r="C130" s="1">
        <f t="shared" si="8"/>
        <v>1.5</v>
      </c>
      <c r="D130" s="1">
        <f t="shared" si="9"/>
        <v>14</v>
      </c>
      <c r="E130" s="1">
        <f t="shared" si="10"/>
        <v>15</v>
      </c>
      <c r="F130" s="1">
        <f t="shared" si="11"/>
        <v>26</v>
      </c>
      <c r="H130" s="11">
        <v>42489</v>
      </c>
      <c r="I130" s="25">
        <v>0</v>
      </c>
      <c r="J130" s="9">
        <v>1.5</v>
      </c>
      <c r="K130" s="9">
        <v>14</v>
      </c>
      <c r="L130" s="9">
        <v>15</v>
      </c>
      <c r="M130" s="9">
        <v>26</v>
      </c>
    </row>
    <row r="131" spans="1:13" x14ac:dyDescent="0.4">
      <c r="A131" s="16">
        <f t="shared" si="6"/>
        <v>42496</v>
      </c>
      <c r="B131" s="1">
        <f t="shared" si="7"/>
        <v>38.9</v>
      </c>
      <c r="C131" s="1">
        <f t="shared" si="8"/>
        <v>2</v>
      </c>
      <c r="D131" s="1">
        <f t="shared" si="9"/>
        <v>13</v>
      </c>
      <c r="E131" s="1">
        <f t="shared" si="10"/>
        <v>16</v>
      </c>
      <c r="F131" s="1">
        <f t="shared" si="11"/>
        <v>27</v>
      </c>
      <c r="H131" s="11">
        <v>42496</v>
      </c>
      <c r="I131" s="25">
        <v>0</v>
      </c>
      <c r="J131" s="9">
        <v>2</v>
      </c>
      <c r="K131" s="9">
        <v>13</v>
      </c>
      <c r="L131" s="9">
        <v>16</v>
      </c>
      <c r="M131" s="9">
        <v>27</v>
      </c>
    </row>
    <row r="132" spans="1:13" x14ac:dyDescent="0.4">
      <c r="A132" s="16">
        <f t="shared" si="6"/>
        <v>42503</v>
      </c>
      <c r="B132" s="1">
        <f t="shared" si="7"/>
        <v>38.9</v>
      </c>
      <c r="C132" s="1">
        <f t="shared" si="8"/>
        <v>2.5</v>
      </c>
      <c r="D132" s="1">
        <f t="shared" si="9"/>
        <v>15</v>
      </c>
      <c r="E132" s="1">
        <f t="shared" si="10"/>
        <v>17</v>
      </c>
      <c r="F132" s="1">
        <f t="shared" si="11"/>
        <v>26</v>
      </c>
      <c r="H132" s="11">
        <v>42503</v>
      </c>
      <c r="I132" s="25">
        <v>0</v>
      </c>
      <c r="J132" s="9">
        <v>2.5</v>
      </c>
      <c r="K132" s="9">
        <v>15</v>
      </c>
      <c r="L132" s="9">
        <v>17</v>
      </c>
      <c r="M132" s="9">
        <v>26</v>
      </c>
    </row>
    <row r="133" spans="1:13" x14ac:dyDescent="0.4">
      <c r="A133" s="16">
        <f t="shared" si="6"/>
        <v>42510</v>
      </c>
      <c r="B133" s="1">
        <f t="shared" si="7"/>
        <v>38.9</v>
      </c>
      <c r="C133" s="1">
        <f t="shared" si="8"/>
        <v>4</v>
      </c>
      <c r="D133" s="1">
        <f t="shared" si="9"/>
        <v>14</v>
      </c>
      <c r="E133" s="1">
        <f t="shared" si="10"/>
        <v>17</v>
      </c>
      <c r="F133" s="1">
        <f t="shared" si="11"/>
        <v>25</v>
      </c>
      <c r="H133" s="11">
        <v>42510</v>
      </c>
      <c r="I133" s="25">
        <v>0</v>
      </c>
      <c r="J133" s="9">
        <v>4</v>
      </c>
      <c r="K133" s="9">
        <v>14</v>
      </c>
      <c r="L133" s="9">
        <v>17</v>
      </c>
      <c r="M133" s="9">
        <v>25</v>
      </c>
    </row>
    <row r="134" spans="1:13" x14ac:dyDescent="0.4">
      <c r="A134" s="16">
        <f t="shared" ref="A134:A197" si="12">H134</f>
        <v>42517</v>
      </c>
      <c r="B134" s="1">
        <f t="shared" ref="B134:B197" si="13">IF(I134&lt;&gt;0,I134,B133)</f>
        <v>38.9</v>
      </c>
      <c r="C134" s="1">
        <f t="shared" si="8"/>
        <v>3</v>
      </c>
      <c r="D134" s="1">
        <f t="shared" si="9"/>
        <v>14</v>
      </c>
      <c r="E134" s="1">
        <f t="shared" si="10"/>
        <v>17</v>
      </c>
      <c r="F134" s="1">
        <f t="shared" si="11"/>
        <v>25</v>
      </c>
      <c r="H134" s="11">
        <v>42517</v>
      </c>
      <c r="I134" s="25">
        <v>0</v>
      </c>
      <c r="J134" s="9">
        <v>3</v>
      </c>
      <c r="K134" s="9">
        <v>14</v>
      </c>
      <c r="L134" s="9">
        <v>17</v>
      </c>
      <c r="M134" s="9">
        <v>25</v>
      </c>
    </row>
    <row r="135" spans="1:13" x14ac:dyDescent="0.4">
      <c r="A135" s="16">
        <f t="shared" si="12"/>
        <v>42523</v>
      </c>
      <c r="B135" s="1">
        <f t="shared" si="13"/>
        <v>37.6</v>
      </c>
      <c r="C135" s="1">
        <f t="shared" ref="C135:C198" si="14">IF(J135&lt;&gt;0,J135,C134)</f>
        <v>3</v>
      </c>
      <c r="D135" s="1">
        <f t="shared" ref="D135:D198" si="15">IF(K135&lt;&gt;0,K135,D134)</f>
        <v>14</v>
      </c>
      <c r="E135" s="1">
        <f t="shared" ref="E135:E198" si="16">IF(L135&lt;&gt;0,L135,E134)</f>
        <v>17</v>
      </c>
      <c r="F135" s="1">
        <f t="shared" ref="F135:F198" si="17">IF(M135&lt;&gt;0,M135,F134)</f>
        <v>25</v>
      </c>
      <c r="H135" s="11">
        <v>42523</v>
      </c>
      <c r="I135" s="25">
        <v>37.6</v>
      </c>
      <c r="J135" s="9">
        <v>0</v>
      </c>
      <c r="K135" s="9">
        <v>0</v>
      </c>
      <c r="L135" s="9">
        <v>0</v>
      </c>
      <c r="M135" s="9">
        <v>0</v>
      </c>
    </row>
    <row r="136" spans="1:13" x14ac:dyDescent="0.4">
      <c r="A136" s="16">
        <f t="shared" si="12"/>
        <v>42524</v>
      </c>
      <c r="B136" s="1">
        <f t="shared" si="13"/>
        <v>37.6</v>
      </c>
      <c r="C136" s="1">
        <f t="shared" si="14"/>
        <v>3</v>
      </c>
      <c r="D136" s="1">
        <f t="shared" si="15"/>
        <v>14</v>
      </c>
      <c r="E136" s="1">
        <f t="shared" si="16"/>
        <v>17</v>
      </c>
      <c r="F136" s="1">
        <f t="shared" si="17"/>
        <v>25</v>
      </c>
      <c r="H136" s="11">
        <v>42524</v>
      </c>
      <c r="I136" s="25">
        <v>0</v>
      </c>
      <c r="J136" s="9">
        <v>3</v>
      </c>
      <c r="K136" s="9">
        <v>14</v>
      </c>
      <c r="L136" s="9">
        <v>17</v>
      </c>
      <c r="M136" s="9">
        <v>25</v>
      </c>
    </row>
    <row r="137" spans="1:13" x14ac:dyDescent="0.4">
      <c r="A137" s="16">
        <f t="shared" si="12"/>
        <v>42531</v>
      </c>
      <c r="B137" s="1">
        <f t="shared" si="13"/>
        <v>37.6</v>
      </c>
      <c r="C137" s="1">
        <f t="shared" si="14"/>
        <v>3</v>
      </c>
      <c r="D137" s="1">
        <f t="shared" si="15"/>
        <v>15</v>
      </c>
      <c r="E137" s="1">
        <f t="shared" si="16"/>
        <v>17.5</v>
      </c>
      <c r="F137" s="1">
        <f t="shared" si="17"/>
        <v>25</v>
      </c>
      <c r="H137" s="11">
        <v>42531</v>
      </c>
      <c r="I137" s="25">
        <v>0</v>
      </c>
      <c r="J137" s="9">
        <v>3</v>
      </c>
      <c r="K137" s="9">
        <v>15</v>
      </c>
      <c r="L137" s="9">
        <v>17.5</v>
      </c>
      <c r="M137" s="9">
        <v>25</v>
      </c>
    </row>
    <row r="138" spans="1:13" x14ac:dyDescent="0.4">
      <c r="A138" s="16">
        <f t="shared" si="12"/>
        <v>42533</v>
      </c>
      <c r="B138" s="1">
        <f t="shared" si="13"/>
        <v>39.1</v>
      </c>
      <c r="C138" s="1">
        <f t="shared" si="14"/>
        <v>3</v>
      </c>
      <c r="D138" s="1">
        <f t="shared" si="15"/>
        <v>15</v>
      </c>
      <c r="E138" s="1">
        <f t="shared" si="16"/>
        <v>17.5</v>
      </c>
      <c r="F138" s="1">
        <f t="shared" si="17"/>
        <v>25</v>
      </c>
      <c r="H138" s="11">
        <v>42533</v>
      </c>
      <c r="I138" s="25">
        <v>39.1</v>
      </c>
      <c r="J138" s="9">
        <v>0</v>
      </c>
      <c r="K138" s="9">
        <v>0</v>
      </c>
      <c r="L138" s="9">
        <v>0</v>
      </c>
      <c r="M138" s="9">
        <v>0</v>
      </c>
    </row>
    <row r="139" spans="1:13" x14ac:dyDescent="0.4">
      <c r="A139" s="16">
        <f t="shared" si="12"/>
        <v>42537</v>
      </c>
      <c r="B139" s="1">
        <f t="shared" si="13"/>
        <v>35.5</v>
      </c>
      <c r="C139" s="1">
        <f t="shared" si="14"/>
        <v>3</v>
      </c>
      <c r="D139" s="1">
        <f t="shared" si="15"/>
        <v>15</v>
      </c>
      <c r="E139" s="1">
        <f t="shared" si="16"/>
        <v>17.5</v>
      </c>
      <c r="F139" s="1">
        <f t="shared" si="17"/>
        <v>25</v>
      </c>
      <c r="H139" s="11">
        <v>42537</v>
      </c>
      <c r="I139" s="25">
        <v>35.5</v>
      </c>
      <c r="J139" s="9">
        <v>0</v>
      </c>
      <c r="K139" s="9">
        <v>0</v>
      </c>
      <c r="L139" s="9">
        <v>0</v>
      </c>
      <c r="M139" s="9">
        <v>0</v>
      </c>
    </row>
    <row r="140" spans="1:13" x14ac:dyDescent="0.4">
      <c r="A140" s="16">
        <f t="shared" si="12"/>
        <v>42538</v>
      </c>
      <c r="B140" s="1">
        <f t="shared" si="13"/>
        <v>35.5</v>
      </c>
      <c r="C140" s="1">
        <f t="shared" si="14"/>
        <v>2.5</v>
      </c>
      <c r="D140" s="1">
        <f t="shared" si="15"/>
        <v>15.5</v>
      </c>
      <c r="E140" s="1">
        <f t="shared" si="16"/>
        <v>18</v>
      </c>
      <c r="F140" s="1">
        <f t="shared" si="17"/>
        <v>25.5</v>
      </c>
      <c r="H140" s="11">
        <v>42538</v>
      </c>
      <c r="I140" s="25">
        <v>0</v>
      </c>
      <c r="J140" s="9">
        <v>2.5</v>
      </c>
      <c r="K140" s="9">
        <v>15.5</v>
      </c>
      <c r="L140" s="9">
        <v>18</v>
      </c>
      <c r="M140" s="9">
        <v>25.5</v>
      </c>
    </row>
    <row r="141" spans="1:13" x14ac:dyDescent="0.4">
      <c r="A141" s="16">
        <f t="shared" si="12"/>
        <v>42545</v>
      </c>
      <c r="B141" s="1">
        <f t="shared" si="13"/>
        <v>35.5</v>
      </c>
      <c r="C141" s="1">
        <f t="shared" si="14"/>
        <v>2.5</v>
      </c>
      <c r="D141" s="1">
        <f t="shared" si="15"/>
        <v>15.5</v>
      </c>
      <c r="E141" s="1">
        <f t="shared" si="16"/>
        <v>17.5</v>
      </c>
      <c r="F141" s="1">
        <f t="shared" si="17"/>
        <v>25</v>
      </c>
      <c r="H141" s="11">
        <v>42545</v>
      </c>
      <c r="I141" s="25">
        <v>0</v>
      </c>
      <c r="J141" s="9">
        <v>2.5</v>
      </c>
      <c r="K141" s="9">
        <v>15.5</v>
      </c>
      <c r="L141" s="9">
        <v>17.5</v>
      </c>
      <c r="M141" s="9">
        <v>25</v>
      </c>
    </row>
    <row r="142" spans="1:13" x14ac:dyDescent="0.4">
      <c r="A142" s="16">
        <f t="shared" si="12"/>
        <v>42551</v>
      </c>
      <c r="B142" s="1">
        <f t="shared" si="13"/>
        <v>34.5</v>
      </c>
      <c r="C142" s="1">
        <f t="shared" si="14"/>
        <v>2.5</v>
      </c>
      <c r="D142" s="1">
        <f t="shared" si="15"/>
        <v>15.5</v>
      </c>
      <c r="E142" s="1">
        <f t="shared" si="16"/>
        <v>17.5</v>
      </c>
      <c r="F142" s="1">
        <f t="shared" si="17"/>
        <v>25</v>
      </c>
      <c r="H142" s="11">
        <v>42551</v>
      </c>
      <c r="I142" s="25">
        <v>34.5</v>
      </c>
      <c r="J142" s="9">
        <v>0</v>
      </c>
      <c r="K142" s="9">
        <v>0</v>
      </c>
      <c r="L142" s="9">
        <v>0</v>
      </c>
      <c r="M142" s="9">
        <v>0</v>
      </c>
    </row>
    <row r="143" spans="1:13" x14ac:dyDescent="0.4">
      <c r="A143" s="16">
        <f t="shared" si="12"/>
        <v>42552</v>
      </c>
      <c r="B143" s="1">
        <f t="shared" si="13"/>
        <v>34.5</v>
      </c>
      <c r="C143" s="1">
        <f t="shared" si="14"/>
        <v>2.5</v>
      </c>
      <c r="D143" s="1">
        <f t="shared" si="15"/>
        <v>14.5</v>
      </c>
      <c r="E143" s="1">
        <f t="shared" si="16"/>
        <v>17</v>
      </c>
      <c r="F143" s="1">
        <f t="shared" si="17"/>
        <v>24.5</v>
      </c>
      <c r="H143" s="11">
        <v>42552</v>
      </c>
      <c r="I143" s="25">
        <v>0</v>
      </c>
      <c r="J143" s="9">
        <v>2.5</v>
      </c>
      <c r="K143" s="9">
        <v>14.5</v>
      </c>
      <c r="L143" s="9">
        <v>17</v>
      </c>
      <c r="M143" s="9">
        <v>24.5</v>
      </c>
    </row>
    <row r="144" spans="1:13" x14ac:dyDescent="0.4">
      <c r="A144" s="16">
        <f t="shared" si="12"/>
        <v>42557</v>
      </c>
      <c r="B144" s="1">
        <f t="shared" si="13"/>
        <v>27</v>
      </c>
      <c r="C144" s="1">
        <f t="shared" si="14"/>
        <v>2.5</v>
      </c>
      <c r="D144" s="1">
        <f t="shared" si="15"/>
        <v>14.5</v>
      </c>
      <c r="E144" s="1">
        <f t="shared" si="16"/>
        <v>17</v>
      </c>
      <c r="F144" s="1">
        <f t="shared" si="17"/>
        <v>24.5</v>
      </c>
      <c r="H144" s="11">
        <v>42557</v>
      </c>
      <c r="I144" s="25">
        <v>27</v>
      </c>
      <c r="J144" s="9">
        <v>0</v>
      </c>
      <c r="K144" s="9">
        <v>0</v>
      </c>
      <c r="L144" s="9">
        <v>0</v>
      </c>
      <c r="M144" s="9">
        <v>0</v>
      </c>
    </row>
    <row r="145" spans="1:13" x14ac:dyDescent="0.4">
      <c r="A145" s="16">
        <f t="shared" si="12"/>
        <v>42559</v>
      </c>
      <c r="B145" s="1">
        <f t="shared" si="13"/>
        <v>27</v>
      </c>
      <c r="C145" s="1">
        <f t="shared" si="14"/>
        <v>2.5</v>
      </c>
      <c r="D145" s="1">
        <f t="shared" si="15"/>
        <v>15</v>
      </c>
      <c r="E145" s="1">
        <f t="shared" si="16"/>
        <v>16</v>
      </c>
      <c r="F145" s="1">
        <f t="shared" si="17"/>
        <v>24</v>
      </c>
      <c r="H145" s="11">
        <v>42559</v>
      </c>
      <c r="I145" s="25">
        <v>0</v>
      </c>
      <c r="J145" s="9">
        <v>2.5</v>
      </c>
      <c r="K145" s="9">
        <v>15</v>
      </c>
      <c r="L145" s="9">
        <v>16</v>
      </c>
      <c r="M145" s="9">
        <v>24</v>
      </c>
    </row>
    <row r="146" spans="1:13" x14ac:dyDescent="0.4">
      <c r="A146" s="16">
        <f t="shared" si="12"/>
        <v>42564</v>
      </c>
      <c r="B146" s="1">
        <f t="shared" si="13"/>
        <v>31.9</v>
      </c>
      <c r="C146" s="1">
        <f t="shared" si="14"/>
        <v>2.5</v>
      </c>
      <c r="D146" s="1">
        <f t="shared" si="15"/>
        <v>15</v>
      </c>
      <c r="E146" s="1">
        <f t="shared" si="16"/>
        <v>16</v>
      </c>
      <c r="F146" s="1">
        <f t="shared" si="17"/>
        <v>24</v>
      </c>
      <c r="H146" s="11">
        <v>42564</v>
      </c>
      <c r="I146" s="25">
        <v>31.9</v>
      </c>
      <c r="J146" s="9">
        <v>0</v>
      </c>
      <c r="K146" s="9">
        <v>0</v>
      </c>
      <c r="L146" s="9">
        <v>0</v>
      </c>
      <c r="M146" s="9">
        <v>0</v>
      </c>
    </row>
    <row r="147" spans="1:13" x14ac:dyDescent="0.4">
      <c r="A147" s="16">
        <f t="shared" si="12"/>
        <v>42566</v>
      </c>
      <c r="B147" s="1">
        <f t="shared" si="13"/>
        <v>31.9</v>
      </c>
      <c r="C147" s="1">
        <f t="shared" si="14"/>
        <v>2.5</v>
      </c>
      <c r="D147" s="1">
        <f t="shared" si="15"/>
        <v>14</v>
      </c>
      <c r="E147" s="1">
        <f t="shared" si="16"/>
        <v>15.5</v>
      </c>
      <c r="F147" s="1">
        <f t="shared" si="17"/>
        <v>23</v>
      </c>
      <c r="H147" s="11">
        <v>42566</v>
      </c>
      <c r="I147" s="25">
        <v>0</v>
      </c>
      <c r="J147" s="9">
        <v>2.5</v>
      </c>
      <c r="K147" s="9">
        <v>14</v>
      </c>
      <c r="L147" s="9">
        <v>15.5</v>
      </c>
      <c r="M147" s="9">
        <v>23</v>
      </c>
    </row>
    <row r="148" spans="1:13" x14ac:dyDescent="0.4">
      <c r="A148" s="16">
        <f t="shared" si="12"/>
        <v>42571</v>
      </c>
      <c r="B148" s="1">
        <f t="shared" si="13"/>
        <v>35</v>
      </c>
      <c r="C148" s="1">
        <f t="shared" si="14"/>
        <v>2.5</v>
      </c>
      <c r="D148" s="1">
        <f t="shared" si="15"/>
        <v>14</v>
      </c>
      <c r="E148" s="1">
        <f t="shared" si="16"/>
        <v>15.5</v>
      </c>
      <c r="F148" s="1">
        <f t="shared" si="17"/>
        <v>23</v>
      </c>
      <c r="H148" s="11">
        <v>42571</v>
      </c>
      <c r="I148" s="25">
        <v>35</v>
      </c>
      <c r="J148" s="9">
        <v>0</v>
      </c>
      <c r="K148" s="9">
        <v>0</v>
      </c>
      <c r="L148" s="9">
        <v>0</v>
      </c>
      <c r="M148" s="9">
        <v>0</v>
      </c>
    </row>
    <row r="149" spans="1:13" x14ac:dyDescent="0.4">
      <c r="A149" s="16">
        <f t="shared" si="12"/>
        <v>42573</v>
      </c>
      <c r="B149" s="1">
        <f t="shared" si="13"/>
        <v>35</v>
      </c>
      <c r="C149" s="1">
        <f t="shared" si="14"/>
        <v>2.5</v>
      </c>
      <c r="D149" s="1">
        <f t="shared" si="15"/>
        <v>12</v>
      </c>
      <c r="E149" s="1">
        <f t="shared" si="16"/>
        <v>13.5</v>
      </c>
      <c r="F149" s="1">
        <f t="shared" si="17"/>
        <v>21</v>
      </c>
      <c r="H149" s="11">
        <v>42573</v>
      </c>
      <c r="I149" s="25">
        <v>0</v>
      </c>
      <c r="J149" s="9">
        <v>0</v>
      </c>
      <c r="K149" s="9">
        <v>12</v>
      </c>
      <c r="L149" s="9">
        <v>13.5</v>
      </c>
      <c r="M149" s="9">
        <v>21</v>
      </c>
    </row>
    <row r="150" spans="1:13" x14ac:dyDescent="0.4">
      <c r="A150" s="16">
        <f t="shared" si="12"/>
        <v>42578</v>
      </c>
      <c r="B150" s="1">
        <f t="shared" si="13"/>
        <v>37.9</v>
      </c>
      <c r="C150" s="1">
        <f t="shared" si="14"/>
        <v>2.5</v>
      </c>
      <c r="D150" s="1">
        <f t="shared" si="15"/>
        <v>12</v>
      </c>
      <c r="E150" s="1">
        <f t="shared" si="16"/>
        <v>13.5</v>
      </c>
      <c r="F150" s="1">
        <f t="shared" si="17"/>
        <v>21</v>
      </c>
      <c r="H150" s="11">
        <v>42578</v>
      </c>
      <c r="I150" s="25">
        <v>37.9</v>
      </c>
      <c r="J150" s="9">
        <v>0</v>
      </c>
      <c r="K150" s="9">
        <v>0</v>
      </c>
      <c r="L150" s="9">
        <v>0</v>
      </c>
      <c r="M150" s="9">
        <v>0</v>
      </c>
    </row>
    <row r="151" spans="1:13" x14ac:dyDescent="0.4">
      <c r="A151" s="16">
        <f t="shared" si="12"/>
        <v>42580</v>
      </c>
      <c r="B151" s="1">
        <f t="shared" si="13"/>
        <v>37.9</v>
      </c>
      <c r="C151" s="1">
        <f t="shared" si="14"/>
        <v>2</v>
      </c>
      <c r="D151" s="1">
        <f t="shared" si="15"/>
        <v>12</v>
      </c>
      <c r="E151" s="1">
        <f t="shared" si="16"/>
        <v>13.5</v>
      </c>
      <c r="F151" s="1">
        <f t="shared" si="17"/>
        <v>19</v>
      </c>
      <c r="H151" s="11">
        <v>42580</v>
      </c>
      <c r="I151" s="25">
        <v>0</v>
      </c>
      <c r="J151" s="9">
        <v>2</v>
      </c>
      <c r="K151" s="9">
        <v>12</v>
      </c>
      <c r="L151" s="9">
        <v>13.5</v>
      </c>
      <c r="M151" s="9">
        <v>19</v>
      </c>
    </row>
    <row r="152" spans="1:13" x14ac:dyDescent="0.4">
      <c r="A152" s="16">
        <f t="shared" si="12"/>
        <v>42586</v>
      </c>
      <c r="B152" s="1">
        <f t="shared" si="13"/>
        <v>40.049999999999997</v>
      </c>
      <c r="C152" s="1">
        <f t="shared" si="14"/>
        <v>2</v>
      </c>
      <c r="D152" s="1">
        <f t="shared" si="15"/>
        <v>12</v>
      </c>
      <c r="E152" s="1">
        <f t="shared" si="16"/>
        <v>13.5</v>
      </c>
      <c r="F152" s="1">
        <f t="shared" si="17"/>
        <v>19</v>
      </c>
      <c r="H152" s="11">
        <v>42586</v>
      </c>
      <c r="I152" s="25">
        <v>40.049999999999997</v>
      </c>
      <c r="J152" s="9">
        <v>0</v>
      </c>
      <c r="K152" s="9">
        <v>0</v>
      </c>
      <c r="L152" s="9">
        <v>0</v>
      </c>
      <c r="M152" s="9">
        <v>0</v>
      </c>
    </row>
    <row r="153" spans="1:13" x14ac:dyDescent="0.4">
      <c r="A153" s="16">
        <f t="shared" si="12"/>
        <v>42587</v>
      </c>
      <c r="B153" s="1">
        <f t="shared" si="13"/>
        <v>40.049999999999997</v>
      </c>
      <c r="C153" s="1">
        <f t="shared" si="14"/>
        <v>2.5</v>
      </c>
      <c r="D153" s="1">
        <f t="shared" si="15"/>
        <v>13</v>
      </c>
      <c r="E153" s="1">
        <f t="shared" si="16"/>
        <v>14.5</v>
      </c>
      <c r="F153" s="1">
        <f t="shared" si="17"/>
        <v>19</v>
      </c>
      <c r="H153" s="11">
        <v>42587</v>
      </c>
      <c r="I153" s="25">
        <v>0</v>
      </c>
      <c r="J153" s="9">
        <v>2.5</v>
      </c>
      <c r="K153" s="9">
        <v>13</v>
      </c>
      <c r="L153" s="9">
        <v>14.5</v>
      </c>
      <c r="M153" s="9">
        <v>19</v>
      </c>
    </row>
    <row r="154" spans="1:13" x14ac:dyDescent="0.4">
      <c r="A154" s="16">
        <f t="shared" si="12"/>
        <v>42594</v>
      </c>
      <c r="B154" s="1">
        <f t="shared" si="13"/>
        <v>48.7</v>
      </c>
      <c r="C154" s="1">
        <f t="shared" si="14"/>
        <v>2.5</v>
      </c>
      <c r="D154" s="1">
        <f t="shared" si="15"/>
        <v>12</v>
      </c>
      <c r="E154" s="1">
        <f t="shared" si="16"/>
        <v>15</v>
      </c>
      <c r="F154" s="1">
        <f t="shared" si="17"/>
        <v>19</v>
      </c>
      <c r="H154" s="11">
        <v>42594</v>
      </c>
      <c r="I154" s="25">
        <v>48.7</v>
      </c>
      <c r="J154" s="9">
        <v>2.5</v>
      </c>
      <c r="K154" s="9">
        <v>12</v>
      </c>
      <c r="L154" s="9">
        <v>15</v>
      </c>
      <c r="M154" s="9">
        <v>19</v>
      </c>
    </row>
    <row r="155" spans="1:13" x14ac:dyDescent="0.4">
      <c r="A155" s="16">
        <f t="shared" si="12"/>
        <v>42600</v>
      </c>
      <c r="B155" s="1">
        <f t="shared" si="13"/>
        <v>47.2</v>
      </c>
      <c r="C155" s="1">
        <f t="shared" si="14"/>
        <v>2.5</v>
      </c>
      <c r="D155" s="1">
        <f t="shared" si="15"/>
        <v>12</v>
      </c>
      <c r="E155" s="1">
        <f t="shared" si="16"/>
        <v>15</v>
      </c>
      <c r="F155" s="1">
        <f t="shared" si="17"/>
        <v>19</v>
      </c>
      <c r="H155" s="11">
        <v>42600</v>
      </c>
      <c r="I155" s="25">
        <v>47.2</v>
      </c>
      <c r="J155" s="9">
        <v>0</v>
      </c>
      <c r="K155" s="9">
        <v>0</v>
      </c>
      <c r="L155" s="9">
        <v>0</v>
      </c>
      <c r="M155" s="9">
        <v>0</v>
      </c>
    </row>
    <row r="156" spans="1:13" x14ac:dyDescent="0.4">
      <c r="A156" s="16">
        <f t="shared" si="12"/>
        <v>42601</v>
      </c>
      <c r="B156" s="1">
        <f t="shared" si="13"/>
        <v>47.2</v>
      </c>
      <c r="C156" s="1">
        <f t="shared" si="14"/>
        <v>3.5</v>
      </c>
      <c r="D156" s="1">
        <f t="shared" si="15"/>
        <v>12</v>
      </c>
      <c r="E156" s="1">
        <f t="shared" si="16"/>
        <v>14</v>
      </c>
      <c r="F156" s="1">
        <f t="shared" si="17"/>
        <v>18.5</v>
      </c>
      <c r="H156" s="11">
        <v>42601</v>
      </c>
      <c r="I156" s="25">
        <v>0</v>
      </c>
      <c r="J156" s="9">
        <v>3.5</v>
      </c>
      <c r="K156" s="9">
        <v>12</v>
      </c>
      <c r="L156" s="9">
        <v>14</v>
      </c>
      <c r="M156" s="9">
        <v>18.5</v>
      </c>
    </row>
    <row r="157" spans="1:13" x14ac:dyDescent="0.4">
      <c r="A157" s="16">
        <f t="shared" si="12"/>
        <v>42607</v>
      </c>
      <c r="B157" s="1">
        <f t="shared" si="13"/>
        <v>52.2</v>
      </c>
      <c r="C157" s="1">
        <f t="shared" si="14"/>
        <v>3.5</v>
      </c>
      <c r="D157" s="1">
        <f t="shared" si="15"/>
        <v>12</v>
      </c>
      <c r="E157" s="1">
        <f t="shared" si="16"/>
        <v>14</v>
      </c>
      <c r="F157" s="1">
        <f t="shared" si="17"/>
        <v>18.5</v>
      </c>
      <c r="H157" s="11">
        <v>42607</v>
      </c>
      <c r="I157" s="25">
        <v>52.2</v>
      </c>
      <c r="J157" s="9">
        <v>0</v>
      </c>
      <c r="K157" s="9">
        <v>0</v>
      </c>
      <c r="L157" s="9">
        <v>0</v>
      </c>
      <c r="M157" s="9">
        <v>0</v>
      </c>
    </row>
    <row r="158" spans="1:13" x14ac:dyDescent="0.4">
      <c r="A158" s="16">
        <f t="shared" si="12"/>
        <v>42608</v>
      </c>
      <c r="B158" s="1">
        <f t="shared" si="13"/>
        <v>52.2</v>
      </c>
      <c r="C158" s="1">
        <f t="shared" si="14"/>
        <v>4</v>
      </c>
      <c r="D158" s="1">
        <f t="shared" si="15"/>
        <v>11</v>
      </c>
      <c r="E158" s="1">
        <f t="shared" si="16"/>
        <v>13</v>
      </c>
      <c r="F158" s="1">
        <f t="shared" si="17"/>
        <v>17.5</v>
      </c>
      <c r="H158" s="11">
        <v>42608</v>
      </c>
      <c r="I158" s="25">
        <v>0</v>
      </c>
      <c r="J158" s="9">
        <v>4</v>
      </c>
      <c r="K158" s="9">
        <v>11</v>
      </c>
      <c r="L158" s="9">
        <v>13</v>
      </c>
      <c r="M158" s="9">
        <v>17.5</v>
      </c>
    </row>
    <row r="159" spans="1:13" x14ac:dyDescent="0.4">
      <c r="A159" s="16">
        <f t="shared" si="12"/>
        <v>42615</v>
      </c>
      <c r="B159" s="1">
        <f t="shared" si="13"/>
        <v>58.2</v>
      </c>
      <c r="C159" s="1">
        <f t="shared" si="14"/>
        <v>4</v>
      </c>
      <c r="D159" s="1">
        <f t="shared" si="15"/>
        <v>11.5</v>
      </c>
      <c r="E159" s="1">
        <f t="shared" si="16"/>
        <v>13.5</v>
      </c>
      <c r="F159" s="1">
        <f t="shared" si="17"/>
        <v>18</v>
      </c>
      <c r="H159" s="11">
        <v>42615</v>
      </c>
      <c r="I159" s="25">
        <v>58.2</v>
      </c>
      <c r="J159" s="9">
        <v>4</v>
      </c>
      <c r="K159" s="9">
        <v>11.5</v>
      </c>
      <c r="L159" s="9">
        <v>13.5</v>
      </c>
      <c r="M159" s="9">
        <v>18</v>
      </c>
    </row>
    <row r="160" spans="1:13" x14ac:dyDescent="0.4">
      <c r="A160" s="16">
        <f t="shared" si="12"/>
        <v>42622</v>
      </c>
      <c r="B160" s="1">
        <f t="shared" si="13"/>
        <v>64.099999999999994</v>
      </c>
      <c r="C160" s="1">
        <f t="shared" si="14"/>
        <v>3.5</v>
      </c>
      <c r="D160" s="1">
        <f t="shared" si="15"/>
        <v>11.5</v>
      </c>
      <c r="E160" s="1">
        <f t="shared" si="16"/>
        <v>12.5</v>
      </c>
      <c r="F160" s="1">
        <f t="shared" si="17"/>
        <v>18</v>
      </c>
      <c r="H160" s="11">
        <v>42622</v>
      </c>
      <c r="I160" s="25">
        <v>64.099999999999994</v>
      </c>
      <c r="J160" s="9">
        <v>3.5</v>
      </c>
      <c r="K160" s="9">
        <v>11.5</v>
      </c>
      <c r="L160" s="9">
        <v>12.5</v>
      </c>
      <c r="M160" s="9">
        <v>18</v>
      </c>
    </row>
    <row r="161" spans="1:13" x14ac:dyDescent="0.4">
      <c r="A161" s="16">
        <f t="shared" si="12"/>
        <v>42629</v>
      </c>
      <c r="B161" s="1">
        <f t="shared" si="13"/>
        <v>64.099999999999994</v>
      </c>
      <c r="C161" s="1">
        <f t="shared" si="14"/>
        <v>3.5</v>
      </c>
      <c r="D161" s="1">
        <f t="shared" si="15"/>
        <v>11.5</v>
      </c>
      <c r="E161" s="1">
        <f t="shared" si="16"/>
        <v>12.5</v>
      </c>
      <c r="F161" s="1">
        <f t="shared" si="17"/>
        <v>18</v>
      </c>
      <c r="H161" s="11">
        <v>42629</v>
      </c>
      <c r="I161" s="25">
        <v>0</v>
      </c>
      <c r="J161" s="9">
        <v>3.5</v>
      </c>
      <c r="K161" s="9">
        <v>0</v>
      </c>
      <c r="L161" s="9">
        <v>0</v>
      </c>
      <c r="M161" s="9">
        <v>0</v>
      </c>
    </row>
    <row r="162" spans="1:13" x14ac:dyDescent="0.4">
      <c r="A162" s="16">
        <f t="shared" si="12"/>
        <v>42631</v>
      </c>
      <c r="B162" s="1">
        <f t="shared" si="13"/>
        <v>70.7</v>
      </c>
      <c r="C162" s="1">
        <f t="shared" si="14"/>
        <v>3.5</v>
      </c>
      <c r="D162" s="1">
        <f t="shared" si="15"/>
        <v>11.5</v>
      </c>
      <c r="E162" s="1">
        <f t="shared" si="16"/>
        <v>12.5</v>
      </c>
      <c r="F162" s="1">
        <f t="shared" si="17"/>
        <v>18</v>
      </c>
      <c r="H162" s="11">
        <v>42631</v>
      </c>
      <c r="I162" s="25">
        <v>70.7</v>
      </c>
      <c r="J162" s="9">
        <v>0</v>
      </c>
      <c r="K162" s="9">
        <v>0</v>
      </c>
      <c r="L162" s="9">
        <v>0</v>
      </c>
      <c r="M162" s="9">
        <v>0</v>
      </c>
    </row>
    <row r="163" spans="1:13" x14ac:dyDescent="0.4">
      <c r="A163" s="16">
        <f t="shared" si="12"/>
        <v>42636</v>
      </c>
      <c r="B163" s="1">
        <f t="shared" si="13"/>
        <v>65.5</v>
      </c>
      <c r="C163" s="1">
        <f t="shared" si="14"/>
        <v>3.5</v>
      </c>
      <c r="D163" s="1">
        <f t="shared" si="15"/>
        <v>12</v>
      </c>
      <c r="E163" s="1">
        <f t="shared" si="16"/>
        <v>13.5</v>
      </c>
      <c r="F163" s="1">
        <f t="shared" si="17"/>
        <v>18</v>
      </c>
      <c r="H163" s="11">
        <v>42636</v>
      </c>
      <c r="I163" s="25">
        <v>65.5</v>
      </c>
      <c r="J163" s="9">
        <v>3.5</v>
      </c>
      <c r="K163" s="9">
        <v>12</v>
      </c>
      <c r="L163" s="9">
        <v>13.5</v>
      </c>
      <c r="M163" s="9">
        <v>18</v>
      </c>
    </row>
    <row r="164" spans="1:13" x14ac:dyDescent="0.4">
      <c r="A164" s="16">
        <f t="shared" si="12"/>
        <v>42642</v>
      </c>
      <c r="B164" s="1">
        <f t="shared" si="13"/>
        <v>65.5</v>
      </c>
      <c r="C164" s="1">
        <f t="shared" si="14"/>
        <v>3.5</v>
      </c>
      <c r="D164" s="1">
        <f t="shared" si="15"/>
        <v>11</v>
      </c>
      <c r="E164" s="1">
        <f t="shared" si="16"/>
        <v>12</v>
      </c>
      <c r="F164" s="1">
        <f t="shared" si="17"/>
        <v>17</v>
      </c>
      <c r="H164" s="11">
        <v>42642</v>
      </c>
      <c r="I164" s="25">
        <v>0</v>
      </c>
      <c r="J164" s="9">
        <v>0</v>
      </c>
      <c r="K164" s="9">
        <v>11</v>
      </c>
      <c r="L164" s="9">
        <v>12</v>
      </c>
      <c r="M164" s="9">
        <v>17</v>
      </c>
    </row>
    <row r="165" spans="1:13" x14ac:dyDescent="0.4">
      <c r="A165" s="16">
        <f t="shared" si="12"/>
        <v>42643</v>
      </c>
      <c r="B165" s="1">
        <f t="shared" si="13"/>
        <v>62.9</v>
      </c>
      <c r="C165" s="1">
        <f t="shared" si="14"/>
        <v>3</v>
      </c>
      <c r="D165" s="1">
        <f t="shared" si="15"/>
        <v>11</v>
      </c>
      <c r="E165" s="1">
        <f t="shared" si="16"/>
        <v>12</v>
      </c>
      <c r="F165" s="1">
        <f t="shared" si="17"/>
        <v>17</v>
      </c>
      <c r="H165" s="11">
        <v>42643</v>
      </c>
      <c r="I165" s="25">
        <v>62.9</v>
      </c>
      <c r="J165" s="9">
        <v>3</v>
      </c>
      <c r="K165" s="9">
        <v>0</v>
      </c>
      <c r="L165" s="9">
        <v>0</v>
      </c>
      <c r="M165" s="9">
        <v>0</v>
      </c>
    </row>
    <row r="166" spans="1:13" x14ac:dyDescent="0.4">
      <c r="A166" s="16">
        <f t="shared" si="12"/>
        <v>42653</v>
      </c>
      <c r="B166" s="1">
        <f t="shared" si="13"/>
        <v>61.1</v>
      </c>
      <c r="C166" s="1">
        <f t="shared" si="14"/>
        <v>3</v>
      </c>
      <c r="D166" s="1">
        <f t="shared" si="15"/>
        <v>11</v>
      </c>
      <c r="E166" s="1">
        <f t="shared" si="16"/>
        <v>12</v>
      </c>
      <c r="F166" s="1">
        <f t="shared" si="17"/>
        <v>17</v>
      </c>
      <c r="H166" s="11">
        <v>42653</v>
      </c>
      <c r="I166" s="25">
        <v>61.1</v>
      </c>
      <c r="J166" s="9">
        <v>0</v>
      </c>
      <c r="K166" s="9">
        <v>0</v>
      </c>
      <c r="L166" s="9">
        <v>0</v>
      </c>
      <c r="M166" s="9">
        <v>0</v>
      </c>
    </row>
    <row r="167" spans="1:13" x14ac:dyDescent="0.4">
      <c r="A167" s="16">
        <f t="shared" si="12"/>
        <v>42656</v>
      </c>
      <c r="B167" s="1">
        <f t="shared" si="13"/>
        <v>61.1</v>
      </c>
      <c r="C167" s="1">
        <f t="shared" si="14"/>
        <v>3</v>
      </c>
      <c r="D167" s="1">
        <f t="shared" si="15"/>
        <v>8</v>
      </c>
      <c r="E167" s="1">
        <f t="shared" si="16"/>
        <v>10</v>
      </c>
      <c r="F167" s="1">
        <f t="shared" si="17"/>
        <v>14</v>
      </c>
      <c r="H167" s="11">
        <v>42656</v>
      </c>
      <c r="I167" s="25">
        <v>0</v>
      </c>
      <c r="J167" s="9">
        <v>0</v>
      </c>
      <c r="K167" s="9">
        <v>8</v>
      </c>
      <c r="L167" s="9">
        <v>10</v>
      </c>
      <c r="M167" s="9">
        <v>14</v>
      </c>
    </row>
    <row r="168" spans="1:13" x14ac:dyDescent="0.4">
      <c r="A168" s="16">
        <f t="shared" si="12"/>
        <v>42657</v>
      </c>
      <c r="B168" s="1">
        <f t="shared" si="13"/>
        <v>55.8</v>
      </c>
      <c r="C168" s="1">
        <f t="shared" si="14"/>
        <v>3.5</v>
      </c>
      <c r="D168" s="1">
        <f t="shared" si="15"/>
        <v>8</v>
      </c>
      <c r="E168" s="1">
        <f t="shared" si="16"/>
        <v>10</v>
      </c>
      <c r="F168" s="1">
        <f t="shared" si="17"/>
        <v>14</v>
      </c>
      <c r="H168" s="11">
        <v>42657</v>
      </c>
      <c r="I168" s="25">
        <v>55.8</v>
      </c>
      <c r="J168" s="9">
        <v>3.5</v>
      </c>
      <c r="K168" s="9">
        <v>0</v>
      </c>
      <c r="L168" s="9">
        <v>0</v>
      </c>
      <c r="M168" s="9">
        <v>0</v>
      </c>
    </row>
    <row r="169" spans="1:13" x14ac:dyDescent="0.4">
      <c r="A169" s="16">
        <f t="shared" si="12"/>
        <v>42663</v>
      </c>
      <c r="B169" s="1">
        <f t="shared" si="13"/>
        <v>55.8</v>
      </c>
      <c r="C169" s="1">
        <f t="shared" si="14"/>
        <v>3.5</v>
      </c>
      <c r="D169" s="1">
        <f t="shared" si="15"/>
        <v>7</v>
      </c>
      <c r="E169" s="1">
        <f t="shared" si="16"/>
        <v>8</v>
      </c>
      <c r="F169" s="1">
        <f t="shared" si="17"/>
        <v>12</v>
      </c>
      <c r="H169" s="11">
        <v>42663</v>
      </c>
      <c r="I169" s="25">
        <v>0</v>
      </c>
      <c r="J169" s="9">
        <v>0</v>
      </c>
      <c r="K169" s="9">
        <v>7</v>
      </c>
      <c r="L169" s="9">
        <v>8</v>
      </c>
      <c r="M169" s="9">
        <v>12</v>
      </c>
    </row>
    <row r="170" spans="1:13" x14ac:dyDescent="0.4">
      <c r="A170" s="16">
        <f t="shared" si="12"/>
        <v>42664</v>
      </c>
      <c r="B170" s="1">
        <f t="shared" si="13"/>
        <v>53.6</v>
      </c>
      <c r="C170" s="1">
        <f t="shared" si="14"/>
        <v>4</v>
      </c>
      <c r="D170" s="1">
        <f t="shared" si="15"/>
        <v>7</v>
      </c>
      <c r="E170" s="1">
        <f t="shared" si="16"/>
        <v>8</v>
      </c>
      <c r="F170" s="1">
        <f t="shared" si="17"/>
        <v>12</v>
      </c>
      <c r="H170" s="11">
        <v>42664</v>
      </c>
      <c r="I170" s="25">
        <v>53.6</v>
      </c>
      <c r="J170" s="9">
        <v>4</v>
      </c>
      <c r="K170" s="9">
        <v>0</v>
      </c>
      <c r="L170" s="9">
        <v>0</v>
      </c>
      <c r="M170" s="9">
        <v>0</v>
      </c>
    </row>
    <row r="171" spans="1:13" x14ac:dyDescent="0.4">
      <c r="A171" s="16">
        <f t="shared" si="12"/>
        <v>42670</v>
      </c>
      <c r="B171" s="1">
        <f t="shared" si="13"/>
        <v>53.6</v>
      </c>
      <c r="C171" s="1">
        <f t="shared" si="14"/>
        <v>4</v>
      </c>
      <c r="D171" s="1">
        <f t="shared" si="15"/>
        <v>8</v>
      </c>
      <c r="E171" s="1">
        <f t="shared" si="16"/>
        <v>8</v>
      </c>
      <c r="F171" s="1">
        <f t="shared" si="17"/>
        <v>11</v>
      </c>
      <c r="H171" s="11">
        <v>42670</v>
      </c>
      <c r="I171" s="25">
        <v>0</v>
      </c>
      <c r="J171" s="9">
        <v>0</v>
      </c>
      <c r="K171" s="9">
        <v>8</v>
      </c>
      <c r="L171" s="9">
        <v>8</v>
      </c>
      <c r="M171" s="9">
        <v>11</v>
      </c>
    </row>
    <row r="172" spans="1:13" x14ac:dyDescent="0.4">
      <c r="A172" s="16">
        <f t="shared" si="12"/>
        <v>42671</v>
      </c>
      <c r="B172" s="1">
        <f t="shared" si="13"/>
        <v>54</v>
      </c>
      <c r="C172" s="1">
        <f t="shared" si="14"/>
        <v>4</v>
      </c>
      <c r="D172" s="1">
        <f t="shared" si="15"/>
        <v>8</v>
      </c>
      <c r="E172" s="1">
        <f t="shared" si="16"/>
        <v>8</v>
      </c>
      <c r="F172" s="1">
        <f t="shared" si="17"/>
        <v>11</v>
      </c>
      <c r="H172" s="11">
        <v>42671</v>
      </c>
      <c r="I172" s="25">
        <v>54</v>
      </c>
      <c r="J172" s="9">
        <v>4</v>
      </c>
      <c r="K172" s="9">
        <v>0</v>
      </c>
      <c r="L172" s="9">
        <v>0</v>
      </c>
      <c r="M172" s="9">
        <v>0</v>
      </c>
    </row>
    <row r="173" spans="1:13" x14ac:dyDescent="0.4">
      <c r="A173" s="16">
        <f t="shared" si="12"/>
        <v>42677</v>
      </c>
      <c r="B173" s="1">
        <f t="shared" si="13"/>
        <v>54</v>
      </c>
      <c r="C173" s="1">
        <f t="shared" si="14"/>
        <v>4</v>
      </c>
      <c r="D173" s="1">
        <f t="shared" si="15"/>
        <v>8.5</v>
      </c>
      <c r="E173" s="1">
        <f t="shared" si="16"/>
        <v>8.5</v>
      </c>
      <c r="F173" s="1">
        <f t="shared" si="17"/>
        <v>11</v>
      </c>
      <c r="H173" s="11">
        <v>42677</v>
      </c>
      <c r="I173" s="25">
        <v>0</v>
      </c>
      <c r="J173" s="9">
        <v>0</v>
      </c>
      <c r="K173" s="9">
        <v>8.5</v>
      </c>
      <c r="L173" s="9">
        <v>8.5</v>
      </c>
      <c r="M173" s="9">
        <v>11</v>
      </c>
    </row>
    <row r="174" spans="1:13" x14ac:dyDescent="0.4">
      <c r="A174" s="16">
        <f t="shared" si="12"/>
        <v>42678</v>
      </c>
      <c r="B174" s="1">
        <f t="shared" si="13"/>
        <v>54.3</v>
      </c>
      <c r="C174" s="1">
        <f t="shared" si="14"/>
        <v>4</v>
      </c>
      <c r="D174" s="1">
        <f t="shared" si="15"/>
        <v>8.5</v>
      </c>
      <c r="E174" s="1">
        <f t="shared" si="16"/>
        <v>8.5</v>
      </c>
      <c r="F174" s="1">
        <f t="shared" si="17"/>
        <v>11</v>
      </c>
      <c r="H174" s="11">
        <v>42678</v>
      </c>
      <c r="I174" s="25">
        <v>54.3</v>
      </c>
      <c r="J174" s="9">
        <v>4</v>
      </c>
      <c r="K174" s="9">
        <v>0</v>
      </c>
      <c r="L174" s="9">
        <v>0</v>
      </c>
      <c r="M174" s="9">
        <v>0</v>
      </c>
    </row>
    <row r="175" spans="1:13" x14ac:dyDescent="0.4">
      <c r="A175" s="16">
        <f t="shared" si="12"/>
        <v>42684</v>
      </c>
      <c r="B175" s="1">
        <f t="shared" si="13"/>
        <v>54.3</v>
      </c>
      <c r="C175" s="1">
        <f t="shared" si="14"/>
        <v>4</v>
      </c>
      <c r="D175" s="1">
        <f t="shared" si="15"/>
        <v>7</v>
      </c>
      <c r="E175" s="1">
        <f t="shared" si="16"/>
        <v>7</v>
      </c>
      <c r="F175" s="1">
        <f t="shared" si="17"/>
        <v>10</v>
      </c>
      <c r="H175" s="11">
        <v>42684</v>
      </c>
      <c r="I175" s="25">
        <v>0</v>
      </c>
      <c r="J175" s="9">
        <v>0</v>
      </c>
      <c r="K175" s="9">
        <v>7</v>
      </c>
      <c r="L175" s="9">
        <v>7</v>
      </c>
      <c r="M175" s="9">
        <v>10</v>
      </c>
    </row>
    <row r="176" spans="1:13" x14ac:dyDescent="0.4">
      <c r="A176" s="16">
        <f t="shared" si="12"/>
        <v>42685</v>
      </c>
      <c r="B176" s="1">
        <f t="shared" si="13"/>
        <v>51.7</v>
      </c>
      <c r="C176" s="1">
        <f t="shared" si="14"/>
        <v>3.5</v>
      </c>
      <c r="D176" s="1">
        <f t="shared" si="15"/>
        <v>7</v>
      </c>
      <c r="E176" s="1">
        <f t="shared" si="16"/>
        <v>7</v>
      </c>
      <c r="F176" s="1">
        <f t="shared" si="17"/>
        <v>10</v>
      </c>
      <c r="H176" s="11">
        <v>42685</v>
      </c>
      <c r="I176" s="25">
        <v>51.7</v>
      </c>
      <c r="J176" s="9">
        <v>3.5</v>
      </c>
      <c r="K176" s="9">
        <v>0</v>
      </c>
      <c r="L176" s="9">
        <v>0</v>
      </c>
      <c r="M176" s="9">
        <v>0</v>
      </c>
    </row>
    <row r="177" spans="1:13" x14ac:dyDescent="0.4">
      <c r="A177" s="16">
        <f t="shared" si="12"/>
        <v>42691</v>
      </c>
      <c r="B177" s="1">
        <f t="shared" si="13"/>
        <v>51.7</v>
      </c>
      <c r="C177" s="1">
        <f t="shared" si="14"/>
        <v>3.5</v>
      </c>
      <c r="D177" s="1">
        <f t="shared" si="15"/>
        <v>6</v>
      </c>
      <c r="E177" s="1">
        <f t="shared" si="16"/>
        <v>6</v>
      </c>
      <c r="F177" s="1">
        <f t="shared" si="17"/>
        <v>9</v>
      </c>
      <c r="H177" s="11">
        <v>42691</v>
      </c>
      <c r="I177" s="25">
        <v>0</v>
      </c>
      <c r="J177" s="9">
        <v>0</v>
      </c>
      <c r="K177" s="9">
        <v>6</v>
      </c>
      <c r="L177" s="9">
        <v>6</v>
      </c>
      <c r="M177" s="9">
        <v>9</v>
      </c>
    </row>
    <row r="178" spans="1:13" x14ac:dyDescent="0.4">
      <c r="A178" s="16">
        <f t="shared" si="12"/>
        <v>42692</v>
      </c>
      <c r="B178" s="1">
        <f t="shared" si="13"/>
        <v>44.3</v>
      </c>
      <c r="C178" s="1">
        <f t="shared" si="14"/>
        <v>3</v>
      </c>
      <c r="D178" s="1">
        <f t="shared" si="15"/>
        <v>6</v>
      </c>
      <c r="E178" s="1">
        <f t="shared" si="16"/>
        <v>6</v>
      </c>
      <c r="F178" s="1">
        <f t="shared" si="17"/>
        <v>9</v>
      </c>
      <c r="H178" s="11">
        <v>42692</v>
      </c>
      <c r="I178" s="25">
        <v>44.3</v>
      </c>
      <c r="J178" s="9">
        <v>3</v>
      </c>
      <c r="K178" s="9">
        <v>0</v>
      </c>
      <c r="L178" s="9">
        <v>0</v>
      </c>
      <c r="M178" s="9">
        <v>0</v>
      </c>
    </row>
    <row r="179" spans="1:13" x14ac:dyDescent="0.4">
      <c r="A179" s="16">
        <f t="shared" si="12"/>
        <v>42698</v>
      </c>
      <c r="B179" s="1">
        <f t="shared" si="13"/>
        <v>44.3</v>
      </c>
      <c r="C179" s="1">
        <f t="shared" si="14"/>
        <v>3</v>
      </c>
      <c r="D179" s="1">
        <f t="shared" si="15"/>
        <v>7</v>
      </c>
      <c r="E179" s="1">
        <f t="shared" si="16"/>
        <v>7</v>
      </c>
      <c r="F179" s="1">
        <f t="shared" si="17"/>
        <v>9</v>
      </c>
      <c r="H179" s="11">
        <v>42698</v>
      </c>
      <c r="I179" s="25">
        <v>0</v>
      </c>
      <c r="J179" s="9">
        <v>0</v>
      </c>
      <c r="K179" s="9">
        <v>7</v>
      </c>
      <c r="L179" s="9">
        <v>7</v>
      </c>
      <c r="M179" s="9">
        <v>9</v>
      </c>
    </row>
    <row r="180" spans="1:13" x14ac:dyDescent="0.4">
      <c r="A180" s="16">
        <f t="shared" si="12"/>
        <v>42699</v>
      </c>
      <c r="B180" s="1">
        <f t="shared" si="13"/>
        <v>39.299999999999997</v>
      </c>
      <c r="C180" s="1">
        <f t="shared" si="14"/>
        <v>3</v>
      </c>
      <c r="D180" s="1">
        <f t="shared" si="15"/>
        <v>7</v>
      </c>
      <c r="E180" s="1">
        <f t="shared" si="16"/>
        <v>7</v>
      </c>
      <c r="F180" s="1">
        <f t="shared" si="17"/>
        <v>9</v>
      </c>
      <c r="H180" s="11">
        <v>42699</v>
      </c>
      <c r="I180" s="25">
        <v>39.299999999999997</v>
      </c>
      <c r="J180" s="9">
        <v>3</v>
      </c>
      <c r="K180" s="9">
        <v>0</v>
      </c>
      <c r="L180" s="9">
        <v>0</v>
      </c>
      <c r="M180" s="9">
        <v>0</v>
      </c>
    </row>
    <row r="181" spans="1:13" x14ac:dyDescent="0.4">
      <c r="A181" s="16">
        <f t="shared" si="12"/>
        <v>42705</v>
      </c>
      <c r="B181" s="1">
        <f t="shared" si="13"/>
        <v>39.299999999999997</v>
      </c>
      <c r="C181" s="1">
        <f t="shared" si="14"/>
        <v>3</v>
      </c>
      <c r="D181" s="1">
        <f t="shared" si="15"/>
        <v>7</v>
      </c>
      <c r="E181" s="1">
        <f t="shared" si="16"/>
        <v>7</v>
      </c>
      <c r="F181" s="1">
        <f t="shared" si="17"/>
        <v>9</v>
      </c>
      <c r="H181" s="11">
        <v>42705</v>
      </c>
      <c r="I181" s="25">
        <v>0</v>
      </c>
      <c r="J181" s="9">
        <v>0</v>
      </c>
      <c r="K181" s="9">
        <v>7</v>
      </c>
      <c r="L181" s="9">
        <v>7</v>
      </c>
      <c r="M181" s="9">
        <v>9</v>
      </c>
    </row>
    <row r="182" spans="1:13" x14ac:dyDescent="0.4">
      <c r="A182" s="16">
        <f t="shared" si="12"/>
        <v>42706</v>
      </c>
      <c r="B182" s="1">
        <f t="shared" si="13"/>
        <v>38.5</v>
      </c>
      <c r="C182" s="1">
        <f t="shared" si="14"/>
        <v>3</v>
      </c>
      <c r="D182" s="1">
        <f t="shared" si="15"/>
        <v>7</v>
      </c>
      <c r="E182" s="1">
        <f t="shared" si="16"/>
        <v>7</v>
      </c>
      <c r="F182" s="1">
        <f t="shared" si="17"/>
        <v>9</v>
      </c>
      <c r="H182" s="11">
        <v>42706</v>
      </c>
      <c r="I182" s="25">
        <v>38.5</v>
      </c>
      <c r="J182" s="9">
        <v>0</v>
      </c>
      <c r="K182" s="9">
        <v>0</v>
      </c>
      <c r="L182" s="9">
        <v>0</v>
      </c>
      <c r="M182" s="9">
        <v>0</v>
      </c>
    </row>
    <row r="183" spans="1:13" x14ac:dyDescent="0.4">
      <c r="A183" s="16">
        <f t="shared" si="12"/>
        <v>42712</v>
      </c>
      <c r="B183" s="1">
        <f t="shared" si="13"/>
        <v>38.5</v>
      </c>
      <c r="C183" s="1">
        <f t="shared" si="14"/>
        <v>3</v>
      </c>
      <c r="D183" s="1">
        <f t="shared" si="15"/>
        <v>4</v>
      </c>
      <c r="E183" s="1">
        <f t="shared" si="16"/>
        <v>4</v>
      </c>
      <c r="F183" s="1">
        <f t="shared" si="17"/>
        <v>6</v>
      </c>
      <c r="H183" s="11">
        <v>42712</v>
      </c>
      <c r="I183" s="25">
        <v>0</v>
      </c>
      <c r="J183" s="9">
        <v>0</v>
      </c>
      <c r="K183" s="9">
        <v>4</v>
      </c>
      <c r="L183" s="9">
        <v>4</v>
      </c>
      <c r="M183" s="9">
        <v>6</v>
      </c>
    </row>
    <row r="184" spans="1:13" x14ac:dyDescent="0.4">
      <c r="A184" s="16">
        <f t="shared" si="12"/>
        <v>42713</v>
      </c>
      <c r="B184" s="1">
        <f t="shared" si="13"/>
        <v>32.1</v>
      </c>
      <c r="C184" s="1">
        <f t="shared" si="14"/>
        <v>3</v>
      </c>
      <c r="D184" s="1">
        <f t="shared" si="15"/>
        <v>4</v>
      </c>
      <c r="E184" s="1">
        <f t="shared" si="16"/>
        <v>4</v>
      </c>
      <c r="F184" s="1">
        <f t="shared" si="17"/>
        <v>6</v>
      </c>
      <c r="H184" s="11">
        <v>42713</v>
      </c>
      <c r="I184" s="25">
        <v>32.1</v>
      </c>
      <c r="J184" s="9">
        <v>3</v>
      </c>
      <c r="K184" s="9">
        <v>0</v>
      </c>
      <c r="L184" s="9">
        <v>0</v>
      </c>
      <c r="M184" s="9">
        <v>0</v>
      </c>
    </row>
    <row r="185" spans="1:13" x14ac:dyDescent="0.4">
      <c r="A185" s="16">
        <f t="shared" si="12"/>
        <v>42719</v>
      </c>
      <c r="B185" s="1">
        <f t="shared" si="13"/>
        <v>32.1</v>
      </c>
      <c r="C185" s="1">
        <f t="shared" si="14"/>
        <v>3</v>
      </c>
      <c r="D185" s="1">
        <f t="shared" si="15"/>
        <v>2</v>
      </c>
      <c r="E185" s="1">
        <f t="shared" si="16"/>
        <v>2</v>
      </c>
      <c r="F185" s="1">
        <f t="shared" si="17"/>
        <v>4.5</v>
      </c>
      <c r="H185" s="11">
        <v>42719</v>
      </c>
      <c r="I185" s="25">
        <v>0</v>
      </c>
      <c r="J185" s="9">
        <v>0</v>
      </c>
      <c r="K185" s="9">
        <v>2</v>
      </c>
      <c r="L185" s="9">
        <v>2</v>
      </c>
      <c r="M185" s="9">
        <v>4.5</v>
      </c>
    </row>
    <row r="186" spans="1:13" x14ac:dyDescent="0.4">
      <c r="A186" s="16">
        <f t="shared" si="12"/>
        <v>42720</v>
      </c>
      <c r="B186" s="1">
        <f t="shared" si="13"/>
        <v>30.2</v>
      </c>
      <c r="C186" s="1">
        <f t="shared" si="14"/>
        <v>3</v>
      </c>
      <c r="D186" s="1">
        <f t="shared" si="15"/>
        <v>2</v>
      </c>
      <c r="E186" s="1">
        <f t="shared" si="16"/>
        <v>2</v>
      </c>
      <c r="F186" s="1">
        <f t="shared" si="17"/>
        <v>4.5</v>
      </c>
      <c r="H186" s="11">
        <v>42720</v>
      </c>
      <c r="I186" s="25">
        <v>30.2</v>
      </c>
      <c r="J186" s="9">
        <v>3</v>
      </c>
      <c r="K186" s="9">
        <v>0</v>
      </c>
      <c r="L186" s="9">
        <v>0</v>
      </c>
      <c r="M186" s="9">
        <v>0</v>
      </c>
    </row>
    <row r="187" spans="1:13" x14ac:dyDescent="0.4">
      <c r="A187" s="16">
        <f t="shared" si="12"/>
        <v>42726</v>
      </c>
      <c r="B187" s="1">
        <f t="shared" si="13"/>
        <v>30.2</v>
      </c>
      <c r="C187" s="1">
        <f t="shared" si="14"/>
        <v>3</v>
      </c>
      <c r="D187" s="1">
        <f t="shared" si="15"/>
        <v>4</v>
      </c>
      <c r="E187" s="1">
        <f t="shared" si="16"/>
        <v>3</v>
      </c>
      <c r="F187" s="1">
        <f t="shared" si="17"/>
        <v>6</v>
      </c>
      <c r="H187" s="11">
        <v>42726</v>
      </c>
      <c r="I187" s="25">
        <v>0</v>
      </c>
      <c r="J187" s="9">
        <v>0</v>
      </c>
      <c r="K187" s="9">
        <v>4</v>
      </c>
      <c r="L187" s="9">
        <v>3</v>
      </c>
      <c r="M187" s="9">
        <v>6</v>
      </c>
    </row>
    <row r="188" spans="1:13" x14ac:dyDescent="0.4">
      <c r="A188" s="16">
        <f t="shared" si="12"/>
        <v>42727</v>
      </c>
      <c r="B188" s="1">
        <f t="shared" si="13"/>
        <v>29.9</v>
      </c>
      <c r="C188" s="1">
        <f t="shared" si="14"/>
        <v>2.5</v>
      </c>
      <c r="D188" s="1">
        <f t="shared" si="15"/>
        <v>4</v>
      </c>
      <c r="E188" s="1">
        <f t="shared" si="16"/>
        <v>3</v>
      </c>
      <c r="F188" s="1">
        <f t="shared" si="17"/>
        <v>6</v>
      </c>
      <c r="H188" s="11">
        <v>42727</v>
      </c>
      <c r="I188" s="25">
        <v>29.9</v>
      </c>
      <c r="J188" s="9">
        <v>2.5</v>
      </c>
      <c r="K188" s="9">
        <v>0</v>
      </c>
      <c r="L188" s="9">
        <v>0</v>
      </c>
      <c r="M188" s="9">
        <v>0</v>
      </c>
    </row>
    <row r="189" spans="1:13" x14ac:dyDescent="0.4">
      <c r="A189" s="16">
        <f t="shared" si="12"/>
        <v>42733</v>
      </c>
      <c r="B189" s="1">
        <f t="shared" si="13"/>
        <v>29.9</v>
      </c>
      <c r="C189" s="1">
        <f t="shared" si="14"/>
        <v>2.5</v>
      </c>
      <c r="D189" s="1">
        <f t="shared" si="15"/>
        <v>4</v>
      </c>
      <c r="E189" s="1">
        <f t="shared" si="16"/>
        <v>3</v>
      </c>
      <c r="F189" s="1">
        <f t="shared" si="17"/>
        <v>6</v>
      </c>
      <c r="H189" s="11">
        <v>42733</v>
      </c>
      <c r="I189" s="25">
        <v>0</v>
      </c>
      <c r="J189" s="9">
        <v>0</v>
      </c>
      <c r="K189" s="9">
        <v>4</v>
      </c>
      <c r="L189" s="9">
        <v>3</v>
      </c>
      <c r="M189" s="9">
        <v>6</v>
      </c>
    </row>
    <row r="190" spans="1:13" x14ac:dyDescent="0.4">
      <c r="A190" s="16">
        <f t="shared" si="12"/>
        <v>42734</v>
      </c>
      <c r="B190" s="1">
        <f t="shared" si="13"/>
        <v>28.1</v>
      </c>
      <c r="C190" s="1">
        <f t="shared" si="14"/>
        <v>2.5</v>
      </c>
      <c r="D190" s="1">
        <f t="shared" si="15"/>
        <v>4</v>
      </c>
      <c r="E190" s="1">
        <f t="shared" si="16"/>
        <v>3</v>
      </c>
      <c r="F190" s="1">
        <f t="shared" si="17"/>
        <v>6</v>
      </c>
      <c r="H190" s="11">
        <v>42734</v>
      </c>
      <c r="I190" s="25">
        <v>28.1</v>
      </c>
      <c r="J190" s="9">
        <v>2.5</v>
      </c>
      <c r="K190" s="9">
        <v>0</v>
      </c>
      <c r="L190" s="9">
        <v>0</v>
      </c>
      <c r="M190" s="9">
        <v>0</v>
      </c>
    </row>
    <row r="191" spans="1:13" x14ac:dyDescent="0.4">
      <c r="A191" s="16">
        <f t="shared" si="12"/>
        <v>42740</v>
      </c>
      <c r="B191" s="1">
        <f t="shared" si="13"/>
        <v>28.1</v>
      </c>
      <c r="C191" s="1">
        <f t="shared" si="14"/>
        <v>2.5</v>
      </c>
      <c r="D191" s="1">
        <f t="shared" si="15"/>
        <v>7</v>
      </c>
      <c r="E191" s="1">
        <f t="shared" si="16"/>
        <v>6</v>
      </c>
      <c r="F191" s="1">
        <f t="shared" si="17"/>
        <v>8</v>
      </c>
      <c r="H191" s="11">
        <v>42740</v>
      </c>
      <c r="I191" s="25">
        <v>0</v>
      </c>
      <c r="J191" s="9">
        <v>0</v>
      </c>
      <c r="K191" s="9">
        <v>7</v>
      </c>
      <c r="L191" s="9">
        <v>6</v>
      </c>
      <c r="M191" s="9">
        <v>8</v>
      </c>
    </row>
    <row r="192" spans="1:13" x14ac:dyDescent="0.4">
      <c r="A192" s="16">
        <f t="shared" si="12"/>
        <v>42741</v>
      </c>
      <c r="B192" s="1">
        <f t="shared" si="13"/>
        <v>25.5</v>
      </c>
      <c r="C192" s="1">
        <f t="shared" si="14"/>
        <v>2.5</v>
      </c>
      <c r="D192" s="1">
        <f t="shared" si="15"/>
        <v>7</v>
      </c>
      <c r="E192" s="1">
        <f t="shared" si="16"/>
        <v>6</v>
      </c>
      <c r="F192" s="1">
        <f t="shared" si="17"/>
        <v>8</v>
      </c>
      <c r="H192" s="11">
        <v>42741</v>
      </c>
      <c r="I192" s="25">
        <v>25.5</v>
      </c>
      <c r="J192" s="9">
        <v>2.5</v>
      </c>
      <c r="K192" s="9">
        <v>0</v>
      </c>
      <c r="L192" s="9">
        <v>0</v>
      </c>
      <c r="M192" s="9">
        <v>0</v>
      </c>
    </row>
    <row r="193" spans="1:13" x14ac:dyDescent="0.4">
      <c r="A193" s="16">
        <f t="shared" si="12"/>
        <v>42747</v>
      </c>
      <c r="B193" s="1">
        <f t="shared" si="13"/>
        <v>25.5</v>
      </c>
      <c r="C193" s="1">
        <f t="shared" si="14"/>
        <v>2.5</v>
      </c>
      <c r="D193" s="1">
        <f t="shared" si="15"/>
        <v>9</v>
      </c>
      <c r="E193" s="1">
        <f t="shared" si="16"/>
        <v>9</v>
      </c>
      <c r="F193" s="1">
        <f t="shared" si="17"/>
        <v>11</v>
      </c>
      <c r="H193" s="11">
        <v>42747</v>
      </c>
      <c r="I193" s="25">
        <v>0</v>
      </c>
      <c r="J193" s="9">
        <v>0</v>
      </c>
      <c r="K193" s="9">
        <v>9</v>
      </c>
      <c r="L193" s="9">
        <v>9</v>
      </c>
      <c r="M193" s="9">
        <v>11</v>
      </c>
    </row>
    <row r="194" spans="1:13" x14ac:dyDescent="0.4">
      <c r="A194" s="16">
        <f t="shared" si="12"/>
        <v>42748</v>
      </c>
      <c r="B194" s="1">
        <f t="shared" si="13"/>
        <v>28.2</v>
      </c>
      <c r="C194" s="1">
        <f t="shared" si="14"/>
        <v>2.5</v>
      </c>
      <c r="D194" s="1">
        <f t="shared" si="15"/>
        <v>9</v>
      </c>
      <c r="E194" s="1">
        <f t="shared" si="16"/>
        <v>9</v>
      </c>
      <c r="F194" s="1">
        <f t="shared" si="17"/>
        <v>11</v>
      </c>
      <c r="H194" s="11">
        <v>42748</v>
      </c>
      <c r="I194" s="25">
        <v>28.2</v>
      </c>
      <c r="J194" s="9">
        <v>2.5</v>
      </c>
      <c r="K194" s="9">
        <v>0</v>
      </c>
      <c r="L194" s="9">
        <v>0</v>
      </c>
      <c r="M194" s="9">
        <v>0</v>
      </c>
    </row>
    <row r="195" spans="1:13" x14ac:dyDescent="0.4">
      <c r="A195" s="16">
        <f t="shared" si="12"/>
        <v>42754</v>
      </c>
      <c r="B195" s="1">
        <f t="shared" si="13"/>
        <v>28.2</v>
      </c>
      <c r="C195" s="1">
        <f t="shared" si="14"/>
        <v>2.5</v>
      </c>
      <c r="D195" s="1">
        <f t="shared" si="15"/>
        <v>7</v>
      </c>
      <c r="E195" s="1">
        <f t="shared" si="16"/>
        <v>11</v>
      </c>
      <c r="F195" s="1">
        <f t="shared" si="17"/>
        <v>14</v>
      </c>
      <c r="H195" s="11">
        <v>42754</v>
      </c>
      <c r="I195" s="25">
        <v>0</v>
      </c>
      <c r="J195" s="9">
        <v>0</v>
      </c>
      <c r="K195" s="9">
        <v>7</v>
      </c>
      <c r="L195" s="9">
        <v>11</v>
      </c>
      <c r="M195" s="9">
        <v>14</v>
      </c>
    </row>
    <row r="196" spans="1:13" x14ac:dyDescent="0.4">
      <c r="A196" s="16">
        <f t="shared" si="12"/>
        <v>42755</v>
      </c>
      <c r="B196" s="1">
        <f t="shared" si="13"/>
        <v>27.9</v>
      </c>
      <c r="C196" s="1">
        <f t="shared" si="14"/>
        <v>2.5</v>
      </c>
      <c r="D196" s="1">
        <f t="shared" si="15"/>
        <v>7</v>
      </c>
      <c r="E196" s="1">
        <f t="shared" si="16"/>
        <v>11</v>
      </c>
      <c r="F196" s="1">
        <f t="shared" si="17"/>
        <v>14</v>
      </c>
      <c r="H196" s="11">
        <v>42755</v>
      </c>
      <c r="I196" s="25">
        <v>27.9</v>
      </c>
      <c r="J196" s="9">
        <v>2.5</v>
      </c>
      <c r="K196" s="9">
        <v>0</v>
      </c>
      <c r="L196" s="9">
        <v>0</v>
      </c>
      <c r="M196" s="9">
        <v>0</v>
      </c>
    </row>
    <row r="197" spans="1:13" x14ac:dyDescent="0.4">
      <c r="A197" s="16">
        <f t="shared" si="12"/>
        <v>42770</v>
      </c>
      <c r="B197" s="1">
        <f t="shared" si="13"/>
        <v>30.3</v>
      </c>
      <c r="C197" s="1">
        <f t="shared" si="14"/>
        <v>2.5</v>
      </c>
      <c r="D197" s="1">
        <f t="shared" si="15"/>
        <v>7</v>
      </c>
      <c r="E197" s="1">
        <f t="shared" si="16"/>
        <v>11</v>
      </c>
      <c r="F197" s="1">
        <f t="shared" si="17"/>
        <v>14</v>
      </c>
      <c r="H197" s="11">
        <v>42770</v>
      </c>
      <c r="I197" s="25">
        <v>30.3</v>
      </c>
      <c r="J197" s="9">
        <v>0</v>
      </c>
      <c r="K197" s="9">
        <v>0</v>
      </c>
      <c r="L197" s="9">
        <v>0</v>
      </c>
      <c r="M197" s="9">
        <v>0</v>
      </c>
    </row>
    <row r="198" spans="1:13" x14ac:dyDescent="0.4">
      <c r="A198" s="16">
        <f t="shared" ref="A198:A261" si="18">H198</f>
        <v>42775</v>
      </c>
      <c r="B198" s="1">
        <f t="shared" ref="B198:B261" si="19">IF(I198&lt;&gt;0,I198,B197)</f>
        <v>30.3</v>
      </c>
      <c r="C198" s="1">
        <f t="shared" si="14"/>
        <v>2.5</v>
      </c>
      <c r="D198" s="1">
        <f t="shared" si="15"/>
        <v>12</v>
      </c>
      <c r="E198" s="1">
        <f t="shared" si="16"/>
        <v>18</v>
      </c>
      <c r="F198" s="1">
        <f t="shared" si="17"/>
        <v>24</v>
      </c>
      <c r="H198" s="11">
        <v>42775</v>
      </c>
      <c r="I198" s="25">
        <v>0</v>
      </c>
      <c r="J198" s="9">
        <v>0</v>
      </c>
      <c r="K198" s="9">
        <v>12</v>
      </c>
      <c r="L198" s="9">
        <v>18</v>
      </c>
      <c r="M198" s="9">
        <v>24</v>
      </c>
    </row>
    <row r="199" spans="1:13" x14ac:dyDescent="0.4">
      <c r="A199" s="16">
        <f t="shared" si="18"/>
        <v>42776</v>
      </c>
      <c r="B199" s="1">
        <f t="shared" si="19"/>
        <v>34.1</v>
      </c>
      <c r="C199" s="1">
        <f t="shared" ref="C199:C262" si="20">IF(J199&lt;&gt;0,J199,C198)</f>
        <v>3</v>
      </c>
      <c r="D199" s="1">
        <f t="shared" ref="D199:D262" si="21">IF(K199&lt;&gt;0,K199,D198)</f>
        <v>12</v>
      </c>
      <c r="E199" s="1">
        <f t="shared" ref="E199:E262" si="22">IF(L199&lt;&gt;0,L199,E198)</f>
        <v>18</v>
      </c>
      <c r="F199" s="1">
        <f t="shared" ref="F199:F262" si="23">IF(M199&lt;&gt;0,M199,F198)</f>
        <v>24</v>
      </c>
      <c r="H199" s="11">
        <v>42776</v>
      </c>
      <c r="I199" s="25">
        <v>34.1</v>
      </c>
      <c r="J199" s="9">
        <v>3</v>
      </c>
      <c r="K199" s="9">
        <v>0</v>
      </c>
      <c r="L199" s="9">
        <v>0</v>
      </c>
      <c r="M199" s="9">
        <v>0</v>
      </c>
    </row>
    <row r="200" spans="1:13" x14ac:dyDescent="0.4">
      <c r="A200" s="16">
        <f t="shared" si="18"/>
        <v>42782</v>
      </c>
      <c r="B200" s="1">
        <f t="shared" si="19"/>
        <v>34.1</v>
      </c>
      <c r="C200" s="1">
        <f t="shared" si="20"/>
        <v>3</v>
      </c>
      <c r="D200" s="1">
        <f t="shared" si="21"/>
        <v>12.5</v>
      </c>
      <c r="E200" s="1">
        <f t="shared" si="22"/>
        <v>19</v>
      </c>
      <c r="F200" s="1">
        <f t="shared" si="23"/>
        <v>25</v>
      </c>
      <c r="H200" s="11">
        <v>42782</v>
      </c>
      <c r="I200" s="25">
        <v>0</v>
      </c>
      <c r="J200" s="9">
        <v>0</v>
      </c>
      <c r="K200" s="9">
        <v>12.5</v>
      </c>
      <c r="L200" s="9">
        <v>19</v>
      </c>
      <c r="M200" s="9">
        <v>25</v>
      </c>
    </row>
    <row r="201" spans="1:13" x14ac:dyDescent="0.4">
      <c r="A201" s="16">
        <f t="shared" si="18"/>
        <v>42783</v>
      </c>
      <c r="B201" s="1">
        <f t="shared" si="19"/>
        <v>45.2</v>
      </c>
      <c r="C201" s="1">
        <f t="shared" si="20"/>
        <v>3</v>
      </c>
      <c r="D201" s="1">
        <f t="shared" si="21"/>
        <v>12.5</v>
      </c>
      <c r="E201" s="1">
        <f t="shared" si="22"/>
        <v>19</v>
      </c>
      <c r="F201" s="1">
        <f t="shared" si="23"/>
        <v>25</v>
      </c>
      <c r="H201" s="11">
        <v>42783</v>
      </c>
      <c r="I201" s="25">
        <v>45.2</v>
      </c>
      <c r="J201" s="9">
        <v>3</v>
      </c>
      <c r="K201" s="9">
        <v>0</v>
      </c>
      <c r="L201" s="9">
        <v>0</v>
      </c>
      <c r="M201" s="9">
        <v>0</v>
      </c>
    </row>
    <row r="202" spans="1:13" x14ac:dyDescent="0.4">
      <c r="A202" s="16">
        <f t="shared" si="18"/>
        <v>42789</v>
      </c>
      <c r="B202" s="1">
        <f t="shared" si="19"/>
        <v>45.2</v>
      </c>
      <c r="C202" s="1">
        <f t="shared" si="20"/>
        <v>3</v>
      </c>
      <c r="D202" s="1">
        <f t="shared" si="21"/>
        <v>13.8</v>
      </c>
      <c r="E202" s="1">
        <f t="shared" si="22"/>
        <v>20.7</v>
      </c>
      <c r="F202" s="1">
        <f t="shared" si="23"/>
        <v>27</v>
      </c>
      <c r="H202" s="11">
        <v>42789</v>
      </c>
      <c r="I202" s="25">
        <v>0</v>
      </c>
      <c r="J202" s="9">
        <v>0</v>
      </c>
      <c r="K202" s="9">
        <v>13.8</v>
      </c>
      <c r="L202" s="9">
        <v>20.7</v>
      </c>
      <c r="M202" s="9">
        <v>27</v>
      </c>
    </row>
    <row r="203" spans="1:13" x14ac:dyDescent="0.4">
      <c r="A203" s="16">
        <f t="shared" si="18"/>
        <v>42790</v>
      </c>
      <c r="B203" s="1">
        <f t="shared" si="19"/>
        <v>48.1</v>
      </c>
      <c r="C203" s="1">
        <f t="shared" si="20"/>
        <v>3</v>
      </c>
      <c r="D203" s="1">
        <f t="shared" si="21"/>
        <v>13.8</v>
      </c>
      <c r="E203" s="1">
        <f t="shared" si="22"/>
        <v>20.7</v>
      </c>
      <c r="F203" s="1">
        <f t="shared" si="23"/>
        <v>27</v>
      </c>
      <c r="H203" s="11">
        <v>42790</v>
      </c>
      <c r="I203" s="25">
        <v>48.1</v>
      </c>
      <c r="J203" s="9">
        <v>3</v>
      </c>
      <c r="K203" s="9">
        <v>0</v>
      </c>
      <c r="L203" s="9">
        <v>0</v>
      </c>
      <c r="M203" s="9">
        <v>0</v>
      </c>
    </row>
    <row r="204" spans="1:13" x14ac:dyDescent="0.4">
      <c r="A204" s="16">
        <f t="shared" si="18"/>
        <v>42796</v>
      </c>
      <c r="B204" s="1">
        <f t="shared" si="19"/>
        <v>48.1</v>
      </c>
      <c r="C204" s="1">
        <f t="shared" si="20"/>
        <v>3</v>
      </c>
      <c r="D204" s="1">
        <f t="shared" si="21"/>
        <v>14.3</v>
      </c>
      <c r="E204" s="1">
        <f t="shared" si="22"/>
        <v>21.3</v>
      </c>
      <c r="F204" s="1">
        <f t="shared" si="23"/>
        <v>27.4</v>
      </c>
      <c r="H204" s="11">
        <v>42796</v>
      </c>
      <c r="I204" s="25">
        <v>0</v>
      </c>
      <c r="J204" s="9">
        <v>0</v>
      </c>
      <c r="K204" s="9">
        <v>14.3</v>
      </c>
      <c r="L204" s="9">
        <v>21.3</v>
      </c>
      <c r="M204" s="9">
        <v>27.4</v>
      </c>
    </row>
    <row r="205" spans="1:13" x14ac:dyDescent="0.4">
      <c r="A205" s="16">
        <f t="shared" si="18"/>
        <v>42797</v>
      </c>
      <c r="B205" s="1">
        <f t="shared" si="19"/>
        <v>55.2</v>
      </c>
      <c r="C205" s="1">
        <f t="shared" si="20"/>
        <v>3</v>
      </c>
      <c r="D205" s="1">
        <f t="shared" si="21"/>
        <v>14.3</v>
      </c>
      <c r="E205" s="1">
        <f t="shared" si="22"/>
        <v>21.3</v>
      </c>
      <c r="F205" s="1">
        <f t="shared" si="23"/>
        <v>27.4</v>
      </c>
      <c r="H205" s="11">
        <v>42797</v>
      </c>
      <c r="I205" s="25">
        <v>55.2</v>
      </c>
      <c r="J205" s="9">
        <v>3</v>
      </c>
      <c r="K205" s="9">
        <v>0</v>
      </c>
      <c r="L205" s="9">
        <v>0</v>
      </c>
      <c r="M205" s="9">
        <v>0</v>
      </c>
    </row>
    <row r="206" spans="1:13" x14ac:dyDescent="0.4">
      <c r="A206" s="16">
        <f t="shared" si="18"/>
        <v>42803</v>
      </c>
      <c r="B206" s="1">
        <f t="shared" si="19"/>
        <v>55.2</v>
      </c>
      <c r="C206" s="1">
        <f t="shared" si="20"/>
        <v>3</v>
      </c>
      <c r="D206" s="1">
        <f t="shared" si="21"/>
        <v>17.3</v>
      </c>
      <c r="E206" s="1">
        <f t="shared" si="22"/>
        <v>23.3</v>
      </c>
      <c r="F206" s="1">
        <f t="shared" si="23"/>
        <v>28.5</v>
      </c>
      <c r="H206" s="11">
        <v>42803</v>
      </c>
      <c r="I206" s="25">
        <v>0</v>
      </c>
      <c r="J206" s="9">
        <v>0</v>
      </c>
      <c r="K206" s="9">
        <v>17.3</v>
      </c>
      <c r="L206" s="9">
        <v>23.3</v>
      </c>
      <c r="M206" s="9">
        <v>28.5</v>
      </c>
    </row>
    <row r="207" spans="1:13" x14ac:dyDescent="0.4">
      <c r="A207" s="16">
        <f t="shared" si="18"/>
        <v>42804</v>
      </c>
      <c r="B207" s="1">
        <f t="shared" si="19"/>
        <v>53.5</v>
      </c>
      <c r="C207" s="1">
        <f t="shared" si="20"/>
        <v>3</v>
      </c>
      <c r="D207" s="1">
        <f t="shared" si="21"/>
        <v>17.3</v>
      </c>
      <c r="E207" s="1">
        <f t="shared" si="22"/>
        <v>23.3</v>
      </c>
      <c r="F207" s="1">
        <f t="shared" si="23"/>
        <v>28.5</v>
      </c>
      <c r="H207" s="11">
        <v>42804</v>
      </c>
      <c r="I207" s="25">
        <v>53.5</v>
      </c>
      <c r="J207" s="9">
        <v>3</v>
      </c>
      <c r="K207" s="9">
        <v>0</v>
      </c>
      <c r="L207" s="9">
        <v>0</v>
      </c>
      <c r="M207" s="9">
        <v>0</v>
      </c>
    </row>
    <row r="208" spans="1:13" x14ac:dyDescent="0.4">
      <c r="A208" s="16">
        <f t="shared" si="18"/>
        <v>42810</v>
      </c>
      <c r="B208" s="1">
        <f t="shared" si="19"/>
        <v>53.5</v>
      </c>
      <c r="C208" s="1">
        <f t="shared" si="20"/>
        <v>3</v>
      </c>
      <c r="D208" s="1">
        <f t="shared" si="21"/>
        <v>20</v>
      </c>
      <c r="E208" s="1">
        <f t="shared" si="22"/>
        <v>23</v>
      </c>
      <c r="F208" s="1">
        <f t="shared" si="23"/>
        <v>27</v>
      </c>
      <c r="H208" s="11">
        <v>42810</v>
      </c>
      <c r="I208" s="25">
        <v>0</v>
      </c>
      <c r="J208" s="9">
        <v>0</v>
      </c>
      <c r="K208" s="9">
        <v>20</v>
      </c>
      <c r="L208" s="9">
        <v>23</v>
      </c>
      <c r="M208" s="9">
        <v>27</v>
      </c>
    </row>
    <row r="209" spans="1:13" x14ac:dyDescent="0.4">
      <c r="A209" s="16">
        <f t="shared" si="18"/>
        <v>42811</v>
      </c>
      <c r="B209" s="1">
        <f t="shared" si="19"/>
        <v>50.3</v>
      </c>
      <c r="C209" s="1">
        <f t="shared" si="20"/>
        <v>3</v>
      </c>
      <c r="D209" s="1">
        <f t="shared" si="21"/>
        <v>20</v>
      </c>
      <c r="E209" s="1">
        <f t="shared" si="22"/>
        <v>23</v>
      </c>
      <c r="F209" s="1">
        <f t="shared" si="23"/>
        <v>27</v>
      </c>
      <c r="H209" s="11">
        <v>42811</v>
      </c>
      <c r="I209" s="25">
        <v>50.3</v>
      </c>
      <c r="J209" s="9">
        <v>3</v>
      </c>
      <c r="K209" s="9">
        <v>0</v>
      </c>
      <c r="L209" s="9">
        <v>0</v>
      </c>
      <c r="M209" s="9">
        <v>0</v>
      </c>
    </row>
    <row r="210" spans="1:13" x14ac:dyDescent="0.4">
      <c r="A210" s="16">
        <f t="shared" si="18"/>
        <v>42817</v>
      </c>
      <c r="B210" s="1">
        <f t="shared" si="19"/>
        <v>50.3</v>
      </c>
      <c r="C210" s="1">
        <f t="shared" si="20"/>
        <v>3</v>
      </c>
      <c r="D210" s="1">
        <f t="shared" si="21"/>
        <v>20.7</v>
      </c>
      <c r="E210" s="1">
        <f t="shared" si="22"/>
        <v>23.7</v>
      </c>
      <c r="F210" s="1">
        <f t="shared" si="23"/>
        <v>27.4</v>
      </c>
      <c r="H210" s="11">
        <v>42817</v>
      </c>
      <c r="I210" s="25">
        <v>0</v>
      </c>
      <c r="J210" s="9">
        <v>0</v>
      </c>
      <c r="K210" s="9">
        <v>20.7</v>
      </c>
      <c r="L210" s="9">
        <v>23.7</v>
      </c>
      <c r="M210" s="9">
        <v>27.4</v>
      </c>
    </row>
    <row r="211" spans="1:13" x14ac:dyDescent="0.4">
      <c r="A211" s="16">
        <f t="shared" si="18"/>
        <v>42818</v>
      </c>
      <c r="B211" s="1">
        <f t="shared" si="19"/>
        <v>49.6</v>
      </c>
      <c r="C211" s="1">
        <f t="shared" si="20"/>
        <v>3</v>
      </c>
      <c r="D211" s="1">
        <f t="shared" si="21"/>
        <v>20.7</v>
      </c>
      <c r="E211" s="1">
        <f t="shared" si="22"/>
        <v>23.7</v>
      </c>
      <c r="F211" s="1">
        <f t="shared" si="23"/>
        <v>27.4</v>
      </c>
      <c r="H211" s="11">
        <v>42818</v>
      </c>
      <c r="I211" s="25">
        <v>49.6</v>
      </c>
      <c r="J211" s="9">
        <v>3</v>
      </c>
      <c r="K211" s="9">
        <v>0</v>
      </c>
      <c r="L211" s="9">
        <v>0</v>
      </c>
      <c r="M211" s="9">
        <v>0</v>
      </c>
    </row>
    <row r="212" spans="1:13" x14ac:dyDescent="0.4">
      <c r="A212" s="16">
        <f t="shared" si="18"/>
        <v>42824</v>
      </c>
      <c r="B212" s="1">
        <f t="shared" si="19"/>
        <v>49.6</v>
      </c>
      <c r="C212" s="1">
        <f t="shared" si="20"/>
        <v>3</v>
      </c>
      <c r="D212" s="1">
        <f t="shared" si="21"/>
        <v>20.8</v>
      </c>
      <c r="E212" s="1">
        <f t="shared" si="22"/>
        <v>23.5</v>
      </c>
      <c r="F212" s="1">
        <f t="shared" si="23"/>
        <v>27.5</v>
      </c>
      <c r="H212" s="11">
        <v>42824</v>
      </c>
      <c r="I212" s="25">
        <v>0</v>
      </c>
      <c r="J212" s="9">
        <v>0</v>
      </c>
      <c r="K212" s="9">
        <v>20.8</v>
      </c>
      <c r="L212" s="9">
        <v>23.5</v>
      </c>
      <c r="M212" s="9">
        <v>27.5</v>
      </c>
    </row>
    <row r="213" spans="1:13" x14ac:dyDescent="0.4">
      <c r="A213" s="16">
        <f t="shared" si="18"/>
        <v>42825</v>
      </c>
      <c r="B213" s="1">
        <f t="shared" si="19"/>
        <v>45.5</v>
      </c>
      <c r="C213" s="1">
        <f t="shared" si="20"/>
        <v>3</v>
      </c>
      <c r="D213" s="1">
        <f t="shared" si="21"/>
        <v>20.8</v>
      </c>
      <c r="E213" s="1">
        <f t="shared" si="22"/>
        <v>23.5</v>
      </c>
      <c r="F213" s="1">
        <f t="shared" si="23"/>
        <v>27.5</v>
      </c>
      <c r="H213" s="11">
        <v>42825</v>
      </c>
      <c r="I213" s="25">
        <v>45.5</v>
      </c>
      <c r="J213" s="9">
        <v>3</v>
      </c>
      <c r="K213" s="9">
        <v>0</v>
      </c>
      <c r="L213" s="9">
        <v>0</v>
      </c>
      <c r="M213" s="9">
        <v>0</v>
      </c>
    </row>
    <row r="214" spans="1:13" x14ac:dyDescent="0.4">
      <c r="A214" s="16">
        <f t="shared" si="18"/>
        <v>42831</v>
      </c>
      <c r="B214" s="1">
        <f t="shared" si="19"/>
        <v>45.5</v>
      </c>
      <c r="C214" s="1">
        <f t="shared" si="20"/>
        <v>3</v>
      </c>
      <c r="D214" s="1">
        <f t="shared" si="21"/>
        <v>17</v>
      </c>
      <c r="E214" s="1">
        <f t="shared" si="22"/>
        <v>19</v>
      </c>
      <c r="F214" s="1">
        <f t="shared" si="23"/>
        <v>24.5</v>
      </c>
      <c r="H214" s="11">
        <v>42831</v>
      </c>
      <c r="I214" s="25">
        <v>0</v>
      </c>
      <c r="J214" s="9">
        <v>0</v>
      </c>
      <c r="K214" s="9">
        <v>17</v>
      </c>
      <c r="L214" s="9">
        <v>19</v>
      </c>
      <c r="M214" s="9">
        <v>24.5</v>
      </c>
    </row>
    <row r="215" spans="1:13" x14ac:dyDescent="0.4">
      <c r="A215" s="16">
        <f t="shared" si="18"/>
        <v>42832</v>
      </c>
      <c r="B215" s="1">
        <f t="shared" si="19"/>
        <v>44.3</v>
      </c>
      <c r="C215" s="1">
        <f t="shared" si="20"/>
        <v>3</v>
      </c>
      <c r="D215" s="1">
        <f t="shared" si="21"/>
        <v>17</v>
      </c>
      <c r="E215" s="1">
        <f t="shared" si="22"/>
        <v>19</v>
      </c>
      <c r="F215" s="1">
        <f t="shared" si="23"/>
        <v>24.5</v>
      </c>
      <c r="H215" s="11">
        <v>42832</v>
      </c>
      <c r="I215" s="25">
        <v>44.3</v>
      </c>
      <c r="J215" s="9">
        <v>3</v>
      </c>
      <c r="K215" s="9">
        <v>0</v>
      </c>
      <c r="L215" s="9">
        <v>0</v>
      </c>
      <c r="M215" s="9">
        <v>0</v>
      </c>
    </row>
    <row r="216" spans="1:13" x14ac:dyDescent="0.4">
      <c r="A216" s="16">
        <f t="shared" si="18"/>
        <v>42838</v>
      </c>
      <c r="B216" s="1">
        <f t="shared" si="19"/>
        <v>44.3</v>
      </c>
      <c r="C216" s="1">
        <f t="shared" si="20"/>
        <v>3</v>
      </c>
      <c r="D216" s="1">
        <f t="shared" si="21"/>
        <v>15</v>
      </c>
      <c r="E216" s="1">
        <f t="shared" si="22"/>
        <v>17.5</v>
      </c>
      <c r="F216" s="1">
        <f t="shared" si="23"/>
        <v>23.5</v>
      </c>
      <c r="H216" s="11">
        <v>42838</v>
      </c>
      <c r="I216" s="25">
        <v>0</v>
      </c>
      <c r="J216" s="9">
        <v>0</v>
      </c>
      <c r="K216" s="9">
        <v>15</v>
      </c>
      <c r="L216" s="9">
        <v>17.5</v>
      </c>
      <c r="M216" s="9">
        <v>23.5</v>
      </c>
    </row>
    <row r="217" spans="1:13" x14ac:dyDescent="0.4">
      <c r="A217" s="16">
        <f t="shared" si="18"/>
        <v>42839</v>
      </c>
      <c r="B217" s="1">
        <f t="shared" si="19"/>
        <v>51.4</v>
      </c>
      <c r="C217" s="1">
        <f t="shared" si="20"/>
        <v>3</v>
      </c>
      <c r="D217" s="1">
        <f t="shared" si="21"/>
        <v>15</v>
      </c>
      <c r="E217" s="1">
        <f t="shared" si="22"/>
        <v>17.5</v>
      </c>
      <c r="F217" s="1">
        <f t="shared" si="23"/>
        <v>23.5</v>
      </c>
      <c r="H217" s="11">
        <v>42839</v>
      </c>
      <c r="I217" s="25">
        <v>51.4</v>
      </c>
      <c r="J217" s="9">
        <v>3</v>
      </c>
      <c r="K217" s="9">
        <v>0</v>
      </c>
      <c r="L217" s="9">
        <v>0</v>
      </c>
      <c r="M217" s="9">
        <v>0</v>
      </c>
    </row>
    <row r="218" spans="1:13" x14ac:dyDescent="0.4">
      <c r="A218" s="16">
        <f t="shared" si="18"/>
        <v>42845</v>
      </c>
      <c r="B218" s="1">
        <f t="shared" si="19"/>
        <v>51.4</v>
      </c>
      <c r="C218" s="1">
        <f t="shared" si="20"/>
        <v>3</v>
      </c>
      <c r="D218" s="1">
        <f t="shared" si="21"/>
        <v>15</v>
      </c>
      <c r="E218" s="1">
        <f t="shared" si="22"/>
        <v>17</v>
      </c>
      <c r="F218" s="1">
        <f t="shared" si="23"/>
        <v>24.5</v>
      </c>
      <c r="H218" s="11">
        <v>42845</v>
      </c>
      <c r="I218" s="25">
        <v>0</v>
      </c>
      <c r="J218" s="9">
        <v>0</v>
      </c>
      <c r="K218" s="9">
        <v>15</v>
      </c>
      <c r="L218" s="9">
        <v>17</v>
      </c>
      <c r="M218" s="9">
        <v>24.5</v>
      </c>
    </row>
    <row r="219" spans="1:13" x14ac:dyDescent="0.4">
      <c r="A219" s="16">
        <f t="shared" si="18"/>
        <v>42846</v>
      </c>
      <c r="B219" s="1">
        <f t="shared" si="19"/>
        <v>46.1</v>
      </c>
      <c r="C219" s="1">
        <f t="shared" si="20"/>
        <v>3</v>
      </c>
      <c r="D219" s="1">
        <f t="shared" si="21"/>
        <v>15</v>
      </c>
      <c r="E219" s="1">
        <f t="shared" si="22"/>
        <v>17</v>
      </c>
      <c r="F219" s="1">
        <f t="shared" si="23"/>
        <v>24.5</v>
      </c>
      <c r="H219" s="11">
        <v>42846</v>
      </c>
      <c r="I219" s="25">
        <v>46.1</v>
      </c>
      <c r="J219" s="9">
        <v>3</v>
      </c>
      <c r="K219" s="9">
        <v>0</v>
      </c>
      <c r="L219" s="9">
        <v>0</v>
      </c>
      <c r="M219" s="9">
        <v>0</v>
      </c>
    </row>
    <row r="220" spans="1:13" x14ac:dyDescent="0.4">
      <c r="A220" s="16">
        <f t="shared" si="18"/>
        <v>42852</v>
      </c>
      <c r="B220" s="1">
        <f t="shared" si="19"/>
        <v>46.1</v>
      </c>
      <c r="C220" s="1">
        <f t="shared" si="20"/>
        <v>3</v>
      </c>
      <c r="D220" s="1">
        <f t="shared" si="21"/>
        <v>15</v>
      </c>
      <c r="E220" s="1">
        <f t="shared" si="22"/>
        <v>17</v>
      </c>
      <c r="F220" s="1">
        <f t="shared" si="23"/>
        <v>25</v>
      </c>
      <c r="H220" s="11">
        <v>42852</v>
      </c>
      <c r="I220" s="25">
        <v>0</v>
      </c>
      <c r="J220" s="9">
        <v>0</v>
      </c>
      <c r="K220" s="9">
        <v>15</v>
      </c>
      <c r="L220" s="9">
        <v>17</v>
      </c>
      <c r="M220" s="9">
        <v>25</v>
      </c>
    </row>
    <row r="221" spans="1:13" x14ac:dyDescent="0.4">
      <c r="A221" s="16">
        <f t="shared" si="18"/>
        <v>42853</v>
      </c>
      <c r="B221" s="1">
        <f t="shared" si="19"/>
        <v>45.1</v>
      </c>
      <c r="C221" s="1">
        <f t="shared" si="20"/>
        <v>3</v>
      </c>
      <c r="D221" s="1">
        <f t="shared" si="21"/>
        <v>15</v>
      </c>
      <c r="E221" s="1">
        <f t="shared" si="22"/>
        <v>17</v>
      </c>
      <c r="F221" s="1">
        <f t="shared" si="23"/>
        <v>25</v>
      </c>
      <c r="H221" s="11">
        <v>42853</v>
      </c>
      <c r="I221" s="25">
        <v>45.1</v>
      </c>
      <c r="J221" s="9">
        <v>3</v>
      </c>
      <c r="K221" s="9">
        <v>0</v>
      </c>
      <c r="L221" s="9">
        <v>0</v>
      </c>
      <c r="M221" s="9">
        <v>0</v>
      </c>
    </row>
    <row r="222" spans="1:13" x14ac:dyDescent="0.4">
      <c r="A222" s="16">
        <f t="shared" si="18"/>
        <v>42859</v>
      </c>
      <c r="B222" s="1">
        <f t="shared" si="19"/>
        <v>45.1</v>
      </c>
      <c r="C222" s="1">
        <f t="shared" si="20"/>
        <v>3</v>
      </c>
      <c r="D222" s="1">
        <f t="shared" si="21"/>
        <v>16.5</v>
      </c>
      <c r="E222" s="1">
        <f t="shared" si="22"/>
        <v>17.5</v>
      </c>
      <c r="F222" s="1">
        <f t="shared" si="23"/>
        <v>25</v>
      </c>
      <c r="H222" s="11">
        <v>42859</v>
      </c>
      <c r="I222" s="25">
        <v>0</v>
      </c>
      <c r="J222" s="9">
        <v>0</v>
      </c>
      <c r="K222" s="9">
        <v>16.5</v>
      </c>
      <c r="L222" s="9">
        <v>17.5</v>
      </c>
      <c r="M222" s="9">
        <v>25</v>
      </c>
    </row>
    <row r="223" spans="1:13" x14ac:dyDescent="0.4">
      <c r="A223" s="16">
        <f t="shared" si="18"/>
        <v>42860</v>
      </c>
      <c r="B223" s="1">
        <f t="shared" si="19"/>
        <v>42.5</v>
      </c>
      <c r="C223" s="1">
        <f t="shared" si="20"/>
        <v>3</v>
      </c>
      <c r="D223" s="1">
        <f t="shared" si="21"/>
        <v>16.5</v>
      </c>
      <c r="E223" s="1">
        <f t="shared" si="22"/>
        <v>17.5</v>
      </c>
      <c r="F223" s="1">
        <f t="shared" si="23"/>
        <v>25</v>
      </c>
      <c r="H223" s="11">
        <v>42860</v>
      </c>
      <c r="I223" s="25">
        <v>42.5</v>
      </c>
      <c r="J223" s="9">
        <v>3</v>
      </c>
      <c r="K223" s="9">
        <v>0</v>
      </c>
      <c r="L223" s="9">
        <v>0</v>
      </c>
      <c r="M223" s="9">
        <v>0</v>
      </c>
    </row>
    <row r="224" spans="1:13" x14ac:dyDescent="0.4">
      <c r="A224" s="16">
        <f t="shared" si="18"/>
        <v>42866</v>
      </c>
      <c r="B224" s="1">
        <f t="shared" si="19"/>
        <v>42.5</v>
      </c>
      <c r="C224" s="1">
        <f t="shared" si="20"/>
        <v>3</v>
      </c>
      <c r="D224" s="1">
        <f t="shared" si="21"/>
        <v>14</v>
      </c>
      <c r="E224" s="1">
        <f t="shared" si="22"/>
        <v>15.5</v>
      </c>
      <c r="F224" s="1">
        <f t="shared" si="23"/>
        <v>22.5</v>
      </c>
      <c r="H224" s="11">
        <v>42866</v>
      </c>
      <c r="I224" s="25">
        <v>0</v>
      </c>
      <c r="J224" s="9">
        <v>0</v>
      </c>
      <c r="K224" s="9">
        <v>14</v>
      </c>
      <c r="L224" s="9">
        <v>15.5</v>
      </c>
      <c r="M224" s="9">
        <v>22.5</v>
      </c>
    </row>
    <row r="225" spans="1:13" x14ac:dyDescent="0.4">
      <c r="A225" s="16">
        <f t="shared" si="18"/>
        <v>42867</v>
      </c>
      <c r="B225" s="1">
        <f t="shared" si="19"/>
        <v>39.700000000000003</v>
      </c>
      <c r="C225" s="1">
        <f t="shared" si="20"/>
        <v>3</v>
      </c>
      <c r="D225" s="1">
        <f t="shared" si="21"/>
        <v>14</v>
      </c>
      <c r="E225" s="1">
        <f t="shared" si="22"/>
        <v>15.5</v>
      </c>
      <c r="F225" s="1">
        <f t="shared" si="23"/>
        <v>22.5</v>
      </c>
      <c r="H225" s="11">
        <v>42867</v>
      </c>
      <c r="I225" s="25">
        <v>39.700000000000003</v>
      </c>
      <c r="J225" s="9">
        <v>3</v>
      </c>
      <c r="K225" s="9">
        <v>0</v>
      </c>
      <c r="L225" s="9">
        <v>0</v>
      </c>
      <c r="M225" s="9">
        <v>0</v>
      </c>
    </row>
    <row r="226" spans="1:13" x14ac:dyDescent="0.4">
      <c r="A226" s="16">
        <f t="shared" si="18"/>
        <v>42873</v>
      </c>
      <c r="B226" s="1">
        <f t="shared" si="19"/>
        <v>39.700000000000003</v>
      </c>
      <c r="C226" s="1">
        <f t="shared" si="20"/>
        <v>3</v>
      </c>
      <c r="D226" s="1">
        <f t="shared" si="21"/>
        <v>12.5</v>
      </c>
      <c r="E226" s="1">
        <f t="shared" si="22"/>
        <v>12.5</v>
      </c>
      <c r="F226" s="1">
        <f t="shared" si="23"/>
        <v>22.5</v>
      </c>
      <c r="H226" s="11">
        <v>42873</v>
      </c>
      <c r="I226" s="25">
        <v>0</v>
      </c>
      <c r="J226" s="9">
        <v>0</v>
      </c>
      <c r="K226" s="9">
        <v>12.5</v>
      </c>
      <c r="L226" s="9">
        <v>12.5</v>
      </c>
      <c r="M226" s="9">
        <v>22.5</v>
      </c>
    </row>
    <row r="227" spans="1:13" x14ac:dyDescent="0.4">
      <c r="A227" s="16">
        <f t="shared" si="18"/>
        <v>42874</v>
      </c>
      <c r="B227" s="1">
        <f t="shared" si="19"/>
        <v>39.1</v>
      </c>
      <c r="C227" s="1">
        <f t="shared" si="20"/>
        <v>2.5</v>
      </c>
      <c r="D227" s="1">
        <f t="shared" si="21"/>
        <v>12.5</v>
      </c>
      <c r="E227" s="1">
        <f t="shared" si="22"/>
        <v>12.5</v>
      </c>
      <c r="F227" s="1">
        <f t="shared" si="23"/>
        <v>22.5</v>
      </c>
      <c r="H227" s="11">
        <v>42874</v>
      </c>
      <c r="I227" s="25">
        <v>39.1</v>
      </c>
      <c r="J227" s="9">
        <v>2.5</v>
      </c>
      <c r="K227" s="9">
        <v>0</v>
      </c>
      <c r="L227" s="9">
        <v>0</v>
      </c>
      <c r="M227" s="9">
        <v>0</v>
      </c>
    </row>
    <row r="228" spans="1:13" x14ac:dyDescent="0.4">
      <c r="A228" s="16">
        <f t="shared" si="18"/>
        <v>42880</v>
      </c>
      <c r="B228" s="1">
        <f t="shared" si="19"/>
        <v>39.1</v>
      </c>
      <c r="C228" s="1">
        <f t="shared" si="20"/>
        <v>2.5</v>
      </c>
      <c r="D228" s="1">
        <f t="shared" si="21"/>
        <v>9.5</v>
      </c>
      <c r="E228" s="1">
        <f t="shared" si="22"/>
        <v>9.5</v>
      </c>
      <c r="F228" s="1">
        <f t="shared" si="23"/>
        <v>22.5</v>
      </c>
      <c r="H228" s="11">
        <v>42880</v>
      </c>
      <c r="I228" s="25">
        <v>0</v>
      </c>
      <c r="J228" s="9">
        <v>0</v>
      </c>
      <c r="K228" s="9">
        <v>9.5</v>
      </c>
      <c r="L228" s="9">
        <v>9.5</v>
      </c>
      <c r="M228" s="9">
        <v>22.5</v>
      </c>
    </row>
    <row r="229" spans="1:13" x14ac:dyDescent="0.4">
      <c r="A229" s="16">
        <f t="shared" si="18"/>
        <v>42881</v>
      </c>
      <c r="B229" s="1">
        <f t="shared" si="19"/>
        <v>39.299999999999997</v>
      </c>
      <c r="C229" s="1">
        <f t="shared" si="20"/>
        <v>2.5</v>
      </c>
      <c r="D229" s="1">
        <f t="shared" si="21"/>
        <v>9.5</v>
      </c>
      <c r="E229" s="1">
        <f t="shared" si="22"/>
        <v>9.5</v>
      </c>
      <c r="F229" s="1">
        <f t="shared" si="23"/>
        <v>22.5</v>
      </c>
      <c r="H229" s="11">
        <v>42881</v>
      </c>
      <c r="I229" s="25">
        <v>39.299999999999997</v>
      </c>
      <c r="J229" s="9">
        <v>2.5</v>
      </c>
      <c r="K229" s="9">
        <v>0</v>
      </c>
      <c r="L229" s="9">
        <v>0</v>
      </c>
      <c r="M229" s="9">
        <v>0</v>
      </c>
    </row>
    <row r="230" spans="1:13" x14ac:dyDescent="0.4">
      <c r="A230" s="16">
        <f t="shared" si="18"/>
        <v>42888</v>
      </c>
      <c r="B230" s="1">
        <f t="shared" si="19"/>
        <v>39.299999999999997</v>
      </c>
      <c r="C230" s="1">
        <f t="shared" si="20"/>
        <v>2.5</v>
      </c>
      <c r="D230" s="1">
        <f t="shared" si="21"/>
        <v>9.5</v>
      </c>
      <c r="E230" s="1">
        <f t="shared" si="22"/>
        <v>9.5</v>
      </c>
      <c r="F230" s="1">
        <f t="shared" si="23"/>
        <v>22.5</v>
      </c>
      <c r="H230" s="11">
        <v>42888</v>
      </c>
      <c r="I230" s="25">
        <v>0</v>
      </c>
      <c r="J230" s="9">
        <v>2.5</v>
      </c>
      <c r="K230" s="9">
        <v>9.5</v>
      </c>
      <c r="L230" s="9">
        <v>9.5</v>
      </c>
      <c r="M230" s="9">
        <v>22.5</v>
      </c>
    </row>
    <row r="231" spans="1:13" x14ac:dyDescent="0.4">
      <c r="A231" s="16">
        <f t="shared" si="18"/>
        <v>42894</v>
      </c>
      <c r="B231" s="1">
        <f t="shared" si="19"/>
        <v>39.299999999999997</v>
      </c>
      <c r="C231" s="1">
        <f t="shared" si="20"/>
        <v>2.5</v>
      </c>
      <c r="D231" s="1">
        <f t="shared" si="21"/>
        <v>7.5</v>
      </c>
      <c r="E231" s="1">
        <f t="shared" si="22"/>
        <v>7.5</v>
      </c>
      <c r="F231" s="1">
        <f t="shared" si="23"/>
        <v>22.5</v>
      </c>
      <c r="H231" s="11">
        <v>42894</v>
      </c>
      <c r="I231" s="25">
        <v>0</v>
      </c>
      <c r="J231" s="9">
        <v>0</v>
      </c>
      <c r="K231" s="9">
        <v>7.5</v>
      </c>
      <c r="L231" s="9">
        <v>7.5</v>
      </c>
      <c r="M231" s="9">
        <v>22.5</v>
      </c>
    </row>
    <row r="232" spans="1:13" x14ac:dyDescent="0.4">
      <c r="A232" s="16">
        <f t="shared" si="18"/>
        <v>42895</v>
      </c>
      <c r="B232" s="1">
        <f t="shared" si="19"/>
        <v>37.1</v>
      </c>
      <c r="C232" s="1">
        <f t="shared" si="20"/>
        <v>1.5</v>
      </c>
      <c r="D232" s="1">
        <f t="shared" si="21"/>
        <v>7.5</v>
      </c>
      <c r="E232" s="1">
        <f t="shared" si="22"/>
        <v>7.5</v>
      </c>
      <c r="F232" s="1">
        <f t="shared" si="23"/>
        <v>22.5</v>
      </c>
      <c r="H232" s="11">
        <v>42895</v>
      </c>
      <c r="I232" s="25">
        <v>37.1</v>
      </c>
      <c r="J232" s="9">
        <v>1.5</v>
      </c>
      <c r="K232" s="9">
        <v>0</v>
      </c>
      <c r="L232" s="9">
        <v>0</v>
      </c>
      <c r="M232" s="9">
        <v>0</v>
      </c>
    </row>
    <row r="233" spans="1:13" x14ac:dyDescent="0.4">
      <c r="A233" s="16">
        <f t="shared" si="18"/>
        <v>42901</v>
      </c>
      <c r="B233" s="1">
        <f t="shared" si="19"/>
        <v>37.1</v>
      </c>
      <c r="C233" s="1">
        <f t="shared" si="20"/>
        <v>1.5</v>
      </c>
      <c r="D233" s="1">
        <f t="shared" si="21"/>
        <v>7</v>
      </c>
      <c r="E233" s="1">
        <f t="shared" si="22"/>
        <v>7</v>
      </c>
      <c r="F233" s="1">
        <f t="shared" si="23"/>
        <v>22.5</v>
      </c>
      <c r="H233" s="11">
        <v>42901</v>
      </c>
      <c r="I233" s="25">
        <v>0</v>
      </c>
      <c r="J233" s="9">
        <v>0</v>
      </c>
      <c r="K233" s="9">
        <v>7</v>
      </c>
      <c r="L233" s="9">
        <v>7</v>
      </c>
      <c r="M233" s="9">
        <v>22.5</v>
      </c>
    </row>
    <row r="234" spans="1:13" x14ac:dyDescent="0.4">
      <c r="A234" s="16">
        <f t="shared" si="18"/>
        <v>42902</v>
      </c>
      <c r="B234" s="1">
        <f t="shared" si="19"/>
        <v>35.5</v>
      </c>
      <c r="C234" s="1">
        <f t="shared" si="20"/>
        <v>2</v>
      </c>
      <c r="D234" s="1">
        <f t="shared" si="21"/>
        <v>7</v>
      </c>
      <c r="E234" s="1">
        <f t="shared" si="22"/>
        <v>7</v>
      </c>
      <c r="F234" s="1">
        <f t="shared" si="23"/>
        <v>22.5</v>
      </c>
      <c r="H234" s="11">
        <v>42902</v>
      </c>
      <c r="I234" s="25">
        <v>35.5</v>
      </c>
      <c r="J234" s="9">
        <v>2</v>
      </c>
      <c r="K234" s="9">
        <v>0</v>
      </c>
      <c r="L234" s="9">
        <v>0</v>
      </c>
      <c r="M234" s="9">
        <v>0</v>
      </c>
    </row>
    <row r="235" spans="1:13" x14ac:dyDescent="0.4">
      <c r="A235" s="16">
        <f t="shared" si="18"/>
        <v>42908</v>
      </c>
      <c r="B235" s="1">
        <f t="shared" si="19"/>
        <v>35.5</v>
      </c>
      <c r="C235" s="1">
        <f t="shared" si="20"/>
        <v>2</v>
      </c>
      <c r="D235" s="1">
        <f t="shared" si="21"/>
        <v>7.5</v>
      </c>
      <c r="E235" s="1">
        <f t="shared" si="22"/>
        <v>5.5</v>
      </c>
      <c r="F235" s="1">
        <f t="shared" si="23"/>
        <v>20</v>
      </c>
      <c r="H235" s="11">
        <v>42908</v>
      </c>
      <c r="I235" s="25">
        <v>0</v>
      </c>
      <c r="J235" s="9">
        <v>0</v>
      </c>
      <c r="K235" s="9">
        <v>7.5</v>
      </c>
      <c r="L235" s="9">
        <v>5.5</v>
      </c>
      <c r="M235" s="9">
        <v>20</v>
      </c>
    </row>
    <row r="236" spans="1:13" x14ac:dyDescent="0.4">
      <c r="A236" s="16">
        <f t="shared" si="18"/>
        <v>42909</v>
      </c>
      <c r="B236" s="1">
        <f t="shared" si="19"/>
        <v>34.799999999999997</v>
      </c>
      <c r="C236" s="1">
        <f t="shared" si="20"/>
        <v>3</v>
      </c>
      <c r="D236" s="1">
        <f t="shared" si="21"/>
        <v>7.5</v>
      </c>
      <c r="E236" s="1">
        <f t="shared" si="22"/>
        <v>5.5</v>
      </c>
      <c r="F236" s="1">
        <f t="shared" si="23"/>
        <v>20</v>
      </c>
      <c r="H236" s="11">
        <v>42909</v>
      </c>
      <c r="I236" s="25">
        <v>34.799999999999997</v>
      </c>
      <c r="J236" s="9">
        <v>3</v>
      </c>
      <c r="K236" s="9">
        <v>0</v>
      </c>
      <c r="L236" s="9">
        <v>0</v>
      </c>
      <c r="M236" s="9">
        <v>0</v>
      </c>
    </row>
    <row r="237" spans="1:13" x14ac:dyDescent="0.4">
      <c r="A237" s="16">
        <f t="shared" si="18"/>
        <v>42915</v>
      </c>
      <c r="B237" s="1">
        <f t="shared" si="19"/>
        <v>34.799999999999997</v>
      </c>
      <c r="C237" s="1">
        <f t="shared" si="20"/>
        <v>3</v>
      </c>
      <c r="D237" s="1">
        <f t="shared" si="21"/>
        <v>7</v>
      </c>
      <c r="E237" s="1">
        <f t="shared" si="22"/>
        <v>5.5</v>
      </c>
      <c r="F237" s="1">
        <f t="shared" si="23"/>
        <v>20</v>
      </c>
      <c r="H237" s="11">
        <v>42915</v>
      </c>
      <c r="I237" s="25">
        <v>0</v>
      </c>
      <c r="J237" s="9">
        <v>0</v>
      </c>
      <c r="K237" s="9">
        <v>7</v>
      </c>
      <c r="L237" s="9">
        <v>5.5</v>
      </c>
      <c r="M237" s="9">
        <v>20</v>
      </c>
    </row>
    <row r="238" spans="1:13" x14ac:dyDescent="0.4">
      <c r="A238" s="16">
        <f t="shared" si="18"/>
        <v>42916</v>
      </c>
      <c r="B238" s="1">
        <f t="shared" si="19"/>
        <v>36.1</v>
      </c>
      <c r="C238" s="1">
        <f t="shared" si="20"/>
        <v>3</v>
      </c>
      <c r="D238" s="1">
        <f t="shared" si="21"/>
        <v>7</v>
      </c>
      <c r="E238" s="1">
        <f t="shared" si="22"/>
        <v>5.5</v>
      </c>
      <c r="F238" s="1">
        <f t="shared" si="23"/>
        <v>20</v>
      </c>
      <c r="H238" s="11">
        <v>42916</v>
      </c>
      <c r="I238" s="25">
        <v>36.1</v>
      </c>
      <c r="J238" s="9">
        <v>3</v>
      </c>
      <c r="K238" s="9">
        <v>0</v>
      </c>
      <c r="L238" s="9">
        <v>0</v>
      </c>
      <c r="M238" s="9">
        <v>0</v>
      </c>
    </row>
    <row r="239" spans="1:13" x14ac:dyDescent="0.4">
      <c r="A239" s="16">
        <f t="shared" si="18"/>
        <v>42922</v>
      </c>
      <c r="B239" s="1">
        <f t="shared" si="19"/>
        <v>36.1</v>
      </c>
      <c r="C239" s="1">
        <f t="shared" si="20"/>
        <v>3</v>
      </c>
      <c r="D239" s="1">
        <f t="shared" si="21"/>
        <v>6</v>
      </c>
      <c r="E239" s="1">
        <f t="shared" si="22"/>
        <v>4</v>
      </c>
      <c r="F239" s="1">
        <f t="shared" si="23"/>
        <v>18.5</v>
      </c>
      <c r="H239" s="11">
        <v>42922</v>
      </c>
      <c r="I239" s="25">
        <v>0</v>
      </c>
      <c r="J239" s="9">
        <v>0</v>
      </c>
      <c r="K239" s="9">
        <v>6</v>
      </c>
      <c r="L239" s="9">
        <v>4</v>
      </c>
      <c r="M239" s="9">
        <v>18.5</v>
      </c>
    </row>
    <row r="240" spans="1:13" x14ac:dyDescent="0.4">
      <c r="A240" s="16">
        <f t="shared" si="18"/>
        <v>42923</v>
      </c>
      <c r="B240" s="1">
        <f t="shared" si="19"/>
        <v>35.200000000000003</v>
      </c>
      <c r="C240" s="1">
        <f t="shared" si="20"/>
        <v>3</v>
      </c>
      <c r="D240" s="1">
        <f t="shared" si="21"/>
        <v>6</v>
      </c>
      <c r="E240" s="1">
        <f t="shared" si="22"/>
        <v>4</v>
      </c>
      <c r="F240" s="1">
        <f t="shared" si="23"/>
        <v>18.5</v>
      </c>
      <c r="H240" s="11">
        <v>42923</v>
      </c>
      <c r="I240" s="25">
        <v>35.200000000000003</v>
      </c>
      <c r="J240" s="9">
        <v>3</v>
      </c>
      <c r="K240" s="9">
        <v>0</v>
      </c>
      <c r="L240" s="9">
        <v>0</v>
      </c>
      <c r="M240" s="9">
        <v>0</v>
      </c>
    </row>
    <row r="241" spans="1:13" x14ac:dyDescent="0.4">
      <c r="A241" s="16">
        <f t="shared" si="18"/>
        <v>42929</v>
      </c>
      <c r="B241" s="1">
        <f t="shared" si="19"/>
        <v>35.200000000000003</v>
      </c>
      <c r="C241" s="1">
        <f t="shared" si="20"/>
        <v>3</v>
      </c>
      <c r="D241" s="1">
        <f t="shared" si="21"/>
        <v>6</v>
      </c>
      <c r="E241" s="1">
        <f t="shared" si="22"/>
        <v>4</v>
      </c>
      <c r="F241" s="1">
        <f t="shared" si="23"/>
        <v>17.5</v>
      </c>
      <c r="H241" s="11">
        <v>42929</v>
      </c>
      <c r="I241" s="25">
        <v>0</v>
      </c>
      <c r="J241" s="9">
        <v>0</v>
      </c>
      <c r="K241" s="9">
        <v>6</v>
      </c>
      <c r="L241" s="9">
        <v>4</v>
      </c>
      <c r="M241" s="9">
        <v>17.5</v>
      </c>
    </row>
    <row r="242" spans="1:13" x14ac:dyDescent="0.4">
      <c r="A242" s="16">
        <f t="shared" si="18"/>
        <v>42930</v>
      </c>
      <c r="B242" s="1">
        <f t="shared" si="19"/>
        <v>37.799999999999997</v>
      </c>
      <c r="C242" s="1">
        <f t="shared" si="20"/>
        <v>2</v>
      </c>
      <c r="D242" s="1">
        <f t="shared" si="21"/>
        <v>6</v>
      </c>
      <c r="E242" s="1">
        <f t="shared" si="22"/>
        <v>4</v>
      </c>
      <c r="F242" s="1">
        <f t="shared" si="23"/>
        <v>17.5</v>
      </c>
      <c r="H242" s="11">
        <v>42930</v>
      </c>
      <c r="I242" s="25">
        <v>37.799999999999997</v>
      </c>
      <c r="J242" s="9">
        <v>2</v>
      </c>
      <c r="K242" s="9">
        <v>0</v>
      </c>
      <c r="L242" s="9">
        <v>0</v>
      </c>
      <c r="M242" s="9">
        <v>0</v>
      </c>
    </row>
    <row r="243" spans="1:13" x14ac:dyDescent="0.4">
      <c r="A243" s="16">
        <f t="shared" si="18"/>
        <v>42936</v>
      </c>
      <c r="B243" s="1">
        <f t="shared" si="19"/>
        <v>37.799999999999997</v>
      </c>
      <c r="C243" s="1">
        <f t="shared" si="20"/>
        <v>2</v>
      </c>
      <c r="D243" s="1">
        <f t="shared" si="21"/>
        <v>7</v>
      </c>
      <c r="E243" s="1">
        <f t="shared" si="22"/>
        <v>5.5</v>
      </c>
      <c r="F243" s="1">
        <f t="shared" si="23"/>
        <v>17.5</v>
      </c>
      <c r="H243" s="11">
        <v>42936</v>
      </c>
      <c r="I243" s="25">
        <v>0</v>
      </c>
      <c r="J243" s="9">
        <v>0</v>
      </c>
      <c r="K243" s="9">
        <v>7</v>
      </c>
      <c r="L243" s="9">
        <v>5.5</v>
      </c>
      <c r="M243" s="9">
        <v>17.5</v>
      </c>
    </row>
    <row r="244" spans="1:13" x14ac:dyDescent="0.4">
      <c r="A244" s="16">
        <f t="shared" si="18"/>
        <v>42937</v>
      </c>
      <c r="B244" s="1">
        <f t="shared" si="19"/>
        <v>42.5</v>
      </c>
      <c r="C244" s="1">
        <f t="shared" si="20"/>
        <v>2</v>
      </c>
      <c r="D244" s="1">
        <f t="shared" si="21"/>
        <v>7</v>
      </c>
      <c r="E244" s="1">
        <f t="shared" si="22"/>
        <v>5.5</v>
      </c>
      <c r="F244" s="1">
        <f t="shared" si="23"/>
        <v>17.5</v>
      </c>
      <c r="H244" s="11">
        <v>42937</v>
      </c>
      <c r="I244" s="25">
        <v>42.5</v>
      </c>
      <c r="J244" s="9">
        <v>2</v>
      </c>
      <c r="K244" s="9">
        <v>0</v>
      </c>
      <c r="L244" s="9">
        <v>0</v>
      </c>
      <c r="M244" s="9">
        <v>0</v>
      </c>
    </row>
    <row r="245" spans="1:13" x14ac:dyDescent="0.4">
      <c r="A245" s="16">
        <f t="shared" si="18"/>
        <v>42943</v>
      </c>
      <c r="B245" s="1">
        <f t="shared" si="19"/>
        <v>42.5</v>
      </c>
      <c r="C245" s="1">
        <f t="shared" si="20"/>
        <v>2</v>
      </c>
      <c r="D245" s="1">
        <f t="shared" si="21"/>
        <v>9.5</v>
      </c>
      <c r="E245" s="1">
        <f t="shared" si="22"/>
        <v>8</v>
      </c>
      <c r="F245" s="1">
        <f t="shared" si="23"/>
        <v>20</v>
      </c>
      <c r="H245" s="11">
        <v>42943</v>
      </c>
      <c r="I245" s="25">
        <v>0</v>
      </c>
      <c r="J245" s="9">
        <v>0</v>
      </c>
      <c r="K245" s="9">
        <v>9.5</v>
      </c>
      <c r="L245" s="9">
        <v>8</v>
      </c>
      <c r="M245" s="9">
        <v>20</v>
      </c>
    </row>
    <row r="246" spans="1:13" x14ac:dyDescent="0.4">
      <c r="A246" s="16">
        <f t="shared" si="18"/>
        <v>42944</v>
      </c>
      <c r="B246" s="1">
        <f t="shared" si="19"/>
        <v>44.5</v>
      </c>
      <c r="C246" s="1">
        <f t="shared" si="20"/>
        <v>2</v>
      </c>
      <c r="D246" s="1">
        <f t="shared" si="21"/>
        <v>9.5</v>
      </c>
      <c r="E246" s="1">
        <f t="shared" si="22"/>
        <v>8</v>
      </c>
      <c r="F246" s="1">
        <f t="shared" si="23"/>
        <v>20</v>
      </c>
      <c r="H246" s="11">
        <v>42944</v>
      </c>
      <c r="I246" s="25">
        <v>44.5</v>
      </c>
      <c r="J246" s="9">
        <v>0</v>
      </c>
      <c r="K246" s="9">
        <v>0</v>
      </c>
      <c r="L246" s="9">
        <v>0</v>
      </c>
      <c r="M246" s="9">
        <v>0</v>
      </c>
    </row>
    <row r="247" spans="1:13" x14ac:dyDescent="0.4">
      <c r="A247" s="16">
        <f t="shared" si="18"/>
        <v>42950</v>
      </c>
      <c r="B247" s="1">
        <f t="shared" si="19"/>
        <v>44.5</v>
      </c>
      <c r="C247" s="1">
        <f t="shared" si="20"/>
        <v>2</v>
      </c>
      <c r="D247" s="1">
        <f t="shared" si="21"/>
        <v>11</v>
      </c>
      <c r="E247" s="1">
        <f t="shared" si="22"/>
        <v>11</v>
      </c>
      <c r="F247" s="1">
        <f t="shared" si="23"/>
        <v>22.5</v>
      </c>
      <c r="H247" s="11">
        <v>42950</v>
      </c>
      <c r="I247" s="25">
        <v>0</v>
      </c>
      <c r="J247" s="9">
        <v>0</v>
      </c>
      <c r="K247" s="9">
        <v>11</v>
      </c>
      <c r="L247" s="9">
        <v>11</v>
      </c>
      <c r="M247" s="9">
        <v>22.5</v>
      </c>
    </row>
    <row r="248" spans="1:13" x14ac:dyDescent="0.4">
      <c r="A248" s="16">
        <f t="shared" si="18"/>
        <v>42951</v>
      </c>
      <c r="B248" s="1">
        <f t="shared" si="19"/>
        <v>43.9</v>
      </c>
      <c r="C248" s="1">
        <f t="shared" si="20"/>
        <v>2</v>
      </c>
      <c r="D248" s="1">
        <f t="shared" si="21"/>
        <v>11</v>
      </c>
      <c r="E248" s="1">
        <f t="shared" si="22"/>
        <v>11</v>
      </c>
      <c r="F248" s="1">
        <f t="shared" si="23"/>
        <v>22.5</v>
      </c>
      <c r="H248" s="11">
        <v>42951</v>
      </c>
      <c r="I248" s="25">
        <v>43.9</v>
      </c>
      <c r="J248" s="9">
        <v>2</v>
      </c>
      <c r="K248" s="9">
        <v>0</v>
      </c>
      <c r="L248" s="9">
        <v>0</v>
      </c>
      <c r="M248" s="9">
        <v>0</v>
      </c>
    </row>
    <row r="249" spans="1:13" x14ac:dyDescent="0.4">
      <c r="A249" s="16">
        <f t="shared" si="18"/>
        <v>42957</v>
      </c>
      <c r="B249" s="1">
        <f t="shared" si="19"/>
        <v>43.9</v>
      </c>
      <c r="C249" s="1">
        <f t="shared" si="20"/>
        <v>2</v>
      </c>
      <c r="D249" s="1">
        <f t="shared" si="21"/>
        <v>11</v>
      </c>
      <c r="E249" s="1">
        <f t="shared" si="22"/>
        <v>11</v>
      </c>
      <c r="F249" s="1">
        <f t="shared" si="23"/>
        <v>20</v>
      </c>
      <c r="H249" s="11">
        <v>42957</v>
      </c>
      <c r="I249" s="25">
        <v>0</v>
      </c>
      <c r="J249" s="9">
        <v>0</v>
      </c>
      <c r="K249" s="9">
        <v>11</v>
      </c>
      <c r="L249" s="9">
        <v>11</v>
      </c>
      <c r="M249" s="9">
        <v>20</v>
      </c>
    </row>
    <row r="250" spans="1:13" x14ac:dyDescent="0.4">
      <c r="A250" s="16">
        <f t="shared" si="18"/>
        <v>42958</v>
      </c>
      <c r="B250" s="1">
        <f t="shared" si="19"/>
        <v>43.4</v>
      </c>
      <c r="C250" s="1">
        <f t="shared" si="20"/>
        <v>2</v>
      </c>
      <c r="D250" s="1">
        <f t="shared" si="21"/>
        <v>11</v>
      </c>
      <c r="E250" s="1">
        <f t="shared" si="22"/>
        <v>11</v>
      </c>
      <c r="F250" s="1">
        <f t="shared" si="23"/>
        <v>20</v>
      </c>
      <c r="H250" s="11">
        <v>42958</v>
      </c>
      <c r="I250" s="25">
        <v>43.4</v>
      </c>
      <c r="J250" s="9">
        <v>2</v>
      </c>
      <c r="K250" s="9">
        <v>0</v>
      </c>
      <c r="L250" s="9">
        <v>0</v>
      </c>
      <c r="M250" s="9">
        <v>0</v>
      </c>
    </row>
    <row r="251" spans="1:13" x14ac:dyDescent="0.4">
      <c r="A251" s="16">
        <f t="shared" si="18"/>
        <v>42964</v>
      </c>
      <c r="B251" s="1">
        <f t="shared" si="19"/>
        <v>43.4</v>
      </c>
      <c r="C251" s="1">
        <f t="shared" si="20"/>
        <v>2</v>
      </c>
      <c r="D251" s="1">
        <f t="shared" si="21"/>
        <v>8.5</v>
      </c>
      <c r="E251" s="1">
        <f t="shared" si="22"/>
        <v>8.5</v>
      </c>
      <c r="F251" s="1">
        <f t="shared" si="23"/>
        <v>19</v>
      </c>
      <c r="H251" s="11">
        <v>42964</v>
      </c>
      <c r="I251" s="25">
        <v>0</v>
      </c>
      <c r="J251" s="9">
        <v>0</v>
      </c>
      <c r="K251" s="9">
        <v>8.5</v>
      </c>
      <c r="L251" s="9">
        <v>8.5</v>
      </c>
      <c r="M251" s="9">
        <v>19</v>
      </c>
    </row>
    <row r="252" spans="1:13" x14ac:dyDescent="0.4">
      <c r="A252" s="16">
        <f t="shared" si="18"/>
        <v>42965</v>
      </c>
      <c r="B252" s="1">
        <f t="shared" si="19"/>
        <v>50.5</v>
      </c>
      <c r="C252" s="1">
        <f t="shared" si="20"/>
        <v>2</v>
      </c>
      <c r="D252" s="1">
        <f t="shared" si="21"/>
        <v>8.5</v>
      </c>
      <c r="E252" s="1">
        <f t="shared" si="22"/>
        <v>8.5</v>
      </c>
      <c r="F252" s="1">
        <f t="shared" si="23"/>
        <v>19</v>
      </c>
      <c r="H252" s="11">
        <v>42965</v>
      </c>
      <c r="I252" s="25">
        <v>50.5</v>
      </c>
      <c r="J252" s="9">
        <v>2</v>
      </c>
      <c r="K252" s="9">
        <v>0</v>
      </c>
      <c r="L252" s="9">
        <v>0</v>
      </c>
      <c r="M252" s="9">
        <v>0</v>
      </c>
    </row>
    <row r="253" spans="1:13" x14ac:dyDescent="0.4">
      <c r="A253" s="16">
        <f t="shared" si="18"/>
        <v>42971</v>
      </c>
      <c r="B253" s="1">
        <f t="shared" si="19"/>
        <v>50.5</v>
      </c>
      <c r="C253" s="1">
        <f t="shared" si="20"/>
        <v>2</v>
      </c>
      <c r="D253" s="1">
        <f t="shared" si="21"/>
        <v>5.5</v>
      </c>
      <c r="E253" s="1">
        <f t="shared" si="22"/>
        <v>5.5</v>
      </c>
      <c r="F253" s="1">
        <f t="shared" si="23"/>
        <v>15</v>
      </c>
      <c r="H253" s="11">
        <v>42971</v>
      </c>
      <c r="I253" s="25">
        <v>0</v>
      </c>
      <c r="J253" s="9">
        <v>0</v>
      </c>
      <c r="K253" s="9">
        <v>5.5</v>
      </c>
      <c r="L253" s="9">
        <v>5.5</v>
      </c>
      <c r="M253" s="9">
        <v>15</v>
      </c>
    </row>
    <row r="254" spans="1:13" x14ac:dyDescent="0.4">
      <c r="A254" s="16">
        <f t="shared" si="18"/>
        <v>42972</v>
      </c>
      <c r="B254" s="1">
        <f t="shared" si="19"/>
        <v>50.8</v>
      </c>
      <c r="C254" s="1">
        <f t="shared" si="20"/>
        <v>2</v>
      </c>
      <c r="D254" s="1">
        <f t="shared" si="21"/>
        <v>5.5</v>
      </c>
      <c r="E254" s="1">
        <f t="shared" si="22"/>
        <v>5.5</v>
      </c>
      <c r="F254" s="1">
        <f t="shared" si="23"/>
        <v>15</v>
      </c>
      <c r="H254" s="11">
        <v>42972</v>
      </c>
      <c r="I254" s="25">
        <v>50.8</v>
      </c>
      <c r="J254" s="9">
        <v>2</v>
      </c>
      <c r="K254" s="9">
        <v>0</v>
      </c>
      <c r="L254" s="9">
        <v>0</v>
      </c>
      <c r="M254" s="9">
        <v>0</v>
      </c>
    </row>
    <row r="255" spans="1:13" x14ac:dyDescent="0.4">
      <c r="A255" s="16">
        <f t="shared" si="18"/>
        <v>42978</v>
      </c>
      <c r="B255" s="1">
        <f t="shared" si="19"/>
        <v>50.8</v>
      </c>
      <c r="C255" s="1">
        <f t="shared" si="20"/>
        <v>2</v>
      </c>
      <c r="D255" s="1">
        <f t="shared" si="21"/>
        <v>5</v>
      </c>
      <c r="E255" s="1">
        <f t="shared" si="22"/>
        <v>5</v>
      </c>
      <c r="F255" s="1">
        <f t="shared" si="23"/>
        <v>15</v>
      </c>
      <c r="H255" s="11">
        <v>42978</v>
      </c>
      <c r="I255" s="25">
        <v>0</v>
      </c>
      <c r="J255" s="9">
        <v>0</v>
      </c>
      <c r="K255" s="9">
        <v>5</v>
      </c>
      <c r="L255" s="9">
        <v>5</v>
      </c>
      <c r="M255" s="9">
        <v>15</v>
      </c>
    </row>
    <row r="256" spans="1:13" x14ac:dyDescent="0.4">
      <c r="A256" s="16">
        <f t="shared" si="18"/>
        <v>42979</v>
      </c>
      <c r="B256" s="1">
        <f t="shared" si="19"/>
        <v>58.4</v>
      </c>
      <c r="C256" s="1">
        <f t="shared" si="20"/>
        <v>2</v>
      </c>
      <c r="D256" s="1">
        <f t="shared" si="21"/>
        <v>5</v>
      </c>
      <c r="E256" s="1">
        <f t="shared" si="22"/>
        <v>5</v>
      </c>
      <c r="F256" s="1">
        <f t="shared" si="23"/>
        <v>15</v>
      </c>
      <c r="H256" s="11">
        <v>42979</v>
      </c>
      <c r="I256" s="25">
        <v>58.4</v>
      </c>
      <c r="J256" s="9">
        <v>2</v>
      </c>
      <c r="K256" s="9">
        <v>0</v>
      </c>
      <c r="L256" s="9">
        <v>0</v>
      </c>
      <c r="M256" s="9">
        <v>0</v>
      </c>
    </row>
    <row r="257" spans="1:13" x14ac:dyDescent="0.4">
      <c r="A257" s="16">
        <f t="shared" si="18"/>
        <v>42985</v>
      </c>
      <c r="B257" s="1">
        <f t="shared" si="19"/>
        <v>58.4</v>
      </c>
      <c r="C257" s="1">
        <f t="shared" si="20"/>
        <v>1.5</v>
      </c>
      <c r="D257" s="1">
        <f t="shared" si="21"/>
        <v>3.5</v>
      </c>
      <c r="E257" s="1">
        <f t="shared" si="22"/>
        <v>3.5</v>
      </c>
      <c r="F257" s="1">
        <f t="shared" si="23"/>
        <v>11</v>
      </c>
      <c r="H257" s="11">
        <v>42985</v>
      </c>
      <c r="I257" s="25">
        <v>0</v>
      </c>
      <c r="J257" s="9">
        <v>1.5</v>
      </c>
      <c r="K257" s="9">
        <v>3.5</v>
      </c>
      <c r="L257" s="9">
        <v>3.5</v>
      </c>
      <c r="M257" s="9">
        <v>11</v>
      </c>
    </row>
    <row r="258" spans="1:13" x14ac:dyDescent="0.4">
      <c r="A258" s="16">
        <f t="shared" si="18"/>
        <v>42986</v>
      </c>
      <c r="B258" s="1">
        <f t="shared" si="19"/>
        <v>57.1</v>
      </c>
      <c r="C258" s="1">
        <f t="shared" si="20"/>
        <v>1.5</v>
      </c>
      <c r="D258" s="1">
        <f t="shared" si="21"/>
        <v>3.5</v>
      </c>
      <c r="E258" s="1">
        <f t="shared" si="22"/>
        <v>3.5</v>
      </c>
      <c r="F258" s="1">
        <f t="shared" si="23"/>
        <v>11</v>
      </c>
      <c r="H258" s="11">
        <v>42986</v>
      </c>
      <c r="I258" s="25">
        <v>57.1</v>
      </c>
      <c r="J258" s="9">
        <v>0</v>
      </c>
      <c r="K258" s="9">
        <v>0</v>
      </c>
      <c r="L258" s="9">
        <v>0</v>
      </c>
      <c r="M258" s="9">
        <v>0</v>
      </c>
    </row>
    <row r="259" spans="1:13" x14ac:dyDescent="0.4">
      <c r="A259" s="16">
        <f t="shared" si="18"/>
        <v>42992</v>
      </c>
      <c r="B259" s="1">
        <f t="shared" si="19"/>
        <v>57.1</v>
      </c>
      <c r="C259" s="1">
        <f t="shared" si="20"/>
        <v>2</v>
      </c>
      <c r="D259" s="1">
        <f t="shared" si="21"/>
        <v>5</v>
      </c>
      <c r="E259" s="1">
        <f t="shared" si="22"/>
        <v>5</v>
      </c>
      <c r="F259" s="1">
        <f t="shared" si="23"/>
        <v>12.5</v>
      </c>
      <c r="H259" s="11">
        <v>42992</v>
      </c>
      <c r="I259" s="25">
        <v>0</v>
      </c>
      <c r="J259" s="9">
        <v>2</v>
      </c>
      <c r="K259" s="9">
        <v>5</v>
      </c>
      <c r="L259" s="9">
        <v>5</v>
      </c>
      <c r="M259" s="9">
        <v>12.5</v>
      </c>
    </row>
    <row r="260" spans="1:13" x14ac:dyDescent="0.4">
      <c r="A260" s="16">
        <f t="shared" si="18"/>
        <v>42993</v>
      </c>
      <c r="B260" s="1">
        <f t="shared" si="19"/>
        <v>55.9</v>
      </c>
      <c r="C260" s="1">
        <f t="shared" si="20"/>
        <v>2</v>
      </c>
      <c r="D260" s="1">
        <f t="shared" si="21"/>
        <v>5</v>
      </c>
      <c r="E260" s="1">
        <f t="shared" si="22"/>
        <v>5</v>
      </c>
      <c r="F260" s="1">
        <f t="shared" si="23"/>
        <v>12.5</v>
      </c>
      <c r="H260" s="11">
        <v>42993</v>
      </c>
      <c r="I260" s="25">
        <v>55.9</v>
      </c>
      <c r="J260" s="9">
        <v>0</v>
      </c>
      <c r="K260" s="9">
        <v>0</v>
      </c>
      <c r="L260" s="9">
        <v>0</v>
      </c>
      <c r="M260" s="9">
        <v>0</v>
      </c>
    </row>
    <row r="261" spans="1:13" x14ac:dyDescent="0.4">
      <c r="A261" s="16">
        <f t="shared" si="18"/>
        <v>42999</v>
      </c>
      <c r="B261" s="1">
        <f t="shared" si="19"/>
        <v>55.9</v>
      </c>
      <c r="C261" s="1">
        <f t="shared" si="20"/>
        <v>2</v>
      </c>
      <c r="D261" s="1">
        <f t="shared" si="21"/>
        <v>7</v>
      </c>
      <c r="E261" s="1">
        <f t="shared" si="22"/>
        <v>7</v>
      </c>
      <c r="F261" s="1">
        <f t="shared" si="23"/>
        <v>14</v>
      </c>
      <c r="H261" s="11">
        <v>42999</v>
      </c>
      <c r="I261" s="25">
        <v>0</v>
      </c>
      <c r="J261" s="9">
        <v>2</v>
      </c>
      <c r="K261" s="9">
        <v>7</v>
      </c>
      <c r="L261" s="9">
        <v>7</v>
      </c>
      <c r="M261" s="9">
        <v>14</v>
      </c>
    </row>
    <row r="262" spans="1:13" x14ac:dyDescent="0.4">
      <c r="A262" s="16">
        <f t="shared" ref="A262:A325" si="24">H262</f>
        <v>43000</v>
      </c>
      <c r="B262" s="1">
        <f t="shared" ref="B262:B325" si="25">IF(I262&lt;&gt;0,I262,B261)</f>
        <v>58.5</v>
      </c>
      <c r="C262" s="1">
        <f t="shared" si="20"/>
        <v>2</v>
      </c>
      <c r="D262" s="1">
        <f t="shared" si="21"/>
        <v>7</v>
      </c>
      <c r="E262" s="1">
        <f t="shared" si="22"/>
        <v>7</v>
      </c>
      <c r="F262" s="1">
        <f t="shared" si="23"/>
        <v>14</v>
      </c>
      <c r="H262" s="11">
        <v>43000</v>
      </c>
      <c r="I262" s="25">
        <v>58.5</v>
      </c>
      <c r="J262" s="9">
        <v>0</v>
      </c>
      <c r="K262" s="9">
        <v>0</v>
      </c>
      <c r="L262" s="9">
        <v>0</v>
      </c>
      <c r="M262" s="9">
        <v>0</v>
      </c>
    </row>
    <row r="263" spans="1:13" x14ac:dyDescent="0.4">
      <c r="A263" s="16">
        <f t="shared" si="24"/>
        <v>43006</v>
      </c>
      <c r="B263" s="1">
        <f t="shared" si="25"/>
        <v>58.5</v>
      </c>
      <c r="C263" s="1">
        <f t="shared" ref="C263:C326" si="26">IF(J263&lt;&gt;0,J263,C262)</f>
        <v>2</v>
      </c>
      <c r="D263" s="1">
        <f t="shared" ref="D263:D326" si="27">IF(K263&lt;&gt;0,K263,D262)</f>
        <v>6</v>
      </c>
      <c r="E263" s="1">
        <f t="shared" ref="E263:E326" si="28">IF(L263&lt;&gt;0,L263,E262)</f>
        <v>8.5</v>
      </c>
      <c r="F263" s="1">
        <f t="shared" ref="F263:F326" si="29">IF(M263&lt;&gt;0,M263,F262)</f>
        <v>14</v>
      </c>
      <c r="H263" s="11">
        <v>43006</v>
      </c>
      <c r="I263" s="25">
        <v>0</v>
      </c>
      <c r="J263" s="9">
        <v>2</v>
      </c>
      <c r="K263" s="9">
        <v>6</v>
      </c>
      <c r="L263" s="9">
        <v>8.5</v>
      </c>
      <c r="M263" s="9">
        <v>14</v>
      </c>
    </row>
    <row r="264" spans="1:13" x14ac:dyDescent="0.4">
      <c r="A264" s="16">
        <f t="shared" si="24"/>
        <v>43007</v>
      </c>
      <c r="B264" s="1">
        <f t="shared" si="25"/>
        <v>57.1</v>
      </c>
      <c r="C264" s="1">
        <f t="shared" si="26"/>
        <v>2</v>
      </c>
      <c r="D264" s="1">
        <f t="shared" si="27"/>
        <v>6</v>
      </c>
      <c r="E264" s="1">
        <f t="shared" si="28"/>
        <v>8.5</v>
      </c>
      <c r="F264" s="1">
        <f t="shared" si="29"/>
        <v>14</v>
      </c>
      <c r="H264" s="11">
        <v>43007</v>
      </c>
      <c r="I264" s="25">
        <v>57.1</v>
      </c>
      <c r="J264" s="9">
        <v>0</v>
      </c>
      <c r="K264" s="9">
        <v>0</v>
      </c>
      <c r="L264" s="9">
        <v>0</v>
      </c>
      <c r="M264" s="9">
        <v>0</v>
      </c>
    </row>
    <row r="265" spans="1:13" x14ac:dyDescent="0.4">
      <c r="A265" s="16">
        <f t="shared" si="24"/>
        <v>43020</v>
      </c>
      <c r="B265" s="1">
        <f t="shared" si="25"/>
        <v>57.1</v>
      </c>
      <c r="C265" s="1">
        <f t="shared" si="26"/>
        <v>2</v>
      </c>
      <c r="D265" s="1">
        <f t="shared" si="27"/>
        <v>9</v>
      </c>
      <c r="E265" s="1">
        <f t="shared" si="28"/>
        <v>12.5</v>
      </c>
      <c r="F265" s="1">
        <f t="shared" si="29"/>
        <v>17.5</v>
      </c>
      <c r="H265" s="11">
        <v>43020</v>
      </c>
      <c r="I265" s="25">
        <v>0</v>
      </c>
      <c r="J265" s="9">
        <v>0</v>
      </c>
      <c r="K265" s="9">
        <v>9</v>
      </c>
      <c r="L265" s="9">
        <v>12.5</v>
      </c>
      <c r="M265" s="9">
        <v>17.5</v>
      </c>
    </row>
    <row r="266" spans="1:13" x14ac:dyDescent="0.4">
      <c r="A266" s="16">
        <f t="shared" si="24"/>
        <v>43021</v>
      </c>
      <c r="B266" s="1">
        <f t="shared" si="25"/>
        <v>48.9</v>
      </c>
      <c r="C266" s="1">
        <f t="shared" si="26"/>
        <v>2</v>
      </c>
      <c r="D266" s="1">
        <f t="shared" si="27"/>
        <v>9</v>
      </c>
      <c r="E266" s="1">
        <f t="shared" si="28"/>
        <v>12.5</v>
      </c>
      <c r="F266" s="1">
        <f t="shared" si="29"/>
        <v>17.5</v>
      </c>
      <c r="H266" s="11">
        <v>43021</v>
      </c>
      <c r="I266" s="25">
        <v>48.9</v>
      </c>
      <c r="J266" s="9">
        <v>2</v>
      </c>
      <c r="K266" s="9">
        <v>0</v>
      </c>
      <c r="L266" s="9">
        <v>0</v>
      </c>
      <c r="M266" s="9">
        <v>0</v>
      </c>
    </row>
    <row r="267" spans="1:13" x14ac:dyDescent="0.4">
      <c r="A267" s="16">
        <f t="shared" si="24"/>
        <v>43027</v>
      </c>
      <c r="B267" s="1">
        <f t="shared" si="25"/>
        <v>48.9</v>
      </c>
      <c r="C267" s="1">
        <f t="shared" si="26"/>
        <v>2</v>
      </c>
      <c r="D267" s="1">
        <f t="shared" si="27"/>
        <v>8.5</v>
      </c>
      <c r="E267" s="1">
        <f t="shared" si="28"/>
        <v>8.5</v>
      </c>
      <c r="F267" s="1">
        <f t="shared" si="29"/>
        <v>16</v>
      </c>
      <c r="H267" s="11">
        <v>43027</v>
      </c>
      <c r="I267" s="25">
        <v>0</v>
      </c>
      <c r="J267" s="9">
        <v>0</v>
      </c>
      <c r="K267" s="9">
        <v>8.5</v>
      </c>
      <c r="L267" s="9">
        <v>8.5</v>
      </c>
      <c r="M267" s="9">
        <v>16</v>
      </c>
    </row>
    <row r="268" spans="1:13" x14ac:dyDescent="0.4">
      <c r="A268" s="16">
        <f t="shared" si="24"/>
        <v>43028</v>
      </c>
      <c r="B268" s="1">
        <f t="shared" si="25"/>
        <v>40.6</v>
      </c>
      <c r="C268" s="1">
        <f t="shared" si="26"/>
        <v>1.5</v>
      </c>
      <c r="D268" s="1">
        <f t="shared" si="27"/>
        <v>8.5</v>
      </c>
      <c r="E268" s="1">
        <f t="shared" si="28"/>
        <v>8.5</v>
      </c>
      <c r="F268" s="1">
        <f t="shared" si="29"/>
        <v>16</v>
      </c>
      <c r="H268" s="11">
        <v>43028</v>
      </c>
      <c r="I268" s="25">
        <v>40.6</v>
      </c>
      <c r="J268" s="9">
        <v>1.5</v>
      </c>
      <c r="K268" s="9">
        <v>0</v>
      </c>
      <c r="L268" s="9">
        <v>0</v>
      </c>
      <c r="M268" s="9">
        <v>0</v>
      </c>
    </row>
    <row r="269" spans="1:13" x14ac:dyDescent="0.4">
      <c r="A269" s="16">
        <f t="shared" si="24"/>
        <v>43034</v>
      </c>
      <c r="B269" s="1">
        <f t="shared" si="25"/>
        <v>40.6</v>
      </c>
      <c r="C269" s="1">
        <f t="shared" si="26"/>
        <v>1.5</v>
      </c>
      <c r="D269" s="1">
        <f t="shared" si="27"/>
        <v>8.5</v>
      </c>
      <c r="E269" s="1">
        <f t="shared" si="28"/>
        <v>8.5</v>
      </c>
      <c r="F269" s="1">
        <f t="shared" si="29"/>
        <v>16</v>
      </c>
      <c r="H269" s="11">
        <v>43034</v>
      </c>
      <c r="I269" s="25">
        <v>0</v>
      </c>
      <c r="J269" s="9">
        <v>0</v>
      </c>
      <c r="K269" s="9">
        <v>8.5</v>
      </c>
      <c r="L269" s="9">
        <v>8.5</v>
      </c>
      <c r="M269" s="9">
        <v>16</v>
      </c>
    </row>
    <row r="270" spans="1:13" x14ac:dyDescent="0.4">
      <c r="A270" s="16">
        <f t="shared" si="24"/>
        <v>43035</v>
      </c>
      <c r="B270" s="1">
        <f t="shared" si="25"/>
        <v>37.369999999999997</v>
      </c>
      <c r="C270" s="1">
        <f t="shared" si="26"/>
        <v>1.5</v>
      </c>
      <c r="D270" s="1">
        <f t="shared" si="27"/>
        <v>8.5</v>
      </c>
      <c r="E270" s="1">
        <f t="shared" si="28"/>
        <v>8.5</v>
      </c>
      <c r="F270" s="1">
        <f t="shared" si="29"/>
        <v>16</v>
      </c>
      <c r="H270" s="11">
        <v>43035</v>
      </c>
      <c r="I270" s="25">
        <v>37.369999999999997</v>
      </c>
      <c r="J270" s="9">
        <v>1.5</v>
      </c>
      <c r="K270" s="9">
        <v>0</v>
      </c>
      <c r="L270" s="9">
        <v>0</v>
      </c>
      <c r="M270" s="9">
        <v>0</v>
      </c>
    </row>
    <row r="271" spans="1:13" x14ac:dyDescent="0.4">
      <c r="A271" s="16">
        <f t="shared" si="24"/>
        <v>43041</v>
      </c>
      <c r="B271" s="1">
        <f t="shared" si="25"/>
        <v>37.369999999999997</v>
      </c>
      <c r="C271" s="1">
        <f t="shared" si="26"/>
        <v>1.5</v>
      </c>
      <c r="D271" s="1">
        <f t="shared" si="27"/>
        <v>8.5</v>
      </c>
      <c r="E271" s="1">
        <f t="shared" si="28"/>
        <v>8.5</v>
      </c>
      <c r="F271" s="1">
        <f t="shared" si="29"/>
        <v>16</v>
      </c>
      <c r="H271" s="11">
        <v>43041</v>
      </c>
      <c r="I271" s="25">
        <v>0</v>
      </c>
      <c r="J271" s="9">
        <v>0</v>
      </c>
      <c r="K271" s="9">
        <v>8.5</v>
      </c>
      <c r="L271" s="9">
        <v>8.5</v>
      </c>
      <c r="M271" s="9">
        <v>16</v>
      </c>
    </row>
    <row r="272" spans="1:13" x14ac:dyDescent="0.4">
      <c r="A272" s="16">
        <f t="shared" si="24"/>
        <v>43042</v>
      </c>
      <c r="B272" s="1">
        <f t="shared" si="25"/>
        <v>38.14</v>
      </c>
      <c r="C272" s="1">
        <f t="shared" si="26"/>
        <v>2.5</v>
      </c>
      <c r="D272" s="1">
        <f t="shared" si="27"/>
        <v>8.5</v>
      </c>
      <c r="E272" s="1">
        <f t="shared" si="28"/>
        <v>8.5</v>
      </c>
      <c r="F272" s="1">
        <f t="shared" si="29"/>
        <v>16</v>
      </c>
      <c r="H272" s="11">
        <v>43042</v>
      </c>
      <c r="I272" s="25">
        <v>38.14</v>
      </c>
      <c r="J272" s="9">
        <v>2.5</v>
      </c>
      <c r="K272" s="9">
        <v>0</v>
      </c>
      <c r="L272" s="9">
        <v>0</v>
      </c>
      <c r="M272" s="9">
        <v>0</v>
      </c>
    </row>
    <row r="273" spans="1:13" x14ac:dyDescent="0.4">
      <c r="A273" s="16">
        <f t="shared" si="24"/>
        <v>43048</v>
      </c>
      <c r="B273" s="1">
        <f t="shared" si="25"/>
        <v>38.14</v>
      </c>
      <c r="C273" s="1">
        <f t="shared" si="26"/>
        <v>2.5</v>
      </c>
      <c r="D273" s="1">
        <f t="shared" si="27"/>
        <v>6.5</v>
      </c>
      <c r="E273" s="1">
        <f t="shared" si="28"/>
        <v>6.5</v>
      </c>
      <c r="F273" s="1">
        <f t="shared" si="29"/>
        <v>12.5</v>
      </c>
      <c r="H273" s="11">
        <v>43048</v>
      </c>
      <c r="I273" s="25">
        <v>0</v>
      </c>
      <c r="J273" s="9">
        <v>0</v>
      </c>
      <c r="K273" s="9">
        <v>6.5</v>
      </c>
      <c r="L273" s="9">
        <v>6.5</v>
      </c>
      <c r="M273" s="9">
        <v>12.5</v>
      </c>
    </row>
    <row r="274" spans="1:13" x14ac:dyDescent="0.4">
      <c r="A274" s="16">
        <f t="shared" si="24"/>
        <v>43049</v>
      </c>
      <c r="B274" s="1">
        <f t="shared" si="25"/>
        <v>40.200000000000003</v>
      </c>
      <c r="C274" s="1">
        <f t="shared" si="26"/>
        <v>2.5</v>
      </c>
      <c r="D274" s="1">
        <f t="shared" si="27"/>
        <v>6.5</v>
      </c>
      <c r="E274" s="1">
        <f t="shared" si="28"/>
        <v>6.5</v>
      </c>
      <c r="F274" s="1">
        <f t="shared" si="29"/>
        <v>12.5</v>
      </c>
      <c r="H274" s="11">
        <v>43049</v>
      </c>
      <c r="I274" s="25">
        <v>40.200000000000003</v>
      </c>
      <c r="J274" s="9">
        <v>2.5</v>
      </c>
      <c r="K274" s="9">
        <v>0</v>
      </c>
      <c r="L274" s="9">
        <v>0</v>
      </c>
      <c r="M274" s="9">
        <v>0</v>
      </c>
    </row>
    <row r="275" spans="1:13" x14ac:dyDescent="0.4">
      <c r="A275" s="16">
        <f t="shared" si="24"/>
        <v>43055</v>
      </c>
      <c r="B275" s="1">
        <f t="shared" si="25"/>
        <v>40.200000000000003</v>
      </c>
      <c r="C275" s="1">
        <f t="shared" si="26"/>
        <v>2.5</v>
      </c>
      <c r="D275" s="1">
        <f t="shared" si="27"/>
        <v>6.5</v>
      </c>
      <c r="E275" s="1">
        <f t="shared" si="28"/>
        <v>6.5</v>
      </c>
      <c r="F275" s="1">
        <f t="shared" si="29"/>
        <v>12.5</v>
      </c>
      <c r="H275" s="11">
        <v>43055</v>
      </c>
      <c r="I275" s="25">
        <v>0</v>
      </c>
      <c r="J275" s="9">
        <v>0</v>
      </c>
      <c r="K275" s="9">
        <v>6.5</v>
      </c>
      <c r="L275" s="9">
        <v>6.5</v>
      </c>
      <c r="M275" s="9">
        <v>12.5</v>
      </c>
    </row>
    <row r="276" spans="1:13" x14ac:dyDescent="0.4">
      <c r="A276" s="16">
        <f t="shared" si="24"/>
        <v>43056</v>
      </c>
      <c r="B276" s="1">
        <f t="shared" si="25"/>
        <v>35.700000000000003</v>
      </c>
      <c r="C276" s="1">
        <f t="shared" si="26"/>
        <v>2</v>
      </c>
      <c r="D276" s="1">
        <f t="shared" si="27"/>
        <v>6.5</v>
      </c>
      <c r="E276" s="1">
        <f t="shared" si="28"/>
        <v>6.5</v>
      </c>
      <c r="F276" s="1">
        <f t="shared" si="29"/>
        <v>12.5</v>
      </c>
      <c r="H276" s="11">
        <v>43056</v>
      </c>
      <c r="I276" s="25">
        <v>35.700000000000003</v>
      </c>
      <c r="J276" s="9">
        <v>2</v>
      </c>
      <c r="K276" s="9">
        <v>0</v>
      </c>
      <c r="L276" s="9">
        <v>0</v>
      </c>
      <c r="M276" s="9">
        <v>0</v>
      </c>
    </row>
    <row r="277" spans="1:13" x14ac:dyDescent="0.4">
      <c r="A277" s="16">
        <f t="shared" si="24"/>
        <v>43062</v>
      </c>
      <c r="B277" s="1">
        <f t="shared" si="25"/>
        <v>35.700000000000003</v>
      </c>
      <c r="C277" s="1">
        <f t="shared" si="26"/>
        <v>2</v>
      </c>
      <c r="D277" s="1">
        <f t="shared" si="27"/>
        <v>7</v>
      </c>
      <c r="E277" s="1">
        <f t="shared" si="28"/>
        <v>7</v>
      </c>
      <c r="F277" s="1">
        <f t="shared" si="29"/>
        <v>12.5</v>
      </c>
      <c r="H277" s="11">
        <v>43062</v>
      </c>
      <c r="I277" s="25">
        <v>0</v>
      </c>
      <c r="J277" s="9">
        <v>0</v>
      </c>
      <c r="K277" s="9">
        <v>7</v>
      </c>
      <c r="L277" s="9">
        <v>7</v>
      </c>
      <c r="M277" s="9">
        <v>12.5</v>
      </c>
    </row>
    <row r="278" spans="1:13" x14ac:dyDescent="0.4">
      <c r="A278" s="16">
        <f t="shared" si="24"/>
        <v>43063</v>
      </c>
      <c r="B278" s="1">
        <f t="shared" si="25"/>
        <v>34.5</v>
      </c>
      <c r="C278" s="1">
        <f t="shared" si="26"/>
        <v>2</v>
      </c>
      <c r="D278" s="1">
        <f t="shared" si="27"/>
        <v>7</v>
      </c>
      <c r="E278" s="1">
        <f t="shared" si="28"/>
        <v>7</v>
      </c>
      <c r="F278" s="1">
        <f t="shared" si="29"/>
        <v>12.5</v>
      </c>
      <c r="H278" s="11">
        <v>43063</v>
      </c>
      <c r="I278" s="25">
        <v>34.5</v>
      </c>
      <c r="J278" s="9">
        <v>2</v>
      </c>
      <c r="K278" s="9">
        <v>0</v>
      </c>
      <c r="L278" s="9">
        <v>0</v>
      </c>
      <c r="M278" s="9">
        <v>0</v>
      </c>
    </row>
    <row r="279" spans="1:13" x14ac:dyDescent="0.4">
      <c r="A279" s="16">
        <f t="shared" si="24"/>
        <v>43069</v>
      </c>
      <c r="B279" s="1">
        <f t="shared" si="25"/>
        <v>34.5</v>
      </c>
      <c r="C279" s="1">
        <f t="shared" si="26"/>
        <v>2</v>
      </c>
      <c r="D279" s="1">
        <f t="shared" si="27"/>
        <v>8.5</v>
      </c>
      <c r="E279" s="1">
        <f t="shared" si="28"/>
        <v>8.5</v>
      </c>
      <c r="F279" s="1">
        <f t="shared" si="29"/>
        <v>14</v>
      </c>
      <c r="H279" s="11">
        <v>43069</v>
      </c>
      <c r="I279" s="25">
        <v>0</v>
      </c>
      <c r="J279" s="9">
        <v>0</v>
      </c>
      <c r="K279" s="9">
        <v>8.5</v>
      </c>
      <c r="L279" s="9">
        <v>8.5</v>
      </c>
      <c r="M279" s="9">
        <v>14</v>
      </c>
    </row>
    <row r="280" spans="1:13" x14ac:dyDescent="0.4">
      <c r="A280" s="16">
        <f t="shared" si="24"/>
        <v>43070</v>
      </c>
      <c r="B280" s="1">
        <f t="shared" si="25"/>
        <v>31.5</v>
      </c>
      <c r="C280" s="1">
        <f t="shared" si="26"/>
        <v>2.5</v>
      </c>
      <c r="D280" s="1">
        <f t="shared" si="27"/>
        <v>8.5</v>
      </c>
      <c r="E280" s="1">
        <f t="shared" si="28"/>
        <v>8.5</v>
      </c>
      <c r="F280" s="1">
        <f t="shared" si="29"/>
        <v>14</v>
      </c>
      <c r="H280" s="11">
        <v>43070</v>
      </c>
      <c r="I280" s="25">
        <v>31.5</v>
      </c>
      <c r="J280" s="9">
        <v>2.5</v>
      </c>
      <c r="K280" s="9">
        <v>0</v>
      </c>
      <c r="L280" s="9">
        <v>0</v>
      </c>
      <c r="M280" s="9">
        <v>0</v>
      </c>
    </row>
    <row r="281" spans="1:13" x14ac:dyDescent="0.4">
      <c r="A281" s="16">
        <f t="shared" si="24"/>
        <v>43076</v>
      </c>
      <c r="B281" s="1">
        <f t="shared" si="25"/>
        <v>31.5</v>
      </c>
      <c r="C281" s="1">
        <f t="shared" si="26"/>
        <v>2.5</v>
      </c>
      <c r="D281" s="1">
        <f t="shared" si="27"/>
        <v>9</v>
      </c>
      <c r="E281" s="1">
        <f t="shared" si="28"/>
        <v>9</v>
      </c>
      <c r="F281" s="1">
        <f t="shared" si="29"/>
        <v>14</v>
      </c>
      <c r="H281" s="11">
        <v>43076</v>
      </c>
      <c r="I281" s="25">
        <v>0</v>
      </c>
      <c r="J281" s="9">
        <v>0</v>
      </c>
      <c r="K281" s="9">
        <v>9</v>
      </c>
      <c r="L281" s="9">
        <v>9</v>
      </c>
      <c r="M281" s="9">
        <v>14</v>
      </c>
    </row>
    <row r="282" spans="1:13" x14ac:dyDescent="0.4">
      <c r="A282" s="16">
        <f t="shared" si="24"/>
        <v>43077</v>
      </c>
      <c r="B282" s="1">
        <f t="shared" si="25"/>
        <v>29.6</v>
      </c>
      <c r="C282" s="1">
        <f t="shared" si="26"/>
        <v>1</v>
      </c>
      <c r="D282" s="1">
        <f t="shared" si="27"/>
        <v>9</v>
      </c>
      <c r="E282" s="1">
        <f t="shared" si="28"/>
        <v>9</v>
      </c>
      <c r="F282" s="1">
        <f t="shared" si="29"/>
        <v>14</v>
      </c>
      <c r="H282" s="11">
        <v>43077</v>
      </c>
      <c r="I282" s="25">
        <v>29.6</v>
      </c>
      <c r="J282" s="9">
        <v>1</v>
      </c>
      <c r="K282" s="9">
        <v>0</v>
      </c>
      <c r="L282" s="9">
        <v>0</v>
      </c>
      <c r="M282" s="9">
        <v>0</v>
      </c>
    </row>
    <row r="283" spans="1:13" x14ac:dyDescent="0.4">
      <c r="A283" s="16">
        <f t="shared" si="24"/>
        <v>43083</v>
      </c>
      <c r="B283" s="1">
        <f t="shared" si="25"/>
        <v>29.6</v>
      </c>
      <c r="C283" s="1">
        <f t="shared" si="26"/>
        <v>1</v>
      </c>
      <c r="D283" s="1">
        <f t="shared" si="27"/>
        <v>10</v>
      </c>
      <c r="E283" s="1">
        <f t="shared" si="28"/>
        <v>10</v>
      </c>
      <c r="F283" s="1">
        <f t="shared" si="29"/>
        <v>15</v>
      </c>
      <c r="H283" s="11">
        <v>43083</v>
      </c>
      <c r="I283" s="25">
        <v>0</v>
      </c>
      <c r="J283" s="9">
        <v>0</v>
      </c>
      <c r="K283" s="9">
        <v>10</v>
      </c>
      <c r="L283" s="9">
        <v>10</v>
      </c>
      <c r="M283" s="9">
        <v>15</v>
      </c>
    </row>
    <row r="284" spans="1:13" x14ac:dyDescent="0.4">
      <c r="A284" s="16">
        <f t="shared" si="24"/>
        <v>43084</v>
      </c>
      <c r="B284" s="1">
        <f t="shared" si="25"/>
        <v>26.76</v>
      </c>
      <c r="C284" s="1">
        <f t="shared" si="26"/>
        <v>2</v>
      </c>
      <c r="D284" s="1">
        <f t="shared" si="27"/>
        <v>10</v>
      </c>
      <c r="E284" s="1">
        <f t="shared" si="28"/>
        <v>10</v>
      </c>
      <c r="F284" s="1">
        <f t="shared" si="29"/>
        <v>15</v>
      </c>
      <c r="H284" s="11">
        <v>43084</v>
      </c>
      <c r="I284" s="25">
        <v>26.76</v>
      </c>
      <c r="J284" s="9">
        <v>2</v>
      </c>
      <c r="K284" s="9">
        <v>0</v>
      </c>
      <c r="L284" s="9">
        <v>0</v>
      </c>
      <c r="M284" s="9">
        <v>0</v>
      </c>
    </row>
    <row r="285" spans="1:13" x14ac:dyDescent="0.4">
      <c r="A285" s="16">
        <f t="shared" si="24"/>
        <v>43090</v>
      </c>
      <c r="B285" s="1">
        <f t="shared" si="25"/>
        <v>26.76</v>
      </c>
      <c r="C285" s="1">
        <f t="shared" si="26"/>
        <v>2</v>
      </c>
      <c r="D285" s="1">
        <f t="shared" si="27"/>
        <v>8.5</v>
      </c>
      <c r="E285" s="1">
        <f t="shared" si="28"/>
        <v>8.5</v>
      </c>
      <c r="F285" s="1">
        <f t="shared" si="29"/>
        <v>15</v>
      </c>
      <c r="H285" s="11">
        <v>43090</v>
      </c>
      <c r="I285" s="25">
        <v>0</v>
      </c>
      <c r="J285" s="9">
        <v>0</v>
      </c>
      <c r="K285" s="9">
        <v>8.5</v>
      </c>
      <c r="L285" s="9">
        <v>8.5</v>
      </c>
      <c r="M285" s="9">
        <v>15</v>
      </c>
    </row>
    <row r="286" spans="1:13" x14ac:dyDescent="0.4">
      <c r="A286" s="16">
        <f t="shared" si="24"/>
        <v>43091</v>
      </c>
      <c r="B286" s="1">
        <f t="shared" si="25"/>
        <v>28.3</v>
      </c>
      <c r="C286" s="1">
        <f t="shared" si="26"/>
        <v>1.5</v>
      </c>
      <c r="D286" s="1">
        <f t="shared" si="27"/>
        <v>8.5</v>
      </c>
      <c r="E286" s="1">
        <f t="shared" si="28"/>
        <v>8.5</v>
      </c>
      <c r="F286" s="1">
        <f t="shared" si="29"/>
        <v>15</v>
      </c>
      <c r="H286" s="11">
        <v>43091</v>
      </c>
      <c r="I286" s="25">
        <v>28.3</v>
      </c>
      <c r="J286" s="9">
        <v>1.5</v>
      </c>
      <c r="K286" s="9">
        <v>0</v>
      </c>
      <c r="L286" s="9">
        <v>0</v>
      </c>
      <c r="M286" s="9">
        <v>0</v>
      </c>
    </row>
    <row r="287" spans="1:13" x14ac:dyDescent="0.4">
      <c r="A287" s="16">
        <f t="shared" si="24"/>
        <v>43097</v>
      </c>
      <c r="B287" s="1">
        <f t="shared" si="25"/>
        <v>28.3</v>
      </c>
      <c r="C287" s="1">
        <f t="shared" si="26"/>
        <v>1.5</v>
      </c>
      <c r="D287" s="1">
        <f t="shared" si="27"/>
        <v>7.5</v>
      </c>
      <c r="E287" s="1">
        <f t="shared" si="28"/>
        <v>7.5</v>
      </c>
      <c r="F287" s="1">
        <f t="shared" si="29"/>
        <v>14</v>
      </c>
      <c r="H287" s="11">
        <v>43097</v>
      </c>
      <c r="I287" s="25">
        <v>0</v>
      </c>
      <c r="J287" s="9">
        <v>0</v>
      </c>
      <c r="K287" s="9">
        <v>7.5</v>
      </c>
      <c r="L287" s="9">
        <v>7.5</v>
      </c>
      <c r="M287" s="9">
        <v>14</v>
      </c>
    </row>
    <row r="288" spans="1:13" x14ac:dyDescent="0.4">
      <c r="A288" s="16">
        <f t="shared" si="24"/>
        <v>43098</v>
      </c>
      <c r="B288" s="1">
        <f t="shared" si="25"/>
        <v>29.7</v>
      </c>
      <c r="C288" s="1">
        <f t="shared" si="26"/>
        <v>2</v>
      </c>
      <c r="D288" s="1">
        <f t="shared" si="27"/>
        <v>7.5</v>
      </c>
      <c r="E288" s="1">
        <f t="shared" si="28"/>
        <v>7.5</v>
      </c>
      <c r="F288" s="1">
        <f t="shared" si="29"/>
        <v>14</v>
      </c>
      <c r="H288" s="11">
        <v>43098</v>
      </c>
      <c r="I288" s="25">
        <v>29.7</v>
      </c>
      <c r="J288" s="9">
        <v>2</v>
      </c>
      <c r="K288" s="9">
        <v>0</v>
      </c>
      <c r="L288" s="9">
        <v>0</v>
      </c>
      <c r="M288" s="9">
        <v>0</v>
      </c>
    </row>
    <row r="289" spans="1:13" x14ac:dyDescent="0.4">
      <c r="A289" s="16">
        <f t="shared" si="24"/>
        <v>43104</v>
      </c>
      <c r="B289" s="1">
        <f t="shared" si="25"/>
        <v>29.7</v>
      </c>
      <c r="C289" s="1">
        <f t="shared" si="26"/>
        <v>2</v>
      </c>
      <c r="D289" s="1">
        <f t="shared" si="27"/>
        <v>6</v>
      </c>
      <c r="E289" s="1">
        <f t="shared" si="28"/>
        <v>6</v>
      </c>
      <c r="F289" s="1">
        <f t="shared" si="29"/>
        <v>13.5</v>
      </c>
      <c r="H289" s="11">
        <v>43104</v>
      </c>
      <c r="I289" s="25">
        <v>0</v>
      </c>
      <c r="J289" s="9">
        <v>0</v>
      </c>
      <c r="K289" s="9">
        <v>6</v>
      </c>
      <c r="L289" s="9">
        <v>6</v>
      </c>
      <c r="M289" s="9">
        <v>13.5</v>
      </c>
    </row>
    <row r="290" spans="1:13" x14ac:dyDescent="0.4">
      <c r="A290" s="16">
        <f t="shared" si="24"/>
        <v>43105</v>
      </c>
      <c r="B290" s="1">
        <f t="shared" si="25"/>
        <v>30.6</v>
      </c>
      <c r="C290" s="1">
        <f t="shared" si="26"/>
        <v>2</v>
      </c>
      <c r="D290" s="1">
        <f t="shared" si="27"/>
        <v>6</v>
      </c>
      <c r="E290" s="1">
        <f t="shared" si="28"/>
        <v>6</v>
      </c>
      <c r="F290" s="1">
        <f t="shared" si="29"/>
        <v>13.5</v>
      </c>
      <c r="H290" s="11">
        <v>43105</v>
      </c>
      <c r="I290" s="25">
        <v>30.6</v>
      </c>
      <c r="J290" s="9">
        <v>2</v>
      </c>
      <c r="K290" s="9">
        <v>0</v>
      </c>
      <c r="L290" s="9">
        <v>0</v>
      </c>
      <c r="M290" s="9">
        <v>0</v>
      </c>
    </row>
    <row r="291" spans="1:13" x14ac:dyDescent="0.4">
      <c r="A291" s="16">
        <f t="shared" si="24"/>
        <v>43111</v>
      </c>
      <c r="B291" s="1">
        <f t="shared" si="25"/>
        <v>30.6</v>
      </c>
      <c r="C291" s="1">
        <f t="shared" si="26"/>
        <v>2</v>
      </c>
      <c r="D291" s="1">
        <f t="shared" si="27"/>
        <v>5.5</v>
      </c>
      <c r="E291" s="1">
        <f t="shared" si="28"/>
        <v>5.5</v>
      </c>
      <c r="F291" s="1">
        <f t="shared" si="29"/>
        <v>13</v>
      </c>
      <c r="H291" s="11">
        <v>43111</v>
      </c>
      <c r="I291" s="25">
        <v>0</v>
      </c>
      <c r="J291" s="9">
        <v>0</v>
      </c>
      <c r="K291" s="9">
        <v>5.5</v>
      </c>
      <c r="L291" s="9">
        <v>5.5</v>
      </c>
      <c r="M291" s="9">
        <v>13</v>
      </c>
    </row>
    <row r="292" spans="1:13" x14ac:dyDescent="0.4">
      <c r="A292" s="16">
        <f t="shared" si="24"/>
        <v>43112</v>
      </c>
      <c r="B292" s="1">
        <f t="shared" si="25"/>
        <v>27.1</v>
      </c>
      <c r="C292" s="1">
        <f t="shared" si="26"/>
        <v>1.5</v>
      </c>
      <c r="D292" s="1">
        <f t="shared" si="27"/>
        <v>5.5</v>
      </c>
      <c r="E292" s="1">
        <f t="shared" si="28"/>
        <v>5.5</v>
      </c>
      <c r="F292" s="1">
        <f t="shared" si="29"/>
        <v>13</v>
      </c>
      <c r="H292" s="11">
        <v>43112</v>
      </c>
      <c r="I292" s="25">
        <v>27.1</v>
      </c>
      <c r="J292" s="9">
        <v>1.5</v>
      </c>
      <c r="K292" s="9">
        <v>0</v>
      </c>
      <c r="L292" s="9">
        <v>0</v>
      </c>
      <c r="M292" s="9">
        <v>0</v>
      </c>
    </row>
    <row r="293" spans="1:13" x14ac:dyDescent="0.4">
      <c r="A293" s="16">
        <f t="shared" si="24"/>
        <v>43118</v>
      </c>
      <c r="B293" s="1">
        <f t="shared" si="25"/>
        <v>27.1</v>
      </c>
      <c r="C293" s="1">
        <f t="shared" si="26"/>
        <v>1.5</v>
      </c>
      <c r="D293" s="1">
        <f t="shared" si="27"/>
        <v>7.5</v>
      </c>
      <c r="E293" s="1">
        <f t="shared" si="28"/>
        <v>7.5</v>
      </c>
      <c r="F293" s="1">
        <f t="shared" si="29"/>
        <v>15</v>
      </c>
      <c r="H293" s="11">
        <v>43118</v>
      </c>
      <c r="I293" s="25">
        <v>0</v>
      </c>
      <c r="J293" s="9">
        <v>0</v>
      </c>
      <c r="K293" s="9">
        <v>7.5</v>
      </c>
      <c r="L293" s="9">
        <v>7.5</v>
      </c>
      <c r="M293" s="9">
        <v>15</v>
      </c>
    </row>
    <row r="294" spans="1:13" x14ac:dyDescent="0.4">
      <c r="A294" s="16">
        <f t="shared" si="24"/>
        <v>43119</v>
      </c>
      <c r="B294" s="1">
        <f t="shared" si="25"/>
        <v>28.6</v>
      </c>
      <c r="C294" s="1">
        <f t="shared" si="26"/>
        <v>1</v>
      </c>
      <c r="D294" s="1">
        <f t="shared" si="27"/>
        <v>7.5</v>
      </c>
      <c r="E294" s="1">
        <f t="shared" si="28"/>
        <v>7.5</v>
      </c>
      <c r="F294" s="1">
        <f t="shared" si="29"/>
        <v>15</v>
      </c>
      <c r="H294" s="11">
        <v>43119</v>
      </c>
      <c r="I294" s="25">
        <v>28.6</v>
      </c>
      <c r="J294" s="9">
        <v>1</v>
      </c>
      <c r="K294" s="9">
        <v>0</v>
      </c>
      <c r="L294" s="9">
        <v>0</v>
      </c>
      <c r="M294" s="9">
        <v>0</v>
      </c>
    </row>
    <row r="295" spans="1:13" x14ac:dyDescent="0.4">
      <c r="A295" s="16">
        <f t="shared" si="24"/>
        <v>43125</v>
      </c>
      <c r="B295" s="1">
        <f t="shared" si="25"/>
        <v>28.6</v>
      </c>
      <c r="C295" s="1">
        <f t="shared" si="26"/>
        <v>1</v>
      </c>
      <c r="D295" s="1">
        <f t="shared" si="27"/>
        <v>8</v>
      </c>
      <c r="E295" s="1">
        <f t="shared" si="28"/>
        <v>8</v>
      </c>
      <c r="F295" s="1">
        <f t="shared" si="29"/>
        <v>15</v>
      </c>
      <c r="H295" s="11">
        <v>43125</v>
      </c>
      <c r="I295" s="25">
        <v>0</v>
      </c>
      <c r="J295" s="9">
        <v>0</v>
      </c>
      <c r="K295" s="9">
        <v>8</v>
      </c>
      <c r="L295" s="9">
        <v>8</v>
      </c>
      <c r="M295" s="9">
        <v>15</v>
      </c>
    </row>
    <row r="296" spans="1:13" x14ac:dyDescent="0.4">
      <c r="A296" s="16">
        <f t="shared" si="24"/>
        <v>43126</v>
      </c>
      <c r="B296" s="1">
        <f t="shared" si="25"/>
        <v>30.4</v>
      </c>
      <c r="C296" s="1">
        <f t="shared" si="26"/>
        <v>2</v>
      </c>
      <c r="D296" s="1">
        <f t="shared" si="27"/>
        <v>8</v>
      </c>
      <c r="E296" s="1">
        <f t="shared" si="28"/>
        <v>8</v>
      </c>
      <c r="F296" s="1">
        <f t="shared" si="29"/>
        <v>15</v>
      </c>
      <c r="H296" s="11">
        <v>43126</v>
      </c>
      <c r="I296" s="25">
        <v>30.4</v>
      </c>
      <c r="J296" s="9">
        <v>2</v>
      </c>
      <c r="K296" s="9">
        <v>0</v>
      </c>
      <c r="L296" s="9">
        <v>0</v>
      </c>
      <c r="M296" s="9">
        <v>0</v>
      </c>
    </row>
    <row r="297" spans="1:13" x14ac:dyDescent="0.4">
      <c r="A297" s="16">
        <f t="shared" si="24"/>
        <v>43132</v>
      </c>
      <c r="B297" s="1">
        <f t="shared" si="25"/>
        <v>30.4</v>
      </c>
      <c r="C297" s="1">
        <f t="shared" si="26"/>
        <v>2</v>
      </c>
      <c r="D297" s="1">
        <f t="shared" si="27"/>
        <v>8</v>
      </c>
      <c r="E297" s="1">
        <f t="shared" si="28"/>
        <v>8</v>
      </c>
      <c r="F297" s="1">
        <f t="shared" si="29"/>
        <v>15</v>
      </c>
      <c r="H297" s="11">
        <v>43132</v>
      </c>
      <c r="I297" s="25">
        <v>0</v>
      </c>
      <c r="J297" s="9">
        <v>0</v>
      </c>
      <c r="K297" s="9">
        <v>8</v>
      </c>
      <c r="L297" s="9">
        <v>8</v>
      </c>
      <c r="M297" s="9">
        <v>15</v>
      </c>
    </row>
    <row r="298" spans="1:13" x14ac:dyDescent="0.4">
      <c r="A298" s="16">
        <f t="shared" si="24"/>
        <v>43133</v>
      </c>
      <c r="B298" s="1">
        <f t="shared" si="25"/>
        <v>30.3</v>
      </c>
      <c r="C298" s="1">
        <f t="shared" si="26"/>
        <v>1.5</v>
      </c>
      <c r="D298" s="1">
        <f t="shared" si="27"/>
        <v>8</v>
      </c>
      <c r="E298" s="1">
        <f t="shared" si="28"/>
        <v>8</v>
      </c>
      <c r="F298" s="1">
        <f t="shared" si="29"/>
        <v>15</v>
      </c>
      <c r="H298" s="11">
        <v>43133</v>
      </c>
      <c r="I298" s="25">
        <v>30.3</v>
      </c>
      <c r="J298" s="9">
        <v>1.5</v>
      </c>
      <c r="K298" s="9">
        <v>0</v>
      </c>
      <c r="L298" s="9">
        <v>0</v>
      </c>
      <c r="M298" s="9">
        <v>0</v>
      </c>
    </row>
    <row r="299" spans="1:13" x14ac:dyDescent="0.4">
      <c r="A299" s="16">
        <f t="shared" si="24"/>
        <v>43139</v>
      </c>
      <c r="B299" s="1">
        <f t="shared" si="25"/>
        <v>30.3</v>
      </c>
      <c r="C299" s="1">
        <f t="shared" si="26"/>
        <v>1.5</v>
      </c>
      <c r="D299" s="1">
        <f t="shared" si="27"/>
        <v>8</v>
      </c>
      <c r="E299" s="1">
        <f t="shared" si="28"/>
        <v>8</v>
      </c>
      <c r="F299" s="1">
        <f t="shared" si="29"/>
        <v>15</v>
      </c>
      <c r="H299" s="11">
        <v>43139</v>
      </c>
      <c r="I299" s="25">
        <v>0</v>
      </c>
      <c r="J299" s="9">
        <v>0</v>
      </c>
      <c r="K299" s="9">
        <v>8</v>
      </c>
      <c r="L299" s="9">
        <v>8</v>
      </c>
      <c r="M299" s="9">
        <v>15</v>
      </c>
    </row>
    <row r="300" spans="1:13" x14ac:dyDescent="0.4">
      <c r="A300" s="16">
        <f t="shared" si="24"/>
        <v>43140</v>
      </c>
      <c r="B300" s="1">
        <f t="shared" si="25"/>
        <v>29.2</v>
      </c>
      <c r="C300" s="1">
        <f t="shared" si="26"/>
        <v>2</v>
      </c>
      <c r="D300" s="1">
        <f t="shared" si="27"/>
        <v>8</v>
      </c>
      <c r="E300" s="1">
        <f t="shared" si="28"/>
        <v>8</v>
      </c>
      <c r="F300" s="1">
        <f t="shared" si="29"/>
        <v>15</v>
      </c>
      <c r="H300" s="11">
        <v>43140</v>
      </c>
      <c r="I300" s="25">
        <v>29.2</v>
      </c>
      <c r="J300" s="9">
        <v>2</v>
      </c>
      <c r="K300" s="9">
        <v>0</v>
      </c>
      <c r="L300" s="9">
        <v>0</v>
      </c>
      <c r="M300" s="9">
        <v>0</v>
      </c>
    </row>
    <row r="301" spans="1:13" x14ac:dyDescent="0.4">
      <c r="A301" s="16">
        <f t="shared" si="24"/>
        <v>43153</v>
      </c>
      <c r="B301" s="1">
        <f t="shared" si="25"/>
        <v>37.299999999999997</v>
      </c>
      <c r="C301" s="1">
        <f t="shared" si="26"/>
        <v>2</v>
      </c>
      <c r="D301" s="1">
        <f t="shared" si="27"/>
        <v>8</v>
      </c>
      <c r="E301" s="1">
        <f t="shared" si="28"/>
        <v>8</v>
      </c>
      <c r="F301" s="1">
        <f t="shared" si="29"/>
        <v>15</v>
      </c>
      <c r="H301" s="11">
        <v>43153</v>
      </c>
      <c r="I301" s="25">
        <v>37.299999999999997</v>
      </c>
      <c r="J301" s="9">
        <v>0</v>
      </c>
      <c r="K301" s="9">
        <v>0</v>
      </c>
      <c r="L301" s="9">
        <v>0</v>
      </c>
      <c r="M301" s="9">
        <v>0</v>
      </c>
    </row>
    <row r="302" spans="1:13" x14ac:dyDescent="0.4">
      <c r="A302" s="16">
        <f t="shared" si="24"/>
        <v>43154</v>
      </c>
      <c r="B302" s="1">
        <f t="shared" si="25"/>
        <v>37.299999999999997</v>
      </c>
      <c r="C302" s="1">
        <f t="shared" si="26"/>
        <v>2</v>
      </c>
      <c r="D302" s="1">
        <f t="shared" si="27"/>
        <v>8</v>
      </c>
      <c r="E302" s="1">
        <f t="shared" si="28"/>
        <v>8</v>
      </c>
      <c r="F302" s="1">
        <f t="shared" si="29"/>
        <v>15</v>
      </c>
      <c r="H302" s="11">
        <v>43154</v>
      </c>
      <c r="I302" s="25">
        <v>0</v>
      </c>
      <c r="J302" s="9">
        <v>2</v>
      </c>
      <c r="K302" s="9">
        <v>0</v>
      </c>
      <c r="L302" s="9">
        <v>0</v>
      </c>
      <c r="M302" s="9">
        <v>0</v>
      </c>
    </row>
    <row r="303" spans="1:13" x14ac:dyDescent="0.4">
      <c r="A303" s="16">
        <f t="shared" si="24"/>
        <v>43155</v>
      </c>
      <c r="B303" s="1">
        <f t="shared" si="25"/>
        <v>37.299999999999997</v>
      </c>
      <c r="C303" s="1">
        <f t="shared" si="26"/>
        <v>2</v>
      </c>
      <c r="D303" s="1">
        <f t="shared" si="27"/>
        <v>15</v>
      </c>
      <c r="E303" s="1">
        <f t="shared" si="28"/>
        <v>15</v>
      </c>
      <c r="F303" s="1">
        <f t="shared" si="29"/>
        <v>21</v>
      </c>
      <c r="H303" s="11">
        <v>43155</v>
      </c>
      <c r="I303" s="25">
        <v>0</v>
      </c>
      <c r="J303" s="9">
        <v>0</v>
      </c>
      <c r="K303" s="9">
        <v>15</v>
      </c>
      <c r="L303" s="9">
        <v>15</v>
      </c>
      <c r="M303" s="9">
        <v>21</v>
      </c>
    </row>
    <row r="304" spans="1:13" x14ac:dyDescent="0.4">
      <c r="A304" s="16">
        <f t="shared" si="24"/>
        <v>43160</v>
      </c>
      <c r="B304" s="1">
        <f t="shared" si="25"/>
        <v>35.6</v>
      </c>
      <c r="C304" s="1">
        <f t="shared" si="26"/>
        <v>2</v>
      </c>
      <c r="D304" s="1">
        <f t="shared" si="27"/>
        <v>15</v>
      </c>
      <c r="E304" s="1">
        <f t="shared" si="28"/>
        <v>15</v>
      </c>
      <c r="F304" s="1">
        <f t="shared" si="29"/>
        <v>21</v>
      </c>
      <c r="H304" s="11">
        <v>43160</v>
      </c>
      <c r="I304" s="25">
        <v>35.6</v>
      </c>
      <c r="J304" s="9">
        <v>0</v>
      </c>
      <c r="K304" s="9">
        <v>15</v>
      </c>
      <c r="L304" s="9">
        <v>15</v>
      </c>
      <c r="M304" s="9">
        <v>21</v>
      </c>
    </row>
    <row r="305" spans="1:13" x14ac:dyDescent="0.4">
      <c r="A305" s="16">
        <f t="shared" si="24"/>
        <v>43161</v>
      </c>
      <c r="B305" s="1">
        <f t="shared" si="25"/>
        <v>35.6</v>
      </c>
      <c r="C305" s="1">
        <f t="shared" si="26"/>
        <v>1.5</v>
      </c>
      <c r="D305" s="1">
        <f t="shared" si="27"/>
        <v>15</v>
      </c>
      <c r="E305" s="1">
        <f t="shared" si="28"/>
        <v>15</v>
      </c>
      <c r="F305" s="1">
        <f t="shared" si="29"/>
        <v>21</v>
      </c>
      <c r="H305" s="11">
        <v>43161</v>
      </c>
      <c r="I305" s="25">
        <v>0</v>
      </c>
      <c r="J305" s="9">
        <v>1.5</v>
      </c>
      <c r="K305" s="9">
        <v>0</v>
      </c>
      <c r="L305" s="9">
        <v>0</v>
      </c>
      <c r="M305" s="9">
        <v>0</v>
      </c>
    </row>
    <row r="306" spans="1:13" x14ac:dyDescent="0.4">
      <c r="A306" s="16">
        <f t="shared" si="24"/>
        <v>43167</v>
      </c>
      <c r="B306" s="1">
        <f t="shared" si="25"/>
        <v>31.1</v>
      </c>
      <c r="C306" s="1">
        <f t="shared" si="26"/>
        <v>1.5</v>
      </c>
      <c r="D306" s="1">
        <f t="shared" si="27"/>
        <v>15</v>
      </c>
      <c r="E306" s="1">
        <f t="shared" si="28"/>
        <v>15</v>
      </c>
      <c r="F306" s="1">
        <f t="shared" si="29"/>
        <v>21</v>
      </c>
      <c r="H306" s="11">
        <v>43167</v>
      </c>
      <c r="I306" s="25">
        <v>31.1</v>
      </c>
      <c r="J306" s="9">
        <v>0</v>
      </c>
      <c r="K306" s="9">
        <v>15</v>
      </c>
      <c r="L306" s="9">
        <v>15</v>
      </c>
      <c r="M306" s="9">
        <v>21</v>
      </c>
    </row>
    <row r="307" spans="1:13" x14ac:dyDescent="0.4">
      <c r="A307" s="16">
        <f t="shared" si="24"/>
        <v>43168</v>
      </c>
      <c r="B307" s="1">
        <f t="shared" si="25"/>
        <v>31.1</v>
      </c>
      <c r="C307" s="1">
        <f t="shared" si="26"/>
        <v>2</v>
      </c>
      <c r="D307" s="1">
        <f t="shared" si="27"/>
        <v>15</v>
      </c>
      <c r="E307" s="1">
        <f t="shared" si="28"/>
        <v>15</v>
      </c>
      <c r="F307" s="1">
        <f t="shared" si="29"/>
        <v>21</v>
      </c>
      <c r="H307" s="11">
        <v>43168</v>
      </c>
      <c r="I307" s="25">
        <v>0</v>
      </c>
      <c r="J307" s="9">
        <v>2</v>
      </c>
      <c r="K307" s="9">
        <v>0</v>
      </c>
      <c r="L307" s="9">
        <v>0</v>
      </c>
      <c r="M307" s="9">
        <v>0</v>
      </c>
    </row>
    <row r="308" spans="1:13" x14ac:dyDescent="0.4">
      <c r="A308" s="16">
        <f t="shared" si="24"/>
        <v>43174</v>
      </c>
      <c r="B308" s="1">
        <f t="shared" si="25"/>
        <v>32.4</v>
      </c>
      <c r="C308" s="1">
        <f t="shared" si="26"/>
        <v>2</v>
      </c>
      <c r="D308" s="1">
        <f t="shared" si="27"/>
        <v>14</v>
      </c>
      <c r="E308" s="1">
        <f t="shared" si="28"/>
        <v>14</v>
      </c>
      <c r="F308" s="1">
        <f t="shared" si="29"/>
        <v>20</v>
      </c>
      <c r="H308" s="11">
        <v>43174</v>
      </c>
      <c r="I308" s="25">
        <v>32.4</v>
      </c>
      <c r="J308" s="9">
        <v>0</v>
      </c>
      <c r="K308" s="9">
        <v>14</v>
      </c>
      <c r="L308" s="9">
        <v>14</v>
      </c>
      <c r="M308" s="9">
        <v>20</v>
      </c>
    </row>
    <row r="309" spans="1:13" x14ac:dyDescent="0.4">
      <c r="A309" s="16">
        <f t="shared" si="24"/>
        <v>43175</v>
      </c>
      <c r="B309" s="1">
        <f t="shared" si="25"/>
        <v>32.4</v>
      </c>
      <c r="C309" s="1">
        <f t="shared" si="26"/>
        <v>2</v>
      </c>
      <c r="D309" s="1">
        <f t="shared" si="27"/>
        <v>14</v>
      </c>
      <c r="E309" s="1">
        <f t="shared" si="28"/>
        <v>14</v>
      </c>
      <c r="F309" s="1">
        <f t="shared" si="29"/>
        <v>20</v>
      </c>
      <c r="H309" s="11">
        <v>43175</v>
      </c>
      <c r="I309" s="25">
        <v>0</v>
      </c>
      <c r="J309" s="9">
        <v>2</v>
      </c>
      <c r="K309" s="9">
        <v>0</v>
      </c>
      <c r="L309" s="9">
        <v>0</v>
      </c>
      <c r="M309" s="9">
        <v>0</v>
      </c>
    </row>
    <row r="310" spans="1:13" x14ac:dyDescent="0.4">
      <c r="A310" s="16">
        <f t="shared" si="24"/>
        <v>43181</v>
      </c>
      <c r="B310" s="1">
        <f t="shared" si="25"/>
        <v>31.6</v>
      </c>
      <c r="C310" s="1">
        <f t="shared" si="26"/>
        <v>2</v>
      </c>
      <c r="D310" s="1">
        <f t="shared" si="27"/>
        <v>14</v>
      </c>
      <c r="E310" s="1">
        <f t="shared" si="28"/>
        <v>14</v>
      </c>
      <c r="F310" s="1">
        <f t="shared" si="29"/>
        <v>20</v>
      </c>
      <c r="H310" s="11">
        <v>43181</v>
      </c>
      <c r="I310" s="25">
        <v>31.6</v>
      </c>
      <c r="J310" s="9">
        <v>0</v>
      </c>
      <c r="K310" s="9">
        <v>14</v>
      </c>
      <c r="L310" s="9">
        <v>14</v>
      </c>
      <c r="M310" s="9">
        <v>20</v>
      </c>
    </row>
    <row r="311" spans="1:13" x14ac:dyDescent="0.4">
      <c r="A311" s="16">
        <f t="shared" si="24"/>
        <v>43182</v>
      </c>
      <c r="B311" s="1">
        <f t="shared" si="25"/>
        <v>31.6</v>
      </c>
      <c r="C311" s="1">
        <f t="shared" si="26"/>
        <v>2</v>
      </c>
      <c r="D311" s="1">
        <f t="shared" si="27"/>
        <v>14</v>
      </c>
      <c r="E311" s="1">
        <f t="shared" si="28"/>
        <v>14</v>
      </c>
      <c r="F311" s="1">
        <f t="shared" si="29"/>
        <v>20</v>
      </c>
      <c r="H311" s="11">
        <v>43182</v>
      </c>
      <c r="I311" s="25">
        <v>0</v>
      </c>
      <c r="J311" s="9">
        <v>2</v>
      </c>
      <c r="K311" s="9">
        <v>0</v>
      </c>
      <c r="L311" s="9">
        <v>0</v>
      </c>
      <c r="M311" s="9">
        <v>0</v>
      </c>
    </row>
    <row r="312" spans="1:13" x14ac:dyDescent="0.4">
      <c r="A312" s="16">
        <f t="shared" si="24"/>
        <v>43188</v>
      </c>
      <c r="B312" s="1">
        <f t="shared" si="25"/>
        <v>33.700000000000003</v>
      </c>
      <c r="C312" s="1">
        <f t="shared" si="26"/>
        <v>2</v>
      </c>
      <c r="D312" s="1">
        <f t="shared" si="27"/>
        <v>14</v>
      </c>
      <c r="E312" s="1">
        <f t="shared" si="28"/>
        <v>14</v>
      </c>
      <c r="F312" s="1">
        <f t="shared" si="29"/>
        <v>20</v>
      </c>
      <c r="H312" s="11">
        <v>43188</v>
      </c>
      <c r="I312" s="25">
        <v>33.700000000000003</v>
      </c>
      <c r="J312" s="9">
        <v>0</v>
      </c>
      <c r="K312" s="9">
        <v>14</v>
      </c>
      <c r="L312" s="9">
        <v>14</v>
      </c>
      <c r="M312" s="9">
        <v>20</v>
      </c>
    </row>
    <row r="313" spans="1:13" x14ac:dyDescent="0.4">
      <c r="A313" s="16">
        <f t="shared" si="24"/>
        <v>43189</v>
      </c>
      <c r="B313" s="1">
        <f t="shared" si="25"/>
        <v>33.700000000000003</v>
      </c>
      <c r="C313" s="1">
        <f t="shared" si="26"/>
        <v>2</v>
      </c>
      <c r="D313" s="1">
        <f t="shared" si="27"/>
        <v>14</v>
      </c>
      <c r="E313" s="1">
        <f t="shared" si="28"/>
        <v>14</v>
      </c>
      <c r="F313" s="1">
        <f t="shared" si="29"/>
        <v>20</v>
      </c>
      <c r="H313" s="11">
        <v>43189</v>
      </c>
      <c r="I313" s="25">
        <v>0</v>
      </c>
      <c r="J313" s="9">
        <v>2</v>
      </c>
      <c r="K313" s="9">
        <v>0</v>
      </c>
      <c r="L313" s="9">
        <v>0</v>
      </c>
      <c r="M313" s="9">
        <v>0</v>
      </c>
    </row>
    <row r="314" spans="1:13" x14ac:dyDescent="0.4">
      <c r="A314" s="16">
        <f t="shared" si="24"/>
        <v>43194</v>
      </c>
      <c r="B314" s="1">
        <f t="shared" si="25"/>
        <v>33.700000000000003</v>
      </c>
      <c r="C314" s="1">
        <f t="shared" si="26"/>
        <v>2</v>
      </c>
      <c r="D314" s="1">
        <f t="shared" si="27"/>
        <v>14</v>
      </c>
      <c r="E314" s="1">
        <f t="shared" si="28"/>
        <v>14</v>
      </c>
      <c r="F314" s="1">
        <f t="shared" si="29"/>
        <v>20</v>
      </c>
      <c r="H314" s="11">
        <v>43194</v>
      </c>
      <c r="I314" s="25">
        <v>0</v>
      </c>
      <c r="J314" s="9">
        <v>0</v>
      </c>
      <c r="K314" s="9">
        <v>14</v>
      </c>
      <c r="L314" s="9">
        <v>14</v>
      </c>
      <c r="M314" s="9">
        <v>20</v>
      </c>
    </row>
    <row r="315" spans="1:13" x14ac:dyDescent="0.4">
      <c r="A315" s="16">
        <f t="shared" si="24"/>
        <v>43196</v>
      </c>
      <c r="B315" s="1">
        <f t="shared" si="25"/>
        <v>33.700000000000003</v>
      </c>
      <c r="C315" s="1">
        <f t="shared" si="26"/>
        <v>3.5</v>
      </c>
      <c r="D315" s="1">
        <f t="shared" si="27"/>
        <v>14</v>
      </c>
      <c r="E315" s="1">
        <f t="shared" si="28"/>
        <v>14</v>
      </c>
      <c r="F315" s="1">
        <f t="shared" si="29"/>
        <v>20</v>
      </c>
      <c r="H315" s="11">
        <v>43196</v>
      </c>
      <c r="I315" s="25">
        <v>0</v>
      </c>
      <c r="J315" s="9">
        <v>3.5</v>
      </c>
      <c r="K315" s="9">
        <v>0</v>
      </c>
      <c r="L315" s="9">
        <v>0</v>
      </c>
      <c r="M315" s="9">
        <v>0</v>
      </c>
    </row>
    <row r="316" spans="1:13" x14ac:dyDescent="0.4">
      <c r="A316" s="16">
        <f t="shared" si="24"/>
        <v>43198</v>
      </c>
      <c r="B316" s="1">
        <f t="shared" si="25"/>
        <v>29.8</v>
      </c>
      <c r="C316" s="1">
        <f t="shared" si="26"/>
        <v>3.5</v>
      </c>
      <c r="D316" s="1">
        <f t="shared" si="27"/>
        <v>14</v>
      </c>
      <c r="E316" s="1">
        <f t="shared" si="28"/>
        <v>14</v>
      </c>
      <c r="F316" s="1">
        <f t="shared" si="29"/>
        <v>20</v>
      </c>
      <c r="H316" s="11">
        <v>43198</v>
      </c>
      <c r="I316" s="25">
        <v>29.8</v>
      </c>
      <c r="J316" s="9">
        <v>0</v>
      </c>
      <c r="K316" s="9">
        <v>0</v>
      </c>
      <c r="L316" s="9">
        <v>0</v>
      </c>
      <c r="M316" s="9">
        <v>0</v>
      </c>
    </row>
    <row r="317" spans="1:13" x14ac:dyDescent="0.4">
      <c r="A317" s="16">
        <f t="shared" si="24"/>
        <v>43202</v>
      </c>
      <c r="B317" s="1">
        <f t="shared" si="25"/>
        <v>29.5</v>
      </c>
      <c r="C317" s="1">
        <f t="shared" si="26"/>
        <v>3.5</v>
      </c>
      <c r="D317" s="1">
        <f t="shared" si="27"/>
        <v>10</v>
      </c>
      <c r="E317" s="1">
        <f t="shared" si="28"/>
        <v>10</v>
      </c>
      <c r="F317" s="1">
        <f t="shared" si="29"/>
        <v>14</v>
      </c>
      <c r="H317" s="11">
        <v>43202</v>
      </c>
      <c r="I317" s="25">
        <v>29.5</v>
      </c>
      <c r="J317" s="9">
        <v>0</v>
      </c>
      <c r="K317" s="9">
        <v>10</v>
      </c>
      <c r="L317" s="9">
        <v>10</v>
      </c>
      <c r="M317" s="9">
        <v>14</v>
      </c>
    </row>
    <row r="318" spans="1:13" x14ac:dyDescent="0.4">
      <c r="A318" s="16">
        <f t="shared" si="24"/>
        <v>43203</v>
      </c>
      <c r="B318" s="1">
        <f t="shared" si="25"/>
        <v>29.5</v>
      </c>
      <c r="C318" s="1">
        <f t="shared" si="26"/>
        <v>3.5</v>
      </c>
      <c r="D318" s="1">
        <f t="shared" si="27"/>
        <v>10</v>
      </c>
      <c r="E318" s="1">
        <f t="shared" si="28"/>
        <v>10</v>
      </c>
      <c r="F318" s="1">
        <f t="shared" si="29"/>
        <v>14</v>
      </c>
      <c r="H318" s="11">
        <v>43203</v>
      </c>
      <c r="I318" s="25">
        <v>0</v>
      </c>
      <c r="J318" s="9">
        <v>3.5</v>
      </c>
      <c r="K318" s="9">
        <v>0</v>
      </c>
      <c r="L318" s="9">
        <v>0</v>
      </c>
      <c r="M318" s="9">
        <v>0</v>
      </c>
    </row>
    <row r="319" spans="1:13" x14ac:dyDescent="0.4">
      <c r="A319" s="16">
        <f t="shared" si="24"/>
        <v>43209</v>
      </c>
      <c r="B319" s="1">
        <f t="shared" si="25"/>
        <v>31.78</v>
      </c>
      <c r="C319" s="1">
        <f t="shared" si="26"/>
        <v>3.5</v>
      </c>
      <c r="D319" s="1">
        <f t="shared" si="27"/>
        <v>7.5</v>
      </c>
      <c r="E319" s="1">
        <f t="shared" si="28"/>
        <v>7.5</v>
      </c>
      <c r="F319" s="1">
        <f t="shared" si="29"/>
        <v>17</v>
      </c>
      <c r="H319" s="11">
        <v>43209</v>
      </c>
      <c r="I319" s="25">
        <v>31.78</v>
      </c>
      <c r="J319" s="9">
        <v>0</v>
      </c>
      <c r="K319" s="9">
        <v>7.5</v>
      </c>
      <c r="L319" s="9">
        <v>7.5</v>
      </c>
      <c r="M319" s="9">
        <v>17</v>
      </c>
    </row>
    <row r="320" spans="1:13" x14ac:dyDescent="0.4">
      <c r="A320" s="16">
        <f t="shared" si="24"/>
        <v>43210</v>
      </c>
      <c r="B320" s="1">
        <f t="shared" si="25"/>
        <v>31.78</v>
      </c>
      <c r="C320" s="1">
        <f t="shared" si="26"/>
        <v>3</v>
      </c>
      <c r="D320" s="1">
        <f t="shared" si="27"/>
        <v>7.5</v>
      </c>
      <c r="E320" s="1">
        <f t="shared" si="28"/>
        <v>7.5</v>
      </c>
      <c r="F320" s="1">
        <f t="shared" si="29"/>
        <v>17</v>
      </c>
      <c r="H320" s="11">
        <v>43210</v>
      </c>
      <c r="I320" s="25">
        <v>0</v>
      </c>
      <c r="J320" s="9">
        <v>3</v>
      </c>
      <c r="K320" s="9">
        <v>0</v>
      </c>
      <c r="L320" s="9">
        <v>0</v>
      </c>
      <c r="M320" s="9">
        <v>0</v>
      </c>
    </row>
    <row r="321" spans="1:13" x14ac:dyDescent="0.4">
      <c r="A321" s="16">
        <f t="shared" si="24"/>
        <v>43216</v>
      </c>
      <c r="B321" s="1">
        <f t="shared" si="25"/>
        <v>30.24</v>
      </c>
      <c r="C321" s="1">
        <f t="shared" si="26"/>
        <v>3</v>
      </c>
      <c r="D321" s="1">
        <f t="shared" si="27"/>
        <v>7.5</v>
      </c>
      <c r="E321" s="1">
        <f t="shared" si="28"/>
        <v>7.5</v>
      </c>
      <c r="F321" s="1">
        <f t="shared" si="29"/>
        <v>17</v>
      </c>
      <c r="H321" s="11">
        <v>43216</v>
      </c>
      <c r="I321" s="25">
        <v>30.24</v>
      </c>
      <c r="J321" s="9">
        <v>0</v>
      </c>
      <c r="K321" s="9">
        <v>7.5</v>
      </c>
      <c r="L321" s="9">
        <v>7.5</v>
      </c>
      <c r="M321" s="9">
        <v>17</v>
      </c>
    </row>
    <row r="322" spans="1:13" x14ac:dyDescent="0.4">
      <c r="A322" s="16">
        <f t="shared" si="24"/>
        <v>43217</v>
      </c>
      <c r="B322" s="1">
        <f t="shared" si="25"/>
        <v>30.24</v>
      </c>
      <c r="C322" s="1">
        <f t="shared" si="26"/>
        <v>3.5</v>
      </c>
      <c r="D322" s="1">
        <f t="shared" si="27"/>
        <v>7.5</v>
      </c>
      <c r="E322" s="1">
        <f t="shared" si="28"/>
        <v>7.5</v>
      </c>
      <c r="F322" s="1">
        <f t="shared" si="29"/>
        <v>17</v>
      </c>
      <c r="H322" s="11">
        <v>43217</v>
      </c>
      <c r="I322" s="25">
        <v>0</v>
      </c>
      <c r="J322" s="9">
        <v>3.5</v>
      </c>
      <c r="K322" s="9">
        <v>0</v>
      </c>
      <c r="L322" s="9">
        <v>0</v>
      </c>
      <c r="M322" s="9">
        <v>0</v>
      </c>
    </row>
    <row r="323" spans="1:13" x14ac:dyDescent="0.4">
      <c r="A323" s="16">
        <f t="shared" si="24"/>
        <v>43223</v>
      </c>
      <c r="B323" s="1">
        <f t="shared" si="25"/>
        <v>25.15</v>
      </c>
      <c r="C323" s="1">
        <f t="shared" si="26"/>
        <v>3.5</v>
      </c>
      <c r="D323" s="1">
        <f t="shared" si="27"/>
        <v>7.5</v>
      </c>
      <c r="E323" s="1">
        <f t="shared" si="28"/>
        <v>7.5</v>
      </c>
      <c r="F323" s="1">
        <f t="shared" si="29"/>
        <v>17</v>
      </c>
      <c r="H323" s="11">
        <v>43223</v>
      </c>
      <c r="I323" s="25">
        <v>25.15</v>
      </c>
      <c r="J323" s="9">
        <v>0</v>
      </c>
      <c r="K323" s="9">
        <v>0</v>
      </c>
      <c r="L323" s="9">
        <v>0</v>
      </c>
      <c r="M323" s="9">
        <v>0</v>
      </c>
    </row>
    <row r="324" spans="1:13" x14ac:dyDescent="0.4">
      <c r="A324" s="16">
        <f t="shared" si="24"/>
        <v>43224</v>
      </c>
      <c r="B324" s="1">
        <f t="shared" si="25"/>
        <v>25.15</v>
      </c>
      <c r="C324" s="1">
        <f t="shared" si="26"/>
        <v>5</v>
      </c>
      <c r="D324" s="1">
        <f t="shared" si="27"/>
        <v>11.5</v>
      </c>
      <c r="E324" s="1">
        <f t="shared" si="28"/>
        <v>11.5</v>
      </c>
      <c r="F324" s="1">
        <f t="shared" si="29"/>
        <v>18.5</v>
      </c>
      <c r="H324" s="11">
        <v>43224</v>
      </c>
      <c r="I324" s="25">
        <v>0</v>
      </c>
      <c r="J324" s="9">
        <v>5</v>
      </c>
      <c r="K324" s="9">
        <v>11.5</v>
      </c>
      <c r="L324" s="9">
        <v>11.5</v>
      </c>
      <c r="M324" s="9">
        <v>18.5</v>
      </c>
    </row>
    <row r="325" spans="1:13" x14ac:dyDescent="0.4">
      <c r="A325" s="16">
        <f t="shared" si="24"/>
        <v>43230</v>
      </c>
      <c r="B325" s="1">
        <f t="shared" si="25"/>
        <v>22.4</v>
      </c>
      <c r="C325" s="1">
        <f t="shared" si="26"/>
        <v>5</v>
      </c>
      <c r="D325" s="1">
        <f t="shared" si="27"/>
        <v>11.5</v>
      </c>
      <c r="E325" s="1">
        <f t="shared" si="28"/>
        <v>11.5</v>
      </c>
      <c r="F325" s="1">
        <f t="shared" si="29"/>
        <v>18.5</v>
      </c>
      <c r="H325" s="11">
        <v>43230</v>
      </c>
      <c r="I325" s="25">
        <v>22.4</v>
      </c>
      <c r="J325" s="9">
        <v>0</v>
      </c>
      <c r="K325" s="9">
        <v>0</v>
      </c>
      <c r="L325" s="9">
        <v>0</v>
      </c>
      <c r="M325" s="9">
        <v>0</v>
      </c>
    </row>
    <row r="326" spans="1:13" x14ac:dyDescent="0.4">
      <c r="A326" s="16">
        <f t="shared" ref="A326:A389" si="30">H326</f>
        <v>43231</v>
      </c>
      <c r="B326" s="1">
        <f t="shared" ref="B326:B389" si="31">IF(I326&lt;&gt;0,I326,B325)</f>
        <v>22.4</v>
      </c>
      <c r="C326" s="1">
        <f t="shared" si="26"/>
        <v>5</v>
      </c>
      <c r="D326" s="1">
        <f t="shared" si="27"/>
        <v>9.5</v>
      </c>
      <c r="E326" s="1">
        <f t="shared" si="28"/>
        <v>9.5</v>
      </c>
      <c r="F326" s="1">
        <f t="shared" si="29"/>
        <v>17.5</v>
      </c>
      <c r="H326" s="11">
        <v>43231</v>
      </c>
      <c r="I326" s="25">
        <v>0</v>
      </c>
      <c r="J326" s="9">
        <v>5</v>
      </c>
      <c r="K326" s="9">
        <v>9.5</v>
      </c>
      <c r="L326" s="9">
        <v>9.5</v>
      </c>
      <c r="M326" s="9">
        <v>17.5</v>
      </c>
    </row>
    <row r="327" spans="1:13" x14ac:dyDescent="0.4">
      <c r="A327" s="16">
        <f t="shared" si="30"/>
        <v>43237</v>
      </c>
      <c r="B327" s="1">
        <f t="shared" si="31"/>
        <v>21.87</v>
      </c>
      <c r="C327" s="1">
        <f t="shared" ref="C327:C390" si="32">IF(J327&lt;&gt;0,J327,C326)</f>
        <v>5</v>
      </c>
      <c r="D327" s="1">
        <f t="shared" ref="D327:D390" si="33">IF(K327&lt;&gt;0,K327,D326)</f>
        <v>9.5</v>
      </c>
      <c r="E327" s="1">
        <f t="shared" ref="E327:E390" si="34">IF(L327&lt;&gt;0,L327,E326)</f>
        <v>9.5</v>
      </c>
      <c r="F327" s="1">
        <f t="shared" ref="F327:F390" si="35">IF(M327&lt;&gt;0,M327,F326)</f>
        <v>17.5</v>
      </c>
      <c r="H327" s="11">
        <v>43237</v>
      </c>
      <c r="I327" s="25">
        <v>21.87</v>
      </c>
      <c r="J327" s="9">
        <v>0</v>
      </c>
      <c r="K327" s="9">
        <v>0</v>
      </c>
      <c r="L327" s="9">
        <v>0</v>
      </c>
      <c r="M327" s="9">
        <v>0</v>
      </c>
    </row>
    <row r="328" spans="1:13" x14ac:dyDescent="0.4">
      <c r="A328" s="16">
        <f t="shared" si="30"/>
        <v>43238</v>
      </c>
      <c r="B328" s="1">
        <f t="shared" si="31"/>
        <v>21.87</v>
      </c>
      <c r="C328" s="1">
        <f t="shared" si="32"/>
        <v>4.5</v>
      </c>
      <c r="D328" s="1">
        <f t="shared" si="33"/>
        <v>11.5</v>
      </c>
      <c r="E328" s="1">
        <f t="shared" si="34"/>
        <v>11.5</v>
      </c>
      <c r="F328" s="1">
        <f t="shared" si="35"/>
        <v>18.5</v>
      </c>
      <c r="H328" s="11">
        <v>43238</v>
      </c>
      <c r="I328" s="25">
        <v>0</v>
      </c>
      <c r="J328" s="9">
        <v>4.5</v>
      </c>
      <c r="K328" s="9">
        <v>11.5</v>
      </c>
      <c r="L328" s="9">
        <v>11.5</v>
      </c>
      <c r="M328" s="9">
        <v>18.5</v>
      </c>
    </row>
    <row r="329" spans="1:13" x14ac:dyDescent="0.4">
      <c r="A329" s="16">
        <f t="shared" si="30"/>
        <v>43244</v>
      </c>
      <c r="B329" s="1">
        <f t="shared" si="31"/>
        <v>23.6</v>
      </c>
      <c r="C329" s="1">
        <f t="shared" si="32"/>
        <v>4</v>
      </c>
      <c r="D329" s="1">
        <f t="shared" si="33"/>
        <v>11.5</v>
      </c>
      <c r="E329" s="1">
        <f t="shared" si="34"/>
        <v>11.5</v>
      </c>
      <c r="F329" s="1">
        <f t="shared" si="35"/>
        <v>18.5</v>
      </c>
      <c r="H329" s="11">
        <v>43244</v>
      </c>
      <c r="I329" s="25">
        <v>23.6</v>
      </c>
      <c r="J329" s="9">
        <v>4</v>
      </c>
      <c r="K329" s="9">
        <v>0</v>
      </c>
      <c r="L329" s="9">
        <v>0</v>
      </c>
      <c r="M329" s="9">
        <v>0</v>
      </c>
    </row>
    <row r="330" spans="1:13" x14ac:dyDescent="0.4">
      <c r="A330" s="16">
        <f t="shared" si="30"/>
        <v>43245</v>
      </c>
      <c r="B330" s="1">
        <f t="shared" si="31"/>
        <v>23.6</v>
      </c>
      <c r="C330" s="1">
        <f t="shared" si="32"/>
        <v>4</v>
      </c>
      <c r="D330" s="1">
        <f t="shared" si="33"/>
        <v>12.5</v>
      </c>
      <c r="E330" s="1">
        <f t="shared" si="34"/>
        <v>12.5</v>
      </c>
      <c r="F330" s="1">
        <f t="shared" si="35"/>
        <v>18.5</v>
      </c>
      <c r="H330" s="11">
        <v>43245</v>
      </c>
      <c r="I330" s="25">
        <v>0</v>
      </c>
      <c r="J330" s="9">
        <v>0</v>
      </c>
      <c r="K330" s="9">
        <v>12.5</v>
      </c>
      <c r="L330" s="9">
        <v>12.5</v>
      </c>
      <c r="M330" s="9">
        <v>18.5</v>
      </c>
    </row>
    <row r="331" spans="1:13" x14ac:dyDescent="0.4">
      <c r="A331" s="16">
        <f t="shared" si="30"/>
        <v>43251</v>
      </c>
      <c r="B331" s="1">
        <f t="shared" si="31"/>
        <v>25.1</v>
      </c>
      <c r="C331" s="1">
        <f t="shared" si="32"/>
        <v>4</v>
      </c>
      <c r="D331" s="1">
        <f t="shared" si="33"/>
        <v>12.5</v>
      </c>
      <c r="E331" s="1">
        <f t="shared" si="34"/>
        <v>12.5</v>
      </c>
      <c r="F331" s="1">
        <f t="shared" si="35"/>
        <v>18.5</v>
      </c>
      <c r="H331" s="11">
        <v>43251</v>
      </c>
      <c r="I331" s="25">
        <v>25.1</v>
      </c>
      <c r="J331" s="9">
        <v>0</v>
      </c>
      <c r="K331" s="9">
        <v>0</v>
      </c>
      <c r="L331" s="9">
        <v>0</v>
      </c>
      <c r="M331" s="9">
        <v>0</v>
      </c>
    </row>
    <row r="332" spans="1:13" x14ac:dyDescent="0.4">
      <c r="A332" s="16">
        <f t="shared" si="30"/>
        <v>43252</v>
      </c>
      <c r="B332" s="1">
        <f t="shared" si="31"/>
        <v>25.1</v>
      </c>
      <c r="C332" s="1">
        <f t="shared" si="32"/>
        <v>4</v>
      </c>
      <c r="D332" s="1">
        <f t="shared" si="33"/>
        <v>11.5</v>
      </c>
      <c r="E332" s="1">
        <f t="shared" si="34"/>
        <v>11.5</v>
      </c>
      <c r="F332" s="1">
        <f t="shared" si="35"/>
        <v>17.5</v>
      </c>
      <c r="H332" s="11">
        <v>43252</v>
      </c>
      <c r="I332" s="25">
        <v>0</v>
      </c>
      <c r="J332" s="9">
        <v>4</v>
      </c>
      <c r="K332" s="9">
        <v>11.5</v>
      </c>
      <c r="L332" s="9">
        <v>11.5</v>
      </c>
      <c r="M332" s="9">
        <v>17.5</v>
      </c>
    </row>
    <row r="333" spans="1:13" x14ac:dyDescent="0.4">
      <c r="A333" s="16">
        <f t="shared" si="30"/>
        <v>43258</v>
      </c>
      <c r="B333" s="1">
        <f t="shared" si="31"/>
        <v>26.1</v>
      </c>
      <c r="C333" s="1">
        <f t="shared" si="32"/>
        <v>4</v>
      </c>
      <c r="D333" s="1">
        <f t="shared" si="33"/>
        <v>11.5</v>
      </c>
      <c r="E333" s="1">
        <f t="shared" si="34"/>
        <v>11.5</v>
      </c>
      <c r="F333" s="1">
        <f t="shared" si="35"/>
        <v>17.5</v>
      </c>
      <c r="H333" s="11">
        <v>43258</v>
      </c>
      <c r="I333" s="25">
        <v>26.1</v>
      </c>
      <c r="J333" s="9">
        <v>0</v>
      </c>
      <c r="K333" s="9">
        <v>0</v>
      </c>
      <c r="L333" s="9">
        <v>0</v>
      </c>
      <c r="M333" s="9">
        <v>0</v>
      </c>
    </row>
    <row r="334" spans="1:13" x14ac:dyDescent="0.4">
      <c r="A334" s="16">
        <f t="shared" si="30"/>
        <v>43259</v>
      </c>
      <c r="B334" s="1">
        <f t="shared" si="31"/>
        <v>26.1</v>
      </c>
      <c r="C334" s="1">
        <f t="shared" si="32"/>
        <v>4</v>
      </c>
      <c r="D334" s="1">
        <f t="shared" si="33"/>
        <v>11</v>
      </c>
      <c r="E334" s="1">
        <f t="shared" si="34"/>
        <v>11</v>
      </c>
      <c r="F334" s="1">
        <f t="shared" si="35"/>
        <v>17</v>
      </c>
      <c r="H334" s="11">
        <v>43259</v>
      </c>
      <c r="I334" s="25">
        <v>0</v>
      </c>
      <c r="J334" s="9">
        <v>4</v>
      </c>
      <c r="K334" s="9">
        <v>11</v>
      </c>
      <c r="L334" s="9">
        <v>11</v>
      </c>
      <c r="M334" s="9">
        <v>17</v>
      </c>
    </row>
    <row r="335" spans="1:13" x14ac:dyDescent="0.4">
      <c r="A335" s="16">
        <f t="shared" si="30"/>
        <v>43265</v>
      </c>
      <c r="B335" s="1">
        <f t="shared" si="31"/>
        <v>23.2</v>
      </c>
      <c r="C335" s="1">
        <f t="shared" si="32"/>
        <v>4</v>
      </c>
      <c r="D335" s="1">
        <f t="shared" si="33"/>
        <v>11</v>
      </c>
      <c r="E335" s="1">
        <f t="shared" si="34"/>
        <v>11</v>
      </c>
      <c r="F335" s="1">
        <f t="shared" si="35"/>
        <v>17</v>
      </c>
      <c r="H335" s="11">
        <v>43265</v>
      </c>
      <c r="I335" s="25">
        <v>23.2</v>
      </c>
      <c r="J335" s="9">
        <v>0</v>
      </c>
      <c r="K335" s="9">
        <v>0</v>
      </c>
      <c r="L335" s="9">
        <v>0</v>
      </c>
      <c r="M335" s="9">
        <v>0</v>
      </c>
    </row>
    <row r="336" spans="1:13" x14ac:dyDescent="0.4">
      <c r="A336" s="16">
        <f t="shared" si="30"/>
        <v>43266</v>
      </c>
      <c r="B336" s="1">
        <f t="shared" si="31"/>
        <v>23.2</v>
      </c>
      <c r="C336" s="1">
        <f t="shared" si="32"/>
        <v>4.5</v>
      </c>
      <c r="D336" s="1">
        <f t="shared" si="33"/>
        <v>9</v>
      </c>
      <c r="E336" s="1">
        <f t="shared" si="34"/>
        <v>9</v>
      </c>
      <c r="F336" s="1">
        <f t="shared" si="35"/>
        <v>17</v>
      </c>
      <c r="H336" s="11">
        <v>43266</v>
      </c>
      <c r="I336" s="25">
        <v>0</v>
      </c>
      <c r="J336" s="9">
        <v>4.5</v>
      </c>
      <c r="K336" s="9">
        <v>9</v>
      </c>
      <c r="L336" s="9">
        <v>9</v>
      </c>
      <c r="M336" s="9">
        <v>17</v>
      </c>
    </row>
    <row r="337" spans="1:13" x14ac:dyDescent="0.4">
      <c r="A337" s="16">
        <f t="shared" si="30"/>
        <v>43272</v>
      </c>
      <c r="B337" s="1">
        <f t="shared" si="31"/>
        <v>26.67</v>
      </c>
      <c r="C337" s="1">
        <f t="shared" si="32"/>
        <v>4.5</v>
      </c>
      <c r="D337" s="1">
        <f t="shared" si="33"/>
        <v>9</v>
      </c>
      <c r="E337" s="1">
        <f t="shared" si="34"/>
        <v>9</v>
      </c>
      <c r="F337" s="1">
        <f t="shared" si="35"/>
        <v>17</v>
      </c>
      <c r="H337" s="11">
        <v>43272</v>
      </c>
      <c r="I337" s="25">
        <v>26.67</v>
      </c>
      <c r="J337" s="9">
        <v>0</v>
      </c>
      <c r="K337" s="9">
        <v>0</v>
      </c>
      <c r="L337" s="9">
        <v>0</v>
      </c>
      <c r="M337" s="9">
        <v>0</v>
      </c>
    </row>
    <row r="338" spans="1:13" x14ac:dyDescent="0.4">
      <c r="A338" s="16">
        <f t="shared" si="30"/>
        <v>43273</v>
      </c>
      <c r="B338" s="1">
        <f t="shared" si="31"/>
        <v>26.67</v>
      </c>
      <c r="C338" s="1">
        <f t="shared" si="32"/>
        <v>4</v>
      </c>
      <c r="D338" s="1">
        <f t="shared" si="33"/>
        <v>10</v>
      </c>
      <c r="E338" s="1">
        <f t="shared" si="34"/>
        <v>10</v>
      </c>
      <c r="F338" s="1">
        <f t="shared" si="35"/>
        <v>17</v>
      </c>
      <c r="H338" s="11">
        <v>43273</v>
      </c>
      <c r="I338" s="25">
        <v>0</v>
      </c>
      <c r="J338" s="9">
        <v>4</v>
      </c>
      <c r="K338" s="9">
        <v>10</v>
      </c>
      <c r="L338" s="9">
        <v>10</v>
      </c>
      <c r="M338" s="9">
        <v>17</v>
      </c>
    </row>
    <row r="339" spans="1:13" x14ac:dyDescent="0.4">
      <c r="A339" s="16">
        <f t="shared" si="30"/>
        <v>43279</v>
      </c>
      <c r="B339" s="1">
        <f t="shared" si="31"/>
        <v>26.58</v>
      </c>
      <c r="C339" s="1">
        <f t="shared" si="32"/>
        <v>4</v>
      </c>
      <c r="D339" s="1">
        <f t="shared" si="33"/>
        <v>10</v>
      </c>
      <c r="E339" s="1">
        <f t="shared" si="34"/>
        <v>10</v>
      </c>
      <c r="F339" s="1">
        <f t="shared" si="35"/>
        <v>17</v>
      </c>
      <c r="H339" s="11">
        <v>43279</v>
      </c>
      <c r="I339" s="25">
        <v>26.58</v>
      </c>
      <c r="J339" s="9">
        <v>4</v>
      </c>
      <c r="K339" s="9">
        <v>0</v>
      </c>
      <c r="L339" s="9">
        <v>0</v>
      </c>
      <c r="M339" s="9">
        <v>0</v>
      </c>
    </row>
    <row r="340" spans="1:13" x14ac:dyDescent="0.4">
      <c r="A340" s="16">
        <f t="shared" si="30"/>
        <v>43280</v>
      </c>
      <c r="B340" s="1">
        <f t="shared" si="31"/>
        <v>26.58</v>
      </c>
      <c r="C340" s="1">
        <f t="shared" si="32"/>
        <v>4</v>
      </c>
      <c r="D340" s="1">
        <f t="shared" si="33"/>
        <v>7.5</v>
      </c>
      <c r="E340" s="1">
        <f t="shared" si="34"/>
        <v>9</v>
      </c>
      <c r="F340" s="1">
        <f t="shared" si="35"/>
        <v>15</v>
      </c>
      <c r="H340" s="11">
        <v>43280</v>
      </c>
      <c r="I340" s="25">
        <v>0</v>
      </c>
      <c r="J340" s="9">
        <v>0</v>
      </c>
      <c r="K340" s="9">
        <v>7.5</v>
      </c>
      <c r="L340" s="9">
        <v>9</v>
      </c>
      <c r="M340" s="9">
        <v>15</v>
      </c>
    </row>
    <row r="341" spans="1:13" x14ac:dyDescent="0.4">
      <c r="A341" s="16">
        <f t="shared" si="30"/>
        <v>43286</v>
      </c>
      <c r="B341" s="1">
        <f t="shared" si="31"/>
        <v>27.3</v>
      </c>
      <c r="C341" s="1">
        <f t="shared" si="32"/>
        <v>4</v>
      </c>
      <c r="D341" s="1">
        <f t="shared" si="33"/>
        <v>7.5</v>
      </c>
      <c r="E341" s="1">
        <f t="shared" si="34"/>
        <v>9</v>
      </c>
      <c r="F341" s="1">
        <f t="shared" si="35"/>
        <v>15</v>
      </c>
      <c r="H341" s="11">
        <v>43286</v>
      </c>
      <c r="I341" s="25">
        <v>27.3</v>
      </c>
      <c r="J341" s="9">
        <v>0</v>
      </c>
      <c r="K341" s="9">
        <v>0</v>
      </c>
      <c r="L341" s="9">
        <v>0</v>
      </c>
      <c r="M341" s="9">
        <v>0</v>
      </c>
    </row>
    <row r="342" spans="1:13" x14ac:dyDescent="0.4">
      <c r="A342" s="16">
        <f t="shared" si="30"/>
        <v>43287</v>
      </c>
      <c r="B342" s="1">
        <f t="shared" si="31"/>
        <v>27.3</v>
      </c>
      <c r="C342" s="1">
        <f t="shared" si="32"/>
        <v>3.5</v>
      </c>
      <c r="D342" s="1">
        <f t="shared" si="33"/>
        <v>7.5</v>
      </c>
      <c r="E342" s="1">
        <f t="shared" si="34"/>
        <v>9</v>
      </c>
      <c r="F342" s="1">
        <f t="shared" si="35"/>
        <v>15</v>
      </c>
      <c r="H342" s="11">
        <v>43287</v>
      </c>
      <c r="I342" s="25">
        <v>0</v>
      </c>
      <c r="J342" s="9">
        <v>3.5</v>
      </c>
      <c r="K342" s="9">
        <v>7.5</v>
      </c>
      <c r="L342" s="9">
        <v>9</v>
      </c>
      <c r="M342" s="9">
        <v>15</v>
      </c>
    </row>
    <row r="343" spans="1:13" x14ac:dyDescent="0.4">
      <c r="A343" s="16">
        <f t="shared" si="30"/>
        <v>43293</v>
      </c>
      <c r="B343" s="1">
        <f t="shared" si="31"/>
        <v>28.3</v>
      </c>
      <c r="C343" s="1">
        <f t="shared" si="32"/>
        <v>3.5</v>
      </c>
      <c r="D343" s="1">
        <f t="shared" si="33"/>
        <v>8</v>
      </c>
      <c r="E343" s="1">
        <f t="shared" si="34"/>
        <v>9</v>
      </c>
      <c r="F343" s="1">
        <f t="shared" si="35"/>
        <v>15.5</v>
      </c>
      <c r="H343" s="11">
        <v>43293</v>
      </c>
      <c r="I343" s="25">
        <v>28.3</v>
      </c>
      <c r="J343" s="9">
        <v>0</v>
      </c>
      <c r="K343" s="9">
        <v>8</v>
      </c>
      <c r="L343" s="9">
        <v>9</v>
      </c>
      <c r="M343" s="9">
        <v>15.5</v>
      </c>
    </row>
    <row r="344" spans="1:13" x14ac:dyDescent="0.4">
      <c r="A344" s="16">
        <f t="shared" si="30"/>
        <v>43294</v>
      </c>
      <c r="B344" s="1">
        <f t="shared" si="31"/>
        <v>28.3</v>
      </c>
      <c r="C344" s="1">
        <f t="shared" si="32"/>
        <v>4</v>
      </c>
      <c r="D344" s="1">
        <f t="shared" si="33"/>
        <v>8</v>
      </c>
      <c r="E344" s="1">
        <f t="shared" si="34"/>
        <v>9</v>
      </c>
      <c r="F344" s="1">
        <f t="shared" si="35"/>
        <v>15.5</v>
      </c>
      <c r="H344" s="11">
        <v>43294</v>
      </c>
      <c r="I344" s="25">
        <v>0</v>
      </c>
      <c r="J344" s="9">
        <v>4</v>
      </c>
      <c r="K344" s="9">
        <v>0</v>
      </c>
      <c r="L344" s="9">
        <v>0</v>
      </c>
      <c r="M344" s="9">
        <v>0</v>
      </c>
    </row>
    <row r="345" spans="1:13" x14ac:dyDescent="0.4">
      <c r="A345" s="16">
        <f t="shared" si="30"/>
        <v>43300</v>
      </c>
      <c r="B345" s="1">
        <f t="shared" si="31"/>
        <v>28.3</v>
      </c>
      <c r="C345" s="1">
        <f t="shared" si="32"/>
        <v>4</v>
      </c>
      <c r="D345" s="1">
        <f t="shared" si="33"/>
        <v>8</v>
      </c>
      <c r="E345" s="1">
        <f t="shared" si="34"/>
        <v>9</v>
      </c>
      <c r="F345" s="1">
        <f t="shared" si="35"/>
        <v>15.5</v>
      </c>
      <c r="H345" s="11">
        <v>43300</v>
      </c>
      <c r="I345" s="25">
        <v>28.3</v>
      </c>
      <c r="J345" s="9">
        <v>0</v>
      </c>
      <c r="K345" s="9">
        <v>8</v>
      </c>
      <c r="L345" s="9">
        <v>9</v>
      </c>
      <c r="M345" s="9">
        <v>15.5</v>
      </c>
    </row>
    <row r="346" spans="1:13" x14ac:dyDescent="0.4">
      <c r="A346" s="16">
        <f t="shared" si="30"/>
        <v>43301</v>
      </c>
      <c r="B346" s="1">
        <f t="shared" si="31"/>
        <v>28.3</v>
      </c>
      <c r="C346" s="1">
        <f t="shared" si="32"/>
        <v>4.5</v>
      </c>
      <c r="D346" s="1">
        <f t="shared" si="33"/>
        <v>8</v>
      </c>
      <c r="E346" s="1">
        <f t="shared" si="34"/>
        <v>9</v>
      </c>
      <c r="F346" s="1">
        <f t="shared" si="35"/>
        <v>15.5</v>
      </c>
      <c r="H346" s="11">
        <v>43301</v>
      </c>
      <c r="I346" s="25">
        <v>0</v>
      </c>
      <c r="J346" s="9">
        <v>4.5</v>
      </c>
      <c r="K346" s="9">
        <v>0</v>
      </c>
      <c r="L346" s="9">
        <v>0</v>
      </c>
      <c r="M346" s="9">
        <v>0</v>
      </c>
    </row>
    <row r="347" spans="1:13" x14ac:dyDescent="0.4">
      <c r="A347" s="16">
        <f t="shared" si="30"/>
        <v>43307</v>
      </c>
      <c r="B347" s="1">
        <f t="shared" si="31"/>
        <v>26.84</v>
      </c>
      <c r="C347" s="1">
        <f t="shared" si="32"/>
        <v>4.5</v>
      </c>
      <c r="D347" s="1">
        <f t="shared" si="33"/>
        <v>8</v>
      </c>
      <c r="E347" s="1">
        <f t="shared" si="34"/>
        <v>9</v>
      </c>
      <c r="F347" s="1">
        <f t="shared" si="35"/>
        <v>15.5</v>
      </c>
      <c r="H347" s="11">
        <v>43307</v>
      </c>
      <c r="I347" s="25">
        <v>26.84</v>
      </c>
      <c r="J347" s="9">
        <v>0</v>
      </c>
      <c r="K347" s="9">
        <v>8</v>
      </c>
      <c r="L347" s="9">
        <v>9</v>
      </c>
      <c r="M347" s="9">
        <v>15.5</v>
      </c>
    </row>
    <row r="348" spans="1:13" x14ac:dyDescent="0.4">
      <c r="A348" s="16">
        <f t="shared" si="30"/>
        <v>43308</v>
      </c>
      <c r="B348" s="1">
        <f t="shared" si="31"/>
        <v>26.84</v>
      </c>
      <c r="C348" s="1">
        <f t="shared" si="32"/>
        <v>4</v>
      </c>
      <c r="D348" s="1">
        <f t="shared" si="33"/>
        <v>8</v>
      </c>
      <c r="E348" s="1">
        <f t="shared" si="34"/>
        <v>9</v>
      </c>
      <c r="F348" s="1">
        <f t="shared" si="35"/>
        <v>15.5</v>
      </c>
      <c r="H348" s="11">
        <v>43308</v>
      </c>
      <c r="I348" s="25">
        <v>0</v>
      </c>
      <c r="J348" s="9">
        <v>4</v>
      </c>
      <c r="K348" s="9">
        <v>0</v>
      </c>
      <c r="L348" s="9">
        <v>0</v>
      </c>
      <c r="M348" s="9">
        <v>0</v>
      </c>
    </row>
    <row r="349" spans="1:13" x14ac:dyDescent="0.4">
      <c r="A349" s="16">
        <f t="shared" si="30"/>
        <v>43314</v>
      </c>
      <c r="B349" s="1">
        <f t="shared" si="31"/>
        <v>26.8</v>
      </c>
      <c r="C349" s="1">
        <f t="shared" si="32"/>
        <v>4</v>
      </c>
      <c r="D349" s="1">
        <f t="shared" si="33"/>
        <v>6.5</v>
      </c>
      <c r="E349" s="1">
        <f t="shared" si="34"/>
        <v>8</v>
      </c>
      <c r="F349" s="1">
        <f t="shared" si="35"/>
        <v>13.5</v>
      </c>
      <c r="H349" s="11">
        <v>43314</v>
      </c>
      <c r="I349" s="25">
        <v>26.8</v>
      </c>
      <c r="J349" s="9">
        <v>0</v>
      </c>
      <c r="K349" s="9">
        <v>6.5</v>
      </c>
      <c r="L349" s="9">
        <v>8</v>
      </c>
      <c r="M349" s="9">
        <v>13.5</v>
      </c>
    </row>
    <row r="350" spans="1:13" x14ac:dyDescent="0.4">
      <c r="A350" s="16">
        <f t="shared" si="30"/>
        <v>43315</v>
      </c>
      <c r="B350" s="1">
        <f t="shared" si="31"/>
        <v>26.8</v>
      </c>
      <c r="C350" s="1">
        <f t="shared" si="32"/>
        <v>3.5</v>
      </c>
      <c r="D350" s="1">
        <f t="shared" si="33"/>
        <v>6.5</v>
      </c>
      <c r="E350" s="1">
        <f t="shared" si="34"/>
        <v>8</v>
      </c>
      <c r="F350" s="1">
        <f t="shared" si="35"/>
        <v>13.5</v>
      </c>
      <c r="H350" s="11">
        <v>43315</v>
      </c>
      <c r="I350" s="25">
        <v>0</v>
      </c>
      <c r="J350" s="9">
        <v>3.5</v>
      </c>
      <c r="K350" s="9">
        <v>0</v>
      </c>
      <c r="L350" s="9">
        <v>0</v>
      </c>
      <c r="M350" s="9">
        <v>0</v>
      </c>
    </row>
    <row r="351" spans="1:13" x14ac:dyDescent="0.4">
      <c r="A351" s="16">
        <f t="shared" si="30"/>
        <v>43321</v>
      </c>
      <c r="B351" s="1">
        <f t="shared" si="31"/>
        <v>33.35</v>
      </c>
      <c r="C351" s="1">
        <f t="shared" si="32"/>
        <v>3.5</v>
      </c>
      <c r="D351" s="1">
        <f t="shared" si="33"/>
        <v>6.5</v>
      </c>
      <c r="E351" s="1">
        <f t="shared" si="34"/>
        <v>8</v>
      </c>
      <c r="F351" s="1">
        <f t="shared" si="35"/>
        <v>13.5</v>
      </c>
      <c r="H351" s="11">
        <v>43321</v>
      </c>
      <c r="I351" s="25">
        <v>33.35</v>
      </c>
      <c r="J351" s="9">
        <v>0</v>
      </c>
      <c r="K351" s="9">
        <v>6.5</v>
      </c>
      <c r="L351" s="9">
        <v>8</v>
      </c>
      <c r="M351" s="9">
        <v>13.5</v>
      </c>
    </row>
    <row r="352" spans="1:13" x14ac:dyDescent="0.4">
      <c r="A352" s="16">
        <f t="shared" si="30"/>
        <v>43322</v>
      </c>
      <c r="B352" s="1">
        <f t="shared" si="31"/>
        <v>33.35</v>
      </c>
      <c r="C352" s="1">
        <f t="shared" si="32"/>
        <v>2.5</v>
      </c>
      <c r="D352" s="1">
        <f t="shared" si="33"/>
        <v>6.5</v>
      </c>
      <c r="E352" s="1">
        <f t="shared" si="34"/>
        <v>8</v>
      </c>
      <c r="F352" s="1">
        <f t="shared" si="35"/>
        <v>13.5</v>
      </c>
      <c r="H352" s="11">
        <v>43322</v>
      </c>
      <c r="I352" s="25">
        <v>0</v>
      </c>
      <c r="J352" s="9">
        <v>2.5</v>
      </c>
      <c r="K352" s="9">
        <v>0</v>
      </c>
      <c r="L352" s="9">
        <v>0</v>
      </c>
      <c r="M352" s="9">
        <v>0</v>
      </c>
    </row>
    <row r="353" spans="1:13" x14ac:dyDescent="0.4">
      <c r="A353" s="16">
        <f t="shared" si="30"/>
        <v>43328</v>
      </c>
      <c r="B353" s="1">
        <f t="shared" si="31"/>
        <v>38.549999999999997</v>
      </c>
      <c r="C353" s="1">
        <f t="shared" si="32"/>
        <v>2.5</v>
      </c>
      <c r="D353" s="1">
        <f t="shared" si="33"/>
        <v>6.5</v>
      </c>
      <c r="E353" s="1">
        <f t="shared" si="34"/>
        <v>8</v>
      </c>
      <c r="F353" s="1">
        <f t="shared" si="35"/>
        <v>13.5</v>
      </c>
      <c r="H353" s="11">
        <v>43328</v>
      </c>
      <c r="I353" s="25">
        <v>38.549999999999997</v>
      </c>
      <c r="J353" s="9">
        <v>0</v>
      </c>
      <c r="K353" s="9">
        <v>6.5</v>
      </c>
      <c r="L353" s="9">
        <v>8</v>
      </c>
      <c r="M353" s="9">
        <v>13.5</v>
      </c>
    </row>
    <row r="354" spans="1:13" x14ac:dyDescent="0.4">
      <c r="A354" s="16">
        <f t="shared" si="30"/>
        <v>43329</v>
      </c>
      <c r="B354" s="1">
        <f t="shared" si="31"/>
        <v>38.549999999999997</v>
      </c>
      <c r="C354" s="1">
        <f t="shared" si="32"/>
        <v>2.5</v>
      </c>
      <c r="D354" s="1">
        <f t="shared" si="33"/>
        <v>6.5</v>
      </c>
      <c r="E354" s="1">
        <f t="shared" si="34"/>
        <v>8</v>
      </c>
      <c r="F354" s="1">
        <f t="shared" si="35"/>
        <v>13.5</v>
      </c>
      <c r="H354" s="11">
        <v>43329</v>
      </c>
      <c r="I354" s="25">
        <v>0</v>
      </c>
      <c r="J354" s="9">
        <v>2.5</v>
      </c>
      <c r="K354" s="9">
        <v>0</v>
      </c>
      <c r="L354" s="9">
        <v>0</v>
      </c>
      <c r="M354" s="9">
        <v>0</v>
      </c>
    </row>
    <row r="355" spans="1:13" x14ac:dyDescent="0.4">
      <c r="A355" s="16">
        <f t="shared" si="30"/>
        <v>43335</v>
      </c>
      <c r="B355" s="1">
        <f t="shared" si="31"/>
        <v>40.82</v>
      </c>
      <c r="C355" s="1">
        <f t="shared" si="32"/>
        <v>2.5</v>
      </c>
      <c r="D355" s="1">
        <f t="shared" si="33"/>
        <v>6.5</v>
      </c>
      <c r="E355" s="1">
        <f t="shared" si="34"/>
        <v>8</v>
      </c>
      <c r="F355" s="1">
        <f t="shared" si="35"/>
        <v>13.5</v>
      </c>
      <c r="H355" s="11">
        <v>43335</v>
      </c>
      <c r="I355" s="25">
        <v>40.82</v>
      </c>
      <c r="J355" s="9">
        <v>0</v>
      </c>
      <c r="K355" s="9">
        <v>6.5</v>
      </c>
      <c r="L355" s="9">
        <v>8</v>
      </c>
      <c r="M355" s="9">
        <v>13.5</v>
      </c>
    </row>
    <row r="356" spans="1:13" x14ac:dyDescent="0.4">
      <c r="A356" s="16">
        <f t="shared" si="30"/>
        <v>43336</v>
      </c>
      <c r="B356" s="1">
        <f t="shared" si="31"/>
        <v>40.82</v>
      </c>
      <c r="C356" s="1">
        <f t="shared" si="32"/>
        <v>1.5</v>
      </c>
      <c r="D356" s="1">
        <f t="shared" si="33"/>
        <v>6.5</v>
      </c>
      <c r="E356" s="1">
        <f t="shared" si="34"/>
        <v>8</v>
      </c>
      <c r="F356" s="1">
        <f t="shared" si="35"/>
        <v>13.5</v>
      </c>
      <c r="H356" s="11">
        <v>43336</v>
      </c>
      <c r="I356" s="25">
        <v>0</v>
      </c>
      <c r="J356" s="9">
        <v>1.5</v>
      </c>
      <c r="K356" s="9">
        <v>0</v>
      </c>
      <c r="L356" s="9">
        <v>0</v>
      </c>
      <c r="M356" s="9">
        <v>0</v>
      </c>
    </row>
    <row r="357" spans="1:13" x14ac:dyDescent="0.4">
      <c r="A357" s="16">
        <f t="shared" si="30"/>
        <v>43342</v>
      </c>
      <c r="B357" s="1">
        <f t="shared" si="31"/>
        <v>43.8</v>
      </c>
      <c r="C357" s="1">
        <f t="shared" si="32"/>
        <v>1.5</v>
      </c>
      <c r="D357" s="1">
        <f t="shared" si="33"/>
        <v>6</v>
      </c>
      <c r="E357" s="1">
        <f t="shared" si="34"/>
        <v>7.5</v>
      </c>
      <c r="F357" s="1">
        <f t="shared" si="35"/>
        <v>13.5</v>
      </c>
      <c r="H357" s="11">
        <v>43342</v>
      </c>
      <c r="I357" s="25">
        <v>43.8</v>
      </c>
      <c r="J357" s="9">
        <v>0</v>
      </c>
      <c r="K357" s="9">
        <v>6</v>
      </c>
      <c r="L357" s="9">
        <v>7.5</v>
      </c>
      <c r="M357" s="9">
        <v>13.5</v>
      </c>
    </row>
    <row r="358" spans="1:13" x14ac:dyDescent="0.4">
      <c r="A358" s="16">
        <f t="shared" si="30"/>
        <v>43343</v>
      </c>
      <c r="B358" s="1">
        <f t="shared" si="31"/>
        <v>43.8</v>
      </c>
      <c r="C358" s="1">
        <f t="shared" si="32"/>
        <v>1.5</v>
      </c>
      <c r="D358" s="1">
        <f t="shared" si="33"/>
        <v>6</v>
      </c>
      <c r="E358" s="1">
        <f t="shared" si="34"/>
        <v>7.5</v>
      </c>
      <c r="F358" s="1">
        <f t="shared" si="35"/>
        <v>13.5</v>
      </c>
      <c r="H358" s="11">
        <v>43343</v>
      </c>
      <c r="I358" s="25">
        <v>0</v>
      </c>
      <c r="J358" s="9">
        <v>1.5</v>
      </c>
      <c r="K358" s="9">
        <v>0</v>
      </c>
      <c r="L358" s="9">
        <v>0</v>
      </c>
      <c r="M358" s="9">
        <v>0</v>
      </c>
    </row>
    <row r="359" spans="1:13" x14ac:dyDescent="0.4">
      <c r="A359" s="16">
        <f t="shared" si="30"/>
        <v>43349</v>
      </c>
      <c r="B359" s="1">
        <f t="shared" si="31"/>
        <v>48.68</v>
      </c>
      <c r="C359" s="1">
        <f t="shared" si="32"/>
        <v>1.5</v>
      </c>
      <c r="D359" s="1">
        <f t="shared" si="33"/>
        <v>7</v>
      </c>
      <c r="E359" s="1">
        <f t="shared" si="34"/>
        <v>8.5</v>
      </c>
      <c r="F359" s="1">
        <f t="shared" si="35"/>
        <v>14.5</v>
      </c>
      <c r="H359" s="11">
        <v>43349</v>
      </c>
      <c r="I359" s="25">
        <v>48.68</v>
      </c>
      <c r="J359" s="9">
        <v>0</v>
      </c>
      <c r="K359" s="9">
        <v>7</v>
      </c>
      <c r="L359" s="9">
        <v>8.5</v>
      </c>
      <c r="M359" s="9">
        <v>14.5</v>
      </c>
    </row>
    <row r="360" spans="1:13" x14ac:dyDescent="0.4">
      <c r="A360" s="16">
        <f t="shared" si="30"/>
        <v>43350</v>
      </c>
      <c r="B360" s="1">
        <f t="shared" si="31"/>
        <v>48.68</v>
      </c>
      <c r="C360" s="1">
        <f t="shared" si="32"/>
        <v>1.5</v>
      </c>
      <c r="D360" s="1">
        <f t="shared" si="33"/>
        <v>7</v>
      </c>
      <c r="E360" s="1">
        <f t="shared" si="34"/>
        <v>8.5</v>
      </c>
      <c r="F360" s="1">
        <f t="shared" si="35"/>
        <v>14.5</v>
      </c>
      <c r="H360" s="11">
        <v>43350</v>
      </c>
      <c r="I360" s="25">
        <v>0</v>
      </c>
      <c r="J360" s="9">
        <v>1.5</v>
      </c>
      <c r="K360" s="9">
        <v>0</v>
      </c>
      <c r="L360" s="9">
        <v>0</v>
      </c>
      <c r="M360" s="9">
        <v>0</v>
      </c>
    </row>
    <row r="361" spans="1:13" x14ac:dyDescent="0.4">
      <c r="A361" s="16">
        <f t="shared" si="30"/>
        <v>43356</v>
      </c>
      <c r="B361" s="1">
        <f t="shared" si="31"/>
        <v>44.5</v>
      </c>
      <c r="C361" s="1">
        <f t="shared" si="32"/>
        <v>1.5</v>
      </c>
      <c r="D361" s="1">
        <f t="shared" si="33"/>
        <v>11</v>
      </c>
      <c r="E361" s="1">
        <f t="shared" si="34"/>
        <v>12.5</v>
      </c>
      <c r="F361" s="1">
        <f t="shared" si="35"/>
        <v>18.5</v>
      </c>
      <c r="H361" s="11">
        <v>43356</v>
      </c>
      <c r="I361" s="25">
        <v>44.5</v>
      </c>
      <c r="J361" s="9">
        <v>0</v>
      </c>
      <c r="K361" s="9">
        <v>11</v>
      </c>
      <c r="L361" s="9">
        <v>12.5</v>
      </c>
      <c r="M361" s="9">
        <v>18.5</v>
      </c>
    </row>
    <row r="362" spans="1:13" x14ac:dyDescent="0.4">
      <c r="A362" s="16">
        <f t="shared" si="30"/>
        <v>43363</v>
      </c>
      <c r="B362" s="1">
        <f t="shared" si="31"/>
        <v>46.5</v>
      </c>
      <c r="C362" s="1">
        <f t="shared" si="32"/>
        <v>1.5</v>
      </c>
      <c r="D362" s="1">
        <f t="shared" si="33"/>
        <v>12</v>
      </c>
      <c r="E362" s="1">
        <f t="shared" si="34"/>
        <v>14</v>
      </c>
      <c r="F362" s="1">
        <f t="shared" si="35"/>
        <v>24</v>
      </c>
      <c r="H362" s="11">
        <v>43363</v>
      </c>
      <c r="I362" s="25">
        <v>46.5</v>
      </c>
      <c r="J362" s="9">
        <v>0</v>
      </c>
      <c r="K362" s="9">
        <v>12</v>
      </c>
      <c r="L362" s="9">
        <v>14</v>
      </c>
      <c r="M362" s="9">
        <v>24</v>
      </c>
    </row>
    <row r="363" spans="1:13" x14ac:dyDescent="0.4">
      <c r="A363" s="16">
        <f t="shared" si="30"/>
        <v>43364</v>
      </c>
      <c r="B363" s="1">
        <f t="shared" si="31"/>
        <v>46.5</v>
      </c>
      <c r="C363" s="1">
        <f t="shared" si="32"/>
        <v>3.5</v>
      </c>
      <c r="D363" s="1">
        <f t="shared" si="33"/>
        <v>12</v>
      </c>
      <c r="E363" s="1">
        <f t="shared" si="34"/>
        <v>14</v>
      </c>
      <c r="F363" s="1">
        <f t="shared" si="35"/>
        <v>24</v>
      </c>
      <c r="H363" s="11">
        <v>43364</v>
      </c>
      <c r="I363" s="25">
        <v>0</v>
      </c>
      <c r="J363" s="9">
        <v>3.5</v>
      </c>
      <c r="K363" s="9">
        <v>0</v>
      </c>
      <c r="L363" s="9">
        <v>0</v>
      </c>
      <c r="M363" s="9">
        <v>0</v>
      </c>
    </row>
    <row r="364" spans="1:13" x14ac:dyDescent="0.4">
      <c r="A364" s="16">
        <f t="shared" si="30"/>
        <v>43370</v>
      </c>
      <c r="B364" s="1">
        <f t="shared" si="31"/>
        <v>44.5</v>
      </c>
      <c r="C364" s="1">
        <f t="shared" si="32"/>
        <v>3.5</v>
      </c>
      <c r="D364" s="1">
        <f t="shared" si="33"/>
        <v>13</v>
      </c>
      <c r="E364" s="1">
        <f t="shared" si="34"/>
        <v>15</v>
      </c>
      <c r="F364" s="1">
        <f t="shared" si="35"/>
        <v>25</v>
      </c>
      <c r="H364" s="11">
        <v>43370</v>
      </c>
      <c r="I364" s="25">
        <v>44.5</v>
      </c>
      <c r="J364" s="9">
        <v>0</v>
      </c>
      <c r="K364" s="9">
        <v>13</v>
      </c>
      <c r="L364" s="9">
        <v>15</v>
      </c>
      <c r="M364" s="9">
        <v>25</v>
      </c>
    </row>
    <row r="365" spans="1:13" x14ac:dyDescent="0.4">
      <c r="A365" s="16">
        <f t="shared" si="30"/>
        <v>43371</v>
      </c>
      <c r="B365" s="1">
        <f t="shared" si="31"/>
        <v>44.5</v>
      </c>
      <c r="C365" s="1">
        <f t="shared" si="32"/>
        <v>3</v>
      </c>
      <c r="D365" s="1">
        <f t="shared" si="33"/>
        <v>13</v>
      </c>
      <c r="E365" s="1">
        <f t="shared" si="34"/>
        <v>15</v>
      </c>
      <c r="F365" s="1">
        <f t="shared" si="35"/>
        <v>25</v>
      </c>
      <c r="H365" s="11">
        <v>43371</v>
      </c>
      <c r="I365" s="25">
        <v>0</v>
      </c>
      <c r="J365" s="9">
        <v>3</v>
      </c>
      <c r="K365" s="9">
        <v>0</v>
      </c>
      <c r="L365" s="9">
        <v>0</v>
      </c>
      <c r="M365" s="9">
        <v>0</v>
      </c>
    </row>
    <row r="366" spans="1:13" x14ac:dyDescent="0.4">
      <c r="A366" s="16">
        <f t="shared" si="30"/>
        <v>43384</v>
      </c>
      <c r="B366" s="1">
        <f t="shared" si="31"/>
        <v>42.2</v>
      </c>
      <c r="C366" s="1">
        <f t="shared" si="32"/>
        <v>3</v>
      </c>
      <c r="D366" s="1">
        <f t="shared" si="33"/>
        <v>12</v>
      </c>
      <c r="E366" s="1">
        <f t="shared" si="34"/>
        <v>14</v>
      </c>
      <c r="F366" s="1">
        <f t="shared" si="35"/>
        <v>24</v>
      </c>
      <c r="H366" s="11">
        <v>43384</v>
      </c>
      <c r="I366" s="25">
        <v>42.2</v>
      </c>
      <c r="J366" s="9">
        <v>0</v>
      </c>
      <c r="K366" s="9">
        <v>12</v>
      </c>
      <c r="L366" s="9">
        <v>14</v>
      </c>
      <c r="M366" s="9">
        <v>24</v>
      </c>
    </row>
    <row r="367" spans="1:13" x14ac:dyDescent="0.4">
      <c r="A367" s="16">
        <f t="shared" si="30"/>
        <v>43385</v>
      </c>
      <c r="B367" s="1">
        <f t="shared" si="31"/>
        <v>42.2</v>
      </c>
      <c r="C367" s="1">
        <f t="shared" si="32"/>
        <v>3</v>
      </c>
      <c r="D367" s="1">
        <f t="shared" si="33"/>
        <v>12</v>
      </c>
      <c r="E367" s="1">
        <f t="shared" si="34"/>
        <v>14</v>
      </c>
      <c r="F367" s="1">
        <f t="shared" si="35"/>
        <v>24</v>
      </c>
      <c r="H367" s="11">
        <v>43385</v>
      </c>
      <c r="I367" s="25">
        <v>0</v>
      </c>
      <c r="J367" s="9">
        <v>3</v>
      </c>
      <c r="K367" s="9">
        <v>0</v>
      </c>
      <c r="L367" s="9">
        <v>0</v>
      </c>
      <c r="M367" s="9">
        <v>0</v>
      </c>
    </row>
    <row r="368" spans="1:13" x14ac:dyDescent="0.4">
      <c r="A368" s="16">
        <f t="shared" si="30"/>
        <v>43391</v>
      </c>
      <c r="B368" s="1">
        <f t="shared" si="31"/>
        <v>39.4</v>
      </c>
      <c r="C368" s="1">
        <f t="shared" si="32"/>
        <v>3</v>
      </c>
      <c r="D368" s="1">
        <f t="shared" si="33"/>
        <v>14</v>
      </c>
      <c r="E368" s="1">
        <f t="shared" si="34"/>
        <v>16</v>
      </c>
      <c r="F368" s="1">
        <f t="shared" si="35"/>
        <v>25</v>
      </c>
      <c r="H368" s="11">
        <v>43391</v>
      </c>
      <c r="I368" s="25">
        <v>39.4</v>
      </c>
      <c r="J368" s="9">
        <v>0</v>
      </c>
      <c r="K368" s="9">
        <v>14</v>
      </c>
      <c r="L368" s="9">
        <v>16</v>
      </c>
      <c r="M368" s="9">
        <v>25</v>
      </c>
    </row>
    <row r="369" spans="1:13" x14ac:dyDescent="0.4">
      <c r="A369" s="16">
        <f t="shared" si="30"/>
        <v>43392</v>
      </c>
      <c r="B369" s="1">
        <f t="shared" si="31"/>
        <v>39.4</v>
      </c>
      <c r="C369" s="1">
        <f t="shared" si="32"/>
        <v>3.5</v>
      </c>
      <c r="D369" s="1">
        <f t="shared" si="33"/>
        <v>14</v>
      </c>
      <c r="E369" s="1">
        <f t="shared" si="34"/>
        <v>16</v>
      </c>
      <c r="F369" s="1">
        <f t="shared" si="35"/>
        <v>25</v>
      </c>
      <c r="H369" s="11">
        <v>43392</v>
      </c>
      <c r="I369" s="25">
        <v>0</v>
      </c>
      <c r="J369" s="9">
        <v>3.5</v>
      </c>
      <c r="K369" s="9">
        <v>0</v>
      </c>
      <c r="L369" s="9">
        <v>0</v>
      </c>
      <c r="M369" s="9">
        <v>0</v>
      </c>
    </row>
    <row r="370" spans="1:13" x14ac:dyDescent="0.4">
      <c r="A370" s="16">
        <f t="shared" si="30"/>
        <v>43398</v>
      </c>
      <c r="B370" s="1">
        <f t="shared" si="31"/>
        <v>40.1</v>
      </c>
      <c r="C370" s="1">
        <f t="shared" si="32"/>
        <v>3.5</v>
      </c>
      <c r="D370" s="1">
        <f t="shared" si="33"/>
        <v>15</v>
      </c>
      <c r="E370" s="1">
        <f t="shared" si="34"/>
        <v>17</v>
      </c>
      <c r="F370" s="1">
        <f t="shared" si="35"/>
        <v>26</v>
      </c>
      <c r="H370" s="11">
        <v>43398</v>
      </c>
      <c r="I370" s="25">
        <v>40.1</v>
      </c>
      <c r="J370" s="9">
        <v>0</v>
      </c>
      <c r="K370" s="9">
        <v>15</v>
      </c>
      <c r="L370" s="9">
        <v>17</v>
      </c>
      <c r="M370" s="9">
        <v>26</v>
      </c>
    </row>
    <row r="371" spans="1:13" x14ac:dyDescent="0.4">
      <c r="A371" s="16">
        <f t="shared" si="30"/>
        <v>43399</v>
      </c>
      <c r="B371" s="1">
        <f t="shared" si="31"/>
        <v>40.1</v>
      </c>
      <c r="C371" s="1">
        <f t="shared" si="32"/>
        <v>3.5</v>
      </c>
      <c r="D371" s="1">
        <f t="shared" si="33"/>
        <v>15</v>
      </c>
      <c r="E371" s="1">
        <f t="shared" si="34"/>
        <v>17</v>
      </c>
      <c r="F371" s="1">
        <f t="shared" si="35"/>
        <v>26</v>
      </c>
      <c r="H371" s="11">
        <v>43399</v>
      </c>
      <c r="I371" s="25">
        <v>0</v>
      </c>
      <c r="J371" s="9">
        <v>3.5</v>
      </c>
      <c r="K371" s="9">
        <v>0</v>
      </c>
      <c r="L371" s="9">
        <v>0</v>
      </c>
      <c r="M371" s="9">
        <v>0</v>
      </c>
    </row>
    <row r="372" spans="1:13" x14ac:dyDescent="0.4">
      <c r="A372" s="16">
        <f t="shared" si="30"/>
        <v>43405</v>
      </c>
      <c r="B372" s="1">
        <f t="shared" si="31"/>
        <v>41.1</v>
      </c>
      <c r="C372" s="1">
        <f t="shared" si="32"/>
        <v>3.5</v>
      </c>
      <c r="D372" s="1">
        <f t="shared" si="33"/>
        <v>15</v>
      </c>
      <c r="E372" s="1">
        <f t="shared" si="34"/>
        <v>17</v>
      </c>
      <c r="F372" s="1">
        <f t="shared" si="35"/>
        <v>26</v>
      </c>
      <c r="H372" s="11">
        <v>43405</v>
      </c>
      <c r="I372" s="25">
        <v>41.1</v>
      </c>
      <c r="J372" s="9">
        <v>0</v>
      </c>
      <c r="K372" s="9">
        <v>0</v>
      </c>
      <c r="L372" s="9">
        <v>0</v>
      </c>
      <c r="M372" s="9">
        <v>0</v>
      </c>
    </row>
    <row r="373" spans="1:13" x14ac:dyDescent="0.4">
      <c r="A373" s="16">
        <f t="shared" si="30"/>
        <v>43406</v>
      </c>
      <c r="B373" s="1">
        <f t="shared" si="31"/>
        <v>41.1</v>
      </c>
      <c r="C373" s="1">
        <f t="shared" si="32"/>
        <v>4</v>
      </c>
      <c r="D373" s="1">
        <f t="shared" si="33"/>
        <v>15</v>
      </c>
      <c r="E373" s="1">
        <f t="shared" si="34"/>
        <v>17</v>
      </c>
      <c r="F373" s="1">
        <f t="shared" si="35"/>
        <v>24</v>
      </c>
      <c r="H373" s="11">
        <v>43406</v>
      </c>
      <c r="I373" s="25">
        <v>0</v>
      </c>
      <c r="J373" s="9">
        <v>4</v>
      </c>
      <c r="K373" s="9">
        <v>15</v>
      </c>
      <c r="L373" s="9">
        <v>17</v>
      </c>
      <c r="M373" s="9">
        <v>24</v>
      </c>
    </row>
    <row r="374" spans="1:13" x14ac:dyDescent="0.4">
      <c r="A374" s="16">
        <f t="shared" si="30"/>
        <v>43412</v>
      </c>
      <c r="B374" s="1">
        <f t="shared" si="31"/>
        <v>41.89</v>
      </c>
      <c r="C374" s="1">
        <f t="shared" si="32"/>
        <v>4</v>
      </c>
      <c r="D374" s="1">
        <f t="shared" si="33"/>
        <v>17</v>
      </c>
      <c r="E374" s="1">
        <f t="shared" si="34"/>
        <v>19</v>
      </c>
      <c r="F374" s="1">
        <f t="shared" si="35"/>
        <v>26</v>
      </c>
      <c r="H374" s="11">
        <v>43412</v>
      </c>
      <c r="I374" s="25">
        <v>41.89</v>
      </c>
      <c r="J374" s="9">
        <v>0</v>
      </c>
      <c r="K374" s="9">
        <v>17</v>
      </c>
      <c r="L374" s="9">
        <v>19</v>
      </c>
      <c r="M374" s="9">
        <v>26</v>
      </c>
    </row>
    <row r="375" spans="1:13" x14ac:dyDescent="0.4">
      <c r="A375" s="16">
        <f t="shared" si="30"/>
        <v>43413</v>
      </c>
      <c r="B375" s="1">
        <f t="shared" si="31"/>
        <v>41.89</v>
      </c>
      <c r="C375" s="1">
        <f t="shared" si="32"/>
        <v>3</v>
      </c>
      <c r="D375" s="1">
        <f t="shared" si="33"/>
        <v>17</v>
      </c>
      <c r="E375" s="1">
        <f t="shared" si="34"/>
        <v>19</v>
      </c>
      <c r="F375" s="1">
        <f t="shared" si="35"/>
        <v>26</v>
      </c>
      <c r="H375" s="11">
        <v>43413</v>
      </c>
      <c r="I375" s="25">
        <v>0</v>
      </c>
      <c r="J375" s="9">
        <v>3</v>
      </c>
      <c r="K375" s="9">
        <v>0</v>
      </c>
      <c r="L375" s="9">
        <v>0</v>
      </c>
      <c r="M375" s="9">
        <v>0</v>
      </c>
    </row>
    <row r="376" spans="1:13" x14ac:dyDescent="0.4">
      <c r="A376" s="16">
        <f t="shared" si="30"/>
        <v>43419</v>
      </c>
      <c r="B376" s="1">
        <f t="shared" si="31"/>
        <v>42.3</v>
      </c>
      <c r="C376" s="1">
        <f t="shared" si="32"/>
        <v>3</v>
      </c>
      <c r="D376" s="1">
        <f t="shared" si="33"/>
        <v>15</v>
      </c>
      <c r="E376" s="1">
        <f t="shared" si="34"/>
        <v>17</v>
      </c>
      <c r="F376" s="1">
        <f t="shared" si="35"/>
        <v>24</v>
      </c>
      <c r="H376" s="11">
        <v>43419</v>
      </c>
      <c r="I376" s="25">
        <v>42.3</v>
      </c>
      <c r="J376" s="9">
        <v>0</v>
      </c>
      <c r="K376" s="9">
        <v>15</v>
      </c>
      <c r="L376" s="9">
        <v>17</v>
      </c>
      <c r="M376" s="9">
        <v>24</v>
      </c>
    </row>
    <row r="377" spans="1:13" x14ac:dyDescent="0.4">
      <c r="A377" s="16">
        <f t="shared" si="30"/>
        <v>43420</v>
      </c>
      <c r="B377" s="1">
        <f t="shared" si="31"/>
        <v>42.3</v>
      </c>
      <c r="C377" s="1">
        <f t="shared" si="32"/>
        <v>3.5</v>
      </c>
      <c r="D377" s="1">
        <f t="shared" si="33"/>
        <v>15</v>
      </c>
      <c r="E377" s="1">
        <f t="shared" si="34"/>
        <v>17</v>
      </c>
      <c r="F377" s="1">
        <f t="shared" si="35"/>
        <v>24</v>
      </c>
      <c r="H377" s="11">
        <v>43420</v>
      </c>
      <c r="I377" s="25">
        <v>0</v>
      </c>
      <c r="J377" s="9">
        <v>3.5</v>
      </c>
      <c r="K377" s="9">
        <v>0</v>
      </c>
      <c r="L377" s="9">
        <v>0</v>
      </c>
      <c r="M377" s="9">
        <v>0</v>
      </c>
    </row>
    <row r="378" spans="1:13" x14ac:dyDescent="0.4">
      <c r="A378" s="16">
        <f t="shared" si="30"/>
        <v>43426</v>
      </c>
      <c r="B378" s="1">
        <f t="shared" si="31"/>
        <v>40.700000000000003</v>
      </c>
      <c r="C378" s="1">
        <f t="shared" si="32"/>
        <v>3.5</v>
      </c>
      <c r="D378" s="1">
        <f t="shared" si="33"/>
        <v>16</v>
      </c>
      <c r="E378" s="1">
        <f t="shared" si="34"/>
        <v>18</v>
      </c>
      <c r="F378" s="1">
        <f t="shared" si="35"/>
        <v>25</v>
      </c>
      <c r="H378" s="11">
        <v>43426</v>
      </c>
      <c r="I378" s="25">
        <v>40.700000000000003</v>
      </c>
      <c r="J378" s="9">
        <v>0</v>
      </c>
      <c r="K378" s="9">
        <v>16</v>
      </c>
      <c r="L378" s="9">
        <v>18</v>
      </c>
      <c r="M378" s="9">
        <v>25</v>
      </c>
    </row>
    <row r="379" spans="1:13" x14ac:dyDescent="0.4">
      <c r="A379" s="16">
        <f t="shared" si="30"/>
        <v>43427</v>
      </c>
      <c r="B379" s="1">
        <f t="shared" si="31"/>
        <v>40.700000000000003</v>
      </c>
      <c r="C379" s="1">
        <f t="shared" si="32"/>
        <v>3.5</v>
      </c>
      <c r="D379" s="1">
        <f t="shared" si="33"/>
        <v>16</v>
      </c>
      <c r="E379" s="1">
        <f t="shared" si="34"/>
        <v>18</v>
      </c>
      <c r="F379" s="1">
        <f t="shared" si="35"/>
        <v>25</v>
      </c>
      <c r="H379" s="11">
        <v>43427</v>
      </c>
      <c r="I379" s="25">
        <v>0</v>
      </c>
      <c r="J379" s="9">
        <v>3.5</v>
      </c>
      <c r="K379" s="9">
        <v>0</v>
      </c>
      <c r="L379" s="9">
        <v>0</v>
      </c>
      <c r="M379" s="9">
        <v>0</v>
      </c>
    </row>
    <row r="380" spans="1:13" x14ac:dyDescent="0.4">
      <c r="A380" s="16">
        <f t="shared" si="30"/>
        <v>43433</v>
      </c>
      <c r="B380" s="1">
        <f t="shared" si="31"/>
        <v>42</v>
      </c>
      <c r="C380" s="1">
        <f t="shared" si="32"/>
        <v>3.5</v>
      </c>
      <c r="D380" s="1">
        <f t="shared" si="33"/>
        <v>17</v>
      </c>
      <c r="E380" s="1">
        <f t="shared" si="34"/>
        <v>19</v>
      </c>
      <c r="F380" s="1">
        <f t="shared" si="35"/>
        <v>26</v>
      </c>
      <c r="H380" s="11">
        <v>43433</v>
      </c>
      <c r="I380" s="25">
        <v>42</v>
      </c>
      <c r="J380" s="9">
        <v>0</v>
      </c>
      <c r="K380" s="9">
        <v>17</v>
      </c>
      <c r="L380" s="9">
        <v>19</v>
      </c>
      <c r="M380" s="9">
        <v>26</v>
      </c>
    </row>
    <row r="381" spans="1:13" x14ac:dyDescent="0.4">
      <c r="A381" s="16">
        <f t="shared" si="30"/>
        <v>43434</v>
      </c>
      <c r="B381" s="1">
        <f t="shared" si="31"/>
        <v>42</v>
      </c>
      <c r="C381" s="1">
        <f t="shared" si="32"/>
        <v>4</v>
      </c>
      <c r="D381" s="1">
        <f t="shared" si="33"/>
        <v>17</v>
      </c>
      <c r="E381" s="1">
        <f t="shared" si="34"/>
        <v>19</v>
      </c>
      <c r="F381" s="1">
        <f t="shared" si="35"/>
        <v>26</v>
      </c>
      <c r="H381" s="11">
        <v>43434</v>
      </c>
      <c r="I381" s="25">
        <v>0</v>
      </c>
      <c r="J381" s="9">
        <v>4</v>
      </c>
      <c r="K381" s="9">
        <v>0</v>
      </c>
      <c r="L381" s="9">
        <v>0</v>
      </c>
      <c r="M381" s="9">
        <v>0</v>
      </c>
    </row>
    <row r="382" spans="1:13" x14ac:dyDescent="0.4">
      <c r="A382" s="16">
        <f t="shared" si="30"/>
        <v>43440</v>
      </c>
      <c r="B382" s="1">
        <f t="shared" si="31"/>
        <v>40.880000000000003</v>
      </c>
      <c r="C382" s="1">
        <f t="shared" si="32"/>
        <v>4</v>
      </c>
      <c r="D382" s="1">
        <f t="shared" si="33"/>
        <v>14</v>
      </c>
      <c r="E382" s="1">
        <f t="shared" si="34"/>
        <v>16</v>
      </c>
      <c r="F382" s="1">
        <f t="shared" si="35"/>
        <v>23</v>
      </c>
      <c r="H382" s="11">
        <v>43440</v>
      </c>
      <c r="I382" s="25">
        <v>40.880000000000003</v>
      </c>
      <c r="J382" s="9">
        <v>0</v>
      </c>
      <c r="K382" s="9">
        <v>14</v>
      </c>
      <c r="L382" s="9">
        <v>16</v>
      </c>
      <c r="M382" s="9">
        <v>23</v>
      </c>
    </row>
    <row r="383" spans="1:13" x14ac:dyDescent="0.4">
      <c r="A383" s="16">
        <f t="shared" si="30"/>
        <v>43441</v>
      </c>
      <c r="B383" s="1">
        <f t="shared" si="31"/>
        <v>40.880000000000003</v>
      </c>
      <c r="C383" s="1">
        <f t="shared" si="32"/>
        <v>4</v>
      </c>
      <c r="D383" s="1">
        <f t="shared" si="33"/>
        <v>14</v>
      </c>
      <c r="E383" s="1">
        <f t="shared" si="34"/>
        <v>16</v>
      </c>
      <c r="F383" s="1">
        <f t="shared" si="35"/>
        <v>23</v>
      </c>
      <c r="H383" s="11">
        <v>43441</v>
      </c>
      <c r="I383" s="25">
        <v>0</v>
      </c>
      <c r="J383" s="9">
        <v>4</v>
      </c>
      <c r="K383" s="9">
        <v>0</v>
      </c>
      <c r="L383" s="9">
        <v>0</v>
      </c>
      <c r="M383" s="9">
        <v>0</v>
      </c>
    </row>
    <row r="384" spans="1:13" x14ac:dyDescent="0.4">
      <c r="A384" s="16">
        <f t="shared" si="30"/>
        <v>43447</v>
      </c>
      <c r="B384" s="1">
        <f t="shared" si="31"/>
        <v>43.65</v>
      </c>
      <c r="C384" s="1">
        <f t="shared" si="32"/>
        <v>4</v>
      </c>
      <c r="D384" s="1">
        <f t="shared" si="33"/>
        <v>12</v>
      </c>
      <c r="E384" s="1">
        <f t="shared" si="34"/>
        <v>14</v>
      </c>
      <c r="F384" s="1">
        <f t="shared" si="35"/>
        <v>21</v>
      </c>
      <c r="H384" s="11">
        <v>43447</v>
      </c>
      <c r="I384" s="25">
        <v>43.65</v>
      </c>
      <c r="J384" s="9">
        <v>0</v>
      </c>
      <c r="K384" s="9">
        <v>12</v>
      </c>
      <c r="L384" s="9">
        <v>14</v>
      </c>
      <c r="M384" s="9">
        <v>21</v>
      </c>
    </row>
    <row r="385" spans="1:13" x14ac:dyDescent="0.4">
      <c r="A385" s="16">
        <f t="shared" si="30"/>
        <v>43448</v>
      </c>
      <c r="B385" s="1">
        <f t="shared" si="31"/>
        <v>43.65</v>
      </c>
      <c r="C385" s="1">
        <f t="shared" si="32"/>
        <v>4</v>
      </c>
      <c r="D385" s="1">
        <f t="shared" si="33"/>
        <v>12</v>
      </c>
      <c r="E385" s="1">
        <f t="shared" si="34"/>
        <v>14</v>
      </c>
      <c r="F385" s="1">
        <f t="shared" si="35"/>
        <v>21</v>
      </c>
      <c r="H385" s="11">
        <v>43448</v>
      </c>
      <c r="I385" s="25">
        <v>0</v>
      </c>
      <c r="J385" s="9">
        <v>4</v>
      </c>
      <c r="K385" s="9">
        <v>0</v>
      </c>
      <c r="L385" s="9">
        <v>0</v>
      </c>
      <c r="M385" s="9">
        <v>0</v>
      </c>
    </row>
    <row r="386" spans="1:13" x14ac:dyDescent="0.4">
      <c r="A386" s="16">
        <f t="shared" si="30"/>
        <v>43454</v>
      </c>
      <c r="B386" s="1">
        <f t="shared" si="31"/>
        <v>43.28</v>
      </c>
      <c r="C386" s="1">
        <f t="shared" si="32"/>
        <v>4</v>
      </c>
      <c r="D386" s="1">
        <f t="shared" si="33"/>
        <v>13</v>
      </c>
      <c r="E386" s="1">
        <f t="shared" si="34"/>
        <v>15</v>
      </c>
      <c r="F386" s="1">
        <f t="shared" si="35"/>
        <v>22</v>
      </c>
      <c r="H386" s="11">
        <v>43454</v>
      </c>
      <c r="I386" s="25">
        <v>43.28</v>
      </c>
      <c r="J386" s="9">
        <v>0</v>
      </c>
      <c r="K386" s="9">
        <v>13</v>
      </c>
      <c r="L386" s="9">
        <v>15</v>
      </c>
      <c r="M386" s="9">
        <v>22</v>
      </c>
    </row>
    <row r="387" spans="1:13" x14ac:dyDescent="0.4">
      <c r="A387" s="16">
        <f t="shared" si="30"/>
        <v>43455</v>
      </c>
      <c r="B387" s="1">
        <f t="shared" si="31"/>
        <v>43.28</v>
      </c>
      <c r="C387" s="1">
        <f t="shared" si="32"/>
        <v>4</v>
      </c>
      <c r="D387" s="1">
        <f t="shared" si="33"/>
        <v>13</v>
      </c>
      <c r="E387" s="1">
        <f t="shared" si="34"/>
        <v>15</v>
      </c>
      <c r="F387" s="1">
        <f t="shared" si="35"/>
        <v>22</v>
      </c>
      <c r="H387" s="11">
        <v>43455</v>
      </c>
      <c r="I387" s="25">
        <v>0</v>
      </c>
      <c r="J387" s="9">
        <v>4</v>
      </c>
      <c r="K387" s="9">
        <v>0</v>
      </c>
      <c r="L387" s="9">
        <v>0</v>
      </c>
      <c r="M387" s="9">
        <v>0</v>
      </c>
    </row>
    <row r="388" spans="1:13" x14ac:dyDescent="0.4">
      <c r="A388" s="16">
        <f t="shared" si="30"/>
        <v>43461</v>
      </c>
      <c r="B388" s="1">
        <f t="shared" si="31"/>
        <v>45.18</v>
      </c>
      <c r="C388" s="1">
        <f t="shared" si="32"/>
        <v>4</v>
      </c>
      <c r="D388" s="1">
        <f t="shared" si="33"/>
        <v>11</v>
      </c>
      <c r="E388" s="1">
        <f t="shared" si="34"/>
        <v>13</v>
      </c>
      <c r="F388" s="1">
        <f t="shared" si="35"/>
        <v>20</v>
      </c>
      <c r="H388" s="11">
        <v>43461</v>
      </c>
      <c r="I388" s="25">
        <v>45.18</v>
      </c>
      <c r="J388" s="9">
        <v>0</v>
      </c>
      <c r="K388" s="9">
        <v>11</v>
      </c>
      <c r="L388" s="9">
        <v>13</v>
      </c>
      <c r="M388" s="9">
        <v>20</v>
      </c>
    </row>
    <row r="389" spans="1:13" x14ac:dyDescent="0.4">
      <c r="A389" s="16">
        <f t="shared" si="30"/>
        <v>43462</v>
      </c>
      <c r="B389" s="1">
        <f t="shared" si="31"/>
        <v>45.18</v>
      </c>
      <c r="C389" s="1">
        <f t="shared" si="32"/>
        <v>3</v>
      </c>
      <c r="D389" s="1">
        <f t="shared" si="33"/>
        <v>11</v>
      </c>
      <c r="E389" s="1">
        <f t="shared" si="34"/>
        <v>13</v>
      </c>
      <c r="F389" s="1">
        <f t="shared" si="35"/>
        <v>20</v>
      </c>
      <c r="H389" s="11">
        <v>43462</v>
      </c>
      <c r="I389" s="25">
        <v>0</v>
      </c>
      <c r="J389" s="9">
        <v>3</v>
      </c>
      <c r="K389" s="9">
        <v>0</v>
      </c>
      <c r="L389" s="9">
        <v>0</v>
      </c>
      <c r="M389" s="9">
        <v>0</v>
      </c>
    </row>
    <row r="390" spans="1:13" x14ac:dyDescent="0.4">
      <c r="A390" s="16">
        <f t="shared" ref="A390:A453" si="36">H390</f>
        <v>43468</v>
      </c>
      <c r="B390" s="1">
        <f t="shared" ref="B390:B453" si="37">IF(I390&lt;&gt;0,I390,B389)</f>
        <v>42.15</v>
      </c>
      <c r="C390" s="1">
        <f t="shared" si="32"/>
        <v>3</v>
      </c>
      <c r="D390" s="1">
        <f t="shared" si="33"/>
        <v>11</v>
      </c>
      <c r="E390" s="1">
        <f t="shared" si="34"/>
        <v>13</v>
      </c>
      <c r="F390" s="1">
        <f t="shared" si="35"/>
        <v>20</v>
      </c>
      <c r="H390" s="11">
        <v>43468</v>
      </c>
      <c r="I390" s="25">
        <v>42.15</v>
      </c>
      <c r="J390" s="9">
        <v>0</v>
      </c>
      <c r="K390" s="9">
        <v>0</v>
      </c>
      <c r="L390" s="9">
        <v>0</v>
      </c>
      <c r="M390" s="9">
        <v>0</v>
      </c>
    </row>
    <row r="391" spans="1:13" x14ac:dyDescent="0.4">
      <c r="A391" s="16">
        <f t="shared" si="36"/>
        <v>43469</v>
      </c>
      <c r="B391" s="1">
        <f t="shared" si="37"/>
        <v>42.15</v>
      </c>
      <c r="C391" s="1">
        <f t="shared" ref="C391:C454" si="38">IF(J391&lt;&gt;0,J391,C390)</f>
        <v>3</v>
      </c>
      <c r="D391" s="1">
        <f t="shared" ref="D391:D454" si="39">IF(K391&lt;&gt;0,K391,D390)</f>
        <v>14</v>
      </c>
      <c r="E391" s="1">
        <f t="shared" ref="E391:E454" si="40">IF(L391&lt;&gt;0,L391,E390)</f>
        <v>17</v>
      </c>
      <c r="F391" s="1">
        <f t="shared" ref="F391:F454" si="41">IF(M391&lt;&gt;0,M391,F390)</f>
        <v>20</v>
      </c>
      <c r="H391" s="11">
        <v>43469</v>
      </c>
      <c r="I391" s="25">
        <v>0</v>
      </c>
      <c r="J391" s="9">
        <v>3</v>
      </c>
      <c r="K391" s="9">
        <v>14</v>
      </c>
      <c r="L391" s="9">
        <v>17</v>
      </c>
      <c r="M391" s="9">
        <v>20</v>
      </c>
    </row>
    <row r="392" spans="1:13" x14ac:dyDescent="0.4">
      <c r="A392" s="16">
        <f t="shared" si="36"/>
        <v>43475</v>
      </c>
      <c r="B392" s="1">
        <f t="shared" si="37"/>
        <v>46.7</v>
      </c>
      <c r="C392" s="1">
        <f t="shared" si="38"/>
        <v>3</v>
      </c>
      <c r="D392" s="1">
        <f t="shared" si="39"/>
        <v>9</v>
      </c>
      <c r="E392" s="1">
        <f t="shared" si="40"/>
        <v>14</v>
      </c>
      <c r="F392" s="1">
        <f t="shared" si="41"/>
        <v>17</v>
      </c>
      <c r="H392" s="11">
        <v>43475</v>
      </c>
      <c r="I392" s="25">
        <v>46.7</v>
      </c>
      <c r="J392" s="9">
        <v>0</v>
      </c>
      <c r="K392" s="9">
        <v>9</v>
      </c>
      <c r="L392" s="9">
        <v>14</v>
      </c>
      <c r="M392" s="9">
        <v>17</v>
      </c>
    </row>
    <row r="393" spans="1:13" x14ac:dyDescent="0.4">
      <c r="A393" s="16">
        <f t="shared" si="36"/>
        <v>43476</v>
      </c>
      <c r="B393" s="1">
        <f t="shared" si="37"/>
        <v>46.7</v>
      </c>
      <c r="C393" s="1">
        <f t="shared" si="38"/>
        <v>3</v>
      </c>
      <c r="D393" s="1">
        <f t="shared" si="39"/>
        <v>9</v>
      </c>
      <c r="E393" s="1">
        <f t="shared" si="40"/>
        <v>14</v>
      </c>
      <c r="F393" s="1">
        <f t="shared" si="41"/>
        <v>17</v>
      </c>
      <c r="H393" s="11">
        <v>43476</v>
      </c>
      <c r="I393" s="25">
        <v>0</v>
      </c>
      <c r="J393" s="9">
        <v>3</v>
      </c>
      <c r="K393" s="9">
        <v>0</v>
      </c>
      <c r="L393" s="9">
        <v>0</v>
      </c>
      <c r="M393" s="9">
        <v>0</v>
      </c>
    </row>
    <row r="394" spans="1:13" x14ac:dyDescent="0.4">
      <c r="A394" s="16">
        <f t="shared" si="36"/>
        <v>43482</v>
      </c>
      <c r="B394" s="1">
        <f t="shared" si="37"/>
        <v>51.6</v>
      </c>
      <c r="C394" s="1">
        <f t="shared" si="38"/>
        <v>3</v>
      </c>
      <c r="D394" s="1">
        <f t="shared" si="39"/>
        <v>4</v>
      </c>
      <c r="E394" s="1">
        <f t="shared" si="40"/>
        <v>7</v>
      </c>
      <c r="F394" s="1">
        <f t="shared" si="41"/>
        <v>9</v>
      </c>
      <c r="H394" s="11">
        <v>43482</v>
      </c>
      <c r="I394" s="25">
        <v>51.6</v>
      </c>
      <c r="J394" s="9">
        <v>0</v>
      </c>
      <c r="K394" s="9">
        <v>4</v>
      </c>
      <c r="L394" s="9">
        <v>7</v>
      </c>
      <c r="M394" s="9">
        <v>9</v>
      </c>
    </row>
    <row r="395" spans="1:13" x14ac:dyDescent="0.4">
      <c r="A395" s="16">
        <f t="shared" si="36"/>
        <v>43483</v>
      </c>
      <c r="B395" s="1">
        <f t="shared" si="37"/>
        <v>51.6</v>
      </c>
      <c r="C395" s="1">
        <f t="shared" si="38"/>
        <v>3</v>
      </c>
      <c r="D395" s="1">
        <f t="shared" si="39"/>
        <v>4</v>
      </c>
      <c r="E395" s="1">
        <f t="shared" si="40"/>
        <v>7</v>
      </c>
      <c r="F395" s="1">
        <f t="shared" si="41"/>
        <v>9</v>
      </c>
      <c r="H395" s="11">
        <v>43483</v>
      </c>
      <c r="I395" s="25">
        <v>0</v>
      </c>
      <c r="J395" s="9">
        <v>3</v>
      </c>
      <c r="K395" s="9">
        <v>0</v>
      </c>
      <c r="L395" s="9">
        <v>0</v>
      </c>
      <c r="M395" s="9">
        <v>0</v>
      </c>
    </row>
    <row r="396" spans="1:13" x14ac:dyDescent="0.4">
      <c r="A396" s="16">
        <f t="shared" si="36"/>
        <v>43489</v>
      </c>
      <c r="B396" s="1">
        <f t="shared" si="37"/>
        <v>54.35</v>
      </c>
      <c r="C396" s="1">
        <f t="shared" si="38"/>
        <v>3</v>
      </c>
      <c r="D396" s="1">
        <f t="shared" si="39"/>
        <v>3</v>
      </c>
      <c r="E396" s="1">
        <f t="shared" si="40"/>
        <v>4</v>
      </c>
      <c r="F396" s="1">
        <f t="shared" si="41"/>
        <v>8</v>
      </c>
      <c r="H396" s="11">
        <v>43489</v>
      </c>
      <c r="I396" s="25">
        <v>54.35</v>
      </c>
      <c r="J396" s="9">
        <v>0</v>
      </c>
      <c r="K396" s="9">
        <v>3</v>
      </c>
      <c r="L396" s="9">
        <v>4</v>
      </c>
      <c r="M396" s="9">
        <v>8</v>
      </c>
    </row>
    <row r="397" spans="1:13" x14ac:dyDescent="0.4">
      <c r="A397" s="16">
        <f t="shared" si="36"/>
        <v>43490</v>
      </c>
      <c r="B397" s="1">
        <f t="shared" si="37"/>
        <v>54.35</v>
      </c>
      <c r="C397" s="1">
        <f t="shared" si="38"/>
        <v>3.5</v>
      </c>
      <c r="D397" s="1">
        <f t="shared" si="39"/>
        <v>3</v>
      </c>
      <c r="E397" s="1">
        <f t="shared" si="40"/>
        <v>4</v>
      </c>
      <c r="F397" s="1">
        <f t="shared" si="41"/>
        <v>8</v>
      </c>
      <c r="H397" s="11">
        <v>43490</v>
      </c>
      <c r="I397" s="25">
        <v>0</v>
      </c>
      <c r="J397" s="9">
        <v>3.5</v>
      </c>
      <c r="K397" s="9">
        <v>0</v>
      </c>
      <c r="L397" s="9">
        <v>0</v>
      </c>
      <c r="M397" s="9">
        <v>0</v>
      </c>
    </row>
    <row r="398" spans="1:13" x14ac:dyDescent="0.4">
      <c r="A398" s="16">
        <f t="shared" si="36"/>
        <v>43496</v>
      </c>
      <c r="B398" s="1">
        <f t="shared" si="37"/>
        <v>57.95</v>
      </c>
      <c r="C398" s="1">
        <f t="shared" si="38"/>
        <v>3.5</v>
      </c>
      <c r="D398" s="1">
        <f t="shared" si="39"/>
        <v>2</v>
      </c>
      <c r="E398" s="1">
        <f t="shared" si="40"/>
        <v>3</v>
      </c>
      <c r="F398" s="1">
        <f t="shared" si="41"/>
        <v>7</v>
      </c>
      <c r="H398" s="11">
        <v>43496</v>
      </c>
      <c r="I398" s="25">
        <v>57.95</v>
      </c>
      <c r="J398" s="9">
        <v>0</v>
      </c>
      <c r="K398" s="9">
        <v>2</v>
      </c>
      <c r="L398" s="9">
        <v>3</v>
      </c>
      <c r="M398" s="9">
        <v>7</v>
      </c>
    </row>
    <row r="399" spans="1:13" x14ac:dyDescent="0.4">
      <c r="A399" s="16">
        <f t="shared" si="36"/>
        <v>43497</v>
      </c>
      <c r="B399" s="1">
        <f t="shared" si="37"/>
        <v>57.95</v>
      </c>
      <c r="C399" s="1">
        <f t="shared" si="38"/>
        <v>3</v>
      </c>
      <c r="D399" s="1">
        <f t="shared" si="39"/>
        <v>2</v>
      </c>
      <c r="E399" s="1">
        <f t="shared" si="40"/>
        <v>3</v>
      </c>
      <c r="F399" s="1">
        <f t="shared" si="41"/>
        <v>7</v>
      </c>
      <c r="H399" s="11">
        <v>43497</v>
      </c>
      <c r="I399" s="25">
        <v>0</v>
      </c>
      <c r="J399" s="9">
        <v>3</v>
      </c>
      <c r="K399" s="9">
        <v>0</v>
      </c>
      <c r="L399" s="9">
        <v>0</v>
      </c>
      <c r="M399" s="9">
        <v>0</v>
      </c>
    </row>
    <row r="400" spans="1:13" x14ac:dyDescent="0.4">
      <c r="A400" s="16">
        <f t="shared" si="36"/>
        <v>43510</v>
      </c>
      <c r="B400" s="1">
        <f t="shared" si="37"/>
        <v>61.4</v>
      </c>
      <c r="C400" s="1">
        <f t="shared" si="38"/>
        <v>3</v>
      </c>
      <c r="D400" s="1">
        <f t="shared" si="39"/>
        <v>6</v>
      </c>
      <c r="E400" s="1">
        <f t="shared" si="40"/>
        <v>11</v>
      </c>
      <c r="F400" s="1">
        <f t="shared" si="41"/>
        <v>9</v>
      </c>
      <c r="H400" s="11">
        <v>43510</v>
      </c>
      <c r="I400" s="25">
        <v>61.4</v>
      </c>
      <c r="J400" s="9">
        <v>0</v>
      </c>
      <c r="K400" s="9">
        <v>6</v>
      </c>
      <c r="L400" s="9">
        <v>11</v>
      </c>
      <c r="M400" s="9">
        <v>9</v>
      </c>
    </row>
    <row r="401" spans="1:13" x14ac:dyDescent="0.4">
      <c r="A401" s="16">
        <f t="shared" si="36"/>
        <v>43511</v>
      </c>
      <c r="B401" s="1">
        <f t="shared" si="37"/>
        <v>61.4</v>
      </c>
      <c r="C401" s="1">
        <f t="shared" si="38"/>
        <v>5</v>
      </c>
      <c r="D401" s="1">
        <f t="shared" si="39"/>
        <v>6</v>
      </c>
      <c r="E401" s="1">
        <f t="shared" si="40"/>
        <v>11</v>
      </c>
      <c r="F401" s="1">
        <f t="shared" si="41"/>
        <v>9</v>
      </c>
      <c r="H401" s="11">
        <v>43511</v>
      </c>
      <c r="I401" s="25">
        <v>0</v>
      </c>
      <c r="J401" s="9">
        <v>5</v>
      </c>
      <c r="K401" s="9">
        <v>0</v>
      </c>
      <c r="L401" s="9">
        <v>0</v>
      </c>
      <c r="M401" s="9">
        <v>0</v>
      </c>
    </row>
    <row r="402" spans="1:13" x14ac:dyDescent="0.4">
      <c r="A402" s="16">
        <f t="shared" si="36"/>
        <v>43517</v>
      </c>
      <c r="B402" s="1">
        <f t="shared" si="37"/>
        <v>60.75</v>
      </c>
      <c r="C402" s="1">
        <f t="shared" si="38"/>
        <v>5</v>
      </c>
      <c r="D402" s="1">
        <f t="shared" si="39"/>
        <v>9</v>
      </c>
      <c r="E402" s="1">
        <f t="shared" si="40"/>
        <v>14</v>
      </c>
      <c r="F402" s="1">
        <f t="shared" si="41"/>
        <v>11</v>
      </c>
      <c r="H402" s="11">
        <v>43517</v>
      </c>
      <c r="I402" s="25">
        <v>60.75</v>
      </c>
      <c r="J402" s="9">
        <v>0</v>
      </c>
      <c r="K402" s="9">
        <v>9</v>
      </c>
      <c r="L402" s="9">
        <v>14</v>
      </c>
      <c r="M402" s="9">
        <v>11</v>
      </c>
    </row>
    <row r="403" spans="1:13" x14ac:dyDescent="0.4">
      <c r="A403" s="16">
        <f t="shared" si="36"/>
        <v>43518</v>
      </c>
      <c r="B403" s="1">
        <f t="shared" si="37"/>
        <v>60.75</v>
      </c>
      <c r="C403" s="1">
        <f t="shared" si="38"/>
        <v>4.5</v>
      </c>
      <c r="D403" s="1">
        <f t="shared" si="39"/>
        <v>9</v>
      </c>
      <c r="E403" s="1">
        <f t="shared" si="40"/>
        <v>14</v>
      </c>
      <c r="F403" s="1">
        <f t="shared" si="41"/>
        <v>11</v>
      </c>
      <c r="H403" s="11">
        <v>43518</v>
      </c>
      <c r="I403" s="25">
        <v>0</v>
      </c>
      <c r="J403" s="9">
        <v>4.5</v>
      </c>
      <c r="K403" s="9">
        <v>0</v>
      </c>
      <c r="L403" s="9">
        <v>0</v>
      </c>
      <c r="M403" s="9">
        <v>0</v>
      </c>
    </row>
    <row r="404" spans="1:13" x14ac:dyDescent="0.4">
      <c r="A404" s="16">
        <f t="shared" si="36"/>
        <v>43524</v>
      </c>
      <c r="B404" s="1">
        <f t="shared" si="37"/>
        <v>63</v>
      </c>
      <c r="C404" s="1">
        <f t="shared" si="38"/>
        <v>4.5</v>
      </c>
      <c r="D404" s="1">
        <f t="shared" si="39"/>
        <v>14</v>
      </c>
      <c r="E404" s="1">
        <f t="shared" si="40"/>
        <v>20</v>
      </c>
      <c r="F404" s="1">
        <f t="shared" si="41"/>
        <v>16</v>
      </c>
      <c r="H404" s="11">
        <v>43524</v>
      </c>
      <c r="I404" s="25">
        <v>63</v>
      </c>
      <c r="J404" s="9">
        <v>0</v>
      </c>
      <c r="K404" s="9">
        <v>14</v>
      </c>
      <c r="L404" s="9">
        <v>20</v>
      </c>
      <c r="M404" s="9">
        <v>16</v>
      </c>
    </row>
    <row r="405" spans="1:13" x14ac:dyDescent="0.4">
      <c r="A405" s="16">
        <f t="shared" si="36"/>
        <v>43525</v>
      </c>
      <c r="B405" s="1">
        <f t="shared" si="37"/>
        <v>63</v>
      </c>
      <c r="C405" s="1">
        <f t="shared" si="38"/>
        <v>4.5</v>
      </c>
      <c r="D405" s="1">
        <f t="shared" si="39"/>
        <v>14</v>
      </c>
      <c r="E405" s="1">
        <f t="shared" si="40"/>
        <v>20</v>
      </c>
      <c r="F405" s="1">
        <f t="shared" si="41"/>
        <v>16</v>
      </c>
      <c r="H405" s="11">
        <v>43525</v>
      </c>
      <c r="I405" s="25">
        <v>0</v>
      </c>
      <c r="J405" s="9">
        <v>4.5</v>
      </c>
      <c r="K405" s="9">
        <v>0</v>
      </c>
      <c r="L405" s="9">
        <v>0</v>
      </c>
      <c r="M405" s="9">
        <v>0</v>
      </c>
    </row>
    <row r="406" spans="1:13" x14ac:dyDescent="0.4">
      <c r="A406" s="16">
        <f t="shared" si="36"/>
        <v>43531</v>
      </c>
      <c r="B406" s="1">
        <f t="shared" si="37"/>
        <v>60</v>
      </c>
      <c r="C406" s="1">
        <f t="shared" si="38"/>
        <v>4.5</v>
      </c>
      <c r="D406" s="1">
        <f t="shared" si="39"/>
        <v>10</v>
      </c>
      <c r="E406" s="1">
        <f t="shared" si="40"/>
        <v>17</v>
      </c>
      <c r="F406" s="1">
        <f t="shared" si="41"/>
        <v>14</v>
      </c>
      <c r="H406" s="11">
        <v>43531</v>
      </c>
      <c r="I406" s="25">
        <v>60</v>
      </c>
      <c r="J406" s="9">
        <v>0</v>
      </c>
      <c r="K406" s="9">
        <v>10</v>
      </c>
      <c r="L406" s="9">
        <v>17</v>
      </c>
      <c r="M406" s="9">
        <v>14</v>
      </c>
    </row>
    <row r="407" spans="1:13" x14ac:dyDescent="0.4">
      <c r="A407" s="16">
        <f t="shared" si="36"/>
        <v>43532</v>
      </c>
      <c r="B407" s="1">
        <f t="shared" si="37"/>
        <v>60</v>
      </c>
      <c r="C407" s="1">
        <f t="shared" si="38"/>
        <v>4.5</v>
      </c>
      <c r="D407" s="1">
        <f t="shared" si="39"/>
        <v>10</v>
      </c>
      <c r="E407" s="1">
        <f t="shared" si="40"/>
        <v>17</v>
      </c>
      <c r="F407" s="1">
        <f t="shared" si="41"/>
        <v>14</v>
      </c>
      <c r="H407" s="11">
        <v>43532</v>
      </c>
      <c r="I407" s="25">
        <v>0</v>
      </c>
      <c r="J407" s="9">
        <v>4.5</v>
      </c>
      <c r="K407" s="9">
        <v>0</v>
      </c>
      <c r="L407" s="9">
        <v>0</v>
      </c>
      <c r="M407" s="9">
        <v>0</v>
      </c>
    </row>
    <row r="408" spans="1:13" x14ac:dyDescent="0.4">
      <c r="A408" s="16">
        <f t="shared" si="36"/>
        <v>43538</v>
      </c>
      <c r="B408" s="1">
        <f t="shared" si="37"/>
        <v>64.8</v>
      </c>
      <c r="C408" s="1">
        <f t="shared" si="38"/>
        <v>4.5</v>
      </c>
      <c r="D408" s="1">
        <f t="shared" si="39"/>
        <v>14</v>
      </c>
      <c r="E408" s="1">
        <f t="shared" si="40"/>
        <v>22</v>
      </c>
      <c r="F408" s="1">
        <f t="shared" si="41"/>
        <v>17</v>
      </c>
      <c r="H408" s="11">
        <v>43538</v>
      </c>
      <c r="I408" s="25">
        <v>64.8</v>
      </c>
      <c r="J408" s="9">
        <v>0</v>
      </c>
      <c r="K408" s="9">
        <v>14</v>
      </c>
      <c r="L408" s="9">
        <v>22</v>
      </c>
      <c r="M408" s="9">
        <v>17</v>
      </c>
    </row>
    <row r="409" spans="1:13" x14ac:dyDescent="0.4">
      <c r="A409" s="16">
        <f t="shared" si="36"/>
        <v>43539</v>
      </c>
      <c r="B409" s="1">
        <f t="shared" si="37"/>
        <v>64.8</v>
      </c>
      <c r="C409" s="1">
        <f t="shared" si="38"/>
        <v>3.5</v>
      </c>
      <c r="D409" s="1">
        <f t="shared" si="39"/>
        <v>14</v>
      </c>
      <c r="E409" s="1">
        <f t="shared" si="40"/>
        <v>22</v>
      </c>
      <c r="F409" s="1">
        <f t="shared" si="41"/>
        <v>17</v>
      </c>
      <c r="H409" s="11">
        <v>43539</v>
      </c>
      <c r="I409" s="25">
        <v>0</v>
      </c>
      <c r="J409" s="9">
        <v>3.5</v>
      </c>
      <c r="K409" s="9">
        <v>0</v>
      </c>
      <c r="L409" s="9">
        <v>0</v>
      </c>
      <c r="M409" s="9">
        <v>0</v>
      </c>
    </row>
    <row r="410" spans="1:13" x14ac:dyDescent="0.4">
      <c r="A410" s="16">
        <f t="shared" si="36"/>
        <v>43545</v>
      </c>
      <c r="B410" s="1">
        <f t="shared" si="37"/>
        <v>62.55</v>
      </c>
      <c r="C410" s="1">
        <f t="shared" si="38"/>
        <v>3.5</v>
      </c>
      <c r="D410" s="1">
        <f t="shared" si="39"/>
        <v>14</v>
      </c>
      <c r="E410" s="1">
        <f t="shared" si="40"/>
        <v>22</v>
      </c>
      <c r="F410" s="1">
        <f t="shared" si="41"/>
        <v>17</v>
      </c>
      <c r="H410" s="11">
        <v>43545</v>
      </c>
      <c r="I410" s="25">
        <v>62.55</v>
      </c>
      <c r="J410" s="9">
        <v>0</v>
      </c>
      <c r="K410" s="9">
        <v>0</v>
      </c>
      <c r="L410" s="9">
        <v>0</v>
      </c>
      <c r="M410" s="9">
        <v>0</v>
      </c>
    </row>
    <row r="411" spans="1:13" x14ac:dyDescent="0.4">
      <c r="A411" s="16">
        <f t="shared" si="36"/>
        <v>43546</v>
      </c>
      <c r="B411" s="1">
        <f t="shared" si="37"/>
        <v>62.55</v>
      </c>
      <c r="C411" s="1">
        <f t="shared" si="38"/>
        <v>3.5</v>
      </c>
      <c r="D411" s="1">
        <f t="shared" si="39"/>
        <v>9</v>
      </c>
      <c r="E411" s="1">
        <f t="shared" si="40"/>
        <v>17</v>
      </c>
      <c r="F411" s="1">
        <f t="shared" si="41"/>
        <v>13</v>
      </c>
      <c r="H411" s="11">
        <v>43546</v>
      </c>
      <c r="I411" s="25">
        <v>0</v>
      </c>
      <c r="J411" s="9">
        <v>3.5</v>
      </c>
      <c r="K411" s="9">
        <v>9</v>
      </c>
      <c r="L411" s="9">
        <v>17</v>
      </c>
      <c r="M411" s="9">
        <v>13</v>
      </c>
    </row>
    <row r="412" spans="1:13" x14ac:dyDescent="0.4">
      <c r="A412" s="16">
        <f t="shared" si="36"/>
        <v>43552</v>
      </c>
      <c r="B412" s="1">
        <f t="shared" si="37"/>
        <v>62.1</v>
      </c>
      <c r="C412" s="1">
        <f t="shared" si="38"/>
        <v>3.5</v>
      </c>
      <c r="D412" s="1">
        <f t="shared" si="39"/>
        <v>10</v>
      </c>
      <c r="E412" s="1">
        <f t="shared" si="40"/>
        <v>15</v>
      </c>
      <c r="F412" s="1">
        <f t="shared" si="41"/>
        <v>19</v>
      </c>
      <c r="H412" s="11">
        <v>43552</v>
      </c>
      <c r="I412" s="25">
        <v>62.1</v>
      </c>
      <c r="J412" s="9">
        <v>0</v>
      </c>
      <c r="K412" s="9">
        <v>10</v>
      </c>
      <c r="L412" s="9">
        <v>15</v>
      </c>
      <c r="M412" s="9">
        <v>19</v>
      </c>
    </row>
    <row r="413" spans="1:13" x14ac:dyDescent="0.4">
      <c r="A413" s="16">
        <f t="shared" si="36"/>
        <v>43553</v>
      </c>
      <c r="B413" s="1">
        <f t="shared" si="37"/>
        <v>62.1</v>
      </c>
      <c r="C413" s="1">
        <f t="shared" si="38"/>
        <v>2.5</v>
      </c>
      <c r="D413" s="1">
        <f t="shared" si="39"/>
        <v>10</v>
      </c>
      <c r="E413" s="1">
        <f t="shared" si="40"/>
        <v>15</v>
      </c>
      <c r="F413" s="1">
        <f t="shared" si="41"/>
        <v>19</v>
      </c>
      <c r="H413" s="11">
        <v>43553</v>
      </c>
      <c r="I413" s="25">
        <v>0</v>
      </c>
      <c r="J413" s="9">
        <v>2.5</v>
      </c>
      <c r="K413" s="9">
        <v>0</v>
      </c>
      <c r="L413" s="9">
        <v>0</v>
      </c>
      <c r="M413" s="9">
        <v>0</v>
      </c>
    </row>
    <row r="414" spans="1:13" x14ac:dyDescent="0.4">
      <c r="A414" s="16">
        <f t="shared" si="36"/>
        <v>43559</v>
      </c>
      <c r="B414" s="1">
        <f t="shared" si="37"/>
        <v>65.400000000000006</v>
      </c>
      <c r="C414" s="1">
        <f t="shared" si="38"/>
        <v>2.5</v>
      </c>
      <c r="D414" s="1">
        <f t="shared" si="39"/>
        <v>10.5</v>
      </c>
      <c r="E414" s="1">
        <f t="shared" si="40"/>
        <v>17</v>
      </c>
      <c r="F414" s="1">
        <f t="shared" si="41"/>
        <v>22</v>
      </c>
      <c r="H414" s="11">
        <v>43559</v>
      </c>
      <c r="I414" s="25">
        <v>65.400000000000006</v>
      </c>
      <c r="J414" s="9">
        <v>2.5</v>
      </c>
      <c r="K414" s="9">
        <v>10.5</v>
      </c>
      <c r="L414" s="9">
        <v>17</v>
      </c>
      <c r="M414" s="9">
        <v>22</v>
      </c>
    </row>
    <row r="415" spans="1:13" x14ac:dyDescent="0.4">
      <c r="A415" s="16">
        <f t="shared" si="36"/>
        <v>43566</v>
      </c>
      <c r="B415" s="1">
        <f t="shared" si="37"/>
        <v>60.65</v>
      </c>
      <c r="C415" s="1">
        <f t="shared" si="38"/>
        <v>2.5</v>
      </c>
      <c r="D415" s="1">
        <f t="shared" si="39"/>
        <v>10</v>
      </c>
      <c r="E415" s="1">
        <f t="shared" si="40"/>
        <v>16</v>
      </c>
      <c r="F415" s="1">
        <f t="shared" si="41"/>
        <v>22</v>
      </c>
      <c r="H415" s="11">
        <v>43566</v>
      </c>
      <c r="I415" s="25">
        <v>60.65</v>
      </c>
      <c r="J415" s="9">
        <v>0</v>
      </c>
      <c r="K415" s="9">
        <v>10</v>
      </c>
      <c r="L415" s="9">
        <v>16</v>
      </c>
      <c r="M415" s="9">
        <v>22</v>
      </c>
    </row>
    <row r="416" spans="1:13" x14ac:dyDescent="0.4">
      <c r="A416" s="16">
        <f t="shared" si="36"/>
        <v>43567</v>
      </c>
      <c r="B416" s="1">
        <f t="shared" si="37"/>
        <v>60.65</v>
      </c>
      <c r="C416" s="1">
        <f t="shared" si="38"/>
        <v>3.5</v>
      </c>
      <c r="D416" s="1">
        <f t="shared" si="39"/>
        <v>10</v>
      </c>
      <c r="E416" s="1">
        <f t="shared" si="40"/>
        <v>16</v>
      </c>
      <c r="F416" s="1">
        <f t="shared" si="41"/>
        <v>22</v>
      </c>
      <c r="H416" s="11">
        <v>43567</v>
      </c>
      <c r="I416" s="25">
        <v>0</v>
      </c>
      <c r="J416" s="9">
        <v>3.5</v>
      </c>
      <c r="K416" s="9">
        <v>0</v>
      </c>
      <c r="L416" s="9">
        <v>0</v>
      </c>
      <c r="M416" s="9">
        <v>0</v>
      </c>
    </row>
    <row r="417" spans="1:13" x14ac:dyDescent="0.4">
      <c r="A417" s="16">
        <f t="shared" si="36"/>
        <v>43573</v>
      </c>
      <c r="B417" s="1">
        <f t="shared" si="37"/>
        <v>59</v>
      </c>
      <c r="C417" s="1">
        <f t="shared" si="38"/>
        <v>3.5</v>
      </c>
      <c r="D417" s="1">
        <f t="shared" si="39"/>
        <v>11</v>
      </c>
      <c r="E417" s="1">
        <f t="shared" si="40"/>
        <v>18</v>
      </c>
      <c r="F417" s="1">
        <f t="shared" si="41"/>
        <v>26</v>
      </c>
      <c r="H417" s="11">
        <v>43573</v>
      </c>
      <c r="I417" s="25">
        <v>59</v>
      </c>
      <c r="J417" s="9">
        <v>0</v>
      </c>
      <c r="K417" s="9">
        <v>11</v>
      </c>
      <c r="L417" s="9">
        <v>18</v>
      </c>
      <c r="M417" s="9">
        <v>26</v>
      </c>
    </row>
    <row r="418" spans="1:13" x14ac:dyDescent="0.4">
      <c r="A418" s="16">
        <f t="shared" si="36"/>
        <v>43574</v>
      </c>
      <c r="B418" s="1">
        <f t="shared" si="37"/>
        <v>59</v>
      </c>
      <c r="C418" s="1">
        <f t="shared" si="38"/>
        <v>3.5</v>
      </c>
      <c r="D418" s="1">
        <f t="shared" si="39"/>
        <v>11</v>
      </c>
      <c r="E418" s="1">
        <f t="shared" si="40"/>
        <v>18</v>
      </c>
      <c r="F418" s="1">
        <f t="shared" si="41"/>
        <v>26</v>
      </c>
      <c r="H418" s="11">
        <v>43574</v>
      </c>
      <c r="I418" s="25">
        <v>0</v>
      </c>
      <c r="J418" s="9">
        <v>3.5</v>
      </c>
      <c r="K418" s="9">
        <v>0</v>
      </c>
      <c r="L418" s="9">
        <v>0</v>
      </c>
      <c r="M418" s="9">
        <v>0</v>
      </c>
    </row>
    <row r="419" spans="1:13" x14ac:dyDescent="0.4">
      <c r="A419" s="16">
        <f t="shared" si="36"/>
        <v>43580</v>
      </c>
      <c r="B419" s="1">
        <f t="shared" si="37"/>
        <v>61.05</v>
      </c>
      <c r="C419" s="1">
        <f t="shared" si="38"/>
        <v>3.5</v>
      </c>
      <c r="D419" s="1">
        <f t="shared" si="39"/>
        <v>14</v>
      </c>
      <c r="E419" s="1">
        <f t="shared" si="40"/>
        <v>20</v>
      </c>
      <c r="F419" s="1">
        <f t="shared" si="41"/>
        <v>28</v>
      </c>
      <c r="H419" s="11">
        <v>43580</v>
      </c>
      <c r="I419" s="25">
        <v>61.05</v>
      </c>
      <c r="J419" s="9">
        <v>0</v>
      </c>
      <c r="K419" s="9">
        <v>14</v>
      </c>
      <c r="L419" s="9">
        <v>20</v>
      </c>
      <c r="M419" s="9">
        <v>28</v>
      </c>
    </row>
    <row r="420" spans="1:13" x14ac:dyDescent="0.4">
      <c r="A420" s="16">
        <f t="shared" si="36"/>
        <v>43581</v>
      </c>
      <c r="B420" s="1">
        <f t="shared" si="37"/>
        <v>61.05</v>
      </c>
      <c r="C420" s="1">
        <f t="shared" si="38"/>
        <v>4</v>
      </c>
      <c r="D420" s="1">
        <f t="shared" si="39"/>
        <v>14</v>
      </c>
      <c r="E420" s="1">
        <f t="shared" si="40"/>
        <v>20</v>
      </c>
      <c r="F420" s="1">
        <f t="shared" si="41"/>
        <v>28</v>
      </c>
      <c r="H420" s="11">
        <v>43581</v>
      </c>
      <c r="I420" s="25">
        <v>0</v>
      </c>
      <c r="J420" s="9">
        <v>4</v>
      </c>
      <c r="K420" s="9">
        <v>0</v>
      </c>
      <c r="L420" s="9">
        <v>0</v>
      </c>
      <c r="M420" s="9">
        <v>0</v>
      </c>
    </row>
    <row r="421" spans="1:13" x14ac:dyDescent="0.4">
      <c r="A421" s="16">
        <f t="shared" si="36"/>
        <v>43585</v>
      </c>
      <c r="B421" s="1">
        <f t="shared" si="37"/>
        <v>61.05</v>
      </c>
      <c r="C421" s="1">
        <f t="shared" si="38"/>
        <v>4</v>
      </c>
      <c r="D421" s="1">
        <f t="shared" si="39"/>
        <v>12</v>
      </c>
      <c r="E421" s="1">
        <f t="shared" si="40"/>
        <v>17</v>
      </c>
      <c r="F421" s="1">
        <f t="shared" si="41"/>
        <v>26</v>
      </c>
      <c r="H421" s="11">
        <v>43585</v>
      </c>
      <c r="I421" s="25">
        <v>0</v>
      </c>
      <c r="J421" s="9">
        <v>4</v>
      </c>
      <c r="K421" s="9">
        <v>12</v>
      </c>
      <c r="L421" s="9">
        <v>17</v>
      </c>
      <c r="M421" s="9">
        <v>26</v>
      </c>
    </row>
    <row r="422" spans="1:13" x14ac:dyDescent="0.4">
      <c r="A422" s="16">
        <f t="shared" si="36"/>
        <v>43594</v>
      </c>
      <c r="B422" s="1">
        <f t="shared" si="37"/>
        <v>53.45</v>
      </c>
      <c r="C422" s="1">
        <f t="shared" si="38"/>
        <v>4</v>
      </c>
      <c r="D422" s="1">
        <f t="shared" si="39"/>
        <v>16</v>
      </c>
      <c r="E422" s="1">
        <f t="shared" si="40"/>
        <v>22</v>
      </c>
      <c r="F422" s="1">
        <f t="shared" si="41"/>
        <v>29</v>
      </c>
      <c r="H422" s="11">
        <v>43594</v>
      </c>
      <c r="I422" s="25">
        <v>53.45</v>
      </c>
      <c r="J422" s="9">
        <v>0</v>
      </c>
      <c r="K422" s="9">
        <v>16</v>
      </c>
      <c r="L422" s="9">
        <v>22</v>
      </c>
      <c r="M422" s="9">
        <v>29</v>
      </c>
    </row>
    <row r="423" spans="1:13" x14ac:dyDescent="0.4">
      <c r="A423" s="16">
        <f t="shared" si="36"/>
        <v>43595</v>
      </c>
      <c r="B423" s="1">
        <f t="shared" si="37"/>
        <v>53.45</v>
      </c>
      <c r="C423" s="1">
        <f t="shared" si="38"/>
        <v>4.5</v>
      </c>
      <c r="D423" s="1">
        <f t="shared" si="39"/>
        <v>16</v>
      </c>
      <c r="E423" s="1">
        <f t="shared" si="40"/>
        <v>22</v>
      </c>
      <c r="F423" s="1">
        <f t="shared" si="41"/>
        <v>29</v>
      </c>
      <c r="H423" s="11">
        <v>43595</v>
      </c>
      <c r="I423" s="25">
        <v>0</v>
      </c>
      <c r="J423" s="9">
        <v>4.5</v>
      </c>
      <c r="K423" s="9">
        <v>0</v>
      </c>
      <c r="L423" s="9">
        <v>0</v>
      </c>
      <c r="M423" s="9">
        <v>0</v>
      </c>
    </row>
    <row r="424" spans="1:13" x14ac:dyDescent="0.4">
      <c r="A424" s="16">
        <f t="shared" si="36"/>
        <v>43601</v>
      </c>
      <c r="B424" s="1">
        <f t="shared" si="37"/>
        <v>55.2</v>
      </c>
      <c r="C424" s="1">
        <f t="shared" si="38"/>
        <v>4.5</v>
      </c>
      <c r="D424" s="1">
        <f t="shared" si="39"/>
        <v>18</v>
      </c>
      <c r="E424" s="1">
        <f t="shared" si="40"/>
        <v>24</v>
      </c>
      <c r="F424" s="1">
        <f t="shared" si="41"/>
        <v>30</v>
      </c>
      <c r="H424" s="11">
        <v>43601</v>
      </c>
      <c r="I424" s="25">
        <v>55.2</v>
      </c>
      <c r="J424" s="9">
        <v>0</v>
      </c>
      <c r="K424" s="9">
        <v>18</v>
      </c>
      <c r="L424" s="9">
        <v>24</v>
      </c>
      <c r="M424" s="9">
        <v>30</v>
      </c>
    </row>
    <row r="425" spans="1:13" x14ac:dyDescent="0.4">
      <c r="A425" s="16">
        <f t="shared" si="36"/>
        <v>43602</v>
      </c>
      <c r="B425" s="1">
        <f t="shared" si="37"/>
        <v>55.2</v>
      </c>
      <c r="C425" s="1">
        <f t="shared" si="38"/>
        <v>4.5</v>
      </c>
      <c r="D425" s="1">
        <f t="shared" si="39"/>
        <v>18</v>
      </c>
      <c r="E425" s="1">
        <f t="shared" si="40"/>
        <v>24</v>
      </c>
      <c r="F425" s="1">
        <f t="shared" si="41"/>
        <v>30</v>
      </c>
      <c r="H425" s="11">
        <v>43602</v>
      </c>
      <c r="I425" s="25">
        <v>0</v>
      </c>
      <c r="J425" s="9">
        <v>4.5</v>
      </c>
      <c r="K425" s="9">
        <v>0</v>
      </c>
      <c r="L425" s="9">
        <v>0</v>
      </c>
      <c r="M425" s="9">
        <v>0</v>
      </c>
    </row>
    <row r="426" spans="1:13" x14ac:dyDescent="0.4">
      <c r="A426" s="16">
        <f t="shared" si="36"/>
        <v>43608</v>
      </c>
      <c r="B426" s="1">
        <f t="shared" si="37"/>
        <v>56.6</v>
      </c>
      <c r="C426" s="1">
        <f t="shared" si="38"/>
        <v>4.5</v>
      </c>
      <c r="D426" s="1">
        <f t="shared" si="39"/>
        <v>18.5</v>
      </c>
      <c r="E426" s="1">
        <f t="shared" si="40"/>
        <v>25</v>
      </c>
      <c r="F426" s="1">
        <f t="shared" si="41"/>
        <v>32</v>
      </c>
      <c r="H426" s="11">
        <v>43608</v>
      </c>
      <c r="I426" s="25">
        <v>56.6</v>
      </c>
      <c r="J426" s="9">
        <v>0</v>
      </c>
      <c r="K426" s="9">
        <v>18.5</v>
      </c>
      <c r="L426" s="9">
        <v>25</v>
      </c>
      <c r="M426" s="9">
        <v>32</v>
      </c>
    </row>
    <row r="427" spans="1:13" x14ac:dyDescent="0.4">
      <c r="A427" s="16">
        <f t="shared" si="36"/>
        <v>43609</v>
      </c>
      <c r="B427" s="1">
        <f t="shared" si="37"/>
        <v>56.6</v>
      </c>
      <c r="C427" s="1">
        <f t="shared" si="38"/>
        <v>4</v>
      </c>
      <c r="D427" s="1">
        <f t="shared" si="39"/>
        <v>18.5</v>
      </c>
      <c r="E427" s="1">
        <f t="shared" si="40"/>
        <v>25</v>
      </c>
      <c r="F427" s="1">
        <f t="shared" si="41"/>
        <v>32</v>
      </c>
      <c r="H427" s="11">
        <v>43609</v>
      </c>
      <c r="I427" s="25">
        <v>0</v>
      </c>
      <c r="J427" s="9">
        <v>4</v>
      </c>
      <c r="K427" s="9">
        <v>0</v>
      </c>
      <c r="L427" s="9">
        <v>0</v>
      </c>
      <c r="M427" s="9">
        <v>0</v>
      </c>
    </row>
    <row r="428" spans="1:13" x14ac:dyDescent="0.4">
      <c r="A428" s="16">
        <f t="shared" si="36"/>
        <v>43615</v>
      </c>
      <c r="B428" s="1">
        <f t="shared" si="37"/>
        <v>57</v>
      </c>
      <c r="C428" s="1">
        <f t="shared" si="38"/>
        <v>4</v>
      </c>
      <c r="D428" s="1">
        <f t="shared" si="39"/>
        <v>11</v>
      </c>
      <c r="E428" s="1">
        <f t="shared" si="40"/>
        <v>16</v>
      </c>
      <c r="F428" s="1">
        <f t="shared" si="41"/>
        <v>22</v>
      </c>
      <c r="H428" s="11">
        <v>43615</v>
      </c>
      <c r="I428" s="25">
        <v>57</v>
      </c>
      <c r="J428" s="9">
        <v>0</v>
      </c>
      <c r="K428" s="9">
        <v>11</v>
      </c>
      <c r="L428" s="9">
        <v>16</v>
      </c>
      <c r="M428" s="9">
        <v>22</v>
      </c>
    </row>
    <row r="429" spans="1:13" x14ac:dyDescent="0.4">
      <c r="A429" s="16">
        <f t="shared" si="36"/>
        <v>43616</v>
      </c>
      <c r="B429" s="1">
        <f t="shared" si="37"/>
        <v>57</v>
      </c>
      <c r="C429" s="1">
        <f t="shared" si="38"/>
        <v>3.5</v>
      </c>
      <c r="D429" s="1">
        <f t="shared" si="39"/>
        <v>11</v>
      </c>
      <c r="E429" s="1">
        <f t="shared" si="40"/>
        <v>16</v>
      </c>
      <c r="F429" s="1">
        <f t="shared" si="41"/>
        <v>22</v>
      </c>
      <c r="H429" s="11">
        <v>43616</v>
      </c>
      <c r="I429" s="25">
        <v>0</v>
      </c>
      <c r="J429" s="9">
        <v>3.5</v>
      </c>
      <c r="K429" s="9">
        <v>0</v>
      </c>
      <c r="L429" s="9">
        <v>0</v>
      </c>
      <c r="M429" s="9">
        <v>0</v>
      </c>
    </row>
    <row r="430" spans="1:13" x14ac:dyDescent="0.4">
      <c r="A430" s="16">
        <f t="shared" si="36"/>
        <v>43622</v>
      </c>
      <c r="B430" s="1">
        <f t="shared" si="37"/>
        <v>55.6</v>
      </c>
      <c r="C430" s="1">
        <f t="shared" si="38"/>
        <v>3</v>
      </c>
      <c r="D430" s="1">
        <f t="shared" si="39"/>
        <v>12</v>
      </c>
      <c r="E430" s="1">
        <f t="shared" si="40"/>
        <v>18</v>
      </c>
      <c r="F430" s="1">
        <f t="shared" si="41"/>
        <v>22</v>
      </c>
      <c r="H430" s="11">
        <v>43622</v>
      </c>
      <c r="I430" s="25">
        <v>55.6</v>
      </c>
      <c r="J430" s="9">
        <v>3</v>
      </c>
      <c r="K430" s="9">
        <v>12</v>
      </c>
      <c r="L430" s="9">
        <v>18</v>
      </c>
      <c r="M430" s="9">
        <v>22</v>
      </c>
    </row>
    <row r="431" spans="1:13" x14ac:dyDescent="0.4">
      <c r="A431" s="16">
        <f t="shared" si="36"/>
        <v>43629</v>
      </c>
      <c r="B431" s="1">
        <f t="shared" si="37"/>
        <v>48.1</v>
      </c>
      <c r="C431" s="1">
        <f t="shared" si="38"/>
        <v>3</v>
      </c>
      <c r="D431" s="1">
        <f t="shared" si="39"/>
        <v>8.5</v>
      </c>
      <c r="E431" s="1">
        <f t="shared" si="40"/>
        <v>14</v>
      </c>
      <c r="F431" s="1">
        <f t="shared" si="41"/>
        <v>20</v>
      </c>
      <c r="H431" s="11">
        <v>43629</v>
      </c>
      <c r="I431" s="25">
        <v>48.1</v>
      </c>
      <c r="J431" s="9">
        <v>0</v>
      </c>
      <c r="K431" s="9">
        <v>8.5</v>
      </c>
      <c r="L431" s="9">
        <v>14</v>
      </c>
      <c r="M431" s="9">
        <v>20</v>
      </c>
    </row>
    <row r="432" spans="1:13" x14ac:dyDescent="0.4">
      <c r="A432" s="16">
        <f t="shared" si="36"/>
        <v>43630</v>
      </c>
      <c r="B432" s="1">
        <f t="shared" si="37"/>
        <v>48.1</v>
      </c>
      <c r="C432" s="1">
        <f t="shared" si="38"/>
        <v>3</v>
      </c>
      <c r="D432" s="1">
        <f t="shared" si="39"/>
        <v>8.5</v>
      </c>
      <c r="E432" s="1">
        <f t="shared" si="40"/>
        <v>14</v>
      </c>
      <c r="F432" s="1">
        <f t="shared" si="41"/>
        <v>20</v>
      </c>
      <c r="H432" s="11">
        <v>43630</v>
      </c>
      <c r="I432" s="25">
        <v>0</v>
      </c>
      <c r="J432" s="9">
        <v>3</v>
      </c>
      <c r="K432" s="9">
        <v>0</v>
      </c>
      <c r="L432" s="9">
        <v>0</v>
      </c>
      <c r="M432" s="9">
        <v>0</v>
      </c>
    </row>
    <row r="433" spans="1:13" x14ac:dyDescent="0.4">
      <c r="A433" s="16">
        <f t="shared" si="36"/>
        <v>43636</v>
      </c>
      <c r="B433" s="1">
        <f t="shared" si="37"/>
        <v>51.2</v>
      </c>
      <c r="C433" s="1">
        <f t="shared" si="38"/>
        <v>3</v>
      </c>
      <c r="D433" s="1">
        <f t="shared" si="39"/>
        <v>6</v>
      </c>
      <c r="E433" s="1">
        <f t="shared" si="40"/>
        <v>10.5</v>
      </c>
      <c r="F433" s="1">
        <f t="shared" si="41"/>
        <v>17</v>
      </c>
      <c r="H433" s="11">
        <v>43636</v>
      </c>
      <c r="I433" s="25">
        <v>51.2</v>
      </c>
      <c r="J433" s="9">
        <v>0</v>
      </c>
      <c r="K433" s="9">
        <v>6</v>
      </c>
      <c r="L433" s="9">
        <v>10.5</v>
      </c>
      <c r="M433" s="9">
        <v>17</v>
      </c>
    </row>
    <row r="434" spans="1:13" x14ac:dyDescent="0.4">
      <c r="A434" s="16">
        <f t="shared" si="36"/>
        <v>43637</v>
      </c>
      <c r="B434" s="1">
        <f t="shared" si="37"/>
        <v>51.2</v>
      </c>
      <c r="C434" s="1">
        <f t="shared" si="38"/>
        <v>3</v>
      </c>
      <c r="D434" s="1">
        <f t="shared" si="39"/>
        <v>6</v>
      </c>
      <c r="E434" s="1">
        <f t="shared" si="40"/>
        <v>10.5</v>
      </c>
      <c r="F434" s="1">
        <f t="shared" si="41"/>
        <v>17</v>
      </c>
      <c r="H434" s="11">
        <v>43637</v>
      </c>
      <c r="I434" s="25">
        <v>0</v>
      </c>
      <c r="J434" s="9">
        <v>3</v>
      </c>
      <c r="K434" s="9">
        <v>0</v>
      </c>
      <c r="L434" s="9">
        <v>0</v>
      </c>
      <c r="M434" s="9">
        <v>0</v>
      </c>
    </row>
    <row r="435" spans="1:13" x14ac:dyDescent="0.4">
      <c r="A435" s="16">
        <f t="shared" si="36"/>
        <v>43643</v>
      </c>
      <c r="B435" s="1">
        <f t="shared" si="37"/>
        <v>54.8</v>
      </c>
      <c r="C435" s="1">
        <f t="shared" si="38"/>
        <v>3</v>
      </c>
      <c r="D435" s="1">
        <f t="shared" si="39"/>
        <v>1</v>
      </c>
      <c r="E435" s="1">
        <f t="shared" si="40"/>
        <v>4</v>
      </c>
      <c r="F435" s="1">
        <f t="shared" si="41"/>
        <v>12</v>
      </c>
      <c r="H435" s="11">
        <v>43643</v>
      </c>
      <c r="I435" s="25">
        <v>54.8</v>
      </c>
      <c r="J435" s="9">
        <v>0</v>
      </c>
      <c r="K435" s="9">
        <v>1</v>
      </c>
      <c r="L435" s="9">
        <v>4</v>
      </c>
      <c r="M435" s="9">
        <v>12</v>
      </c>
    </row>
    <row r="436" spans="1:13" x14ac:dyDescent="0.4">
      <c r="A436" s="16">
        <f t="shared" si="36"/>
        <v>43644</v>
      </c>
      <c r="B436" s="1">
        <f t="shared" si="37"/>
        <v>54.8</v>
      </c>
      <c r="C436" s="1">
        <f t="shared" si="38"/>
        <v>2.5</v>
      </c>
      <c r="D436" s="1">
        <f t="shared" si="39"/>
        <v>1</v>
      </c>
      <c r="E436" s="1">
        <f t="shared" si="40"/>
        <v>4</v>
      </c>
      <c r="F436" s="1">
        <f t="shared" si="41"/>
        <v>12</v>
      </c>
      <c r="H436" s="11">
        <v>43644</v>
      </c>
      <c r="I436" s="25">
        <v>0</v>
      </c>
      <c r="J436" s="9">
        <v>2.5</v>
      </c>
      <c r="K436" s="9">
        <v>0</v>
      </c>
      <c r="L436" s="9">
        <v>0</v>
      </c>
      <c r="M436" s="9">
        <v>0</v>
      </c>
    </row>
    <row r="437" spans="1:13" x14ac:dyDescent="0.4">
      <c r="A437" s="16">
        <f t="shared" si="36"/>
        <v>43650</v>
      </c>
      <c r="B437" s="1">
        <f t="shared" si="37"/>
        <v>54.8</v>
      </c>
      <c r="C437" s="1">
        <f t="shared" si="38"/>
        <v>2.5</v>
      </c>
      <c r="D437" s="1">
        <f t="shared" si="39"/>
        <v>1.5</v>
      </c>
      <c r="E437" s="1">
        <f t="shared" si="40"/>
        <v>4.5</v>
      </c>
      <c r="F437" s="1">
        <f t="shared" si="41"/>
        <v>12</v>
      </c>
      <c r="H437" s="11">
        <v>43650</v>
      </c>
      <c r="I437" s="25">
        <v>54.8</v>
      </c>
      <c r="J437" s="9">
        <v>0</v>
      </c>
      <c r="K437" s="9">
        <v>1.5</v>
      </c>
      <c r="L437" s="9">
        <v>4.5</v>
      </c>
      <c r="M437" s="9">
        <v>12</v>
      </c>
    </row>
    <row r="438" spans="1:13" x14ac:dyDescent="0.4">
      <c r="A438" s="16">
        <f t="shared" si="36"/>
        <v>43651</v>
      </c>
      <c r="B438" s="1">
        <f t="shared" si="37"/>
        <v>54.8</v>
      </c>
      <c r="C438" s="1">
        <f t="shared" si="38"/>
        <v>2.5</v>
      </c>
      <c r="D438" s="1">
        <f t="shared" si="39"/>
        <v>1.5</v>
      </c>
      <c r="E438" s="1">
        <f t="shared" si="40"/>
        <v>4.5</v>
      </c>
      <c r="F438" s="1">
        <f t="shared" si="41"/>
        <v>12</v>
      </c>
      <c r="H438" s="11">
        <v>43651</v>
      </c>
      <c r="I438" s="25">
        <v>0</v>
      </c>
      <c r="J438" s="9">
        <v>2.5</v>
      </c>
      <c r="K438" s="9">
        <v>0</v>
      </c>
      <c r="L438" s="9">
        <v>0</v>
      </c>
      <c r="M438" s="9">
        <v>0</v>
      </c>
    </row>
    <row r="439" spans="1:13" x14ac:dyDescent="0.4">
      <c r="A439" s="16">
        <f t="shared" si="36"/>
        <v>43657</v>
      </c>
      <c r="B439" s="1">
        <f t="shared" si="37"/>
        <v>56.2</v>
      </c>
      <c r="C439" s="1">
        <f t="shared" si="38"/>
        <v>2.5</v>
      </c>
      <c r="D439" s="1">
        <f t="shared" si="39"/>
        <v>4.5</v>
      </c>
      <c r="E439" s="1">
        <f t="shared" si="40"/>
        <v>8</v>
      </c>
      <c r="F439" s="1">
        <f t="shared" si="41"/>
        <v>16</v>
      </c>
      <c r="H439" s="11">
        <v>43657</v>
      </c>
      <c r="I439" s="25">
        <v>56.2</v>
      </c>
      <c r="J439" s="9">
        <v>0</v>
      </c>
      <c r="K439" s="9">
        <v>4.5</v>
      </c>
      <c r="L439" s="9">
        <v>8</v>
      </c>
      <c r="M439" s="9">
        <v>16</v>
      </c>
    </row>
    <row r="440" spans="1:13" x14ac:dyDescent="0.4">
      <c r="A440" s="16">
        <f t="shared" si="36"/>
        <v>43658</v>
      </c>
      <c r="B440" s="1">
        <f t="shared" si="37"/>
        <v>56.2</v>
      </c>
      <c r="C440" s="1">
        <f t="shared" si="38"/>
        <v>1.5</v>
      </c>
      <c r="D440" s="1">
        <f t="shared" si="39"/>
        <v>4.5</v>
      </c>
      <c r="E440" s="1">
        <f t="shared" si="40"/>
        <v>8</v>
      </c>
      <c r="F440" s="1">
        <f t="shared" si="41"/>
        <v>16</v>
      </c>
      <c r="H440" s="11">
        <v>43658</v>
      </c>
      <c r="I440" s="25">
        <v>0</v>
      </c>
      <c r="J440" s="9">
        <v>1.5</v>
      </c>
      <c r="K440" s="9">
        <v>0</v>
      </c>
      <c r="L440" s="9">
        <v>0</v>
      </c>
      <c r="M440" s="9">
        <v>0</v>
      </c>
    </row>
    <row r="441" spans="1:13" x14ac:dyDescent="0.4">
      <c r="A441" s="16">
        <f t="shared" si="36"/>
        <v>43664</v>
      </c>
      <c r="B441" s="1">
        <f t="shared" si="37"/>
        <v>57.1</v>
      </c>
      <c r="C441" s="1">
        <f t="shared" si="38"/>
        <v>1.5</v>
      </c>
      <c r="D441" s="1">
        <f t="shared" si="39"/>
        <v>7</v>
      </c>
      <c r="E441" s="1">
        <f t="shared" si="40"/>
        <v>12</v>
      </c>
      <c r="F441" s="1">
        <f t="shared" si="41"/>
        <v>20</v>
      </c>
      <c r="H441" s="11">
        <v>43664</v>
      </c>
      <c r="I441" s="25">
        <v>57.1</v>
      </c>
      <c r="J441" s="9">
        <v>0</v>
      </c>
      <c r="K441" s="9">
        <v>7</v>
      </c>
      <c r="L441" s="9">
        <v>12</v>
      </c>
      <c r="M441" s="9">
        <v>20</v>
      </c>
    </row>
    <row r="442" spans="1:13" x14ac:dyDescent="0.4">
      <c r="A442" s="16">
        <f t="shared" si="36"/>
        <v>43665</v>
      </c>
      <c r="B442" s="1">
        <f t="shared" si="37"/>
        <v>57.1</v>
      </c>
      <c r="C442" s="1">
        <f t="shared" si="38"/>
        <v>1</v>
      </c>
      <c r="D442" s="1">
        <f t="shared" si="39"/>
        <v>7</v>
      </c>
      <c r="E442" s="1">
        <f t="shared" si="40"/>
        <v>12</v>
      </c>
      <c r="F442" s="1">
        <f t="shared" si="41"/>
        <v>20</v>
      </c>
      <c r="H442" s="11">
        <v>43665</v>
      </c>
      <c r="I442" s="25">
        <v>0</v>
      </c>
      <c r="J442" s="9">
        <v>1</v>
      </c>
      <c r="K442" s="9">
        <v>0</v>
      </c>
      <c r="L442" s="9">
        <v>0</v>
      </c>
      <c r="M442" s="9">
        <v>0</v>
      </c>
    </row>
    <row r="443" spans="1:13" x14ac:dyDescent="0.4">
      <c r="A443" s="16">
        <f t="shared" si="36"/>
        <v>43671</v>
      </c>
      <c r="B443" s="1">
        <f t="shared" si="37"/>
        <v>59.3</v>
      </c>
      <c r="C443" s="1">
        <f t="shared" si="38"/>
        <v>1</v>
      </c>
      <c r="D443" s="1">
        <f t="shared" si="39"/>
        <v>8</v>
      </c>
      <c r="E443" s="1">
        <f t="shared" si="40"/>
        <v>13.5</v>
      </c>
      <c r="F443" s="1">
        <f t="shared" si="41"/>
        <v>22</v>
      </c>
      <c r="H443" s="11">
        <v>43671</v>
      </c>
      <c r="I443" s="25">
        <v>59.3</v>
      </c>
      <c r="J443" s="9">
        <v>0</v>
      </c>
      <c r="K443" s="9">
        <v>8</v>
      </c>
      <c r="L443" s="9">
        <v>13.5</v>
      </c>
      <c r="M443" s="9">
        <v>22</v>
      </c>
    </row>
    <row r="444" spans="1:13" x14ac:dyDescent="0.4">
      <c r="A444" s="16">
        <f t="shared" si="36"/>
        <v>43672</v>
      </c>
      <c r="B444" s="1">
        <f t="shared" si="37"/>
        <v>59.3</v>
      </c>
      <c r="C444" s="1">
        <f t="shared" si="38"/>
        <v>1.5</v>
      </c>
      <c r="D444" s="1">
        <f t="shared" si="39"/>
        <v>8</v>
      </c>
      <c r="E444" s="1">
        <f t="shared" si="40"/>
        <v>13.5</v>
      </c>
      <c r="F444" s="1">
        <f t="shared" si="41"/>
        <v>22</v>
      </c>
      <c r="H444" s="11">
        <v>43672</v>
      </c>
      <c r="I444" s="25">
        <v>0</v>
      </c>
      <c r="J444" s="9">
        <v>1.5</v>
      </c>
      <c r="K444" s="9">
        <v>0</v>
      </c>
      <c r="L444" s="9">
        <v>0</v>
      </c>
      <c r="M444" s="9">
        <v>0</v>
      </c>
    </row>
    <row r="445" spans="1:13" x14ac:dyDescent="0.4">
      <c r="A445" s="16">
        <f t="shared" si="36"/>
        <v>43678</v>
      </c>
      <c r="B445" s="1">
        <f t="shared" si="37"/>
        <v>63.7</v>
      </c>
      <c r="C445" s="1">
        <f t="shared" si="38"/>
        <v>1.5</v>
      </c>
      <c r="D445" s="1">
        <f t="shared" si="39"/>
        <v>6.5</v>
      </c>
      <c r="E445" s="1">
        <f t="shared" si="40"/>
        <v>12</v>
      </c>
      <c r="F445" s="1">
        <f t="shared" si="41"/>
        <v>21</v>
      </c>
      <c r="H445" s="11">
        <v>43678</v>
      </c>
      <c r="I445" s="25">
        <v>63.7</v>
      </c>
      <c r="J445" s="9">
        <v>0</v>
      </c>
      <c r="K445" s="9">
        <v>6.5</v>
      </c>
      <c r="L445" s="9">
        <v>12</v>
      </c>
      <c r="M445" s="9">
        <v>21</v>
      </c>
    </row>
    <row r="446" spans="1:13" x14ac:dyDescent="0.4">
      <c r="A446" s="16">
        <f t="shared" si="36"/>
        <v>43679</v>
      </c>
      <c r="B446" s="1">
        <f t="shared" si="37"/>
        <v>63.7</v>
      </c>
      <c r="C446" s="1">
        <f t="shared" si="38"/>
        <v>2</v>
      </c>
      <c r="D446" s="1">
        <f t="shared" si="39"/>
        <v>6.5</v>
      </c>
      <c r="E446" s="1">
        <f t="shared" si="40"/>
        <v>12</v>
      </c>
      <c r="F446" s="1">
        <f t="shared" si="41"/>
        <v>21</v>
      </c>
      <c r="H446" s="11">
        <v>43679</v>
      </c>
      <c r="I446" s="25">
        <v>0</v>
      </c>
      <c r="J446" s="9">
        <v>2</v>
      </c>
      <c r="K446" s="9">
        <v>0</v>
      </c>
      <c r="L446" s="9">
        <v>0</v>
      </c>
      <c r="M446" s="9">
        <v>0</v>
      </c>
    </row>
    <row r="447" spans="1:13" x14ac:dyDescent="0.4">
      <c r="A447" s="16">
        <f t="shared" si="36"/>
        <v>43685</v>
      </c>
      <c r="B447" s="1">
        <f t="shared" si="37"/>
        <v>66.25</v>
      </c>
      <c r="C447" s="1">
        <f t="shared" si="38"/>
        <v>2</v>
      </c>
      <c r="D447" s="1">
        <f t="shared" si="39"/>
        <v>5</v>
      </c>
      <c r="E447" s="1">
        <f t="shared" si="40"/>
        <v>11</v>
      </c>
      <c r="F447" s="1">
        <f t="shared" si="41"/>
        <v>20.5</v>
      </c>
      <c r="H447" s="11">
        <v>43685</v>
      </c>
      <c r="I447" s="25">
        <v>66.25</v>
      </c>
      <c r="J447" s="9">
        <v>0</v>
      </c>
      <c r="K447" s="9">
        <v>5</v>
      </c>
      <c r="L447" s="9">
        <v>11</v>
      </c>
      <c r="M447" s="9">
        <v>20.5</v>
      </c>
    </row>
    <row r="448" spans="1:13" x14ac:dyDescent="0.4">
      <c r="A448" s="16">
        <f t="shared" si="36"/>
        <v>43686</v>
      </c>
      <c r="B448" s="1">
        <f t="shared" si="37"/>
        <v>66.25</v>
      </c>
      <c r="C448" s="1">
        <f t="shared" si="38"/>
        <v>2</v>
      </c>
      <c r="D448" s="1">
        <f t="shared" si="39"/>
        <v>5</v>
      </c>
      <c r="E448" s="1">
        <f t="shared" si="40"/>
        <v>11</v>
      </c>
      <c r="F448" s="1">
        <f t="shared" si="41"/>
        <v>20.5</v>
      </c>
      <c r="H448" s="11">
        <v>43686</v>
      </c>
      <c r="I448" s="25">
        <v>0</v>
      </c>
      <c r="J448" s="9">
        <v>2</v>
      </c>
      <c r="K448" s="9">
        <v>0</v>
      </c>
      <c r="L448" s="9">
        <v>0</v>
      </c>
      <c r="M448" s="9">
        <v>0</v>
      </c>
    </row>
    <row r="449" spans="1:13" x14ac:dyDescent="0.4">
      <c r="A449" s="16">
        <f t="shared" si="36"/>
        <v>43692</v>
      </c>
      <c r="B449" s="1">
        <f t="shared" si="37"/>
        <v>70.95</v>
      </c>
      <c r="C449" s="1">
        <f t="shared" si="38"/>
        <v>2</v>
      </c>
      <c r="D449" s="1">
        <f t="shared" si="39"/>
        <v>3</v>
      </c>
      <c r="E449" s="1">
        <f t="shared" si="40"/>
        <v>8</v>
      </c>
      <c r="F449" s="1">
        <f t="shared" si="41"/>
        <v>18</v>
      </c>
      <c r="H449" s="11">
        <v>43692</v>
      </c>
      <c r="I449" s="25">
        <v>70.95</v>
      </c>
      <c r="J449" s="9">
        <v>0</v>
      </c>
      <c r="K449" s="9">
        <v>3</v>
      </c>
      <c r="L449" s="9">
        <v>8</v>
      </c>
      <c r="M449" s="9">
        <v>18</v>
      </c>
    </row>
    <row r="450" spans="1:13" x14ac:dyDescent="0.4">
      <c r="A450" s="16">
        <f t="shared" si="36"/>
        <v>43693</v>
      </c>
      <c r="B450" s="1">
        <f t="shared" si="37"/>
        <v>70.95</v>
      </c>
      <c r="C450" s="1">
        <f t="shared" si="38"/>
        <v>2</v>
      </c>
      <c r="D450" s="1">
        <f t="shared" si="39"/>
        <v>3</v>
      </c>
      <c r="E450" s="1">
        <f t="shared" si="40"/>
        <v>8</v>
      </c>
      <c r="F450" s="1">
        <f t="shared" si="41"/>
        <v>18</v>
      </c>
      <c r="H450" s="11">
        <v>43693</v>
      </c>
      <c r="I450" s="25">
        <v>0</v>
      </c>
      <c r="J450" s="9">
        <v>2</v>
      </c>
      <c r="K450" s="9">
        <v>0</v>
      </c>
      <c r="L450" s="9">
        <v>0</v>
      </c>
      <c r="M450" s="9">
        <v>0</v>
      </c>
    </row>
    <row r="451" spans="1:13" x14ac:dyDescent="0.4">
      <c r="A451" s="16">
        <f t="shared" si="36"/>
        <v>43699</v>
      </c>
      <c r="B451" s="1">
        <f t="shared" si="37"/>
        <v>73.2</v>
      </c>
      <c r="C451" s="1">
        <f t="shared" si="38"/>
        <v>2</v>
      </c>
      <c r="D451" s="1">
        <f t="shared" si="39"/>
        <v>5.5</v>
      </c>
      <c r="E451" s="1">
        <f t="shared" si="40"/>
        <v>8</v>
      </c>
      <c r="F451" s="1">
        <f t="shared" si="41"/>
        <v>19.5</v>
      </c>
      <c r="H451" s="11">
        <v>43699</v>
      </c>
      <c r="I451" s="25">
        <v>73.2</v>
      </c>
      <c r="J451" s="9">
        <v>0</v>
      </c>
      <c r="K451" s="9">
        <v>5.5</v>
      </c>
      <c r="L451" s="9">
        <v>8</v>
      </c>
      <c r="M451" s="9">
        <v>19.5</v>
      </c>
    </row>
    <row r="452" spans="1:13" x14ac:dyDescent="0.4">
      <c r="A452" s="16">
        <f t="shared" si="36"/>
        <v>43700</v>
      </c>
      <c r="B452" s="1">
        <f t="shared" si="37"/>
        <v>73.2</v>
      </c>
      <c r="C452" s="1">
        <f t="shared" si="38"/>
        <v>2</v>
      </c>
      <c r="D452" s="1">
        <f t="shared" si="39"/>
        <v>5.5</v>
      </c>
      <c r="E452" s="1">
        <f t="shared" si="40"/>
        <v>8</v>
      </c>
      <c r="F452" s="1">
        <f t="shared" si="41"/>
        <v>19.5</v>
      </c>
      <c r="H452" s="11">
        <v>43700</v>
      </c>
      <c r="I452" s="25">
        <v>0</v>
      </c>
      <c r="J452" s="9">
        <v>2</v>
      </c>
      <c r="K452" s="9">
        <v>0</v>
      </c>
      <c r="L452" s="9">
        <v>0</v>
      </c>
      <c r="M452" s="9">
        <v>0</v>
      </c>
    </row>
    <row r="453" spans="1:13" x14ac:dyDescent="0.4">
      <c r="A453" s="16">
        <f t="shared" si="36"/>
        <v>43706</v>
      </c>
      <c r="B453" s="1">
        <f t="shared" si="37"/>
        <v>84</v>
      </c>
      <c r="C453" s="1">
        <f t="shared" si="38"/>
        <v>2</v>
      </c>
      <c r="D453" s="1">
        <f t="shared" si="39"/>
        <v>6</v>
      </c>
      <c r="E453" s="1">
        <f t="shared" si="40"/>
        <v>9</v>
      </c>
      <c r="F453" s="1">
        <f t="shared" si="41"/>
        <v>20</v>
      </c>
      <c r="H453" s="11">
        <v>43706</v>
      </c>
      <c r="I453" s="25">
        <v>84</v>
      </c>
      <c r="J453" s="9">
        <v>0</v>
      </c>
      <c r="K453" s="9">
        <v>6</v>
      </c>
      <c r="L453" s="9">
        <v>9</v>
      </c>
      <c r="M453" s="9">
        <v>20</v>
      </c>
    </row>
    <row r="454" spans="1:13" x14ac:dyDescent="0.4">
      <c r="A454" s="16">
        <f t="shared" ref="A454:A517" si="42">H454</f>
        <v>43707</v>
      </c>
      <c r="B454" s="1">
        <f t="shared" ref="B454:B517" si="43">IF(I454&lt;&gt;0,I454,B453)</f>
        <v>84</v>
      </c>
      <c r="C454" s="1">
        <f t="shared" si="38"/>
        <v>2</v>
      </c>
      <c r="D454" s="1">
        <f t="shared" si="39"/>
        <v>6</v>
      </c>
      <c r="E454" s="1">
        <f t="shared" si="40"/>
        <v>9</v>
      </c>
      <c r="F454" s="1">
        <f t="shared" si="41"/>
        <v>20</v>
      </c>
      <c r="H454" s="11">
        <v>43707</v>
      </c>
      <c r="I454" s="25">
        <v>0</v>
      </c>
      <c r="J454" s="9">
        <v>2</v>
      </c>
      <c r="K454" s="9">
        <v>0</v>
      </c>
      <c r="L454" s="9">
        <v>0</v>
      </c>
      <c r="M454" s="9">
        <v>0</v>
      </c>
    </row>
    <row r="455" spans="1:13" x14ac:dyDescent="0.4">
      <c r="A455" s="16">
        <f t="shared" si="42"/>
        <v>43713</v>
      </c>
      <c r="B455" s="1">
        <f t="shared" si="43"/>
        <v>92.1</v>
      </c>
      <c r="C455" s="1">
        <f t="shared" ref="C455:C518" si="44">IF(J455&lt;&gt;0,J455,C454)</f>
        <v>2</v>
      </c>
      <c r="D455" s="1">
        <f t="shared" ref="D455:D518" si="45">IF(K455&lt;&gt;0,K455,D454)</f>
        <v>4</v>
      </c>
      <c r="E455" s="1">
        <f t="shared" ref="E455:E518" si="46">IF(L455&lt;&gt;0,L455,E454)</f>
        <v>7.5</v>
      </c>
      <c r="F455" s="1">
        <f t="shared" ref="F455:F518" si="47">IF(M455&lt;&gt;0,M455,F454)</f>
        <v>18</v>
      </c>
      <c r="H455" s="11">
        <v>43713</v>
      </c>
      <c r="I455" s="25">
        <v>92.1</v>
      </c>
      <c r="J455" s="9">
        <v>0</v>
      </c>
      <c r="K455" s="9">
        <v>4</v>
      </c>
      <c r="L455" s="9">
        <v>7.5</v>
      </c>
      <c r="M455" s="9">
        <v>18</v>
      </c>
    </row>
    <row r="456" spans="1:13" x14ac:dyDescent="0.4">
      <c r="A456" s="16">
        <f t="shared" si="42"/>
        <v>43714</v>
      </c>
      <c r="B456" s="1">
        <f t="shared" si="43"/>
        <v>92.1</v>
      </c>
      <c r="C456" s="1">
        <f t="shared" si="44"/>
        <v>2</v>
      </c>
      <c r="D456" s="1">
        <f t="shared" si="45"/>
        <v>4</v>
      </c>
      <c r="E456" s="1">
        <f t="shared" si="46"/>
        <v>7.5</v>
      </c>
      <c r="F456" s="1">
        <f t="shared" si="47"/>
        <v>18</v>
      </c>
      <c r="H456" s="11">
        <v>43714</v>
      </c>
      <c r="I456" s="25">
        <v>0</v>
      </c>
      <c r="J456" s="9">
        <v>2</v>
      </c>
      <c r="K456" s="9">
        <v>0</v>
      </c>
      <c r="L456" s="9">
        <v>0</v>
      </c>
      <c r="M456" s="9">
        <v>0</v>
      </c>
    </row>
    <row r="457" spans="1:13" x14ac:dyDescent="0.4">
      <c r="A457" s="16">
        <f t="shared" si="42"/>
        <v>43720</v>
      </c>
      <c r="B457" s="1">
        <f t="shared" si="43"/>
        <v>91</v>
      </c>
      <c r="C457" s="1">
        <f t="shared" si="44"/>
        <v>2.5</v>
      </c>
      <c r="D457" s="1">
        <f t="shared" si="45"/>
        <v>5</v>
      </c>
      <c r="E457" s="1">
        <f t="shared" si="46"/>
        <v>8</v>
      </c>
      <c r="F457" s="1">
        <f t="shared" si="47"/>
        <v>19</v>
      </c>
      <c r="H457" s="11">
        <v>43720</v>
      </c>
      <c r="I457" s="25">
        <v>91</v>
      </c>
      <c r="J457" s="9">
        <v>2.5</v>
      </c>
      <c r="K457" s="9">
        <v>5</v>
      </c>
      <c r="L457" s="9">
        <v>8</v>
      </c>
      <c r="M457" s="9">
        <v>19</v>
      </c>
    </row>
    <row r="458" spans="1:13" x14ac:dyDescent="0.4">
      <c r="A458" s="16">
        <f t="shared" si="42"/>
        <v>43727</v>
      </c>
      <c r="B458" s="1">
        <f t="shared" si="43"/>
        <v>96.1</v>
      </c>
      <c r="C458" s="1">
        <f t="shared" si="44"/>
        <v>2.5</v>
      </c>
      <c r="D458" s="1">
        <f t="shared" si="45"/>
        <v>5.5</v>
      </c>
      <c r="E458" s="1">
        <f t="shared" si="46"/>
        <v>8.5</v>
      </c>
      <c r="F458" s="1">
        <f t="shared" si="47"/>
        <v>18</v>
      </c>
      <c r="H458" s="11">
        <v>43727</v>
      </c>
      <c r="I458" s="25">
        <v>96.1</v>
      </c>
      <c r="J458" s="9">
        <v>0</v>
      </c>
      <c r="K458" s="9">
        <v>5.5</v>
      </c>
      <c r="L458" s="9">
        <v>8.5</v>
      </c>
      <c r="M458" s="9">
        <v>18</v>
      </c>
    </row>
    <row r="459" spans="1:13" x14ac:dyDescent="0.4">
      <c r="A459" s="16">
        <f t="shared" si="42"/>
        <v>43728</v>
      </c>
      <c r="B459" s="1">
        <f t="shared" si="43"/>
        <v>96.1</v>
      </c>
      <c r="C459" s="1">
        <f t="shared" si="44"/>
        <v>2.5</v>
      </c>
      <c r="D459" s="1">
        <f t="shared" si="45"/>
        <v>5.5</v>
      </c>
      <c r="E459" s="1">
        <f t="shared" si="46"/>
        <v>8.5</v>
      </c>
      <c r="F459" s="1">
        <f t="shared" si="47"/>
        <v>18</v>
      </c>
      <c r="H459" s="11">
        <v>43728</v>
      </c>
      <c r="I459" s="25">
        <v>0</v>
      </c>
      <c r="J459" s="9">
        <v>2.5</v>
      </c>
      <c r="K459" s="9">
        <v>0</v>
      </c>
      <c r="L459" s="9">
        <v>0</v>
      </c>
      <c r="M459" s="9">
        <v>0</v>
      </c>
    </row>
    <row r="460" spans="1:13" x14ac:dyDescent="0.4">
      <c r="A460" s="16">
        <f t="shared" si="42"/>
        <v>43734</v>
      </c>
      <c r="B460" s="1">
        <f t="shared" si="43"/>
        <v>91.9</v>
      </c>
      <c r="C460" s="1">
        <f t="shared" si="44"/>
        <v>2.5</v>
      </c>
      <c r="D460" s="1">
        <f t="shared" si="45"/>
        <v>6.5</v>
      </c>
      <c r="E460" s="1">
        <f t="shared" si="46"/>
        <v>10</v>
      </c>
      <c r="F460" s="1">
        <f t="shared" si="47"/>
        <v>19.5</v>
      </c>
      <c r="H460" s="11">
        <v>43734</v>
      </c>
      <c r="I460" s="25">
        <v>91.9</v>
      </c>
      <c r="J460" s="9">
        <v>0</v>
      </c>
      <c r="K460" s="9">
        <v>6.5</v>
      </c>
      <c r="L460" s="9">
        <v>10</v>
      </c>
      <c r="M460" s="9">
        <v>19.5</v>
      </c>
    </row>
    <row r="461" spans="1:13" x14ac:dyDescent="0.4">
      <c r="A461" s="16">
        <f t="shared" si="42"/>
        <v>43735</v>
      </c>
      <c r="B461" s="1">
        <f t="shared" si="43"/>
        <v>91.9</v>
      </c>
      <c r="C461" s="1">
        <f t="shared" si="44"/>
        <v>2</v>
      </c>
      <c r="D461" s="1">
        <f t="shared" si="45"/>
        <v>6.5</v>
      </c>
      <c r="E461" s="1">
        <f t="shared" si="46"/>
        <v>10</v>
      </c>
      <c r="F461" s="1">
        <f t="shared" si="47"/>
        <v>19.5</v>
      </c>
      <c r="H461" s="11">
        <v>43735</v>
      </c>
      <c r="I461" s="25">
        <v>0</v>
      </c>
      <c r="J461" s="9">
        <v>2</v>
      </c>
      <c r="K461" s="9">
        <v>0</v>
      </c>
      <c r="L461" s="9">
        <v>0</v>
      </c>
      <c r="M461" s="9">
        <v>0</v>
      </c>
    </row>
    <row r="462" spans="1:13" x14ac:dyDescent="0.4">
      <c r="A462" s="16">
        <f t="shared" si="42"/>
        <v>43746</v>
      </c>
      <c r="B462" s="1">
        <f t="shared" si="43"/>
        <v>91.9</v>
      </c>
      <c r="C462" s="1">
        <f t="shared" si="44"/>
        <v>2</v>
      </c>
      <c r="D462" s="1">
        <f t="shared" si="45"/>
        <v>9</v>
      </c>
      <c r="E462" s="1">
        <f t="shared" si="46"/>
        <v>12.5</v>
      </c>
      <c r="F462" s="1">
        <f t="shared" si="47"/>
        <v>23</v>
      </c>
      <c r="H462" s="11">
        <v>43746</v>
      </c>
      <c r="I462" s="25">
        <v>0</v>
      </c>
      <c r="J462" s="9">
        <v>0</v>
      </c>
      <c r="K462" s="9">
        <v>9</v>
      </c>
      <c r="L462" s="9">
        <v>12.5</v>
      </c>
      <c r="M462" s="9">
        <v>23</v>
      </c>
    </row>
    <row r="463" spans="1:13" x14ac:dyDescent="0.4">
      <c r="A463" s="16">
        <f t="shared" si="42"/>
        <v>43748</v>
      </c>
      <c r="B463" s="1">
        <f t="shared" si="43"/>
        <v>93.2</v>
      </c>
      <c r="C463" s="1">
        <f t="shared" si="44"/>
        <v>2</v>
      </c>
      <c r="D463" s="1">
        <f t="shared" si="45"/>
        <v>9.5</v>
      </c>
      <c r="E463" s="1">
        <f t="shared" si="46"/>
        <v>13</v>
      </c>
      <c r="F463" s="1">
        <f t="shared" si="47"/>
        <v>23.5</v>
      </c>
      <c r="H463" s="11">
        <v>43748</v>
      </c>
      <c r="I463" s="25">
        <v>93.2</v>
      </c>
      <c r="J463" s="9">
        <v>0</v>
      </c>
      <c r="K463" s="9">
        <v>9.5</v>
      </c>
      <c r="L463" s="9">
        <v>13</v>
      </c>
      <c r="M463" s="9">
        <v>23.5</v>
      </c>
    </row>
    <row r="464" spans="1:13" x14ac:dyDescent="0.4">
      <c r="A464" s="16">
        <f t="shared" si="42"/>
        <v>43749</v>
      </c>
      <c r="B464" s="1">
        <f t="shared" si="43"/>
        <v>93.2</v>
      </c>
      <c r="C464" s="1">
        <f t="shared" si="44"/>
        <v>2.5</v>
      </c>
      <c r="D464" s="1">
        <f t="shared" si="45"/>
        <v>9.5</v>
      </c>
      <c r="E464" s="1">
        <f t="shared" si="46"/>
        <v>13</v>
      </c>
      <c r="F464" s="1">
        <f t="shared" si="47"/>
        <v>23.5</v>
      </c>
      <c r="H464" s="11">
        <v>43749</v>
      </c>
      <c r="I464" s="25">
        <v>0</v>
      </c>
      <c r="J464" s="9">
        <v>2.5</v>
      </c>
      <c r="K464" s="9">
        <v>0</v>
      </c>
      <c r="L464" s="9">
        <v>0</v>
      </c>
      <c r="M464" s="9">
        <v>0</v>
      </c>
    </row>
    <row r="465" spans="1:13" x14ac:dyDescent="0.4">
      <c r="A465" s="16">
        <f t="shared" si="42"/>
        <v>43755</v>
      </c>
      <c r="B465" s="1">
        <f t="shared" si="43"/>
        <v>91.2</v>
      </c>
      <c r="C465" s="1">
        <f t="shared" si="44"/>
        <v>2.5</v>
      </c>
      <c r="D465" s="1">
        <f t="shared" si="45"/>
        <v>11.5</v>
      </c>
      <c r="E465" s="1">
        <f t="shared" si="46"/>
        <v>14.5</v>
      </c>
      <c r="F465" s="1">
        <f t="shared" si="47"/>
        <v>26</v>
      </c>
      <c r="H465" s="11">
        <v>43755</v>
      </c>
      <c r="I465" s="25">
        <v>91.2</v>
      </c>
      <c r="J465" s="9">
        <v>0</v>
      </c>
      <c r="K465" s="9">
        <v>11.5</v>
      </c>
      <c r="L465" s="9">
        <v>14.5</v>
      </c>
      <c r="M465" s="9">
        <v>26</v>
      </c>
    </row>
    <row r="466" spans="1:13" x14ac:dyDescent="0.4">
      <c r="A466" s="16">
        <f t="shared" si="42"/>
        <v>43756</v>
      </c>
      <c r="B466" s="1">
        <f t="shared" si="43"/>
        <v>91.2</v>
      </c>
      <c r="C466" s="1">
        <f t="shared" si="44"/>
        <v>2.5</v>
      </c>
      <c r="D466" s="1">
        <f t="shared" si="45"/>
        <v>11.5</v>
      </c>
      <c r="E466" s="1">
        <f t="shared" si="46"/>
        <v>14.5</v>
      </c>
      <c r="F466" s="1">
        <f t="shared" si="47"/>
        <v>26</v>
      </c>
      <c r="H466" s="11">
        <v>43756</v>
      </c>
      <c r="I466" s="25">
        <v>0</v>
      </c>
      <c r="J466" s="9">
        <v>2.5</v>
      </c>
      <c r="K466" s="9">
        <v>0</v>
      </c>
      <c r="L466" s="9">
        <v>0</v>
      </c>
      <c r="M466" s="9">
        <v>0</v>
      </c>
    </row>
    <row r="467" spans="1:13" x14ac:dyDescent="0.4">
      <c r="A467" s="16">
        <f t="shared" si="42"/>
        <v>43762</v>
      </c>
      <c r="B467" s="1">
        <f t="shared" si="43"/>
        <v>84.78</v>
      </c>
      <c r="C467" s="1">
        <f t="shared" si="44"/>
        <v>2.5</v>
      </c>
      <c r="D467" s="1">
        <f t="shared" si="45"/>
        <v>10.5</v>
      </c>
      <c r="E467" s="1">
        <f t="shared" si="46"/>
        <v>13</v>
      </c>
      <c r="F467" s="1">
        <f t="shared" si="47"/>
        <v>23.5</v>
      </c>
      <c r="H467" s="11">
        <v>43762</v>
      </c>
      <c r="I467" s="25">
        <v>84.78</v>
      </c>
      <c r="J467" s="9">
        <v>0</v>
      </c>
      <c r="K467" s="9">
        <v>10.5</v>
      </c>
      <c r="L467" s="9">
        <v>13</v>
      </c>
      <c r="M467" s="9">
        <v>23.5</v>
      </c>
    </row>
    <row r="468" spans="1:13" x14ac:dyDescent="0.4">
      <c r="A468" s="16">
        <f t="shared" si="42"/>
        <v>43763</v>
      </c>
      <c r="B468" s="1">
        <f t="shared" si="43"/>
        <v>84.78</v>
      </c>
      <c r="C468" s="1">
        <f t="shared" si="44"/>
        <v>2</v>
      </c>
      <c r="D468" s="1">
        <f t="shared" si="45"/>
        <v>10.5</v>
      </c>
      <c r="E468" s="1">
        <f t="shared" si="46"/>
        <v>13</v>
      </c>
      <c r="F468" s="1">
        <f t="shared" si="47"/>
        <v>23.5</v>
      </c>
      <c r="H468" s="11">
        <v>43763</v>
      </c>
      <c r="I468" s="25">
        <v>0</v>
      </c>
      <c r="J468" s="9">
        <v>2</v>
      </c>
      <c r="K468" s="9">
        <v>0</v>
      </c>
      <c r="L468" s="9">
        <v>0</v>
      </c>
      <c r="M468" s="9">
        <v>0</v>
      </c>
    </row>
    <row r="469" spans="1:13" x14ac:dyDescent="0.4">
      <c r="A469" s="16">
        <f t="shared" si="42"/>
        <v>43769</v>
      </c>
      <c r="B469" s="1">
        <f t="shared" si="43"/>
        <v>79.42</v>
      </c>
      <c r="C469" s="1">
        <f t="shared" si="44"/>
        <v>2</v>
      </c>
      <c r="D469" s="1">
        <f t="shared" si="45"/>
        <v>9</v>
      </c>
      <c r="E469" s="1">
        <f t="shared" si="46"/>
        <v>15.5</v>
      </c>
      <c r="F469" s="1">
        <f t="shared" si="47"/>
        <v>24.5</v>
      </c>
      <c r="H469" s="11">
        <v>43769</v>
      </c>
      <c r="I469" s="25">
        <v>79.42</v>
      </c>
      <c r="J469" s="9">
        <v>0</v>
      </c>
      <c r="K469" s="9">
        <v>9</v>
      </c>
      <c r="L469" s="9">
        <v>15.5</v>
      </c>
      <c r="M469" s="9">
        <v>24.5</v>
      </c>
    </row>
    <row r="470" spans="1:13" x14ac:dyDescent="0.4">
      <c r="A470" s="16">
        <f t="shared" si="42"/>
        <v>43770</v>
      </c>
      <c r="B470" s="1">
        <f t="shared" si="43"/>
        <v>79.42</v>
      </c>
      <c r="C470" s="1">
        <f t="shared" si="44"/>
        <v>2</v>
      </c>
      <c r="D470" s="1">
        <f t="shared" si="45"/>
        <v>9</v>
      </c>
      <c r="E470" s="1">
        <f t="shared" si="46"/>
        <v>15.5</v>
      </c>
      <c r="F470" s="1">
        <f t="shared" si="47"/>
        <v>24.5</v>
      </c>
      <c r="H470" s="11">
        <v>43770</v>
      </c>
      <c r="I470" s="25">
        <v>0</v>
      </c>
      <c r="J470" s="9">
        <v>2</v>
      </c>
      <c r="K470" s="9">
        <v>0</v>
      </c>
      <c r="L470" s="9">
        <v>0</v>
      </c>
      <c r="M470" s="9">
        <v>0</v>
      </c>
    </row>
    <row r="471" spans="1:13" x14ac:dyDescent="0.4">
      <c r="A471" s="16">
        <f t="shared" si="42"/>
        <v>43776</v>
      </c>
      <c r="B471" s="1">
        <f t="shared" si="43"/>
        <v>80.099999999999994</v>
      </c>
      <c r="C471" s="1">
        <f t="shared" si="44"/>
        <v>2</v>
      </c>
      <c r="D471" s="1">
        <f t="shared" si="45"/>
        <v>9.5</v>
      </c>
      <c r="E471" s="1">
        <f t="shared" si="46"/>
        <v>16</v>
      </c>
      <c r="F471" s="1">
        <f t="shared" si="47"/>
        <v>22.5</v>
      </c>
      <c r="H471" s="11">
        <v>43776</v>
      </c>
      <c r="I471" s="25">
        <v>80.099999999999994</v>
      </c>
      <c r="J471" s="9">
        <v>0</v>
      </c>
      <c r="K471" s="9">
        <v>9.5</v>
      </c>
      <c r="L471" s="9">
        <v>16</v>
      </c>
      <c r="M471" s="9">
        <v>22.5</v>
      </c>
    </row>
    <row r="472" spans="1:13" x14ac:dyDescent="0.4">
      <c r="A472" s="16">
        <f t="shared" si="42"/>
        <v>43777</v>
      </c>
      <c r="B472" s="1">
        <f t="shared" si="43"/>
        <v>80.099999999999994</v>
      </c>
      <c r="C472" s="1">
        <f t="shared" si="44"/>
        <v>2.5</v>
      </c>
      <c r="D472" s="1">
        <f t="shared" si="45"/>
        <v>9.5</v>
      </c>
      <c r="E472" s="1">
        <f t="shared" si="46"/>
        <v>16</v>
      </c>
      <c r="F472" s="1">
        <f t="shared" si="47"/>
        <v>22.5</v>
      </c>
      <c r="H472" s="11">
        <v>43777</v>
      </c>
      <c r="I472" s="25">
        <v>0</v>
      </c>
      <c r="J472" s="9">
        <v>2.5</v>
      </c>
      <c r="K472" s="9">
        <v>0</v>
      </c>
      <c r="L472" s="9">
        <v>0</v>
      </c>
      <c r="M472" s="9">
        <v>0</v>
      </c>
    </row>
    <row r="473" spans="1:13" x14ac:dyDescent="0.4">
      <c r="A473" s="16">
        <f t="shared" si="42"/>
        <v>43783</v>
      </c>
      <c r="B473" s="1">
        <f t="shared" si="43"/>
        <v>78.900000000000006</v>
      </c>
      <c r="C473" s="1">
        <f t="shared" si="44"/>
        <v>2.5</v>
      </c>
      <c r="D473" s="1">
        <f t="shared" si="45"/>
        <v>8.5</v>
      </c>
      <c r="E473" s="1">
        <f t="shared" si="46"/>
        <v>15</v>
      </c>
      <c r="F473" s="1">
        <f t="shared" si="47"/>
        <v>21</v>
      </c>
      <c r="H473" s="11">
        <v>43783</v>
      </c>
      <c r="I473" s="25">
        <v>78.900000000000006</v>
      </c>
      <c r="J473" s="9">
        <v>0</v>
      </c>
      <c r="K473" s="9">
        <v>8.5</v>
      </c>
      <c r="L473" s="9">
        <v>15</v>
      </c>
      <c r="M473" s="9">
        <v>21</v>
      </c>
    </row>
    <row r="474" spans="1:13" x14ac:dyDescent="0.4">
      <c r="A474" s="16">
        <f t="shared" si="42"/>
        <v>43784</v>
      </c>
      <c r="B474" s="1">
        <f t="shared" si="43"/>
        <v>78.900000000000006</v>
      </c>
      <c r="C474" s="1">
        <f t="shared" si="44"/>
        <v>2</v>
      </c>
      <c r="D474" s="1">
        <f t="shared" si="45"/>
        <v>8.5</v>
      </c>
      <c r="E474" s="1">
        <f t="shared" si="46"/>
        <v>15</v>
      </c>
      <c r="F474" s="1">
        <f t="shared" si="47"/>
        <v>21</v>
      </c>
      <c r="H474" s="11">
        <v>43784</v>
      </c>
      <c r="I474" s="25">
        <v>0</v>
      </c>
      <c r="J474" s="9">
        <v>2</v>
      </c>
      <c r="K474" s="9">
        <v>0</v>
      </c>
      <c r="L474" s="9">
        <v>0</v>
      </c>
      <c r="M474" s="9">
        <v>0</v>
      </c>
    </row>
    <row r="475" spans="1:13" x14ac:dyDescent="0.4">
      <c r="A475" s="16">
        <f t="shared" si="42"/>
        <v>43790</v>
      </c>
      <c r="B475" s="1">
        <f t="shared" si="43"/>
        <v>71.599999999999994</v>
      </c>
      <c r="C475" s="1">
        <f t="shared" si="44"/>
        <v>2</v>
      </c>
      <c r="D475" s="1">
        <f t="shared" si="45"/>
        <v>9.5</v>
      </c>
      <c r="E475" s="1">
        <f t="shared" si="46"/>
        <v>13.5</v>
      </c>
      <c r="F475" s="1">
        <f t="shared" si="47"/>
        <v>20</v>
      </c>
      <c r="H475" s="11">
        <v>43790</v>
      </c>
      <c r="I475" s="25">
        <v>71.599999999999994</v>
      </c>
      <c r="J475" s="9">
        <v>0</v>
      </c>
      <c r="K475" s="9">
        <v>9.5</v>
      </c>
      <c r="L475" s="9">
        <v>13.5</v>
      </c>
      <c r="M475" s="9">
        <v>20</v>
      </c>
    </row>
    <row r="476" spans="1:13" x14ac:dyDescent="0.4">
      <c r="A476" s="16">
        <f t="shared" si="42"/>
        <v>43791</v>
      </c>
      <c r="B476" s="1">
        <f t="shared" si="43"/>
        <v>71.599999999999994</v>
      </c>
      <c r="C476" s="1">
        <f t="shared" si="44"/>
        <v>2</v>
      </c>
      <c r="D476" s="1">
        <f t="shared" si="45"/>
        <v>9.5</v>
      </c>
      <c r="E476" s="1">
        <f t="shared" si="46"/>
        <v>13.5</v>
      </c>
      <c r="F476" s="1">
        <f t="shared" si="47"/>
        <v>20</v>
      </c>
      <c r="H476" s="11">
        <v>43791</v>
      </c>
      <c r="I476" s="25">
        <v>0</v>
      </c>
      <c r="J476" s="9">
        <v>2</v>
      </c>
      <c r="K476" s="9">
        <v>0</v>
      </c>
      <c r="L476" s="9">
        <v>0</v>
      </c>
      <c r="M476" s="9">
        <v>0</v>
      </c>
    </row>
    <row r="477" spans="1:13" x14ac:dyDescent="0.4">
      <c r="A477" s="16">
        <f t="shared" si="42"/>
        <v>43797</v>
      </c>
      <c r="B477" s="1">
        <f t="shared" si="43"/>
        <v>69.5</v>
      </c>
      <c r="C477" s="1">
        <f t="shared" si="44"/>
        <v>2</v>
      </c>
      <c r="D477" s="1">
        <f t="shared" si="45"/>
        <v>9.5</v>
      </c>
      <c r="E477" s="1">
        <f t="shared" si="46"/>
        <v>12.5</v>
      </c>
      <c r="F477" s="1">
        <f t="shared" si="47"/>
        <v>19.5</v>
      </c>
      <c r="H477" s="11">
        <v>43797</v>
      </c>
      <c r="I477" s="25">
        <v>69.5</v>
      </c>
      <c r="J477" s="9">
        <v>0</v>
      </c>
      <c r="K477" s="9">
        <v>9.5</v>
      </c>
      <c r="L477" s="9">
        <v>12.5</v>
      </c>
      <c r="M477" s="9">
        <v>19.5</v>
      </c>
    </row>
    <row r="478" spans="1:13" x14ac:dyDescent="0.4">
      <c r="A478" s="16">
        <f t="shared" si="42"/>
        <v>43798</v>
      </c>
      <c r="B478" s="1">
        <f t="shared" si="43"/>
        <v>69.5</v>
      </c>
      <c r="C478" s="1">
        <f t="shared" si="44"/>
        <v>2.5</v>
      </c>
      <c r="D478" s="1">
        <f t="shared" si="45"/>
        <v>9.5</v>
      </c>
      <c r="E478" s="1">
        <f t="shared" si="46"/>
        <v>12.5</v>
      </c>
      <c r="F478" s="1">
        <f t="shared" si="47"/>
        <v>19.5</v>
      </c>
      <c r="H478" s="11">
        <v>43798</v>
      </c>
      <c r="I478" s="25">
        <v>0</v>
      </c>
      <c r="J478" s="9">
        <v>2.5</v>
      </c>
      <c r="K478" s="9">
        <v>0</v>
      </c>
      <c r="L478" s="9">
        <v>0</v>
      </c>
      <c r="M478" s="9">
        <v>0</v>
      </c>
    </row>
    <row r="479" spans="1:13" x14ac:dyDescent="0.4">
      <c r="A479" s="16">
        <f t="shared" si="42"/>
        <v>43804</v>
      </c>
      <c r="B479" s="1">
        <f t="shared" si="43"/>
        <v>63.25</v>
      </c>
      <c r="C479" s="1">
        <f t="shared" si="44"/>
        <v>2.5</v>
      </c>
      <c r="D479" s="1">
        <f t="shared" si="45"/>
        <v>8.5</v>
      </c>
      <c r="E479" s="1">
        <f t="shared" si="46"/>
        <v>12</v>
      </c>
      <c r="F479" s="1">
        <f t="shared" si="47"/>
        <v>21.5</v>
      </c>
      <c r="H479" s="11">
        <v>43804</v>
      </c>
      <c r="I479" s="25">
        <v>63.25</v>
      </c>
      <c r="J479" s="9">
        <v>0</v>
      </c>
      <c r="K479" s="9">
        <v>8.5</v>
      </c>
      <c r="L479" s="9">
        <v>12</v>
      </c>
      <c r="M479" s="9">
        <v>21.5</v>
      </c>
    </row>
    <row r="480" spans="1:13" x14ac:dyDescent="0.4">
      <c r="A480" s="16">
        <f t="shared" si="42"/>
        <v>43805</v>
      </c>
      <c r="B480" s="1">
        <f t="shared" si="43"/>
        <v>63.25</v>
      </c>
      <c r="C480" s="1">
        <f t="shared" si="44"/>
        <v>2.5</v>
      </c>
      <c r="D480" s="1">
        <f t="shared" si="45"/>
        <v>8.5</v>
      </c>
      <c r="E480" s="1">
        <f t="shared" si="46"/>
        <v>12</v>
      </c>
      <c r="F480" s="1">
        <f t="shared" si="47"/>
        <v>21.5</v>
      </c>
      <c r="H480" s="11">
        <v>43805</v>
      </c>
      <c r="I480" s="25">
        <v>0</v>
      </c>
      <c r="J480" s="9">
        <v>2.5</v>
      </c>
      <c r="K480" s="9">
        <v>0</v>
      </c>
      <c r="L480" s="9">
        <v>0</v>
      </c>
      <c r="M480" s="9">
        <v>0</v>
      </c>
    </row>
    <row r="481" spans="1:13" x14ac:dyDescent="0.4">
      <c r="A481" s="16">
        <f t="shared" si="42"/>
        <v>43811</v>
      </c>
      <c r="B481" s="1">
        <f t="shared" si="43"/>
        <v>59.2</v>
      </c>
      <c r="C481" s="1">
        <f t="shared" si="44"/>
        <v>2.5</v>
      </c>
      <c r="D481" s="1">
        <f t="shared" si="45"/>
        <v>7.5</v>
      </c>
      <c r="E481" s="1">
        <f t="shared" si="46"/>
        <v>8.5</v>
      </c>
      <c r="F481" s="1">
        <f t="shared" si="47"/>
        <v>18</v>
      </c>
      <c r="H481" s="11">
        <v>43811</v>
      </c>
      <c r="I481" s="25">
        <v>59.2</v>
      </c>
      <c r="J481" s="9">
        <v>0</v>
      </c>
      <c r="K481" s="9">
        <v>7.5</v>
      </c>
      <c r="L481" s="9">
        <v>8.5</v>
      </c>
      <c r="M481" s="9">
        <v>18</v>
      </c>
    </row>
    <row r="482" spans="1:13" x14ac:dyDescent="0.4">
      <c r="A482" s="16">
        <f t="shared" si="42"/>
        <v>43812</v>
      </c>
      <c r="B482" s="1">
        <f t="shared" si="43"/>
        <v>59.2</v>
      </c>
      <c r="C482" s="1">
        <f t="shared" si="44"/>
        <v>3</v>
      </c>
      <c r="D482" s="1">
        <f t="shared" si="45"/>
        <v>7.5</v>
      </c>
      <c r="E482" s="1">
        <f t="shared" si="46"/>
        <v>8.5</v>
      </c>
      <c r="F482" s="1">
        <f t="shared" si="47"/>
        <v>18</v>
      </c>
      <c r="H482" s="11">
        <v>43812</v>
      </c>
      <c r="I482" s="25">
        <v>0</v>
      </c>
      <c r="J482" s="9">
        <v>3</v>
      </c>
      <c r="K482" s="9">
        <v>0</v>
      </c>
      <c r="L482" s="9">
        <v>0</v>
      </c>
      <c r="M482" s="9">
        <v>0</v>
      </c>
    </row>
    <row r="483" spans="1:13" x14ac:dyDescent="0.4">
      <c r="A483" s="16">
        <f t="shared" si="42"/>
        <v>43818</v>
      </c>
      <c r="B483" s="1">
        <f t="shared" si="43"/>
        <v>57.65</v>
      </c>
      <c r="C483" s="1">
        <f t="shared" si="44"/>
        <v>3</v>
      </c>
      <c r="D483" s="1">
        <f t="shared" si="45"/>
        <v>7.8</v>
      </c>
      <c r="E483" s="1">
        <f t="shared" si="46"/>
        <v>9</v>
      </c>
      <c r="F483" s="1">
        <f t="shared" si="47"/>
        <v>17.5</v>
      </c>
      <c r="H483" s="11">
        <v>43818</v>
      </c>
      <c r="I483" s="25">
        <v>57.65</v>
      </c>
      <c r="J483" s="9">
        <v>0</v>
      </c>
      <c r="K483" s="9">
        <v>7.8</v>
      </c>
      <c r="L483" s="9">
        <v>9</v>
      </c>
      <c r="M483" s="9">
        <v>17.5</v>
      </c>
    </row>
    <row r="484" spans="1:13" x14ac:dyDescent="0.4">
      <c r="A484" s="16">
        <f t="shared" si="42"/>
        <v>43819</v>
      </c>
      <c r="B484" s="1">
        <f t="shared" si="43"/>
        <v>57.65</v>
      </c>
      <c r="C484" s="1">
        <f t="shared" si="44"/>
        <v>3</v>
      </c>
      <c r="D484" s="1">
        <f t="shared" si="45"/>
        <v>7.8</v>
      </c>
      <c r="E484" s="1">
        <f t="shared" si="46"/>
        <v>9</v>
      </c>
      <c r="F484" s="1">
        <f t="shared" si="47"/>
        <v>17.5</v>
      </c>
      <c r="H484" s="11">
        <v>43819</v>
      </c>
      <c r="I484" s="25">
        <v>0</v>
      </c>
      <c r="J484" s="9">
        <v>3</v>
      </c>
      <c r="K484" s="9">
        <v>0</v>
      </c>
      <c r="L484" s="9">
        <v>0</v>
      </c>
      <c r="M484" s="9">
        <v>0</v>
      </c>
    </row>
    <row r="485" spans="1:13" x14ac:dyDescent="0.4">
      <c r="A485" s="16">
        <f t="shared" si="42"/>
        <v>43825</v>
      </c>
      <c r="B485" s="1">
        <f t="shared" si="43"/>
        <v>47.8</v>
      </c>
      <c r="C485" s="1">
        <f t="shared" si="44"/>
        <v>3</v>
      </c>
      <c r="D485" s="1">
        <f t="shared" si="45"/>
        <v>8</v>
      </c>
      <c r="E485" s="1">
        <f t="shared" si="46"/>
        <v>9.5</v>
      </c>
      <c r="F485" s="1">
        <f t="shared" si="47"/>
        <v>18</v>
      </c>
      <c r="H485" s="11">
        <v>43825</v>
      </c>
      <c r="I485" s="25">
        <v>47.8</v>
      </c>
      <c r="J485" s="9">
        <v>0</v>
      </c>
      <c r="K485" s="9">
        <v>8</v>
      </c>
      <c r="L485" s="9">
        <v>9.5</v>
      </c>
      <c r="M485" s="9">
        <v>18</v>
      </c>
    </row>
    <row r="486" spans="1:13" x14ac:dyDescent="0.4">
      <c r="A486" s="16">
        <f t="shared" si="42"/>
        <v>43826</v>
      </c>
      <c r="B486" s="1">
        <f t="shared" si="43"/>
        <v>47.8</v>
      </c>
      <c r="C486" s="1">
        <f t="shared" si="44"/>
        <v>3</v>
      </c>
      <c r="D486" s="1">
        <f t="shared" si="45"/>
        <v>8</v>
      </c>
      <c r="E486" s="1">
        <f t="shared" si="46"/>
        <v>9.5</v>
      </c>
      <c r="F486" s="1">
        <f t="shared" si="47"/>
        <v>18</v>
      </c>
      <c r="H486" s="11">
        <v>43826</v>
      </c>
      <c r="I486" s="25">
        <v>0</v>
      </c>
      <c r="J486" s="9">
        <v>3</v>
      </c>
      <c r="K486" s="9">
        <v>0</v>
      </c>
      <c r="L486" s="9">
        <v>0</v>
      </c>
      <c r="M486" s="9">
        <v>0</v>
      </c>
    </row>
    <row r="487" spans="1:13" x14ac:dyDescent="0.4">
      <c r="A487" s="16">
        <f t="shared" si="42"/>
        <v>43832</v>
      </c>
      <c r="B487" s="1">
        <f t="shared" si="43"/>
        <v>49.45</v>
      </c>
      <c r="C487" s="1">
        <f t="shared" si="44"/>
        <v>3</v>
      </c>
      <c r="D487" s="1">
        <f t="shared" si="45"/>
        <v>7.5</v>
      </c>
      <c r="E487" s="1">
        <f t="shared" si="46"/>
        <v>10.5</v>
      </c>
      <c r="F487" s="1">
        <f t="shared" si="47"/>
        <v>17</v>
      </c>
      <c r="H487" s="11">
        <v>43832</v>
      </c>
      <c r="I487" s="25">
        <v>49.45</v>
      </c>
      <c r="J487" s="9">
        <v>0</v>
      </c>
      <c r="K487" s="9">
        <v>7.5</v>
      </c>
      <c r="L487" s="9">
        <v>10.5</v>
      </c>
      <c r="M487" s="9">
        <v>17</v>
      </c>
    </row>
    <row r="488" spans="1:13" x14ac:dyDescent="0.4">
      <c r="A488" s="16">
        <f t="shared" si="42"/>
        <v>43833</v>
      </c>
      <c r="B488" s="1">
        <f t="shared" si="43"/>
        <v>49.45</v>
      </c>
      <c r="C488" s="1">
        <f t="shared" si="44"/>
        <v>3</v>
      </c>
      <c r="D488" s="1">
        <f t="shared" si="45"/>
        <v>7.5</v>
      </c>
      <c r="E488" s="1">
        <f t="shared" si="46"/>
        <v>10.5</v>
      </c>
      <c r="F488" s="1">
        <f t="shared" si="47"/>
        <v>17</v>
      </c>
      <c r="H488" s="11">
        <v>43833</v>
      </c>
      <c r="I488" s="25">
        <v>0</v>
      </c>
      <c r="J488" s="9">
        <v>3</v>
      </c>
      <c r="K488" s="9">
        <v>0</v>
      </c>
      <c r="L488" s="9">
        <v>0</v>
      </c>
      <c r="M488" s="9">
        <v>0</v>
      </c>
    </row>
    <row r="489" spans="1:13" x14ac:dyDescent="0.4">
      <c r="A489" s="16">
        <f t="shared" si="42"/>
        <v>43839</v>
      </c>
      <c r="B489" s="1">
        <f t="shared" si="43"/>
        <v>47.2</v>
      </c>
      <c r="C489" s="1">
        <f t="shared" si="44"/>
        <v>3</v>
      </c>
      <c r="D489" s="1">
        <f t="shared" si="45"/>
        <v>7</v>
      </c>
      <c r="E489" s="1">
        <f t="shared" si="46"/>
        <v>10</v>
      </c>
      <c r="F489" s="1">
        <f t="shared" si="47"/>
        <v>18</v>
      </c>
      <c r="H489" s="11">
        <v>43839</v>
      </c>
      <c r="I489" s="25">
        <v>47.2</v>
      </c>
      <c r="J489" s="9">
        <v>0</v>
      </c>
      <c r="K489" s="9">
        <v>7</v>
      </c>
      <c r="L489" s="9">
        <v>10</v>
      </c>
      <c r="M489" s="9">
        <v>18</v>
      </c>
    </row>
    <row r="490" spans="1:13" x14ac:dyDescent="0.4">
      <c r="A490" s="16">
        <f t="shared" si="42"/>
        <v>43840</v>
      </c>
      <c r="B490" s="1">
        <f t="shared" si="43"/>
        <v>47.2</v>
      </c>
      <c r="C490" s="1">
        <f t="shared" si="44"/>
        <v>3.75</v>
      </c>
      <c r="D490" s="1">
        <f t="shared" si="45"/>
        <v>7</v>
      </c>
      <c r="E490" s="1">
        <f t="shared" si="46"/>
        <v>10</v>
      </c>
      <c r="F490" s="1">
        <f t="shared" si="47"/>
        <v>18</v>
      </c>
      <c r="H490" s="11">
        <v>43840</v>
      </c>
      <c r="I490" s="25">
        <v>0</v>
      </c>
      <c r="J490" s="9">
        <v>3.75</v>
      </c>
      <c r="K490" s="9">
        <v>0</v>
      </c>
      <c r="L490" s="9">
        <v>0</v>
      </c>
      <c r="M490" s="9">
        <v>0</v>
      </c>
    </row>
    <row r="491" spans="1:13" x14ac:dyDescent="0.4">
      <c r="A491" s="16">
        <f t="shared" si="42"/>
        <v>43846</v>
      </c>
      <c r="B491" s="1">
        <f t="shared" si="43"/>
        <v>48.65</v>
      </c>
      <c r="C491" s="1">
        <f t="shared" si="44"/>
        <v>3.75</v>
      </c>
      <c r="D491" s="1">
        <f t="shared" si="45"/>
        <v>8.5</v>
      </c>
      <c r="E491" s="1">
        <f t="shared" si="46"/>
        <v>13</v>
      </c>
      <c r="F491" s="1">
        <f t="shared" si="47"/>
        <v>20.5</v>
      </c>
      <c r="H491" s="11">
        <v>43846</v>
      </c>
      <c r="I491" s="25">
        <v>48.65</v>
      </c>
      <c r="J491" s="9">
        <v>0</v>
      </c>
      <c r="K491" s="9">
        <v>8.5</v>
      </c>
      <c r="L491" s="9">
        <v>13</v>
      </c>
      <c r="M491" s="9">
        <v>20.5</v>
      </c>
    </row>
    <row r="492" spans="1:13" x14ac:dyDescent="0.4">
      <c r="A492" s="16">
        <f t="shared" si="42"/>
        <v>43847</v>
      </c>
      <c r="B492" s="1">
        <f t="shared" si="43"/>
        <v>48.65</v>
      </c>
      <c r="C492" s="1">
        <f t="shared" si="44"/>
        <v>3.5</v>
      </c>
      <c r="D492" s="1">
        <f t="shared" si="45"/>
        <v>8.5</v>
      </c>
      <c r="E492" s="1">
        <f t="shared" si="46"/>
        <v>13</v>
      </c>
      <c r="F492" s="1">
        <f t="shared" si="47"/>
        <v>20.5</v>
      </c>
      <c r="H492" s="11">
        <v>43847</v>
      </c>
      <c r="I492" s="25">
        <v>0</v>
      </c>
      <c r="J492" s="9">
        <v>3.5</v>
      </c>
      <c r="K492" s="9">
        <v>0</v>
      </c>
      <c r="L492" s="9">
        <v>0</v>
      </c>
      <c r="M492" s="9">
        <v>0</v>
      </c>
    </row>
    <row r="493" spans="1:13" x14ac:dyDescent="0.4">
      <c r="A493" s="16">
        <f t="shared" si="42"/>
        <v>43853</v>
      </c>
      <c r="B493" s="1">
        <f t="shared" si="43"/>
        <v>48.65</v>
      </c>
      <c r="C493" s="1">
        <f t="shared" si="44"/>
        <v>3.5</v>
      </c>
      <c r="D493" s="1">
        <f t="shared" si="45"/>
        <v>11.5</v>
      </c>
      <c r="E493" s="1">
        <f t="shared" si="46"/>
        <v>17</v>
      </c>
      <c r="F493" s="1">
        <f t="shared" si="47"/>
        <v>24</v>
      </c>
      <c r="H493" s="11">
        <v>43853</v>
      </c>
      <c r="I493" s="25">
        <v>0</v>
      </c>
      <c r="J493" s="9">
        <v>0</v>
      </c>
      <c r="K493" s="9">
        <v>11.5</v>
      </c>
      <c r="L493" s="9">
        <v>17</v>
      </c>
      <c r="M493" s="9">
        <v>24</v>
      </c>
    </row>
    <row r="494" spans="1:13" x14ac:dyDescent="0.4">
      <c r="A494" s="16">
        <f t="shared" si="42"/>
        <v>43861</v>
      </c>
      <c r="B494" s="1">
        <f t="shared" si="43"/>
        <v>47.1</v>
      </c>
      <c r="C494" s="1">
        <f t="shared" si="44"/>
        <v>3.5</v>
      </c>
      <c r="D494" s="1">
        <f t="shared" si="45"/>
        <v>11.5</v>
      </c>
      <c r="E494" s="1">
        <f t="shared" si="46"/>
        <v>17</v>
      </c>
      <c r="F494" s="1">
        <f t="shared" si="47"/>
        <v>24</v>
      </c>
      <c r="H494" s="11">
        <v>43861</v>
      </c>
      <c r="I494" s="25">
        <v>47.1</v>
      </c>
      <c r="J494" s="9">
        <v>0</v>
      </c>
      <c r="K494" s="9">
        <v>0</v>
      </c>
      <c r="L494" s="9">
        <v>0</v>
      </c>
      <c r="M494" s="9">
        <v>0</v>
      </c>
    </row>
    <row r="495" spans="1:13" x14ac:dyDescent="0.4">
      <c r="A495" s="16">
        <f t="shared" si="42"/>
        <v>43867</v>
      </c>
      <c r="B495" s="1">
        <f t="shared" si="43"/>
        <v>46.4</v>
      </c>
      <c r="C495" s="1">
        <f t="shared" si="44"/>
        <v>3.5</v>
      </c>
      <c r="D495" s="1">
        <f t="shared" si="45"/>
        <v>18.5</v>
      </c>
      <c r="E495" s="1">
        <f t="shared" si="46"/>
        <v>21</v>
      </c>
      <c r="F495" s="1">
        <f t="shared" si="47"/>
        <v>29.5</v>
      </c>
      <c r="H495" s="11">
        <v>43867</v>
      </c>
      <c r="I495" s="25">
        <v>46.4</v>
      </c>
      <c r="J495" s="9">
        <v>0</v>
      </c>
      <c r="K495" s="9">
        <v>18.5</v>
      </c>
      <c r="L495" s="9">
        <v>21</v>
      </c>
      <c r="M495" s="9">
        <v>29.5</v>
      </c>
    </row>
    <row r="496" spans="1:13" x14ac:dyDescent="0.4">
      <c r="A496" s="16">
        <f t="shared" si="42"/>
        <v>43868</v>
      </c>
      <c r="B496" s="1">
        <f t="shared" si="43"/>
        <v>46.4</v>
      </c>
      <c r="C496" s="1">
        <f t="shared" si="44"/>
        <v>9</v>
      </c>
      <c r="D496" s="1">
        <f t="shared" si="45"/>
        <v>18.5</v>
      </c>
      <c r="E496" s="1">
        <f t="shared" si="46"/>
        <v>21</v>
      </c>
      <c r="F496" s="1">
        <f t="shared" si="47"/>
        <v>29.5</v>
      </c>
      <c r="H496" s="11">
        <v>43868</v>
      </c>
      <c r="I496" s="25">
        <v>0</v>
      </c>
      <c r="J496" s="9">
        <v>9</v>
      </c>
      <c r="K496" s="9">
        <v>0</v>
      </c>
      <c r="L496" s="9">
        <v>0</v>
      </c>
      <c r="M496" s="9">
        <v>0</v>
      </c>
    </row>
    <row r="497" spans="1:13" x14ac:dyDescent="0.4">
      <c r="A497" s="16">
        <f t="shared" si="42"/>
        <v>43874</v>
      </c>
      <c r="B497" s="1">
        <f t="shared" si="43"/>
        <v>52.7</v>
      </c>
      <c r="C497" s="1">
        <f t="shared" si="44"/>
        <v>9</v>
      </c>
      <c r="D497" s="1">
        <f t="shared" si="45"/>
        <v>24</v>
      </c>
      <c r="E497" s="1">
        <f t="shared" si="46"/>
        <v>25.5</v>
      </c>
      <c r="F497" s="1">
        <f t="shared" si="47"/>
        <v>33</v>
      </c>
      <c r="H497" s="11">
        <v>43874</v>
      </c>
      <c r="I497" s="25">
        <v>52.7</v>
      </c>
      <c r="J497" s="9">
        <v>0</v>
      </c>
      <c r="K497" s="9">
        <v>24</v>
      </c>
      <c r="L497" s="9">
        <v>25.5</v>
      </c>
      <c r="M497" s="9">
        <v>33</v>
      </c>
    </row>
    <row r="498" spans="1:13" x14ac:dyDescent="0.4">
      <c r="A498" s="16">
        <f t="shared" si="42"/>
        <v>43875</v>
      </c>
      <c r="B498" s="1">
        <f t="shared" si="43"/>
        <v>52.7</v>
      </c>
      <c r="C498" s="1">
        <f t="shared" si="44"/>
        <v>9</v>
      </c>
      <c r="D498" s="1">
        <f t="shared" si="45"/>
        <v>24</v>
      </c>
      <c r="E498" s="1">
        <f t="shared" si="46"/>
        <v>25.5</v>
      </c>
      <c r="F498" s="1">
        <f t="shared" si="47"/>
        <v>33</v>
      </c>
      <c r="H498" s="11">
        <v>43875</v>
      </c>
      <c r="I498" s="25">
        <v>0</v>
      </c>
      <c r="J498" s="9">
        <v>9</v>
      </c>
      <c r="K498" s="9">
        <v>0</v>
      </c>
      <c r="L498" s="9">
        <v>0</v>
      </c>
      <c r="M498" s="9">
        <v>0</v>
      </c>
    </row>
    <row r="499" spans="1:13" x14ac:dyDescent="0.4">
      <c r="A499" s="16">
        <f t="shared" si="42"/>
        <v>43881</v>
      </c>
      <c r="B499" s="1">
        <f t="shared" si="43"/>
        <v>55.85</v>
      </c>
      <c r="C499" s="1">
        <f t="shared" si="44"/>
        <v>9</v>
      </c>
      <c r="D499" s="1">
        <f t="shared" si="45"/>
        <v>29</v>
      </c>
      <c r="E499" s="1">
        <f t="shared" si="46"/>
        <v>30</v>
      </c>
      <c r="F499" s="1">
        <f t="shared" si="47"/>
        <v>36</v>
      </c>
      <c r="H499" s="11">
        <v>43881</v>
      </c>
      <c r="I499" s="25">
        <v>55.85</v>
      </c>
      <c r="J499" s="9">
        <v>0</v>
      </c>
      <c r="K499" s="9">
        <v>29</v>
      </c>
      <c r="L499" s="9">
        <v>30</v>
      </c>
      <c r="M499" s="9">
        <v>36</v>
      </c>
    </row>
    <row r="500" spans="1:13" x14ac:dyDescent="0.4">
      <c r="A500" s="16">
        <f t="shared" si="42"/>
        <v>43882</v>
      </c>
      <c r="B500" s="1">
        <f t="shared" si="43"/>
        <v>55.85</v>
      </c>
      <c r="C500" s="1">
        <f t="shared" si="44"/>
        <v>9.5</v>
      </c>
      <c r="D500" s="1">
        <f t="shared" si="45"/>
        <v>29</v>
      </c>
      <c r="E500" s="1">
        <f t="shared" si="46"/>
        <v>30</v>
      </c>
      <c r="F500" s="1">
        <f t="shared" si="47"/>
        <v>36</v>
      </c>
      <c r="H500" s="11">
        <v>43882</v>
      </c>
      <c r="I500" s="25">
        <v>0</v>
      </c>
      <c r="J500" s="9">
        <v>9.5</v>
      </c>
      <c r="K500" s="9">
        <v>0</v>
      </c>
      <c r="L500" s="9">
        <v>0</v>
      </c>
      <c r="M500" s="9">
        <v>0</v>
      </c>
    </row>
    <row r="501" spans="1:13" x14ac:dyDescent="0.4">
      <c r="A501" s="16">
        <f t="shared" si="42"/>
        <v>43888</v>
      </c>
      <c r="B501" s="1">
        <f t="shared" si="43"/>
        <v>57.55</v>
      </c>
      <c r="C501" s="1">
        <f t="shared" si="44"/>
        <v>9.5</v>
      </c>
      <c r="D501" s="1">
        <f t="shared" si="45"/>
        <v>29</v>
      </c>
      <c r="E501" s="1">
        <f t="shared" si="46"/>
        <v>31</v>
      </c>
      <c r="F501" s="1">
        <f t="shared" si="47"/>
        <v>39</v>
      </c>
      <c r="H501" s="11">
        <v>43888</v>
      </c>
      <c r="I501" s="25">
        <v>57.55</v>
      </c>
      <c r="J501" s="9">
        <v>0</v>
      </c>
      <c r="K501" s="9">
        <v>29</v>
      </c>
      <c r="L501" s="9">
        <v>31</v>
      </c>
      <c r="M501" s="9">
        <v>39</v>
      </c>
    </row>
    <row r="502" spans="1:13" x14ac:dyDescent="0.4">
      <c r="A502" s="16">
        <f t="shared" si="42"/>
        <v>43889</v>
      </c>
      <c r="B502" s="1">
        <f t="shared" si="43"/>
        <v>57.55</v>
      </c>
      <c r="C502" s="1">
        <f t="shared" si="44"/>
        <v>8.5</v>
      </c>
      <c r="D502" s="1">
        <f t="shared" si="45"/>
        <v>29</v>
      </c>
      <c r="E502" s="1">
        <f t="shared" si="46"/>
        <v>31</v>
      </c>
      <c r="F502" s="1">
        <f t="shared" si="47"/>
        <v>39</v>
      </c>
      <c r="H502" s="11">
        <v>43889</v>
      </c>
      <c r="I502" s="25">
        <v>0</v>
      </c>
      <c r="J502" s="9">
        <v>8.5</v>
      </c>
      <c r="K502" s="9">
        <v>0</v>
      </c>
      <c r="L502" s="9">
        <v>0</v>
      </c>
      <c r="M502" s="9">
        <v>0</v>
      </c>
    </row>
    <row r="503" spans="1:13" x14ac:dyDescent="0.4">
      <c r="A503" s="16">
        <f t="shared" si="42"/>
        <v>43895</v>
      </c>
      <c r="B503" s="1">
        <f t="shared" si="43"/>
        <v>57.1</v>
      </c>
      <c r="C503" s="1">
        <f t="shared" si="44"/>
        <v>8.5</v>
      </c>
      <c r="D503" s="1">
        <f t="shared" si="45"/>
        <v>24</v>
      </c>
      <c r="E503" s="1">
        <f t="shared" si="46"/>
        <v>25</v>
      </c>
      <c r="F503" s="1">
        <f t="shared" si="47"/>
        <v>35</v>
      </c>
      <c r="H503" s="11">
        <v>43895</v>
      </c>
      <c r="I503" s="25">
        <v>57.1</v>
      </c>
      <c r="J503" s="9">
        <v>0</v>
      </c>
      <c r="K503" s="9">
        <v>24</v>
      </c>
      <c r="L503" s="9">
        <v>25</v>
      </c>
      <c r="M503" s="9">
        <v>35</v>
      </c>
    </row>
    <row r="504" spans="1:13" x14ac:dyDescent="0.4">
      <c r="A504" s="16">
        <f t="shared" si="42"/>
        <v>43896</v>
      </c>
      <c r="B504" s="1">
        <f t="shared" si="43"/>
        <v>57.1</v>
      </c>
      <c r="C504" s="1">
        <f t="shared" si="44"/>
        <v>9</v>
      </c>
      <c r="D504" s="1">
        <f t="shared" si="45"/>
        <v>24</v>
      </c>
      <c r="E504" s="1">
        <f t="shared" si="46"/>
        <v>25</v>
      </c>
      <c r="F504" s="1">
        <f t="shared" si="47"/>
        <v>35</v>
      </c>
      <c r="H504" s="11">
        <v>43896</v>
      </c>
      <c r="I504" s="25">
        <v>0</v>
      </c>
      <c r="J504" s="9">
        <v>9</v>
      </c>
      <c r="K504" s="9">
        <v>0</v>
      </c>
      <c r="L504" s="9">
        <v>0</v>
      </c>
      <c r="M504" s="9">
        <v>0</v>
      </c>
    </row>
    <row r="505" spans="1:13" x14ac:dyDescent="0.4">
      <c r="A505" s="16">
        <f t="shared" si="42"/>
        <v>43902</v>
      </c>
      <c r="B505" s="1">
        <f t="shared" si="43"/>
        <v>58.5</v>
      </c>
      <c r="C505" s="1">
        <f t="shared" si="44"/>
        <v>9</v>
      </c>
      <c r="D505" s="1">
        <f t="shared" si="45"/>
        <v>21</v>
      </c>
      <c r="E505" s="1">
        <f t="shared" si="46"/>
        <v>22</v>
      </c>
      <c r="F505" s="1">
        <f t="shared" si="47"/>
        <v>33</v>
      </c>
      <c r="H505" s="11">
        <v>43902</v>
      </c>
      <c r="I505" s="25">
        <v>58.5</v>
      </c>
      <c r="J505" s="9">
        <v>0</v>
      </c>
      <c r="K505" s="9">
        <v>21</v>
      </c>
      <c r="L505" s="9">
        <v>22</v>
      </c>
      <c r="M505" s="9">
        <v>33</v>
      </c>
    </row>
    <row r="506" spans="1:13" x14ac:dyDescent="0.4">
      <c r="A506" s="16">
        <f t="shared" si="42"/>
        <v>43903</v>
      </c>
      <c r="B506" s="1">
        <f t="shared" si="43"/>
        <v>58.5</v>
      </c>
      <c r="C506" s="1">
        <f t="shared" si="44"/>
        <v>9</v>
      </c>
      <c r="D506" s="1">
        <f t="shared" si="45"/>
        <v>21</v>
      </c>
      <c r="E506" s="1">
        <f t="shared" si="46"/>
        <v>22</v>
      </c>
      <c r="F506" s="1">
        <f t="shared" si="47"/>
        <v>33</v>
      </c>
      <c r="H506" s="11">
        <v>43903</v>
      </c>
      <c r="I506" s="25">
        <v>0</v>
      </c>
      <c r="J506" s="9">
        <v>9</v>
      </c>
      <c r="K506" s="9">
        <v>0</v>
      </c>
      <c r="L506" s="9">
        <v>0</v>
      </c>
      <c r="M506" s="9">
        <v>0</v>
      </c>
    </row>
    <row r="507" spans="1:13" x14ac:dyDescent="0.4">
      <c r="A507" s="16">
        <f t="shared" si="42"/>
        <v>43906</v>
      </c>
      <c r="B507" s="1">
        <f t="shared" si="43"/>
        <v>58.5</v>
      </c>
      <c r="C507" s="1">
        <f t="shared" si="44"/>
        <v>9</v>
      </c>
      <c r="D507" s="1">
        <f t="shared" si="45"/>
        <v>22</v>
      </c>
      <c r="E507" s="1">
        <f t="shared" si="46"/>
        <v>23</v>
      </c>
      <c r="F507" s="1">
        <f t="shared" si="47"/>
        <v>34</v>
      </c>
      <c r="H507" s="11">
        <v>43906</v>
      </c>
      <c r="I507" s="25">
        <v>0</v>
      </c>
      <c r="J507" s="9">
        <v>0</v>
      </c>
      <c r="K507" s="9">
        <v>22</v>
      </c>
      <c r="L507" s="9">
        <v>23</v>
      </c>
      <c r="M507" s="9">
        <v>34</v>
      </c>
    </row>
    <row r="508" spans="1:13" x14ac:dyDescent="0.4">
      <c r="A508" s="16">
        <f t="shared" si="42"/>
        <v>43909</v>
      </c>
      <c r="B508" s="1">
        <f t="shared" si="43"/>
        <v>59.45</v>
      </c>
      <c r="C508" s="1">
        <f t="shared" si="44"/>
        <v>9</v>
      </c>
      <c r="D508" s="1">
        <f t="shared" si="45"/>
        <v>28.5</v>
      </c>
      <c r="E508" s="1">
        <f t="shared" si="46"/>
        <v>27.5</v>
      </c>
      <c r="F508" s="1">
        <f t="shared" si="47"/>
        <v>37.5</v>
      </c>
      <c r="H508" s="11">
        <v>43909</v>
      </c>
      <c r="I508" s="25">
        <v>59.45</v>
      </c>
      <c r="J508" s="9">
        <v>0</v>
      </c>
      <c r="K508" s="9">
        <v>28.5</v>
      </c>
      <c r="L508" s="9">
        <v>27.5</v>
      </c>
      <c r="M508" s="9">
        <v>37.5</v>
      </c>
    </row>
    <row r="509" spans="1:13" x14ac:dyDescent="0.4">
      <c r="A509" s="16">
        <f t="shared" si="42"/>
        <v>43910</v>
      </c>
      <c r="B509" s="1">
        <f t="shared" si="43"/>
        <v>59.45</v>
      </c>
      <c r="C509" s="1">
        <f t="shared" si="44"/>
        <v>7.5</v>
      </c>
      <c r="D509" s="1">
        <f t="shared" si="45"/>
        <v>28.5</v>
      </c>
      <c r="E509" s="1">
        <f t="shared" si="46"/>
        <v>27.5</v>
      </c>
      <c r="F509" s="1">
        <f t="shared" si="47"/>
        <v>37.5</v>
      </c>
      <c r="H509" s="11">
        <v>43910</v>
      </c>
      <c r="I509" s="25">
        <v>0</v>
      </c>
      <c r="J509" s="9">
        <v>7.5</v>
      </c>
      <c r="K509" s="9">
        <v>0</v>
      </c>
      <c r="L509" s="9">
        <v>0</v>
      </c>
      <c r="M509" s="9">
        <v>0</v>
      </c>
    </row>
    <row r="510" spans="1:13" x14ac:dyDescent="0.4">
      <c r="A510" s="16">
        <f t="shared" si="42"/>
        <v>43916</v>
      </c>
      <c r="B510" s="1">
        <f t="shared" si="43"/>
        <v>58.95</v>
      </c>
      <c r="C510" s="1">
        <f t="shared" si="44"/>
        <v>7.5</v>
      </c>
      <c r="D510" s="1">
        <f t="shared" si="45"/>
        <v>35</v>
      </c>
      <c r="E510" s="1">
        <f t="shared" si="46"/>
        <v>43</v>
      </c>
      <c r="F510" s="1">
        <f t="shared" si="47"/>
        <v>32.5</v>
      </c>
      <c r="H510" s="11">
        <v>43916</v>
      </c>
      <c r="I510" s="25">
        <v>58.95</v>
      </c>
      <c r="J510" s="9">
        <v>0</v>
      </c>
      <c r="K510" s="9">
        <v>35</v>
      </c>
      <c r="L510" s="9">
        <v>43</v>
      </c>
      <c r="M510" s="9">
        <v>32.5</v>
      </c>
    </row>
    <row r="511" spans="1:13" x14ac:dyDescent="0.4">
      <c r="A511" s="16">
        <f t="shared" si="42"/>
        <v>43917</v>
      </c>
      <c r="B511" s="1">
        <f t="shared" si="43"/>
        <v>58.95</v>
      </c>
      <c r="C511" s="1">
        <f t="shared" si="44"/>
        <v>6.5</v>
      </c>
      <c r="D511" s="1">
        <f t="shared" si="45"/>
        <v>35</v>
      </c>
      <c r="E511" s="1">
        <f t="shared" si="46"/>
        <v>43</v>
      </c>
      <c r="F511" s="1">
        <f t="shared" si="47"/>
        <v>32.5</v>
      </c>
      <c r="H511" s="11">
        <v>43917</v>
      </c>
      <c r="I511" s="25">
        <v>0</v>
      </c>
      <c r="J511" s="9">
        <v>6.5</v>
      </c>
      <c r="K511" s="9">
        <v>0</v>
      </c>
      <c r="L511" s="9">
        <v>0</v>
      </c>
      <c r="M511" s="9">
        <v>0</v>
      </c>
    </row>
    <row r="512" spans="1:13" x14ac:dyDescent="0.4">
      <c r="A512" s="16">
        <f t="shared" si="42"/>
        <v>43923</v>
      </c>
      <c r="B512" s="1">
        <f t="shared" si="43"/>
        <v>60.85</v>
      </c>
      <c r="C512" s="1">
        <f t="shared" si="44"/>
        <v>6.5</v>
      </c>
      <c r="D512" s="1">
        <f t="shared" si="45"/>
        <v>34.5</v>
      </c>
      <c r="E512" s="1">
        <f t="shared" si="46"/>
        <v>42.5</v>
      </c>
      <c r="F512" s="1">
        <f t="shared" si="47"/>
        <v>31.5</v>
      </c>
      <c r="H512" s="11">
        <v>43923</v>
      </c>
      <c r="I512" s="25">
        <v>60.85</v>
      </c>
      <c r="J512" s="9">
        <v>0</v>
      </c>
      <c r="K512" s="9">
        <v>34.5</v>
      </c>
      <c r="L512" s="9">
        <v>42.5</v>
      </c>
      <c r="M512" s="9">
        <v>31.5</v>
      </c>
    </row>
    <row r="513" spans="1:13" x14ac:dyDescent="0.4">
      <c r="A513" s="16">
        <f t="shared" si="42"/>
        <v>43924</v>
      </c>
      <c r="B513" s="1">
        <f t="shared" si="43"/>
        <v>60.85</v>
      </c>
      <c r="C513" s="1">
        <f t="shared" si="44"/>
        <v>6.5</v>
      </c>
      <c r="D513" s="1">
        <f t="shared" si="45"/>
        <v>34.5</v>
      </c>
      <c r="E513" s="1">
        <f t="shared" si="46"/>
        <v>42.5</v>
      </c>
      <c r="F513" s="1">
        <f t="shared" si="47"/>
        <v>31.5</v>
      </c>
      <c r="H513" s="11">
        <v>43924</v>
      </c>
      <c r="I513" s="25">
        <v>0</v>
      </c>
      <c r="J513" s="9">
        <v>6.5</v>
      </c>
      <c r="K513" s="9">
        <v>0</v>
      </c>
      <c r="L513" s="9">
        <v>0</v>
      </c>
      <c r="M513" s="9">
        <v>0</v>
      </c>
    </row>
    <row r="514" spans="1:13" x14ac:dyDescent="0.4">
      <c r="A514" s="16">
        <f t="shared" si="42"/>
        <v>43928</v>
      </c>
      <c r="B514" s="1">
        <f t="shared" si="43"/>
        <v>60.85</v>
      </c>
      <c r="C514" s="1">
        <f t="shared" si="44"/>
        <v>6.5</v>
      </c>
      <c r="D514" s="1">
        <f t="shared" si="45"/>
        <v>7.5</v>
      </c>
      <c r="E514" s="1">
        <f t="shared" si="46"/>
        <v>11.5</v>
      </c>
      <c r="F514" s="1">
        <f t="shared" si="47"/>
        <v>20.5</v>
      </c>
      <c r="H514" s="11">
        <v>43928</v>
      </c>
      <c r="I514" s="25">
        <v>0</v>
      </c>
      <c r="J514" s="9">
        <v>0</v>
      </c>
      <c r="K514" s="9">
        <v>7.5</v>
      </c>
      <c r="L514" s="9">
        <v>11.5</v>
      </c>
      <c r="M514" s="9">
        <v>20.5</v>
      </c>
    </row>
    <row r="515" spans="1:13" x14ac:dyDescent="0.4">
      <c r="A515" s="16">
        <f t="shared" si="42"/>
        <v>43930</v>
      </c>
      <c r="B515" s="1">
        <f t="shared" si="43"/>
        <v>59.15</v>
      </c>
      <c r="C515" s="1">
        <f t="shared" si="44"/>
        <v>6.5</v>
      </c>
      <c r="D515" s="1">
        <f t="shared" si="45"/>
        <v>10</v>
      </c>
      <c r="E515" s="1">
        <f t="shared" si="46"/>
        <v>13</v>
      </c>
      <c r="F515" s="1">
        <f t="shared" si="47"/>
        <v>22</v>
      </c>
      <c r="H515" s="11">
        <v>43930</v>
      </c>
      <c r="I515" s="25">
        <v>59.15</v>
      </c>
      <c r="J515" s="9">
        <v>0</v>
      </c>
      <c r="K515" s="9">
        <v>10</v>
      </c>
      <c r="L515" s="9">
        <v>13</v>
      </c>
      <c r="M515" s="9">
        <v>22</v>
      </c>
    </row>
    <row r="516" spans="1:13" x14ac:dyDescent="0.4">
      <c r="A516" s="16">
        <f t="shared" si="42"/>
        <v>43931</v>
      </c>
      <c r="B516" s="1">
        <f t="shared" si="43"/>
        <v>59.15</v>
      </c>
      <c r="C516" s="1">
        <f t="shared" si="44"/>
        <v>7</v>
      </c>
      <c r="D516" s="1">
        <f t="shared" si="45"/>
        <v>10</v>
      </c>
      <c r="E516" s="1">
        <f t="shared" si="46"/>
        <v>13</v>
      </c>
      <c r="F516" s="1">
        <f t="shared" si="47"/>
        <v>22</v>
      </c>
      <c r="H516" s="11">
        <v>43931</v>
      </c>
      <c r="I516" s="25">
        <v>0</v>
      </c>
      <c r="J516" s="9">
        <v>7</v>
      </c>
      <c r="K516" s="9">
        <v>0</v>
      </c>
      <c r="L516" s="9">
        <v>0</v>
      </c>
      <c r="M516" s="9">
        <v>0</v>
      </c>
    </row>
    <row r="517" spans="1:13" x14ac:dyDescent="0.4">
      <c r="A517" s="16">
        <f t="shared" si="42"/>
        <v>43934</v>
      </c>
      <c r="B517" s="1">
        <f t="shared" si="43"/>
        <v>59.15</v>
      </c>
      <c r="C517" s="1">
        <f t="shared" si="44"/>
        <v>7</v>
      </c>
      <c r="D517" s="1">
        <f t="shared" si="45"/>
        <v>12</v>
      </c>
      <c r="E517" s="1">
        <f t="shared" si="46"/>
        <v>15</v>
      </c>
      <c r="F517" s="1">
        <f t="shared" si="47"/>
        <v>24</v>
      </c>
      <c r="H517" s="11">
        <v>43934</v>
      </c>
      <c r="I517" s="25">
        <v>0</v>
      </c>
      <c r="J517" s="9">
        <v>0</v>
      </c>
      <c r="K517" s="9">
        <v>12</v>
      </c>
      <c r="L517" s="9">
        <v>15</v>
      </c>
      <c r="M517" s="9">
        <v>24</v>
      </c>
    </row>
    <row r="518" spans="1:13" x14ac:dyDescent="0.4">
      <c r="A518" s="16">
        <f t="shared" ref="A518:A581" si="48">H518</f>
        <v>43937</v>
      </c>
      <c r="B518" s="1">
        <f t="shared" ref="B518:B581" si="49">IF(I518&lt;&gt;0,I518,B517)</f>
        <v>56.95</v>
      </c>
      <c r="C518" s="1">
        <f t="shared" si="44"/>
        <v>7</v>
      </c>
      <c r="D518" s="1">
        <f t="shared" si="45"/>
        <v>14.5</v>
      </c>
      <c r="E518" s="1">
        <f t="shared" si="46"/>
        <v>17</v>
      </c>
      <c r="F518" s="1">
        <f t="shared" si="47"/>
        <v>26</v>
      </c>
      <c r="H518" s="11">
        <v>43937</v>
      </c>
      <c r="I518" s="25">
        <v>56.95</v>
      </c>
      <c r="J518" s="9">
        <v>0</v>
      </c>
      <c r="K518" s="9">
        <v>14.5</v>
      </c>
      <c r="L518" s="9">
        <v>17</v>
      </c>
      <c r="M518" s="9">
        <v>26</v>
      </c>
    </row>
    <row r="519" spans="1:13" x14ac:dyDescent="0.4">
      <c r="A519" s="16">
        <f t="shared" si="48"/>
        <v>43938</v>
      </c>
      <c r="B519" s="1">
        <f t="shared" si="49"/>
        <v>56.95</v>
      </c>
      <c r="C519" s="1">
        <f t="shared" ref="C519:C582" si="50">IF(J519&lt;&gt;0,J519,C518)</f>
        <v>7</v>
      </c>
      <c r="D519" s="1">
        <f t="shared" ref="D519:D582" si="51">IF(K519&lt;&gt;0,K519,D518)</f>
        <v>14.5</v>
      </c>
      <c r="E519" s="1">
        <f t="shared" ref="E519:E582" si="52">IF(L519&lt;&gt;0,L519,E518)</f>
        <v>17</v>
      </c>
      <c r="F519" s="1">
        <f t="shared" ref="F519:F582" si="53">IF(M519&lt;&gt;0,M519,F518)</f>
        <v>26</v>
      </c>
      <c r="H519" s="11">
        <v>43938</v>
      </c>
      <c r="I519" s="25">
        <v>0</v>
      </c>
      <c r="J519" s="9">
        <v>7</v>
      </c>
      <c r="K519" s="9">
        <v>0</v>
      </c>
      <c r="L519" s="9">
        <v>0</v>
      </c>
      <c r="M519" s="9">
        <v>0</v>
      </c>
    </row>
    <row r="520" spans="1:13" x14ac:dyDescent="0.4">
      <c r="A520" s="16">
        <f t="shared" si="48"/>
        <v>43941</v>
      </c>
      <c r="B520" s="1">
        <f t="shared" si="49"/>
        <v>56.95</v>
      </c>
      <c r="C520" s="1">
        <f t="shared" si="50"/>
        <v>7</v>
      </c>
      <c r="D520" s="1">
        <f t="shared" si="51"/>
        <v>16.5</v>
      </c>
      <c r="E520" s="1">
        <f t="shared" si="52"/>
        <v>18.5</v>
      </c>
      <c r="F520" s="1">
        <f t="shared" si="53"/>
        <v>27.5</v>
      </c>
      <c r="H520" s="11">
        <v>43941</v>
      </c>
      <c r="I520" s="25">
        <v>0</v>
      </c>
      <c r="J520" s="9">
        <v>0</v>
      </c>
      <c r="K520" s="9">
        <v>16.5</v>
      </c>
      <c r="L520" s="9">
        <v>18.5</v>
      </c>
      <c r="M520" s="9">
        <v>27.5</v>
      </c>
    </row>
    <row r="521" spans="1:13" x14ac:dyDescent="0.4">
      <c r="A521" s="16">
        <f t="shared" si="48"/>
        <v>43944</v>
      </c>
      <c r="B521" s="1">
        <f t="shared" si="49"/>
        <v>59.75</v>
      </c>
      <c r="C521" s="1">
        <f t="shared" si="50"/>
        <v>7</v>
      </c>
      <c r="D521" s="1">
        <f t="shared" si="51"/>
        <v>18.5</v>
      </c>
      <c r="E521" s="1">
        <f t="shared" si="52"/>
        <v>19.5</v>
      </c>
      <c r="F521" s="1">
        <f t="shared" si="53"/>
        <v>30</v>
      </c>
      <c r="H521" s="11">
        <v>43944</v>
      </c>
      <c r="I521" s="25">
        <v>59.75</v>
      </c>
      <c r="J521" s="9">
        <v>0</v>
      </c>
      <c r="K521" s="9">
        <v>18.5</v>
      </c>
      <c r="L521" s="9">
        <v>19.5</v>
      </c>
      <c r="M521" s="9">
        <v>30</v>
      </c>
    </row>
    <row r="522" spans="1:13" x14ac:dyDescent="0.4">
      <c r="A522" s="16">
        <f t="shared" si="48"/>
        <v>43945</v>
      </c>
      <c r="B522" s="1">
        <f t="shared" si="49"/>
        <v>59.75</v>
      </c>
      <c r="C522" s="1">
        <f t="shared" si="50"/>
        <v>7.5</v>
      </c>
      <c r="D522" s="1">
        <f t="shared" si="51"/>
        <v>18.5</v>
      </c>
      <c r="E522" s="1">
        <f t="shared" si="52"/>
        <v>19.5</v>
      </c>
      <c r="F522" s="1">
        <f t="shared" si="53"/>
        <v>30</v>
      </c>
      <c r="H522" s="11">
        <v>43945</v>
      </c>
      <c r="I522" s="25">
        <v>0</v>
      </c>
      <c r="J522" s="9">
        <v>7.5</v>
      </c>
      <c r="K522" s="9">
        <v>0</v>
      </c>
      <c r="L522" s="9">
        <v>0</v>
      </c>
      <c r="M522" s="9">
        <v>0</v>
      </c>
    </row>
    <row r="523" spans="1:13" x14ac:dyDescent="0.4">
      <c r="A523" s="16">
        <f t="shared" si="48"/>
        <v>43948</v>
      </c>
      <c r="B523" s="1">
        <f t="shared" si="49"/>
        <v>59.75</v>
      </c>
      <c r="C523" s="1">
        <f t="shared" si="50"/>
        <v>7.5</v>
      </c>
      <c r="D523" s="1">
        <f t="shared" si="51"/>
        <v>16.5</v>
      </c>
      <c r="E523" s="1">
        <f t="shared" si="52"/>
        <v>15</v>
      </c>
      <c r="F523" s="1">
        <f t="shared" si="53"/>
        <v>29</v>
      </c>
      <c r="H523" s="11">
        <v>43948</v>
      </c>
      <c r="I523" s="25">
        <v>0</v>
      </c>
      <c r="J523" s="9">
        <v>0</v>
      </c>
      <c r="K523" s="9">
        <v>16.5</v>
      </c>
      <c r="L523" s="9">
        <v>15</v>
      </c>
      <c r="M523" s="9">
        <v>29</v>
      </c>
    </row>
    <row r="524" spans="1:13" x14ac:dyDescent="0.4">
      <c r="A524" s="16">
        <f t="shared" si="48"/>
        <v>43951</v>
      </c>
      <c r="B524" s="1">
        <f t="shared" si="49"/>
        <v>69.95</v>
      </c>
      <c r="C524" s="1">
        <f t="shared" si="50"/>
        <v>7</v>
      </c>
      <c r="D524" s="1">
        <f t="shared" si="51"/>
        <v>16</v>
      </c>
      <c r="E524" s="1">
        <f t="shared" si="52"/>
        <v>13.5</v>
      </c>
      <c r="F524" s="1">
        <f t="shared" si="53"/>
        <v>29</v>
      </c>
      <c r="H524" s="11">
        <v>43951</v>
      </c>
      <c r="I524" s="25">
        <v>69.95</v>
      </c>
      <c r="J524" s="9">
        <v>7</v>
      </c>
      <c r="K524" s="9">
        <v>16</v>
      </c>
      <c r="L524" s="9">
        <v>13.5</v>
      </c>
      <c r="M524" s="9">
        <v>29</v>
      </c>
    </row>
    <row r="525" spans="1:13" x14ac:dyDescent="0.4">
      <c r="A525" s="16">
        <f t="shared" si="48"/>
        <v>43958</v>
      </c>
      <c r="B525" s="1">
        <f t="shared" si="49"/>
        <v>68.099999999999994</v>
      </c>
      <c r="C525" s="1">
        <f t="shared" si="50"/>
        <v>7</v>
      </c>
      <c r="D525" s="1">
        <f t="shared" si="51"/>
        <v>16</v>
      </c>
      <c r="E525" s="1">
        <f t="shared" si="52"/>
        <v>13.5</v>
      </c>
      <c r="F525" s="1">
        <f t="shared" si="53"/>
        <v>29</v>
      </c>
      <c r="H525" s="11">
        <v>43958</v>
      </c>
      <c r="I525" s="25">
        <v>68.099999999999994</v>
      </c>
      <c r="J525" s="9">
        <v>0</v>
      </c>
      <c r="K525" s="9">
        <v>0</v>
      </c>
      <c r="L525" s="9">
        <v>0</v>
      </c>
      <c r="M525" s="9">
        <v>0</v>
      </c>
    </row>
    <row r="526" spans="1:13" x14ac:dyDescent="0.4">
      <c r="A526" s="16">
        <f t="shared" si="48"/>
        <v>43959</v>
      </c>
      <c r="B526" s="1">
        <f t="shared" si="49"/>
        <v>68.099999999999994</v>
      </c>
      <c r="C526" s="1">
        <f t="shared" si="50"/>
        <v>7</v>
      </c>
      <c r="D526" s="1">
        <f t="shared" si="51"/>
        <v>14.5</v>
      </c>
      <c r="E526" s="1">
        <f t="shared" si="52"/>
        <v>12</v>
      </c>
      <c r="F526" s="1">
        <f t="shared" si="53"/>
        <v>30</v>
      </c>
      <c r="H526" s="11">
        <v>43959</v>
      </c>
      <c r="I526" s="25">
        <v>0</v>
      </c>
      <c r="J526" s="9">
        <v>7</v>
      </c>
      <c r="K526" s="9">
        <v>14.5</v>
      </c>
      <c r="L526" s="9">
        <v>12</v>
      </c>
      <c r="M526" s="9">
        <v>30</v>
      </c>
    </row>
    <row r="527" spans="1:13" x14ac:dyDescent="0.4">
      <c r="A527" s="16">
        <f t="shared" si="48"/>
        <v>43962</v>
      </c>
      <c r="B527" s="1">
        <f t="shared" si="49"/>
        <v>68.099999999999994</v>
      </c>
      <c r="C527" s="1">
        <f t="shared" si="50"/>
        <v>7</v>
      </c>
      <c r="D527" s="1">
        <f t="shared" si="51"/>
        <v>16</v>
      </c>
      <c r="E527" s="1">
        <f t="shared" si="52"/>
        <v>13</v>
      </c>
      <c r="F527" s="1">
        <f t="shared" si="53"/>
        <v>31.5</v>
      </c>
      <c r="H527" s="11">
        <v>43962</v>
      </c>
      <c r="I527" s="25">
        <v>0</v>
      </c>
      <c r="J527" s="9">
        <v>0</v>
      </c>
      <c r="K527" s="9">
        <v>16</v>
      </c>
      <c r="L527" s="9">
        <v>13</v>
      </c>
      <c r="M527" s="9">
        <v>31.5</v>
      </c>
    </row>
    <row r="528" spans="1:13" x14ac:dyDescent="0.4">
      <c r="A528" s="16">
        <f t="shared" si="48"/>
        <v>43965</v>
      </c>
      <c r="B528" s="1">
        <f t="shared" si="49"/>
        <v>67.650000000000006</v>
      </c>
      <c r="C528" s="1">
        <f t="shared" si="50"/>
        <v>7</v>
      </c>
      <c r="D528" s="1">
        <f t="shared" si="51"/>
        <v>17</v>
      </c>
      <c r="E528" s="1">
        <f t="shared" si="52"/>
        <v>14.5</v>
      </c>
      <c r="F528" s="1">
        <f t="shared" si="53"/>
        <v>32</v>
      </c>
      <c r="H528" s="11">
        <v>43965</v>
      </c>
      <c r="I528" s="25">
        <v>67.650000000000006</v>
      </c>
      <c r="J528" s="9">
        <v>0</v>
      </c>
      <c r="K528" s="9">
        <v>17</v>
      </c>
      <c r="L528" s="9">
        <v>14.5</v>
      </c>
      <c r="M528" s="9">
        <v>32</v>
      </c>
    </row>
    <row r="529" spans="1:13" x14ac:dyDescent="0.4">
      <c r="A529" s="16">
        <f t="shared" si="48"/>
        <v>43966</v>
      </c>
      <c r="B529" s="1">
        <f t="shared" si="49"/>
        <v>67.650000000000006</v>
      </c>
      <c r="C529" s="1">
        <f t="shared" si="50"/>
        <v>7</v>
      </c>
      <c r="D529" s="1">
        <f t="shared" si="51"/>
        <v>17</v>
      </c>
      <c r="E529" s="1">
        <f t="shared" si="52"/>
        <v>14.5</v>
      </c>
      <c r="F529" s="1">
        <f t="shared" si="53"/>
        <v>32</v>
      </c>
      <c r="H529" s="11">
        <v>43966</v>
      </c>
      <c r="I529" s="25">
        <v>0</v>
      </c>
      <c r="J529" s="9">
        <v>7</v>
      </c>
      <c r="K529" s="9">
        <v>0</v>
      </c>
      <c r="L529" s="9">
        <v>0</v>
      </c>
      <c r="M529" s="9">
        <v>0</v>
      </c>
    </row>
    <row r="530" spans="1:13" x14ac:dyDescent="0.4">
      <c r="A530" s="16">
        <f t="shared" si="48"/>
        <v>43972</v>
      </c>
      <c r="B530" s="1">
        <f t="shared" si="49"/>
        <v>77.5</v>
      </c>
      <c r="C530" s="1">
        <f t="shared" si="50"/>
        <v>7</v>
      </c>
      <c r="D530" s="1">
        <f t="shared" si="51"/>
        <v>14</v>
      </c>
      <c r="E530" s="1">
        <f t="shared" si="52"/>
        <v>12.5</v>
      </c>
      <c r="F530" s="1">
        <f t="shared" si="53"/>
        <v>29.5</v>
      </c>
      <c r="H530" s="11">
        <v>43972</v>
      </c>
      <c r="I530" s="25">
        <v>77.5</v>
      </c>
      <c r="J530" s="9">
        <v>0</v>
      </c>
      <c r="K530" s="9">
        <v>14</v>
      </c>
      <c r="L530" s="9">
        <v>12.5</v>
      </c>
      <c r="M530" s="9">
        <v>29.5</v>
      </c>
    </row>
    <row r="531" spans="1:13" x14ac:dyDescent="0.4">
      <c r="A531" s="16">
        <f t="shared" si="48"/>
        <v>43973</v>
      </c>
      <c r="B531" s="1">
        <f t="shared" si="49"/>
        <v>77.5</v>
      </c>
      <c r="C531" s="1">
        <f t="shared" si="50"/>
        <v>6.5</v>
      </c>
      <c r="D531" s="1">
        <f t="shared" si="51"/>
        <v>14</v>
      </c>
      <c r="E531" s="1">
        <f t="shared" si="52"/>
        <v>12.5</v>
      </c>
      <c r="F531" s="1">
        <f t="shared" si="53"/>
        <v>29.5</v>
      </c>
      <c r="H531" s="11">
        <v>43973</v>
      </c>
      <c r="I531" s="25">
        <v>0</v>
      </c>
      <c r="J531" s="9">
        <v>6.5</v>
      </c>
      <c r="K531" s="9">
        <v>0</v>
      </c>
      <c r="L531" s="9">
        <v>0</v>
      </c>
      <c r="M531" s="9">
        <v>0</v>
      </c>
    </row>
    <row r="532" spans="1:13" x14ac:dyDescent="0.4">
      <c r="A532" s="16">
        <f t="shared" si="48"/>
        <v>43979</v>
      </c>
      <c r="B532" s="1">
        <f t="shared" si="49"/>
        <v>77.55</v>
      </c>
      <c r="C532" s="1">
        <f t="shared" si="50"/>
        <v>6.5</v>
      </c>
      <c r="D532" s="1">
        <f t="shared" si="51"/>
        <v>14.5</v>
      </c>
      <c r="E532" s="1">
        <f t="shared" si="52"/>
        <v>13.5</v>
      </c>
      <c r="F532" s="1">
        <f t="shared" si="53"/>
        <v>28.5</v>
      </c>
      <c r="H532" s="11">
        <v>43979</v>
      </c>
      <c r="I532" s="25">
        <v>77.55</v>
      </c>
      <c r="J532" s="9">
        <v>0</v>
      </c>
      <c r="K532" s="9">
        <v>14.5</v>
      </c>
      <c r="L532" s="9">
        <v>13.5</v>
      </c>
      <c r="M532" s="9">
        <v>28.5</v>
      </c>
    </row>
    <row r="533" spans="1:13" x14ac:dyDescent="0.4">
      <c r="A533" s="16">
        <f t="shared" si="48"/>
        <v>43980</v>
      </c>
      <c r="B533" s="1">
        <f t="shared" si="49"/>
        <v>77.55</v>
      </c>
      <c r="C533" s="1">
        <f t="shared" si="50"/>
        <v>7</v>
      </c>
      <c r="D533" s="1">
        <f t="shared" si="51"/>
        <v>14.5</v>
      </c>
      <c r="E533" s="1">
        <f t="shared" si="52"/>
        <v>13.5</v>
      </c>
      <c r="F533" s="1">
        <f t="shared" si="53"/>
        <v>28.5</v>
      </c>
      <c r="H533" s="11">
        <v>43980</v>
      </c>
      <c r="I533" s="25">
        <v>0</v>
      </c>
      <c r="J533" s="9">
        <v>7</v>
      </c>
      <c r="K533" s="9">
        <v>0</v>
      </c>
      <c r="L533" s="9">
        <v>0</v>
      </c>
      <c r="M533" s="9">
        <v>0</v>
      </c>
    </row>
    <row r="534" spans="1:13" x14ac:dyDescent="0.4">
      <c r="A534" s="16">
        <f t="shared" si="48"/>
        <v>43986</v>
      </c>
      <c r="B534" s="1">
        <f t="shared" si="49"/>
        <v>73.099999999999994</v>
      </c>
      <c r="C534" s="1">
        <f t="shared" si="50"/>
        <v>7</v>
      </c>
      <c r="D534" s="1">
        <f t="shared" si="51"/>
        <v>15</v>
      </c>
      <c r="E534" s="1">
        <f t="shared" si="52"/>
        <v>13.5</v>
      </c>
      <c r="F534" s="1">
        <f t="shared" si="53"/>
        <v>28.5</v>
      </c>
      <c r="H534" s="11">
        <v>43986</v>
      </c>
      <c r="I534" s="25">
        <v>73.099999999999994</v>
      </c>
      <c r="J534" s="9">
        <v>0</v>
      </c>
      <c r="K534" s="9">
        <v>15</v>
      </c>
      <c r="L534" s="9">
        <v>13.5</v>
      </c>
      <c r="M534" s="9">
        <v>28.5</v>
      </c>
    </row>
    <row r="535" spans="1:13" x14ac:dyDescent="0.4">
      <c r="A535" s="16">
        <f t="shared" si="48"/>
        <v>43987</v>
      </c>
      <c r="B535" s="1">
        <f t="shared" si="49"/>
        <v>73.099999999999994</v>
      </c>
      <c r="C535" s="1">
        <f t="shared" si="50"/>
        <v>6.5</v>
      </c>
      <c r="D535" s="1">
        <f t="shared" si="51"/>
        <v>15</v>
      </c>
      <c r="E535" s="1">
        <f t="shared" si="52"/>
        <v>13.5</v>
      </c>
      <c r="F535" s="1">
        <f t="shared" si="53"/>
        <v>28.5</v>
      </c>
      <c r="H535" s="11">
        <v>43987</v>
      </c>
      <c r="I535" s="25">
        <v>0</v>
      </c>
      <c r="J535" s="9">
        <v>6.5</v>
      </c>
      <c r="K535" s="9">
        <v>0</v>
      </c>
      <c r="L535" s="9">
        <v>0</v>
      </c>
      <c r="M535" s="9">
        <v>0</v>
      </c>
    </row>
    <row r="536" spans="1:13" x14ac:dyDescent="0.4">
      <c r="A536" s="16">
        <f t="shared" si="48"/>
        <v>43990</v>
      </c>
      <c r="B536" s="1">
        <f t="shared" si="49"/>
        <v>73.099999999999994</v>
      </c>
      <c r="C536" s="1">
        <f t="shared" si="50"/>
        <v>6.5</v>
      </c>
      <c r="D536" s="1">
        <f t="shared" si="51"/>
        <v>16.5</v>
      </c>
      <c r="E536" s="1">
        <f t="shared" si="52"/>
        <v>14.5</v>
      </c>
      <c r="F536" s="1">
        <f t="shared" si="53"/>
        <v>29.5</v>
      </c>
      <c r="H536" s="11">
        <v>43990</v>
      </c>
      <c r="I536" s="25">
        <v>0</v>
      </c>
      <c r="J536" s="9">
        <v>0</v>
      </c>
      <c r="K536" s="9">
        <v>16.5</v>
      </c>
      <c r="L536" s="9">
        <v>14.5</v>
      </c>
      <c r="M536" s="9">
        <v>29.5</v>
      </c>
    </row>
    <row r="537" spans="1:13" x14ac:dyDescent="0.4">
      <c r="A537" s="16">
        <f t="shared" si="48"/>
        <v>43993</v>
      </c>
      <c r="B537" s="1">
        <f t="shared" si="49"/>
        <v>73.400000000000006</v>
      </c>
      <c r="C537" s="1">
        <f t="shared" si="50"/>
        <v>6.5</v>
      </c>
      <c r="D537" s="1">
        <f t="shared" si="51"/>
        <v>17.5</v>
      </c>
      <c r="E537" s="1">
        <f t="shared" si="52"/>
        <v>15</v>
      </c>
      <c r="F537" s="1">
        <f t="shared" si="53"/>
        <v>30</v>
      </c>
      <c r="H537" s="11">
        <v>43993</v>
      </c>
      <c r="I537" s="25">
        <v>73.400000000000006</v>
      </c>
      <c r="J537" s="9">
        <v>0</v>
      </c>
      <c r="K537" s="9">
        <v>17.5</v>
      </c>
      <c r="L537" s="9">
        <v>15</v>
      </c>
      <c r="M537" s="9">
        <v>30</v>
      </c>
    </row>
    <row r="538" spans="1:13" x14ac:dyDescent="0.4">
      <c r="A538" s="16">
        <f t="shared" si="48"/>
        <v>43994</v>
      </c>
      <c r="B538" s="1">
        <f t="shared" si="49"/>
        <v>73.400000000000006</v>
      </c>
      <c r="C538" s="1">
        <f t="shared" si="50"/>
        <v>6</v>
      </c>
      <c r="D538" s="1">
        <f t="shared" si="51"/>
        <v>17.5</v>
      </c>
      <c r="E538" s="1">
        <f t="shared" si="52"/>
        <v>15</v>
      </c>
      <c r="F538" s="1">
        <f t="shared" si="53"/>
        <v>30</v>
      </c>
      <c r="H538" s="11">
        <v>43994</v>
      </c>
      <c r="I538" s="25">
        <v>0</v>
      </c>
      <c r="J538" s="9">
        <v>6</v>
      </c>
      <c r="K538" s="9">
        <v>0</v>
      </c>
      <c r="L538" s="9">
        <v>0</v>
      </c>
      <c r="M538" s="9">
        <v>0</v>
      </c>
    </row>
    <row r="539" spans="1:13" x14ac:dyDescent="0.4">
      <c r="A539" s="16">
        <f t="shared" si="48"/>
        <v>44000</v>
      </c>
      <c r="B539" s="1">
        <f t="shared" si="49"/>
        <v>76</v>
      </c>
      <c r="C539" s="1">
        <f t="shared" si="50"/>
        <v>6</v>
      </c>
      <c r="D539" s="1">
        <f t="shared" si="51"/>
        <v>19</v>
      </c>
      <c r="E539" s="1">
        <f t="shared" si="52"/>
        <v>16</v>
      </c>
      <c r="F539" s="1">
        <f t="shared" si="53"/>
        <v>32</v>
      </c>
      <c r="H539" s="11">
        <v>44000</v>
      </c>
      <c r="I539" s="25">
        <v>76</v>
      </c>
      <c r="J539" s="9">
        <v>0</v>
      </c>
      <c r="K539" s="9">
        <v>19</v>
      </c>
      <c r="L539" s="9">
        <v>16</v>
      </c>
      <c r="M539" s="9">
        <v>32</v>
      </c>
    </row>
    <row r="540" spans="1:13" x14ac:dyDescent="0.4">
      <c r="A540" s="16">
        <f t="shared" si="48"/>
        <v>44001</v>
      </c>
      <c r="B540" s="1">
        <f t="shared" si="49"/>
        <v>76</v>
      </c>
      <c r="C540" s="1">
        <f t="shared" si="50"/>
        <v>6</v>
      </c>
      <c r="D540" s="1">
        <f t="shared" si="51"/>
        <v>19</v>
      </c>
      <c r="E540" s="1">
        <f t="shared" si="52"/>
        <v>16</v>
      </c>
      <c r="F540" s="1">
        <f t="shared" si="53"/>
        <v>32</v>
      </c>
      <c r="H540" s="11">
        <v>44001</v>
      </c>
      <c r="I540" s="25">
        <v>0</v>
      </c>
      <c r="J540" s="9">
        <v>6</v>
      </c>
      <c r="K540" s="9">
        <v>0</v>
      </c>
      <c r="L540" s="9">
        <v>0</v>
      </c>
      <c r="M540" s="9">
        <v>0</v>
      </c>
    </row>
    <row r="541" spans="1:13" x14ac:dyDescent="0.4">
      <c r="A541" s="16">
        <f t="shared" si="48"/>
        <v>44006</v>
      </c>
      <c r="B541" s="1">
        <f t="shared" si="49"/>
        <v>76</v>
      </c>
      <c r="C541" s="1">
        <f t="shared" si="50"/>
        <v>6</v>
      </c>
      <c r="D541" s="1">
        <f t="shared" si="51"/>
        <v>20.5</v>
      </c>
      <c r="E541" s="1">
        <f t="shared" si="52"/>
        <v>18</v>
      </c>
      <c r="F541" s="1">
        <f t="shared" si="53"/>
        <v>34.5</v>
      </c>
      <c r="H541" s="11">
        <v>44006</v>
      </c>
      <c r="I541" s="25">
        <v>0</v>
      </c>
      <c r="J541" s="9">
        <v>0</v>
      </c>
      <c r="K541" s="9">
        <v>20.5</v>
      </c>
      <c r="L541" s="9">
        <v>18</v>
      </c>
      <c r="M541" s="9">
        <v>34.5</v>
      </c>
    </row>
    <row r="542" spans="1:13" x14ac:dyDescent="0.4">
      <c r="A542" s="16">
        <f t="shared" si="48"/>
        <v>44008</v>
      </c>
      <c r="B542" s="1">
        <f t="shared" si="49"/>
        <v>76</v>
      </c>
      <c r="C542" s="1">
        <f t="shared" si="50"/>
        <v>6.5</v>
      </c>
      <c r="D542" s="1">
        <f t="shared" si="51"/>
        <v>20.5</v>
      </c>
      <c r="E542" s="1">
        <f t="shared" si="52"/>
        <v>18</v>
      </c>
      <c r="F542" s="1">
        <f t="shared" si="53"/>
        <v>34.5</v>
      </c>
      <c r="H542" s="11">
        <v>44008</v>
      </c>
      <c r="I542" s="25">
        <v>0</v>
      </c>
      <c r="J542" s="9">
        <v>6.5</v>
      </c>
      <c r="K542" s="9">
        <v>0</v>
      </c>
      <c r="L542" s="9">
        <v>0</v>
      </c>
      <c r="M542" s="9">
        <v>0</v>
      </c>
    </row>
    <row r="543" spans="1:13" x14ac:dyDescent="0.4">
      <c r="A543" s="16">
        <f t="shared" si="48"/>
        <v>44010</v>
      </c>
      <c r="B543" s="1">
        <f t="shared" si="49"/>
        <v>72.95</v>
      </c>
      <c r="C543" s="1">
        <f t="shared" si="50"/>
        <v>6.5</v>
      </c>
      <c r="D543" s="1">
        <f t="shared" si="51"/>
        <v>20.5</v>
      </c>
      <c r="E543" s="1">
        <f t="shared" si="52"/>
        <v>18</v>
      </c>
      <c r="F543" s="1">
        <f t="shared" si="53"/>
        <v>34.5</v>
      </c>
      <c r="H543" s="11">
        <v>44010</v>
      </c>
      <c r="I543" s="25">
        <v>72.95</v>
      </c>
      <c r="J543" s="9">
        <v>0</v>
      </c>
      <c r="K543" s="9">
        <v>0</v>
      </c>
      <c r="L543" s="9">
        <v>0</v>
      </c>
      <c r="M543" s="9">
        <v>0</v>
      </c>
    </row>
    <row r="544" spans="1:13" x14ac:dyDescent="0.4">
      <c r="A544" s="16">
        <f t="shared" si="48"/>
        <v>44014</v>
      </c>
      <c r="B544" s="1">
        <f t="shared" si="49"/>
        <v>74.7</v>
      </c>
      <c r="C544" s="1">
        <f t="shared" si="50"/>
        <v>6.5</v>
      </c>
      <c r="D544" s="1">
        <f t="shared" si="51"/>
        <v>22.5</v>
      </c>
      <c r="E544" s="1">
        <f t="shared" si="52"/>
        <v>20.5</v>
      </c>
      <c r="F544" s="1">
        <f t="shared" si="53"/>
        <v>34.5</v>
      </c>
      <c r="H544" s="11">
        <v>44014</v>
      </c>
      <c r="I544" s="25">
        <v>74.7</v>
      </c>
      <c r="J544" s="9">
        <v>0</v>
      </c>
      <c r="K544" s="9">
        <v>22.5</v>
      </c>
      <c r="L544" s="9">
        <v>20.5</v>
      </c>
      <c r="M544" s="9">
        <v>34.5</v>
      </c>
    </row>
    <row r="545" spans="1:13" x14ac:dyDescent="0.4">
      <c r="A545" s="16">
        <f t="shared" si="48"/>
        <v>44015</v>
      </c>
      <c r="B545" s="1">
        <f t="shared" si="49"/>
        <v>74.7</v>
      </c>
      <c r="C545" s="1">
        <f t="shared" si="50"/>
        <v>6.5</v>
      </c>
      <c r="D545" s="1">
        <f t="shared" si="51"/>
        <v>22.5</v>
      </c>
      <c r="E545" s="1">
        <f t="shared" si="52"/>
        <v>20.5</v>
      </c>
      <c r="F545" s="1">
        <f t="shared" si="53"/>
        <v>34.5</v>
      </c>
      <c r="H545" s="11">
        <v>44015</v>
      </c>
      <c r="I545" s="25">
        <v>0</v>
      </c>
      <c r="J545" s="9">
        <v>6.5</v>
      </c>
      <c r="K545" s="9">
        <v>0</v>
      </c>
      <c r="L545" s="9">
        <v>0</v>
      </c>
      <c r="M545" s="9">
        <v>0</v>
      </c>
    </row>
    <row r="546" spans="1:13" x14ac:dyDescent="0.4">
      <c r="A546" s="16">
        <f t="shared" si="48"/>
        <v>44021</v>
      </c>
      <c r="B546" s="1">
        <f t="shared" si="49"/>
        <v>75.099999999999994</v>
      </c>
      <c r="C546" s="1">
        <f t="shared" si="50"/>
        <v>6.5</v>
      </c>
      <c r="D546" s="1">
        <f t="shared" si="51"/>
        <v>20.28</v>
      </c>
      <c r="E546" s="1">
        <f t="shared" si="52"/>
        <v>19</v>
      </c>
      <c r="F546" s="1">
        <f t="shared" si="53"/>
        <v>32.5</v>
      </c>
      <c r="H546" s="11">
        <v>44021</v>
      </c>
      <c r="I546" s="25">
        <v>75.099999999999994</v>
      </c>
      <c r="J546" s="9">
        <v>0</v>
      </c>
      <c r="K546" s="9">
        <v>20.28</v>
      </c>
      <c r="L546" s="9">
        <v>19</v>
      </c>
      <c r="M546" s="9">
        <v>32.5</v>
      </c>
    </row>
    <row r="547" spans="1:13" x14ac:dyDescent="0.4">
      <c r="A547" s="16">
        <f t="shared" si="48"/>
        <v>44022</v>
      </c>
      <c r="B547" s="1">
        <f t="shared" si="49"/>
        <v>75.099999999999994</v>
      </c>
      <c r="C547" s="1">
        <f t="shared" si="50"/>
        <v>7</v>
      </c>
      <c r="D547" s="1">
        <f t="shared" si="51"/>
        <v>20.28</v>
      </c>
      <c r="E547" s="1">
        <f t="shared" si="52"/>
        <v>19</v>
      </c>
      <c r="F547" s="1">
        <f t="shared" si="53"/>
        <v>32.5</v>
      </c>
      <c r="H547" s="11">
        <v>44022</v>
      </c>
      <c r="I547" s="25">
        <v>0</v>
      </c>
      <c r="J547" s="9">
        <v>7</v>
      </c>
      <c r="K547" s="9">
        <v>0</v>
      </c>
      <c r="L547" s="9">
        <v>0</v>
      </c>
      <c r="M547" s="9">
        <v>0</v>
      </c>
    </row>
    <row r="548" spans="1:13" x14ac:dyDescent="0.4">
      <c r="A548" s="16">
        <f t="shared" si="48"/>
        <v>44028</v>
      </c>
      <c r="B548" s="1">
        <f t="shared" si="49"/>
        <v>81.099999999999994</v>
      </c>
      <c r="C548" s="1">
        <f t="shared" si="50"/>
        <v>7</v>
      </c>
      <c r="D548" s="1">
        <f t="shared" si="51"/>
        <v>27</v>
      </c>
      <c r="E548" s="1">
        <f t="shared" si="52"/>
        <v>18.25</v>
      </c>
      <c r="F548" s="1">
        <f t="shared" si="53"/>
        <v>32.5</v>
      </c>
      <c r="H548" s="11">
        <v>44028</v>
      </c>
      <c r="I548" s="25">
        <v>81.099999999999994</v>
      </c>
      <c r="J548" s="9">
        <v>0</v>
      </c>
      <c r="K548" s="9">
        <v>27</v>
      </c>
      <c r="L548" s="9">
        <v>18.25</v>
      </c>
      <c r="M548" s="9">
        <v>32.5</v>
      </c>
    </row>
    <row r="549" spans="1:13" x14ac:dyDescent="0.4">
      <c r="A549" s="16">
        <f t="shared" si="48"/>
        <v>44029</v>
      </c>
      <c r="B549" s="1">
        <f t="shared" si="49"/>
        <v>81.099999999999994</v>
      </c>
      <c r="C549" s="1">
        <f t="shared" si="50"/>
        <v>7</v>
      </c>
      <c r="D549" s="1">
        <f t="shared" si="51"/>
        <v>27</v>
      </c>
      <c r="E549" s="1">
        <f t="shared" si="52"/>
        <v>18.25</v>
      </c>
      <c r="F549" s="1">
        <f t="shared" si="53"/>
        <v>32.5</v>
      </c>
      <c r="H549" s="11">
        <v>44029</v>
      </c>
      <c r="I549" s="25">
        <v>0</v>
      </c>
      <c r="J549" s="9">
        <v>7</v>
      </c>
      <c r="K549" s="9">
        <v>0</v>
      </c>
      <c r="L549" s="9">
        <v>0</v>
      </c>
      <c r="M549" s="9">
        <v>0</v>
      </c>
    </row>
    <row r="550" spans="1:13" x14ac:dyDescent="0.4">
      <c r="A550" s="16">
        <f t="shared" si="48"/>
        <v>44035</v>
      </c>
      <c r="B550" s="1">
        <f t="shared" si="49"/>
        <v>87.2</v>
      </c>
      <c r="C550" s="1">
        <f t="shared" si="50"/>
        <v>7</v>
      </c>
      <c r="D550" s="1">
        <f t="shared" si="51"/>
        <v>28</v>
      </c>
      <c r="E550" s="1">
        <f t="shared" si="52"/>
        <v>20.5</v>
      </c>
      <c r="F550" s="1">
        <f t="shared" si="53"/>
        <v>32.5</v>
      </c>
      <c r="H550" s="11">
        <v>44035</v>
      </c>
      <c r="I550" s="25">
        <v>87.2</v>
      </c>
      <c r="J550" s="9">
        <v>0</v>
      </c>
      <c r="K550" s="9">
        <v>28</v>
      </c>
      <c r="L550" s="9">
        <v>20.5</v>
      </c>
      <c r="M550" s="9">
        <v>32.5</v>
      </c>
    </row>
    <row r="551" spans="1:13" x14ac:dyDescent="0.4">
      <c r="A551" s="16">
        <f t="shared" si="48"/>
        <v>44036</v>
      </c>
      <c r="B551" s="1">
        <f t="shared" si="49"/>
        <v>87.2</v>
      </c>
      <c r="C551" s="1">
        <f t="shared" si="50"/>
        <v>7</v>
      </c>
      <c r="D551" s="1">
        <f t="shared" si="51"/>
        <v>28</v>
      </c>
      <c r="E551" s="1">
        <f t="shared" si="52"/>
        <v>20.5</v>
      </c>
      <c r="F551" s="1">
        <f t="shared" si="53"/>
        <v>32.5</v>
      </c>
      <c r="H551" s="11">
        <v>44036</v>
      </c>
      <c r="I551" s="25">
        <v>0</v>
      </c>
      <c r="J551" s="9">
        <v>7</v>
      </c>
      <c r="K551" s="9">
        <v>0</v>
      </c>
      <c r="L551" s="9">
        <v>0</v>
      </c>
      <c r="M551" s="9">
        <v>0</v>
      </c>
    </row>
    <row r="552" spans="1:13" x14ac:dyDescent="0.4">
      <c r="A552" s="16">
        <f t="shared" si="48"/>
        <v>44042</v>
      </c>
      <c r="B552" s="1">
        <f t="shared" si="49"/>
        <v>86.5</v>
      </c>
      <c r="C552" s="1">
        <f t="shared" si="50"/>
        <v>7</v>
      </c>
      <c r="D552" s="1">
        <f t="shared" si="51"/>
        <v>27</v>
      </c>
      <c r="E552" s="1">
        <f t="shared" si="52"/>
        <v>21.5</v>
      </c>
      <c r="F552" s="1">
        <f t="shared" si="53"/>
        <v>32.5</v>
      </c>
      <c r="H552" s="11">
        <v>44042</v>
      </c>
      <c r="I552" s="25">
        <v>86.5</v>
      </c>
      <c r="J552" s="9">
        <v>0</v>
      </c>
      <c r="K552" s="9">
        <v>27</v>
      </c>
      <c r="L552" s="9">
        <v>21.5</v>
      </c>
      <c r="M552" s="9">
        <v>32.5</v>
      </c>
    </row>
    <row r="553" spans="1:13" x14ac:dyDescent="0.4">
      <c r="A553" s="16">
        <f t="shared" si="48"/>
        <v>44043</v>
      </c>
      <c r="B553" s="1">
        <f t="shared" si="49"/>
        <v>86.5</v>
      </c>
      <c r="C553" s="1">
        <f t="shared" si="50"/>
        <v>7</v>
      </c>
      <c r="D553" s="1">
        <f t="shared" si="51"/>
        <v>27</v>
      </c>
      <c r="E553" s="1">
        <f t="shared" si="52"/>
        <v>21.5</v>
      </c>
      <c r="F553" s="1">
        <f t="shared" si="53"/>
        <v>32.5</v>
      </c>
      <c r="H553" s="11">
        <v>44043</v>
      </c>
      <c r="I553" s="25">
        <v>0</v>
      </c>
      <c r="J553" s="9">
        <v>7</v>
      </c>
      <c r="K553" s="9">
        <v>0</v>
      </c>
      <c r="L553" s="9">
        <v>0</v>
      </c>
      <c r="M553" s="9">
        <v>0</v>
      </c>
    </row>
    <row r="554" spans="1:13" x14ac:dyDescent="0.4">
      <c r="A554" s="16">
        <f t="shared" si="48"/>
        <v>44049</v>
      </c>
      <c r="B554" s="1">
        <f t="shared" si="49"/>
        <v>82.25</v>
      </c>
      <c r="C554" s="1">
        <f t="shared" si="50"/>
        <v>7</v>
      </c>
      <c r="D554" s="1">
        <f t="shared" si="51"/>
        <v>25.5</v>
      </c>
      <c r="E554" s="1">
        <f t="shared" si="52"/>
        <v>21</v>
      </c>
      <c r="F554" s="1">
        <f t="shared" si="53"/>
        <v>32.5</v>
      </c>
      <c r="H554" s="11">
        <v>44049</v>
      </c>
      <c r="I554" s="25">
        <v>82.25</v>
      </c>
      <c r="J554" s="9">
        <v>0</v>
      </c>
      <c r="K554" s="9">
        <v>25.5</v>
      </c>
      <c r="L554" s="9">
        <v>21</v>
      </c>
      <c r="M554" s="9">
        <v>32.5</v>
      </c>
    </row>
    <row r="555" spans="1:13" x14ac:dyDescent="0.4">
      <c r="A555" s="16">
        <f t="shared" si="48"/>
        <v>44056</v>
      </c>
      <c r="B555" s="1">
        <f t="shared" si="49"/>
        <v>76.45</v>
      </c>
      <c r="C555" s="1">
        <f t="shared" si="50"/>
        <v>7</v>
      </c>
      <c r="D555" s="1">
        <f t="shared" si="51"/>
        <v>27.5</v>
      </c>
      <c r="E555" s="1">
        <f t="shared" si="52"/>
        <v>23.5</v>
      </c>
      <c r="F555" s="1">
        <f t="shared" si="53"/>
        <v>32.5</v>
      </c>
      <c r="H555" s="11">
        <v>44056</v>
      </c>
      <c r="I555" s="25">
        <v>76.45</v>
      </c>
      <c r="J555" s="9">
        <v>0</v>
      </c>
      <c r="K555" s="9">
        <v>27.5</v>
      </c>
      <c r="L555" s="9">
        <v>23.5</v>
      </c>
      <c r="M555" s="9">
        <v>32.5</v>
      </c>
    </row>
    <row r="556" spans="1:13" x14ac:dyDescent="0.4">
      <c r="A556" s="16">
        <f t="shared" si="48"/>
        <v>44057</v>
      </c>
      <c r="B556" s="1">
        <f t="shared" si="49"/>
        <v>76.45</v>
      </c>
      <c r="C556" s="1">
        <f t="shared" si="50"/>
        <v>7.5</v>
      </c>
      <c r="D556" s="1">
        <f t="shared" si="51"/>
        <v>27.5</v>
      </c>
      <c r="E556" s="1">
        <f t="shared" si="52"/>
        <v>23.5</v>
      </c>
      <c r="F556" s="1">
        <f t="shared" si="53"/>
        <v>32.5</v>
      </c>
      <c r="H556" s="11">
        <v>44057</v>
      </c>
      <c r="I556" s="25">
        <v>0</v>
      </c>
      <c r="J556" s="9">
        <v>7.5</v>
      </c>
      <c r="K556" s="9">
        <v>0</v>
      </c>
      <c r="L556" s="9">
        <v>0</v>
      </c>
      <c r="M556" s="9">
        <v>0</v>
      </c>
    </row>
    <row r="557" spans="1:13" x14ac:dyDescent="0.4">
      <c r="A557" s="16">
        <f t="shared" si="48"/>
        <v>44063</v>
      </c>
      <c r="B557" s="1">
        <f t="shared" si="49"/>
        <v>77.75</v>
      </c>
      <c r="C557" s="1">
        <f t="shared" si="50"/>
        <v>7.5</v>
      </c>
      <c r="D557" s="1">
        <f t="shared" si="51"/>
        <v>28</v>
      </c>
      <c r="E557" s="1">
        <f t="shared" si="52"/>
        <v>24.5</v>
      </c>
      <c r="F557" s="1">
        <f t="shared" si="53"/>
        <v>32.5</v>
      </c>
      <c r="H557" s="11">
        <v>44063</v>
      </c>
      <c r="I557" s="25">
        <v>77.75</v>
      </c>
      <c r="J557" s="9">
        <v>0</v>
      </c>
      <c r="K557" s="9">
        <v>28</v>
      </c>
      <c r="L557" s="9">
        <v>24.5</v>
      </c>
      <c r="M557" s="9">
        <v>32.5</v>
      </c>
    </row>
    <row r="558" spans="1:13" x14ac:dyDescent="0.4">
      <c r="A558" s="16">
        <f t="shared" si="48"/>
        <v>44064</v>
      </c>
      <c r="B558" s="1">
        <f t="shared" si="49"/>
        <v>77.75</v>
      </c>
      <c r="C558" s="1">
        <f t="shared" si="50"/>
        <v>7</v>
      </c>
      <c r="D558" s="1">
        <f t="shared" si="51"/>
        <v>28</v>
      </c>
      <c r="E558" s="1">
        <f t="shared" si="52"/>
        <v>24.5</v>
      </c>
      <c r="F558" s="1">
        <f t="shared" si="53"/>
        <v>32.5</v>
      </c>
      <c r="H558" s="11">
        <v>44064</v>
      </c>
      <c r="I558" s="25">
        <v>0</v>
      </c>
      <c r="J558" s="9">
        <v>7</v>
      </c>
      <c r="K558" s="9">
        <v>0</v>
      </c>
      <c r="L558" s="9">
        <v>0</v>
      </c>
      <c r="M558" s="9">
        <v>0</v>
      </c>
    </row>
    <row r="559" spans="1:13" x14ac:dyDescent="0.4">
      <c r="A559" s="16">
        <f t="shared" si="48"/>
        <v>44070</v>
      </c>
      <c r="B559" s="1">
        <f t="shared" si="49"/>
        <v>77.95</v>
      </c>
      <c r="C559" s="1">
        <f t="shared" si="50"/>
        <v>7</v>
      </c>
      <c r="D559" s="1">
        <f t="shared" si="51"/>
        <v>27</v>
      </c>
      <c r="E559" s="1">
        <f t="shared" si="52"/>
        <v>25.5</v>
      </c>
      <c r="F559" s="1">
        <f t="shared" si="53"/>
        <v>32.5</v>
      </c>
      <c r="H559" s="11">
        <v>44070</v>
      </c>
      <c r="I559" s="25">
        <v>77.95</v>
      </c>
      <c r="J559" s="9">
        <v>0</v>
      </c>
      <c r="K559" s="9">
        <v>27</v>
      </c>
      <c r="L559" s="9">
        <v>25.5</v>
      </c>
      <c r="M559" s="9">
        <v>32.5</v>
      </c>
    </row>
    <row r="560" spans="1:13" x14ac:dyDescent="0.4">
      <c r="A560" s="16">
        <f t="shared" si="48"/>
        <v>44071</v>
      </c>
      <c r="B560" s="1">
        <f t="shared" si="49"/>
        <v>77.95</v>
      </c>
      <c r="C560" s="1">
        <f t="shared" si="50"/>
        <v>7</v>
      </c>
      <c r="D560" s="1">
        <f t="shared" si="51"/>
        <v>27</v>
      </c>
      <c r="E560" s="1">
        <f t="shared" si="52"/>
        <v>25.5</v>
      </c>
      <c r="F560" s="1">
        <f t="shared" si="53"/>
        <v>32.5</v>
      </c>
      <c r="H560" s="11">
        <v>44071</v>
      </c>
      <c r="I560" s="25">
        <v>0</v>
      </c>
      <c r="J560" s="9">
        <v>7</v>
      </c>
      <c r="K560" s="9">
        <v>0</v>
      </c>
      <c r="L560" s="9">
        <v>0</v>
      </c>
      <c r="M560" s="9">
        <v>0</v>
      </c>
    </row>
    <row r="561" spans="1:13" x14ac:dyDescent="0.4">
      <c r="A561" s="16">
        <f t="shared" si="48"/>
        <v>44077</v>
      </c>
      <c r="B561" s="1">
        <f t="shared" si="49"/>
        <v>79.75</v>
      </c>
      <c r="C561" s="1">
        <f t="shared" si="50"/>
        <v>7</v>
      </c>
      <c r="D561" s="1">
        <f t="shared" si="51"/>
        <v>27</v>
      </c>
      <c r="E561" s="1">
        <f t="shared" si="52"/>
        <v>27</v>
      </c>
      <c r="F561" s="1">
        <f t="shared" si="53"/>
        <v>32.5</v>
      </c>
      <c r="H561" s="11">
        <v>44077</v>
      </c>
      <c r="I561" s="25">
        <v>79.75</v>
      </c>
      <c r="J561" s="9">
        <v>0</v>
      </c>
      <c r="K561" s="9">
        <v>27</v>
      </c>
      <c r="L561" s="9">
        <v>27</v>
      </c>
      <c r="M561" s="9">
        <v>32.5</v>
      </c>
    </row>
    <row r="562" spans="1:13" x14ac:dyDescent="0.4">
      <c r="A562" s="16">
        <f t="shared" si="48"/>
        <v>44078</v>
      </c>
      <c r="B562" s="1">
        <f t="shared" si="49"/>
        <v>79.75</v>
      </c>
      <c r="C562" s="1">
        <f t="shared" si="50"/>
        <v>7.5</v>
      </c>
      <c r="D562" s="1">
        <f t="shared" si="51"/>
        <v>27</v>
      </c>
      <c r="E562" s="1">
        <f t="shared" si="52"/>
        <v>27</v>
      </c>
      <c r="F562" s="1">
        <f t="shared" si="53"/>
        <v>32.5</v>
      </c>
      <c r="H562" s="11">
        <v>44078</v>
      </c>
      <c r="I562" s="25">
        <v>0</v>
      </c>
      <c r="J562" s="9">
        <v>7.5</v>
      </c>
      <c r="K562" s="9">
        <v>0</v>
      </c>
      <c r="L562" s="9">
        <v>0</v>
      </c>
      <c r="M562" s="9">
        <v>0</v>
      </c>
    </row>
    <row r="563" spans="1:13" x14ac:dyDescent="0.4">
      <c r="A563" s="16">
        <f t="shared" si="48"/>
        <v>44084</v>
      </c>
      <c r="B563" s="1">
        <f t="shared" si="49"/>
        <v>74.45</v>
      </c>
      <c r="C563" s="1">
        <f t="shared" si="50"/>
        <v>7.5</v>
      </c>
      <c r="D563" s="1">
        <f t="shared" si="51"/>
        <v>30</v>
      </c>
      <c r="E563" s="1">
        <f t="shared" si="52"/>
        <v>28.5</v>
      </c>
      <c r="F563" s="1">
        <f t="shared" si="53"/>
        <v>40</v>
      </c>
      <c r="H563" s="11">
        <v>44084</v>
      </c>
      <c r="I563" s="25">
        <v>74.45</v>
      </c>
      <c r="J563" s="9">
        <v>0</v>
      </c>
      <c r="K563" s="9">
        <v>30</v>
      </c>
      <c r="L563" s="9">
        <v>28.5</v>
      </c>
      <c r="M563" s="9">
        <v>40</v>
      </c>
    </row>
    <row r="564" spans="1:13" x14ac:dyDescent="0.4">
      <c r="A564" s="16">
        <f t="shared" si="48"/>
        <v>44085</v>
      </c>
      <c r="B564" s="1">
        <f t="shared" si="49"/>
        <v>74.45</v>
      </c>
      <c r="C564" s="1">
        <f t="shared" si="50"/>
        <v>7</v>
      </c>
      <c r="D564" s="1">
        <f t="shared" si="51"/>
        <v>30</v>
      </c>
      <c r="E564" s="1">
        <f t="shared" si="52"/>
        <v>28.5</v>
      </c>
      <c r="F564" s="1">
        <f t="shared" si="53"/>
        <v>40</v>
      </c>
      <c r="H564" s="11">
        <v>44085</v>
      </c>
      <c r="I564" s="25">
        <v>0</v>
      </c>
      <c r="J564" s="9">
        <v>7</v>
      </c>
      <c r="K564" s="9">
        <v>0</v>
      </c>
      <c r="L564" s="9">
        <v>0</v>
      </c>
      <c r="M564" s="9">
        <v>0</v>
      </c>
    </row>
    <row r="565" spans="1:13" x14ac:dyDescent="0.4">
      <c r="A565" s="16">
        <f t="shared" si="48"/>
        <v>44091</v>
      </c>
      <c r="B565" s="1">
        <f t="shared" si="49"/>
        <v>74.400000000000006</v>
      </c>
      <c r="C565" s="1">
        <f t="shared" si="50"/>
        <v>7</v>
      </c>
      <c r="D565" s="1">
        <f t="shared" si="51"/>
        <v>30.5</v>
      </c>
      <c r="E565" s="1">
        <f t="shared" si="52"/>
        <v>29.5</v>
      </c>
      <c r="F565" s="1">
        <f t="shared" si="53"/>
        <v>40</v>
      </c>
      <c r="H565" s="11">
        <v>44091</v>
      </c>
      <c r="I565" s="25">
        <v>74.400000000000006</v>
      </c>
      <c r="J565" s="9">
        <v>0</v>
      </c>
      <c r="K565" s="9">
        <v>30.5</v>
      </c>
      <c r="L565" s="9">
        <v>29.5</v>
      </c>
      <c r="M565" s="9">
        <v>40</v>
      </c>
    </row>
    <row r="566" spans="1:13" x14ac:dyDescent="0.4">
      <c r="A566" s="16">
        <f t="shared" si="48"/>
        <v>44092</v>
      </c>
      <c r="B566" s="1">
        <f t="shared" si="49"/>
        <v>74.400000000000006</v>
      </c>
      <c r="C566" s="1">
        <f t="shared" si="50"/>
        <v>7.5</v>
      </c>
      <c r="D566" s="1">
        <f t="shared" si="51"/>
        <v>30.5</v>
      </c>
      <c r="E566" s="1">
        <f t="shared" si="52"/>
        <v>29.5</v>
      </c>
      <c r="F566" s="1">
        <f t="shared" si="53"/>
        <v>40</v>
      </c>
      <c r="H566" s="11">
        <v>44092</v>
      </c>
      <c r="I566" s="25">
        <v>0</v>
      </c>
      <c r="J566" s="9">
        <v>7.5</v>
      </c>
      <c r="K566" s="9">
        <v>0</v>
      </c>
      <c r="L566" s="9">
        <v>0</v>
      </c>
      <c r="M566" s="9">
        <v>0</v>
      </c>
    </row>
    <row r="567" spans="1:13" x14ac:dyDescent="0.4">
      <c r="A567" s="16">
        <f t="shared" si="48"/>
        <v>44098</v>
      </c>
      <c r="B567" s="1">
        <f t="shared" si="49"/>
        <v>73.900000000000006</v>
      </c>
      <c r="C567" s="1">
        <f t="shared" si="50"/>
        <v>7.5</v>
      </c>
      <c r="D567" s="1">
        <f t="shared" si="51"/>
        <v>29</v>
      </c>
      <c r="E567" s="1">
        <f t="shared" si="52"/>
        <v>29.5</v>
      </c>
      <c r="F567" s="1">
        <f t="shared" si="53"/>
        <v>40</v>
      </c>
      <c r="H567" s="11">
        <v>44098</v>
      </c>
      <c r="I567" s="25">
        <v>73.900000000000006</v>
      </c>
      <c r="J567" s="9">
        <v>0</v>
      </c>
      <c r="K567" s="9">
        <v>29</v>
      </c>
      <c r="L567" s="9">
        <v>29.5</v>
      </c>
      <c r="M567" s="9">
        <v>40</v>
      </c>
    </row>
    <row r="568" spans="1:13" x14ac:dyDescent="0.4">
      <c r="A568" s="16">
        <f t="shared" si="48"/>
        <v>44099</v>
      </c>
      <c r="B568" s="1">
        <f t="shared" si="49"/>
        <v>73.900000000000006</v>
      </c>
      <c r="C568" s="1">
        <f t="shared" si="50"/>
        <v>7.5</v>
      </c>
      <c r="D568" s="1">
        <f t="shared" si="51"/>
        <v>29</v>
      </c>
      <c r="E568" s="1">
        <f t="shared" si="52"/>
        <v>29.5</v>
      </c>
      <c r="F568" s="1">
        <f t="shared" si="53"/>
        <v>40</v>
      </c>
      <c r="H568" s="11">
        <v>44099</v>
      </c>
      <c r="I568" s="25">
        <v>0</v>
      </c>
      <c r="J568" s="9">
        <v>7.5</v>
      </c>
      <c r="K568" s="9">
        <v>0</v>
      </c>
      <c r="L568" s="9">
        <v>0</v>
      </c>
      <c r="M568" s="9">
        <v>0</v>
      </c>
    </row>
    <row r="569" spans="1:13" x14ac:dyDescent="0.4">
      <c r="A569" s="16">
        <f t="shared" si="48"/>
        <v>44104</v>
      </c>
      <c r="B569" s="1">
        <f t="shared" si="49"/>
        <v>70.95</v>
      </c>
      <c r="C569" s="1">
        <f t="shared" si="50"/>
        <v>7.5</v>
      </c>
      <c r="D569" s="1">
        <f t="shared" si="51"/>
        <v>26.5</v>
      </c>
      <c r="E569" s="1">
        <f t="shared" si="52"/>
        <v>27</v>
      </c>
      <c r="F569" s="1">
        <f t="shared" si="53"/>
        <v>40</v>
      </c>
      <c r="H569" s="11">
        <v>44104</v>
      </c>
      <c r="I569" s="25">
        <v>70.95</v>
      </c>
      <c r="J569" s="9">
        <v>0</v>
      </c>
      <c r="K569" s="9">
        <v>26.5</v>
      </c>
      <c r="L569" s="9">
        <v>27</v>
      </c>
      <c r="M569" s="9">
        <v>40</v>
      </c>
    </row>
    <row r="570" spans="1:13" x14ac:dyDescent="0.4">
      <c r="A570" s="16">
        <f t="shared" si="48"/>
        <v>44119</v>
      </c>
      <c r="B570" s="1">
        <f t="shared" si="49"/>
        <v>66.8</v>
      </c>
      <c r="C570" s="1">
        <f t="shared" si="50"/>
        <v>7.5</v>
      </c>
      <c r="D570" s="1">
        <f t="shared" si="51"/>
        <v>17.5</v>
      </c>
      <c r="E570" s="1">
        <f t="shared" si="52"/>
        <v>15.5</v>
      </c>
      <c r="F570" s="1">
        <f t="shared" si="53"/>
        <v>27.5</v>
      </c>
      <c r="H570" s="11">
        <v>44119</v>
      </c>
      <c r="I570" s="25">
        <v>66.8</v>
      </c>
      <c r="J570" s="9">
        <v>0</v>
      </c>
      <c r="K570" s="9">
        <v>17.5</v>
      </c>
      <c r="L570" s="9">
        <v>15.5</v>
      </c>
      <c r="M570" s="9">
        <v>27.5</v>
      </c>
    </row>
    <row r="571" spans="1:13" x14ac:dyDescent="0.4">
      <c r="A571" s="16">
        <f t="shared" si="48"/>
        <v>44120</v>
      </c>
      <c r="B571" s="1">
        <f t="shared" si="49"/>
        <v>66.8</v>
      </c>
      <c r="C571" s="1">
        <f t="shared" si="50"/>
        <v>7</v>
      </c>
      <c r="D571" s="1">
        <f t="shared" si="51"/>
        <v>17.5</v>
      </c>
      <c r="E571" s="1">
        <f t="shared" si="52"/>
        <v>15.5</v>
      </c>
      <c r="F571" s="1">
        <f t="shared" si="53"/>
        <v>27.5</v>
      </c>
      <c r="H571" s="11">
        <v>44120</v>
      </c>
      <c r="I571" s="25">
        <v>0</v>
      </c>
      <c r="J571" s="9">
        <v>7</v>
      </c>
      <c r="K571" s="9">
        <v>0</v>
      </c>
      <c r="L571" s="9">
        <v>0</v>
      </c>
      <c r="M571" s="9">
        <v>0</v>
      </c>
    </row>
    <row r="572" spans="1:13" x14ac:dyDescent="0.4">
      <c r="A572" s="16">
        <f t="shared" si="48"/>
        <v>44126</v>
      </c>
      <c r="B572" s="1">
        <f t="shared" si="49"/>
        <v>64</v>
      </c>
      <c r="C572" s="1">
        <f t="shared" si="50"/>
        <v>7</v>
      </c>
      <c r="D572" s="1">
        <f t="shared" si="51"/>
        <v>16</v>
      </c>
      <c r="E572" s="1">
        <f t="shared" si="52"/>
        <v>15.5</v>
      </c>
      <c r="F572" s="1">
        <f t="shared" si="53"/>
        <v>27.5</v>
      </c>
      <c r="H572" s="11">
        <v>44126</v>
      </c>
      <c r="I572" s="25">
        <v>64</v>
      </c>
      <c r="J572" s="9">
        <v>0</v>
      </c>
      <c r="K572" s="9">
        <v>16</v>
      </c>
      <c r="L572" s="9">
        <v>15.5</v>
      </c>
      <c r="M572" s="9">
        <v>27.5</v>
      </c>
    </row>
    <row r="573" spans="1:13" x14ac:dyDescent="0.4">
      <c r="A573" s="16">
        <f t="shared" si="48"/>
        <v>44127</v>
      </c>
      <c r="B573" s="1">
        <f t="shared" si="49"/>
        <v>64</v>
      </c>
      <c r="C573" s="1">
        <f t="shared" si="50"/>
        <v>7</v>
      </c>
      <c r="D573" s="1">
        <f t="shared" si="51"/>
        <v>16</v>
      </c>
      <c r="E573" s="1">
        <f t="shared" si="52"/>
        <v>15.5</v>
      </c>
      <c r="F573" s="1">
        <f t="shared" si="53"/>
        <v>27.5</v>
      </c>
      <c r="H573" s="11">
        <v>44127</v>
      </c>
      <c r="I573" s="25">
        <v>0</v>
      </c>
      <c r="J573" s="9">
        <v>7</v>
      </c>
      <c r="K573" s="9">
        <v>0</v>
      </c>
      <c r="L573" s="9">
        <v>0</v>
      </c>
      <c r="M573" s="9">
        <v>0</v>
      </c>
    </row>
    <row r="574" spans="1:13" x14ac:dyDescent="0.4">
      <c r="A574" s="16">
        <f t="shared" si="48"/>
        <v>44133</v>
      </c>
      <c r="B574" s="1">
        <f t="shared" si="49"/>
        <v>73.8</v>
      </c>
      <c r="C574" s="1">
        <f t="shared" si="50"/>
        <v>7</v>
      </c>
      <c r="D574" s="1">
        <f t="shared" si="51"/>
        <v>18</v>
      </c>
      <c r="E574" s="1">
        <f t="shared" si="52"/>
        <v>17.5</v>
      </c>
      <c r="F574" s="1">
        <f t="shared" si="53"/>
        <v>27.5</v>
      </c>
      <c r="H574" s="11">
        <v>44133</v>
      </c>
      <c r="I574" s="25">
        <v>73.8</v>
      </c>
      <c r="J574" s="9">
        <v>0</v>
      </c>
      <c r="K574" s="9">
        <v>18</v>
      </c>
      <c r="L574" s="9">
        <v>17.5</v>
      </c>
      <c r="M574" s="9">
        <v>27.5</v>
      </c>
    </row>
    <row r="575" spans="1:13" x14ac:dyDescent="0.4">
      <c r="A575" s="16">
        <f t="shared" si="48"/>
        <v>44134</v>
      </c>
      <c r="B575" s="1">
        <f t="shared" si="49"/>
        <v>73.8</v>
      </c>
      <c r="C575" s="1">
        <f t="shared" si="50"/>
        <v>7</v>
      </c>
      <c r="D575" s="1">
        <f t="shared" si="51"/>
        <v>18</v>
      </c>
      <c r="E575" s="1">
        <f t="shared" si="52"/>
        <v>17.5</v>
      </c>
      <c r="F575" s="1">
        <f t="shared" si="53"/>
        <v>27.5</v>
      </c>
      <c r="H575" s="11">
        <v>44134</v>
      </c>
      <c r="I575" s="25">
        <v>0</v>
      </c>
      <c r="J575" s="9">
        <v>7</v>
      </c>
      <c r="K575" s="9">
        <v>0</v>
      </c>
      <c r="L575" s="9">
        <v>0</v>
      </c>
      <c r="M575" s="9">
        <v>0</v>
      </c>
    </row>
    <row r="576" spans="1:13" x14ac:dyDescent="0.4">
      <c r="A576" s="16">
        <f t="shared" si="48"/>
        <v>44140</v>
      </c>
      <c r="B576" s="1">
        <f t="shared" si="49"/>
        <v>67.5</v>
      </c>
      <c r="C576" s="1">
        <f t="shared" si="50"/>
        <v>7</v>
      </c>
      <c r="D576" s="1">
        <f t="shared" si="51"/>
        <v>18</v>
      </c>
      <c r="E576" s="1">
        <f t="shared" si="52"/>
        <v>18</v>
      </c>
      <c r="F576" s="1">
        <f t="shared" si="53"/>
        <v>27.5</v>
      </c>
      <c r="H576" s="11">
        <v>44140</v>
      </c>
      <c r="I576" s="25">
        <v>67.5</v>
      </c>
      <c r="J576" s="9">
        <v>0</v>
      </c>
      <c r="K576" s="9">
        <v>18</v>
      </c>
      <c r="L576" s="9">
        <v>18</v>
      </c>
      <c r="M576" s="9">
        <v>27.5</v>
      </c>
    </row>
    <row r="577" spans="1:13" x14ac:dyDescent="0.4">
      <c r="A577" s="16">
        <f t="shared" si="48"/>
        <v>44141</v>
      </c>
      <c r="B577" s="1">
        <f t="shared" si="49"/>
        <v>67.5</v>
      </c>
      <c r="C577" s="1">
        <f t="shared" si="50"/>
        <v>6.5</v>
      </c>
      <c r="D577" s="1">
        <f t="shared" si="51"/>
        <v>18</v>
      </c>
      <c r="E577" s="1">
        <f t="shared" si="52"/>
        <v>18</v>
      </c>
      <c r="F577" s="1">
        <f t="shared" si="53"/>
        <v>27.5</v>
      </c>
      <c r="H577" s="11">
        <v>44141</v>
      </c>
      <c r="I577" s="25">
        <v>0</v>
      </c>
      <c r="J577" s="9">
        <v>6.5</v>
      </c>
      <c r="K577" s="9">
        <v>0</v>
      </c>
      <c r="L577" s="9">
        <v>0</v>
      </c>
      <c r="M577" s="9">
        <v>0</v>
      </c>
    </row>
    <row r="578" spans="1:13" x14ac:dyDescent="0.4">
      <c r="A578" s="16">
        <f t="shared" si="48"/>
        <v>44147</v>
      </c>
      <c r="B578" s="1">
        <f t="shared" si="49"/>
        <v>73.400000000000006</v>
      </c>
      <c r="C578" s="1">
        <f t="shared" si="50"/>
        <v>6.5</v>
      </c>
      <c r="D578" s="1">
        <f t="shared" si="51"/>
        <v>18</v>
      </c>
      <c r="E578" s="1">
        <f t="shared" si="52"/>
        <v>17.5</v>
      </c>
      <c r="F578" s="1">
        <f t="shared" si="53"/>
        <v>27.5</v>
      </c>
      <c r="H578" s="11">
        <v>44147</v>
      </c>
      <c r="I578" s="25">
        <v>73.400000000000006</v>
      </c>
      <c r="J578" s="9">
        <v>0</v>
      </c>
      <c r="K578" s="9">
        <v>18</v>
      </c>
      <c r="L578" s="9">
        <v>17.5</v>
      </c>
      <c r="M578" s="9">
        <v>27.5</v>
      </c>
    </row>
    <row r="579" spans="1:13" x14ac:dyDescent="0.4">
      <c r="A579" s="16">
        <f t="shared" si="48"/>
        <v>44148</v>
      </c>
      <c r="B579" s="1">
        <f t="shared" si="49"/>
        <v>73.400000000000006</v>
      </c>
      <c r="C579" s="1">
        <f t="shared" si="50"/>
        <v>6.5</v>
      </c>
      <c r="D579" s="1">
        <f t="shared" si="51"/>
        <v>18</v>
      </c>
      <c r="E579" s="1">
        <f t="shared" si="52"/>
        <v>17.5</v>
      </c>
      <c r="F579" s="1">
        <f t="shared" si="53"/>
        <v>27.5</v>
      </c>
      <c r="H579" s="11">
        <v>44148</v>
      </c>
      <c r="I579" s="25">
        <v>0</v>
      </c>
      <c r="J579" s="9">
        <v>6.5</v>
      </c>
      <c r="K579" s="9">
        <v>0</v>
      </c>
      <c r="L579" s="9">
        <v>0</v>
      </c>
      <c r="M579" s="9">
        <v>0</v>
      </c>
    </row>
    <row r="580" spans="1:13" x14ac:dyDescent="0.4">
      <c r="A580" s="16">
        <f t="shared" si="48"/>
        <v>44154</v>
      </c>
      <c r="B580" s="1">
        <f t="shared" si="49"/>
        <v>63.9</v>
      </c>
      <c r="C580" s="1">
        <f t="shared" si="50"/>
        <v>6.5</v>
      </c>
      <c r="D580" s="1">
        <f t="shared" si="51"/>
        <v>18.5</v>
      </c>
      <c r="E580" s="1">
        <f t="shared" si="52"/>
        <v>19.5</v>
      </c>
      <c r="F580" s="1">
        <f t="shared" si="53"/>
        <v>29</v>
      </c>
      <c r="H580" s="11">
        <v>44154</v>
      </c>
      <c r="I580" s="25">
        <v>63.9</v>
      </c>
      <c r="J580" s="9">
        <v>0</v>
      </c>
      <c r="K580" s="9">
        <v>18.5</v>
      </c>
      <c r="L580" s="9">
        <v>19.5</v>
      </c>
      <c r="M580" s="9">
        <v>29</v>
      </c>
    </row>
    <row r="581" spans="1:13" x14ac:dyDescent="0.4">
      <c r="A581" s="16">
        <f t="shared" si="48"/>
        <v>44155</v>
      </c>
      <c r="B581" s="1">
        <f t="shared" si="49"/>
        <v>63.9</v>
      </c>
      <c r="C581" s="1">
        <f t="shared" si="50"/>
        <v>7</v>
      </c>
      <c r="D581" s="1">
        <f t="shared" si="51"/>
        <v>18.5</v>
      </c>
      <c r="E581" s="1">
        <f t="shared" si="52"/>
        <v>19.5</v>
      </c>
      <c r="F581" s="1">
        <f t="shared" si="53"/>
        <v>29</v>
      </c>
      <c r="H581" s="11">
        <v>44155</v>
      </c>
      <c r="I581" s="25">
        <v>0</v>
      </c>
      <c r="J581" s="9">
        <v>7</v>
      </c>
      <c r="K581" s="9">
        <v>0</v>
      </c>
      <c r="L581" s="9">
        <v>0</v>
      </c>
      <c r="M581" s="9">
        <v>0</v>
      </c>
    </row>
    <row r="582" spans="1:13" x14ac:dyDescent="0.4">
      <c r="A582" s="16">
        <f t="shared" ref="A582:A645" si="54">H582</f>
        <v>44161</v>
      </c>
      <c r="B582" s="1">
        <f t="shared" ref="B582:B645" si="55">IF(I582&lt;&gt;0,I582,B581)</f>
        <v>66.2</v>
      </c>
      <c r="C582" s="1">
        <f t="shared" si="50"/>
        <v>7</v>
      </c>
      <c r="D582" s="1">
        <f t="shared" si="51"/>
        <v>17</v>
      </c>
      <c r="E582" s="1">
        <f t="shared" si="52"/>
        <v>18.5</v>
      </c>
      <c r="F582" s="1">
        <f t="shared" si="53"/>
        <v>28</v>
      </c>
      <c r="H582" s="11">
        <v>44161</v>
      </c>
      <c r="I582" s="25">
        <v>66.2</v>
      </c>
      <c r="J582" s="9">
        <v>0</v>
      </c>
      <c r="K582" s="9">
        <v>17</v>
      </c>
      <c r="L582" s="9">
        <v>18.5</v>
      </c>
      <c r="M582" s="9">
        <v>28</v>
      </c>
    </row>
    <row r="583" spans="1:13" x14ac:dyDescent="0.4">
      <c r="A583" s="16">
        <f t="shared" si="54"/>
        <v>44162</v>
      </c>
      <c r="B583" s="1">
        <f t="shared" si="55"/>
        <v>66.2</v>
      </c>
      <c r="C583" s="1">
        <f t="shared" ref="C583:C646" si="56">IF(J583&lt;&gt;0,J583,C582)</f>
        <v>7</v>
      </c>
      <c r="D583" s="1">
        <f t="shared" ref="D583:D646" si="57">IF(K583&lt;&gt;0,K583,D582)</f>
        <v>17</v>
      </c>
      <c r="E583" s="1">
        <f t="shared" ref="E583:E646" si="58">IF(L583&lt;&gt;0,L583,E582)</f>
        <v>18.5</v>
      </c>
      <c r="F583" s="1">
        <f t="shared" ref="F583:F646" si="59">IF(M583&lt;&gt;0,M583,F582)</f>
        <v>28</v>
      </c>
      <c r="H583" s="11">
        <v>44162</v>
      </c>
      <c r="I583" s="25">
        <v>0</v>
      </c>
      <c r="J583" s="9">
        <v>7</v>
      </c>
      <c r="K583" s="9">
        <v>0</v>
      </c>
      <c r="L583" s="9">
        <v>0</v>
      </c>
      <c r="M583" s="9">
        <v>0</v>
      </c>
    </row>
    <row r="584" spans="1:13" x14ac:dyDescent="0.4">
      <c r="A584" s="16">
        <f t="shared" si="54"/>
        <v>44168</v>
      </c>
      <c r="B584" s="1">
        <f t="shared" si="55"/>
        <v>71.7</v>
      </c>
      <c r="C584" s="1">
        <f t="shared" si="56"/>
        <v>7</v>
      </c>
      <c r="D584" s="1">
        <f t="shared" si="57"/>
        <v>18.5</v>
      </c>
      <c r="E584" s="1">
        <f t="shared" si="58"/>
        <v>19.5</v>
      </c>
      <c r="F584" s="1">
        <f t="shared" si="59"/>
        <v>28.5</v>
      </c>
      <c r="H584" s="11">
        <v>44168</v>
      </c>
      <c r="I584" s="25">
        <v>71.7</v>
      </c>
      <c r="J584" s="9">
        <v>0</v>
      </c>
      <c r="K584" s="9">
        <v>18.5</v>
      </c>
      <c r="L584" s="9">
        <v>19.5</v>
      </c>
      <c r="M584" s="9">
        <v>28.5</v>
      </c>
    </row>
    <row r="585" spans="1:13" x14ac:dyDescent="0.4">
      <c r="A585" s="16">
        <f t="shared" si="54"/>
        <v>44169</v>
      </c>
      <c r="B585" s="1">
        <f t="shared" si="55"/>
        <v>71.7</v>
      </c>
      <c r="C585" s="1">
        <f t="shared" si="56"/>
        <v>7</v>
      </c>
      <c r="D585" s="1">
        <f t="shared" si="57"/>
        <v>18.5</v>
      </c>
      <c r="E585" s="1">
        <f t="shared" si="58"/>
        <v>19.5</v>
      </c>
      <c r="F585" s="1">
        <f t="shared" si="59"/>
        <v>28.5</v>
      </c>
      <c r="H585" s="11">
        <v>44169</v>
      </c>
      <c r="I585" s="25">
        <v>0</v>
      </c>
      <c r="J585" s="9">
        <v>7</v>
      </c>
      <c r="K585" s="9">
        <v>0</v>
      </c>
      <c r="L585" s="9">
        <v>0</v>
      </c>
      <c r="M585" s="9">
        <v>0</v>
      </c>
    </row>
    <row r="586" spans="1:13" x14ac:dyDescent="0.4">
      <c r="A586" s="16">
        <f t="shared" si="54"/>
        <v>44175</v>
      </c>
      <c r="B586" s="1">
        <f t="shared" si="55"/>
        <v>67.3</v>
      </c>
      <c r="C586" s="1">
        <f t="shared" si="56"/>
        <v>7</v>
      </c>
      <c r="D586" s="1">
        <f t="shared" si="57"/>
        <v>17.5</v>
      </c>
      <c r="E586" s="1">
        <f t="shared" si="58"/>
        <v>18</v>
      </c>
      <c r="F586" s="1">
        <f t="shared" si="59"/>
        <v>27</v>
      </c>
      <c r="H586" s="11">
        <v>44175</v>
      </c>
      <c r="I586" s="25">
        <v>67.3</v>
      </c>
      <c r="J586" s="9">
        <v>0</v>
      </c>
      <c r="K586" s="9">
        <v>17.5</v>
      </c>
      <c r="L586" s="9">
        <v>18</v>
      </c>
      <c r="M586" s="9">
        <v>27</v>
      </c>
    </row>
    <row r="587" spans="1:13" x14ac:dyDescent="0.4">
      <c r="A587" s="16">
        <f t="shared" si="54"/>
        <v>44176</v>
      </c>
      <c r="B587" s="1">
        <f t="shared" si="55"/>
        <v>67.3</v>
      </c>
      <c r="C587" s="1">
        <f t="shared" si="56"/>
        <v>7.2</v>
      </c>
      <c r="D587" s="1">
        <f t="shared" si="57"/>
        <v>17.5</v>
      </c>
      <c r="E587" s="1">
        <f t="shared" si="58"/>
        <v>18</v>
      </c>
      <c r="F587" s="1">
        <f t="shared" si="59"/>
        <v>27</v>
      </c>
      <c r="H587" s="11">
        <v>44176</v>
      </c>
      <c r="I587" s="25">
        <v>0</v>
      </c>
      <c r="J587" s="9">
        <v>7.2</v>
      </c>
      <c r="K587" s="9">
        <v>0</v>
      </c>
      <c r="L587" s="9">
        <v>0</v>
      </c>
      <c r="M587" s="9">
        <v>0</v>
      </c>
    </row>
    <row r="588" spans="1:13" x14ac:dyDescent="0.4">
      <c r="A588" s="16">
        <f t="shared" si="54"/>
        <v>44182</v>
      </c>
      <c r="B588" s="1">
        <f t="shared" si="55"/>
        <v>66.599999999999994</v>
      </c>
      <c r="C588" s="1">
        <f t="shared" si="56"/>
        <v>7.2</v>
      </c>
      <c r="D588" s="1">
        <f t="shared" si="57"/>
        <v>17.5</v>
      </c>
      <c r="E588" s="1">
        <f t="shared" si="58"/>
        <v>18</v>
      </c>
      <c r="F588" s="1">
        <f t="shared" si="59"/>
        <v>27</v>
      </c>
      <c r="H588" s="11">
        <v>44182</v>
      </c>
      <c r="I588" s="25">
        <v>66.599999999999994</v>
      </c>
      <c r="J588" s="9">
        <v>0</v>
      </c>
      <c r="K588" s="9">
        <v>17.5</v>
      </c>
      <c r="L588" s="9">
        <v>18</v>
      </c>
      <c r="M588" s="9">
        <v>27</v>
      </c>
    </row>
    <row r="589" spans="1:13" x14ac:dyDescent="0.4">
      <c r="A589" s="16">
        <f t="shared" si="54"/>
        <v>44183</v>
      </c>
      <c r="B589" s="1">
        <f t="shared" si="55"/>
        <v>66.599999999999994</v>
      </c>
      <c r="C589" s="1">
        <f t="shared" si="56"/>
        <v>7</v>
      </c>
      <c r="D589" s="1">
        <f t="shared" si="57"/>
        <v>17.5</v>
      </c>
      <c r="E589" s="1">
        <f t="shared" si="58"/>
        <v>18</v>
      </c>
      <c r="F589" s="1">
        <f t="shared" si="59"/>
        <v>27</v>
      </c>
      <c r="H589" s="11">
        <v>44183</v>
      </c>
      <c r="I589" s="25">
        <v>0</v>
      </c>
      <c r="J589" s="9">
        <v>7</v>
      </c>
      <c r="K589" s="9">
        <v>0</v>
      </c>
      <c r="L589" s="9">
        <v>0</v>
      </c>
      <c r="M589" s="9">
        <v>0</v>
      </c>
    </row>
    <row r="590" spans="1:13" x14ac:dyDescent="0.4">
      <c r="A590" s="16">
        <f t="shared" si="54"/>
        <v>44189</v>
      </c>
      <c r="B590" s="1">
        <f t="shared" si="55"/>
        <v>67.2</v>
      </c>
      <c r="C590" s="1">
        <f t="shared" si="56"/>
        <v>7</v>
      </c>
      <c r="D590" s="1">
        <f t="shared" si="57"/>
        <v>15.5</v>
      </c>
      <c r="E590" s="1">
        <f t="shared" si="58"/>
        <v>17</v>
      </c>
      <c r="F590" s="1">
        <f t="shared" si="59"/>
        <v>27</v>
      </c>
      <c r="H590" s="11">
        <v>44189</v>
      </c>
      <c r="I590" s="25">
        <v>67.2</v>
      </c>
      <c r="J590" s="9">
        <v>0</v>
      </c>
      <c r="K590" s="9">
        <v>15.5</v>
      </c>
      <c r="L590" s="9">
        <v>17</v>
      </c>
      <c r="M590" s="9">
        <v>27</v>
      </c>
    </row>
    <row r="591" spans="1:13" x14ac:dyDescent="0.4">
      <c r="A591" s="16">
        <f t="shared" si="54"/>
        <v>44190</v>
      </c>
      <c r="B591" s="1">
        <f t="shared" si="55"/>
        <v>67.2</v>
      </c>
      <c r="C591" s="1">
        <f t="shared" si="56"/>
        <v>7.3</v>
      </c>
      <c r="D591" s="1">
        <f t="shared" si="57"/>
        <v>15.5</v>
      </c>
      <c r="E591" s="1">
        <f t="shared" si="58"/>
        <v>17</v>
      </c>
      <c r="F591" s="1">
        <f t="shared" si="59"/>
        <v>27</v>
      </c>
      <c r="H591" s="11">
        <v>44190</v>
      </c>
      <c r="I591" s="25">
        <v>0</v>
      </c>
      <c r="J591" s="9">
        <v>7.3</v>
      </c>
      <c r="K591" s="9">
        <v>0</v>
      </c>
      <c r="L591" s="9">
        <v>0</v>
      </c>
      <c r="M591" s="9">
        <v>0</v>
      </c>
    </row>
    <row r="592" spans="1:13" x14ac:dyDescent="0.4">
      <c r="A592" s="16">
        <f t="shared" si="54"/>
        <v>44196</v>
      </c>
      <c r="B592" s="1">
        <f t="shared" si="55"/>
        <v>72.400000000000006</v>
      </c>
      <c r="C592" s="1">
        <f t="shared" si="56"/>
        <v>6</v>
      </c>
      <c r="D592" s="1">
        <f t="shared" si="57"/>
        <v>15</v>
      </c>
      <c r="E592" s="1">
        <f t="shared" si="58"/>
        <v>15</v>
      </c>
      <c r="F592" s="1">
        <f t="shared" si="59"/>
        <v>22</v>
      </c>
      <c r="H592" s="11">
        <v>44196</v>
      </c>
      <c r="I592" s="25">
        <v>72.400000000000006</v>
      </c>
      <c r="J592" s="9">
        <v>6</v>
      </c>
      <c r="K592" s="9">
        <v>15</v>
      </c>
      <c r="L592" s="9">
        <v>15</v>
      </c>
      <c r="M592" s="9">
        <v>22</v>
      </c>
    </row>
    <row r="593" spans="1:13" x14ac:dyDescent="0.4">
      <c r="A593" s="16">
        <f t="shared" si="54"/>
        <v>44203</v>
      </c>
      <c r="B593" s="1">
        <f t="shared" si="55"/>
        <v>71.7</v>
      </c>
      <c r="C593" s="1">
        <f t="shared" si="56"/>
        <v>6</v>
      </c>
      <c r="D593" s="1">
        <f t="shared" si="57"/>
        <v>9.5</v>
      </c>
      <c r="E593" s="1">
        <f t="shared" si="58"/>
        <v>10.5</v>
      </c>
      <c r="F593" s="1">
        <f t="shared" si="59"/>
        <v>14.5</v>
      </c>
      <c r="H593" s="11">
        <v>44203</v>
      </c>
      <c r="I593" s="25">
        <v>71.7</v>
      </c>
      <c r="J593" s="9">
        <v>0</v>
      </c>
      <c r="K593" s="9">
        <v>9.5</v>
      </c>
      <c r="L593" s="9">
        <v>10.5</v>
      </c>
      <c r="M593" s="9">
        <v>14.5</v>
      </c>
    </row>
    <row r="594" spans="1:13" x14ac:dyDescent="0.4">
      <c r="A594" s="16">
        <f t="shared" si="54"/>
        <v>44204</v>
      </c>
      <c r="B594" s="1">
        <f t="shared" si="55"/>
        <v>71.7</v>
      </c>
      <c r="C594" s="1">
        <f t="shared" si="56"/>
        <v>4.2</v>
      </c>
      <c r="D594" s="1">
        <f t="shared" si="57"/>
        <v>9.5</v>
      </c>
      <c r="E594" s="1">
        <f t="shared" si="58"/>
        <v>10.5</v>
      </c>
      <c r="F594" s="1">
        <f t="shared" si="59"/>
        <v>14.5</v>
      </c>
      <c r="H594" s="11">
        <v>44204</v>
      </c>
      <c r="I594" s="25">
        <v>0</v>
      </c>
      <c r="J594" s="9">
        <v>4.2</v>
      </c>
      <c r="K594" s="9">
        <v>0</v>
      </c>
      <c r="L594" s="9">
        <v>0</v>
      </c>
      <c r="M594" s="9">
        <v>0</v>
      </c>
    </row>
    <row r="595" spans="1:13" x14ac:dyDescent="0.4">
      <c r="A595" s="16">
        <f t="shared" si="54"/>
        <v>44210</v>
      </c>
      <c r="B595" s="1">
        <f t="shared" si="55"/>
        <v>63.5</v>
      </c>
      <c r="C595" s="1">
        <f t="shared" si="56"/>
        <v>4.2</v>
      </c>
      <c r="D595" s="1">
        <f t="shared" si="57"/>
        <v>9.5</v>
      </c>
      <c r="E595" s="1">
        <f t="shared" si="58"/>
        <v>10.5</v>
      </c>
      <c r="F595" s="1">
        <f t="shared" si="59"/>
        <v>14.5</v>
      </c>
      <c r="H595" s="11">
        <v>44210</v>
      </c>
      <c r="I595" s="25">
        <v>63.5</v>
      </c>
      <c r="J595" s="9">
        <v>0</v>
      </c>
      <c r="K595" s="9">
        <v>9.5</v>
      </c>
      <c r="L595" s="9">
        <v>10.5</v>
      </c>
      <c r="M595" s="9">
        <v>14.5</v>
      </c>
    </row>
    <row r="596" spans="1:13" x14ac:dyDescent="0.4">
      <c r="A596" s="16">
        <f t="shared" si="54"/>
        <v>44211</v>
      </c>
      <c r="B596" s="1">
        <f t="shared" si="55"/>
        <v>63.5</v>
      </c>
      <c r="C596" s="1">
        <f t="shared" si="56"/>
        <v>4.4000000000000004</v>
      </c>
      <c r="D596" s="1">
        <f t="shared" si="57"/>
        <v>9.5</v>
      </c>
      <c r="E596" s="1">
        <f t="shared" si="58"/>
        <v>10.5</v>
      </c>
      <c r="F596" s="1">
        <f t="shared" si="59"/>
        <v>14.5</v>
      </c>
      <c r="H596" s="11">
        <v>44211</v>
      </c>
      <c r="I596" s="25">
        <v>0</v>
      </c>
      <c r="J596" s="9">
        <v>4.4000000000000004</v>
      </c>
      <c r="K596" s="9">
        <v>0</v>
      </c>
      <c r="L596" s="9">
        <v>0</v>
      </c>
      <c r="M596" s="9">
        <v>0</v>
      </c>
    </row>
    <row r="597" spans="1:13" x14ac:dyDescent="0.4">
      <c r="A597" s="16">
        <f t="shared" si="54"/>
        <v>44217</v>
      </c>
      <c r="B597" s="1">
        <f t="shared" si="55"/>
        <v>55.7</v>
      </c>
      <c r="C597" s="1">
        <f t="shared" si="56"/>
        <v>4.4000000000000004</v>
      </c>
      <c r="D597" s="1">
        <f t="shared" si="57"/>
        <v>11</v>
      </c>
      <c r="E597" s="1">
        <f t="shared" si="58"/>
        <v>12</v>
      </c>
      <c r="F597" s="1">
        <f t="shared" si="59"/>
        <v>15</v>
      </c>
      <c r="H597" s="11">
        <v>44217</v>
      </c>
      <c r="I597" s="25">
        <v>55.7</v>
      </c>
      <c r="J597" s="9">
        <v>0</v>
      </c>
      <c r="K597" s="9">
        <v>11</v>
      </c>
      <c r="L597" s="9">
        <v>12</v>
      </c>
      <c r="M597" s="9">
        <v>15</v>
      </c>
    </row>
    <row r="598" spans="1:13" x14ac:dyDescent="0.4">
      <c r="A598" s="16">
        <f t="shared" si="54"/>
        <v>44218</v>
      </c>
      <c r="B598" s="1">
        <f t="shared" si="55"/>
        <v>55.7</v>
      </c>
      <c r="C598" s="1">
        <f t="shared" si="56"/>
        <v>4.5</v>
      </c>
      <c r="D598" s="1">
        <f t="shared" si="57"/>
        <v>11</v>
      </c>
      <c r="E598" s="1">
        <f t="shared" si="58"/>
        <v>12</v>
      </c>
      <c r="F598" s="1">
        <f t="shared" si="59"/>
        <v>15</v>
      </c>
      <c r="H598" s="11">
        <v>44218</v>
      </c>
      <c r="I598" s="25">
        <v>0</v>
      </c>
      <c r="J598" s="9">
        <v>4.5</v>
      </c>
      <c r="K598" s="9">
        <v>0</v>
      </c>
      <c r="L598" s="9">
        <v>0</v>
      </c>
      <c r="M598" s="9">
        <v>0</v>
      </c>
    </row>
    <row r="599" spans="1:13" x14ac:dyDescent="0.4">
      <c r="A599" s="16">
        <f t="shared" si="54"/>
        <v>44224</v>
      </c>
      <c r="B599" s="1">
        <f t="shared" si="55"/>
        <v>53.66</v>
      </c>
      <c r="C599" s="1">
        <f t="shared" si="56"/>
        <v>4.5</v>
      </c>
      <c r="D599" s="1">
        <f t="shared" si="57"/>
        <v>8.3000000000000007</v>
      </c>
      <c r="E599" s="1">
        <f t="shared" si="58"/>
        <v>12.2</v>
      </c>
      <c r="F599" s="1">
        <f t="shared" si="59"/>
        <v>17</v>
      </c>
      <c r="H599" s="11">
        <v>44224</v>
      </c>
      <c r="I599" s="25">
        <v>53.66</v>
      </c>
      <c r="J599" s="9">
        <v>0</v>
      </c>
      <c r="K599" s="9">
        <v>8.3000000000000007</v>
      </c>
      <c r="L599" s="9">
        <v>12.2</v>
      </c>
      <c r="M599" s="9">
        <v>17</v>
      </c>
    </row>
    <row r="600" spans="1:13" x14ac:dyDescent="0.4">
      <c r="A600" s="16">
        <f t="shared" si="54"/>
        <v>44225</v>
      </c>
      <c r="B600" s="1">
        <f t="shared" si="55"/>
        <v>53.66</v>
      </c>
      <c r="C600" s="1">
        <f t="shared" si="56"/>
        <v>4.3</v>
      </c>
      <c r="D600" s="1">
        <f t="shared" si="57"/>
        <v>8.3000000000000007</v>
      </c>
      <c r="E600" s="1">
        <f t="shared" si="58"/>
        <v>12.2</v>
      </c>
      <c r="F600" s="1">
        <f t="shared" si="59"/>
        <v>17</v>
      </c>
      <c r="H600" s="11">
        <v>44225</v>
      </c>
      <c r="I600" s="25">
        <v>0</v>
      </c>
      <c r="J600" s="9">
        <v>4.3</v>
      </c>
      <c r="K600" s="9">
        <v>0</v>
      </c>
      <c r="L600" s="9">
        <v>0</v>
      </c>
      <c r="M600" s="9">
        <v>0</v>
      </c>
    </row>
    <row r="601" spans="1:13" x14ac:dyDescent="0.4">
      <c r="A601" s="16">
        <f t="shared" si="54"/>
        <v>44231</v>
      </c>
      <c r="B601" s="1">
        <f t="shared" si="55"/>
        <v>49.2</v>
      </c>
      <c r="C601" s="1">
        <f t="shared" si="56"/>
        <v>4.3</v>
      </c>
      <c r="D601" s="1">
        <f t="shared" si="57"/>
        <v>8</v>
      </c>
      <c r="E601" s="1">
        <f t="shared" si="58"/>
        <v>11</v>
      </c>
      <c r="F601" s="1">
        <f t="shared" si="59"/>
        <v>16.8</v>
      </c>
      <c r="H601" s="11">
        <v>44231</v>
      </c>
      <c r="I601" s="25">
        <v>49.2</v>
      </c>
      <c r="J601" s="9">
        <v>0</v>
      </c>
      <c r="K601" s="9">
        <v>8</v>
      </c>
      <c r="L601" s="9">
        <v>11</v>
      </c>
      <c r="M601" s="9">
        <v>16.8</v>
      </c>
    </row>
    <row r="602" spans="1:13" x14ac:dyDescent="0.4">
      <c r="A602" s="16">
        <f t="shared" si="54"/>
        <v>44232</v>
      </c>
      <c r="B602" s="1">
        <f t="shared" si="55"/>
        <v>49.2</v>
      </c>
      <c r="C602" s="1">
        <f t="shared" si="56"/>
        <v>3.5</v>
      </c>
      <c r="D602" s="1">
        <f t="shared" si="57"/>
        <v>8</v>
      </c>
      <c r="E602" s="1">
        <f t="shared" si="58"/>
        <v>11</v>
      </c>
      <c r="F602" s="1">
        <f t="shared" si="59"/>
        <v>16.8</v>
      </c>
      <c r="H602" s="11">
        <v>44232</v>
      </c>
      <c r="I602" s="25">
        <v>0</v>
      </c>
      <c r="J602" s="9">
        <v>3.5</v>
      </c>
      <c r="K602" s="9">
        <v>0</v>
      </c>
      <c r="L602" s="9">
        <v>0</v>
      </c>
      <c r="M602" s="9">
        <v>0</v>
      </c>
    </row>
    <row r="603" spans="1:13" x14ac:dyDescent="0.4">
      <c r="A603" s="16">
        <f t="shared" si="54"/>
        <v>44237</v>
      </c>
      <c r="B603" s="1">
        <f t="shared" si="55"/>
        <v>49.2</v>
      </c>
      <c r="C603" s="1">
        <f t="shared" si="56"/>
        <v>3.5</v>
      </c>
      <c r="D603" s="1">
        <f t="shared" si="57"/>
        <v>11.5</v>
      </c>
      <c r="E603" s="1">
        <f t="shared" si="58"/>
        <v>13.2</v>
      </c>
      <c r="F603" s="1">
        <f t="shared" si="59"/>
        <v>18.5</v>
      </c>
      <c r="H603" s="11">
        <v>44237</v>
      </c>
      <c r="I603" s="25">
        <v>0</v>
      </c>
      <c r="J603" s="9">
        <v>0</v>
      </c>
      <c r="K603" s="9">
        <v>11.5</v>
      </c>
      <c r="L603" s="9">
        <v>13.2</v>
      </c>
      <c r="M603" s="9">
        <v>18.5</v>
      </c>
    </row>
    <row r="604" spans="1:13" x14ac:dyDescent="0.4">
      <c r="A604" s="16">
        <f t="shared" si="54"/>
        <v>44245</v>
      </c>
      <c r="B604" s="1">
        <f t="shared" si="55"/>
        <v>51.7</v>
      </c>
      <c r="C604" s="1">
        <f t="shared" si="56"/>
        <v>3.5</v>
      </c>
      <c r="D604" s="1">
        <f t="shared" si="57"/>
        <v>11.5</v>
      </c>
      <c r="E604" s="1">
        <f t="shared" si="58"/>
        <v>13.2</v>
      </c>
      <c r="F604" s="1">
        <f t="shared" si="59"/>
        <v>18.5</v>
      </c>
      <c r="H604" s="11">
        <v>44245</v>
      </c>
      <c r="I604" s="25">
        <v>51.7</v>
      </c>
      <c r="J604" s="9">
        <v>0</v>
      </c>
      <c r="K604" s="9">
        <v>0</v>
      </c>
      <c r="L604" s="9">
        <v>0</v>
      </c>
      <c r="M604" s="9">
        <v>0</v>
      </c>
    </row>
    <row r="605" spans="1:13" x14ac:dyDescent="0.4">
      <c r="A605" s="16">
        <f t="shared" si="54"/>
        <v>44246</v>
      </c>
      <c r="B605" s="1">
        <f t="shared" si="55"/>
        <v>51.7</v>
      </c>
      <c r="C605" s="1">
        <f t="shared" si="56"/>
        <v>5.5</v>
      </c>
      <c r="D605" s="1">
        <f t="shared" si="57"/>
        <v>11.5</v>
      </c>
      <c r="E605" s="1">
        <f t="shared" si="58"/>
        <v>13.2</v>
      </c>
      <c r="F605" s="1">
        <f t="shared" si="59"/>
        <v>18.5</v>
      </c>
      <c r="H605" s="11">
        <v>44246</v>
      </c>
      <c r="I605" s="25">
        <v>0</v>
      </c>
      <c r="J605" s="9">
        <v>5.5</v>
      </c>
      <c r="K605" s="9">
        <v>0</v>
      </c>
      <c r="L605" s="9">
        <v>0</v>
      </c>
      <c r="M605" s="9">
        <v>0</v>
      </c>
    </row>
    <row r="606" spans="1:13" x14ac:dyDescent="0.4">
      <c r="A606" s="16">
        <f t="shared" si="54"/>
        <v>44252</v>
      </c>
      <c r="B606" s="1">
        <f t="shared" si="55"/>
        <v>54.5</v>
      </c>
      <c r="C606" s="1">
        <f t="shared" si="56"/>
        <v>5.5</v>
      </c>
      <c r="D606" s="1">
        <f t="shared" si="57"/>
        <v>9</v>
      </c>
      <c r="E606" s="1">
        <f t="shared" si="58"/>
        <v>11.5</v>
      </c>
      <c r="F606" s="1">
        <f t="shared" si="59"/>
        <v>19</v>
      </c>
      <c r="H606" s="11">
        <v>44252</v>
      </c>
      <c r="I606" s="25">
        <v>54.5</v>
      </c>
      <c r="J606" s="9">
        <v>0</v>
      </c>
      <c r="K606" s="9">
        <v>9</v>
      </c>
      <c r="L606" s="9">
        <v>11.5</v>
      </c>
      <c r="M606" s="9">
        <v>19</v>
      </c>
    </row>
    <row r="607" spans="1:13" x14ac:dyDescent="0.4">
      <c r="A607" s="16">
        <f t="shared" si="54"/>
        <v>44253</v>
      </c>
      <c r="B607" s="1">
        <f t="shared" si="55"/>
        <v>54.5</v>
      </c>
      <c r="C607" s="1">
        <f t="shared" si="56"/>
        <v>5.8</v>
      </c>
      <c r="D607" s="1">
        <f t="shared" si="57"/>
        <v>9</v>
      </c>
      <c r="E607" s="1">
        <f t="shared" si="58"/>
        <v>11.5</v>
      </c>
      <c r="F607" s="1">
        <f t="shared" si="59"/>
        <v>19</v>
      </c>
      <c r="H607" s="11">
        <v>44253</v>
      </c>
      <c r="I607" s="25">
        <v>0</v>
      </c>
      <c r="J607" s="9">
        <v>5.8</v>
      </c>
      <c r="K607" s="9">
        <v>0</v>
      </c>
      <c r="L607" s="9">
        <v>0</v>
      </c>
      <c r="M607" s="9">
        <v>0</v>
      </c>
    </row>
    <row r="608" spans="1:13" x14ac:dyDescent="0.4">
      <c r="A608" s="16">
        <f t="shared" si="54"/>
        <v>44259</v>
      </c>
      <c r="B608" s="1">
        <f t="shared" si="55"/>
        <v>48.5</v>
      </c>
      <c r="C608" s="1">
        <f t="shared" si="56"/>
        <v>5.8</v>
      </c>
      <c r="D608" s="1">
        <f t="shared" si="57"/>
        <v>10.5</v>
      </c>
      <c r="E608" s="1">
        <f t="shared" si="58"/>
        <v>12.5</v>
      </c>
      <c r="F608" s="1">
        <f t="shared" si="59"/>
        <v>21</v>
      </c>
      <c r="H608" s="11">
        <v>44259</v>
      </c>
      <c r="I608" s="25">
        <v>48.5</v>
      </c>
      <c r="J608" s="9">
        <v>0</v>
      </c>
      <c r="K608" s="9">
        <v>10.5</v>
      </c>
      <c r="L608" s="9">
        <v>12.5</v>
      </c>
      <c r="M608" s="9">
        <v>21</v>
      </c>
    </row>
    <row r="609" spans="1:13" x14ac:dyDescent="0.4">
      <c r="A609" s="16">
        <f t="shared" si="54"/>
        <v>44260</v>
      </c>
      <c r="B609" s="1">
        <f t="shared" si="55"/>
        <v>48.5</v>
      </c>
      <c r="C609" s="1">
        <f t="shared" si="56"/>
        <v>5</v>
      </c>
      <c r="D609" s="1">
        <f t="shared" si="57"/>
        <v>10.5</v>
      </c>
      <c r="E609" s="1">
        <f t="shared" si="58"/>
        <v>12.5</v>
      </c>
      <c r="F609" s="1">
        <f t="shared" si="59"/>
        <v>21</v>
      </c>
      <c r="H609" s="11">
        <v>44260</v>
      </c>
      <c r="I609" s="25">
        <v>0</v>
      </c>
      <c r="J609" s="9">
        <v>5</v>
      </c>
      <c r="K609" s="9">
        <v>0</v>
      </c>
      <c r="L609" s="9">
        <v>0</v>
      </c>
      <c r="M609" s="9">
        <v>0</v>
      </c>
    </row>
    <row r="610" spans="1:13" x14ac:dyDescent="0.4">
      <c r="A610" s="16">
        <f t="shared" si="54"/>
        <v>44266</v>
      </c>
      <c r="B610" s="1">
        <f t="shared" si="55"/>
        <v>51.35</v>
      </c>
      <c r="C610" s="1">
        <f t="shared" si="56"/>
        <v>5</v>
      </c>
      <c r="D610" s="1">
        <f t="shared" si="57"/>
        <v>12.3</v>
      </c>
      <c r="E610" s="1">
        <f t="shared" si="58"/>
        <v>14.5</v>
      </c>
      <c r="F610" s="1">
        <f t="shared" si="59"/>
        <v>22.5</v>
      </c>
      <c r="H610" s="11">
        <v>44266</v>
      </c>
      <c r="I610" s="25">
        <v>51.35</v>
      </c>
      <c r="J610" s="9">
        <v>0</v>
      </c>
      <c r="K610" s="9">
        <v>12.3</v>
      </c>
      <c r="L610" s="9">
        <v>14.5</v>
      </c>
      <c r="M610" s="9">
        <v>22.5</v>
      </c>
    </row>
    <row r="611" spans="1:13" x14ac:dyDescent="0.4">
      <c r="A611" s="16">
        <f t="shared" si="54"/>
        <v>44267</v>
      </c>
      <c r="B611" s="1">
        <f t="shared" si="55"/>
        <v>51.35</v>
      </c>
      <c r="C611" s="1">
        <f t="shared" si="56"/>
        <v>4.5</v>
      </c>
      <c r="D611" s="1">
        <f t="shared" si="57"/>
        <v>12.3</v>
      </c>
      <c r="E611" s="1">
        <f t="shared" si="58"/>
        <v>14.5</v>
      </c>
      <c r="F611" s="1">
        <f t="shared" si="59"/>
        <v>22.5</v>
      </c>
      <c r="H611" s="11">
        <v>44267</v>
      </c>
      <c r="I611" s="25">
        <v>0</v>
      </c>
      <c r="J611" s="9">
        <v>4.5</v>
      </c>
      <c r="K611" s="9">
        <v>0</v>
      </c>
      <c r="L611" s="9">
        <v>0</v>
      </c>
      <c r="M611" s="9">
        <v>0</v>
      </c>
    </row>
    <row r="612" spans="1:13" x14ac:dyDescent="0.4">
      <c r="A612" s="16">
        <f t="shared" si="54"/>
        <v>44273</v>
      </c>
      <c r="B612" s="1">
        <f t="shared" si="55"/>
        <v>49.18</v>
      </c>
      <c r="C612" s="1">
        <f t="shared" si="56"/>
        <v>4.5</v>
      </c>
      <c r="D612" s="1">
        <f t="shared" si="57"/>
        <v>16.5</v>
      </c>
      <c r="E612" s="1">
        <f t="shared" si="58"/>
        <v>18</v>
      </c>
      <c r="F612" s="1">
        <f t="shared" si="59"/>
        <v>27.5</v>
      </c>
      <c r="H612" s="11">
        <v>44273</v>
      </c>
      <c r="I612" s="25">
        <v>49.18</v>
      </c>
      <c r="J612" s="9">
        <v>0</v>
      </c>
      <c r="K612" s="9">
        <v>16.5</v>
      </c>
      <c r="L612" s="9">
        <v>18</v>
      </c>
      <c r="M612" s="9">
        <v>27.5</v>
      </c>
    </row>
    <row r="613" spans="1:13" x14ac:dyDescent="0.4">
      <c r="A613" s="16">
        <f t="shared" si="54"/>
        <v>44274</v>
      </c>
      <c r="B613" s="1">
        <f t="shared" si="55"/>
        <v>49.18</v>
      </c>
      <c r="C613" s="1">
        <f t="shared" si="56"/>
        <v>4.3</v>
      </c>
      <c r="D613" s="1">
        <f t="shared" si="57"/>
        <v>16.5</v>
      </c>
      <c r="E613" s="1">
        <f t="shared" si="58"/>
        <v>18</v>
      </c>
      <c r="F613" s="1">
        <f t="shared" si="59"/>
        <v>27.5</v>
      </c>
      <c r="H613" s="11">
        <v>44274</v>
      </c>
      <c r="I613" s="25">
        <v>0</v>
      </c>
      <c r="J613" s="9">
        <v>4.3</v>
      </c>
      <c r="K613" s="9">
        <v>0</v>
      </c>
      <c r="L613" s="9">
        <v>0</v>
      </c>
      <c r="M613" s="9">
        <v>0</v>
      </c>
    </row>
    <row r="614" spans="1:13" x14ac:dyDescent="0.4">
      <c r="A614" s="16">
        <f t="shared" si="54"/>
        <v>44280</v>
      </c>
      <c r="B614" s="1">
        <f t="shared" si="55"/>
        <v>46.65</v>
      </c>
      <c r="C614" s="1">
        <f t="shared" si="56"/>
        <v>4.3</v>
      </c>
      <c r="D614" s="1">
        <f t="shared" si="57"/>
        <v>19.5</v>
      </c>
      <c r="E614" s="1">
        <f t="shared" si="58"/>
        <v>22.5</v>
      </c>
      <c r="F614" s="1">
        <f t="shared" si="59"/>
        <v>30.5</v>
      </c>
      <c r="H614" s="11">
        <v>44280</v>
      </c>
      <c r="I614" s="25">
        <v>46.65</v>
      </c>
      <c r="J614" s="9">
        <v>0</v>
      </c>
      <c r="K614" s="9">
        <v>19.5</v>
      </c>
      <c r="L614" s="9">
        <v>22.5</v>
      </c>
      <c r="M614" s="9">
        <v>30.5</v>
      </c>
    </row>
    <row r="615" spans="1:13" x14ac:dyDescent="0.4">
      <c r="A615" s="16">
        <f t="shared" si="54"/>
        <v>44281</v>
      </c>
      <c r="B615" s="1">
        <f t="shared" si="55"/>
        <v>46.65</v>
      </c>
      <c r="C615" s="1">
        <f t="shared" si="56"/>
        <v>4.2</v>
      </c>
      <c r="D615" s="1">
        <f t="shared" si="57"/>
        <v>19.5</v>
      </c>
      <c r="E615" s="1">
        <f t="shared" si="58"/>
        <v>22.5</v>
      </c>
      <c r="F615" s="1">
        <f t="shared" si="59"/>
        <v>30.5</v>
      </c>
      <c r="H615" s="11">
        <v>44281</v>
      </c>
      <c r="I615" s="25">
        <v>0</v>
      </c>
      <c r="J615" s="9">
        <v>4.2</v>
      </c>
      <c r="K615" s="9">
        <v>0</v>
      </c>
      <c r="L615" s="9">
        <v>0</v>
      </c>
      <c r="M615" s="9">
        <v>0</v>
      </c>
    </row>
    <row r="616" spans="1:13" x14ac:dyDescent="0.4">
      <c r="A616" s="16">
        <f t="shared" si="54"/>
        <v>44287</v>
      </c>
      <c r="B616" s="1">
        <f t="shared" si="55"/>
        <v>40.950000000000003</v>
      </c>
      <c r="C616" s="1">
        <f t="shared" si="56"/>
        <v>4.2</v>
      </c>
      <c r="D616" s="1">
        <f t="shared" si="57"/>
        <v>19</v>
      </c>
      <c r="E616" s="1">
        <f t="shared" si="58"/>
        <v>22.5</v>
      </c>
      <c r="F616" s="1">
        <f t="shared" si="59"/>
        <v>30.8</v>
      </c>
      <c r="H616" s="11">
        <v>44287</v>
      </c>
      <c r="I616" s="25">
        <v>40.950000000000003</v>
      </c>
      <c r="J616" s="9">
        <v>0</v>
      </c>
      <c r="K616" s="9">
        <v>19</v>
      </c>
      <c r="L616" s="9">
        <v>22.5</v>
      </c>
      <c r="M616" s="9">
        <v>30.8</v>
      </c>
    </row>
    <row r="617" spans="1:13" x14ac:dyDescent="0.4">
      <c r="A617" s="16">
        <f t="shared" si="54"/>
        <v>44288</v>
      </c>
      <c r="B617" s="1">
        <f t="shared" si="55"/>
        <v>40.950000000000003</v>
      </c>
      <c r="C617" s="1">
        <f t="shared" si="56"/>
        <v>4</v>
      </c>
      <c r="D617" s="1">
        <f t="shared" si="57"/>
        <v>19</v>
      </c>
      <c r="E617" s="1">
        <f t="shared" si="58"/>
        <v>22.5</v>
      </c>
      <c r="F617" s="1">
        <f t="shared" si="59"/>
        <v>30.8</v>
      </c>
      <c r="H617" s="11">
        <v>44288</v>
      </c>
      <c r="I617" s="25">
        <v>0</v>
      </c>
      <c r="J617" s="9">
        <v>4</v>
      </c>
      <c r="K617" s="9">
        <v>0</v>
      </c>
      <c r="L617" s="9">
        <v>0</v>
      </c>
      <c r="M617" s="9">
        <v>0</v>
      </c>
    </row>
    <row r="618" spans="1:13" x14ac:dyDescent="0.4">
      <c r="A618" s="16">
        <f t="shared" si="54"/>
        <v>44294</v>
      </c>
      <c r="B618" s="1">
        <f t="shared" si="55"/>
        <v>42.25</v>
      </c>
      <c r="C618" s="1">
        <f t="shared" si="56"/>
        <v>4</v>
      </c>
      <c r="D618" s="1">
        <f t="shared" si="57"/>
        <v>21.3</v>
      </c>
      <c r="E618" s="1">
        <f t="shared" si="58"/>
        <v>24.5</v>
      </c>
      <c r="F618" s="1">
        <f t="shared" si="59"/>
        <v>32.5</v>
      </c>
      <c r="H618" s="11">
        <v>44294</v>
      </c>
      <c r="I618" s="25">
        <v>42.25</v>
      </c>
      <c r="J618" s="9">
        <v>0</v>
      </c>
      <c r="K618" s="9">
        <v>21.3</v>
      </c>
      <c r="L618" s="9">
        <v>24.5</v>
      </c>
      <c r="M618" s="9">
        <v>32.5</v>
      </c>
    </row>
    <row r="619" spans="1:13" x14ac:dyDescent="0.4">
      <c r="A619" s="16">
        <f t="shared" si="54"/>
        <v>44295</v>
      </c>
      <c r="B619" s="1">
        <f t="shared" si="55"/>
        <v>42.25</v>
      </c>
      <c r="C619" s="1">
        <f t="shared" si="56"/>
        <v>4</v>
      </c>
      <c r="D619" s="1">
        <f t="shared" si="57"/>
        <v>21.3</v>
      </c>
      <c r="E619" s="1">
        <f t="shared" si="58"/>
        <v>24.5</v>
      </c>
      <c r="F619" s="1">
        <f t="shared" si="59"/>
        <v>32.5</v>
      </c>
      <c r="H619" s="11">
        <v>44295</v>
      </c>
      <c r="I619" s="25">
        <v>0</v>
      </c>
      <c r="J619" s="9">
        <v>4</v>
      </c>
      <c r="K619" s="9">
        <v>0</v>
      </c>
      <c r="L619" s="9">
        <v>0</v>
      </c>
      <c r="M619" s="9">
        <v>0</v>
      </c>
    </row>
    <row r="620" spans="1:13" x14ac:dyDescent="0.4">
      <c r="A620" s="16">
        <f t="shared" si="54"/>
        <v>44301</v>
      </c>
      <c r="B620" s="1">
        <f t="shared" si="55"/>
        <v>42.65</v>
      </c>
      <c r="C620" s="1">
        <f t="shared" si="56"/>
        <v>4</v>
      </c>
      <c r="D620" s="1">
        <f t="shared" si="57"/>
        <v>15.5</v>
      </c>
      <c r="E620" s="1">
        <f t="shared" si="58"/>
        <v>20</v>
      </c>
      <c r="F620" s="1">
        <f t="shared" si="59"/>
        <v>30.5</v>
      </c>
      <c r="H620" s="11">
        <v>44301</v>
      </c>
      <c r="I620" s="25">
        <v>42.65</v>
      </c>
      <c r="J620" s="9">
        <v>0</v>
      </c>
      <c r="K620" s="9">
        <v>15.5</v>
      </c>
      <c r="L620" s="9">
        <v>20</v>
      </c>
      <c r="M620" s="9">
        <v>30.5</v>
      </c>
    </row>
    <row r="621" spans="1:13" x14ac:dyDescent="0.4">
      <c r="A621" s="16">
        <f t="shared" si="54"/>
        <v>44302</v>
      </c>
      <c r="B621" s="1">
        <f t="shared" si="55"/>
        <v>42.65</v>
      </c>
      <c r="C621" s="1">
        <f t="shared" si="56"/>
        <v>3.5</v>
      </c>
      <c r="D621" s="1">
        <f t="shared" si="57"/>
        <v>15.5</v>
      </c>
      <c r="E621" s="1">
        <f t="shared" si="58"/>
        <v>20</v>
      </c>
      <c r="F621" s="1">
        <f t="shared" si="59"/>
        <v>30.5</v>
      </c>
      <c r="H621" s="11">
        <v>44302</v>
      </c>
      <c r="I621" s="25">
        <v>0</v>
      </c>
      <c r="J621" s="9">
        <v>3.5</v>
      </c>
      <c r="K621" s="9">
        <v>0</v>
      </c>
      <c r="L621" s="9">
        <v>0</v>
      </c>
      <c r="M621" s="9">
        <v>0</v>
      </c>
    </row>
    <row r="622" spans="1:13" x14ac:dyDescent="0.4">
      <c r="A622" s="16">
        <f t="shared" si="54"/>
        <v>44308</v>
      </c>
      <c r="B622" s="1">
        <f t="shared" si="55"/>
        <v>39.75</v>
      </c>
      <c r="C622" s="1">
        <f t="shared" si="56"/>
        <v>3.5</v>
      </c>
      <c r="D622" s="1">
        <f t="shared" si="57"/>
        <v>15</v>
      </c>
      <c r="E622" s="1">
        <f t="shared" si="58"/>
        <v>19.2</v>
      </c>
      <c r="F622" s="1">
        <f t="shared" si="59"/>
        <v>29.3</v>
      </c>
      <c r="H622" s="11">
        <v>44308</v>
      </c>
      <c r="I622" s="25">
        <v>39.75</v>
      </c>
      <c r="J622" s="9">
        <v>0</v>
      </c>
      <c r="K622" s="9">
        <v>15</v>
      </c>
      <c r="L622" s="9">
        <v>19.2</v>
      </c>
      <c r="M622" s="9">
        <v>29.3</v>
      </c>
    </row>
    <row r="623" spans="1:13" x14ac:dyDescent="0.4">
      <c r="A623" s="16">
        <f t="shared" si="54"/>
        <v>44309</v>
      </c>
      <c r="B623" s="1">
        <f t="shared" si="55"/>
        <v>39.75</v>
      </c>
      <c r="C623" s="1">
        <f t="shared" si="56"/>
        <v>3.5</v>
      </c>
      <c r="D623" s="1">
        <f t="shared" si="57"/>
        <v>15</v>
      </c>
      <c r="E623" s="1">
        <f t="shared" si="58"/>
        <v>19.2</v>
      </c>
      <c r="F623" s="1">
        <f t="shared" si="59"/>
        <v>29.3</v>
      </c>
      <c r="H623" s="11">
        <v>44309</v>
      </c>
      <c r="I623" s="25">
        <v>0</v>
      </c>
      <c r="J623" s="9">
        <v>3.5</v>
      </c>
      <c r="K623" s="9">
        <v>0</v>
      </c>
      <c r="L623" s="9">
        <v>0</v>
      </c>
      <c r="M623" s="9">
        <v>0</v>
      </c>
    </row>
    <row r="624" spans="1:13" x14ac:dyDescent="0.4">
      <c r="A624" s="16">
        <f t="shared" si="54"/>
        <v>44315</v>
      </c>
      <c r="B624" s="1">
        <f t="shared" si="55"/>
        <v>38.85</v>
      </c>
      <c r="C624" s="1">
        <f t="shared" si="56"/>
        <v>3.5</v>
      </c>
      <c r="D624" s="1">
        <f t="shared" si="57"/>
        <v>14.5</v>
      </c>
      <c r="E624" s="1">
        <f t="shared" si="58"/>
        <v>18.7</v>
      </c>
      <c r="F624" s="1">
        <f t="shared" si="59"/>
        <v>29.5</v>
      </c>
      <c r="H624" s="11">
        <v>44315</v>
      </c>
      <c r="I624" s="25">
        <v>38.85</v>
      </c>
      <c r="J624" s="9">
        <v>0</v>
      </c>
      <c r="K624" s="9">
        <v>14.5</v>
      </c>
      <c r="L624" s="9">
        <v>18.7</v>
      </c>
      <c r="M624" s="9">
        <v>29.5</v>
      </c>
    </row>
    <row r="625" spans="1:13" x14ac:dyDescent="0.4">
      <c r="A625" s="16">
        <f t="shared" si="54"/>
        <v>44316</v>
      </c>
      <c r="B625" s="1">
        <f t="shared" si="55"/>
        <v>38.85</v>
      </c>
      <c r="C625" s="1">
        <f t="shared" si="56"/>
        <v>3.9</v>
      </c>
      <c r="D625" s="1">
        <f t="shared" si="57"/>
        <v>14.5</v>
      </c>
      <c r="E625" s="1">
        <f t="shared" si="58"/>
        <v>18.7</v>
      </c>
      <c r="F625" s="1">
        <f t="shared" si="59"/>
        <v>29.5</v>
      </c>
      <c r="H625" s="11">
        <v>44316</v>
      </c>
      <c r="I625" s="25">
        <v>0</v>
      </c>
      <c r="J625" s="9">
        <v>3.9</v>
      </c>
      <c r="K625" s="9">
        <v>0</v>
      </c>
      <c r="L625" s="9">
        <v>0</v>
      </c>
      <c r="M625" s="9">
        <v>0</v>
      </c>
    </row>
    <row r="626" spans="1:13" x14ac:dyDescent="0.4">
      <c r="A626" s="16">
        <f t="shared" si="54"/>
        <v>44323</v>
      </c>
      <c r="B626" s="1">
        <f t="shared" si="55"/>
        <v>38.85</v>
      </c>
      <c r="C626" s="1">
        <f t="shared" si="56"/>
        <v>4.2</v>
      </c>
      <c r="D626" s="1">
        <f t="shared" si="57"/>
        <v>14.5</v>
      </c>
      <c r="E626" s="1">
        <f t="shared" si="58"/>
        <v>18.7</v>
      </c>
      <c r="F626" s="1">
        <f t="shared" si="59"/>
        <v>29.5</v>
      </c>
      <c r="H626" s="11">
        <v>44323</v>
      </c>
      <c r="I626" s="25">
        <v>0</v>
      </c>
      <c r="J626" s="9">
        <v>4.2</v>
      </c>
      <c r="K626" s="9">
        <v>0</v>
      </c>
      <c r="L626" s="9">
        <v>0</v>
      </c>
      <c r="M626" s="9">
        <v>0</v>
      </c>
    </row>
    <row r="627" spans="1:13" x14ac:dyDescent="0.4">
      <c r="A627" s="16">
        <f t="shared" si="54"/>
        <v>44324</v>
      </c>
      <c r="B627" s="1">
        <f t="shared" si="55"/>
        <v>38.85</v>
      </c>
      <c r="C627" s="1">
        <f t="shared" si="56"/>
        <v>4.2</v>
      </c>
      <c r="D627" s="1">
        <f t="shared" si="57"/>
        <v>16</v>
      </c>
      <c r="E627" s="1">
        <f t="shared" si="58"/>
        <v>20.7</v>
      </c>
      <c r="F627" s="1">
        <f t="shared" si="59"/>
        <v>30.1</v>
      </c>
      <c r="H627" s="11">
        <v>44324</v>
      </c>
      <c r="I627" s="25">
        <v>0</v>
      </c>
      <c r="J627" s="9">
        <v>0</v>
      </c>
      <c r="K627" s="9">
        <v>16</v>
      </c>
      <c r="L627" s="9">
        <v>20.7</v>
      </c>
      <c r="M627" s="9">
        <v>30.1</v>
      </c>
    </row>
    <row r="628" spans="1:13" x14ac:dyDescent="0.4">
      <c r="A628" s="16">
        <f t="shared" si="54"/>
        <v>44329</v>
      </c>
      <c r="B628" s="1">
        <f t="shared" si="55"/>
        <v>41.8</v>
      </c>
      <c r="C628" s="1">
        <f t="shared" si="56"/>
        <v>4.2</v>
      </c>
      <c r="D628" s="1">
        <f t="shared" si="57"/>
        <v>19</v>
      </c>
      <c r="E628" s="1">
        <f t="shared" si="58"/>
        <v>22.5</v>
      </c>
      <c r="F628" s="1">
        <f t="shared" si="59"/>
        <v>32.5</v>
      </c>
      <c r="H628" s="11">
        <v>44329</v>
      </c>
      <c r="I628" s="25">
        <v>41.8</v>
      </c>
      <c r="J628" s="9">
        <v>0</v>
      </c>
      <c r="K628" s="9">
        <v>19</v>
      </c>
      <c r="L628" s="9">
        <v>22.5</v>
      </c>
      <c r="M628" s="9">
        <v>32.5</v>
      </c>
    </row>
    <row r="629" spans="1:13" x14ac:dyDescent="0.4">
      <c r="A629" s="16">
        <f t="shared" si="54"/>
        <v>44330</v>
      </c>
      <c r="B629" s="1">
        <f t="shared" si="55"/>
        <v>41.8</v>
      </c>
      <c r="C629" s="1">
        <f t="shared" si="56"/>
        <v>4.7</v>
      </c>
      <c r="D629" s="1">
        <f t="shared" si="57"/>
        <v>19</v>
      </c>
      <c r="E629" s="1">
        <f t="shared" si="58"/>
        <v>22.5</v>
      </c>
      <c r="F629" s="1">
        <f t="shared" si="59"/>
        <v>32.5</v>
      </c>
      <c r="H629" s="11">
        <v>44330</v>
      </c>
      <c r="I629" s="25">
        <v>0</v>
      </c>
      <c r="J629" s="9">
        <v>4.7</v>
      </c>
      <c r="K629" s="9">
        <v>0</v>
      </c>
      <c r="L629" s="9">
        <v>0</v>
      </c>
      <c r="M629" s="9">
        <v>0</v>
      </c>
    </row>
    <row r="630" spans="1:13" x14ac:dyDescent="0.4">
      <c r="A630" s="16">
        <f t="shared" si="54"/>
        <v>44336</v>
      </c>
      <c r="B630" s="1">
        <f t="shared" si="55"/>
        <v>40.9</v>
      </c>
      <c r="C630" s="1">
        <f t="shared" si="56"/>
        <v>4.7</v>
      </c>
      <c r="D630" s="1">
        <f t="shared" si="57"/>
        <v>23.5</v>
      </c>
      <c r="E630" s="1">
        <f t="shared" si="58"/>
        <v>24.3</v>
      </c>
      <c r="F630" s="1">
        <f t="shared" si="59"/>
        <v>34.5</v>
      </c>
      <c r="H630" s="11">
        <v>44336</v>
      </c>
      <c r="I630" s="25">
        <v>40.9</v>
      </c>
      <c r="J630" s="9">
        <v>0</v>
      </c>
      <c r="K630" s="9">
        <v>23.5</v>
      </c>
      <c r="L630" s="9">
        <v>24.3</v>
      </c>
      <c r="M630" s="9">
        <v>34.5</v>
      </c>
    </row>
    <row r="631" spans="1:13" x14ac:dyDescent="0.4">
      <c r="A631" s="16">
        <f t="shared" si="54"/>
        <v>44337</v>
      </c>
      <c r="B631" s="1">
        <f t="shared" si="55"/>
        <v>40.9</v>
      </c>
      <c r="C631" s="1">
        <f t="shared" si="56"/>
        <v>4.8</v>
      </c>
      <c r="D631" s="1">
        <f t="shared" si="57"/>
        <v>23.5</v>
      </c>
      <c r="E631" s="1">
        <f t="shared" si="58"/>
        <v>24.3</v>
      </c>
      <c r="F631" s="1">
        <f t="shared" si="59"/>
        <v>34.5</v>
      </c>
      <c r="H631" s="11">
        <v>44337</v>
      </c>
      <c r="I631" s="25">
        <v>0</v>
      </c>
      <c r="J631" s="9">
        <v>4.8</v>
      </c>
      <c r="K631" s="9">
        <v>0</v>
      </c>
      <c r="L631" s="9">
        <v>0</v>
      </c>
      <c r="M631" s="9">
        <v>0</v>
      </c>
    </row>
    <row r="632" spans="1:13" x14ac:dyDescent="0.4">
      <c r="A632" s="16">
        <f t="shared" si="54"/>
        <v>44343</v>
      </c>
      <c r="B632" s="1">
        <f t="shared" si="55"/>
        <v>33.5</v>
      </c>
      <c r="C632" s="1">
        <f t="shared" si="56"/>
        <v>4.8</v>
      </c>
      <c r="D632" s="1">
        <f t="shared" si="57"/>
        <v>24</v>
      </c>
      <c r="E632" s="1">
        <f t="shared" si="58"/>
        <v>24.6</v>
      </c>
      <c r="F632" s="1">
        <f t="shared" si="59"/>
        <v>35.5</v>
      </c>
      <c r="H632" s="11">
        <v>44343</v>
      </c>
      <c r="I632" s="25">
        <v>33.5</v>
      </c>
      <c r="J632" s="9">
        <v>0</v>
      </c>
      <c r="K632" s="9">
        <v>24</v>
      </c>
      <c r="L632" s="9">
        <v>24.6</v>
      </c>
      <c r="M632" s="9">
        <v>35.5</v>
      </c>
    </row>
    <row r="633" spans="1:13" x14ac:dyDescent="0.4">
      <c r="A633" s="16">
        <f t="shared" si="54"/>
        <v>44344</v>
      </c>
      <c r="B633" s="1">
        <f t="shared" si="55"/>
        <v>33.5</v>
      </c>
      <c r="C633" s="1">
        <f t="shared" si="56"/>
        <v>4.3</v>
      </c>
      <c r="D633" s="1">
        <f t="shared" si="57"/>
        <v>24</v>
      </c>
      <c r="E633" s="1">
        <f t="shared" si="58"/>
        <v>24.6</v>
      </c>
      <c r="F633" s="1">
        <f t="shared" si="59"/>
        <v>35.5</v>
      </c>
      <c r="H633" s="11">
        <v>44344</v>
      </c>
      <c r="I633" s="25">
        <v>0</v>
      </c>
      <c r="J633" s="9">
        <v>4.3</v>
      </c>
      <c r="K633" s="9">
        <v>0</v>
      </c>
      <c r="L633" s="9">
        <v>0</v>
      </c>
      <c r="M633" s="9">
        <v>0</v>
      </c>
    </row>
    <row r="634" spans="1:13" x14ac:dyDescent="0.4">
      <c r="A634" s="16">
        <f t="shared" si="54"/>
        <v>44350</v>
      </c>
      <c r="B634" s="1">
        <f t="shared" si="55"/>
        <v>39.4</v>
      </c>
      <c r="C634" s="1">
        <f t="shared" si="56"/>
        <v>4.3</v>
      </c>
      <c r="D634" s="1">
        <f t="shared" si="57"/>
        <v>22.3</v>
      </c>
      <c r="E634" s="1">
        <f t="shared" si="58"/>
        <v>23.5</v>
      </c>
      <c r="F634" s="1">
        <f t="shared" si="59"/>
        <v>32.799999999999997</v>
      </c>
      <c r="H634" s="11">
        <v>44350</v>
      </c>
      <c r="I634" s="25">
        <v>39.4</v>
      </c>
      <c r="J634" s="9">
        <v>0</v>
      </c>
      <c r="K634" s="9">
        <v>22.3</v>
      </c>
      <c r="L634" s="9">
        <v>23.5</v>
      </c>
      <c r="M634" s="9">
        <v>32.799999999999997</v>
      </c>
    </row>
    <row r="635" spans="1:13" x14ac:dyDescent="0.4">
      <c r="A635" s="16">
        <f t="shared" si="54"/>
        <v>44351</v>
      </c>
      <c r="B635" s="1">
        <f t="shared" si="55"/>
        <v>39.4</v>
      </c>
      <c r="C635" s="1">
        <f t="shared" si="56"/>
        <v>3</v>
      </c>
      <c r="D635" s="1">
        <f t="shared" si="57"/>
        <v>22.3</v>
      </c>
      <c r="E635" s="1">
        <f t="shared" si="58"/>
        <v>23.5</v>
      </c>
      <c r="F635" s="1">
        <f t="shared" si="59"/>
        <v>32.799999999999997</v>
      </c>
      <c r="H635" s="11">
        <v>44351</v>
      </c>
      <c r="I635" s="25">
        <v>0</v>
      </c>
      <c r="J635" s="9">
        <v>3</v>
      </c>
      <c r="K635" s="9">
        <v>0</v>
      </c>
      <c r="L635" s="9">
        <v>0</v>
      </c>
      <c r="M635" s="9">
        <v>0</v>
      </c>
    </row>
    <row r="636" spans="1:13" x14ac:dyDescent="0.4">
      <c r="A636" s="16">
        <f t="shared" si="54"/>
        <v>44357</v>
      </c>
      <c r="B636" s="1">
        <f t="shared" si="55"/>
        <v>40.25</v>
      </c>
      <c r="C636" s="1">
        <f t="shared" si="56"/>
        <v>3</v>
      </c>
      <c r="D636" s="1">
        <f t="shared" si="57"/>
        <v>17.5</v>
      </c>
      <c r="E636" s="1">
        <f t="shared" si="58"/>
        <v>20.8</v>
      </c>
      <c r="F636" s="1">
        <f t="shared" si="59"/>
        <v>29.5</v>
      </c>
      <c r="H636" s="11">
        <v>44357</v>
      </c>
      <c r="I636" s="25">
        <v>40.25</v>
      </c>
      <c r="J636" s="9">
        <v>0</v>
      </c>
      <c r="K636" s="9">
        <v>17.5</v>
      </c>
      <c r="L636" s="9">
        <v>20.8</v>
      </c>
      <c r="M636" s="9">
        <v>29.5</v>
      </c>
    </row>
    <row r="637" spans="1:13" x14ac:dyDescent="0.4">
      <c r="A637" s="16">
        <f t="shared" si="54"/>
        <v>44358</v>
      </c>
      <c r="B637" s="1">
        <f t="shared" si="55"/>
        <v>40.25</v>
      </c>
      <c r="C637" s="1">
        <f t="shared" si="56"/>
        <v>3.3</v>
      </c>
      <c r="D637" s="1">
        <f t="shared" si="57"/>
        <v>17.5</v>
      </c>
      <c r="E637" s="1">
        <f t="shared" si="58"/>
        <v>20.8</v>
      </c>
      <c r="F637" s="1">
        <f t="shared" si="59"/>
        <v>29.5</v>
      </c>
      <c r="H637" s="11">
        <v>44358</v>
      </c>
      <c r="I637" s="25">
        <v>0</v>
      </c>
      <c r="J637" s="9">
        <v>3.3</v>
      </c>
      <c r="K637" s="9">
        <v>0</v>
      </c>
      <c r="L637" s="9">
        <v>0</v>
      </c>
      <c r="M637" s="9">
        <v>0</v>
      </c>
    </row>
    <row r="638" spans="1:13" x14ac:dyDescent="0.4">
      <c r="A638" s="16">
        <f t="shared" si="54"/>
        <v>44364</v>
      </c>
      <c r="B638" s="1">
        <f t="shared" si="55"/>
        <v>38.299999999999997</v>
      </c>
      <c r="C638" s="1">
        <f t="shared" si="56"/>
        <v>3.3</v>
      </c>
      <c r="D638" s="1">
        <f t="shared" si="57"/>
        <v>15.8</v>
      </c>
      <c r="E638" s="1">
        <f t="shared" si="58"/>
        <v>19.5</v>
      </c>
      <c r="F638" s="1">
        <f t="shared" si="59"/>
        <v>28</v>
      </c>
      <c r="H638" s="11">
        <v>44364</v>
      </c>
      <c r="I638" s="25">
        <v>38.299999999999997</v>
      </c>
      <c r="J638" s="9">
        <v>0</v>
      </c>
      <c r="K638" s="9">
        <v>15.8</v>
      </c>
      <c r="L638" s="9">
        <v>19.5</v>
      </c>
      <c r="M638" s="9">
        <v>28</v>
      </c>
    </row>
    <row r="639" spans="1:13" x14ac:dyDescent="0.4">
      <c r="A639" s="16">
        <f t="shared" si="54"/>
        <v>44365</v>
      </c>
      <c r="B639" s="1">
        <f t="shared" si="55"/>
        <v>38.299999999999997</v>
      </c>
      <c r="C639" s="1">
        <f t="shared" si="56"/>
        <v>3.6</v>
      </c>
      <c r="D639" s="1">
        <f t="shared" si="57"/>
        <v>15.8</v>
      </c>
      <c r="E639" s="1">
        <f t="shared" si="58"/>
        <v>19.5</v>
      </c>
      <c r="F639" s="1">
        <f t="shared" si="59"/>
        <v>28</v>
      </c>
      <c r="H639" s="11">
        <v>44365</v>
      </c>
      <c r="I639" s="25">
        <v>0</v>
      </c>
      <c r="J639" s="9">
        <v>3.6</v>
      </c>
      <c r="K639" s="9">
        <v>0</v>
      </c>
      <c r="L639" s="9">
        <v>0</v>
      </c>
      <c r="M639" s="9">
        <v>0</v>
      </c>
    </row>
    <row r="640" spans="1:13" x14ac:dyDescent="0.4">
      <c r="A640" s="16">
        <f t="shared" si="54"/>
        <v>44371</v>
      </c>
      <c r="B640" s="1">
        <f t="shared" si="55"/>
        <v>41.5</v>
      </c>
      <c r="C640" s="1">
        <f t="shared" si="56"/>
        <v>3.6</v>
      </c>
      <c r="D640" s="1">
        <f t="shared" si="57"/>
        <v>16.2</v>
      </c>
      <c r="E640" s="1">
        <f t="shared" si="58"/>
        <v>18.5</v>
      </c>
      <c r="F640" s="1">
        <f t="shared" si="59"/>
        <v>28.2</v>
      </c>
      <c r="H640" s="11">
        <v>44371</v>
      </c>
      <c r="I640" s="25">
        <v>41.5</v>
      </c>
      <c r="J640" s="9">
        <v>0</v>
      </c>
      <c r="K640" s="9">
        <v>16.2</v>
      </c>
      <c r="L640" s="9">
        <v>18.5</v>
      </c>
      <c r="M640" s="9">
        <v>28.2</v>
      </c>
    </row>
    <row r="641" spans="1:13" x14ac:dyDescent="0.4">
      <c r="A641" s="16">
        <f t="shared" si="54"/>
        <v>44372</v>
      </c>
      <c r="B641" s="1">
        <f t="shared" si="55"/>
        <v>41.5</v>
      </c>
      <c r="C641" s="1">
        <f t="shared" si="56"/>
        <v>4</v>
      </c>
      <c r="D641" s="1">
        <f t="shared" si="57"/>
        <v>16.2</v>
      </c>
      <c r="E641" s="1">
        <f t="shared" si="58"/>
        <v>18.5</v>
      </c>
      <c r="F641" s="1">
        <f t="shared" si="59"/>
        <v>28.2</v>
      </c>
      <c r="H641" s="11">
        <v>44372</v>
      </c>
      <c r="I641" s="25">
        <v>0</v>
      </c>
      <c r="J641" s="9">
        <v>4</v>
      </c>
      <c r="K641" s="9">
        <v>0</v>
      </c>
      <c r="L641" s="9">
        <v>0</v>
      </c>
      <c r="M641" s="9">
        <v>0</v>
      </c>
    </row>
    <row r="642" spans="1:13" x14ac:dyDescent="0.4">
      <c r="A642" s="16">
        <f t="shared" si="54"/>
        <v>44378</v>
      </c>
      <c r="B642" s="1">
        <f t="shared" si="55"/>
        <v>43.3</v>
      </c>
      <c r="C642" s="1">
        <f t="shared" si="56"/>
        <v>4</v>
      </c>
      <c r="D642" s="1">
        <f t="shared" si="57"/>
        <v>9.5</v>
      </c>
      <c r="E642" s="1">
        <f t="shared" si="58"/>
        <v>16.5</v>
      </c>
      <c r="F642" s="1">
        <f t="shared" si="59"/>
        <v>23.5</v>
      </c>
      <c r="H642" s="11">
        <v>44378</v>
      </c>
      <c r="I642" s="25">
        <v>43.3</v>
      </c>
      <c r="J642" s="9">
        <v>0</v>
      </c>
      <c r="K642" s="9">
        <v>9.5</v>
      </c>
      <c r="L642" s="9">
        <v>16.5</v>
      </c>
      <c r="M642" s="9">
        <v>23.5</v>
      </c>
    </row>
    <row r="643" spans="1:13" x14ac:dyDescent="0.4">
      <c r="A643" s="16">
        <f t="shared" si="54"/>
        <v>44379</v>
      </c>
      <c r="B643" s="1">
        <f t="shared" si="55"/>
        <v>43.3</v>
      </c>
      <c r="C643" s="1">
        <f t="shared" si="56"/>
        <v>4.8</v>
      </c>
      <c r="D643" s="1">
        <f t="shared" si="57"/>
        <v>9.5</v>
      </c>
      <c r="E643" s="1">
        <f t="shared" si="58"/>
        <v>16.5</v>
      </c>
      <c r="F643" s="1">
        <f t="shared" si="59"/>
        <v>23.5</v>
      </c>
      <c r="H643" s="11">
        <v>44379</v>
      </c>
      <c r="I643" s="25">
        <v>0</v>
      </c>
      <c r="J643" s="9">
        <v>4.8</v>
      </c>
      <c r="K643" s="9">
        <v>0</v>
      </c>
      <c r="L643" s="9">
        <v>0</v>
      </c>
      <c r="M643" s="9">
        <v>0</v>
      </c>
    </row>
    <row r="644" spans="1:13" x14ac:dyDescent="0.4">
      <c r="A644" s="16">
        <f t="shared" si="54"/>
        <v>44385</v>
      </c>
      <c r="B644" s="1">
        <f t="shared" si="55"/>
        <v>45.25</v>
      </c>
      <c r="C644" s="1">
        <f t="shared" si="56"/>
        <v>4.8</v>
      </c>
      <c r="D644" s="1">
        <f t="shared" si="57"/>
        <v>10</v>
      </c>
      <c r="E644" s="1">
        <f t="shared" si="58"/>
        <v>17</v>
      </c>
      <c r="F644" s="1">
        <f t="shared" si="59"/>
        <v>23.5</v>
      </c>
      <c r="H644" s="11">
        <v>44385</v>
      </c>
      <c r="I644" s="25">
        <v>45.25</v>
      </c>
      <c r="J644" s="9">
        <v>0</v>
      </c>
      <c r="K644" s="9">
        <v>10</v>
      </c>
      <c r="L644" s="9">
        <v>17</v>
      </c>
      <c r="M644" s="9">
        <v>23.5</v>
      </c>
    </row>
    <row r="645" spans="1:13" x14ac:dyDescent="0.4">
      <c r="A645" s="16">
        <f t="shared" si="54"/>
        <v>44386</v>
      </c>
      <c r="B645" s="1">
        <f t="shared" si="55"/>
        <v>45.25</v>
      </c>
      <c r="C645" s="1">
        <f t="shared" si="56"/>
        <v>4.9000000000000004</v>
      </c>
      <c r="D645" s="1">
        <f t="shared" si="57"/>
        <v>10</v>
      </c>
      <c r="E645" s="1">
        <f t="shared" si="58"/>
        <v>17</v>
      </c>
      <c r="F645" s="1">
        <f t="shared" si="59"/>
        <v>23.5</v>
      </c>
      <c r="H645" s="11">
        <v>44386</v>
      </c>
      <c r="I645" s="25">
        <v>0</v>
      </c>
      <c r="J645" s="9">
        <v>4.9000000000000004</v>
      </c>
      <c r="K645" s="9">
        <v>0</v>
      </c>
      <c r="L645" s="9">
        <v>0</v>
      </c>
      <c r="M645" s="9">
        <v>0</v>
      </c>
    </row>
    <row r="646" spans="1:13" x14ac:dyDescent="0.4">
      <c r="A646" s="16">
        <f t="shared" ref="A646:A709" si="60">H646</f>
        <v>44392</v>
      </c>
      <c r="B646" s="1">
        <f t="shared" ref="B646:B709" si="61">IF(I646&lt;&gt;0,I646,B645)</f>
        <v>41.1</v>
      </c>
      <c r="C646" s="1">
        <f t="shared" si="56"/>
        <v>4.9000000000000004</v>
      </c>
      <c r="D646" s="1">
        <f t="shared" si="57"/>
        <v>11.8</v>
      </c>
      <c r="E646" s="1">
        <f t="shared" si="58"/>
        <v>18.600000000000001</v>
      </c>
      <c r="F646" s="1">
        <f t="shared" si="59"/>
        <v>25.5</v>
      </c>
      <c r="H646" s="11">
        <v>44392</v>
      </c>
      <c r="I646" s="25">
        <v>41.1</v>
      </c>
      <c r="J646" s="9">
        <v>0</v>
      </c>
      <c r="K646" s="9">
        <v>11.8</v>
      </c>
      <c r="L646" s="9">
        <v>18.600000000000001</v>
      </c>
      <c r="M646" s="9">
        <v>25.5</v>
      </c>
    </row>
    <row r="647" spans="1:13" x14ac:dyDescent="0.4">
      <c r="A647" s="16">
        <f t="shared" si="60"/>
        <v>44393</v>
      </c>
      <c r="B647" s="1">
        <f t="shared" si="61"/>
        <v>41.1</v>
      </c>
      <c r="C647" s="1">
        <f t="shared" ref="C647:C710" si="62">IF(J647&lt;&gt;0,J647,C646)</f>
        <v>3.9</v>
      </c>
      <c r="D647" s="1">
        <f t="shared" ref="D647:D710" si="63">IF(K647&lt;&gt;0,K647,D646)</f>
        <v>11.8</v>
      </c>
      <c r="E647" s="1">
        <f t="shared" ref="E647:E710" si="64">IF(L647&lt;&gt;0,L647,E646)</f>
        <v>18.600000000000001</v>
      </c>
      <c r="F647" s="1">
        <f t="shared" ref="F647:F710" si="65">IF(M647&lt;&gt;0,M647,F646)</f>
        <v>25.5</v>
      </c>
      <c r="H647" s="11">
        <v>44393</v>
      </c>
      <c r="I647" s="25">
        <v>0</v>
      </c>
      <c r="J647" s="9">
        <v>3.9</v>
      </c>
      <c r="K647" s="9">
        <v>0</v>
      </c>
      <c r="L647" s="9">
        <v>0</v>
      </c>
      <c r="M647" s="9">
        <v>0</v>
      </c>
    </row>
    <row r="648" spans="1:13" x14ac:dyDescent="0.4">
      <c r="A648" s="16">
        <f t="shared" si="60"/>
        <v>44399</v>
      </c>
      <c r="B648" s="1">
        <f t="shared" si="61"/>
        <v>40.5</v>
      </c>
      <c r="C648" s="1">
        <f t="shared" si="62"/>
        <v>3.9</v>
      </c>
      <c r="D648" s="1">
        <f t="shared" si="63"/>
        <v>12.7</v>
      </c>
      <c r="E648" s="1">
        <f t="shared" si="64"/>
        <v>19.5</v>
      </c>
      <c r="F648" s="1">
        <f t="shared" si="65"/>
        <v>26</v>
      </c>
      <c r="H648" s="11">
        <v>44399</v>
      </c>
      <c r="I648" s="25">
        <v>40.5</v>
      </c>
      <c r="J648" s="9">
        <v>0</v>
      </c>
      <c r="K648" s="9">
        <v>12.7</v>
      </c>
      <c r="L648" s="9">
        <v>19.5</v>
      </c>
      <c r="M648" s="9">
        <v>26</v>
      </c>
    </row>
    <row r="649" spans="1:13" x14ac:dyDescent="0.4">
      <c r="A649" s="16">
        <f t="shared" si="60"/>
        <v>44400</v>
      </c>
      <c r="B649" s="1">
        <f t="shared" si="61"/>
        <v>40.5</v>
      </c>
      <c r="C649" s="1">
        <f t="shared" si="62"/>
        <v>3.9</v>
      </c>
      <c r="D649" s="1">
        <f t="shared" si="63"/>
        <v>12.7</v>
      </c>
      <c r="E649" s="1">
        <f t="shared" si="64"/>
        <v>19.5</v>
      </c>
      <c r="F649" s="1">
        <f t="shared" si="65"/>
        <v>26</v>
      </c>
      <c r="H649" s="11">
        <v>44400</v>
      </c>
      <c r="I649" s="25">
        <v>0</v>
      </c>
      <c r="J649" s="9">
        <v>3.9</v>
      </c>
      <c r="K649" s="9">
        <v>0</v>
      </c>
      <c r="L649" s="9">
        <v>0</v>
      </c>
      <c r="M649" s="9">
        <v>0</v>
      </c>
    </row>
    <row r="650" spans="1:13" x14ac:dyDescent="0.4">
      <c r="A650" s="16">
        <f t="shared" si="60"/>
        <v>44406</v>
      </c>
      <c r="B650" s="1">
        <f t="shared" si="61"/>
        <v>39.9</v>
      </c>
      <c r="C650" s="1">
        <f t="shared" si="62"/>
        <v>3.9</v>
      </c>
      <c r="D650" s="1">
        <f t="shared" si="63"/>
        <v>13.5</v>
      </c>
      <c r="E650" s="1">
        <f t="shared" si="64"/>
        <v>20.8</v>
      </c>
      <c r="F650" s="1">
        <f t="shared" si="65"/>
        <v>26</v>
      </c>
      <c r="H650" s="11">
        <v>44406</v>
      </c>
      <c r="I650" s="25">
        <v>39.9</v>
      </c>
      <c r="J650" s="9">
        <v>0</v>
      </c>
      <c r="K650" s="9">
        <v>13.5</v>
      </c>
      <c r="L650" s="9">
        <v>20.8</v>
      </c>
      <c r="M650" s="9">
        <v>26</v>
      </c>
    </row>
    <row r="651" spans="1:13" x14ac:dyDescent="0.4">
      <c r="A651" s="16">
        <f t="shared" si="60"/>
        <v>44407</v>
      </c>
      <c r="B651" s="1">
        <f t="shared" si="61"/>
        <v>39.9</v>
      </c>
      <c r="C651" s="1">
        <f t="shared" si="62"/>
        <v>3.9</v>
      </c>
      <c r="D651" s="1">
        <f t="shared" si="63"/>
        <v>13.5</v>
      </c>
      <c r="E651" s="1">
        <f t="shared" si="64"/>
        <v>20.8</v>
      </c>
      <c r="F651" s="1">
        <f t="shared" si="65"/>
        <v>26</v>
      </c>
      <c r="H651" s="11">
        <v>44407</v>
      </c>
      <c r="I651" s="25">
        <v>0</v>
      </c>
      <c r="J651" s="9">
        <v>3.9</v>
      </c>
      <c r="K651" s="9">
        <v>0</v>
      </c>
      <c r="L651" s="9">
        <v>0</v>
      </c>
      <c r="M651" s="9">
        <v>0</v>
      </c>
    </row>
    <row r="652" spans="1:13" x14ac:dyDescent="0.4">
      <c r="A652" s="16">
        <f t="shared" si="60"/>
        <v>44413</v>
      </c>
      <c r="B652" s="1">
        <f t="shared" si="61"/>
        <v>42.9</v>
      </c>
      <c r="C652" s="1">
        <f t="shared" si="62"/>
        <v>3.9</v>
      </c>
      <c r="D652" s="1">
        <f t="shared" si="63"/>
        <v>15.5</v>
      </c>
      <c r="E652" s="1">
        <f t="shared" si="64"/>
        <v>21.8</v>
      </c>
      <c r="F652" s="1">
        <f t="shared" si="65"/>
        <v>26.8</v>
      </c>
      <c r="H652" s="11">
        <v>44413</v>
      </c>
      <c r="I652" s="25">
        <v>42.9</v>
      </c>
      <c r="J652" s="9">
        <v>0</v>
      </c>
      <c r="K652" s="9">
        <v>15.5</v>
      </c>
      <c r="L652" s="9">
        <v>21.8</v>
      </c>
      <c r="M652" s="9">
        <v>26.8</v>
      </c>
    </row>
    <row r="653" spans="1:13" x14ac:dyDescent="0.4">
      <c r="A653" s="16">
        <f t="shared" si="60"/>
        <v>44414</v>
      </c>
      <c r="B653" s="1">
        <f t="shared" si="61"/>
        <v>42.9</v>
      </c>
      <c r="C653" s="1">
        <f t="shared" si="62"/>
        <v>3.6</v>
      </c>
      <c r="D653" s="1">
        <f t="shared" si="63"/>
        <v>15.5</v>
      </c>
      <c r="E653" s="1">
        <f t="shared" si="64"/>
        <v>21.8</v>
      </c>
      <c r="F653" s="1">
        <f t="shared" si="65"/>
        <v>26.8</v>
      </c>
      <c r="H653" s="11">
        <v>44414</v>
      </c>
      <c r="I653" s="25">
        <v>0</v>
      </c>
      <c r="J653" s="9">
        <v>3.6</v>
      </c>
      <c r="K653" s="9">
        <v>0</v>
      </c>
      <c r="L653" s="9">
        <v>0</v>
      </c>
      <c r="M653" s="9">
        <v>0</v>
      </c>
    </row>
    <row r="654" spans="1:13" x14ac:dyDescent="0.4">
      <c r="A654" s="16">
        <f t="shared" si="60"/>
        <v>44420</v>
      </c>
      <c r="B654" s="1">
        <f t="shared" si="61"/>
        <v>45.3</v>
      </c>
      <c r="C654" s="1">
        <f t="shared" si="62"/>
        <v>3.6</v>
      </c>
      <c r="D654" s="1">
        <f t="shared" si="63"/>
        <v>17.2</v>
      </c>
      <c r="E654" s="1">
        <f t="shared" si="64"/>
        <v>23</v>
      </c>
      <c r="F654" s="1">
        <f t="shared" si="65"/>
        <v>28.2</v>
      </c>
      <c r="H654" s="11">
        <v>44420</v>
      </c>
      <c r="I654" s="25">
        <v>45.3</v>
      </c>
      <c r="J654" s="9">
        <v>0</v>
      </c>
      <c r="K654" s="9">
        <v>17.2</v>
      </c>
      <c r="L654" s="9">
        <v>23</v>
      </c>
      <c r="M654" s="9">
        <v>28.2</v>
      </c>
    </row>
    <row r="655" spans="1:13" x14ac:dyDescent="0.4">
      <c r="A655" s="16">
        <f t="shared" si="60"/>
        <v>44421</v>
      </c>
      <c r="B655" s="1">
        <f t="shared" si="61"/>
        <v>45.3</v>
      </c>
      <c r="C655" s="1">
        <f t="shared" si="62"/>
        <v>3.5</v>
      </c>
      <c r="D655" s="1">
        <f t="shared" si="63"/>
        <v>17.2</v>
      </c>
      <c r="E655" s="1">
        <f t="shared" si="64"/>
        <v>23</v>
      </c>
      <c r="F655" s="1">
        <f t="shared" si="65"/>
        <v>28.2</v>
      </c>
      <c r="H655" s="11">
        <v>44421</v>
      </c>
      <c r="I655" s="25">
        <v>0</v>
      </c>
      <c r="J655" s="9">
        <v>3.5</v>
      </c>
      <c r="K655" s="9">
        <v>0</v>
      </c>
      <c r="L655" s="9">
        <v>0</v>
      </c>
      <c r="M655" s="9">
        <v>0</v>
      </c>
    </row>
    <row r="656" spans="1:13" x14ac:dyDescent="0.4">
      <c r="A656" s="16">
        <f t="shared" si="60"/>
        <v>44427</v>
      </c>
      <c r="B656" s="1">
        <f t="shared" si="61"/>
        <v>48.9</v>
      </c>
      <c r="C656" s="1">
        <f t="shared" si="62"/>
        <v>3.5</v>
      </c>
      <c r="D656" s="1">
        <f t="shared" si="63"/>
        <v>19.5</v>
      </c>
      <c r="E656" s="1">
        <f t="shared" si="64"/>
        <v>24.5</v>
      </c>
      <c r="F656" s="1">
        <f t="shared" si="65"/>
        <v>30.5</v>
      </c>
      <c r="H656" s="11">
        <v>44427</v>
      </c>
      <c r="I656" s="25">
        <v>48.9</v>
      </c>
      <c r="J656" s="9">
        <v>0</v>
      </c>
      <c r="K656" s="9">
        <v>19.5</v>
      </c>
      <c r="L656" s="9">
        <v>24.5</v>
      </c>
      <c r="M656" s="9">
        <v>30.5</v>
      </c>
    </row>
    <row r="657" spans="1:13" x14ac:dyDescent="0.4">
      <c r="A657" s="16">
        <f t="shared" si="60"/>
        <v>44428</v>
      </c>
      <c r="B657" s="1">
        <f t="shared" si="61"/>
        <v>48.9</v>
      </c>
      <c r="C657" s="1">
        <f t="shared" si="62"/>
        <v>3.6</v>
      </c>
      <c r="D657" s="1">
        <f t="shared" si="63"/>
        <v>19.5</v>
      </c>
      <c r="E657" s="1">
        <f t="shared" si="64"/>
        <v>24.5</v>
      </c>
      <c r="F657" s="1">
        <f t="shared" si="65"/>
        <v>30.5</v>
      </c>
      <c r="H657" s="11">
        <v>44428</v>
      </c>
      <c r="I657" s="25">
        <v>0</v>
      </c>
      <c r="J657" s="9">
        <v>3.6</v>
      </c>
      <c r="K657" s="9">
        <v>0</v>
      </c>
      <c r="L657" s="9">
        <v>0</v>
      </c>
      <c r="M657" s="9">
        <v>0</v>
      </c>
    </row>
    <row r="658" spans="1:13" x14ac:dyDescent="0.4">
      <c r="A658" s="16">
        <f t="shared" si="60"/>
        <v>44434</v>
      </c>
      <c r="B658" s="1">
        <f t="shared" si="61"/>
        <v>45.6</v>
      </c>
      <c r="C658" s="1">
        <f t="shared" si="62"/>
        <v>3.6</v>
      </c>
      <c r="D658" s="1">
        <f t="shared" si="63"/>
        <v>21.5</v>
      </c>
      <c r="E658" s="1">
        <f t="shared" si="64"/>
        <v>26</v>
      </c>
      <c r="F658" s="1">
        <f t="shared" si="65"/>
        <v>31.8</v>
      </c>
      <c r="H658" s="11">
        <v>44434</v>
      </c>
      <c r="I658" s="25">
        <v>45.6</v>
      </c>
      <c r="J658" s="9">
        <v>0</v>
      </c>
      <c r="K658" s="9">
        <v>21.5</v>
      </c>
      <c r="L658" s="9">
        <v>26</v>
      </c>
      <c r="M658" s="9">
        <v>31.8</v>
      </c>
    </row>
    <row r="659" spans="1:13" x14ac:dyDescent="0.4">
      <c r="A659" s="16">
        <f t="shared" si="60"/>
        <v>44435</v>
      </c>
      <c r="B659" s="1">
        <f t="shared" si="61"/>
        <v>45.6</v>
      </c>
      <c r="C659" s="1">
        <f t="shared" si="62"/>
        <v>3.9</v>
      </c>
      <c r="D659" s="1">
        <f t="shared" si="63"/>
        <v>21.5</v>
      </c>
      <c r="E659" s="1">
        <f t="shared" si="64"/>
        <v>26</v>
      </c>
      <c r="F659" s="1">
        <f t="shared" si="65"/>
        <v>31.8</v>
      </c>
      <c r="H659" s="11">
        <v>44435</v>
      </c>
      <c r="I659" s="25">
        <v>0</v>
      </c>
      <c r="J659" s="9">
        <v>3.9</v>
      </c>
      <c r="K659" s="9">
        <v>0</v>
      </c>
      <c r="L659" s="9">
        <v>0</v>
      </c>
      <c r="M659" s="9">
        <v>0</v>
      </c>
    </row>
    <row r="660" spans="1:13" x14ac:dyDescent="0.4">
      <c r="A660" s="16">
        <f t="shared" si="60"/>
        <v>44441</v>
      </c>
      <c r="B660" s="1">
        <f t="shared" si="61"/>
        <v>45.8</v>
      </c>
      <c r="C660" s="1">
        <f t="shared" si="62"/>
        <v>3.9</v>
      </c>
      <c r="D660" s="1">
        <f t="shared" si="63"/>
        <v>17.5</v>
      </c>
      <c r="E660" s="1">
        <f t="shared" si="64"/>
        <v>24</v>
      </c>
      <c r="F660" s="1">
        <f t="shared" si="65"/>
        <v>28</v>
      </c>
      <c r="H660" s="11">
        <v>44441</v>
      </c>
      <c r="I660" s="25">
        <v>45.8</v>
      </c>
      <c r="J660" s="9">
        <v>0</v>
      </c>
      <c r="K660" s="9">
        <v>17.5</v>
      </c>
      <c r="L660" s="9">
        <v>24</v>
      </c>
      <c r="M660" s="9">
        <v>28</v>
      </c>
    </row>
    <row r="661" spans="1:13" x14ac:dyDescent="0.4">
      <c r="A661" s="16">
        <f t="shared" si="60"/>
        <v>44442</v>
      </c>
      <c r="B661" s="1">
        <f t="shared" si="61"/>
        <v>45.8</v>
      </c>
      <c r="C661" s="1">
        <f t="shared" si="62"/>
        <v>4.0999999999999996</v>
      </c>
      <c r="D661" s="1">
        <f t="shared" si="63"/>
        <v>17.5</v>
      </c>
      <c r="E661" s="1">
        <f t="shared" si="64"/>
        <v>24</v>
      </c>
      <c r="F661" s="1">
        <f t="shared" si="65"/>
        <v>28</v>
      </c>
      <c r="H661" s="11">
        <v>44442</v>
      </c>
      <c r="I661" s="25">
        <v>0</v>
      </c>
      <c r="J661" s="9">
        <v>4.0999999999999996</v>
      </c>
      <c r="K661" s="9">
        <v>0</v>
      </c>
      <c r="L661" s="9">
        <v>0</v>
      </c>
      <c r="M661" s="9">
        <v>0</v>
      </c>
    </row>
    <row r="662" spans="1:13" x14ac:dyDescent="0.4">
      <c r="A662" s="16">
        <f t="shared" si="60"/>
        <v>44448</v>
      </c>
      <c r="B662" s="1">
        <f t="shared" si="61"/>
        <v>48.9</v>
      </c>
      <c r="C662" s="1">
        <f t="shared" si="62"/>
        <v>4.0999999999999996</v>
      </c>
      <c r="D662" s="1">
        <f t="shared" si="63"/>
        <v>18</v>
      </c>
      <c r="E662" s="1">
        <f t="shared" si="64"/>
        <v>24.6</v>
      </c>
      <c r="F662" s="1">
        <f t="shared" si="65"/>
        <v>28.8</v>
      </c>
      <c r="H662" s="11">
        <v>44448</v>
      </c>
      <c r="I662" s="25">
        <v>48.9</v>
      </c>
      <c r="J662" s="9">
        <v>0</v>
      </c>
      <c r="K662" s="9">
        <v>18</v>
      </c>
      <c r="L662" s="9">
        <v>24.6</v>
      </c>
      <c r="M662" s="9">
        <v>28.8</v>
      </c>
    </row>
    <row r="663" spans="1:13" x14ac:dyDescent="0.4">
      <c r="A663" s="16">
        <f t="shared" si="60"/>
        <v>44449</v>
      </c>
      <c r="B663" s="1">
        <f t="shared" si="61"/>
        <v>48.9</v>
      </c>
      <c r="C663" s="1">
        <f t="shared" si="62"/>
        <v>5</v>
      </c>
      <c r="D663" s="1">
        <f t="shared" si="63"/>
        <v>18</v>
      </c>
      <c r="E663" s="1">
        <f t="shared" si="64"/>
        <v>24.6</v>
      </c>
      <c r="F663" s="1">
        <f t="shared" si="65"/>
        <v>28.8</v>
      </c>
      <c r="H663" s="11">
        <v>44449</v>
      </c>
      <c r="I663" s="25">
        <v>0</v>
      </c>
      <c r="J663" s="9">
        <v>5</v>
      </c>
      <c r="K663" s="9">
        <v>0</v>
      </c>
      <c r="L663" s="9">
        <v>0</v>
      </c>
      <c r="M663" s="9">
        <v>0</v>
      </c>
    </row>
    <row r="664" spans="1:13" x14ac:dyDescent="0.4">
      <c r="A664" s="16">
        <f t="shared" si="60"/>
        <v>44455</v>
      </c>
      <c r="B664" s="1">
        <f t="shared" si="61"/>
        <v>50.95</v>
      </c>
      <c r="C664" s="1">
        <f t="shared" si="62"/>
        <v>5</v>
      </c>
      <c r="D664" s="1">
        <f t="shared" si="63"/>
        <v>18.600000000000001</v>
      </c>
      <c r="E664" s="1">
        <f t="shared" si="64"/>
        <v>25.5</v>
      </c>
      <c r="F664" s="1">
        <f t="shared" si="65"/>
        <v>29.8</v>
      </c>
      <c r="H664" s="11">
        <v>44455</v>
      </c>
      <c r="I664" s="25">
        <v>50.95</v>
      </c>
      <c r="J664" s="9">
        <v>0</v>
      </c>
      <c r="K664" s="9">
        <v>18.600000000000001</v>
      </c>
      <c r="L664" s="9">
        <v>25.5</v>
      </c>
      <c r="M664" s="9">
        <v>29.8</v>
      </c>
    </row>
    <row r="665" spans="1:13" x14ac:dyDescent="0.4">
      <c r="A665" s="16">
        <f t="shared" si="60"/>
        <v>44456</v>
      </c>
      <c r="B665" s="1">
        <f t="shared" si="61"/>
        <v>50.95</v>
      </c>
      <c r="C665" s="1">
        <f t="shared" si="62"/>
        <v>4.5999999999999996</v>
      </c>
      <c r="D665" s="1">
        <f t="shared" si="63"/>
        <v>18.600000000000001</v>
      </c>
      <c r="E665" s="1">
        <f t="shared" si="64"/>
        <v>25.5</v>
      </c>
      <c r="F665" s="1">
        <f t="shared" si="65"/>
        <v>29.8</v>
      </c>
      <c r="H665" s="11">
        <v>44456</v>
      </c>
      <c r="I665" s="25">
        <v>0</v>
      </c>
      <c r="J665" s="9">
        <v>4.5999999999999996</v>
      </c>
      <c r="K665" s="9">
        <v>0</v>
      </c>
      <c r="L665" s="9">
        <v>0</v>
      </c>
      <c r="M665" s="9">
        <v>0</v>
      </c>
    </row>
    <row r="666" spans="1:13" x14ac:dyDescent="0.4">
      <c r="A666" s="16">
        <f t="shared" si="60"/>
        <v>44462</v>
      </c>
      <c r="B666" s="1">
        <f t="shared" si="61"/>
        <v>50.75</v>
      </c>
      <c r="C666" s="1">
        <f t="shared" si="62"/>
        <v>4.5999999999999996</v>
      </c>
      <c r="D666" s="1">
        <f t="shared" si="63"/>
        <v>19.8</v>
      </c>
      <c r="E666" s="1">
        <f t="shared" si="64"/>
        <v>26.8</v>
      </c>
      <c r="F666" s="1">
        <f t="shared" si="65"/>
        <v>31.4</v>
      </c>
      <c r="H666" s="11">
        <v>44462</v>
      </c>
      <c r="I666" s="25">
        <v>50.75</v>
      </c>
      <c r="J666" s="9">
        <v>0</v>
      </c>
      <c r="K666" s="9">
        <v>19.8</v>
      </c>
      <c r="L666" s="9">
        <v>26.8</v>
      </c>
      <c r="M666" s="9">
        <v>31.4</v>
      </c>
    </row>
    <row r="667" spans="1:13" x14ac:dyDescent="0.4">
      <c r="A667" s="16">
        <f t="shared" si="60"/>
        <v>44463</v>
      </c>
      <c r="B667" s="1">
        <f t="shared" si="61"/>
        <v>50.75</v>
      </c>
      <c r="C667" s="1">
        <f t="shared" si="62"/>
        <v>5.0999999999999996</v>
      </c>
      <c r="D667" s="1">
        <f t="shared" si="63"/>
        <v>19.8</v>
      </c>
      <c r="E667" s="1">
        <f t="shared" si="64"/>
        <v>26.8</v>
      </c>
      <c r="F667" s="1">
        <f t="shared" si="65"/>
        <v>31.4</v>
      </c>
      <c r="H667" s="11">
        <v>44463</v>
      </c>
      <c r="I667" s="25">
        <v>0</v>
      </c>
      <c r="J667" s="9">
        <v>5.0999999999999996</v>
      </c>
      <c r="K667" s="9">
        <v>0</v>
      </c>
      <c r="L667" s="9">
        <v>0</v>
      </c>
      <c r="M667" s="9">
        <v>0</v>
      </c>
    </row>
    <row r="668" spans="1:13" x14ac:dyDescent="0.4">
      <c r="A668" s="16">
        <f t="shared" si="60"/>
        <v>44469</v>
      </c>
      <c r="B668" s="1">
        <f t="shared" si="61"/>
        <v>49.3</v>
      </c>
      <c r="C668" s="1">
        <f t="shared" si="62"/>
        <v>4.8</v>
      </c>
      <c r="D668" s="1">
        <f t="shared" si="63"/>
        <v>17.899999999999999</v>
      </c>
      <c r="E668" s="1">
        <f t="shared" si="64"/>
        <v>23.3</v>
      </c>
      <c r="F668" s="1">
        <f t="shared" si="65"/>
        <v>27.8</v>
      </c>
      <c r="H668" s="11">
        <v>44469</v>
      </c>
      <c r="I668" s="25">
        <v>49.3</v>
      </c>
      <c r="J668" s="9">
        <v>4.8</v>
      </c>
      <c r="K668" s="9">
        <v>17.899999999999999</v>
      </c>
      <c r="L668" s="9">
        <v>23.3</v>
      </c>
      <c r="M668" s="9">
        <v>27.8</v>
      </c>
    </row>
    <row r="669" spans="1:13" x14ac:dyDescent="0.4">
      <c r="A669" s="16">
        <f t="shared" si="60"/>
        <v>44477</v>
      </c>
      <c r="B669" s="1">
        <f t="shared" si="61"/>
        <v>49.3</v>
      </c>
      <c r="C669" s="1">
        <f t="shared" si="62"/>
        <v>5</v>
      </c>
      <c r="D669" s="1">
        <f t="shared" si="63"/>
        <v>17.899999999999999</v>
      </c>
      <c r="E669" s="1">
        <f t="shared" si="64"/>
        <v>23.3</v>
      </c>
      <c r="F669" s="1">
        <f t="shared" si="65"/>
        <v>27.8</v>
      </c>
      <c r="H669" s="11">
        <v>44477</v>
      </c>
      <c r="I669" s="25">
        <v>0</v>
      </c>
      <c r="J669" s="9">
        <v>5</v>
      </c>
      <c r="K669" s="9">
        <v>0</v>
      </c>
      <c r="L669" s="9">
        <v>0</v>
      </c>
      <c r="M669" s="9">
        <v>0</v>
      </c>
    </row>
    <row r="670" spans="1:13" x14ac:dyDescent="0.4">
      <c r="A670" s="16">
        <f t="shared" si="60"/>
        <v>44483</v>
      </c>
      <c r="B670" s="1">
        <f t="shared" si="61"/>
        <v>56.6</v>
      </c>
      <c r="C670" s="1">
        <f t="shared" si="62"/>
        <v>5</v>
      </c>
      <c r="D670" s="1">
        <f t="shared" si="63"/>
        <v>12.5</v>
      </c>
      <c r="E670" s="1">
        <f t="shared" si="64"/>
        <v>18.8</v>
      </c>
      <c r="F670" s="1">
        <f t="shared" si="65"/>
        <v>19.5</v>
      </c>
      <c r="H670" s="11">
        <v>44483</v>
      </c>
      <c r="I670" s="25">
        <v>56.6</v>
      </c>
      <c r="J670" s="9">
        <v>0</v>
      </c>
      <c r="K670" s="9">
        <v>12.5</v>
      </c>
      <c r="L670" s="9">
        <v>18.8</v>
      </c>
      <c r="M670" s="9">
        <v>19.5</v>
      </c>
    </row>
    <row r="671" spans="1:13" x14ac:dyDescent="0.4">
      <c r="A671" s="16">
        <f t="shared" si="60"/>
        <v>44484</v>
      </c>
      <c r="B671" s="1">
        <f t="shared" si="61"/>
        <v>56.6</v>
      </c>
      <c r="C671" s="1">
        <f t="shared" si="62"/>
        <v>4.8</v>
      </c>
      <c r="D671" s="1">
        <f t="shared" si="63"/>
        <v>12.5</v>
      </c>
      <c r="E671" s="1">
        <f t="shared" si="64"/>
        <v>18.8</v>
      </c>
      <c r="F671" s="1">
        <f t="shared" si="65"/>
        <v>19.5</v>
      </c>
      <c r="H671" s="11">
        <v>44484</v>
      </c>
      <c r="I671" s="25">
        <v>0</v>
      </c>
      <c r="J671" s="9">
        <v>4.8</v>
      </c>
      <c r="K671" s="9">
        <v>0</v>
      </c>
      <c r="L671" s="9">
        <v>0</v>
      </c>
      <c r="M671" s="9">
        <v>0</v>
      </c>
    </row>
    <row r="672" spans="1:13" x14ac:dyDescent="0.4">
      <c r="A672" s="16">
        <f t="shared" si="60"/>
        <v>44490</v>
      </c>
      <c r="B672" s="1">
        <f t="shared" si="61"/>
        <v>55.1</v>
      </c>
      <c r="C672" s="1">
        <f t="shared" si="62"/>
        <v>5.3</v>
      </c>
      <c r="D672" s="1">
        <f t="shared" si="63"/>
        <v>13.3</v>
      </c>
      <c r="E672" s="1">
        <f t="shared" si="64"/>
        <v>18.2</v>
      </c>
      <c r="F672" s="1">
        <f t="shared" si="65"/>
        <v>18.5</v>
      </c>
      <c r="H672" s="11">
        <v>44490</v>
      </c>
      <c r="I672" s="25">
        <v>55.1</v>
      </c>
      <c r="J672" s="9">
        <v>5.3</v>
      </c>
      <c r="K672" s="9">
        <v>13.3</v>
      </c>
      <c r="L672" s="9">
        <v>18.2</v>
      </c>
      <c r="M672" s="9">
        <v>18.5</v>
      </c>
    </row>
    <row r="673" spans="1:13" x14ac:dyDescent="0.4">
      <c r="A673" s="16">
        <f t="shared" si="60"/>
        <v>44497</v>
      </c>
      <c r="B673" s="1">
        <f t="shared" si="61"/>
        <v>53.4</v>
      </c>
      <c r="C673" s="1">
        <f t="shared" si="62"/>
        <v>5.3</v>
      </c>
      <c r="D673" s="1">
        <f t="shared" si="63"/>
        <v>15.5</v>
      </c>
      <c r="E673" s="1">
        <f t="shared" si="64"/>
        <v>20</v>
      </c>
      <c r="F673" s="1">
        <f t="shared" si="65"/>
        <v>21</v>
      </c>
      <c r="H673" s="11">
        <v>44497</v>
      </c>
      <c r="I673" s="25">
        <v>53.4</v>
      </c>
      <c r="J673" s="9">
        <v>0</v>
      </c>
      <c r="K673" s="9">
        <v>15.5</v>
      </c>
      <c r="L673" s="9">
        <v>20</v>
      </c>
      <c r="M673" s="9">
        <v>21</v>
      </c>
    </row>
    <row r="674" spans="1:13" x14ac:dyDescent="0.4">
      <c r="A674" s="16">
        <f t="shared" si="60"/>
        <v>44498</v>
      </c>
      <c r="B674" s="1">
        <f t="shared" si="61"/>
        <v>53.4</v>
      </c>
      <c r="C674" s="1">
        <f t="shared" si="62"/>
        <v>5.3</v>
      </c>
      <c r="D674" s="1">
        <f t="shared" si="63"/>
        <v>15.5</v>
      </c>
      <c r="E674" s="1">
        <f t="shared" si="64"/>
        <v>20</v>
      </c>
      <c r="F674" s="1">
        <f t="shared" si="65"/>
        <v>21</v>
      </c>
      <c r="H674" s="11">
        <v>44498</v>
      </c>
      <c r="I674" s="25">
        <v>0</v>
      </c>
      <c r="J674" s="9">
        <v>5.3</v>
      </c>
      <c r="K674" s="9">
        <v>0</v>
      </c>
      <c r="L674" s="9">
        <v>0</v>
      </c>
      <c r="M674" s="9">
        <v>0</v>
      </c>
    </row>
    <row r="675" spans="1:13" x14ac:dyDescent="0.4">
      <c r="A675" s="16">
        <f t="shared" si="60"/>
        <v>44504</v>
      </c>
      <c r="B675" s="1">
        <f t="shared" si="61"/>
        <v>44.9</v>
      </c>
      <c r="C675" s="1">
        <f t="shared" si="62"/>
        <v>5.2</v>
      </c>
      <c r="D675" s="1">
        <f t="shared" si="63"/>
        <v>17</v>
      </c>
      <c r="E675" s="1">
        <f t="shared" si="64"/>
        <v>21.1</v>
      </c>
      <c r="F675" s="1">
        <f t="shared" si="65"/>
        <v>21.8</v>
      </c>
      <c r="H675" s="11">
        <v>44504</v>
      </c>
      <c r="I675" s="25">
        <v>44.9</v>
      </c>
      <c r="J675" s="9">
        <v>5.2</v>
      </c>
      <c r="K675" s="9">
        <v>17</v>
      </c>
      <c r="L675" s="9">
        <v>21.1</v>
      </c>
      <c r="M675" s="9">
        <v>21.8</v>
      </c>
    </row>
    <row r="676" spans="1:13" x14ac:dyDescent="0.4">
      <c r="A676" s="16">
        <f t="shared" si="60"/>
        <v>44511</v>
      </c>
      <c r="B676" s="1">
        <f t="shared" si="61"/>
        <v>43.5</v>
      </c>
      <c r="C676" s="1">
        <f t="shared" si="62"/>
        <v>5.6</v>
      </c>
      <c r="D676" s="1">
        <f t="shared" si="63"/>
        <v>18.8</v>
      </c>
      <c r="E676" s="1">
        <f t="shared" si="64"/>
        <v>22.5</v>
      </c>
      <c r="F676" s="1">
        <f t="shared" si="65"/>
        <v>23</v>
      </c>
      <c r="H676" s="11">
        <v>44511</v>
      </c>
      <c r="I676" s="25">
        <v>43.5</v>
      </c>
      <c r="J676" s="9">
        <v>5.6</v>
      </c>
      <c r="K676" s="9">
        <v>18.8</v>
      </c>
      <c r="L676" s="9">
        <v>22.5</v>
      </c>
      <c r="M676" s="9">
        <v>23</v>
      </c>
    </row>
    <row r="677" spans="1:13" x14ac:dyDescent="0.4">
      <c r="A677" s="16">
        <f t="shared" si="60"/>
        <v>44518</v>
      </c>
      <c r="B677" s="1">
        <f t="shared" si="61"/>
        <v>39.880000000000003</v>
      </c>
      <c r="C677" s="1">
        <f t="shared" si="62"/>
        <v>6</v>
      </c>
      <c r="D677" s="1">
        <f t="shared" si="63"/>
        <v>20.5</v>
      </c>
      <c r="E677" s="1">
        <f t="shared" si="64"/>
        <v>23.8</v>
      </c>
      <c r="F677" s="1">
        <f t="shared" si="65"/>
        <v>25</v>
      </c>
      <c r="H677" s="11">
        <v>44518</v>
      </c>
      <c r="I677" s="25">
        <v>39.880000000000003</v>
      </c>
      <c r="J677" s="9">
        <v>6</v>
      </c>
      <c r="K677" s="9">
        <v>20.5</v>
      </c>
      <c r="L677" s="9">
        <v>23.8</v>
      </c>
      <c r="M677" s="9">
        <v>25</v>
      </c>
    </row>
    <row r="678" spans="1:13" x14ac:dyDescent="0.4">
      <c r="A678" s="16">
        <f t="shared" si="60"/>
        <v>44525</v>
      </c>
      <c r="B678" s="1">
        <f t="shared" si="61"/>
        <v>39.700000000000003</v>
      </c>
      <c r="C678" s="1">
        <f t="shared" si="62"/>
        <v>5.7</v>
      </c>
      <c r="D678" s="1">
        <f t="shared" si="63"/>
        <v>17.5</v>
      </c>
      <c r="E678" s="1">
        <f t="shared" si="64"/>
        <v>19.5</v>
      </c>
      <c r="F678" s="1">
        <f t="shared" si="65"/>
        <v>23.5</v>
      </c>
      <c r="H678" s="11">
        <v>44525</v>
      </c>
      <c r="I678" s="25">
        <v>39.700000000000003</v>
      </c>
      <c r="J678" s="9">
        <v>5.7</v>
      </c>
      <c r="K678" s="9">
        <v>17.5</v>
      </c>
      <c r="L678" s="9">
        <v>19.5</v>
      </c>
      <c r="M678" s="9">
        <v>23.5</v>
      </c>
    </row>
    <row r="679" spans="1:13" x14ac:dyDescent="0.4">
      <c r="A679" s="16">
        <f t="shared" si="60"/>
        <v>44532</v>
      </c>
      <c r="B679" s="1">
        <f t="shared" si="61"/>
        <v>36.6</v>
      </c>
      <c r="C679" s="1">
        <f t="shared" si="62"/>
        <v>5.4</v>
      </c>
      <c r="D679" s="1">
        <f t="shared" si="63"/>
        <v>20.5</v>
      </c>
      <c r="E679" s="1">
        <f t="shared" si="64"/>
        <v>22.5</v>
      </c>
      <c r="F679" s="1">
        <f t="shared" si="65"/>
        <v>24.5</v>
      </c>
      <c r="H679" s="11">
        <v>44532</v>
      </c>
      <c r="I679" s="25">
        <v>36.6</v>
      </c>
      <c r="J679" s="9">
        <v>5.4</v>
      </c>
      <c r="K679" s="9">
        <v>20.5</v>
      </c>
      <c r="L679" s="9">
        <v>22.5</v>
      </c>
      <c r="M679" s="9">
        <v>24.5</v>
      </c>
    </row>
    <row r="680" spans="1:13" x14ac:dyDescent="0.4">
      <c r="A680" s="16">
        <f t="shared" si="60"/>
        <v>44539</v>
      </c>
      <c r="B680" s="1">
        <f t="shared" si="61"/>
        <v>31.9</v>
      </c>
      <c r="C680" s="1">
        <f t="shared" si="62"/>
        <v>4.8</v>
      </c>
      <c r="D680" s="1">
        <f t="shared" si="63"/>
        <v>21.5</v>
      </c>
      <c r="E680" s="1">
        <f t="shared" si="64"/>
        <v>23</v>
      </c>
      <c r="F680" s="1">
        <f t="shared" si="65"/>
        <v>25.5</v>
      </c>
      <c r="H680" s="11">
        <v>44539</v>
      </c>
      <c r="I680" s="25">
        <v>31.9</v>
      </c>
      <c r="J680" s="9">
        <v>4.8</v>
      </c>
      <c r="K680" s="9">
        <v>21.5</v>
      </c>
      <c r="L680" s="9">
        <v>23</v>
      </c>
      <c r="M680" s="9">
        <v>25.5</v>
      </c>
    </row>
    <row r="681" spans="1:13" x14ac:dyDescent="0.4">
      <c r="A681" s="16">
        <f t="shared" si="60"/>
        <v>44546</v>
      </c>
      <c r="B681" s="1">
        <f t="shared" si="61"/>
        <v>40.6</v>
      </c>
      <c r="C681" s="1">
        <f t="shared" si="62"/>
        <v>4.9000000000000004</v>
      </c>
      <c r="D681" s="1">
        <f t="shared" si="63"/>
        <v>21.5</v>
      </c>
      <c r="E681" s="1">
        <f t="shared" si="64"/>
        <v>23</v>
      </c>
      <c r="F681" s="1">
        <f t="shared" si="65"/>
        <v>26.5</v>
      </c>
      <c r="H681" s="11">
        <v>44546</v>
      </c>
      <c r="I681" s="25">
        <v>40.6</v>
      </c>
      <c r="J681" s="9">
        <v>4.9000000000000004</v>
      </c>
      <c r="K681" s="9">
        <v>21.5</v>
      </c>
      <c r="L681" s="9">
        <v>23</v>
      </c>
      <c r="M681" s="9">
        <v>26.5</v>
      </c>
    </row>
    <row r="682" spans="1:13" x14ac:dyDescent="0.4">
      <c r="A682" s="16">
        <f t="shared" si="60"/>
        <v>44553</v>
      </c>
      <c r="B682" s="1">
        <f t="shared" si="61"/>
        <v>34.1</v>
      </c>
      <c r="C682" s="1">
        <f t="shared" si="62"/>
        <v>5</v>
      </c>
      <c r="D682" s="1">
        <f t="shared" si="63"/>
        <v>19</v>
      </c>
      <c r="E682" s="1">
        <f t="shared" si="64"/>
        <v>21</v>
      </c>
      <c r="F682" s="1">
        <f t="shared" si="65"/>
        <v>25.5</v>
      </c>
      <c r="H682" s="11">
        <v>44553</v>
      </c>
      <c r="I682" s="25">
        <v>34.1</v>
      </c>
      <c r="J682" s="9">
        <v>5</v>
      </c>
      <c r="K682" s="9">
        <v>19</v>
      </c>
      <c r="L682" s="9">
        <v>21</v>
      </c>
      <c r="M682" s="9">
        <v>25.5</v>
      </c>
    </row>
    <row r="683" spans="1:13" x14ac:dyDescent="0.4">
      <c r="A683" s="16">
        <f t="shared" si="60"/>
        <v>44560</v>
      </c>
      <c r="B683" s="1">
        <f t="shared" si="61"/>
        <v>39.299999999999997</v>
      </c>
      <c r="C683" s="1">
        <f t="shared" si="62"/>
        <v>4.7</v>
      </c>
      <c r="D683" s="1">
        <f t="shared" si="63"/>
        <v>17.8</v>
      </c>
      <c r="E683" s="1">
        <f t="shared" si="64"/>
        <v>21.5</v>
      </c>
      <c r="F683" s="1">
        <f t="shared" si="65"/>
        <v>23.5</v>
      </c>
      <c r="H683" s="11">
        <v>44560</v>
      </c>
      <c r="I683" s="25">
        <v>39.299999999999997</v>
      </c>
      <c r="J683" s="9">
        <v>4.7</v>
      </c>
      <c r="K683" s="9">
        <v>17.8</v>
      </c>
      <c r="L683" s="9">
        <v>21.5</v>
      </c>
      <c r="M683" s="9">
        <v>23.5</v>
      </c>
    </row>
    <row r="684" spans="1:13" x14ac:dyDescent="0.4">
      <c r="A684" s="16">
        <f t="shared" si="60"/>
        <v>44567</v>
      </c>
      <c r="B684" s="1">
        <f t="shared" si="61"/>
        <v>42.05</v>
      </c>
      <c r="C684" s="1">
        <f t="shared" si="62"/>
        <v>4.7</v>
      </c>
      <c r="D684" s="1">
        <f t="shared" si="63"/>
        <v>16.5</v>
      </c>
      <c r="E684" s="1">
        <f t="shared" si="64"/>
        <v>19.5</v>
      </c>
      <c r="F684" s="1">
        <f t="shared" si="65"/>
        <v>21</v>
      </c>
      <c r="H684" s="11">
        <v>44567</v>
      </c>
      <c r="I684" s="25">
        <v>42.05</v>
      </c>
      <c r="J684" s="9">
        <v>4.7</v>
      </c>
      <c r="K684" s="9">
        <v>16.5</v>
      </c>
      <c r="L684" s="9">
        <v>19.5</v>
      </c>
      <c r="M684" s="9">
        <v>21</v>
      </c>
    </row>
    <row r="685" spans="1:13" x14ac:dyDescent="0.4">
      <c r="A685" s="16">
        <f t="shared" si="60"/>
        <v>44574</v>
      </c>
      <c r="B685" s="1">
        <f t="shared" si="61"/>
        <v>39.03</v>
      </c>
      <c r="C685" s="1">
        <f t="shared" si="62"/>
        <v>4.3</v>
      </c>
      <c r="D685" s="1">
        <f t="shared" si="63"/>
        <v>14</v>
      </c>
      <c r="E685" s="1">
        <f t="shared" si="64"/>
        <v>18.5</v>
      </c>
      <c r="F685" s="1">
        <f t="shared" si="65"/>
        <v>20.5</v>
      </c>
      <c r="H685" s="11">
        <v>44574</v>
      </c>
      <c r="I685" s="25">
        <v>39.03</v>
      </c>
      <c r="J685" s="9">
        <v>4.3</v>
      </c>
      <c r="K685" s="9">
        <v>14</v>
      </c>
      <c r="L685" s="9">
        <v>18.5</v>
      </c>
      <c r="M685" s="9">
        <v>20.5</v>
      </c>
    </row>
    <row r="686" spans="1:13" x14ac:dyDescent="0.4">
      <c r="A686" s="16">
        <f t="shared" si="60"/>
        <v>44581</v>
      </c>
      <c r="B686" s="1">
        <f t="shared" si="61"/>
        <v>38</v>
      </c>
      <c r="C686" s="1">
        <f t="shared" si="62"/>
        <v>4.2</v>
      </c>
      <c r="D686" s="1">
        <f t="shared" si="63"/>
        <v>14.7</v>
      </c>
      <c r="E686" s="1">
        <f t="shared" si="64"/>
        <v>18.2</v>
      </c>
      <c r="F686" s="1">
        <f t="shared" si="65"/>
        <v>21</v>
      </c>
      <c r="H686" s="11">
        <v>44581</v>
      </c>
      <c r="I686" s="25">
        <v>38</v>
      </c>
      <c r="J686" s="9">
        <v>4.2</v>
      </c>
      <c r="K686" s="9">
        <v>14.7</v>
      </c>
      <c r="L686" s="9">
        <v>18.2</v>
      </c>
      <c r="M686" s="9">
        <v>21</v>
      </c>
    </row>
    <row r="687" spans="1:13" x14ac:dyDescent="0.4">
      <c r="A687" s="16">
        <f t="shared" si="60"/>
        <v>44588</v>
      </c>
      <c r="B687" s="1">
        <f t="shared" si="61"/>
        <v>40.880000000000003</v>
      </c>
      <c r="C687" s="1">
        <f t="shared" si="62"/>
        <v>4.7</v>
      </c>
      <c r="D687" s="1">
        <f t="shared" si="63"/>
        <v>16.5</v>
      </c>
      <c r="E687" s="1">
        <f t="shared" si="64"/>
        <v>20.5</v>
      </c>
      <c r="F687" s="1">
        <f t="shared" si="65"/>
        <v>22</v>
      </c>
      <c r="H687" s="11">
        <v>44588</v>
      </c>
      <c r="I687" s="25">
        <v>40.880000000000003</v>
      </c>
      <c r="J687" s="9">
        <v>4.7</v>
      </c>
      <c r="K687" s="9">
        <v>16.5</v>
      </c>
      <c r="L687" s="9">
        <v>20.5</v>
      </c>
      <c r="M687" s="9">
        <v>22</v>
      </c>
    </row>
    <row r="688" spans="1:13" x14ac:dyDescent="0.4">
      <c r="A688" s="16">
        <f t="shared" si="60"/>
        <v>44602</v>
      </c>
      <c r="B688" s="1">
        <f t="shared" si="61"/>
        <v>42.42</v>
      </c>
      <c r="C688" s="1">
        <f t="shared" si="62"/>
        <v>4.7</v>
      </c>
      <c r="D688" s="1">
        <f t="shared" si="63"/>
        <v>24.5</v>
      </c>
      <c r="E688" s="1">
        <f t="shared" si="64"/>
        <v>26.5</v>
      </c>
      <c r="F688" s="1">
        <f t="shared" si="65"/>
        <v>28.5</v>
      </c>
      <c r="H688" s="11">
        <v>44602</v>
      </c>
      <c r="I688" s="25">
        <v>42.42</v>
      </c>
      <c r="J688" s="9">
        <v>0</v>
      </c>
      <c r="K688" s="9">
        <v>24.5</v>
      </c>
      <c r="L688" s="9">
        <v>26.5</v>
      </c>
      <c r="M688" s="9">
        <v>28.5</v>
      </c>
    </row>
    <row r="689" spans="1:13" x14ac:dyDescent="0.4">
      <c r="A689" s="16">
        <f t="shared" si="60"/>
        <v>44603</v>
      </c>
      <c r="B689" s="1">
        <f t="shared" si="61"/>
        <v>42.42</v>
      </c>
      <c r="C689" s="1">
        <f t="shared" si="62"/>
        <v>4.8</v>
      </c>
      <c r="D689" s="1">
        <f t="shared" si="63"/>
        <v>24.5</v>
      </c>
      <c r="E689" s="1">
        <f t="shared" si="64"/>
        <v>26.5</v>
      </c>
      <c r="F689" s="1">
        <f t="shared" si="65"/>
        <v>28.5</v>
      </c>
      <c r="H689" s="11">
        <v>44603</v>
      </c>
      <c r="I689" s="25">
        <v>0</v>
      </c>
      <c r="J689" s="9">
        <v>4.8</v>
      </c>
      <c r="K689" s="9">
        <v>0</v>
      </c>
      <c r="L689" s="9">
        <v>0</v>
      </c>
      <c r="M689" s="9">
        <v>0</v>
      </c>
    </row>
    <row r="690" spans="1:13" x14ac:dyDescent="0.4">
      <c r="A690" s="16">
        <f t="shared" si="60"/>
        <v>44609</v>
      </c>
      <c r="B690" s="1">
        <f t="shared" si="61"/>
        <v>40.53</v>
      </c>
      <c r="C690" s="1">
        <f t="shared" si="62"/>
        <v>4.9000000000000004</v>
      </c>
      <c r="D690" s="1">
        <f t="shared" si="63"/>
        <v>26.8</v>
      </c>
      <c r="E690" s="1">
        <f t="shared" si="64"/>
        <v>29.5</v>
      </c>
      <c r="F690" s="1">
        <f t="shared" si="65"/>
        <v>30.7</v>
      </c>
      <c r="H690" s="11">
        <v>44609</v>
      </c>
      <c r="I690" s="25">
        <v>40.53</v>
      </c>
      <c r="J690" s="9">
        <v>4.9000000000000004</v>
      </c>
      <c r="K690" s="9">
        <v>26.8</v>
      </c>
      <c r="L690" s="9">
        <v>29.5</v>
      </c>
      <c r="M690" s="9">
        <v>30.7</v>
      </c>
    </row>
    <row r="691" spans="1:13" x14ac:dyDescent="0.4">
      <c r="A691" s="16">
        <f t="shared" si="60"/>
        <v>44615</v>
      </c>
      <c r="B691" s="1">
        <f t="shared" si="61"/>
        <v>40.53</v>
      </c>
      <c r="C691" s="1">
        <f t="shared" si="62"/>
        <v>4.9000000000000004</v>
      </c>
      <c r="D691" s="1">
        <f t="shared" si="63"/>
        <v>26.8</v>
      </c>
      <c r="E691" s="1">
        <f t="shared" si="64"/>
        <v>29.4</v>
      </c>
      <c r="F691" s="1">
        <f t="shared" si="65"/>
        <v>30.7</v>
      </c>
      <c r="H691" s="11">
        <v>44615</v>
      </c>
      <c r="I691" s="25">
        <v>0</v>
      </c>
      <c r="J691" s="9">
        <v>0</v>
      </c>
      <c r="K691" s="9">
        <v>0</v>
      </c>
      <c r="L691" s="9">
        <v>29.4</v>
      </c>
      <c r="M691" s="9">
        <v>0</v>
      </c>
    </row>
    <row r="692" spans="1:13" x14ac:dyDescent="0.4">
      <c r="A692" s="16">
        <f t="shared" si="60"/>
        <v>44616</v>
      </c>
      <c r="B692" s="1">
        <f t="shared" si="61"/>
        <v>43.23</v>
      </c>
      <c r="C692" s="1">
        <f t="shared" si="62"/>
        <v>5</v>
      </c>
      <c r="D692" s="1">
        <f t="shared" si="63"/>
        <v>27.2</v>
      </c>
      <c r="E692" s="1">
        <f t="shared" si="64"/>
        <v>30.5</v>
      </c>
      <c r="F692" s="1">
        <f t="shared" si="65"/>
        <v>31.5</v>
      </c>
      <c r="H692" s="11">
        <v>44616</v>
      </c>
      <c r="I692" s="25">
        <v>43.23</v>
      </c>
      <c r="J692" s="9">
        <v>5</v>
      </c>
      <c r="K692" s="9">
        <v>27.2</v>
      </c>
      <c r="L692" s="9">
        <v>30.5</v>
      </c>
      <c r="M692" s="9">
        <v>31.5</v>
      </c>
    </row>
    <row r="693" spans="1:13" x14ac:dyDescent="0.4">
      <c r="A693" s="16">
        <f t="shared" si="60"/>
        <v>44623</v>
      </c>
      <c r="B693" s="1">
        <f t="shared" si="61"/>
        <v>45.85</v>
      </c>
      <c r="C693" s="1">
        <f t="shared" si="62"/>
        <v>4.2</v>
      </c>
      <c r="D693" s="1">
        <f t="shared" si="63"/>
        <v>26.5</v>
      </c>
      <c r="E693" s="1">
        <f t="shared" si="64"/>
        <v>29</v>
      </c>
      <c r="F693" s="1">
        <f t="shared" si="65"/>
        <v>30.5</v>
      </c>
      <c r="H693" s="11">
        <v>44623</v>
      </c>
      <c r="I693" s="25">
        <v>45.85</v>
      </c>
      <c r="J693" s="9">
        <v>4.2</v>
      </c>
      <c r="K693" s="9">
        <v>26.5</v>
      </c>
      <c r="L693" s="9">
        <v>29</v>
      </c>
      <c r="M693" s="9">
        <v>30.5</v>
      </c>
    </row>
    <row r="694" spans="1:13" x14ac:dyDescent="0.4">
      <c r="A694" s="16">
        <f t="shared" si="60"/>
        <v>44630</v>
      </c>
      <c r="B694" s="1">
        <f t="shared" si="61"/>
        <v>43.15</v>
      </c>
      <c r="C694" s="1">
        <f t="shared" si="62"/>
        <v>4.22</v>
      </c>
      <c r="D694" s="1">
        <f t="shared" si="63"/>
        <v>25</v>
      </c>
      <c r="E694" s="1">
        <f t="shared" si="64"/>
        <v>26.5</v>
      </c>
      <c r="F694" s="1">
        <f t="shared" si="65"/>
        <v>29</v>
      </c>
      <c r="H694" s="11">
        <v>44630</v>
      </c>
      <c r="I694" s="25">
        <v>43.15</v>
      </c>
      <c r="J694" s="9">
        <v>4.22</v>
      </c>
      <c r="K694" s="9">
        <v>25</v>
      </c>
      <c r="L694" s="9">
        <v>26.5</v>
      </c>
      <c r="M694" s="9">
        <v>29</v>
      </c>
    </row>
    <row r="695" spans="1:13" x14ac:dyDescent="0.4">
      <c r="A695" s="16">
        <f t="shared" si="60"/>
        <v>44637</v>
      </c>
      <c r="B695" s="1">
        <f t="shared" si="61"/>
        <v>43.2</v>
      </c>
      <c r="C695" s="1">
        <f t="shared" si="62"/>
        <v>4.04</v>
      </c>
      <c r="D695" s="1">
        <f t="shared" si="63"/>
        <v>26.5</v>
      </c>
      <c r="E695" s="1">
        <f t="shared" si="64"/>
        <v>27.5</v>
      </c>
      <c r="F695" s="1">
        <f t="shared" si="65"/>
        <v>31</v>
      </c>
      <c r="H695" s="11">
        <v>44637</v>
      </c>
      <c r="I695" s="25">
        <v>43.2</v>
      </c>
      <c r="J695" s="9">
        <v>4.04</v>
      </c>
      <c r="K695" s="9">
        <v>26.5</v>
      </c>
      <c r="L695" s="9">
        <v>27.5</v>
      </c>
      <c r="M695" s="9">
        <v>31</v>
      </c>
    </row>
    <row r="696" spans="1:13" x14ac:dyDescent="0.4">
      <c r="A696" s="16">
        <f t="shared" si="60"/>
        <v>44644</v>
      </c>
      <c r="B696" s="1">
        <f t="shared" si="61"/>
        <v>44.7</v>
      </c>
      <c r="C696" s="1">
        <f t="shared" si="62"/>
        <v>4.68</v>
      </c>
      <c r="D696" s="1">
        <f t="shared" si="63"/>
        <v>27.8</v>
      </c>
      <c r="E696" s="1">
        <f t="shared" si="64"/>
        <v>28.5</v>
      </c>
      <c r="F696" s="1">
        <f t="shared" si="65"/>
        <v>32.200000000000003</v>
      </c>
      <c r="H696" s="11">
        <v>44644</v>
      </c>
      <c r="I696" s="25">
        <v>44.7</v>
      </c>
      <c r="J696" s="9">
        <v>4.68</v>
      </c>
      <c r="K696" s="9">
        <v>27.8</v>
      </c>
      <c r="L696" s="9">
        <v>28.5</v>
      </c>
      <c r="M696" s="9">
        <v>32.200000000000003</v>
      </c>
    </row>
    <row r="697" spans="1:13" x14ac:dyDescent="0.4">
      <c r="A697" s="16">
        <f t="shared" si="60"/>
        <v>44651</v>
      </c>
      <c r="B697" s="1">
        <f t="shared" si="61"/>
        <v>41.4</v>
      </c>
      <c r="C697" s="1">
        <f t="shared" si="62"/>
        <v>3.96</v>
      </c>
      <c r="D697" s="1">
        <f t="shared" si="63"/>
        <v>29.5</v>
      </c>
      <c r="E697" s="1">
        <f t="shared" si="64"/>
        <v>29.8</v>
      </c>
      <c r="F697" s="1">
        <f t="shared" si="65"/>
        <v>34.5</v>
      </c>
      <c r="H697" s="11">
        <v>44651</v>
      </c>
      <c r="I697" s="25">
        <v>41.4</v>
      </c>
      <c r="J697" s="9">
        <v>3.96</v>
      </c>
      <c r="K697" s="9">
        <v>29.5</v>
      </c>
      <c r="L697" s="9">
        <v>29.8</v>
      </c>
      <c r="M697" s="9">
        <v>34.5</v>
      </c>
    </row>
    <row r="698" spans="1:13" x14ac:dyDescent="0.4">
      <c r="A698" s="16">
        <f t="shared" si="60"/>
        <v>44658</v>
      </c>
      <c r="B698" s="1">
        <f t="shared" si="61"/>
        <v>42.3</v>
      </c>
      <c r="C698" s="1">
        <f t="shared" si="62"/>
        <v>3.14</v>
      </c>
      <c r="D698" s="1">
        <f t="shared" si="63"/>
        <v>31.8</v>
      </c>
      <c r="E698" s="1">
        <f t="shared" si="64"/>
        <v>32.5</v>
      </c>
      <c r="F698" s="1">
        <f t="shared" si="65"/>
        <v>35.799999999999997</v>
      </c>
      <c r="H698" s="11">
        <v>44658</v>
      </c>
      <c r="I698" s="25">
        <v>42.3</v>
      </c>
      <c r="J698" s="9">
        <v>3.14</v>
      </c>
      <c r="K698" s="9">
        <v>31.8</v>
      </c>
      <c r="L698" s="9">
        <v>32.5</v>
      </c>
      <c r="M698" s="9">
        <v>35.799999999999997</v>
      </c>
    </row>
    <row r="699" spans="1:13" x14ac:dyDescent="0.4">
      <c r="A699" s="16">
        <f t="shared" si="60"/>
        <v>44665</v>
      </c>
      <c r="B699" s="1">
        <f t="shared" si="61"/>
        <v>43.63</v>
      </c>
      <c r="C699" s="1">
        <f t="shared" si="62"/>
        <v>3.89</v>
      </c>
      <c r="D699" s="1">
        <f t="shared" si="63"/>
        <v>33.5</v>
      </c>
      <c r="E699" s="1">
        <f t="shared" si="64"/>
        <v>34</v>
      </c>
      <c r="F699" s="1">
        <f t="shared" si="65"/>
        <v>37.200000000000003</v>
      </c>
      <c r="H699" s="11">
        <v>44665</v>
      </c>
      <c r="I699" s="25">
        <v>43.63</v>
      </c>
      <c r="J699" s="9">
        <v>3.89</v>
      </c>
      <c r="K699" s="9">
        <v>33.5</v>
      </c>
      <c r="L699" s="9">
        <v>34</v>
      </c>
      <c r="M699" s="9">
        <v>37.200000000000003</v>
      </c>
    </row>
    <row r="700" spans="1:13" x14ac:dyDescent="0.4">
      <c r="A700" s="16">
        <f t="shared" si="60"/>
        <v>44672</v>
      </c>
      <c r="B700" s="1">
        <f t="shared" si="61"/>
        <v>42.65</v>
      </c>
      <c r="C700" s="1">
        <f t="shared" si="62"/>
        <v>4.22</v>
      </c>
      <c r="D700" s="1">
        <f t="shared" si="63"/>
        <v>34.700000000000003</v>
      </c>
      <c r="E700" s="1">
        <f t="shared" si="64"/>
        <v>35</v>
      </c>
      <c r="F700" s="1">
        <f t="shared" si="65"/>
        <v>38</v>
      </c>
      <c r="H700" s="11">
        <v>44672</v>
      </c>
      <c r="I700" s="25">
        <v>42.65</v>
      </c>
      <c r="J700" s="9">
        <v>4.22</v>
      </c>
      <c r="K700" s="9">
        <v>34.700000000000003</v>
      </c>
      <c r="L700" s="9">
        <v>35</v>
      </c>
      <c r="M700" s="9">
        <v>38</v>
      </c>
    </row>
    <row r="701" spans="1:13" x14ac:dyDescent="0.4">
      <c r="A701" s="16">
        <f t="shared" si="60"/>
        <v>44679</v>
      </c>
      <c r="B701" s="1">
        <f t="shared" si="61"/>
        <v>42.62</v>
      </c>
      <c r="C701" s="1">
        <f t="shared" si="62"/>
        <v>3.94</v>
      </c>
      <c r="D701" s="1">
        <f t="shared" si="63"/>
        <v>27.7</v>
      </c>
      <c r="E701" s="1">
        <f t="shared" si="64"/>
        <v>30.5</v>
      </c>
      <c r="F701" s="1">
        <f t="shared" si="65"/>
        <v>35.5</v>
      </c>
      <c r="H701" s="11">
        <v>44679</v>
      </c>
      <c r="I701" s="25">
        <v>42.62</v>
      </c>
      <c r="J701" s="9">
        <v>3.94</v>
      </c>
      <c r="K701" s="9">
        <v>27.7</v>
      </c>
      <c r="L701" s="9">
        <v>30.5</v>
      </c>
      <c r="M701" s="9">
        <v>35.5</v>
      </c>
    </row>
    <row r="702" spans="1:13" x14ac:dyDescent="0.4">
      <c r="A702" s="16">
        <f t="shared" si="60"/>
        <v>44686</v>
      </c>
      <c r="B702" s="1">
        <f t="shared" si="61"/>
        <v>46.4</v>
      </c>
      <c r="C702" s="1">
        <f t="shared" si="62"/>
        <v>3.95</v>
      </c>
      <c r="D702" s="1">
        <f t="shared" si="63"/>
        <v>30.2</v>
      </c>
      <c r="E702" s="1">
        <f t="shared" si="64"/>
        <v>32.5</v>
      </c>
      <c r="F702" s="1">
        <f t="shared" si="65"/>
        <v>36.799999999999997</v>
      </c>
      <c r="H702" s="11">
        <v>44686</v>
      </c>
      <c r="I702" s="25">
        <v>46.4</v>
      </c>
      <c r="J702" s="9">
        <v>3.95</v>
      </c>
      <c r="K702" s="9">
        <v>30.2</v>
      </c>
      <c r="L702" s="9">
        <v>32.5</v>
      </c>
      <c r="M702" s="9">
        <v>36.799999999999997</v>
      </c>
    </row>
    <row r="703" spans="1:13" x14ac:dyDescent="0.4">
      <c r="A703" s="16">
        <f t="shared" si="60"/>
        <v>44693</v>
      </c>
      <c r="B703" s="1">
        <f t="shared" si="61"/>
        <v>46.2</v>
      </c>
      <c r="C703" s="1">
        <f t="shared" si="62"/>
        <v>4.83</v>
      </c>
      <c r="D703" s="1">
        <f t="shared" si="63"/>
        <v>31.5</v>
      </c>
      <c r="E703" s="1">
        <f t="shared" si="64"/>
        <v>32.700000000000003</v>
      </c>
      <c r="F703" s="1">
        <f t="shared" si="65"/>
        <v>38.5</v>
      </c>
      <c r="H703" s="11">
        <v>44693</v>
      </c>
      <c r="I703" s="25">
        <v>46.2</v>
      </c>
      <c r="J703" s="9">
        <v>4.83</v>
      </c>
      <c r="K703" s="9">
        <v>31.5</v>
      </c>
      <c r="L703" s="9">
        <v>32.700000000000003</v>
      </c>
      <c r="M703" s="9">
        <v>38.5</v>
      </c>
    </row>
    <row r="704" spans="1:13" x14ac:dyDescent="0.4">
      <c r="A704" s="16">
        <f t="shared" si="60"/>
        <v>44700</v>
      </c>
      <c r="B704" s="1">
        <f t="shared" si="61"/>
        <v>47.55</v>
      </c>
      <c r="C704" s="1">
        <f t="shared" si="62"/>
        <v>4.8099999999999996</v>
      </c>
      <c r="D704" s="1">
        <f t="shared" si="63"/>
        <v>32.200000000000003</v>
      </c>
      <c r="E704" s="1">
        <f t="shared" si="64"/>
        <v>33</v>
      </c>
      <c r="F704" s="1">
        <f t="shared" si="65"/>
        <v>39.6</v>
      </c>
      <c r="H704" s="11">
        <v>44700</v>
      </c>
      <c r="I704" s="25">
        <v>47.55</v>
      </c>
      <c r="J704" s="9">
        <v>4.8099999999999996</v>
      </c>
      <c r="K704" s="9">
        <v>32.200000000000003</v>
      </c>
      <c r="L704" s="9">
        <v>33</v>
      </c>
      <c r="M704" s="9">
        <v>39.6</v>
      </c>
    </row>
    <row r="705" spans="1:13" x14ac:dyDescent="0.4">
      <c r="A705" s="16">
        <f t="shared" si="60"/>
        <v>44707</v>
      </c>
      <c r="B705" s="1">
        <f t="shared" si="61"/>
        <v>47.26</v>
      </c>
      <c r="C705" s="1">
        <f t="shared" si="62"/>
        <v>4.26</v>
      </c>
      <c r="D705" s="1">
        <f t="shared" si="63"/>
        <v>34.5</v>
      </c>
      <c r="E705" s="1">
        <f t="shared" si="64"/>
        <v>34.799999999999997</v>
      </c>
      <c r="F705" s="1">
        <f t="shared" si="65"/>
        <v>40.799999999999997</v>
      </c>
      <c r="H705" s="11">
        <v>44707</v>
      </c>
      <c r="I705" s="25">
        <v>47.26</v>
      </c>
      <c r="J705" s="9">
        <v>4.26</v>
      </c>
      <c r="K705" s="9">
        <v>34.5</v>
      </c>
      <c r="L705" s="9">
        <v>34.799999999999997</v>
      </c>
      <c r="M705" s="9">
        <v>40.799999999999997</v>
      </c>
    </row>
    <row r="706" spans="1:13" x14ac:dyDescent="0.4">
      <c r="A706" s="16">
        <f t="shared" si="60"/>
        <v>44714</v>
      </c>
      <c r="B706" s="1">
        <f t="shared" si="61"/>
        <v>53.9</v>
      </c>
      <c r="C706" s="1">
        <f t="shared" si="62"/>
        <v>3.75</v>
      </c>
      <c r="D706" s="1">
        <f t="shared" si="63"/>
        <v>32.5</v>
      </c>
      <c r="E706" s="1">
        <f t="shared" si="64"/>
        <v>33.5</v>
      </c>
      <c r="F706" s="1">
        <f t="shared" si="65"/>
        <v>37.799999999999997</v>
      </c>
      <c r="H706" s="11">
        <v>44714</v>
      </c>
      <c r="I706" s="25">
        <v>53.9</v>
      </c>
      <c r="J706" s="9">
        <v>3.75</v>
      </c>
      <c r="K706" s="9">
        <v>32.5</v>
      </c>
      <c r="L706" s="9">
        <v>33.5</v>
      </c>
      <c r="M706" s="9">
        <v>37.799999999999997</v>
      </c>
    </row>
    <row r="707" spans="1:13" x14ac:dyDescent="0.4">
      <c r="A707" s="16">
        <f t="shared" si="60"/>
        <v>44721</v>
      </c>
      <c r="B707" s="1">
        <f t="shared" si="61"/>
        <v>56.6</v>
      </c>
      <c r="C707" s="1">
        <f t="shared" si="62"/>
        <v>3.35</v>
      </c>
      <c r="D707" s="1">
        <f t="shared" si="63"/>
        <v>29.5</v>
      </c>
      <c r="E707" s="1">
        <f t="shared" si="64"/>
        <v>30.8</v>
      </c>
      <c r="F707" s="1">
        <f t="shared" si="65"/>
        <v>35.700000000000003</v>
      </c>
      <c r="H707" s="11">
        <v>44721</v>
      </c>
      <c r="I707" s="25">
        <v>56.6</v>
      </c>
      <c r="J707" s="9">
        <v>3.35</v>
      </c>
      <c r="K707" s="9">
        <v>29.5</v>
      </c>
      <c r="L707" s="9">
        <v>30.8</v>
      </c>
      <c r="M707" s="9">
        <v>35.700000000000003</v>
      </c>
    </row>
    <row r="708" spans="1:13" x14ac:dyDescent="0.4">
      <c r="A708" s="16">
        <f t="shared" si="60"/>
        <v>44728</v>
      </c>
      <c r="B708" s="1">
        <f t="shared" si="61"/>
        <v>60.85</v>
      </c>
      <c r="C708" s="1">
        <f t="shared" si="62"/>
        <v>3.62</v>
      </c>
      <c r="D708" s="1">
        <f t="shared" si="63"/>
        <v>31</v>
      </c>
      <c r="E708" s="1">
        <f t="shared" si="64"/>
        <v>31.5</v>
      </c>
      <c r="F708" s="1">
        <f t="shared" si="65"/>
        <v>36.799999999999997</v>
      </c>
      <c r="H708" s="11">
        <v>44728</v>
      </c>
      <c r="I708" s="25">
        <v>60.85</v>
      </c>
      <c r="J708" s="9">
        <v>3.62</v>
      </c>
      <c r="K708" s="9">
        <v>31</v>
      </c>
      <c r="L708" s="9">
        <v>31.5</v>
      </c>
      <c r="M708" s="9">
        <v>36.799999999999997</v>
      </c>
    </row>
    <row r="709" spans="1:13" x14ac:dyDescent="0.4">
      <c r="A709" s="16">
        <f t="shared" si="60"/>
        <v>44735</v>
      </c>
      <c r="B709" s="1">
        <f t="shared" si="61"/>
        <v>60.7</v>
      </c>
      <c r="C709" s="1">
        <f t="shared" si="62"/>
        <v>3.93</v>
      </c>
      <c r="D709" s="1">
        <f t="shared" si="63"/>
        <v>33.700000000000003</v>
      </c>
      <c r="E709" s="1">
        <f t="shared" si="64"/>
        <v>33.5</v>
      </c>
      <c r="F709" s="1">
        <f t="shared" si="65"/>
        <v>38.799999999999997</v>
      </c>
      <c r="H709" s="11">
        <v>44735</v>
      </c>
      <c r="I709" s="25">
        <v>60.7</v>
      </c>
      <c r="J709" s="9">
        <v>3.93</v>
      </c>
      <c r="K709" s="9">
        <v>33.700000000000003</v>
      </c>
      <c r="L709" s="9">
        <v>33.5</v>
      </c>
      <c r="M709" s="9">
        <v>38.799999999999997</v>
      </c>
    </row>
    <row r="710" spans="1:13" x14ac:dyDescent="0.4">
      <c r="A710" s="16">
        <f t="shared" ref="A710:A773" si="66">H710</f>
        <v>44742</v>
      </c>
      <c r="B710" s="1">
        <f t="shared" ref="B710:B773" si="67">IF(I710&lt;&gt;0,I710,B709)</f>
        <v>61.8</v>
      </c>
      <c r="C710" s="1">
        <f t="shared" si="62"/>
        <v>3.94</v>
      </c>
      <c r="D710" s="1">
        <f t="shared" si="63"/>
        <v>32.9</v>
      </c>
      <c r="E710" s="1">
        <f t="shared" si="64"/>
        <v>32.5</v>
      </c>
      <c r="F710" s="1">
        <f t="shared" si="65"/>
        <v>38.299999999999997</v>
      </c>
      <c r="H710" s="11">
        <v>44742</v>
      </c>
      <c r="I710" s="25">
        <v>61.8</v>
      </c>
      <c r="J710" s="9">
        <v>3.94</v>
      </c>
      <c r="K710" s="9">
        <v>32.9</v>
      </c>
      <c r="L710" s="9">
        <v>32.5</v>
      </c>
      <c r="M710" s="9">
        <v>38.299999999999997</v>
      </c>
    </row>
    <row r="711" spans="1:13" x14ac:dyDescent="0.4">
      <c r="A711" s="16">
        <f t="shared" si="66"/>
        <v>44749</v>
      </c>
      <c r="B711" s="1">
        <f t="shared" si="67"/>
        <v>55.5</v>
      </c>
      <c r="C711" s="1">
        <f t="shared" ref="C711:C774" si="68">IF(J711&lt;&gt;0,J711,C710)</f>
        <v>4.28</v>
      </c>
      <c r="D711" s="1">
        <f t="shared" ref="D711:D774" si="69">IF(K711&lt;&gt;0,K711,D710)</f>
        <v>35.700000000000003</v>
      </c>
      <c r="E711" s="1">
        <f t="shared" ref="E711:E774" si="70">IF(L711&lt;&gt;0,L711,E710)</f>
        <v>34.1</v>
      </c>
      <c r="F711" s="1">
        <f t="shared" ref="F711:F774" si="71">IF(M711&lt;&gt;0,M711,F710)</f>
        <v>41.5</v>
      </c>
      <c r="H711" s="11">
        <v>44749</v>
      </c>
      <c r="I711" s="25">
        <v>55.5</v>
      </c>
      <c r="J711" s="9">
        <v>4.28</v>
      </c>
      <c r="K711" s="9">
        <v>35.700000000000003</v>
      </c>
      <c r="L711" s="9">
        <v>34.1</v>
      </c>
      <c r="M711" s="9">
        <v>41.5</v>
      </c>
    </row>
    <row r="712" spans="1:13" x14ac:dyDescent="0.4">
      <c r="A712" s="16">
        <f t="shared" si="66"/>
        <v>44756</v>
      </c>
      <c r="B712" s="1">
        <f t="shared" si="67"/>
        <v>53.8</v>
      </c>
      <c r="C712" s="1">
        <f t="shared" si="68"/>
        <v>4.51</v>
      </c>
      <c r="D712" s="1">
        <f t="shared" si="69"/>
        <v>36.799999999999997</v>
      </c>
      <c r="E712" s="1">
        <f t="shared" si="70"/>
        <v>35.5</v>
      </c>
      <c r="F712" s="1">
        <f t="shared" si="71"/>
        <v>42.7</v>
      </c>
      <c r="H712" s="11">
        <v>44756</v>
      </c>
      <c r="I712" s="25">
        <v>53.8</v>
      </c>
      <c r="J712" s="9">
        <v>4.51</v>
      </c>
      <c r="K712" s="9">
        <v>36.799999999999997</v>
      </c>
      <c r="L712" s="9">
        <v>35.5</v>
      </c>
      <c r="M712" s="9">
        <v>42.7</v>
      </c>
    </row>
    <row r="713" spans="1:13" x14ac:dyDescent="0.4">
      <c r="A713" s="16">
        <f t="shared" si="66"/>
        <v>44763</v>
      </c>
      <c r="B713" s="1">
        <f t="shared" si="67"/>
        <v>55.85</v>
      </c>
      <c r="C713" s="1">
        <f t="shared" si="68"/>
        <v>4.41</v>
      </c>
      <c r="D713" s="1">
        <f t="shared" si="69"/>
        <v>33.200000000000003</v>
      </c>
      <c r="E713" s="1">
        <f t="shared" si="70"/>
        <v>32.700000000000003</v>
      </c>
      <c r="F713" s="1">
        <f t="shared" si="71"/>
        <v>40.5</v>
      </c>
      <c r="H713" s="11">
        <v>44763</v>
      </c>
      <c r="I713" s="25">
        <v>55.85</v>
      </c>
      <c r="J713" s="9">
        <v>4.41</v>
      </c>
      <c r="K713" s="9">
        <v>33.200000000000003</v>
      </c>
      <c r="L713" s="9">
        <v>32.700000000000003</v>
      </c>
      <c r="M713" s="9">
        <v>40.5</v>
      </c>
    </row>
    <row r="714" spans="1:13" x14ac:dyDescent="0.4">
      <c r="A714" s="16">
        <f t="shared" si="66"/>
        <v>44770</v>
      </c>
      <c r="B714" s="1">
        <f t="shared" si="67"/>
        <v>61.18</v>
      </c>
      <c r="C714" s="1">
        <f t="shared" si="68"/>
        <v>4.28</v>
      </c>
      <c r="D714" s="1">
        <f t="shared" si="69"/>
        <v>33.299999999999997</v>
      </c>
      <c r="E714" s="1">
        <f t="shared" si="70"/>
        <v>33</v>
      </c>
      <c r="F714" s="1">
        <f t="shared" si="71"/>
        <v>41</v>
      </c>
      <c r="H714" s="11">
        <v>44770</v>
      </c>
      <c r="I714" s="25">
        <v>61.18</v>
      </c>
      <c r="J714" s="9">
        <v>4.28</v>
      </c>
      <c r="K714" s="9">
        <v>33.299999999999997</v>
      </c>
      <c r="L714" s="9">
        <v>33</v>
      </c>
      <c r="M714" s="9">
        <v>41</v>
      </c>
    </row>
    <row r="715" spans="1:13" x14ac:dyDescent="0.4">
      <c r="A715" s="16">
        <f t="shared" si="66"/>
        <v>44777</v>
      </c>
      <c r="B715" s="1">
        <f t="shared" si="67"/>
        <v>60.45</v>
      </c>
      <c r="C715" s="1">
        <f t="shared" si="68"/>
        <v>4.2300000000000004</v>
      </c>
      <c r="D715" s="1">
        <f t="shared" si="69"/>
        <v>35.4</v>
      </c>
      <c r="E715" s="1">
        <f t="shared" si="70"/>
        <v>34.5</v>
      </c>
      <c r="F715" s="1">
        <f t="shared" si="71"/>
        <v>42.3</v>
      </c>
      <c r="H715" s="11">
        <v>44777</v>
      </c>
      <c r="I715" s="25">
        <v>60.45</v>
      </c>
      <c r="J715" s="9">
        <v>4.2300000000000004</v>
      </c>
      <c r="K715" s="9">
        <v>35.4</v>
      </c>
      <c r="L715" s="9">
        <v>34.5</v>
      </c>
      <c r="M715" s="9">
        <v>42.3</v>
      </c>
    </row>
    <row r="716" spans="1:13" x14ac:dyDescent="0.4">
      <c r="A716" s="16">
        <f t="shared" si="66"/>
        <v>44784</v>
      </c>
      <c r="B716" s="1">
        <f t="shared" si="67"/>
        <v>55.5</v>
      </c>
      <c r="C716" s="1">
        <f t="shared" si="68"/>
        <v>3.84</v>
      </c>
      <c r="D716" s="1">
        <f t="shared" si="69"/>
        <v>36.799999999999997</v>
      </c>
      <c r="E716" s="1">
        <f t="shared" si="70"/>
        <v>35.700000000000003</v>
      </c>
      <c r="F716" s="1">
        <f t="shared" si="71"/>
        <v>43.2</v>
      </c>
      <c r="H716" s="11">
        <v>44784</v>
      </c>
      <c r="I716" s="25">
        <v>55.5</v>
      </c>
      <c r="J716" s="9">
        <v>3.84</v>
      </c>
      <c r="K716" s="9">
        <v>36.799999999999997</v>
      </c>
      <c r="L716" s="9">
        <v>35.700000000000003</v>
      </c>
      <c r="M716" s="9">
        <v>43.2</v>
      </c>
    </row>
    <row r="717" spans="1:13" x14ac:dyDescent="0.4">
      <c r="A717" s="16">
        <f t="shared" si="66"/>
        <v>44791</v>
      </c>
      <c r="B717" s="1">
        <f t="shared" si="67"/>
        <v>55.25</v>
      </c>
      <c r="C717" s="1">
        <f t="shared" si="68"/>
        <v>4.09</v>
      </c>
      <c r="D717" s="1">
        <f t="shared" si="69"/>
        <v>37.799999999999997</v>
      </c>
      <c r="E717" s="1">
        <f t="shared" si="70"/>
        <v>36.5</v>
      </c>
      <c r="F717" s="1">
        <f t="shared" si="71"/>
        <v>43.8</v>
      </c>
      <c r="H717" s="11">
        <v>44791</v>
      </c>
      <c r="I717" s="25">
        <v>55.25</v>
      </c>
      <c r="J717" s="9">
        <v>4.09</v>
      </c>
      <c r="K717" s="9">
        <v>37.799999999999997</v>
      </c>
      <c r="L717" s="9">
        <v>36.5</v>
      </c>
      <c r="M717" s="9">
        <v>43.8</v>
      </c>
    </row>
    <row r="718" spans="1:13" x14ac:dyDescent="0.4">
      <c r="A718" s="16">
        <f t="shared" si="66"/>
        <v>44798</v>
      </c>
      <c r="B718" s="1">
        <f t="shared" si="67"/>
        <v>47.97</v>
      </c>
      <c r="C718" s="1">
        <f t="shared" si="68"/>
        <v>4.49</v>
      </c>
      <c r="D718" s="1">
        <f t="shared" si="69"/>
        <v>35.5</v>
      </c>
      <c r="E718" s="1">
        <f t="shared" si="70"/>
        <v>33.799999999999997</v>
      </c>
      <c r="F718" s="1">
        <f t="shared" si="71"/>
        <v>39.700000000000003</v>
      </c>
      <c r="H718" s="11">
        <v>44798</v>
      </c>
      <c r="I718" s="25">
        <v>47.97</v>
      </c>
      <c r="J718" s="9">
        <v>4.49</v>
      </c>
      <c r="K718" s="9">
        <v>35.5</v>
      </c>
      <c r="L718" s="9">
        <v>33.799999999999997</v>
      </c>
      <c r="M718" s="9">
        <v>39.700000000000003</v>
      </c>
    </row>
    <row r="719" spans="1:13" x14ac:dyDescent="0.4">
      <c r="A719" s="16">
        <f t="shared" si="66"/>
        <v>44805</v>
      </c>
      <c r="B719" s="1">
        <f t="shared" si="67"/>
        <v>49.45</v>
      </c>
      <c r="C719" s="1">
        <f t="shared" si="68"/>
        <v>4.6900000000000004</v>
      </c>
      <c r="D719" s="1">
        <f t="shared" si="69"/>
        <v>28.5</v>
      </c>
      <c r="E719" s="1">
        <f t="shared" si="70"/>
        <v>29.7</v>
      </c>
      <c r="F719" s="1">
        <f t="shared" si="71"/>
        <v>34.799999999999997</v>
      </c>
      <c r="H719" s="11">
        <v>44805</v>
      </c>
      <c r="I719" s="25">
        <v>49.45</v>
      </c>
      <c r="J719" s="9">
        <v>4.6900000000000004</v>
      </c>
      <c r="K719" s="9">
        <v>28.5</v>
      </c>
      <c r="L719" s="9">
        <v>29.7</v>
      </c>
      <c r="M719" s="9">
        <v>34.799999999999997</v>
      </c>
    </row>
    <row r="720" spans="1:13" x14ac:dyDescent="0.4">
      <c r="A720" s="16">
        <f t="shared" si="66"/>
        <v>44812</v>
      </c>
      <c r="B720" s="1">
        <f t="shared" si="67"/>
        <v>48.92</v>
      </c>
      <c r="C720" s="1">
        <f t="shared" si="68"/>
        <v>4.58</v>
      </c>
      <c r="D720" s="1">
        <f t="shared" si="69"/>
        <v>28.2</v>
      </c>
      <c r="E720" s="1">
        <f t="shared" si="70"/>
        <v>29.8</v>
      </c>
      <c r="F720" s="1">
        <f t="shared" si="71"/>
        <v>35.5</v>
      </c>
      <c r="H720" s="11">
        <v>44812</v>
      </c>
      <c r="I720" s="25">
        <v>48.92</v>
      </c>
      <c r="J720" s="9">
        <v>4.58</v>
      </c>
      <c r="K720" s="9">
        <v>28.2</v>
      </c>
      <c r="L720" s="9">
        <v>29.8</v>
      </c>
      <c r="M720" s="9">
        <v>35.5</v>
      </c>
    </row>
    <row r="721" spans="1:13" x14ac:dyDescent="0.4">
      <c r="A721" s="16">
        <f t="shared" si="66"/>
        <v>44819</v>
      </c>
      <c r="B721" s="1">
        <f t="shared" si="67"/>
        <v>50.25</v>
      </c>
      <c r="C721" s="1">
        <f t="shared" si="68"/>
        <v>4.05</v>
      </c>
      <c r="D721" s="1">
        <f t="shared" si="69"/>
        <v>28.8</v>
      </c>
      <c r="E721" s="1">
        <f t="shared" si="70"/>
        <v>30.3</v>
      </c>
      <c r="F721" s="1">
        <f t="shared" si="71"/>
        <v>36.299999999999997</v>
      </c>
      <c r="H721" s="11">
        <v>44819</v>
      </c>
      <c r="I721" s="25">
        <v>50.25</v>
      </c>
      <c r="J721" s="9">
        <v>4.05</v>
      </c>
      <c r="K721" s="9">
        <v>28.8</v>
      </c>
      <c r="L721" s="9">
        <v>30.3</v>
      </c>
      <c r="M721" s="9">
        <v>36.299999999999997</v>
      </c>
    </row>
    <row r="722" spans="1:13" x14ac:dyDescent="0.4">
      <c r="A722" s="16">
        <f t="shared" si="66"/>
        <v>44826</v>
      </c>
      <c r="B722" s="1">
        <f t="shared" si="67"/>
        <v>46.1</v>
      </c>
      <c r="C722" s="1">
        <f t="shared" si="68"/>
        <v>3.64</v>
      </c>
      <c r="D722" s="1">
        <f t="shared" si="69"/>
        <v>29.2</v>
      </c>
      <c r="E722" s="1">
        <f t="shared" si="70"/>
        <v>30.5</v>
      </c>
      <c r="F722" s="1">
        <f t="shared" si="71"/>
        <v>37.1</v>
      </c>
      <c r="H722" s="11">
        <v>44826</v>
      </c>
      <c r="I722" s="25">
        <v>46.1</v>
      </c>
      <c r="J722" s="9">
        <v>3.64</v>
      </c>
      <c r="K722" s="9">
        <v>29.2</v>
      </c>
      <c r="L722" s="9">
        <v>30.5</v>
      </c>
      <c r="M722" s="9">
        <v>37.1</v>
      </c>
    </row>
    <row r="723" spans="1:13" x14ac:dyDescent="0.4">
      <c r="A723" s="16">
        <f t="shared" si="66"/>
        <v>44833</v>
      </c>
      <c r="B723" s="1">
        <f t="shared" si="67"/>
        <v>37.299999999999997</v>
      </c>
      <c r="C723" s="1">
        <f t="shared" si="68"/>
        <v>3.28</v>
      </c>
      <c r="D723" s="1">
        <f t="shared" si="69"/>
        <v>27.5</v>
      </c>
      <c r="E723" s="1">
        <f t="shared" si="70"/>
        <v>28.7</v>
      </c>
      <c r="F723" s="1">
        <f t="shared" si="71"/>
        <v>35.5</v>
      </c>
      <c r="H723" s="11">
        <v>44833</v>
      </c>
      <c r="I723" s="25">
        <v>37.299999999999997</v>
      </c>
      <c r="J723" s="9">
        <v>3.28</v>
      </c>
      <c r="K723" s="9">
        <v>27.5</v>
      </c>
      <c r="L723" s="9">
        <v>28.7</v>
      </c>
      <c r="M723" s="9">
        <v>35.5</v>
      </c>
    </row>
    <row r="724" spans="1:13" x14ac:dyDescent="0.4">
      <c r="A724" s="16">
        <f t="shared" si="66"/>
        <v>44847</v>
      </c>
      <c r="B724" s="1">
        <f t="shared" si="67"/>
        <v>32.4</v>
      </c>
      <c r="C724" s="1">
        <f t="shared" si="68"/>
        <v>3.9</v>
      </c>
      <c r="D724" s="1">
        <f t="shared" si="69"/>
        <v>29.8</v>
      </c>
      <c r="E724" s="1">
        <f t="shared" si="70"/>
        <v>30.4</v>
      </c>
      <c r="F724" s="1">
        <f t="shared" si="71"/>
        <v>37.6</v>
      </c>
      <c r="H724" s="11">
        <v>44847</v>
      </c>
      <c r="I724" s="25">
        <v>32.4</v>
      </c>
      <c r="J724" s="9">
        <v>3.9</v>
      </c>
      <c r="K724" s="9">
        <v>29.8</v>
      </c>
      <c r="L724" s="9">
        <v>30.4</v>
      </c>
      <c r="M724" s="9">
        <v>37.6</v>
      </c>
    </row>
    <row r="725" spans="1:13" x14ac:dyDescent="0.4">
      <c r="A725" s="16">
        <f t="shared" si="66"/>
        <v>44854</v>
      </c>
      <c r="B725" s="1">
        <f t="shared" si="67"/>
        <v>27.8</v>
      </c>
      <c r="C725" s="1">
        <f t="shared" si="68"/>
        <v>4.22</v>
      </c>
      <c r="D725" s="1">
        <f t="shared" si="69"/>
        <v>31.3</v>
      </c>
      <c r="E725" s="1">
        <f t="shared" si="70"/>
        <v>31.1</v>
      </c>
      <c r="F725" s="1">
        <f t="shared" si="71"/>
        <v>38.700000000000003</v>
      </c>
      <c r="H725" s="11">
        <v>44854</v>
      </c>
      <c r="I725" s="25">
        <v>27.8</v>
      </c>
      <c r="J725" s="9">
        <v>4.22</v>
      </c>
      <c r="K725" s="9">
        <v>31.3</v>
      </c>
      <c r="L725" s="9">
        <v>31.1</v>
      </c>
      <c r="M725" s="9">
        <v>38.700000000000003</v>
      </c>
    </row>
    <row r="726" spans="1:13" x14ac:dyDescent="0.4">
      <c r="A726" s="16">
        <f t="shared" si="66"/>
        <v>44861</v>
      </c>
      <c r="B726" s="1">
        <f t="shared" si="67"/>
        <v>25.56</v>
      </c>
      <c r="C726" s="1">
        <f t="shared" si="68"/>
        <v>3.98</v>
      </c>
      <c r="D726" s="1">
        <f t="shared" si="69"/>
        <v>32.1</v>
      </c>
      <c r="E726" s="1">
        <f t="shared" si="70"/>
        <v>32.5</v>
      </c>
      <c r="F726" s="1">
        <f t="shared" si="71"/>
        <v>39.5</v>
      </c>
      <c r="H726" s="11">
        <v>44861</v>
      </c>
      <c r="I726" s="25">
        <v>25.56</v>
      </c>
      <c r="J726" s="9">
        <v>3.98</v>
      </c>
      <c r="K726" s="9">
        <v>32.1</v>
      </c>
      <c r="L726" s="9">
        <v>32.5</v>
      </c>
      <c r="M726" s="9">
        <v>39.5</v>
      </c>
    </row>
    <row r="727" spans="1:13" x14ac:dyDescent="0.4">
      <c r="A727" s="16">
        <f t="shared" si="66"/>
        <v>44868</v>
      </c>
      <c r="B727" s="1">
        <f t="shared" si="67"/>
        <v>26.61</v>
      </c>
      <c r="C727" s="1">
        <f t="shared" si="68"/>
        <v>3.73</v>
      </c>
      <c r="D727" s="1">
        <f t="shared" si="69"/>
        <v>32.6</v>
      </c>
      <c r="E727" s="1">
        <f t="shared" si="70"/>
        <v>33.4</v>
      </c>
      <c r="F727" s="1">
        <f t="shared" si="71"/>
        <v>40.200000000000003</v>
      </c>
      <c r="H727" s="11">
        <v>44868</v>
      </c>
      <c r="I727" s="25">
        <v>26.61</v>
      </c>
      <c r="J727" s="9">
        <v>3.73</v>
      </c>
      <c r="K727" s="9">
        <v>32.6</v>
      </c>
      <c r="L727" s="9">
        <v>33.4</v>
      </c>
      <c r="M727" s="9">
        <v>40.200000000000003</v>
      </c>
    </row>
    <row r="728" spans="1:13" x14ac:dyDescent="0.4">
      <c r="A728" s="16">
        <f t="shared" si="66"/>
        <v>44875</v>
      </c>
      <c r="B728" s="1">
        <f t="shared" si="67"/>
        <v>33.6</v>
      </c>
      <c r="C728" s="1">
        <f t="shared" si="68"/>
        <v>4.3899999999999997</v>
      </c>
      <c r="D728" s="1">
        <f t="shared" si="69"/>
        <v>32.799999999999997</v>
      </c>
      <c r="E728" s="1">
        <f t="shared" si="70"/>
        <v>33.5</v>
      </c>
      <c r="F728" s="1">
        <f t="shared" si="71"/>
        <v>40.6</v>
      </c>
      <c r="H728" s="11">
        <v>44875</v>
      </c>
      <c r="I728" s="25">
        <v>33.6</v>
      </c>
      <c r="J728" s="9">
        <v>4.3899999999999997</v>
      </c>
      <c r="K728" s="9">
        <v>32.799999999999997</v>
      </c>
      <c r="L728" s="9">
        <v>33.5</v>
      </c>
      <c r="M728" s="9">
        <v>40.6</v>
      </c>
    </row>
    <row r="729" spans="1:13" x14ac:dyDescent="0.4">
      <c r="A729" s="16">
        <f t="shared" si="66"/>
        <v>44882</v>
      </c>
      <c r="B729" s="1">
        <f t="shared" si="67"/>
        <v>30.65</v>
      </c>
      <c r="C729" s="1">
        <f t="shared" si="68"/>
        <v>4.32</v>
      </c>
      <c r="D729" s="1">
        <f t="shared" si="69"/>
        <v>33.6</v>
      </c>
      <c r="E729" s="1">
        <f t="shared" si="70"/>
        <v>34.200000000000003</v>
      </c>
      <c r="F729" s="1">
        <f t="shared" si="71"/>
        <v>41.5</v>
      </c>
      <c r="H729" s="11">
        <v>44882</v>
      </c>
      <c r="I729" s="25">
        <v>30.65</v>
      </c>
      <c r="J729" s="9">
        <v>4.32</v>
      </c>
      <c r="K729" s="9">
        <v>33.6</v>
      </c>
      <c r="L729" s="9">
        <v>34.200000000000003</v>
      </c>
      <c r="M729" s="9">
        <v>41.5</v>
      </c>
    </row>
    <row r="730" spans="1:13" x14ac:dyDescent="0.4">
      <c r="A730" s="16">
        <f t="shared" si="66"/>
        <v>44889</v>
      </c>
      <c r="B730" s="1">
        <f t="shared" si="67"/>
        <v>25.7</v>
      </c>
      <c r="C730" s="1">
        <f t="shared" si="68"/>
        <v>4.5199999999999996</v>
      </c>
      <c r="D730" s="1">
        <f t="shared" si="69"/>
        <v>34.700000000000003</v>
      </c>
      <c r="E730" s="1">
        <f t="shared" si="70"/>
        <v>34.799999999999997</v>
      </c>
      <c r="F730" s="1">
        <f t="shared" si="71"/>
        <v>42.5</v>
      </c>
      <c r="H730" s="11">
        <v>44889</v>
      </c>
      <c r="I730" s="25">
        <v>25.7</v>
      </c>
      <c r="J730" s="9">
        <v>4.5199999999999996</v>
      </c>
      <c r="K730" s="9">
        <v>34.700000000000003</v>
      </c>
      <c r="L730" s="9">
        <v>34.799999999999997</v>
      </c>
      <c r="M730" s="9">
        <v>42.5</v>
      </c>
    </row>
    <row r="731" spans="1:13" x14ac:dyDescent="0.4">
      <c r="A731" s="16">
        <f t="shared" si="66"/>
        <v>44896</v>
      </c>
      <c r="B731" s="1">
        <f t="shared" si="67"/>
        <v>26.43</v>
      </c>
      <c r="C731" s="1">
        <f t="shared" si="68"/>
        <v>4.76</v>
      </c>
      <c r="D731" s="1">
        <f t="shared" si="69"/>
        <v>33.4</v>
      </c>
      <c r="E731" s="1">
        <f t="shared" si="70"/>
        <v>33.700000000000003</v>
      </c>
      <c r="F731" s="1">
        <f t="shared" si="71"/>
        <v>40.799999999999997</v>
      </c>
      <c r="H731" s="11">
        <v>44896</v>
      </c>
      <c r="I731" s="25">
        <v>26.43</v>
      </c>
      <c r="J731" s="9">
        <v>4.76</v>
      </c>
      <c r="K731" s="9">
        <v>33.4</v>
      </c>
      <c r="L731" s="9">
        <v>33.700000000000003</v>
      </c>
      <c r="M731" s="9">
        <v>40.799999999999997</v>
      </c>
    </row>
    <row r="732" spans="1:13" x14ac:dyDescent="0.4">
      <c r="A732" s="16">
        <f t="shared" si="66"/>
        <v>44903</v>
      </c>
      <c r="B732" s="1">
        <f t="shared" si="67"/>
        <v>22.28</v>
      </c>
      <c r="C732" s="1">
        <f t="shared" si="68"/>
        <v>5.26</v>
      </c>
      <c r="D732" s="1">
        <f t="shared" si="69"/>
        <v>29.8</v>
      </c>
      <c r="E732" s="1">
        <f t="shared" si="70"/>
        <v>28.5</v>
      </c>
      <c r="F732" s="1">
        <f t="shared" si="71"/>
        <v>36.299999999999997</v>
      </c>
      <c r="H732" s="11">
        <v>44903</v>
      </c>
      <c r="I732" s="25">
        <v>22.28</v>
      </c>
      <c r="J732" s="9">
        <v>5.26</v>
      </c>
      <c r="K732" s="9">
        <v>29.8</v>
      </c>
      <c r="L732" s="9">
        <v>28.5</v>
      </c>
      <c r="M732" s="9">
        <v>36.299999999999997</v>
      </c>
    </row>
    <row r="733" spans="1:13" x14ac:dyDescent="0.4">
      <c r="A733" s="16">
        <f t="shared" si="66"/>
        <v>44910</v>
      </c>
      <c r="B733" s="1">
        <f t="shared" si="67"/>
        <v>30.75</v>
      </c>
      <c r="C733" s="1">
        <f t="shared" si="68"/>
        <v>5.46</v>
      </c>
      <c r="D733" s="1">
        <f t="shared" si="69"/>
        <v>23.7</v>
      </c>
      <c r="E733" s="1">
        <f t="shared" si="70"/>
        <v>23.3</v>
      </c>
      <c r="F733" s="1">
        <f t="shared" si="71"/>
        <v>28.4</v>
      </c>
      <c r="H733" s="11">
        <v>44910</v>
      </c>
      <c r="I733" s="25">
        <v>30.75</v>
      </c>
      <c r="J733" s="9">
        <v>5.46</v>
      </c>
      <c r="K733" s="9">
        <v>23.7</v>
      </c>
      <c r="L733" s="9">
        <v>23.3</v>
      </c>
      <c r="M733" s="9">
        <v>28.4</v>
      </c>
    </row>
    <row r="734" spans="1:13" x14ac:dyDescent="0.4">
      <c r="A734" s="16">
        <f t="shared" si="66"/>
        <v>44917</v>
      </c>
      <c r="B734" s="1">
        <f t="shared" si="67"/>
        <v>28.15</v>
      </c>
      <c r="C734" s="1">
        <f t="shared" si="68"/>
        <v>5.52</v>
      </c>
      <c r="D734" s="1">
        <f t="shared" si="69"/>
        <v>23.3</v>
      </c>
      <c r="E734" s="1">
        <f t="shared" si="70"/>
        <v>24.1</v>
      </c>
      <c r="F734" s="1">
        <f t="shared" si="71"/>
        <v>27.9</v>
      </c>
      <c r="H734" s="11">
        <v>44917</v>
      </c>
      <c r="I734" s="25">
        <v>28.15</v>
      </c>
      <c r="J734" s="9">
        <v>5.52</v>
      </c>
      <c r="K734" s="9">
        <v>23.3</v>
      </c>
      <c r="L734" s="9">
        <v>24.1</v>
      </c>
      <c r="M734" s="9">
        <v>27.9</v>
      </c>
    </row>
    <row r="735" spans="1:13" x14ac:dyDescent="0.4">
      <c r="A735" s="16">
        <f t="shared" si="66"/>
        <v>44924</v>
      </c>
      <c r="B735" s="1">
        <f t="shared" si="67"/>
        <v>27.25</v>
      </c>
      <c r="C735" s="1">
        <f t="shared" si="68"/>
        <v>4.8899999999999997</v>
      </c>
      <c r="D735" s="1">
        <f t="shared" si="69"/>
        <v>20.100000000000001</v>
      </c>
      <c r="E735" s="1">
        <f t="shared" si="70"/>
        <v>24.4</v>
      </c>
      <c r="F735" s="1">
        <f t="shared" si="71"/>
        <v>26.5</v>
      </c>
      <c r="H735" s="11">
        <v>44924</v>
      </c>
      <c r="I735" s="25">
        <v>27.25</v>
      </c>
      <c r="J735" s="9">
        <v>4.8899999999999997</v>
      </c>
      <c r="K735" s="9">
        <v>20.100000000000001</v>
      </c>
      <c r="L735" s="9">
        <v>24.4</v>
      </c>
      <c r="M735" s="9">
        <v>26.5</v>
      </c>
    </row>
    <row r="736" spans="1:13" x14ac:dyDescent="0.4">
      <c r="A736" s="16">
        <f t="shared" si="66"/>
        <v>44931</v>
      </c>
      <c r="B736" s="1">
        <f t="shared" si="67"/>
        <v>38.5</v>
      </c>
      <c r="C736" s="1">
        <f t="shared" si="68"/>
        <v>4.38</v>
      </c>
      <c r="D736" s="1">
        <f t="shared" si="69"/>
        <v>21.5</v>
      </c>
      <c r="E736" s="1">
        <f t="shared" si="70"/>
        <v>25.5</v>
      </c>
      <c r="F736" s="1">
        <f t="shared" si="71"/>
        <v>27.3</v>
      </c>
      <c r="H736" s="11">
        <v>44931</v>
      </c>
      <c r="I736" s="25">
        <v>38.5</v>
      </c>
      <c r="J736" s="9">
        <v>4.38</v>
      </c>
      <c r="K736" s="9">
        <v>21.5</v>
      </c>
      <c r="L736" s="9">
        <v>25.5</v>
      </c>
      <c r="M736" s="9">
        <v>27.3</v>
      </c>
    </row>
    <row r="737" spans="1:13" x14ac:dyDescent="0.4">
      <c r="A737" s="16">
        <f t="shared" si="66"/>
        <v>44938</v>
      </c>
      <c r="B737" s="1">
        <f t="shared" si="67"/>
        <v>42.7</v>
      </c>
      <c r="C737" s="1">
        <f t="shared" si="68"/>
        <v>5.31</v>
      </c>
      <c r="D737" s="1">
        <f t="shared" si="69"/>
        <v>17.899999999999999</v>
      </c>
      <c r="E737" s="1">
        <f t="shared" si="70"/>
        <v>23.8</v>
      </c>
      <c r="F737" s="1">
        <f t="shared" si="71"/>
        <v>25.8</v>
      </c>
      <c r="H737" s="11">
        <v>44938</v>
      </c>
      <c r="I737" s="25">
        <v>42.7</v>
      </c>
      <c r="J737" s="9">
        <v>5.31</v>
      </c>
      <c r="K737" s="9">
        <v>17.899999999999999</v>
      </c>
      <c r="L737" s="9">
        <v>23.8</v>
      </c>
      <c r="M737" s="9">
        <v>25.8</v>
      </c>
    </row>
    <row r="738" spans="1:13" x14ac:dyDescent="0.4">
      <c r="A738" s="16">
        <f t="shared" si="66"/>
        <v>44945</v>
      </c>
      <c r="B738" s="1">
        <f t="shared" si="67"/>
        <v>40.83</v>
      </c>
      <c r="C738" s="1">
        <f t="shared" si="68"/>
        <v>5.78</v>
      </c>
      <c r="D738" s="1">
        <f t="shared" si="69"/>
        <v>19.8</v>
      </c>
      <c r="E738" s="1">
        <f t="shared" si="70"/>
        <v>25.5</v>
      </c>
      <c r="F738" s="1">
        <f t="shared" si="71"/>
        <v>27</v>
      </c>
      <c r="H738" s="11">
        <v>44945</v>
      </c>
      <c r="I738" s="25">
        <v>40.83</v>
      </c>
      <c r="J738" s="9">
        <v>5.78</v>
      </c>
      <c r="K738" s="9">
        <v>19.8</v>
      </c>
      <c r="L738" s="9">
        <v>25.5</v>
      </c>
      <c r="M738" s="9">
        <v>27</v>
      </c>
    </row>
    <row r="739" spans="1:13" x14ac:dyDescent="0.4">
      <c r="A739" s="16">
        <f t="shared" si="66"/>
        <v>44959</v>
      </c>
      <c r="B739" s="1">
        <f t="shared" si="67"/>
        <v>36.200000000000003</v>
      </c>
      <c r="C739" s="1">
        <f t="shared" si="68"/>
        <v>6.41</v>
      </c>
      <c r="D739" s="1">
        <f t="shared" si="69"/>
        <v>21.9</v>
      </c>
      <c r="E739" s="1">
        <f t="shared" si="70"/>
        <v>26.9</v>
      </c>
      <c r="F739" s="1">
        <f t="shared" si="71"/>
        <v>28.1</v>
      </c>
      <c r="H739" s="11">
        <v>44959</v>
      </c>
      <c r="I739" s="25">
        <v>36.200000000000003</v>
      </c>
      <c r="J739" s="9">
        <v>6.41</v>
      </c>
      <c r="K739" s="9">
        <v>21.9</v>
      </c>
      <c r="L739" s="9">
        <v>26.9</v>
      </c>
      <c r="M739" s="9">
        <v>28.1</v>
      </c>
    </row>
    <row r="740" spans="1:13" x14ac:dyDescent="0.4">
      <c r="A740" s="16">
        <f t="shared" si="66"/>
        <v>44966</v>
      </c>
      <c r="B740" s="1">
        <f t="shared" si="67"/>
        <v>42.5</v>
      </c>
      <c r="C740" s="1">
        <f t="shared" si="68"/>
        <v>6.36</v>
      </c>
      <c r="D740" s="1">
        <f t="shared" si="69"/>
        <v>21.9</v>
      </c>
      <c r="E740" s="1">
        <f t="shared" si="70"/>
        <v>26.9</v>
      </c>
      <c r="F740" s="1">
        <f t="shared" si="71"/>
        <v>28.1</v>
      </c>
      <c r="H740" s="11">
        <v>44966</v>
      </c>
      <c r="I740" s="25">
        <v>42.5</v>
      </c>
      <c r="J740" s="9">
        <v>6.36</v>
      </c>
      <c r="K740" s="9">
        <v>0</v>
      </c>
      <c r="L740" s="9">
        <v>0</v>
      </c>
      <c r="M740" s="9">
        <v>0</v>
      </c>
    </row>
    <row r="741" spans="1:13" x14ac:dyDescent="0.4">
      <c r="A741" s="16">
        <f t="shared" si="66"/>
        <v>44973</v>
      </c>
      <c r="B741" s="1">
        <f t="shared" si="67"/>
        <v>41.6</v>
      </c>
      <c r="C741" s="1">
        <f t="shared" si="68"/>
        <v>6.31</v>
      </c>
      <c r="D741" s="1">
        <f t="shared" si="69"/>
        <v>25.1</v>
      </c>
      <c r="E741" s="1">
        <f t="shared" si="70"/>
        <v>29.2</v>
      </c>
      <c r="F741" s="1">
        <f t="shared" si="71"/>
        <v>30.8</v>
      </c>
      <c r="H741" s="11">
        <v>44973</v>
      </c>
      <c r="I741" s="25">
        <v>41.6</v>
      </c>
      <c r="J741" s="9">
        <v>6.31</v>
      </c>
      <c r="K741" s="9">
        <v>25.1</v>
      </c>
      <c r="L741" s="9">
        <v>29.2</v>
      </c>
      <c r="M741" s="9">
        <v>30.8</v>
      </c>
    </row>
    <row r="742" spans="1:13" x14ac:dyDescent="0.4">
      <c r="A742" s="16">
        <f t="shared" si="66"/>
        <v>44980</v>
      </c>
      <c r="B742" s="1">
        <f t="shared" si="67"/>
        <v>37.299999999999997</v>
      </c>
      <c r="C742" s="1">
        <f t="shared" si="68"/>
        <v>6.34</v>
      </c>
      <c r="D742" s="1">
        <f t="shared" si="69"/>
        <v>26</v>
      </c>
      <c r="E742" s="1">
        <f t="shared" si="70"/>
        <v>29.4</v>
      </c>
      <c r="F742" s="1">
        <f t="shared" si="71"/>
        <v>33.1</v>
      </c>
      <c r="H742" s="11">
        <v>44980</v>
      </c>
      <c r="I742" s="25">
        <v>37.299999999999997</v>
      </c>
      <c r="J742" s="9">
        <v>6.34</v>
      </c>
      <c r="K742" s="9">
        <v>26</v>
      </c>
      <c r="L742" s="9">
        <v>29.4</v>
      </c>
      <c r="M742" s="9">
        <v>33.1</v>
      </c>
    </row>
    <row r="743" spans="1:13" x14ac:dyDescent="0.4">
      <c r="A743" s="16">
        <f t="shared" si="66"/>
        <v>44987</v>
      </c>
      <c r="B743" s="1">
        <f t="shared" si="67"/>
        <v>34.92</v>
      </c>
      <c r="C743" s="1">
        <f t="shared" si="68"/>
        <v>5.97</v>
      </c>
      <c r="D743" s="1">
        <f t="shared" si="69"/>
        <v>20.5</v>
      </c>
      <c r="E743" s="1">
        <f t="shared" si="70"/>
        <v>21.8</v>
      </c>
      <c r="F743" s="1">
        <f t="shared" si="71"/>
        <v>27.5</v>
      </c>
      <c r="H743" s="11">
        <v>44987</v>
      </c>
      <c r="I743" s="25">
        <v>34.92</v>
      </c>
      <c r="J743" s="9">
        <v>5.97</v>
      </c>
      <c r="K743" s="9">
        <v>20.5</v>
      </c>
      <c r="L743" s="9">
        <v>21.8</v>
      </c>
      <c r="M743" s="9">
        <v>27.5</v>
      </c>
    </row>
    <row r="744" spans="1:13" x14ac:dyDescent="0.4">
      <c r="A744" s="16">
        <f t="shared" si="66"/>
        <v>44994</v>
      </c>
      <c r="B744" s="1">
        <f t="shared" si="67"/>
        <v>36.1</v>
      </c>
      <c r="C744" s="1">
        <f t="shared" si="68"/>
        <v>5.87</v>
      </c>
      <c r="D744" s="1">
        <f t="shared" si="69"/>
        <v>20.8</v>
      </c>
      <c r="E744" s="1">
        <f t="shared" si="70"/>
        <v>21.5</v>
      </c>
      <c r="F744" s="1">
        <f t="shared" si="71"/>
        <v>27.9</v>
      </c>
      <c r="H744" s="11">
        <v>44994</v>
      </c>
      <c r="I744" s="25">
        <v>36.1</v>
      </c>
      <c r="J744" s="9">
        <v>5.87</v>
      </c>
      <c r="K744" s="9">
        <v>20.8</v>
      </c>
      <c r="L744" s="9">
        <v>21.5</v>
      </c>
      <c r="M744" s="9">
        <v>27.9</v>
      </c>
    </row>
    <row r="745" spans="1:13" x14ac:dyDescent="0.4">
      <c r="A745" s="16">
        <f t="shared" si="66"/>
        <v>45001</v>
      </c>
      <c r="B745" s="1">
        <f t="shared" si="67"/>
        <v>35.200000000000003</v>
      </c>
      <c r="C745" s="1">
        <f t="shared" si="68"/>
        <v>5.95</v>
      </c>
      <c r="D745" s="1">
        <f t="shared" si="69"/>
        <v>22.5</v>
      </c>
      <c r="E745" s="1">
        <f t="shared" si="70"/>
        <v>22.3</v>
      </c>
      <c r="F745" s="1">
        <f t="shared" si="71"/>
        <v>28.3</v>
      </c>
      <c r="H745" s="11">
        <v>45001</v>
      </c>
      <c r="I745" s="25">
        <v>35.200000000000003</v>
      </c>
      <c r="J745" s="9">
        <v>5.95</v>
      </c>
      <c r="K745" s="9">
        <v>22.5</v>
      </c>
      <c r="L745" s="9">
        <v>22.3</v>
      </c>
      <c r="M745" s="9">
        <v>28.3</v>
      </c>
    </row>
    <row r="746" spans="1:13" x14ac:dyDescent="0.4">
      <c r="A746" s="16">
        <f t="shared" si="66"/>
        <v>45008</v>
      </c>
      <c r="B746" s="1">
        <f t="shared" si="67"/>
        <v>34.4</v>
      </c>
      <c r="C746" s="1">
        <f t="shared" si="68"/>
        <v>6.06</v>
      </c>
      <c r="D746" s="1">
        <f t="shared" si="69"/>
        <v>18.600000000000001</v>
      </c>
      <c r="E746" s="1">
        <f t="shared" si="70"/>
        <v>19.8</v>
      </c>
      <c r="F746" s="1">
        <f t="shared" si="71"/>
        <v>25.7</v>
      </c>
      <c r="H746" s="11">
        <v>45008</v>
      </c>
      <c r="I746" s="25">
        <v>34.4</v>
      </c>
      <c r="J746" s="9">
        <v>6.06</v>
      </c>
      <c r="K746" s="9">
        <v>18.600000000000001</v>
      </c>
      <c r="L746" s="9">
        <v>19.8</v>
      </c>
      <c r="M746" s="9">
        <v>25.7</v>
      </c>
    </row>
    <row r="747" spans="1:13" x14ac:dyDescent="0.4">
      <c r="A747" s="16">
        <f t="shared" si="66"/>
        <v>45015</v>
      </c>
      <c r="B747" s="1">
        <f t="shared" si="67"/>
        <v>44.8</v>
      </c>
      <c r="C747" s="1">
        <f t="shared" si="68"/>
        <v>6.27</v>
      </c>
      <c r="D747" s="1">
        <f t="shared" si="69"/>
        <v>19.399999999999999</v>
      </c>
      <c r="E747" s="1">
        <f t="shared" si="70"/>
        <v>20.2</v>
      </c>
      <c r="F747" s="1">
        <f t="shared" si="71"/>
        <v>26.3</v>
      </c>
      <c r="H747" s="11">
        <v>45015</v>
      </c>
      <c r="I747" s="25">
        <v>44.8</v>
      </c>
      <c r="J747" s="9">
        <v>6.27</v>
      </c>
      <c r="K747" s="9">
        <v>19.399999999999999</v>
      </c>
      <c r="L747" s="9">
        <v>20.2</v>
      </c>
      <c r="M747" s="9">
        <v>26.3</v>
      </c>
    </row>
    <row r="748" spans="1:13" x14ac:dyDescent="0.4">
      <c r="A748" s="16">
        <f t="shared" si="66"/>
        <v>45022</v>
      </c>
      <c r="B748" s="1">
        <f t="shared" si="67"/>
        <v>44.9</v>
      </c>
      <c r="C748" s="1">
        <f t="shared" si="68"/>
        <v>6.61</v>
      </c>
      <c r="D748" s="1">
        <f t="shared" si="69"/>
        <v>18.899999999999999</v>
      </c>
      <c r="E748" s="1">
        <f t="shared" si="70"/>
        <v>20.8</v>
      </c>
      <c r="F748" s="1">
        <f t="shared" si="71"/>
        <v>26.9</v>
      </c>
      <c r="H748" s="11">
        <v>45022</v>
      </c>
      <c r="I748" s="25">
        <v>44.9</v>
      </c>
      <c r="J748" s="9">
        <v>6.61</v>
      </c>
      <c r="K748" s="9">
        <v>18.899999999999999</v>
      </c>
      <c r="L748" s="9">
        <v>20.8</v>
      </c>
      <c r="M748" s="9">
        <v>26.9</v>
      </c>
    </row>
    <row r="749" spans="1:13" x14ac:dyDescent="0.4">
      <c r="A749" s="16">
        <f t="shared" si="66"/>
        <v>45029</v>
      </c>
      <c r="B749" s="1">
        <f t="shared" si="67"/>
        <v>41.2</v>
      </c>
      <c r="C749" s="1">
        <f t="shared" si="68"/>
        <v>6.81</v>
      </c>
      <c r="D749" s="1">
        <f t="shared" si="69"/>
        <v>20.6</v>
      </c>
      <c r="E749" s="1">
        <f t="shared" si="70"/>
        <v>22.9</v>
      </c>
      <c r="F749" s="1">
        <f t="shared" si="71"/>
        <v>27.7</v>
      </c>
      <c r="H749" s="11">
        <v>45029</v>
      </c>
      <c r="I749" s="25">
        <v>41.2</v>
      </c>
      <c r="J749" s="9">
        <v>6.81</v>
      </c>
      <c r="K749" s="9">
        <v>20.6</v>
      </c>
      <c r="L749" s="9">
        <v>22.9</v>
      </c>
      <c r="M749" s="9">
        <v>27.7</v>
      </c>
    </row>
    <row r="750" spans="1:13" x14ac:dyDescent="0.4">
      <c r="A750" s="16">
        <f t="shared" si="66"/>
        <v>45036</v>
      </c>
      <c r="B750" s="1">
        <f t="shared" si="67"/>
        <v>41.4</v>
      </c>
      <c r="C750" s="1">
        <f t="shared" si="68"/>
        <v>5.75</v>
      </c>
      <c r="D750" s="1">
        <f t="shared" si="69"/>
        <v>21.1</v>
      </c>
      <c r="E750" s="1">
        <f t="shared" si="70"/>
        <v>23</v>
      </c>
      <c r="F750" s="1">
        <f t="shared" si="71"/>
        <v>28.5</v>
      </c>
      <c r="H750" s="11">
        <v>45036</v>
      </c>
      <c r="I750" s="25">
        <v>41.4</v>
      </c>
      <c r="J750" s="9">
        <v>5.75</v>
      </c>
      <c r="K750" s="9">
        <v>21.1</v>
      </c>
      <c r="L750" s="9">
        <v>23</v>
      </c>
      <c r="M750" s="9">
        <v>28.5</v>
      </c>
    </row>
    <row r="751" spans="1:13" x14ac:dyDescent="0.4">
      <c r="A751" s="16">
        <f t="shared" si="66"/>
        <v>45043</v>
      </c>
      <c r="B751" s="1">
        <f t="shared" si="67"/>
        <v>34</v>
      </c>
      <c r="C751" s="1">
        <f t="shared" si="68"/>
        <v>6.23</v>
      </c>
      <c r="D751" s="1">
        <f t="shared" si="69"/>
        <v>19.2</v>
      </c>
      <c r="E751" s="1">
        <f t="shared" si="70"/>
        <v>22.4</v>
      </c>
      <c r="F751" s="1">
        <f t="shared" si="71"/>
        <v>26.3</v>
      </c>
      <c r="H751" s="11">
        <v>45043</v>
      </c>
      <c r="I751" s="25">
        <v>34</v>
      </c>
      <c r="J751" s="9">
        <v>6.23</v>
      </c>
      <c r="K751" s="9">
        <v>19.2</v>
      </c>
      <c r="L751" s="9">
        <v>22.4</v>
      </c>
      <c r="M751" s="9">
        <v>26.3</v>
      </c>
    </row>
    <row r="752" spans="1:13" x14ac:dyDescent="0.4">
      <c r="A752" s="16">
        <f t="shared" si="66"/>
        <v>45047</v>
      </c>
      <c r="B752" s="1">
        <f t="shared" si="67"/>
        <v>34</v>
      </c>
      <c r="C752" s="1">
        <f t="shared" si="68"/>
        <v>6.23</v>
      </c>
      <c r="D752" s="1">
        <f t="shared" si="69"/>
        <v>19.8</v>
      </c>
      <c r="E752" s="1">
        <f t="shared" si="70"/>
        <v>22.6</v>
      </c>
      <c r="F752" s="1">
        <f t="shared" si="71"/>
        <v>28.6</v>
      </c>
      <c r="H752" s="11">
        <v>45047</v>
      </c>
      <c r="I752" s="25">
        <v>0</v>
      </c>
      <c r="J752" s="9">
        <v>0</v>
      </c>
      <c r="K752" s="9">
        <v>19.8</v>
      </c>
      <c r="L752" s="9">
        <v>22.6</v>
      </c>
      <c r="M752" s="9">
        <v>28.6</v>
      </c>
    </row>
    <row r="753" spans="1:13" x14ac:dyDescent="0.4">
      <c r="A753" s="16">
        <f t="shared" si="66"/>
        <v>45050</v>
      </c>
      <c r="B753" s="1">
        <f t="shared" si="67"/>
        <v>36.130000000000003</v>
      </c>
      <c r="C753" s="1">
        <f t="shared" si="68"/>
        <v>6.6</v>
      </c>
      <c r="D753" s="1">
        <f t="shared" si="69"/>
        <v>20.399999999999999</v>
      </c>
      <c r="E753" s="1">
        <f t="shared" si="70"/>
        <v>23.3</v>
      </c>
      <c r="F753" s="1">
        <f t="shared" si="71"/>
        <v>27.2</v>
      </c>
      <c r="H753" s="11">
        <v>45050</v>
      </c>
      <c r="I753" s="25">
        <v>36.130000000000003</v>
      </c>
      <c r="J753" s="9">
        <v>6.6</v>
      </c>
      <c r="K753" s="9">
        <v>20.399999999999999</v>
      </c>
      <c r="L753" s="9">
        <v>23.3</v>
      </c>
      <c r="M753" s="9">
        <v>27.2</v>
      </c>
    </row>
    <row r="754" spans="1:13" x14ac:dyDescent="0.4">
      <c r="A754" s="16">
        <f t="shared" si="66"/>
        <v>45057</v>
      </c>
      <c r="B754" s="1">
        <f t="shared" si="67"/>
        <v>42.6</v>
      </c>
      <c r="C754" s="1">
        <f t="shared" si="68"/>
        <v>6.61</v>
      </c>
      <c r="D754" s="1">
        <f t="shared" si="69"/>
        <v>19.8</v>
      </c>
      <c r="E754" s="1">
        <f t="shared" si="70"/>
        <v>22.6</v>
      </c>
      <c r="F754" s="1">
        <f t="shared" si="71"/>
        <v>28.6</v>
      </c>
      <c r="H754" s="11">
        <v>45057</v>
      </c>
      <c r="I754" s="25">
        <v>42.6</v>
      </c>
      <c r="J754" s="9">
        <v>6.61</v>
      </c>
      <c r="K754" s="9">
        <v>19.8</v>
      </c>
      <c r="L754" s="9">
        <v>22.6</v>
      </c>
      <c r="M754" s="9">
        <v>28.6</v>
      </c>
    </row>
    <row r="755" spans="1:13" x14ac:dyDescent="0.4">
      <c r="A755" s="16">
        <f t="shared" si="66"/>
        <v>45064</v>
      </c>
      <c r="B755" s="1">
        <f t="shared" si="67"/>
        <v>42.3</v>
      </c>
      <c r="C755" s="1">
        <f t="shared" si="68"/>
        <v>6.09</v>
      </c>
      <c r="D755" s="1">
        <f t="shared" si="69"/>
        <v>17.100000000000001</v>
      </c>
      <c r="E755" s="1">
        <f t="shared" si="70"/>
        <v>21.7</v>
      </c>
      <c r="F755" s="1">
        <f t="shared" si="71"/>
        <v>28.9</v>
      </c>
      <c r="H755" s="11">
        <v>45064</v>
      </c>
      <c r="I755" s="25">
        <v>42.3</v>
      </c>
      <c r="J755" s="9">
        <v>6.09</v>
      </c>
      <c r="K755" s="9">
        <v>17.100000000000001</v>
      </c>
      <c r="L755" s="9">
        <v>21.7</v>
      </c>
      <c r="M755" s="9">
        <v>28.9</v>
      </c>
    </row>
    <row r="756" spans="1:13" x14ac:dyDescent="0.4">
      <c r="A756" s="16">
        <f t="shared" si="66"/>
        <v>45071</v>
      </c>
      <c r="B756" s="1">
        <f t="shared" si="67"/>
        <v>37.799999999999997</v>
      </c>
      <c r="C756" s="1">
        <f t="shared" si="68"/>
        <v>5.55</v>
      </c>
      <c r="D756" s="1">
        <f t="shared" si="69"/>
        <v>17.600000000000001</v>
      </c>
      <c r="E756" s="1">
        <f t="shared" si="70"/>
        <v>22.1</v>
      </c>
      <c r="F756" s="1">
        <f t="shared" si="71"/>
        <v>29.2</v>
      </c>
      <c r="H756" s="11">
        <v>45071</v>
      </c>
      <c r="I756" s="25">
        <v>37.799999999999997</v>
      </c>
      <c r="J756" s="9">
        <v>5.55</v>
      </c>
      <c r="K756" s="9">
        <v>17.600000000000001</v>
      </c>
      <c r="L756" s="9">
        <v>22.1</v>
      </c>
      <c r="M756" s="9">
        <v>29.2</v>
      </c>
    </row>
    <row r="757" spans="1:13" x14ac:dyDescent="0.4">
      <c r="A757" s="16">
        <f t="shared" si="66"/>
        <v>45078</v>
      </c>
      <c r="B757" s="1">
        <f t="shared" si="67"/>
        <v>31.9</v>
      </c>
      <c r="C757" s="1">
        <f t="shared" si="68"/>
        <v>5.2</v>
      </c>
      <c r="D757" s="1">
        <f t="shared" si="69"/>
        <v>13.2</v>
      </c>
      <c r="E757" s="1">
        <f t="shared" si="70"/>
        <v>18.5</v>
      </c>
      <c r="F757" s="1">
        <f t="shared" si="71"/>
        <v>25.6</v>
      </c>
      <c r="H757" s="11">
        <v>45078</v>
      </c>
      <c r="I757" s="25">
        <v>31.9</v>
      </c>
      <c r="J757" s="9">
        <v>5.2</v>
      </c>
      <c r="K757" s="9">
        <v>13.2</v>
      </c>
      <c r="L757" s="9">
        <v>18.5</v>
      </c>
      <c r="M757" s="9">
        <v>25.6</v>
      </c>
    </row>
    <row r="758" spans="1:13" x14ac:dyDescent="0.4">
      <c r="A758" s="16">
        <f t="shared" si="66"/>
        <v>45085</v>
      </c>
      <c r="B758" s="1">
        <f t="shared" si="67"/>
        <v>39.35</v>
      </c>
      <c r="C758" s="1">
        <f t="shared" si="68"/>
        <v>4.97</v>
      </c>
      <c r="D758" s="1">
        <f t="shared" si="69"/>
        <v>14</v>
      </c>
      <c r="E758" s="1">
        <f t="shared" si="70"/>
        <v>19.399999999999999</v>
      </c>
      <c r="F758" s="1">
        <f t="shared" si="71"/>
        <v>26.3</v>
      </c>
      <c r="H758" s="11">
        <v>45085</v>
      </c>
      <c r="I758" s="25">
        <v>39.35</v>
      </c>
      <c r="J758" s="9">
        <v>4.97</v>
      </c>
      <c r="K758" s="9">
        <v>14</v>
      </c>
      <c r="L758" s="9">
        <v>19.399999999999999</v>
      </c>
      <c r="M758" s="9">
        <v>26.3</v>
      </c>
    </row>
    <row r="759" spans="1:13" x14ac:dyDescent="0.4">
      <c r="A759" s="16">
        <f t="shared" si="66"/>
        <v>45092</v>
      </c>
      <c r="B759" s="1">
        <f t="shared" si="67"/>
        <v>40</v>
      </c>
      <c r="C759" s="1">
        <f t="shared" si="68"/>
        <v>4.38</v>
      </c>
      <c r="D759" s="1">
        <f t="shared" si="69"/>
        <v>11.6</v>
      </c>
      <c r="E759" s="1">
        <f t="shared" si="70"/>
        <v>17.3</v>
      </c>
      <c r="F759" s="1">
        <f t="shared" si="71"/>
        <v>24.4</v>
      </c>
      <c r="H759" s="11">
        <v>45092</v>
      </c>
      <c r="I759" s="25">
        <v>40</v>
      </c>
      <c r="J759" s="9">
        <v>4.38</v>
      </c>
      <c r="K759" s="9">
        <v>11.6</v>
      </c>
      <c r="L759" s="9">
        <v>17.3</v>
      </c>
      <c r="M759" s="9">
        <v>24.4</v>
      </c>
    </row>
    <row r="760" spans="1:13" x14ac:dyDescent="0.4">
      <c r="A760" s="16">
        <f t="shared" si="66"/>
        <v>45098</v>
      </c>
      <c r="B760" s="1">
        <f t="shared" si="67"/>
        <v>47.85</v>
      </c>
      <c r="C760" s="1">
        <f t="shared" si="68"/>
        <v>3.91</v>
      </c>
      <c r="D760" s="1">
        <f t="shared" si="69"/>
        <v>12.5</v>
      </c>
      <c r="E760" s="1">
        <f t="shared" si="70"/>
        <v>18.399999999999999</v>
      </c>
      <c r="F760" s="1">
        <f t="shared" si="71"/>
        <v>24.9</v>
      </c>
      <c r="H760" s="11">
        <v>45098</v>
      </c>
      <c r="I760" s="25">
        <v>47.85</v>
      </c>
      <c r="J760" s="9">
        <v>3.91</v>
      </c>
      <c r="K760" s="9">
        <v>12.5</v>
      </c>
      <c r="L760" s="9">
        <v>18.399999999999999</v>
      </c>
      <c r="M760" s="9">
        <v>24.9</v>
      </c>
    </row>
    <row r="761" spans="1:13" x14ac:dyDescent="0.4">
      <c r="A761" s="16">
        <f t="shared" si="66"/>
        <v>45106</v>
      </c>
      <c r="B761" s="1">
        <f t="shared" si="67"/>
        <v>51.75</v>
      </c>
      <c r="C761" s="1">
        <f t="shared" si="68"/>
        <v>4.13</v>
      </c>
      <c r="D761" s="1">
        <f t="shared" si="69"/>
        <v>11.6</v>
      </c>
      <c r="E761" s="1">
        <f t="shared" si="70"/>
        <v>17.600000000000001</v>
      </c>
      <c r="F761" s="1">
        <f t="shared" si="71"/>
        <v>24.1</v>
      </c>
      <c r="H761" s="11">
        <v>45106</v>
      </c>
      <c r="I761" s="25">
        <v>51.75</v>
      </c>
      <c r="J761" s="9">
        <v>4.13</v>
      </c>
      <c r="K761" s="9">
        <v>11.6</v>
      </c>
      <c r="L761" s="9">
        <v>17.600000000000001</v>
      </c>
      <c r="M761" s="9">
        <v>24.1</v>
      </c>
    </row>
    <row r="762" spans="1:13" x14ac:dyDescent="0.4">
      <c r="A762" s="16">
        <f t="shared" si="66"/>
        <v>45113</v>
      </c>
      <c r="B762" s="1">
        <f t="shared" si="67"/>
        <v>54.05</v>
      </c>
      <c r="C762" s="1">
        <f t="shared" si="68"/>
        <v>4.12</v>
      </c>
      <c r="D762" s="1">
        <f t="shared" si="69"/>
        <v>13.7</v>
      </c>
      <c r="E762" s="1">
        <f t="shared" si="70"/>
        <v>18.5</v>
      </c>
      <c r="F762" s="1">
        <f t="shared" si="71"/>
        <v>24.8</v>
      </c>
      <c r="H762" s="11">
        <v>45113</v>
      </c>
      <c r="I762" s="25">
        <v>54.05</v>
      </c>
      <c r="J762" s="9">
        <v>4.12</v>
      </c>
      <c r="K762" s="9">
        <v>13.7</v>
      </c>
      <c r="L762" s="9">
        <v>18.5</v>
      </c>
      <c r="M762" s="9">
        <v>24.8</v>
      </c>
    </row>
    <row r="763" spans="1:13" x14ac:dyDescent="0.4">
      <c r="A763" s="16">
        <f t="shared" si="66"/>
        <v>45120</v>
      </c>
      <c r="B763" s="1">
        <f t="shared" si="67"/>
        <v>54.5</v>
      </c>
      <c r="C763" s="1">
        <f t="shared" si="68"/>
        <v>4.16</v>
      </c>
      <c r="D763" s="1">
        <f t="shared" si="69"/>
        <v>12.8</v>
      </c>
      <c r="E763" s="1">
        <f t="shared" si="70"/>
        <v>18.7</v>
      </c>
      <c r="F763" s="1">
        <f t="shared" si="71"/>
        <v>22.9</v>
      </c>
      <c r="H763" s="11">
        <v>45120</v>
      </c>
      <c r="I763" s="25">
        <v>54.5</v>
      </c>
      <c r="J763" s="9">
        <v>4.16</v>
      </c>
      <c r="K763" s="9">
        <v>12.8</v>
      </c>
      <c r="L763" s="9">
        <v>18.7</v>
      </c>
      <c r="M763" s="9">
        <v>22.9</v>
      </c>
    </row>
    <row r="764" spans="1:13" x14ac:dyDescent="0.4">
      <c r="A764" s="16">
        <f t="shared" si="66"/>
        <v>45127</v>
      </c>
      <c r="B764" s="1">
        <f t="shared" si="67"/>
        <v>55</v>
      </c>
      <c r="C764" s="1">
        <f t="shared" si="68"/>
        <v>3.99</v>
      </c>
      <c r="D764" s="1">
        <f t="shared" si="69"/>
        <v>13.1</v>
      </c>
      <c r="E764" s="1">
        <f t="shared" si="70"/>
        <v>18.899999999999999</v>
      </c>
      <c r="F764" s="1">
        <f t="shared" si="71"/>
        <v>23.4</v>
      </c>
      <c r="H764" s="11">
        <v>45127</v>
      </c>
      <c r="I764" s="25">
        <v>55</v>
      </c>
      <c r="J764" s="9">
        <v>3.99</v>
      </c>
      <c r="K764" s="9">
        <v>13.1</v>
      </c>
      <c r="L764" s="9">
        <v>18.899999999999999</v>
      </c>
      <c r="M764" s="9">
        <v>23.4</v>
      </c>
    </row>
    <row r="765" spans="1:13" x14ac:dyDescent="0.4">
      <c r="A765" s="16">
        <f t="shared" si="66"/>
        <v>45128</v>
      </c>
      <c r="B765" s="1">
        <f t="shared" si="67"/>
        <v>55</v>
      </c>
      <c r="C765" s="1">
        <f t="shared" si="68"/>
        <v>3.99</v>
      </c>
      <c r="D765" s="1">
        <f t="shared" si="69"/>
        <v>12.6</v>
      </c>
      <c r="E765" s="1">
        <f t="shared" si="70"/>
        <v>18.5</v>
      </c>
      <c r="F765" s="1">
        <f t="shared" si="71"/>
        <v>22.7</v>
      </c>
      <c r="H765" s="11">
        <v>45128</v>
      </c>
      <c r="I765" s="25">
        <v>0</v>
      </c>
      <c r="J765" s="9">
        <v>0</v>
      </c>
      <c r="K765" s="9">
        <v>12.6</v>
      </c>
      <c r="L765" s="9">
        <v>18.5</v>
      </c>
      <c r="M765" s="9">
        <v>22.7</v>
      </c>
    </row>
    <row r="766" spans="1:13" x14ac:dyDescent="0.4">
      <c r="A766" s="16">
        <f t="shared" si="66"/>
        <v>45134</v>
      </c>
      <c r="B766" s="1">
        <f t="shared" si="67"/>
        <v>59.8</v>
      </c>
      <c r="C766" s="1">
        <f t="shared" si="68"/>
        <v>3.91</v>
      </c>
      <c r="D766" s="1">
        <f t="shared" si="69"/>
        <v>10.5</v>
      </c>
      <c r="E766" s="1">
        <f t="shared" si="70"/>
        <v>18</v>
      </c>
      <c r="F766" s="1">
        <f t="shared" si="71"/>
        <v>22.4</v>
      </c>
      <c r="H766" s="11">
        <v>45134</v>
      </c>
      <c r="I766" s="25">
        <v>59.8</v>
      </c>
      <c r="J766" s="9">
        <v>3.91</v>
      </c>
      <c r="K766" s="9">
        <v>10.5</v>
      </c>
      <c r="L766" s="9">
        <v>18</v>
      </c>
      <c r="M766" s="9">
        <v>22.4</v>
      </c>
    </row>
    <row r="767" spans="1:13" x14ac:dyDescent="0.4">
      <c r="A767" s="16">
        <f t="shared" si="66"/>
        <v>45141</v>
      </c>
      <c r="B767" s="1">
        <f t="shared" si="67"/>
        <v>53.97</v>
      </c>
      <c r="C767" s="1">
        <f t="shared" si="68"/>
        <v>4.1500000000000004</v>
      </c>
      <c r="D767" s="1">
        <f t="shared" si="69"/>
        <v>11.3</v>
      </c>
      <c r="E767" s="1">
        <f t="shared" si="70"/>
        <v>18.600000000000001</v>
      </c>
      <c r="F767" s="1">
        <f t="shared" si="71"/>
        <v>24.5</v>
      </c>
      <c r="H767" s="11">
        <v>45141</v>
      </c>
      <c r="I767" s="25">
        <v>53.97</v>
      </c>
      <c r="J767" s="9">
        <v>4.1500000000000004</v>
      </c>
      <c r="K767" s="9">
        <v>11.3</v>
      </c>
      <c r="L767" s="9">
        <v>18.600000000000001</v>
      </c>
      <c r="M767" s="9">
        <v>24.5</v>
      </c>
    </row>
    <row r="768" spans="1:13" x14ac:dyDescent="0.4">
      <c r="A768" s="16">
        <f t="shared" si="66"/>
        <v>45148</v>
      </c>
      <c r="B768" s="1">
        <f t="shared" si="67"/>
        <v>54.3</v>
      </c>
      <c r="C768" s="1">
        <f t="shared" si="68"/>
        <v>4.1399999999999997</v>
      </c>
      <c r="D768" s="1">
        <f t="shared" si="69"/>
        <v>13.2</v>
      </c>
      <c r="E768" s="1">
        <f t="shared" si="70"/>
        <v>19</v>
      </c>
      <c r="F768" s="1">
        <f t="shared" si="71"/>
        <v>24.7</v>
      </c>
      <c r="H768" s="11">
        <v>45148</v>
      </c>
      <c r="I768" s="25">
        <v>54.3</v>
      </c>
      <c r="J768" s="9">
        <v>4.1399999999999997</v>
      </c>
      <c r="K768" s="9">
        <v>13.2</v>
      </c>
      <c r="L768" s="9">
        <v>19</v>
      </c>
      <c r="M768" s="9">
        <v>24.7</v>
      </c>
    </row>
    <row r="769" spans="1:13" x14ac:dyDescent="0.4">
      <c r="A769" s="16">
        <f t="shared" si="66"/>
        <v>45155</v>
      </c>
      <c r="B769" s="1">
        <f t="shared" si="67"/>
        <v>56.95</v>
      </c>
      <c r="C769" s="1">
        <f t="shared" si="68"/>
        <v>4.17</v>
      </c>
      <c r="D769" s="1">
        <f t="shared" si="69"/>
        <v>13</v>
      </c>
      <c r="E769" s="1">
        <f t="shared" si="70"/>
        <v>18.3</v>
      </c>
      <c r="F769" s="1">
        <f t="shared" si="71"/>
        <v>24.4</v>
      </c>
      <c r="H769" s="11">
        <v>45155</v>
      </c>
      <c r="I769" s="25">
        <v>56.95</v>
      </c>
      <c r="J769" s="9">
        <v>4.17</v>
      </c>
      <c r="K769" s="9">
        <v>13</v>
      </c>
      <c r="L769" s="9">
        <v>18.3</v>
      </c>
      <c r="M769" s="9">
        <v>24.4</v>
      </c>
    </row>
    <row r="770" spans="1:13" x14ac:dyDescent="0.4">
      <c r="A770" s="16">
        <f t="shared" si="66"/>
        <v>45162</v>
      </c>
      <c r="B770" s="1">
        <f t="shared" si="67"/>
        <v>59.2</v>
      </c>
      <c r="C770" s="1">
        <f t="shared" si="68"/>
        <v>4.3899999999999997</v>
      </c>
      <c r="D770" s="1">
        <f t="shared" si="69"/>
        <v>12.3</v>
      </c>
      <c r="E770" s="1">
        <f t="shared" si="70"/>
        <v>17.8</v>
      </c>
      <c r="F770" s="1">
        <f t="shared" si="71"/>
        <v>24</v>
      </c>
      <c r="H770" s="11">
        <v>45162</v>
      </c>
      <c r="I770" s="25">
        <v>59.2</v>
      </c>
      <c r="J770" s="9">
        <v>4.3899999999999997</v>
      </c>
      <c r="K770" s="9">
        <v>12.3</v>
      </c>
      <c r="L770" s="9">
        <v>17.8</v>
      </c>
      <c r="M770" s="9">
        <v>24</v>
      </c>
    </row>
    <row r="771" spans="1:13" x14ac:dyDescent="0.4">
      <c r="A771" s="16">
        <f t="shared" si="66"/>
        <v>45169</v>
      </c>
      <c r="B771" s="1">
        <f t="shared" si="67"/>
        <v>58.42</v>
      </c>
      <c r="C771" s="1">
        <f t="shared" si="68"/>
        <v>4.1900000000000004</v>
      </c>
      <c r="D771" s="1">
        <f t="shared" si="69"/>
        <v>10.8</v>
      </c>
      <c r="E771" s="1">
        <f t="shared" si="70"/>
        <v>16.5</v>
      </c>
      <c r="F771" s="1">
        <f t="shared" si="71"/>
        <v>23.7</v>
      </c>
      <c r="H771" s="11">
        <v>45169</v>
      </c>
      <c r="I771" s="25">
        <v>58.42</v>
      </c>
      <c r="J771" s="9">
        <v>4.1900000000000004</v>
      </c>
      <c r="K771" s="9">
        <v>10.8</v>
      </c>
      <c r="L771" s="9">
        <v>16.5</v>
      </c>
      <c r="M771" s="9">
        <v>23.7</v>
      </c>
    </row>
    <row r="772" spans="1:13" x14ac:dyDescent="0.4">
      <c r="A772" s="16">
        <f t="shared" si="66"/>
        <v>45176</v>
      </c>
      <c r="B772" s="1">
        <f t="shared" si="67"/>
        <v>57.84</v>
      </c>
      <c r="C772" s="1">
        <f t="shared" si="68"/>
        <v>3.94</v>
      </c>
      <c r="D772" s="1">
        <f t="shared" si="69"/>
        <v>11.3</v>
      </c>
      <c r="E772" s="1">
        <f t="shared" si="70"/>
        <v>16.8</v>
      </c>
      <c r="F772" s="1">
        <f t="shared" si="71"/>
        <v>24.5</v>
      </c>
      <c r="H772" s="11">
        <v>45176</v>
      </c>
      <c r="I772" s="25">
        <v>57.84</v>
      </c>
      <c r="J772" s="9">
        <v>3.94</v>
      </c>
      <c r="K772" s="9">
        <v>11.3</v>
      </c>
      <c r="L772" s="9">
        <v>16.8</v>
      </c>
      <c r="M772" s="9">
        <v>24.5</v>
      </c>
    </row>
    <row r="773" spans="1:13" x14ac:dyDescent="0.4">
      <c r="A773" s="16">
        <f t="shared" si="66"/>
        <v>45183</v>
      </c>
      <c r="B773" s="1">
        <f t="shared" si="67"/>
        <v>64.5</v>
      </c>
      <c r="C773" s="1">
        <f t="shared" si="68"/>
        <v>4.83</v>
      </c>
      <c r="D773" s="1">
        <f t="shared" si="69"/>
        <v>10.4</v>
      </c>
      <c r="E773" s="1">
        <f t="shared" si="70"/>
        <v>15.8</v>
      </c>
      <c r="F773" s="1">
        <f t="shared" si="71"/>
        <v>22.6</v>
      </c>
      <c r="H773" s="11">
        <v>45183</v>
      </c>
      <c r="I773" s="25">
        <v>64.5</v>
      </c>
      <c r="J773" s="9">
        <v>4.83</v>
      </c>
      <c r="K773" s="9">
        <v>10.4</v>
      </c>
      <c r="L773" s="9">
        <v>15.8</v>
      </c>
      <c r="M773" s="9">
        <v>22.6</v>
      </c>
    </row>
    <row r="774" spans="1:13" x14ac:dyDescent="0.4">
      <c r="A774" s="16">
        <f t="shared" ref="A774:A837" si="72">H774</f>
        <v>45190</v>
      </c>
      <c r="B774" s="1">
        <f t="shared" ref="B774:B837" si="73">IF(I774&lt;&gt;0,I774,B773)</f>
        <v>63.6</v>
      </c>
      <c r="C774" s="1">
        <f t="shared" si="68"/>
        <v>4.75</v>
      </c>
      <c r="D774" s="1">
        <f t="shared" si="69"/>
        <v>11.3</v>
      </c>
      <c r="E774" s="1">
        <f t="shared" si="70"/>
        <v>17.100000000000001</v>
      </c>
      <c r="F774" s="1">
        <f t="shared" si="71"/>
        <v>23.4</v>
      </c>
      <c r="H774" s="11">
        <v>45190</v>
      </c>
      <c r="I774" s="25">
        <v>63.6</v>
      </c>
      <c r="J774" s="9">
        <v>4.75</v>
      </c>
      <c r="K774" s="9">
        <v>11.3</v>
      </c>
      <c r="L774" s="9">
        <v>17.100000000000001</v>
      </c>
      <c r="M774" s="9">
        <v>23.4</v>
      </c>
    </row>
    <row r="775" spans="1:13" x14ac:dyDescent="0.4">
      <c r="A775" s="16">
        <f t="shared" si="72"/>
        <v>45197</v>
      </c>
      <c r="B775" s="1">
        <f t="shared" si="73"/>
        <v>58.95</v>
      </c>
      <c r="C775" s="1">
        <f t="shared" ref="C775:C838" si="74">IF(J775&lt;&gt;0,J775,C774)</f>
        <v>4.9000000000000004</v>
      </c>
      <c r="D775" s="1">
        <f t="shared" ref="D775:D838" si="75">IF(K775&lt;&gt;0,K775,D774)</f>
        <v>9.5</v>
      </c>
      <c r="E775" s="1">
        <f t="shared" ref="E775:E838" si="76">IF(L775&lt;&gt;0,L775,E774)</f>
        <v>15.8</v>
      </c>
      <c r="F775" s="1">
        <f t="shared" ref="F775:F838" si="77">IF(M775&lt;&gt;0,M775,F774)</f>
        <v>21.9</v>
      </c>
      <c r="H775" s="11">
        <v>45197</v>
      </c>
      <c r="I775" s="25">
        <v>58.95</v>
      </c>
      <c r="J775" s="9">
        <v>4.9000000000000004</v>
      </c>
      <c r="K775" s="9">
        <v>9.5</v>
      </c>
      <c r="L775" s="9">
        <v>15.8</v>
      </c>
      <c r="M775" s="9">
        <v>21.9</v>
      </c>
    </row>
    <row r="776" spans="1:13" x14ac:dyDescent="0.4">
      <c r="A776" s="16">
        <f t="shared" si="72"/>
        <v>45211</v>
      </c>
      <c r="B776" s="1">
        <f t="shared" si="73"/>
        <v>48.4</v>
      </c>
      <c r="C776" s="1">
        <f t="shared" si="74"/>
        <v>5.04</v>
      </c>
      <c r="D776" s="1">
        <f t="shared" si="75"/>
        <v>15.6</v>
      </c>
      <c r="E776" s="1">
        <f t="shared" si="76"/>
        <v>21.7</v>
      </c>
      <c r="F776" s="1">
        <f t="shared" si="77"/>
        <v>26.2</v>
      </c>
      <c r="H776" s="11">
        <v>45211</v>
      </c>
      <c r="I776" s="25">
        <v>48.4</v>
      </c>
      <c r="J776" s="9">
        <v>5.04</v>
      </c>
      <c r="K776" s="9">
        <v>15.6</v>
      </c>
      <c r="L776" s="9">
        <v>21.7</v>
      </c>
      <c r="M776" s="9">
        <v>26.2</v>
      </c>
    </row>
    <row r="777" spans="1:13" x14ac:dyDescent="0.4">
      <c r="A777" s="16">
        <f t="shared" si="72"/>
        <v>45218</v>
      </c>
      <c r="B777" s="1">
        <f t="shared" si="73"/>
        <v>48.7</v>
      </c>
      <c r="C777" s="1">
        <f t="shared" si="74"/>
        <v>5.0999999999999996</v>
      </c>
      <c r="D777" s="1">
        <f t="shared" si="75"/>
        <v>15.9</v>
      </c>
      <c r="E777" s="1">
        <f t="shared" si="76"/>
        <v>21.6</v>
      </c>
      <c r="F777" s="1">
        <f t="shared" si="77"/>
        <v>28.1</v>
      </c>
      <c r="H777" s="11">
        <v>45218</v>
      </c>
      <c r="I777" s="25">
        <v>48.7</v>
      </c>
      <c r="J777" s="9">
        <v>5.0999999999999996</v>
      </c>
      <c r="K777" s="9">
        <v>15.9</v>
      </c>
      <c r="L777" s="9">
        <v>21.6</v>
      </c>
      <c r="M777" s="9">
        <v>28.1</v>
      </c>
    </row>
    <row r="778" spans="1:13" x14ac:dyDescent="0.4">
      <c r="A778" s="16">
        <f t="shared" si="72"/>
        <v>45225</v>
      </c>
      <c r="B778" s="1">
        <f t="shared" si="73"/>
        <v>49.64</v>
      </c>
      <c r="C778" s="1">
        <f t="shared" si="74"/>
        <v>5.12</v>
      </c>
      <c r="D778" s="1">
        <f t="shared" si="75"/>
        <v>16.8</v>
      </c>
      <c r="E778" s="1">
        <f t="shared" si="76"/>
        <v>21</v>
      </c>
      <c r="F778" s="1">
        <f t="shared" si="77"/>
        <v>28.7</v>
      </c>
      <c r="H778" s="11">
        <v>45225</v>
      </c>
      <c r="I778" s="25">
        <v>49.64</v>
      </c>
      <c r="J778" s="9">
        <v>5.12</v>
      </c>
      <c r="K778" s="9">
        <v>16.8</v>
      </c>
      <c r="L778" s="9">
        <v>21</v>
      </c>
      <c r="M778" s="9">
        <v>28.7</v>
      </c>
    </row>
    <row r="779" spans="1:13" x14ac:dyDescent="0.4">
      <c r="A779" s="16">
        <f t="shared" si="72"/>
        <v>45232</v>
      </c>
      <c r="B779" s="1">
        <f t="shared" si="73"/>
        <v>49.92</v>
      </c>
      <c r="C779" s="1">
        <f t="shared" si="74"/>
        <v>5.55</v>
      </c>
      <c r="D779" s="1">
        <f t="shared" si="75"/>
        <v>16.399999999999999</v>
      </c>
      <c r="E779" s="1">
        <f t="shared" si="76"/>
        <v>20.7</v>
      </c>
      <c r="F779" s="1">
        <f t="shared" si="77"/>
        <v>28.4</v>
      </c>
      <c r="H779" s="11">
        <v>45232</v>
      </c>
      <c r="I779" s="25">
        <v>49.92</v>
      </c>
      <c r="J779" s="9">
        <v>5.55</v>
      </c>
      <c r="K779" s="9">
        <v>16.399999999999999</v>
      </c>
      <c r="L779" s="9">
        <v>20.7</v>
      </c>
      <c r="M779" s="9">
        <v>28.4</v>
      </c>
    </row>
    <row r="780" spans="1:13" x14ac:dyDescent="0.4">
      <c r="A780" s="16">
        <f t="shared" si="72"/>
        <v>45239</v>
      </c>
      <c r="B780" s="1">
        <f t="shared" si="73"/>
        <v>55.6</v>
      </c>
      <c r="C780" s="1">
        <f t="shared" si="74"/>
        <v>5.43</v>
      </c>
      <c r="D780" s="1">
        <f t="shared" si="75"/>
        <v>16.8</v>
      </c>
      <c r="E780" s="1">
        <f t="shared" si="76"/>
        <v>21.2</v>
      </c>
      <c r="F780" s="1">
        <f t="shared" si="77"/>
        <v>28.1</v>
      </c>
      <c r="H780" s="11">
        <v>45239</v>
      </c>
      <c r="I780" s="25">
        <v>55.6</v>
      </c>
      <c r="J780" s="9">
        <v>5.43</v>
      </c>
      <c r="K780" s="9">
        <v>16.8</v>
      </c>
      <c r="L780" s="9">
        <v>21.2</v>
      </c>
      <c r="M780" s="9">
        <v>28.1</v>
      </c>
    </row>
    <row r="781" spans="1:13" x14ac:dyDescent="0.4">
      <c r="A781" s="16">
        <f t="shared" si="72"/>
        <v>45246</v>
      </c>
      <c r="B781" s="1">
        <f t="shared" si="73"/>
        <v>57.56</v>
      </c>
      <c r="C781" s="1">
        <f t="shared" si="74"/>
        <v>5.09</v>
      </c>
      <c r="D781" s="1">
        <f t="shared" si="75"/>
        <v>17.2</v>
      </c>
      <c r="E781" s="1">
        <f t="shared" si="76"/>
        <v>21.8</v>
      </c>
      <c r="F781" s="1">
        <f t="shared" si="77"/>
        <v>28.4</v>
      </c>
      <c r="H781" s="11">
        <v>45246</v>
      </c>
      <c r="I781" s="25">
        <v>57.56</v>
      </c>
      <c r="J781" s="9">
        <v>5.09</v>
      </c>
      <c r="K781" s="9">
        <v>17.2</v>
      </c>
      <c r="L781" s="9">
        <v>21.8</v>
      </c>
      <c r="M781" s="9">
        <v>28.4</v>
      </c>
    </row>
    <row r="782" spans="1:13" x14ac:dyDescent="0.4">
      <c r="A782" s="16">
        <f t="shared" si="72"/>
        <v>45253</v>
      </c>
      <c r="B782" s="1">
        <f t="shared" si="73"/>
        <v>54.61</v>
      </c>
      <c r="C782" s="1">
        <f t="shared" si="74"/>
        <v>5.14</v>
      </c>
      <c r="D782" s="1">
        <f t="shared" si="75"/>
        <v>17.7</v>
      </c>
      <c r="E782" s="1">
        <f t="shared" si="76"/>
        <v>22.4</v>
      </c>
      <c r="F782" s="1">
        <f t="shared" si="77"/>
        <v>28.7</v>
      </c>
      <c r="H782" s="11">
        <v>45253</v>
      </c>
      <c r="I782" s="25">
        <v>54.61</v>
      </c>
      <c r="J782" s="9">
        <v>5.14</v>
      </c>
      <c r="K782" s="9">
        <v>17.7</v>
      </c>
      <c r="L782" s="9">
        <v>22.4</v>
      </c>
      <c r="M782" s="9">
        <v>28.7</v>
      </c>
    </row>
    <row r="783" spans="1:13" x14ac:dyDescent="0.4">
      <c r="A783" s="16">
        <f t="shared" si="72"/>
        <v>45260</v>
      </c>
      <c r="B783" s="1">
        <f t="shared" si="73"/>
        <v>47.11</v>
      </c>
      <c r="C783" s="1">
        <f t="shared" si="74"/>
        <v>5.0199999999999996</v>
      </c>
      <c r="D783" s="1">
        <f t="shared" si="75"/>
        <v>12.4</v>
      </c>
      <c r="E783" s="1">
        <f t="shared" si="76"/>
        <v>17.5</v>
      </c>
      <c r="F783" s="1">
        <f t="shared" si="77"/>
        <v>23.5</v>
      </c>
      <c r="H783" s="11">
        <v>45260</v>
      </c>
      <c r="I783" s="25">
        <v>47.11</v>
      </c>
      <c r="J783" s="9">
        <v>5.0199999999999996</v>
      </c>
      <c r="K783" s="9">
        <v>12.4</v>
      </c>
      <c r="L783" s="9">
        <v>17.5</v>
      </c>
      <c r="M783" s="9">
        <v>23.5</v>
      </c>
    </row>
    <row r="784" spans="1:13" x14ac:dyDescent="0.4">
      <c r="A784" s="16">
        <f t="shared" si="72"/>
        <v>45267</v>
      </c>
      <c r="B784" s="1">
        <f t="shared" si="73"/>
        <v>43.99</v>
      </c>
      <c r="C784" s="1">
        <f t="shared" si="74"/>
        <v>4.58</v>
      </c>
      <c r="D784" s="1">
        <f t="shared" si="75"/>
        <v>13.6</v>
      </c>
      <c r="E784" s="1">
        <f t="shared" si="76"/>
        <v>18.399999999999999</v>
      </c>
      <c r="F784" s="1">
        <f t="shared" si="77"/>
        <v>24.5</v>
      </c>
      <c r="H784" s="11">
        <v>45267</v>
      </c>
      <c r="I784" s="25">
        <v>43.99</v>
      </c>
      <c r="J784" s="9">
        <v>4.58</v>
      </c>
      <c r="K784" s="9">
        <v>13.6</v>
      </c>
      <c r="L784" s="9">
        <v>18.399999999999999</v>
      </c>
      <c r="M784" s="9">
        <v>24.5</v>
      </c>
    </row>
    <row r="785" spans="1:13" x14ac:dyDescent="0.4">
      <c r="A785" s="16">
        <f t="shared" si="72"/>
        <v>45274</v>
      </c>
      <c r="B785" s="1">
        <f t="shared" si="73"/>
        <v>48.28</v>
      </c>
      <c r="C785" s="1">
        <f t="shared" si="74"/>
        <v>4.43</v>
      </c>
      <c r="D785" s="1">
        <f t="shared" si="75"/>
        <v>15</v>
      </c>
      <c r="E785" s="1">
        <f t="shared" si="76"/>
        <v>18.3</v>
      </c>
      <c r="F785" s="1">
        <f t="shared" si="77"/>
        <v>25.3</v>
      </c>
      <c r="H785" s="11">
        <v>45274</v>
      </c>
      <c r="I785" s="25">
        <v>48.28</v>
      </c>
      <c r="J785" s="9">
        <v>4.43</v>
      </c>
      <c r="K785" s="9">
        <v>15</v>
      </c>
      <c r="L785" s="9">
        <v>18.3</v>
      </c>
      <c r="M785" s="9">
        <v>25.3</v>
      </c>
    </row>
    <row r="786" spans="1:13" x14ac:dyDescent="0.4">
      <c r="A786" s="16">
        <f t="shared" si="72"/>
        <v>45281</v>
      </c>
      <c r="B786" s="1">
        <f t="shared" si="73"/>
        <v>48.92</v>
      </c>
      <c r="C786" s="1">
        <f t="shared" si="74"/>
        <v>4.3</v>
      </c>
      <c r="D786" s="1">
        <f t="shared" si="75"/>
        <v>11.3</v>
      </c>
      <c r="E786" s="1">
        <f t="shared" si="76"/>
        <v>15.8</v>
      </c>
      <c r="F786" s="1">
        <f t="shared" si="77"/>
        <v>23.4</v>
      </c>
      <c r="H786" s="11">
        <v>45281</v>
      </c>
      <c r="I786" s="25">
        <v>48.92</v>
      </c>
      <c r="J786" s="9">
        <v>4.3</v>
      </c>
      <c r="K786" s="9">
        <v>11.3</v>
      </c>
      <c r="L786" s="9">
        <v>15.8</v>
      </c>
      <c r="M786" s="9">
        <v>23.4</v>
      </c>
    </row>
    <row r="787" spans="1:13" x14ac:dyDescent="0.4">
      <c r="A787" s="16">
        <f t="shared" si="72"/>
        <v>45288</v>
      </c>
      <c r="B787" s="1">
        <f t="shared" si="73"/>
        <v>48.34</v>
      </c>
      <c r="C787" s="1">
        <f t="shared" si="74"/>
        <v>4.09</v>
      </c>
      <c r="D787" s="1">
        <f t="shared" si="75"/>
        <v>13.8</v>
      </c>
      <c r="E787" s="1">
        <f t="shared" si="76"/>
        <v>16.899999999999999</v>
      </c>
      <c r="F787" s="1">
        <f t="shared" si="77"/>
        <v>23.8</v>
      </c>
      <c r="H787" s="11">
        <v>45288</v>
      </c>
      <c r="I787" s="25">
        <v>48.34</v>
      </c>
      <c r="J787" s="9">
        <v>4.09</v>
      </c>
      <c r="K787" s="9">
        <v>13.8</v>
      </c>
      <c r="L787" s="9">
        <v>16.899999999999999</v>
      </c>
      <c r="M787" s="9">
        <v>23.8</v>
      </c>
    </row>
    <row r="788" spans="1:13" x14ac:dyDescent="0.4">
      <c r="A788" s="16">
        <f t="shared" si="72"/>
        <v>45295</v>
      </c>
      <c r="B788" s="1">
        <f t="shared" si="73"/>
        <v>42.06</v>
      </c>
      <c r="C788" s="1">
        <f t="shared" si="74"/>
        <v>4.05</v>
      </c>
      <c r="D788" s="1">
        <f t="shared" si="75"/>
        <v>15.4</v>
      </c>
      <c r="E788" s="1">
        <f t="shared" si="76"/>
        <v>17.5</v>
      </c>
      <c r="F788" s="1">
        <f t="shared" si="77"/>
        <v>23.1</v>
      </c>
      <c r="H788" s="11">
        <v>45295</v>
      </c>
      <c r="I788" s="25">
        <v>42.06</v>
      </c>
      <c r="J788" s="9">
        <v>4.05</v>
      </c>
      <c r="K788" s="9">
        <v>15.4</v>
      </c>
      <c r="L788" s="9">
        <v>17.5</v>
      </c>
      <c r="M788" s="9">
        <v>23.1</v>
      </c>
    </row>
    <row r="789" spans="1:13" x14ac:dyDescent="0.4">
      <c r="A789" s="16">
        <f t="shared" si="72"/>
        <v>45302</v>
      </c>
      <c r="B789" s="1">
        <f t="shared" si="73"/>
        <v>35.869999999999997</v>
      </c>
      <c r="C789" s="1">
        <f t="shared" si="74"/>
        <v>3.98</v>
      </c>
      <c r="D789" s="1">
        <f t="shared" si="75"/>
        <v>16.8</v>
      </c>
      <c r="E789" s="1">
        <f t="shared" si="76"/>
        <v>17.8</v>
      </c>
      <c r="F789" s="1">
        <f t="shared" si="77"/>
        <v>23.3</v>
      </c>
      <c r="H789" s="11">
        <v>45302</v>
      </c>
      <c r="I789" s="25">
        <v>35.869999999999997</v>
      </c>
      <c r="J789" s="9">
        <v>3.98</v>
      </c>
      <c r="K789" s="9">
        <v>16.8</v>
      </c>
      <c r="L789" s="9">
        <v>17.8</v>
      </c>
      <c r="M789" s="9">
        <v>23.3</v>
      </c>
    </row>
    <row r="790" spans="1:13" x14ac:dyDescent="0.4">
      <c r="A790" s="16">
        <f t="shared" si="72"/>
        <v>45309</v>
      </c>
      <c r="B790" s="1">
        <f t="shared" si="73"/>
        <v>37.299999999999997</v>
      </c>
      <c r="C790" s="1">
        <f t="shared" si="74"/>
        <v>3.73</v>
      </c>
      <c r="D790" s="1">
        <f t="shared" si="75"/>
        <v>16.5</v>
      </c>
      <c r="E790" s="1">
        <f t="shared" si="76"/>
        <v>15.7</v>
      </c>
      <c r="F790" s="1">
        <f t="shared" si="77"/>
        <v>22.2</v>
      </c>
      <c r="H790" s="11">
        <v>45309</v>
      </c>
      <c r="I790" s="25">
        <v>37.299999999999997</v>
      </c>
      <c r="J790" s="9">
        <v>3.73</v>
      </c>
      <c r="K790" s="9">
        <v>16.5</v>
      </c>
      <c r="L790" s="9">
        <v>15.7</v>
      </c>
      <c r="M790" s="9">
        <v>22.2</v>
      </c>
    </row>
    <row r="791" spans="1:13" x14ac:dyDescent="0.4">
      <c r="A791" s="16">
        <f t="shared" si="72"/>
        <v>45316</v>
      </c>
      <c r="B791" s="1">
        <f t="shared" si="73"/>
        <v>33.950000000000003</v>
      </c>
      <c r="C791" s="1">
        <f t="shared" si="74"/>
        <v>4.04</v>
      </c>
      <c r="D791" s="1">
        <f t="shared" si="75"/>
        <v>10.4</v>
      </c>
      <c r="E791" s="1">
        <f t="shared" si="76"/>
        <v>13.6</v>
      </c>
      <c r="F791" s="1">
        <f t="shared" si="77"/>
        <v>20</v>
      </c>
      <c r="H791" s="11">
        <v>45316</v>
      </c>
      <c r="I791" s="25">
        <v>33.950000000000003</v>
      </c>
      <c r="J791" s="9">
        <v>4.04</v>
      </c>
      <c r="K791" s="9">
        <v>10.4</v>
      </c>
      <c r="L791" s="9">
        <v>13.6</v>
      </c>
      <c r="M791" s="9">
        <v>20</v>
      </c>
    </row>
    <row r="792" spans="1:13" x14ac:dyDescent="0.4">
      <c r="A792" s="16">
        <f t="shared" si="72"/>
        <v>45323</v>
      </c>
      <c r="B792" s="1">
        <f t="shared" si="73"/>
        <v>40.08</v>
      </c>
      <c r="C792" s="1">
        <f t="shared" si="74"/>
        <v>4.18</v>
      </c>
      <c r="D792" s="1">
        <f t="shared" si="75"/>
        <v>11.2</v>
      </c>
      <c r="E792" s="1">
        <f t="shared" si="76"/>
        <v>14.6</v>
      </c>
      <c r="F792" s="1">
        <f t="shared" si="77"/>
        <v>19.600000000000001</v>
      </c>
      <c r="H792" s="11">
        <v>45323</v>
      </c>
      <c r="I792" s="25">
        <v>40.08</v>
      </c>
      <c r="J792" s="9">
        <v>4.18</v>
      </c>
      <c r="K792" s="9">
        <v>11.2</v>
      </c>
      <c r="L792" s="9">
        <v>14.6</v>
      </c>
      <c r="M792" s="9">
        <v>19.600000000000001</v>
      </c>
    </row>
    <row r="793" spans="1:13" x14ac:dyDescent="0.4">
      <c r="A793" s="16">
        <f t="shared" si="72"/>
        <v>45330</v>
      </c>
      <c r="B793" s="1">
        <f t="shared" si="73"/>
        <v>36.29</v>
      </c>
      <c r="C793" s="1">
        <f t="shared" si="74"/>
        <v>4.55</v>
      </c>
      <c r="D793" s="1">
        <f t="shared" si="75"/>
        <v>13.8</v>
      </c>
      <c r="E793" s="1">
        <f t="shared" si="76"/>
        <v>15.7</v>
      </c>
      <c r="F793" s="1">
        <f t="shared" si="77"/>
        <v>20.3</v>
      </c>
      <c r="H793" s="11">
        <v>45330</v>
      </c>
      <c r="I793" s="25">
        <v>36.29</v>
      </c>
      <c r="J793" s="9">
        <v>4.55</v>
      </c>
      <c r="K793" s="9">
        <v>13.8</v>
      </c>
      <c r="L793" s="9">
        <v>15.7</v>
      </c>
      <c r="M793" s="9">
        <v>20.3</v>
      </c>
    </row>
    <row r="794" spans="1:13" x14ac:dyDescent="0.4">
      <c r="A794" s="16">
        <f t="shared" si="72"/>
        <v>45344</v>
      </c>
      <c r="B794" s="1">
        <f t="shared" si="73"/>
        <v>36.909999999999997</v>
      </c>
      <c r="C794" s="1">
        <f t="shared" si="74"/>
        <v>7.51</v>
      </c>
      <c r="D794" s="1">
        <f t="shared" si="75"/>
        <v>22.5</v>
      </c>
      <c r="E794" s="1">
        <f t="shared" si="76"/>
        <v>21.2</v>
      </c>
      <c r="F794" s="1">
        <f t="shared" si="77"/>
        <v>26.7</v>
      </c>
      <c r="H794" s="11">
        <v>45344</v>
      </c>
      <c r="I794" s="25">
        <v>36.909999999999997</v>
      </c>
      <c r="J794" s="9">
        <v>7.51</v>
      </c>
      <c r="K794" s="9">
        <v>22.5</v>
      </c>
      <c r="L794" s="9">
        <v>21.2</v>
      </c>
      <c r="M794" s="9">
        <v>26.7</v>
      </c>
    </row>
    <row r="795" spans="1:13" x14ac:dyDescent="0.4">
      <c r="A795" s="16">
        <f t="shared" si="72"/>
        <v>45351</v>
      </c>
      <c r="B795" s="1">
        <f t="shared" si="73"/>
        <v>37.08</v>
      </c>
      <c r="C795" s="1">
        <f t="shared" si="74"/>
        <v>6.26</v>
      </c>
      <c r="D795" s="1">
        <f t="shared" si="75"/>
        <v>28.1</v>
      </c>
      <c r="E795" s="1">
        <f t="shared" si="76"/>
        <v>23.9</v>
      </c>
      <c r="F795" s="1">
        <f t="shared" si="77"/>
        <v>28.7</v>
      </c>
      <c r="H795" s="11">
        <v>45351</v>
      </c>
      <c r="I795" s="25">
        <v>37.08</v>
      </c>
      <c r="J795" s="9">
        <v>6.26</v>
      </c>
      <c r="K795" s="9">
        <v>28.1</v>
      </c>
      <c r="L795" s="9">
        <v>23.9</v>
      </c>
      <c r="M795" s="9">
        <v>28.7</v>
      </c>
    </row>
    <row r="796" spans="1:13" x14ac:dyDescent="0.4">
      <c r="A796" s="16">
        <f t="shared" si="72"/>
        <v>45358</v>
      </c>
      <c r="B796" s="1">
        <f t="shared" si="73"/>
        <v>31.43</v>
      </c>
      <c r="C796" s="1">
        <f t="shared" si="74"/>
        <v>5.37</v>
      </c>
      <c r="D796" s="1">
        <f t="shared" si="75"/>
        <v>29.8</v>
      </c>
      <c r="E796" s="1">
        <f t="shared" si="76"/>
        <v>25.1</v>
      </c>
      <c r="F796" s="1">
        <f t="shared" si="77"/>
        <v>28</v>
      </c>
      <c r="H796" s="11">
        <v>45358</v>
      </c>
      <c r="I796" s="25">
        <v>31.43</v>
      </c>
      <c r="J796" s="9">
        <v>5.37</v>
      </c>
      <c r="K796" s="9">
        <v>29.8</v>
      </c>
      <c r="L796" s="9">
        <v>25.1</v>
      </c>
      <c r="M796" s="9">
        <v>28</v>
      </c>
    </row>
    <row r="797" spans="1:13" x14ac:dyDescent="0.4">
      <c r="A797" s="16">
        <f t="shared" si="72"/>
        <v>45365</v>
      </c>
      <c r="B797" s="1">
        <f t="shared" si="73"/>
        <v>30.55</v>
      </c>
      <c r="C797" s="1">
        <f t="shared" si="74"/>
        <v>5.32</v>
      </c>
      <c r="D797" s="1">
        <f t="shared" si="75"/>
        <v>29.5</v>
      </c>
      <c r="E797" s="1">
        <f t="shared" si="76"/>
        <v>25.8</v>
      </c>
      <c r="F797" s="1">
        <f t="shared" si="77"/>
        <v>28.9</v>
      </c>
      <c r="H797" s="11">
        <v>45365</v>
      </c>
      <c r="I797" s="25">
        <v>30.55</v>
      </c>
      <c r="J797" s="9">
        <v>5.32</v>
      </c>
      <c r="K797" s="9">
        <v>29.5</v>
      </c>
      <c r="L797" s="9">
        <v>25.8</v>
      </c>
      <c r="M797" s="9">
        <v>28.9</v>
      </c>
    </row>
    <row r="798" spans="1:13" x14ac:dyDescent="0.4">
      <c r="A798" s="16">
        <f t="shared" si="72"/>
        <v>45372</v>
      </c>
      <c r="B798" s="1">
        <f t="shared" si="73"/>
        <v>27.7</v>
      </c>
      <c r="C798" s="1">
        <f t="shared" si="74"/>
        <v>4.95</v>
      </c>
      <c r="D798" s="1">
        <f t="shared" si="75"/>
        <v>31.7</v>
      </c>
      <c r="E798" s="1">
        <f t="shared" si="76"/>
        <v>26.5</v>
      </c>
      <c r="F798" s="1">
        <f t="shared" si="77"/>
        <v>28.7</v>
      </c>
      <c r="H798" s="11">
        <v>45372</v>
      </c>
      <c r="I798" s="25">
        <v>27.7</v>
      </c>
      <c r="J798" s="9">
        <v>4.95</v>
      </c>
      <c r="K798" s="9">
        <v>31.7</v>
      </c>
      <c r="L798" s="9">
        <v>26.5</v>
      </c>
      <c r="M798" s="9">
        <v>28.7</v>
      </c>
    </row>
    <row r="799" spans="1:13" x14ac:dyDescent="0.4">
      <c r="A799" s="16">
        <f t="shared" si="72"/>
        <v>45379</v>
      </c>
      <c r="B799" s="1">
        <f t="shared" si="73"/>
        <v>22.96</v>
      </c>
      <c r="C799" s="1">
        <f t="shared" si="74"/>
        <v>4.76</v>
      </c>
      <c r="D799" s="1">
        <f t="shared" si="75"/>
        <v>28.9</v>
      </c>
      <c r="E799" s="1">
        <f t="shared" si="76"/>
        <v>25.3</v>
      </c>
      <c r="F799" s="1">
        <f t="shared" si="77"/>
        <v>27.4</v>
      </c>
      <c r="H799" s="11">
        <v>45379</v>
      </c>
      <c r="I799" s="25">
        <v>22.96</v>
      </c>
      <c r="J799" s="9">
        <v>4.76</v>
      </c>
      <c r="K799" s="9">
        <v>28.9</v>
      </c>
      <c r="L799" s="9">
        <v>25.3</v>
      </c>
      <c r="M799" s="9">
        <v>27.4</v>
      </c>
    </row>
    <row r="800" spans="1:13" x14ac:dyDescent="0.4">
      <c r="A800" s="16">
        <f t="shared" si="72"/>
        <v>45385</v>
      </c>
      <c r="B800" s="1">
        <f t="shared" si="73"/>
        <v>26.32</v>
      </c>
      <c r="C800" s="1">
        <f t="shared" si="74"/>
        <v>4.76</v>
      </c>
      <c r="D800" s="1">
        <f t="shared" si="75"/>
        <v>28.9</v>
      </c>
      <c r="E800" s="1">
        <f t="shared" si="76"/>
        <v>25.3</v>
      </c>
      <c r="F800" s="1">
        <f t="shared" si="77"/>
        <v>27.4</v>
      </c>
      <c r="H800" s="11">
        <v>45385</v>
      </c>
      <c r="I800" s="25">
        <v>26.32</v>
      </c>
      <c r="J800" s="9">
        <v>0</v>
      </c>
      <c r="K800" s="9">
        <v>0</v>
      </c>
      <c r="L800" s="9">
        <v>0</v>
      </c>
      <c r="M800" s="9">
        <v>0</v>
      </c>
    </row>
    <row r="801" spans="1:13" x14ac:dyDescent="0.4">
      <c r="A801" s="16">
        <f t="shared" si="72"/>
        <v>45389</v>
      </c>
      <c r="B801" s="1">
        <f t="shared" si="73"/>
        <v>26.32</v>
      </c>
      <c r="C801" s="1">
        <f t="shared" si="74"/>
        <v>5.31</v>
      </c>
      <c r="D801" s="1">
        <f t="shared" si="75"/>
        <v>30.4</v>
      </c>
      <c r="E801" s="1">
        <f t="shared" si="76"/>
        <v>24.7</v>
      </c>
      <c r="F801" s="1">
        <f t="shared" si="77"/>
        <v>27.2</v>
      </c>
      <c r="H801" s="11">
        <v>45389</v>
      </c>
      <c r="I801" s="25">
        <v>0</v>
      </c>
      <c r="J801" s="9">
        <v>5.31</v>
      </c>
      <c r="K801" s="9">
        <v>30.4</v>
      </c>
      <c r="L801" s="9">
        <v>24.7</v>
      </c>
      <c r="M801" s="9">
        <v>27.2</v>
      </c>
    </row>
    <row r="802" spans="1:13" x14ac:dyDescent="0.4">
      <c r="A802" s="16">
        <f t="shared" si="72"/>
        <v>45393</v>
      </c>
      <c r="B802" s="1">
        <f t="shared" si="73"/>
        <v>29.5</v>
      </c>
      <c r="C802" s="1">
        <f t="shared" si="74"/>
        <v>5.46</v>
      </c>
      <c r="D802" s="1">
        <f t="shared" si="75"/>
        <v>30.4</v>
      </c>
      <c r="E802" s="1">
        <f t="shared" si="76"/>
        <v>24.8</v>
      </c>
      <c r="F802" s="1">
        <f t="shared" si="77"/>
        <v>26.1</v>
      </c>
      <c r="H802" s="11">
        <v>45393</v>
      </c>
      <c r="I802" s="25">
        <v>29.5</v>
      </c>
      <c r="J802" s="9">
        <v>5.46</v>
      </c>
      <c r="K802" s="9">
        <v>30.4</v>
      </c>
      <c r="L802" s="9">
        <v>24.8</v>
      </c>
      <c r="M802" s="9">
        <v>26.1</v>
      </c>
    </row>
    <row r="803" spans="1:13" x14ac:dyDescent="0.4">
      <c r="A803" s="16">
        <f t="shared" si="72"/>
        <v>45400</v>
      </c>
      <c r="B803" s="1">
        <f t="shared" si="73"/>
        <v>35.299999999999997</v>
      </c>
      <c r="C803" s="1">
        <f t="shared" si="74"/>
        <v>5.62</v>
      </c>
      <c r="D803" s="1">
        <f t="shared" si="75"/>
        <v>30</v>
      </c>
      <c r="E803" s="1">
        <f t="shared" si="76"/>
        <v>25.1</v>
      </c>
      <c r="F803" s="1">
        <f t="shared" si="77"/>
        <v>26.3</v>
      </c>
      <c r="H803" s="11">
        <v>45400</v>
      </c>
      <c r="I803" s="25">
        <v>35.299999999999997</v>
      </c>
      <c r="J803" s="9">
        <v>5.62</v>
      </c>
      <c r="K803" s="9">
        <v>30</v>
      </c>
      <c r="L803" s="9">
        <v>25.1</v>
      </c>
      <c r="M803" s="9">
        <v>26.3</v>
      </c>
    </row>
    <row r="804" spans="1:13" x14ac:dyDescent="0.4">
      <c r="A804" s="16">
        <f t="shared" si="72"/>
        <v>45407</v>
      </c>
      <c r="B804" s="1">
        <f t="shared" si="73"/>
        <v>35.4</v>
      </c>
      <c r="C804" s="1">
        <f t="shared" si="74"/>
        <v>5.42</v>
      </c>
      <c r="D804" s="1">
        <f t="shared" si="75"/>
        <v>33.5</v>
      </c>
      <c r="E804" s="1">
        <f t="shared" si="76"/>
        <v>26.3</v>
      </c>
      <c r="F804" s="1">
        <f t="shared" si="77"/>
        <v>27.9</v>
      </c>
      <c r="H804" s="11">
        <v>45407</v>
      </c>
      <c r="I804" s="25">
        <v>35.4</v>
      </c>
      <c r="J804" s="9">
        <v>5.42</v>
      </c>
      <c r="K804" s="9">
        <v>33.5</v>
      </c>
      <c r="L804" s="9">
        <v>26.3</v>
      </c>
      <c r="M804" s="9">
        <v>27.9</v>
      </c>
    </row>
    <row r="805" spans="1:13" x14ac:dyDescent="0.4">
      <c r="A805" s="16">
        <f t="shared" si="72"/>
        <v>45412</v>
      </c>
      <c r="B805" s="1">
        <f t="shared" si="73"/>
        <v>35.4</v>
      </c>
      <c r="C805" s="1">
        <f t="shared" si="74"/>
        <v>5.42</v>
      </c>
      <c r="D805" s="1">
        <f t="shared" si="75"/>
        <v>26.7</v>
      </c>
      <c r="E805" s="1">
        <f t="shared" si="76"/>
        <v>24.1</v>
      </c>
      <c r="F805" s="1">
        <f t="shared" si="77"/>
        <v>25.3</v>
      </c>
      <c r="H805" s="11">
        <v>45412</v>
      </c>
      <c r="I805" s="25">
        <v>0</v>
      </c>
      <c r="J805" s="9">
        <v>0</v>
      </c>
      <c r="K805" s="9">
        <v>26.7</v>
      </c>
      <c r="L805" s="9">
        <v>24.1</v>
      </c>
      <c r="M805" s="9">
        <v>25.3</v>
      </c>
    </row>
    <row r="806" spans="1:13" x14ac:dyDescent="0.4">
      <c r="A806" s="16">
        <f t="shared" si="72"/>
        <v>45421</v>
      </c>
      <c r="B806" s="1">
        <f t="shared" si="73"/>
        <v>32.6</v>
      </c>
      <c r="C806" s="1">
        <f t="shared" si="74"/>
        <v>4.9400000000000004</v>
      </c>
      <c r="D806" s="1">
        <f t="shared" si="75"/>
        <v>28.5</v>
      </c>
      <c r="E806" s="1">
        <f t="shared" si="76"/>
        <v>25.6</v>
      </c>
      <c r="F806" s="1">
        <f t="shared" si="77"/>
        <v>26.5</v>
      </c>
      <c r="H806" s="11">
        <v>45421</v>
      </c>
      <c r="I806" s="25">
        <v>32.6</v>
      </c>
      <c r="J806" s="9">
        <v>4.9400000000000004</v>
      </c>
      <c r="K806" s="9">
        <v>28.5</v>
      </c>
      <c r="L806" s="9">
        <v>25.6</v>
      </c>
      <c r="M806" s="9">
        <v>26.5</v>
      </c>
    </row>
    <row r="807" spans="1:13" x14ac:dyDescent="0.4">
      <c r="A807" s="16">
        <f t="shared" si="72"/>
        <v>45428</v>
      </c>
      <c r="B807" s="1">
        <f t="shared" si="73"/>
        <v>30.4</v>
      </c>
      <c r="C807" s="1">
        <f t="shared" si="74"/>
        <v>4.8099999999999996</v>
      </c>
      <c r="D807" s="1">
        <f t="shared" si="75"/>
        <v>32.4</v>
      </c>
      <c r="E807" s="1">
        <f t="shared" si="76"/>
        <v>25.4</v>
      </c>
      <c r="F807" s="1">
        <f t="shared" si="77"/>
        <v>26.8</v>
      </c>
      <c r="H807" s="11">
        <v>45428</v>
      </c>
      <c r="I807" s="25">
        <v>30.4</v>
      </c>
      <c r="J807" s="9">
        <v>4.8099999999999996</v>
      </c>
      <c r="K807" s="9">
        <v>32.4</v>
      </c>
      <c r="L807" s="9">
        <v>25.4</v>
      </c>
      <c r="M807" s="9">
        <v>26.8</v>
      </c>
    </row>
    <row r="808" spans="1:13" x14ac:dyDescent="0.4">
      <c r="A808" s="16">
        <f t="shared" si="72"/>
        <v>45435</v>
      </c>
      <c r="B808" s="1">
        <f t="shared" si="73"/>
        <v>31.8</v>
      </c>
      <c r="C808" s="1">
        <f t="shared" si="74"/>
        <v>4.78</v>
      </c>
      <c r="D808" s="1">
        <f t="shared" si="75"/>
        <v>22.6</v>
      </c>
      <c r="E808" s="1">
        <f t="shared" si="76"/>
        <v>20.9</v>
      </c>
      <c r="F808" s="1">
        <f t="shared" si="77"/>
        <v>26.2</v>
      </c>
      <c r="H808" s="11">
        <v>45435</v>
      </c>
      <c r="I808" s="25">
        <v>31.8</v>
      </c>
      <c r="J808" s="9">
        <v>4.78</v>
      </c>
      <c r="K808" s="9">
        <v>22.6</v>
      </c>
      <c r="L808" s="9">
        <v>20.9</v>
      </c>
      <c r="M808" s="9">
        <v>26.2</v>
      </c>
    </row>
    <row r="809" spans="1:13" x14ac:dyDescent="0.4">
      <c r="A809" s="16">
        <f t="shared" si="72"/>
        <v>45442</v>
      </c>
      <c r="B809" s="1">
        <f t="shared" si="73"/>
        <v>28.28</v>
      </c>
      <c r="C809" s="1">
        <f t="shared" si="74"/>
        <v>4.62</v>
      </c>
      <c r="D809" s="1">
        <f t="shared" si="75"/>
        <v>23.5</v>
      </c>
      <c r="E809" s="1">
        <f t="shared" si="76"/>
        <v>22</v>
      </c>
      <c r="F809" s="1">
        <f t="shared" si="77"/>
        <v>28</v>
      </c>
      <c r="H809" s="11">
        <v>45442</v>
      </c>
      <c r="I809" s="25">
        <v>28.28</v>
      </c>
      <c r="J809" s="9">
        <v>4.62</v>
      </c>
      <c r="K809" s="9">
        <v>23.5</v>
      </c>
      <c r="L809" s="9">
        <v>22</v>
      </c>
      <c r="M809" s="9">
        <v>28</v>
      </c>
    </row>
    <row r="810" spans="1:13" x14ac:dyDescent="0.4">
      <c r="A810" s="16">
        <f t="shared" si="72"/>
        <v>45449</v>
      </c>
      <c r="B810" s="1">
        <f t="shared" si="73"/>
        <v>28.43</v>
      </c>
      <c r="C810" s="1">
        <f t="shared" si="74"/>
        <v>4.51</v>
      </c>
      <c r="D810" s="1">
        <f t="shared" si="75"/>
        <v>25.3</v>
      </c>
      <c r="E810" s="1">
        <f t="shared" si="76"/>
        <v>23.1</v>
      </c>
      <c r="F810" s="1">
        <f t="shared" si="77"/>
        <v>28.9</v>
      </c>
      <c r="H810" s="11">
        <v>45449</v>
      </c>
      <c r="I810" s="25">
        <v>28.43</v>
      </c>
      <c r="J810" s="9">
        <v>4.51</v>
      </c>
      <c r="K810" s="9">
        <v>25.3</v>
      </c>
      <c r="L810" s="9">
        <v>23.1</v>
      </c>
      <c r="M810" s="9">
        <v>28.9</v>
      </c>
    </row>
    <row r="811" spans="1:13" x14ac:dyDescent="0.4">
      <c r="A811" s="16">
        <f t="shared" si="72"/>
        <v>45456</v>
      </c>
      <c r="B811" s="1">
        <f t="shared" si="73"/>
        <v>33.549999999999997</v>
      </c>
      <c r="C811" s="1">
        <f t="shared" si="74"/>
        <v>4.49</v>
      </c>
      <c r="D811" s="1">
        <f t="shared" si="75"/>
        <v>26.5</v>
      </c>
      <c r="E811" s="1">
        <f t="shared" si="76"/>
        <v>22.3</v>
      </c>
      <c r="F811" s="1">
        <f t="shared" si="77"/>
        <v>27.5</v>
      </c>
      <c r="H811" s="11">
        <v>45456</v>
      </c>
      <c r="I811" s="25">
        <v>33.549999999999997</v>
      </c>
      <c r="J811" s="9">
        <v>4.49</v>
      </c>
      <c r="K811" s="9">
        <v>26.5</v>
      </c>
      <c r="L811" s="9">
        <v>22.3</v>
      </c>
      <c r="M811" s="9">
        <v>27.5</v>
      </c>
    </row>
    <row r="812" spans="1:13" x14ac:dyDescent="0.4">
      <c r="A812" s="16">
        <f t="shared" si="72"/>
        <v>45463</v>
      </c>
      <c r="B812" s="1">
        <f t="shared" si="73"/>
        <v>36.43</v>
      </c>
      <c r="C812" s="1">
        <f t="shared" si="74"/>
        <v>4.1399999999999997</v>
      </c>
      <c r="D812" s="1">
        <f t="shared" si="75"/>
        <v>28.6</v>
      </c>
      <c r="E812" s="1">
        <f t="shared" si="76"/>
        <v>23.2</v>
      </c>
      <c r="F812" s="1">
        <f t="shared" si="77"/>
        <v>27.4</v>
      </c>
      <c r="H812" s="11">
        <v>45463</v>
      </c>
      <c r="I812" s="25">
        <v>36.43</v>
      </c>
      <c r="J812" s="9">
        <v>4.1399999999999997</v>
      </c>
      <c r="K812" s="9">
        <v>28.6</v>
      </c>
      <c r="L812" s="9">
        <v>23.2</v>
      </c>
      <c r="M812" s="9">
        <v>27.4</v>
      </c>
    </row>
    <row r="813" spans="1:13" x14ac:dyDescent="0.4">
      <c r="A813" s="16">
        <f t="shared" si="72"/>
        <v>45470</v>
      </c>
      <c r="B813" s="1">
        <f t="shared" si="73"/>
        <v>44.78</v>
      </c>
      <c r="C813" s="1">
        <f t="shared" si="74"/>
        <v>4.01</v>
      </c>
      <c r="D813" s="1">
        <f t="shared" si="75"/>
        <v>26.8</v>
      </c>
      <c r="E813" s="1">
        <f t="shared" si="76"/>
        <v>22.4</v>
      </c>
      <c r="F813" s="1">
        <f t="shared" si="77"/>
        <v>26.9</v>
      </c>
      <c r="H813" s="11">
        <v>45470</v>
      </c>
      <c r="I813" s="25">
        <v>44.78</v>
      </c>
      <c r="J813" s="9">
        <v>4.01</v>
      </c>
      <c r="K813" s="9">
        <v>26.8</v>
      </c>
      <c r="L813" s="9">
        <v>22.4</v>
      </c>
      <c r="M813" s="9">
        <v>26.9</v>
      </c>
    </row>
    <row r="814" spans="1:13" x14ac:dyDescent="0.4">
      <c r="A814" s="16">
        <f t="shared" si="72"/>
        <v>45477</v>
      </c>
      <c r="B814" s="1">
        <f t="shared" si="73"/>
        <v>52.64</v>
      </c>
      <c r="C814" s="1">
        <f t="shared" si="74"/>
        <v>3.83</v>
      </c>
      <c r="D814" s="1">
        <f t="shared" si="75"/>
        <v>27.4</v>
      </c>
      <c r="E814" s="1">
        <f t="shared" si="76"/>
        <v>22.6</v>
      </c>
      <c r="F814" s="1">
        <f t="shared" si="77"/>
        <v>26.4</v>
      </c>
      <c r="H814" s="11">
        <v>45477</v>
      </c>
      <c r="I814" s="25">
        <v>52.64</v>
      </c>
      <c r="J814" s="9">
        <v>3.83</v>
      </c>
      <c r="K814" s="9">
        <v>27.4</v>
      </c>
      <c r="L814" s="9">
        <v>22.6</v>
      </c>
      <c r="M814" s="9">
        <v>26.4</v>
      </c>
    </row>
    <row r="815" spans="1:13" x14ac:dyDescent="0.4">
      <c r="A815" s="16">
        <f t="shared" si="72"/>
        <v>45484</v>
      </c>
      <c r="B815" s="1">
        <f t="shared" si="73"/>
        <v>50.25</v>
      </c>
      <c r="C815" s="1">
        <f t="shared" si="74"/>
        <v>3.66</v>
      </c>
      <c r="D815" s="1">
        <f t="shared" si="75"/>
        <v>28.4</v>
      </c>
      <c r="E815" s="1">
        <f t="shared" si="76"/>
        <v>23.9</v>
      </c>
      <c r="F815" s="1">
        <f t="shared" si="77"/>
        <v>26.9</v>
      </c>
      <c r="H815" s="11">
        <v>45484</v>
      </c>
      <c r="I815" s="25">
        <v>50.25</v>
      </c>
      <c r="J815" s="9">
        <v>3.66</v>
      </c>
      <c r="K815" s="9">
        <v>28.4</v>
      </c>
      <c r="L815" s="9">
        <v>23.9</v>
      </c>
      <c r="M815" s="9">
        <v>26.9</v>
      </c>
    </row>
    <row r="816" spans="1:13" x14ac:dyDescent="0.4">
      <c r="A816" s="16">
        <f t="shared" si="72"/>
        <v>45491</v>
      </c>
      <c r="B816" s="1">
        <f t="shared" si="73"/>
        <v>58.3</v>
      </c>
      <c r="C816" s="1">
        <f t="shared" si="74"/>
        <v>3.53</v>
      </c>
      <c r="D816" s="1">
        <f t="shared" si="75"/>
        <v>29.3</v>
      </c>
      <c r="E816" s="1">
        <f t="shared" si="76"/>
        <v>24.6</v>
      </c>
      <c r="F816" s="1">
        <f t="shared" si="77"/>
        <v>27.8</v>
      </c>
      <c r="H816" s="11">
        <v>45491</v>
      </c>
      <c r="I816" s="25">
        <v>58.3</v>
      </c>
      <c r="J816" s="9">
        <v>3.53</v>
      </c>
      <c r="K816" s="9">
        <v>29.3</v>
      </c>
      <c r="L816" s="9">
        <v>24.6</v>
      </c>
      <c r="M816" s="9">
        <v>27.8</v>
      </c>
    </row>
    <row r="817" spans="1:13" x14ac:dyDescent="0.4">
      <c r="A817" s="16">
        <f t="shared" si="72"/>
        <v>45498</v>
      </c>
      <c r="B817" s="1">
        <f t="shared" si="73"/>
        <v>60.7</v>
      </c>
      <c r="C817" s="1">
        <f t="shared" si="74"/>
        <v>3.55</v>
      </c>
      <c r="D817" s="1">
        <f t="shared" si="75"/>
        <v>19.2</v>
      </c>
      <c r="E817" s="1">
        <f t="shared" si="76"/>
        <v>19.600000000000001</v>
      </c>
      <c r="F817" s="1">
        <f t="shared" si="77"/>
        <v>20.5</v>
      </c>
      <c r="H817" s="11">
        <v>45498</v>
      </c>
      <c r="I817" s="25">
        <v>60.7</v>
      </c>
      <c r="J817" s="9">
        <v>3.55</v>
      </c>
      <c r="K817" s="9">
        <v>19.2</v>
      </c>
      <c r="L817" s="9">
        <v>19.600000000000001</v>
      </c>
      <c r="M817" s="9">
        <v>20.5</v>
      </c>
    </row>
    <row r="818" spans="1:13" x14ac:dyDescent="0.4">
      <c r="A818" s="16">
        <f t="shared" si="72"/>
        <v>45505</v>
      </c>
      <c r="B818" s="1">
        <f t="shared" si="73"/>
        <v>55.9</v>
      </c>
      <c r="C818" s="1">
        <f t="shared" si="74"/>
        <v>3.82</v>
      </c>
      <c r="D818" s="1">
        <f t="shared" si="75"/>
        <v>20.7</v>
      </c>
      <c r="E818" s="1">
        <f t="shared" si="76"/>
        <v>21</v>
      </c>
      <c r="F818" s="1">
        <f t="shared" si="77"/>
        <v>22.1</v>
      </c>
      <c r="H818" s="11">
        <v>45505</v>
      </c>
      <c r="I818" s="25">
        <v>55.9</v>
      </c>
      <c r="J818" s="9">
        <v>3.82</v>
      </c>
      <c r="K818" s="9">
        <v>20.7</v>
      </c>
      <c r="L818" s="9">
        <v>21</v>
      </c>
      <c r="M818" s="9">
        <v>22.1</v>
      </c>
    </row>
    <row r="819" spans="1:13" x14ac:dyDescent="0.4">
      <c r="A819" s="16">
        <f t="shared" si="72"/>
        <v>45512</v>
      </c>
      <c r="B819" s="1">
        <f t="shared" si="73"/>
        <v>52.03</v>
      </c>
      <c r="C819" s="1">
        <f t="shared" si="74"/>
        <v>3.85</v>
      </c>
      <c r="D819" s="1">
        <f t="shared" si="75"/>
        <v>22.5</v>
      </c>
      <c r="E819" s="1">
        <f t="shared" si="76"/>
        <v>22.9</v>
      </c>
      <c r="F819" s="1">
        <f t="shared" si="77"/>
        <v>23.7</v>
      </c>
      <c r="H819" s="11">
        <v>45512</v>
      </c>
      <c r="I819" s="25">
        <v>52.03</v>
      </c>
      <c r="J819" s="9">
        <v>3.85</v>
      </c>
      <c r="K819" s="9">
        <v>22.5</v>
      </c>
      <c r="L819" s="9">
        <v>22.9</v>
      </c>
      <c r="M819" s="9">
        <v>23.7</v>
      </c>
    </row>
    <row r="820" spans="1:13" x14ac:dyDescent="0.4">
      <c r="A820" s="16">
        <f t="shared" si="72"/>
        <v>45519</v>
      </c>
      <c r="B820" s="1">
        <f t="shared" si="73"/>
        <v>48.77</v>
      </c>
      <c r="C820" s="1">
        <f t="shared" si="74"/>
        <v>3.76</v>
      </c>
      <c r="D820" s="1">
        <f t="shared" si="75"/>
        <v>15.3</v>
      </c>
      <c r="E820" s="1">
        <f t="shared" si="76"/>
        <v>18.600000000000001</v>
      </c>
      <c r="F820" s="1">
        <f t="shared" si="77"/>
        <v>19.899999999999999</v>
      </c>
      <c r="H820" s="11">
        <v>45519</v>
      </c>
      <c r="I820" s="25">
        <v>48.77</v>
      </c>
      <c r="J820" s="9">
        <v>3.76</v>
      </c>
      <c r="K820" s="9">
        <v>15.3</v>
      </c>
      <c r="L820" s="9">
        <v>18.600000000000001</v>
      </c>
      <c r="M820" s="9">
        <v>19.899999999999999</v>
      </c>
    </row>
    <row r="821" spans="1:13" x14ac:dyDescent="0.4">
      <c r="A821" s="16">
        <f t="shared" si="72"/>
        <v>45526</v>
      </c>
      <c r="B821" s="1">
        <f t="shared" si="73"/>
        <v>49.12</v>
      </c>
      <c r="C821" s="1">
        <f t="shared" si="74"/>
        <v>4.05</v>
      </c>
      <c r="D821" s="1">
        <f t="shared" si="75"/>
        <v>19.2</v>
      </c>
      <c r="E821" s="1">
        <f t="shared" si="76"/>
        <v>21.4</v>
      </c>
      <c r="F821" s="1">
        <f t="shared" si="77"/>
        <v>21.8</v>
      </c>
      <c r="H821" s="11">
        <v>45526</v>
      </c>
      <c r="I821" s="25">
        <v>49.12</v>
      </c>
      <c r="J821" s="9">
        <v>4.05</v>
      </c>
      <c r="K821" s="9">
        <v>19.2</v>
      </c>
      <c r="L821" s="9">
        <v>21.4</v>
      </c>
      <c r="M821" s="9">
        <v>21.8</v>
      </c>
    </row>
    <row r="822" spans="1:13" x14ac:dyDescent="0.4">
      <c r="A822" s="16">
        <f t="shared" si="72"/>
        <v>45533</v>
      </c>
      <c r="B822" s="1">
        <f t="shared" si="73"/>
        <v>58.08</v>
      </c>
      <c r="C822" s="1">
        <f t="shared" si="74"/>
        <v>4.37</v>
      </c>
      <c r="D822" s="1">
        <f t="shared" si="75"/>
        <v>11.8</v>
      </c>
      <c r="E822" s="1">
        <f t="shared" si="76"/>
        <v>16.899999999999999</v>
      </c>
      <c r="F822" s="1">
        <f t="shared" si="77"/>
        <v>21.7</v>
      </c>
      <c r="H822" s="11">
        <v>45533</v>
      </c>
      <c r="I822" s="25">
        <v>58.08</v>
      </c>
      <c r="J822" s="9">
        <v>4.37</v>
      </c>
      <c r="K822" s="9">
        <v>11.8</v>
      </c>
      <c r="L822" s="9">
        <v>16.899999999999999</v>
      </c>
      <c r="M822" s="9">
        <v>21.7</v>
      </c>
    </row>
    <row r="823" spans="1:13" x14ac:dyDescent="0.4">
      <c r="A823" s="16">
        <f t="shared" si="72"/>
        <v>45540</v>
      </c>
      <c r="B823" s="1">
        <f t="shared" si="73"/>
        <v>60.81</v>
      </c>
      <c r="C823" s="1">
        <f t="shared" si="74"/>
        <v>4.6100000000000003</v>
      </c>
      <c r="D823" s="1">
        <f t="shared" si="75"/>
        <v>14.7</v>
      </c>
      <c r="E823" s="1">
        <f t="shared" si="76"/>
        <v>18.8</v>
      </c>
      <c r="F823" s="1">
        <f t="shared" si="77"/>
        <v>23.1</v>
      </c>
      <c r="H823" s="11">
        <v>45540</v>
      </c>
      <c r="I823" s="25">
        <v>60.81</v>
      </c>
      <c r="J823" s="9">
        <v>4.6100000000000003</v>
      </c>
      <c r="K823" s="9">
        <v>14.7</v>
      </c>
      <c r="L823" s="9">
        <v>18.8</v>
      </c>
      <c r="M823" s="9">
        <v>23.1</v>
      </c>
    </row>
    <row r="824" spans="1:13" x14ac:dyDescent="0.4">
      <c r="A824" s="16">
        <f t="shared" si="72"/>
        <v>45547</v>
      </c>
      <c r="B824" s="1">
        <f t="shared" si="73"/>
        <v>58.09</v>
      </c>
      <c r="C824" s="1">
        <f t="shared" si="74"/>
        <v>4.72</v>
      </c>
      <c r="D824" s="1">
        <f t="shared" si="75"/>
        <v>18.2</v>
      </c>
      <c r="E824" s="1">
        <f t="shared" si="76"/>
        <v>21.4</v>
      </c>
      <c r="F824" s="1">
        <f t="shared" si="77"/>
        <v>25.7</v>
      </c>
      <c r="H824" s="11">
        <v>45547</v>
      </c>
      <c r="I824" s="25">
        <v>58.09</v>
      </c>
      <c r="J824" s="9">
        <v>4.72</v>
      </c>
      <c r="K824" s="9">
        <v>18.2</v>
      </c>
      <c r="L824" s="9">
        <v>21.4</v>
      </c>
      <c r="M824" s="9">
        <v>25.7</v>
      </c>
    </row>
    <row r="825" spans="1:13" x14ac:dyDescent="0.4">
      <c r="A825" s="16">
        <f t="shared" si="72"/>
        <v>45554</v>
      </c>
      <c r="B825" s="1">
        <f t="shared" si="73"/>
        <v>49.84</v>
      </c>
      <c r="C825" s="1">
        <f t="shared" si="74"/>
        <v>4.66</v>
      </c>
      <c r="D825" s="1">
        <f t="shared" si="75"/>
        <v>18.5</v>
      </c>
      <c r="E825" s="1">
        <f t="shared" si="76"/>
        <v>21.5</v>
      </c>
      <c r="F825" s="1">
        <f t="shared" si="77"/>
        <v>26.5</v>
      </c>
      <c r="H825" s="11">
        <v>45554</v>
      </c>
      <c r="I825" s="25">
        <v>49.84</v>
      </c>
      <c r="J825" s="9">
        <v>4.66</v>
      </c>
      <c r="K825" s="9">
        <v>18.5</v>
      </c>
      <c r="L825" s="9">
        <v>21.5</v>
      </c>
      <c r="M825" s="9">
        <v>26.5</v>
      </c>
    </row>
    <row r="826" spans="1:13" x14ac:dyDescent="0.4">
      <c r="A826" s="16">
        <f t="shared" si="72"/>
        <v>45561</v>
      </c>
      <c r="B826" s="1">
        <f t="shared" si="73"/>
        <v>46.27</v>
      </c>
      <c r="C826" s="1">
        <f t="shared" si="74"/>
        <v>4.62</v>
      </c>
      <c r="D826" s="1">
        <f t="shared" si="75"/>
        <v>10.7</v>
      </c>
      <c r="E826" s="1">
        <f t="shared" si="76"/>
        <v>16.3</v>
      </c>
      <c r="F826" s="1">
        <f t="shared" si="77"/>
        <v>22.4</v>
      </c>
      <c r="H826" s="11">
        <v>45561</v>
      </c>
      <c r="I826" s="25">
        <v>46.27</v>
      </c>
      <c r="J826" s="9">
        <v>4.62</v>
      </c>
      <c r="K826" s="9">
        <v>10.7</v>
      </c>
      <c r="L826" s="9">
        <v>16.3</v>
      </c>
      <c r="M826" s="9">
        <v>22.4</v>
      </c>
    </row>
    <row r="827" spans="1:13" x14ac:dyDescent="0.4">
      <c r="A827" s="16">
        <f t="shared" si="72"/>
        <v>45575</v>
      </c>
      <c r="B827" s="1">
        <f t="shared" si="73"/>
        <v>53.24</v>
      </c>
      <c r="C827" s="1">
        <f t="shared" si="74"/>
        <v>4.7</v>
      </c>
      <c r="D827" s="1">
        <f t="shared" si="75"/>
        <v>8.6999999999999993</v>
      </c>
      <c r="E827" s="1">
        <f t="shared" si="76"/>
        <v>14.7</v>
      </c>
      <c r="F827" s="1">
        <f t="shared" si="77"/>
        <v>22</v>
      </c>
      <c r="H827" s="11">
        <v>45575</v>
      </c>
      <c r="I827" s="25">
        <v>53.24</v>
      </c>
      <c r="J827" s="9">
        <v>4.7</v>
      </c>
      <c r="K827" s="9">
        <v>8.6999999999999993</v>
      </c>
      <c r="L827" s="9">
        <v>14.7</v>
      </c>
      <c r="M827" s="9">
        <v>22</v>
      </c>
    </row>
    <row r="828" spans="1:13" x14ac:dyDescent="0.4">
      <c r="A828" s="16">
        <f t="shared" si="72"/>
        <v>45582</v>
      </c>
      <c r="B828" s="1">
        <f t="shared" si="73"/>
        <v>60.08</v>
      </c>
      <c r="C828" s="1">
        <f t="shared" si="74"/>
        <v>4.76</v>
      </c>
      <c r="D828" s="1">
        <f t="shared" si="75"/>
        <v>15.3</v>
      </c>
      <c r="E828" s="1">
        <f t="shared" si="76"/>
        <v>17.8</v>
      </c>
      <c r="F828" s="1">
        <f t="shared" si="77"/>
        <v>23.8</v>
      </c>
      <c r="H828" s="11">
        <v>45582</v>
      </c>
      <c r="I828" s="25">
        <v>60.08</v>
      </c>
      <c r="J828" s="9">
        <v>4.76</v>
      </c>
      <c r="K828" s="9">
        <v>15.3</v>
      </c>
      <c r="L828" s="9">
        <v>17.8</v>
      </c>
      <c r="M828" s="9">
        <v>23.8</v>
      </c>
    </row>
    <row r="829" spans="1:13" x14ac:dyDescent="0.4">
      <c r="A829" s="16">
        <f t="shared" si="72"/>
        <v>45589</v>
      </c>
      <c r="B829" s="1">
        <f t="shared" si="73"/>
        <v>62.87</v>
      </c>
      <c r="C829" s="1">
        <f t="shared" si="74"/>
        <v>4.38</v>
      </c>
      <c r="D829" s="1">
        <f t="shared" si="75"/>
        <v>17.2</v>
      </c>
      <c r="E829" s="1">
        <f t="shared" si="76"/>
        <v>18.3</v>
      </c>
      <c r="F829" s="1">
        <f t="shared" si="77"/>
        <v>22.9</v>
      </c>
      <c r="H829" s="11">
        <v>45589</v>
      </c>
      <c r="I829" s="25">
        <v>62.87</v>
      </c>
      <c r="J829" s="9">
        <v>4.38</v>
      </c>
      <c r="K829" s="9">
        <v>17.2</v>
      </c>
      <c r="L829" s="9">
        <v>18.3</v>
      </c>
      <c r="M829" s="9">
        <v>22.9</v>
      </c>
    </row>
    <row r="830" spans="1:13" x14ac:dyDescent="0.4">
      <c r="A830" s="16">
        <f t="shared" si="72"/>
        <v>45596</v>
      </c>
      <c r="B830" s="1">
        <f t="shared" si="73"/>
        <v>68.069999999999993</v>
      </c>
      <c r="C830" s="1">
        <f t="shared" si="74"/>
        <v>4.3600000000000003</v>
      </c>
      <c r="D830" s="1">
        <f t="shared" si="75"/>
        <v>13.7</v>
      </c>
      <c r="E830" s="1">
        <f t="shared" si="76"/>
        <v>18</v>
      </c>
      <c r="F830" s="1">
        <f t="shared" si="77"/>
        <v>19.899999999999999</v>
      </c>
      <c r="H830" s="11">
        <v>45596</v>
      </c>
      <c r="I830" s="25">
        <v>68.069999999999993</v>
      </c>
      <c r="J830" s="9">
        <v>4.3600000000000003</v>
      </c>
      <c r="K830" s="9">
        <v>13.7</v>
      </c>
      <c r="L830" s="9">
        <v>18</v>
      </c>
      <c r="M830" s="9">
        <v>19.899999999999999</v>
      </c>
    </row>
    <row r="831" spans="1:13" x14ac:dyDescent="0.4">
      <c r="A831" s="16">
        <f t="shared" si="72"/>
        <v>45603</v>
      </c>
      <c r="B831" s="1">
        <f t="shared" si="73"/>
        <v>67.36</v>
      </c>
      <c r="C831" s="1">
        <f t="shared" si="74"/>
        <v>3.92</v>
      </c>
      <c r="D831" s="1">
        <f t="shared" si="75"/>
        <v>15.1</v>
      </c>
      <c r="E831" s="1">
        <f t="shared" si="76"/>
        <v>18.899999999999999</v>
      </c>
      <c r="F831" s="1">
        <f t="shared" si="77"/>
        <v>19.399999999999999</v>
      </c>
      <c r="H831" s="11">
        <v>45603</v>
      </c>
      <c r="I831" s="25">
        <v>67.36</v>
      </c>
      <c r="J831" s="9">
        <v>3.92</v>
      </c>
      <c r="K831" s="9">
        <v>15.1</v>
      </c>
      <c r="L831" s="9">
        <v>18.899999999999999</v>
      </c>
      <c r="M831" s="9">
        <v>19.399999999999999</v>
      </c>
    </row>
    <row r="832" spans="1:13" x14ac:dyDescent="0.4">
      <c r="A832" s="16">
        <f t="shared" si="72"/>
        <v>45610</v>
      </c>
      <c r="B832" s="1">
        <f t="shared" si="73"/>
        <v>68.62</v>
      </c>
      <c r="C832" s="1">
        <f t="shared" si="74"/>
        <v>3.85</v>
      </c>
      <c r="D832" s="1">
        <f t="shared" si="75"/>
        <v>17.600000000000001</v>
      </c>
      <c r="E832" s="1">
        <f t="shared" si="76"/>
        <v>21.3</v>
      </c>
      <c r="F832" s="1">
        <f t="shared" si="77"/>
        <v>22.3</v>
      </c>
      <c r="H832" s="11">
        <v>45610</v>
      </c>
      <c r="I832" s="25">
        <v>68.62</v>
      </c>
      <c r="J832" s="9">
        <v>3.85</v>
      </c>
      <c r="K832" s="9">
        <v>17.600000000000001</v>
      </c>
      <c r="L832" s="9">
        <v>21.3</v>
      </c>
      <c r="M832" s="9">
        <v>22.3</v>
      </c>
    </row>
    <row r="833" spans="1:13" x14ac:dyDescent="0.4">
      <c r="A833" s="16">
        <f t="shared" si="72"/>
        <v>45617</v>
      </c>
      <c r="B833" s="1">
        <f t="shared" si="73"/>
        <v>73.14</v>
      </c>
      <c r="C833" s="1">
        <f t="shared" si="74"/>
        <v>3.72</v>
      </c>
      <c r="D833" s="1">
        <f t="shared" si="75"/>
        <v>16.899999999999999</v>
      </c>
      <c r="E833" s="1">
        <f t="shared" si="76"/>
        <v>21.5</v>
      </c>
      <c r="F833" s="1">
        <f t="shared" si="77"/>
        <v>24.2</v>
      </c>
      <c r="H833" s="11">
        <v>45617</v>
      </c>
      <c r="I833" s="25">
        <v>73.14</v>
      </c>
      <c r="J833" s="9">
        <v>3.72</v>
      </c>
      <c r="K833" s="9">
        <v>16.899999999999999</v>
      </c>
      <c r="L833" s="9">
        <v>21.5</v>
      </c>
      <c r="M833" s="9">
        <v>24.2</v>
      </c>
    </row>
    <row r="834" spans="1:13" x14ac:dyDescent="0.4">
      <c r="A834" s="16">
        <f t="shared" si="72"/>
        <v>45624</v>
      </c>
      <c r="B834" s="1">
        <f t="shared" si="73"/>
        <v>66.290000000000006</v>
      </c>
      <c r="C834" s="1">
        <f t="shared" si="74"/>
        <v>3.69</v>
      </c>
      <c r="D834" s="1">
        <f t="shared" si="75"/>
        <v>17.3</v>
      </c>
      <c r="E834" s="1">
        <f t="shared" si="76"/>
        <v>21.8</v>
      </c>
      <c r="F834" s="1">
        <f t="shared" si="77"/>
        <v>24.9</v>
      </c>
      <c r="H834" s="11">
        <v>45624</v>
      </c>
      <c r="I834" s="25">
        <v>66.290000000000006</v>
      </c>
      <c r="J834" s="9">
        <v>3.69</v>
      </c>
      <c r="K834" s="9">
        <v>17.3</v>
      </c>
      <c r="L834" s="9">
        <v>21.8</v>
      </c>
      <c r="M834" s="9">
        <v>24.9</v>
      </c>
    </row>
    <row r="835" spans="1:13" x14ac:dyDescent="0.4">
      <c r="A835" s="16">
        <f t="shared" si="72"/>
        <v>45631</v>
      </c>
      <c r="B835" s="1">
        <f t="shared" si="73"/>
        <v>71.67</v>
      </c>
      <c r="C835" s="1">
        <f t="shared" si="74"/>
        <v>3.82</v>
      </c>
      <c r="D835" s="1">
        <f t="shared" si="75"/>
        <v>11.6</v>
      </c>
      <c r="E835" s="1">
        <f t="shared" si="76"/>
        <v>17.899999999999999</v>
      </c>
      <c r="F835" s="1">
        <f t="shared" si="77"/>
        <v>23.5</v>
      </c>
      <c r="H835" s="11">
        <v>45631</v>
      </c>
      <c r="I835" s="25">
        <v>71.67</v>
      </c>
      <c r="J835" s="9">
        <v>3.82</v>
      </c>
      <c r="K835" s="9">
        <v>11.6</v>
      </c>
      <c r="L835" s="9">
        <v>17.899999999999999</v>
      </c>
      <c r="M835" s="9">
        <v>23.5</v>
      </c>
    </row>
    <row r="836" spans="1:13" x14ac:dyDescent="0.4">
      <c r="A836" s="16">
        <f t="shared" si="72"/>
        <v>45638</v>
      </c>
      <c r="B836" s="1">
        <f t="shared" si="73"/>
        <v>63.47</v>
      </c>
      <c r="C836" s="1">
        <f t="shared" si="74"/>
        <v>3.84</v>
      </c>
      <c r="D836" s="1">
        <f t="shared" si="75"/>
        <v>9.3000000000000007</v>
      </c>
      <c r="E836" s="1">
        <f t="shared" si="76"/>
        <v>16.7</v>
      </c>
      <c r="F836" s="1">
        <f t="shared" si="77"/>
        <v>22.1</v>
      </c>
      <c r="H836" s="11">
        <v>45638</v>
      </c>
      <c r="I836" s="25">
        <v>63.47</v>
      </c>
      <c r="J836" s="9">
        <v>3.84</v>
      </c>
      <c r="K836" s="9">
        <v>9.3000000000000007</v>
      </c>
      <c r="L836" s="9">
        <v>16.7</v>
      </c>
      <c r="M836" s="9">
        <v>22.1</v>
      </c>
    </row>
    <row r="837" spans="1:13" x14ac:dyDescent="0.4">
      <c r="A837" s="16">
        <f t="shared" si="72"/>
        <v>45645</v>
      </c>
      <c r="B837" s="1">
        <f t="shared" si="73"/>
        <v>57.45</v>
      </c>
      <c r="C837" s="1">
        <f t="shared" si="74"/>
        <v>3.79</v>
      </c>
      <c r="D837" s="1">
        <f t="shared" si="75"/>
        <v>2.6</v>
      </c>
      <c r="E837" s="1">
        <f t="shared" si="76"/>
        <v>12.3</v>
      </c>
      <c r="F837" s="1">
        <f t="shared" si="77"/>
        <v>18.100000000000001</v>
      </c>
      <c r="H837" s="11">
        <v>45645</v>
      </c>
      <c r="I837" s="25">
        <v>57.45</v>
      </c>
      <c r="J837" s="9">
        <v>3.79</v>
      </c>
      <c r="K837" s="9">
        <v>2.6</v>
      </c>
      <c r="L837" s="9">
        <v>12.3</v>
      </c>
      <c r="M837" s="9">
        <v>18.100000000000001</v>
      </c>
    </row>
    <row r="838" spans="1:13" x14ac:dyDescent="0.4">
      <c r="A838" s="16">
        <f t="shared" ref="A838:A901" si="78">H838</f>
        <v>45652</v>
      </c>
      <c r="B838" s="1">
        <f t="shared" ref="B838:B901" si="79">IF(I838&lt;&gt;0,I838,B837)</f>
        <v>55.31</v>
      </c>
      <c r="C838" s="1">
        <f t="shared" si="74"/>
        <v>4.0199999999999996</v>
      </c>
      <c r="D838" s="1">
        <f t="shared" si="75"/>
        <v>4.7</v>
      </c>
      <c r="E838" s="1">
        <f t="shared" si="76"/>
        <v>14.8</v>
      </c>
      <c r="F838" s="1">
        <f t="shared" si="77"/>
        <v>19.7</v>
      </c>
      <c r="H838" s="11">
        <v>45652</v>
      </c>
      <c r="I838" s="25">
        <v>55.31</v>
      </c>
      <c r="J838" s="9">
        <v>4.0199999999999996</v>
      </c>
      <c r="K838" s="9">
        <v>4.7</v>
      </c>
      <c r="L838" s="9">
        <v>14.8</v>
      </c>
      <c r="M838" s="9">
        <v>19.7</v>
      </c>
    </row>
    <row r="839" spans="1:13" x14ac:dyDescent="0.4">
      <c r="A839" s="16">
        <f t="shared" si="78"/>
        <v>45659</v>
      </c>
      <c r="B839" s="1">
        <f t="shared" si="79"/>
        <v>56.57</v>
      </c>
      <c r="C839" s="1">
        <f t="shared" ref="C839:C902" si="80">IF(J839&lt;&gt;0,J839,C838)</f>
        <v>4.0199999999999996</v>
      </c>
      <c r="D839" s="1">
        <f t="shared" ref="D839:D902" si="81">IF(K839&lt;&gt;0,K839,D838)</f>
        <v>2.9</v>
      </c>
      <c r="E839" s="1">
        <f t="shared" ref="E839:E902" si="82">IF(L839&lt;&gt;0,L839,E838)</f>
        <v>12.2</v>
      </c>
      <c r="F839" s="1">
        <f t="shared" ref="F839:F902" si="83">IF(M839&lt;&gt;0,M839,F838)</f>
        <v>17.2</v>
      </c>
      <c r="H839" s="11">
        <v>45659</v>
      </c>
      <c r="I839" s="25">
        <v>56.57</v>
      </c>
      <c r="J839" s="9">
        <v>4.0199999999999996</v>
      </c>
      <c r="K839" s="9">
        <v>2.9</v>
      </c>
      <c r="L839" s="9">
        <v>12.2</v>
      </c>
      <c r="M839" s="9">
        <v>17.2</v>
      </c>
    </row>
    <row r="840" spans="1:13" x14ac:dyDescent="0.4">
      <c r="A840" s="16">
        <f t="shared" si="78"/>
        <v>45666</v>
      </c>
      <c r="B840" s="1">
        <f t="shared" si="79"/>
        <v>50.28</v>
      </c>
      <c r="C840" s="1">
        <f t="shared" si="80"/>
        <v>3.61</v>
      </c>
      <c r="D840" s="1">
        <f t="shared" si="81"/>
        <v>4.5999999999999996</v>
      </c>
      <c r="E840" s="1">
        <f t="shared" si="82"/>
        <v>12.8</v>
      </c>
      <c r="F840" s="1">
        <f t="shared" si="83"/>
        <v>17.399999999999999</v>
      </c>
      <c r="H840" s="11">
        <v>45666</v>
      </c>
      <c r="I840" s="25">
        <v>50.28</v>
      </c>
      <c r="J840" s="9">
        <v>3.61</v>
      </c>
      <c r="K840" s="9">
        <v>4.5999999999999996</v>
      </c>
      <c r="L840" s="9">
        <v>12.8</v>
      </c>
      <c r="M840" s="9">
        <v>17.399999999999999</v>
      </c>
    </row>
    <row r="841" spans="1:13" x14ac:dyDescent="0.4">
      <c r="A841" s="16">
        <f t="shared" si="78"/>
        <v>45673</v>
      </c>
      <c r="B841" s="1">
        <f t="shared" si="79"/>
        <v>52.16</v>
      </c>
      <c r="C841" s="1">
        <f t="shared" si="80"/>
        <v>3.45</v>
      </c>
      <c r="D841" s="1">
        <f t="shared" si="81"/>
        <v>5.8</v>
      </c>
      <c r="E841" s="1">
        <f t="shared" si="82"/>
        <v>12.6</v>
      </c>
      <c r="F841" s="1">
        <f t="shared" si="83"/>
        <v>17.3</v>
      </c>
      <c r="H841" s="11">
        <v>45673</v>
      </c>
      <c r="I841" s="25">
        <v>52.16</v>
      </c>
      <c r="J841" s="9">
        <v>3.45</v>
      </c>
      <c r="K841" s="9">
        <v>5.8</v>
      </c>
      <c r="L841" s="9">
        <v>12.6</v>
      </c>
      <c r="M841" s="9">
        <v>17.3</v>
      </c>
    </row>
    <row r="842" spans="1:13" x14ac:dyDescent="0.4">
      <c r="A842" s="16">
        <f t="shared" si="78"/>
        <v>45680</v>
      </c>
      <c r="B842" s="1">
        <f t="shared" si="79"/>
        <v>53.39</v>
      </c>
      <c r="C842" s="1">
        <f t="shared" si="80"/>
        <v>3.66</v>
      </c>
      <c r="D842" s="1">
        <f t="shared" si="81"/>
        <v>7.5</v>
      </c>
      <c r="E842" s="1">
        <f t="shared" si="82"/>
        <v>14.1</v>
      </c>
      <c r="F842" s="1">
        <f t="shared" si="83"/>
        <v>19.100000000000001</v>
      </c>
      <c r="H842" s="11">
        <v>45680</v>
      </c>
      <c r="I842" s="25">
        <v>53.39</v>
      </c>
      <c r="J842" s="9">
        <v>3.66</v>
      </c>
      <c r="K842" s="9">
        <v>7.5</v>
      </c>
      <c r="L842" s="9">
        <v>14.1</v>
      </c>
      <c r="M842" s="9">
        <v>19.100000000000001</v>
      </c>
    </row>
    <row r="843" spans="1:13" x14ac:dyDescent="0.4">
      <c r="A843" s="16">
        <f t="shared" si="78"/>
        <v>45694</v>
      </c>
      <c r="B843" s="1">
        <f t="shared" si="79"/>
        <v>58.2</v>
      </c>
      <c r="C843" s="1">
        <f t="shared" si="80"/>
        <v>6.12</v>
      </c>
      <c r="D843" s="1">
        <f t="shared" si="81"/>
        <v>13.2</v>
      </c>
      <c r="E843" s="1">
        <f t="shared" si="82"/>
        <v>19.600000000000001</v>
      </c>
      <c r="F843" s="1">
        <f t="shared" si="83"/>
        <v>24.4</v>
      </c>
      <c r="H843" s="11">
        <v>45694</v>
      </c>
      <c r="I843" s="25">
        <v>58.2</v>
      </c>
      <c r="J843" s="9">
        <v>6.12</v>
      </c>
      <c r="K843" s="9">
        <v>13.2</v>
      </c>
      <c r="L843" s="9">
        <v>19.600000000000001</v>
      </c>
      <c r="M843" s="9">
        <v>24.4</v>
      </c>
    </row>
    <row r="844" spans="1:13" x14ac:dyDescent="0.4">
      <c r="A844" s="16">
        <f t="shared" si="78"/>
        <v>45701</v>
      </c>
      <c r="B844" s="1">
        <f t="shared" si="79"/>
        <v>63.24</v>
      </c>
      <c r="C844" s="1">
        <f t="shared" si="80"/>
        <v>6.51</v>
      </c>
      <c r="D844" s="1">
        <f t="shared" si="81"/>
        <v>15.3</v>
      </c>
      <c r="E844" s="1">
        <f t="shared" si="82"/>
        <v>20.9</v>
      </c>
      <c r="F844" s="1">
        <f t="shared" si="83"/>
        <v>25.7</v>
      </c>
      <c r="H844" s="11">
        <v>45701</v>
      </c>
      <c r="I844" s="25">
        <v>63.24</v>
      </c>
      <c r="J844" s="9">
        <v>6.51</v>
      </c>
      <c r="K844" s="9">
        <v>15.3</v>
      </c>
      <c r="L844" s="9">
        <v>20.9</v>
      </c>
      <c r="M844" s="9">
        <v>25.7</v>
      </c>
    </row>
    <row r="845" spans="1:13" x14ac:dyDescent="0.4">
      <c r="A845" s="16">
        <f t="shared" si="78"/>
        <v>45708</v>
      </c>
      <c r="B845" s="1">
        <f t="shared" si="79"/>
        <v>68.03</v>
      </c>
      <c r="C845" s="1">
        <f t="shared" si="80"/>
        <v>5.82</v>
      </c>
      <c r="D845" s="1">
        <f t="shared" si="81"/>
        <v>17.600000000000001</v>
      </c>
      <c r="E845" s="1">
        <f t="shared" si="82"/>
        <v>23</v>
      </c>
      <c r="F845" s="1">
        <f t="shared" si="83"/>
        <v>27.7</v>
      </c>
      <c r="H845" s="11">
        <v>45708</v>
      </c>
      <c r="I845" s="25">
        <v>68.03</v>
      </c>
      <c r="J845" s="9">
        <v>5.82</v>
      </c>
      <c r="K845" s="9">
        <v>17.600000000000001</v>
      </c>
      <c r="L845" s="9">
        <v>23</v>
      </c>
      <c r="M845" s="9">
        <v>27.7</v>
      </c>
    </row>
    <row r="846" spans="1:13" x14ac:dyDescent="0.4">
      <c r="A846" s="16">
        <f t="shared" si="78"/>
        <v>45715</v>
      </c>
      <c r="B846" s="1">
        <f t="shared" si="79"/>
        <v>64.680000000000007</v>
      </c>
      <c r="C846" s="1">
        <f t="shared" si="80"/>
        <v>5.44</v>
      </c>
      <c r="D846" s="1">
        <f t="shared" si="81"/>
        <v>20</v>
      </c>
      <c r="E846" s="1">
        <f t="shared" si="82"/>
        <v>25.6</v>
      </c>
      <c r="F846" s="1">
        <f t="shared" si="83"/>
        <v>28.2</v>
      </c>
      <c r="H846" s="11">
        <v>45715</v>
      </c>
      <c r="I846" s="25">
        <v>64.680000000000007</v>
      </c>
      <c r="J846" s="9">
        <v>5.44</v>
      </c>
      <c r="K846" s="9">
        <v>20</v>
      </c>
      <c r="L846" s="9">
        <v>25.6</v>
      </c>
      <c r="M846" s="9">
        <v>28.2</v>
      </c>
    </row>
    <row r="847" spans="1:13" x14ac:dyDescent="0.4">
      <c r="A847" s="16">
        <f t="shared" si="78"/>
        <v>45722</v>
      </c>
      <c r="B847" s="1">
        <f t="shared" si="79"/>
        <v>60.12</v>
      </c>
      <c r="C847" s="1">
        <f t="shared" si="80"/>
        <v>5.29</v>
      </c>
      <c r="D847" s="1">
        <f t="shared" si="81"/>
        <v>22.6</v>
      </c>
      <c r="E847" s="1">
        <f t="shared" si="82"/>
        <v>28</v>
      </c>
      <c r="F847" s="1">
        <f t="shared" si="83"/>
        <v>28.9</v>
      </c>
      <c r="H847" s="11">
        <v>45722</v>
      </c>
      <c r="I847" s="25">
        <v>60.12</v>
      </c>
      <c r="J847" s="9">
        <v>5.29</v>
      </c>
      <c r="K847" s="9">
        <v>22.6</v>
      </c>
      <c r="L847" s="9">
        <v>28</v>
      </c>
      <c r="M847" s="9">
        <v>28.9</v>
      </c>
    </row>
    <row r="848" spans="1:13" x14ac:dyDescent="0.4">
      <c r="A848" s="16">
        <f t="shared" si="78"/>
        <v>45729</v>
      </c>
      <c r="B848" s="1">
        <f t="shared" si="79"/>
        <v>53.67</v>
      </c>
      <c r="C848" s="1">
        <f t="shared" si="80"/>
        <v>5.0199999999999996</v>
      </c>
      <c r="D848" s="1">
        <f t="shared" si="81"/>
        <v>24.1</v>
      </c>
      <c r="E848" s="1">
        <f t="shared" si="82"/>
        <v>28.8</v>
      </c>
      <c r="F848" s="1">
        <f t="shared" si="83"/>
        <v>29.8</v>
      </c>
      <c r="H848" s="11">
        <v>45729</v>
      </c>
      <c r="I848" s="25">
        <v>53.67</v>
      </c>
      <c r="J848" s="9">
        <v>5.0199999999999996</v>
      </c>
      <c r="K848" s="9">
        <v>24.1</v>
      </c>
      <c r="L848" s="9">
        <v>28.8</v>
      </c>
      <c r="M848" s="9">
        <v>29.8</v>
      </c>
    </row>
    <row r="849" spans="1:13" x14ac:dyDescent="0.4">
      <c r="A849" s="16">
        <f t="shared" si="78"/>
        <v>45736</v>
      </c>
      <c r="B849" s="1">
        <f t="shared" si="79"/>
        <v>48.26</v>
      </c>
      <c r="C849" s="1">
        <f t="shared" si="80"/>
        <v>4.84</v>
      </c>
      <c r="D849" s="1">
        <f t="shared" si="81"/>
        <v>25</v>
      </c>
      <c r="E849" s="1">
        <f t="shared" si="82"/>
        <v>30.1</v>
      </c>
      <c r="F849" s="1">
        <f t="shared" si="83"/>
        <v>31.4</v>
      </c>
      <c r="H849" s="11">
        <v>45736</v>
      </c>
      <c r="I849" s="25">
        <v>48.26</v>
      </c>
      <c r="J849" s="9">
        <v>4.84</v>
      </c>
      <c r="K849" s="9">
        <v>25</v>
      </c>
      <c r="L849" s="9">
        <v>30.1</v>
      </c>
      <c r="M849" s="9">
        <v>31.4</v>
      </c>
    </row>
    <row r="850" spans="1:13" x14ac:dyDescent="0.4">
      <c r="A850" s="16">
        <f t="shared" si="78"/>
        <v>45743</v>
      </c>
      <c r="B850" s="1">
        <f t="shared" si="79"/>
        <v>40.85</v>
      </c>
      <c r="C850" s="1">
        <f t="shared" si="80"/>
        <v>4.54</v>
      </c>
      <c r="D850" s="1">
        <f t="shared" si="81"/>
        <v>23.1</v>
      </c>
      <c r="E850" s="1">
        <f t="shared" si="82"/>
        <v>27.5</v>
      </c>
      <c r="F850" s="1">
        <f t="shared" si="83"/>
        <v>31.3</v>
      </c>
      <c r="H850" s="11">
        <v>45743</v>
      </c>
      <c r="I850" s="25">
        <v>40.85</v>
      </c>
      <c r="J850" s="9">
        <v>4.54</v>
      </c>
      <c r="K850" s="9">
        <v>23.1</v>
      </c>
      <c r="L850" s="9">
        <v>27.5</v>
      </c>
      <c r="M850" s="9">
        <v>31.3</v>
      </c>
    </row>
    <row r="851" spans="1:13" x14ac:dyDescent="0.4">
      <c r="A851" s="16">
        <f t="shared" si="78"/>
        <v>45750</v>
      </c>
      <c r="B851" s="1">
        <f t="shared" si="79"/>
        <v>34.61</v>
      </c>
      <c r="C851" s="1">
        <f t="shared" si="80"/>
        <v>4.29</v>
      </c>
      <c r="D851" s="1">
        <f t="shared" si="81"/>
        <v>22.8</v>
      </c>
      <c r="E851" s="1">
        <f t="shared" si="82"/>
        <v>26.7</v>
      </c>
      <c r="F851" s="1">
        <f t="shared" si="83"/>
        <v>31.1</v>
      </c>
      <c r="H851" s="11">
        <v>45750</v>
      </c>
      <c r="I851" s="25">
        <v>34.61</v>
      </c>
      <c r="J851" s="9">
        <v>4.29</v>
      </c>
      <c r="K851" s="9">
        <v>22.8</v>
      </c>
      <c r="L851" s="9">
        <v>26.7</v>
      </c>
      <c r="M851" s="9">
        <v>31.1</v>
      </c>
    </row>
    <row r="852" spans="1:13" x14ac:dyDescent="0.4">
      <c r="A852" s="16">
        <f t="shared" si="78"/>
        <v>45757</v>
      </c>
      <c r="B852" s="1">
        <f t="shared" si="79"/>
        <v>32.020000000000003</v>
      </c>
      <c r="C852" s="1">
        <f t="shared" si="80"/>
        <v>4.32</v>
      </c>
      <c r="D852" s="1">
        <f t="shared" si="81"/>
        <v>26.8</v>
      </c>
      <c r="E852" s="1">
        <f t="shared" si="82"/>
        <v>29.2</v>
      </c>
      <c r="F852" s="1">
        <f t="shared" si="83"/>
        <v>32.94</v>
      </c>
      <c r="H852" s="11">
        <v>45757</v>
      </c>
      <c r="I852" s="25">
        <v>32.020000000000003</v>
      </c>
      <c r="J852" s="9">
        <v>4.32</v>
      </c>
      <c r="K852" s="9">
        <v>26.8</v>
      </c>
      <c r="L852" s="9">
        <v>29.2</v>
      </c>
      <c r="M852" s="9">
        <v>32.94</v>
      </c>
    </row>
    <row r="853" spans="1:13" x14ac:dyDescent="0.4">
      <c r="A853" s="16">
        <f t="shared" si="78"/>
        <v>45764</v>
      </c>
      <c r="B853" s="1">
        <f t="shared" si="79"/>
        <v>29.9</v>
      </c>
      <c r="C853" s="1">
        <f t="shared" si="80"/>
        <v>4.3600000000000003</v>
      </c>
      <c r="D853" s="1">
        <f t="shared" si="81"/>
        <v>29.44</v>
      </c>
      <c r="E853" s="1">
        <f t="shared" si="82"/>
        <v>31.94</v>
      </c>
      <c r="F853" s="1">
        <f t="shared" si="83"/>
        <v>34.4</v>
      </c>
      <c r="H853" s="11">
        <v>45764</v>
      </c>
      <c r="I853" s="25">
        <v>29.9</v>
      </c>
      <c r="J853" s="9">
        <v>4.3600000000000003</v>
      </c>
      <c r="K853" s="9">
        <v>29.44</v>
      </c>
      <c r="L853" s="9">
        <v>31.94</v>
      </c>
      <c r="M853" s="9">
        <v>34.4</v>
      </c>
    </row>
    <row r="854" spans="1:13" x14ac:dyDescent="0.4">
      <c r="A854" s="16">
        <f t="shared" si="78"/>
        <v>45771</v>
      </c>
      <c r="B854" s="1">
        <f t="shared" si="79"/>
        <v>22.92</v>
      </c>
      <c r="C854" s="1">
        <f t="shared" si="80"/>
        <v>4.3899999999999997</v>
      </c>
      <c r="D854" s="1">
        <f t="shared" si="81"/>
        <v>28.2</v>
      </c>
      <c r="E854" s="1">
        <f t="shared" si="82"/>
        <v>30.4</v>
      </c>
      <c r="F854" s="1">
        <f t="shared" si="83"/>
        <v>34.5</v>
      </c>
      <c r="H854" s="11">
        <v>45771</v>
      </c>
      <c r="I854" s="25">
        <v>22.92</v>
      </c>
      <c r="J854" s="9">
        <v>4.3899999999999997</v>
      </c>
      <c r="K854" s="9">
        <v>28.2</v>
      </c>
      <c r="L854" s="9">
        <v>30.4</v>
      </c>
      <c r="M854" s="9">
        <v>34.5</v>
      </c>
    </row>
    <row r="855" spans="1:13" x14ac:dyDescent="0.4">
      <c r="A855" s="16">
        <f t="shared" si="78"/>
        <v>45777</v>
      </c>
      <c r="B855" s="1">
        <f t="shared" si="79"/>
        <v>22.92</v>
      </c>
      <c r="C855" s="1">
        <f t="shared" si="80"/>
        <v>4.43</v>
      </c>
      <c r="D855" s="1">
        <f t="shared" si="81"/>
        <v>14.8</v>
      </c>
      <c r="E855" s="1">
        <f t="shared" si="82"/>
        <v>19.8</v>
      </c>
      <c r="F855" s="1">
        <f t="shared" si="83"/>
        <v>26.4</v>
      </c>
      <c r="H855" s="11">
        <v>45777</v>
      </c>
      <c r="I855" s="25">
        <v>0</v>
      </c>
      <c r="J855" s="9">
        <v>4.43</v>
      </c>
      <c r="K855" s="9">
        <v>14.8</v>
      </c>
      <c r="L855" s="9">
        <v>19.8</v>
      </c>
      <c r="M855" s="9">
        <v>26.4</v>
      </c>
    </row>
    <row r="856" spans="1:13" x14ac:dyDescent="0.4">
      <c r="A856" s="16">
        <f t="shared" si="78"/>
        <v>45785</v>
      </c>
      <c r="B856" s="1">
        <f t="shared" si="79"/>
        <v>23.86</v>
      </c>
      <c r="C856" s="1">
        <f t="shared" si="80"/>
        <v>4.51</v>
      </c>
      <c r="D856" s="1">
        <f t="shared" si="81"/>
        <v>17.100000000000001</v>
      </c>
      <c r="E856" s="1">
        <f t="shared" si="82"/>
        <v>22.2</v>
      </c>
      <c r="F856" s="1">
        <f t="shared" si="83"/>
        <v>27.8</v>
      </c>
      <c r="H856" s="11">
        <v>45785</v>
      </c>
      <c r="I856" s="25">
        <v>23.86</v>
      </c>
      <c r="J856" s="9">
        <v>4.51</v>
      </c>
      <c r="K856" s="9">
        <v>17.100000000000001</v>
      </c>
      <c r="L856" s="9">
        <v>22.2</v>
      </c>
      <c r="M856" s="9">
        <v>27.8</v>
      </c>
    </row>
    <row r="857" spans="1:13" x14ac:dyDescent="0.4">
      <c r="A857" s="16">
        <f t="shared" si="78"/>
        <v>45792</v>
      </c>
      <c r="B857" s="1">
        <f t="shared" si="79"/>
        <v>21.8</v>
      </c>
      <c r="C857" s="1">
        <f t="shared" si="80"/>
        <v>4.28</v>
      </c>
      <c r="D857" s="1">
        <f t="shared" si="81"/>
        <v>8.9</v>
      </c>
      <c r="E857" s="1">
        <f t="shared" si="82"/>
        <v>16.8</v>
      </c>
      <c r="F857" s="1">
        <f t="shared" si="83"/>
        <v>24</v>
      </c>
      <c r="H857" s="11">
        <v>45792</v>
      </c>
      <c r="I857" s="25">
        <v>21.8</v>
      </c>
      <c r="J857" s="9">
        <v>4.28</v>
      </c>
      <c r="K857" s="9">
        <v>8.9</v>
      </c>
      <c r="L857" s="9">
        <v>16.8</v>
      </c>
      <c r="M857" s="9">
        <v>24</v>
      </c>
    </row>
    <row r="858" spans="1:13" x14ac:dyDescent="0.4">
      <c r="A858" s="16">
        <f t="shared" si="78"/>
        <v>45799</v>
      </c>
      <c r="B858" s="1">
        <f t="shared" si="79"/>
        <v>23.11</v>
      </c>
      <c r="C858" s="1">
        <f t="shared" si="80"/>
        <v>4.1500000000000004</v>
      </c>
      <c r="D858" s="1">
        <f t="shared" si="81"/>
        <v>11.3</v>
      </c>
      <c r="E858" s="1">
        <f t="shared" si="82"/>
        <v>18.399999999999999</v>
      </c>
      <c r="F858" s="1">
        <f t="shared" si="83"/>
        <v>25.4</v>
      </c>
      <c r="H858" s="11">
        <v>45799</v>
      </c>
      <c r="I858" s="25">
        <v>23.11</v>
      </c>
      <c r="J858" s="9">
        <v>4.1500000000000004</v>
      </c>
      <c r="K858" s="9">
        <v>11.3</v>
      </c>
      <c r="L858" s="9">
        <v>18.399999999999999</v>
      </c>
      <c r="M858" s="9">
        <v>25.4</v>
      </c>
    </row>
    <row r="859" spans="1:13" x14ac:dyDescent="0.4">
      <c r="A859" s="16">
        <f t="shared" si="78"/>
        <v>45806</v>
      </c>
      <c r="B859" s="1">
        <f t="shared" si="79"/>
        <v>24.76</v>
      </c>
      <c r="C859" s="1">
        <f t="shared" si="80"/>
        <v>4.09</v>
      </c>
      <c r="D859" s="1">
        <f t="shared" si="81"/>
        <v>13.8</v>
      </c>
      <c r="E859" s="1">
        <f t="shared" si="82"/>
        <v>20.7</v>
      </c>
      <c r="F859" s="1">
        <f t="shared" si="83"/>
        <v>27.3</v>
      </c>
      <c r="H859" s="11">
        <v>45806</v>
      </c>
      <c r="I859" s="25">
        <v>24.76</v>
      </c>
      <c r="J859" s="9">
        <v>4.09</v>
      </c>
      <c r="K859" s="9">
        <v>13.8</v>
      </c>
      <c r="L859" s="9">
        <v>20.7</v>
      </c>
      <c r="M859" s="9">
        <v>27.3</v>
      </c>
    </row>
    <row r="860" spans="1:13" x14ac:dyDescent="0.4">
      <c r="A860" s="16">
        <f t="shared" si="78"/>
        <v>45813</v>
      </c>
      <c r="B860" s="1">
        <f t="shared" si="79"/>
        <v>29.26</v>
      </c>
      <c r="C860" s="1">
        <f t="shared" si="80"/>
        <v>4.0199999999999996</v>
      </c>
      <c r="D860" s="1">
        <f t="shared" si="81"/>
        <v>16.5</v>
      </c>
      <c r="E860" s="1">
        <f t="shared" si="82"/>
        <v>21.6</v>
      </c>
      <c r="F860" s="1">
        <f t="shared" si="83"/>
        <v>28.4</v>
      </c>
      <c r="H860" s="11">
        <v>45813</v>
      </c>
      <c r="I860" s="25">
        <v>29.26</v>
      </c>
      <c r="J860" s="9">
        <v>4.0199999999999996</v>
      </c>
      <c r="K860" s="9">
        <v>16.5</v>
      </c>
      <c r="L860" s="9">
        <v>21.6</v>
      </c>
      <c r="M860" s="9">
        <v>28.4</v>
      </c>
    </row>
    <row r="861" spans="1:13" x14ac:dyDescent="0.4">
      <c r="A861" s="16">
        <f t="shared" si="78"/>
        <v>45820</v>
      </c>
      <c r="B861" s="1">
        <f t="shared" si="79"/>
        <v>33.630000000000003</v>
      </c>
      <c r="C861" s="1">
        <f t="shared" si="80"/>
        <v>4.03</v>
      </c>
      <c r="D861" s="1">
        <f t="shared" si="81"/>
        <v>17.899999999999999</v>
      </c>
      <c r="E861" s="1">
        <f t="shared" si="82"/>
        <v>21.7</v>
      </c>
      <c r="F861" s="1">
        <f t="shared" si="83"/>
        <v>28.5</v>
      </c>
      <c r="H861" s="11">
        <v>45820</v>
      </c>
      <c r="I861" s="25">
        <v>33.630000000000003</v>
      </c>
      <c r="J861" s="9">
        <v>4.03</v>
      </c>
      <c r="K861" s="9">
        <v>17.899999999999999</v>
      </c>
      <c r="L861" s="9">
        <v>21.7</v>
      </c>
      <c r="M861" s="9">
        <v>28.5</v>
      </c>
    </row>
    <row r="862" spans="1:13" x14ac:dyDescent="0.4">
      <c r="A862" s="16">
        <f t="shared" si="78"/>
        <v>45827</v>
      </c>
      <c r="B862" s="1">
        <f t="shared" si="79"/>
        <v>30.92</v>
      </c>
      <c r="C862" s="1">
        <f t="shared" si="80"/>
        <v>4.1500000000000004</v>
      </c>
      <c r="D862" s="1">
        <f t="shared" si="81"/>
        <v>16.3</v>
      </c>
      <c r="E862" s="1">
        <f t="shared" si="82"/>
        <v>19.8</v>
      </c>
      <c r="F862" s="1">
        <f t="shared" si="83"/>
        <v>25.6</v>
      </c>
      <c r="H862" s="11">
        <v>45827</v>
      </c>
      <c r="I862" s="25">
        <v>30.92</v>
      </c>
      <c r="J862" s="9">
        <v>4.1500000000000004</v>
      </c>
      <c r="K862" s="9">
        <v>16.3</v>
      </c>
      <c r="L862" s="9">
        <v>19.8</v>
      </c>
      <c r="M862" s="9">
        <v>25.6</v>
      </c>
    </row>
    <row r="863" spans="1:13" x14ac:dyDescent="0.4">
      <c r="A863" s="16">
        <f t="shared" si="78"/>
        <v>45834</v>
      </c>
      <c r="B863" s="1">
        <f t="shared" si="79"/>
        <v>36.6</v>
      </c>
      <c r="C863" s="1">
        <f t="shared" si="80"/>
        <v>4.09</v>
      </c>
      <c r="D863" s="1">
        <f t="shared" si="81"/>
        <v>17.2</v>
      </c>
      <c r="E863" s="1">
        <f t="shared" si="82"/>
        <v>18.899999999999999</v>
      </c>
      <c r="F863" s="1">
        <f t="shared" si="83"/>
        <v>25.3</v>
      </c>
      <c r="H863" s="11">
        <v>45834</v>
      </c>
      <c r="I863" s="25">
        <v>36.6</v>
      </c>
      <c r="J863" s="9">
        <v>4.09</v>
      </c>
      <c r="K863" s="9">
        <v>17.2</v>
      </c>
      <c r="L863" s="9">
        <v>18.899999999999999</v>
      </c>
      <c r="M863" s="9">
        <v>25.3</v>
      </c>
    </row>
    <row r="864" spans="1:13" x14ac:dyDescent="0.4">
      <c r="A864" s="16">
        <f t="shared" si="78"/>
        <v>45841</v>
      </c>
      <c r="B864" s="1">
        <f t="shared" si="79"/>
        <v>34.270000000000003</v>
      </c>
      <c r="C864" s="1">
        <f t="shared" si="80"/>
        <v>3.95</v>
      </c>
      <c r="D864" s="1">
        <f t="shared" si="81"/>
        <v>21.7</v>
      </c>
      <c r="E864" s="1">
        <f t="shared" si="82"/>
        <v>22.4</v>
      </c>
      <c r="F864" s="1">
        <f t="shared" si="83"/>
        <v>28.6</v>
      </c>
      <c r="H864" s="11">
        <v>45841</v>
      </c>
      <c r="I864" s="25">
        <v>34.270000000000003</v>
      </c>
      <c r="J864" s="9">
        <v>3.95</v>
      </c>
      <c r="K864" s="9">
        <v>21.7</v>
      </c>
      <c r="L864" s="9">
        <v>22.4</v>
      </c>
      <c r="M864" s="9">
        <v>28.6</v>
      </c>
    </row>
    <row r="865" spans="1:13" x14ac:dyDescent="0.4">
      <c r="A865" s="16">
        <f t="shared" si="78"/>
        <v>45848</v>
      </c>
      <c r="B865" s="1">
        <f t="shared" si="79"/>
        <v>42.62</v>
      </c>
      <c r="C865" s="1">
        <f t="shared" si="80"/>
        <v>3.86</v>
      </c>
      <c r="D865" s="1">
        <f t="shared" si="81"/>
        <v>24.2</v>
      </c>
      <c r="E865" s="1">
        <f t="shared" si="82"/>
        <v>24.7</v>
      </c>
      <c r="F865" s="1">
        <f t="shared" si="83"/>
        <v>29.4</v>
      </c>
      <c r="H865" s="11">
        <v>45848</v>
      </c>
      <c r="I865" s="25">
        <v>42.62</v>
      </c>
      <c r="J865" s="9">
        <v>3.86</v>
      </c>
      <c r="K865" s="9">
        <v>24.2</v>
      </c>
      <c r="L865" s="9">
        <v>24.7</v>
      </c>
      <c r="M865" s="9">
        <v>29.4</v>
      </c>
    </row>
    <row r="866" spans="1:13" x14ac:dyDescent="0.4">
      <c r="A866" s="16">
        <f t="shared" si="78"/>
        <v>45855</v>
      </c>
      <c r="B866" s="1">
        <f t="shared" si="79"/>
        <v>44.6</v>
      </c>
      <c r="C866" s="1">
        <f t="shared" si="80"/>
        <v>3.86</v>
      </c>
      <c r="D866" s="1">
        <f t="shared" si="81"/>
        <v>25.4</v>
      </c>
      <c r="E866" s="1">
        <f t="shared" si="82"/>
        <v>25.6</v>
      </c>
      <c r="F866" s="1">
        <f t="shared" si="83"/>
        <v>30.7</v>
      </c>
      <c r="H866" s="11">
        <v>45855</v>
      </c>
      <c r="I866" s="25">
        <v>44.6</v>
      </c>
      <c r="J866" s="9">
        <v>3.86</v>
      </c>
      <c r="K866" s="9">
        <v>25.4</v>
      </c>
      <c r="L866" s="9">
        <v>25.6</v>
      </c>
      <c r="M866" s="9">
        <v>30.7</v>
      </c>
    </row>
    <row r="867" spans="1:13" x14ac:dyDescent="0.4">
      <c r="A867" s="16">
        <f t="shared" si="78"/>
        <v>45862</v>
      </c>
      <c r="B867" s="1">
        <f t="shared" si="79"/>
        <v>41.67</v>
      </c>
      <c r="C867" s="1">
        <f t="shared" si="80"/>
        <v>3.99</v>
      </c>
      <c r="D867" s="1">
        <f t="shared" si="81"/>
        <v>15.5</v>
      </c>
      <c r="E867" s="1">
        <f t="shared" si="82"/>
        <v>20.3</v>
      </c>
      <c r="F867" s="1">
        <f t="shared" si="83"/>
        <v>28.1</v>
      </c>
      <c r="H867" s="11">
        <v>45862</v>
      </c>
      <c r="I867" s="25">
        <v>41.67</v>
      </c>
      <c r="J867" s="9">
        <v>3.99</v>
      </c>
      <c r="K867" s="9">
        <v>15.5</v>
      </c>
      <c r="L867" s="9">
        <v>20.3</v>
      </c>
      <c r="M867" s="9">
        <v>28.1</v>
      </c>
    </row>
    <row r="868" spans="1:13" x14ac:dyDescent="0.4">
      <c r="A868" s="16">
        <f t="shared" si="78"/>
        <v>45869</v>
      </c>
      <c r="B868" s="1">
        <f t="shared" si="79"/>
        <v>42.48</v>
      </c>
      <c r="C868" s="1">
        <f t="shared" si="80"/>
        <v>3.82</v>
      </c>
      <c r="D868" s="1">
        <f t="shared" si="81"/>
        <v>18.100000000000001</v>
      </c>
      <c r="E868" s="1">
        <f t="shared" si="82"/>
        <v>23.1</v>
      </c>
      <c r="F868" s="1">
        <f t="shared" si="83"/>
        <v>29.6</v>
      </c>
      <c r="H868" s="11">
        <v>45869</v>
      </c>
      <c r="I868" s="25">
        <v>42.48</v>
      </c>
      <c r="J868" s="9">
        <v>3.82</v>
      </c>
      <c r="K868" s="9">
        <v>18.100000000000001</v>
      </c>
      <c r="L868" s="9">
        <v>23.1</v>
      </c>
      <c r="M868" s="9">
        <v>29.6</v>
      </c>
    </row>
    <row r="869" spans="1:13" x14ac:dyDescent="0.4">
      <c r="A869" s="16">
        <f t="shared" si="78"/>
        <v>45876</v>
      </c>
      <c r="B869" s="1">
        <f t="shared" si="79"/>
        <v>51.08</v>
      </c>
      <c r="C869" s="1">
        <f t="shared" si="80"/>
        <v>3.7</v>
      </c>
      <c r="D869" s="1">
        <f t="shared" si="81"/>
        <v>19.7</v>
      </c>
      <c r="E869" s="1">
        <f t="shared" si="82"/>
        <v>25.7</v>
      </c>
      <c r="F869" s="1">
        <f t="shared" si="83"/>
        <v>30</v>
      </c>
      <c r="H869" s="11">
        <v>45876</v>
      </c>
      <c r="I869" s="25">
        <v>51.08</v>
      </c>
      <c r="J869" s="9">
        <v>3.7</v>
      </c>
      <c r="K869" s="9">
        <v>19.7</v>
      </c>
      <c r="L869" s="9">
        <v>25.7</v>
      </c>
      <c r="M869" s="9">
        <v>30</v>
      </c>
    </row>
    <row r="870" spans="1:13" x14ac:dyDescent="0.4">
      <c r="A870" s="16">
        <f t="shared" si="78"/>
        <v>45883</v>
      </c>
      <c r="B870" s="1">
        <f t="shared" si="79"/>
        <v>56.33</v>
      </c>
      <c r="C870" s="1">
        <f t="shared" si="80"/>
        <v>3.66</v>
      </c>
      <c r="D870" s="1">
        <f t="shared" si="81"/>
        <v>16.100000000000001</v>
      </c>
      <c r="E870" s="1">
        <f t="shared" si="82"/>
        <v>23.3</v>
      </c>
      <c r="F870" s="1">
        <f t="shared" si="83"/>
        <v>28.2</v>
      </c>
      <c r="H870" s="11">
        <v>45883</v>
      </c>
      <c r="I870" s="25">
        <v>56.33</v>
      </c>
      <c r="J870" s="9">
        <v>3.66</v>
      </c>
      <c r="K870" s="9">
        <v>16.100000000000001</v>
      </c>
      <c r="L870" s="9">
        <v>23.3</v>
      </c>
      <c r="M870" s="9">
        <v>28.2</v>
      </c>
    </row>
    <row r="871" spans="1:13" x14ac:dyDescent="0.4">
      <c r="A871" s="16">
        <f t="shared" si="78"/>
        <v>45890</v>
      </c>
      <c r="B871" s="1">
        <f t="shared" si="79"/>
        <v>57.26</v>
      </c>
      <c r="C871" s="1">
        <f t="shared" si="80"/>
        <v>3.71</v>
      </c>
      <c r="D871" s="1">
        <f t="shared" si="81"/>
        <v>13.8</v>
      </c>
      <c r="E871" s="1">
        <f t="shared" si="82"/>
        <v>22.7</v>
      </c>
      <c r="F871" s="1">
        <f t="shared" si="83"/>
        <v>27.8</v>
      </c>
      <c r="H871" s="11">
        <v>45890</v>
      </c>
      <c r="I871" s="25">
        <v>57.26</v>
      </c>
      <c r="J871" s="9">
        <v>3.71</v>
      </c>
      <c r="K871" s="9">
        <v>13.8</v>
      </c>
      <c r="L871" s="9">
        <v>22.7</v>
      </c>
      <c r="M871" s="9">
        <v>27.8</v>
      </c>
    </row>
    <row r="872" spans="1:13" x14ac:dyDescent="0.4">
      <c r="A872" s="16">
        <f t="shared" si="78"/>
        <v>45897</v>
      </c>
      <c r="B872" s="1">
        <f t="shared" si="79"/>
        <v>64.48</v>
      </c>
      <c r="C872" s="1">
        <f t="shared" si="80"/>
        <v>3.81</v>
      </c>
      <c r="D872" s="1">
        <f t="shared" si="81"/>
        <v>15.3</v>
      </c>
      <c r="E872" s="1">
        <f t="shared" si="82"/>
        <v>24</v>
      </c>
      <c r="F872" s="1">
        <f t="shared" si="83"/>
        <v>28.6</v>
      </c>
      <c r="H872" s="11">
        <v>45897</v>
      </c>
      <c r="I872" s="25">
        <v>64.48</v>
      </c>
      <c r="J872" s="9">
        <v>3.81</v>
      </c>
      <c r="K872" s="9">
        <v>15.3</v>
      </c>
      <c r="L872" s="9">
        <v>24</v>
      </c>
      <c r="M872" s="9">
        <v>28.6</v>
      </c>
    </row>
    <row r="873" spans="1:13" x14ac:dyDescent="0.4">
      <c r="A873" s="16">
        <f t="shared" si="78"/>
        <v>45904</v>
      </c>
      <c r="B873" s="1">
        <f t="shared" si="79"/>
        <v>70.989999999999995</v>
      </c>
      <c r="C873" s="1">
        <f t="shared" si="80"/>
        <v>3.9</v>
      </c>
      <c r="D873" s="1">
        <f t="shared" si="81"/>
        <v>17.399999999999999</v>
      </c>
      <c r="E873" s="1">
        <f t="shared" si="82"/>
        <v>26.4</v>
      </c>
      <c r="F873" s="1">
        <f t="shared" si="83"/>
        <v>29.7</v>
      </c>
      <c r="H873" s="11">
        <v>45904</v>
      </c>
      <c r="I873" s="25">
        <v>70.989999999999995</v>
      </c>
      <c r="J873" s="9">
        <v>3.9</v>
      </c>
      <c r="K873" s="9">
        <v>17.399999999999999</v>
      </c>
      <c r="L873" s="9">
        <v>26.4</v>
      </c>
      <c r="M873" s="9">
        <v>29.7</v>
      </c>
    </row>
    <row r="874" spans="1:13" x14ac:dyDescent="0.4">
      <c r="A874" s="16">
        <f t="shared" si="78"/>
        <v>45911</v>
      </c>
      <c r="B874" s="1">
        <f t="shared" si="79"/>
        <v>80.81</v>
      </c>
      <c r="C874" s="1">
        <f t="shared" si="80"/>
        <v>3.84</v>
      </c>
      <c r="D874" s="1">
        <f t="shared" si="81"/>
        <v>19.3</v>
      </c>
      <c r="E874" s="1">
        <f t="shared" si="82"/>
        <v>27.6</v>
      </c>
      <c r="F874" s="1">
        <f t="shared" si="83"/>
        <v>31.1</v>
      </c>
      <c r="H874" s="11">
        <v>45911</v>
      </c>
      <c r="I874" s="25">
        <v>80.81</v>
      </c>
      <c r="J874" s="9">
        <v>3.84</v>
      </c>
      <c r="K874" s="9">
        <v>19.3</v>
      </c>
      <c r="L874" s="9">
        <v>27.6</v>
      </c>
      <c r="M874" s="9">
        <v>31.1</v>
      </c>
    </row>
    <row r="875" spans="1:13" x14ac:dyDescent="0.4">
      <c r="A875" s="16">
        <f t="shared" si="78"/>
        <v>45918</v>
      </c>
      <c r="B875" s="1">
        <f t="shared" si="79"/>
        <v>85.18</v>
      </c>
      <c r="C875" s="1">
        <f t="shared" si="80"/>
        <v>3.8</v>
      </c>
      <c r="D875" s="1">
        <f t="shared" si="81"/>
        <v>20.6</v>
      </c>
      <c r="E875" s="1">
        <f t="shared" si="82"/>
        <v>28.8</v>
      </c>
      <c r="F875" s="1">
        <f t="shared" si="83"/>
        <v>31.5</v>
      </c>
      <c r="H875" s="11">
        <v>45918</v>
      </c>
      <c r="I875" s="25">
        <v>85.18</v>
      </c>
      <c r="J875" s="9">
        <v>3.8</v>
      </c>
      <c r="K875" s="9">
        <v>20.6</v>
      </c>
      <c r="L875" s="9">
        <v>28.8</v>
      </c>
      <c r="M875" s="9">
        <v>31.5</v>
      </c>
    </row>
    <row r="876" spans="1:13" x14ac:dyDescent="0.4">
      <c r="A876" s="16">
        <f t="shared" si="78"/>
        <v>45925</v>
      </c>
      <c r="B876" s="1">
        <f t="shared" si="79"/>
        <v>82.4</v>
      </c>
      <c r="C876" s="1">
        <f t="shared" si="80"/>
        <v>3.75</v>
      </c>
      <c r="D876" s="1">
        <f t="shared" si="81"/>
        <v>18.8</v>
      </c>
      <c r="E876" s="1">
        <f t="shared" si="82"/>
        <v>25.7</v>
      </c>
      <c r="F876" s="1">
        <f t="shared" si="83"/>
        <v>29.5</v>
      </c>
      <c r="H876" s="11">
        <v>45925</v>
      </c>
      <c r="I876" s="25">
        <v>82.4</v>
      </c>
      <c r="J876" s="9">
        <v>3.75</v>
      </c>
      <c r="K876" s="9">
        <v>18.8</v>
      </c>
      <c r="L876" s="9">
        <v>25.7</v>
      </c>
      <c r="M876" s="9">
        <v>29.5</v>
      </c>
    </row>
    <row r="877" spans="1:13" x14ac:dyDescent="0.4">
      <c r="A877" s="16">
        <f t="shared" si="78"/>
        <v>45939</v>
      </c>
      <c r="B877" s="1">
        <f t="shared" si="79"/>
        <v>80.8</v>
      </c>
      <c r="C877" s="1">
        <f t="shared" si="80"/>
        <v>4.22</v>
      </c>
      <c r="D877" s="1">
        <f t="shared" si="81"/>
        <v>13.6</v>
      </c>
      <c r="E877" s="1">
        <f t="shared" si="82"/>
        <v>24.1</v>
      </c>
      <c r="F877" s="1">
        <f t="shared" si="83"/>
        <v>28.9</v>
      </c>
      <c r="H877" s="11">
        <v>45939</v>
      </c>
      <c r="I877" s="25">
        <v>80.8</v>
      </c>
      <c r="J877" s="9">
        <v>4.22</v>
      </c>
      <c r="K877" s="9">
        <v>13.6</v>
      </c>
      <c r="L877" s="9">
        <v>24.1</v>
      </c>
      <c r="M877" s="9">
        <v>28.9</v>
      </c>
    </row>
    <row r="878" spans="1:13" x14ac:dyDescent="0.4">
      <c r="A878" s="16">
        <f t="shared" si="78"/>
        <v>45946</v>
      </c>
      <c r="B878" s="1">
        <f t="shared" si="79"/>
        <v>75.69</v>
      </c>
      <c r="C878" s="1">
        <f t="shared" si="80"/>
        <v>4.08</v>
      </c>
      <c r="D878" s="1">
        <f t="shared" si="81"/>
        <v>16.8</v>
      </c>
      <c r="E878" s="1">
        <f t="shared" si="82"/>
        <v>26.1</v>
      </c>
      <c r="F878" s="1">
        <f t="shared" si="83"/>
        <v>31.5</v>
      </c>
      <c r="H878" s="11">
        <v>45946</v>
      </c>
      <c r="I878" s="25">
        <v>75.69</v>
      </c>
      <c r="J878" s="9">
        <v>4.08</v>
      </c>
      <c r="K878" s="9">
        <v>16.8</v>
      </c>
      <c r="L878" s="9">
        <v>26.1</v>
      </c>
      <c r="M878" s="9">
        <v>31.5</v>
      </c>
    </row>
    <row r="879" spans="1:13" x14ac:dyDescent="0.4">
      <c r="A879" s="16">
        <f t="shared" si="78"/>
        <v>45953</v>
      </c>
      <c r="B879" s="1">
        <f t="shared" si="79"/>
        <v>78.709999999999994</v>
      </c>
      <c r="C879" s="1">
        <f t="shared" si="80"/>
        <v>4.07</v>
      </c>
      <c r="D879" s="1">
        <f t="shared" si="81"/>
        <v>11.8</v>
      </c>
      <c r="E879" s="1">
        <f t="shared" si="82"/>
        <v>21.9</v>
      </c>
      <c r="F879" s="1">
        <f t="shared" si="83"/>
        <v>29.5</v>
      </c>
      <c r="H879" s="11">
        <v>45953</v>
      </c>
      <c r="I879" s="25">
        <v>78.709999999999994</v>
      </c>
      <c r="J879" s="9">
        <v>4.07</v>
      </c>
      <c r="K879" s="9">
        <v>11.8</v>
      </c>
      <c r="L879" s="9">
        <v>21.9</v>
      </c>
      <c r="M879" s="9">
        <v>29.5</v>
      </c>
    </row>
    <row r="880" spans="1:13" x14ac:dyDescent="0.4">
      <c r="A880" s="16">
        <f t="shared" si="78"/>
        <v>45960</v>
      </c>
      <c r="B880" s="1">
        <f t="shared" si="79"/>
        <v>78.180000000000007</v>
      </c>
      <c r="C880" s="1">
        <f t="shared" si="80"/>
        <v>4.03</v>
      </c>
      <c r="D880" s="1">
        <f t="shared" si="81"/>
        <v>8.5</v>
      </c>
      <c r="E880" s="1">
        <f t="shared" si="82"/>
        <v>18.3</v>
      </c>
      <c r="F880" s="1">
        <f t="shared" si="83"/>
        <v>24.5</v>
      </c>
      <c r="H880" s="11">
        <v>45960</v>
      </c>
      <c r="I880" s="25">
        <v>78.180000000000007</v>
      </c>
      <c r="J880" s="9">
        <v>4.03</v>
      </c>
      <c r="K880" s="9">
        <v>8.5</v>
      </c>
      <c r="L880" s="9">
        <v>18.3</v>
      </c>
      <c r="M880" s="9">
        <v>24.5</v>
      </c>
    </row>
    <row r="881" spans="1:13" x14ac:dyDescent="0.4">
      <c r="A881" s="16">
        <f t="shared" si="78"/>
        <v>45967</v>
      </c>
      <c r="B881" s="1">
        <f t="shared" si="79"/>
        <v>78.8</v>
      </c>
      <c r="C881" s="1">
        <f t="shared" si="80"/>
        <v>4.09</v>
      </c>
      <c r="D881" s="1">
        <f t="shared" si="81"/>
        <v>11.6</v>
      </c>
      <c r="E881" s="1">
        <f t="shared" si="82"/>
        <v>19.7</v>
      </c>
      <c r="F881" s="1">
        <f t="shared" si="83"/>
        <v>25.6</v>
      </c>
      <c r="H881" s="11">
        <v>45967</v>
      </c>
      <c r="I881" s="25">
        <v>78.8</v>
      </c>
      <c r="J881" s="9">
        <v>4.09</v>
      </c>
      <c r="K881" s="9">
        <v>11.6</v>
      </c>
      <c r="L881" s="9">
        <v>19.7</v>
      </c>
      <c r="M881" s="9">
        <v>25.6</v>
      </c>
    </row>
    <row r="882" spans="1:13" x14ac:dyDescent="0.4">
      <c r="A882" s="16">
        <f t="shared" si="78"/>
        <v>45974</v>
      </c>
      <c r="B882" s="1">
        <f t="shared" si="79"/>
        <v>80.33</v>
      </c>
      <c r="C882" s="1">
        <f t="shared" si="80"/>
        <v>3.97</v>
      </c>
      <c r="D882" s="1">
        <f t="shared" si="81"/>
        <v>12.2</v>
      </c>
      <c r="E882" s="1">
        <f t="shared" si="82"/>
        <v>18.899999999999999</v>
      </c>
      <c r="F882" s="1">
        <f t="shared" si="83"/>
        <v>23.8</v>
      </c>
      <c r="H882" s="11">
        <v>45974</v>
      </c>
      <c r="I882" s="25">
        <v>80.33</v>
      </c>
      <c r="J882" s="9">
        <v>3.97</v>
      </c>
      <c r="K882" s="9">
        <v>12.2</v>
      </c>
      <c r="L882" s="9">
        <v>18.899999999999999</v>
      </c>
      <c r="M882" s="9">
        <v>23.8</v>
      </c>
    </row>
    <row r="883" spans="1:13" x14ac:dyDescent="0.4">
      <c r="A883" s="16">
        <f t="shared" si="78"/>
        <v>45981</v>
      </c>
      <c r="B883" s="1">
        <f t="shared" si="79"/>
        <v>78.760000000000005</v>
      </c>
      <c r="C883" s="1">
        <f t="shared" si="80"/>
        <v>3.81</v>
      </c>
      <c r="D883" s="1">
        <f t="shared" si="81"/>
        <v>14.1</v>
      </c>
      <c r="E883" s="1">
        <f t="shared" si="82"/>
        <v>19.899999999999999</v>
      </c>
      <c r="F883" s="1">
        <f t="shared" si="83"/>
        <v>23.7</v>
      </c>
      <c r="H883" s="11">
        <v>45981</v>
      </c>
      <c r="I883" s="25">
        <v>78.760000000000005</v>
      </c>
      <c r="J883" s="9">
        <v>3.81</v>
      </c>
      <c r="K883" s="9">
        <v>14.1</v>
      </c>
      <c r="L883" s="9">
        <v>19.899999999999999</v>
      </c>
      <c r="M883" s="9">
        <v>23.7</v>
      </c>
    </row>
    <row r="884" spans="1:13" x14ac:dyDescent="0.4">
      <c r="A884" s="16">
        <f t="shared" si="78"/>
        <v>45988</v>
      </c>
      <c r="B884" s="1">
        <f t="shared" si="79"/>
        <v>74.55</v>
      </c>
      <c r="C884" s="1">
        <f t="shared" si="80"/>
        <v>3.78</v>
      </c>
      <c r="D884" s="1">
        <f t="shared" si="81"/>
        <v>14.7</v>
      </c>
      <c r="E884" s="1">
        <f t="shared" si="82"/>
        <v>20.3</v>
      </c>
      <c r="F884" s="1">
        <f t="shared" si="83"/>
        <v>23.4</v>
      </c>
      <c r="H884" s="11">
        <v>45988</v>
      </c>
      <c r="I884" s="25">
        <v>74.55</v>
      </c>
      <c r="J884" s="9">
        <v>3.78</v>
      </c>
      <c r="K884" s="9">
        <v>14.7</v>
      </c>
      <c r="L884" s="9">
        <v>20.3</v>
      </c>
      <c r="M884" s="9">
        <v>23.4</v>
      </c>
    </row>
    <row r="885" spans="1:13" x14ac:dyDescent="0.4">
      <c r="A885" s="16">
        <f t="shared" si="78"/>
        <v>45995</v>
      </c>
      <c r="B885" s="1">
        <f t="shared" si="79"/>
        <v>72.14</v>
      </c>
      <c r="C885" s="1">
        <f t="shared" si="80"/>
        <v>3.92</v>
      </c>
      <c r="D885" s="1">
        <f t="shared" si="81"/>
        <v>16.3</v>
      </c>
      <c r="E885" s="1">
        <f t="shared" si="82"/>
        <v>21.2</v>
      </c>
      <c r="F885" s="1">
        <f t="shared" si="83"/>
        <v>24.3</v>
      </c>
      <c r="H885" s="11">
        <v>45995</v>
      </c>
      <c r="I885" s="25">
        <v>72.14</v>
      </c>
      <c r="J885" s="9">
        <v>3.92</v>
      </c>
      <c r="K885" s="9">
        <v>16.3</v>
      </c>
      <c r="L885" s="9">
        <v>21.2</v>
      </c>
      <c r="M885" s="9">
        <v>24.3</v>
      </c>
    </row>
    <row r="886" spans="1:13" x14ac:dyDescent="0.4">
      <c r="A886" s="16">
        <f t="shared" si="78"/>
        <v>46002</v>
      </c>
      <c r="B886" s="1">
        <f t="shared" si="79"/>
        <v>63.29</v>
      </c>
      <c r="C886" s="1">
        <f t="shared" si="80"/>
        <v>3.86</v>
      </c>
      <c r="D886" s="1">
        <f t="shared" si="81"/>
        <v>16.7</v>
      </c>
      <c r="E886" s="1">
        <f t="shared" si="82"/>
        <v>22.2</v>
      </c>
      <c r="F886" s="1">
        <f t="shared" si="83"/>
        <v>23.9</v>
      </c>
      <c r="H886" s="11">
        <v>46002</v>
      </c>
      <c r="I886" s="25">
        <v>63.29</v>
      </c>
      <c r="J886" s="9">
        <v>3.86</v>
      </c>
      <c r="K886" s="9">
        <v>16.7</v>
      </c>
      <c r="L886" s="9">
        <v>22.2</v>
      </c>
      <c r="M886" s="9">
        <v>23.9</v>
      </c>
    </row>
    <row r="887" spans="1:13" x14ac:dyDescent="0.4">
      <c r="A887" s="16">
        <f t="shared" si="78"/>
        <v>46009</v>
      </c>
      <c r="B887" s="1">
        <f t="shared" si="79"/>
        <v>61.06</v>
      </c>
      <c r="C887" s="1">
        <f t="shared" si="80"/>
        <v>3.76</v>
      </c>
      <c r="D887" s="1">
        <f t="shared" si="81"/>
        <v>19</v>
      </c>
      <c r="E887" s="1">
        <f t="shared" si="82"/>
        <v>24.3</v>
      </c>
      <c r="F887" s="1">
        <f t="shared" si="83"/>
        <v>24.9</v>
      </c>
      <c r="H887" s="11">
        <v>46009</v>
      </c>
      <c r="I887" s="25">
        <v>61.06</v>
      </c>
      <c r="J887" s="9">
        <v>3.76</v>
      </c>
      <c r="K887" s="9">
        <v>19</v>
      </c>
      <c r="L887" s="9">
        <v>24.3</v>
      </c>
      <c r="M887" s="9">
        <v>24.9</v>
      </c>
    </row>
    <row r="888" spans="1:13" x14ac:dyDescent="0.4">
      <c r="A888" s="16">
        <f t="shared" si="78"/>
        <v>46016</v>
      </c>
      <c r="B888" s="1">
        <f t="shared" si="79"/>
        <v>72.95</v>
      </c>
      <c r="C888" s="1">
        <f t="shared" si="80"/>
        <v>3.61</v>
      </c>
      <c r="D888" s="1">
        <f t="shared" si="81"/>
        <v>8.4</v>
      </c>
      <c r="E888" s="1">
        <f t="shared" si="82"/>
        <v>16.100000000000001</v>
      </c>
      <c r="F888" s="1">
        <f t="shared" si="83"/>
        <v>21.9</v>
      </c>
      <c r="H888" s="11">
        <v>46016</v>
      </c>
      <c r="I888" s="25">
        <v>72.95</v>
      </c>
      <c r="J888" s="9">
        <v>3.61</v>
      </c>
      <c r="K888" s="9">
        <v>8.4</v>
      </c>
      <c r="L888" s="9">
        <v>16.100000000000001</v>
      </c>
      <c r="M888" s="9">
        <v>21.9</v>
      </c>
    </row>
    <row r="889" spans="1:13" x14ac:dyDescent="0.4">
      <c r="A889" s="16">
        <f t="shared" si="78"/>
        <v>46023</v>
      </c>
      <c r="B889" s="1">
        <f t="shared" si="79"/>
        <v>75.59</v>
      </c>
      <c r="C889" s="1">
        <f t="shared" si="80"/>
        <v>3.61</v>
      </c>
      <c r="D889" s="1">
        <f t="shared" si="81"/>
        <v>8.4</v>
      </c>
      <c r="E889" s="1">
        <f t="shared" si="82"/>
        <v>16.100000000000001</v>
      </c>
      <c r="F889" s="1">
        <f t="shared" si="83"/>
        <v>21.9</v>
      </c>
      <c r="H889" s="11">
        <v>46023</v>
      </c>
      <c r="I889" s="25">
        <v>75.59</v>
      </c>
      <c r="J889" s="9">
        <v>0</v>
      </c>
      <c r="K889" s="9">
        <v>0</v>
      </c>
      <c r="L889" s="9">
        <v>0</v>
      </c>
      <c r="M889" s="9">
        <v>0</v>
      </c>
    </row>
    <row r="890" spans="1:13" x14ac:dyDescent="0.4">
      <c r="A890" s="16">
        <f t="shared" si="78"/>
        <v>46026</v>
      </c>
      <c r="B890" s="1">
        <f t="shared" si="79"/>
        <v>75.59</v>
      </c>
      <c r="C890" s="1">
        <f t="shared" si="80"/>
        <v>3.65</v>
      </c>
      <c r="D890" s="1">
        <f t="shared" si="81"/>
        <v>10.6</v>
      </c>
      <c r="E890" s="1">
        <f t="shared" si="82"/>
        <v>18.100000000000001</v>
      </c>
      <c r="F890" s="1">
        <f t="shared" si="83"/>
        <v>21.9</v>
      </c>
      <c r="H890" s="11">
        <v>46026</v>
      </c>
      <c r="I890" s="25">
        <v>0</v>
      </c>
      <c r="J890" s="9">
        <v>3.65</v>
      </c>
      <c r="K890" s="9">
        <v>10.6</v>
      </c>
      <c r="L890" s="9">
        <v>18.100000000000001</v>
      </c>
      <c r="M890" s="9">
        <v>0</v>
      </c>
    </row>
    <row r="891" spans="1:13" x14ac:dyDescent="0.4">
      <c r="A891" s="16">
        <f t="shared" si="78"/>
        <v>46030</v>
      </c>
      <c r="B891" s="1">
        <f t="shared" si="79"/>
        <v>74.34</v>
      </c>
      <c r="C891" s="1">
        <f t="shared" si="80"/>
        <v>3.6</v>
      </c>
      <c r="D891" s="1">
        <f t="shared" si="81"/>
        <v>11.7</v>
      </c>
      <c r="E891" s="1">
        <f t="shared" si="82"/>
        <v>19.5</v>
      </c>
      <c r="F891" s="1">
        <f t="shared" si="83"/>
        <v>24.6</v>
      </c>
      <c r="H891" s="11">
        <v>46030</v>
      </c>
      <c r="I891" s="25">
        <v>74.34</v>
      </c>
      <c r="J891" s="9">
        <v>3.6</v>
      </c>
      <c r="K891" s="9">
        <v>11.7</v>
      </c>
      <c r="L891" s="9">
        <v>19.5</v>
      </c>
      <c r="M891" s="9">
        <v>24.6</v>
      </c>
    </row>
    <row r="892" spans="1:13" x14ac:dyDescent="0.4">
      <c r="A892" s="16">
        <f t="shared" si="78"/>
        <v>46037</v>
      </c>
      <c r="B892" s="1">
        <f t="shared" si="79"/>
        <v>64.73</v>
      </c>
      <c r="C892" s="1">
        <f t="shared" si="80"/>
        <v>3.62</v>
      </c>
      <c r="D892" s="1">
        <f t="shared" si="81"/>
        <v>12.8</v>
      </c>
      <c r="E892" s="1">
        <f t="shared" si="82"/>
        <v>17.399999999999999</v>
      </c>
      <c r="F892" s="1">
        <f t="shared" si="83"/>
        <v>23.2</v>
      </c>
      <c r="H892" s="11">
        <v>46037</v>
      </c>
      <c r="I892" s="25">
        <v>64.73</v>
      </c>
      <c r="J892" s="9">
        <v>3.62</v>
      </c>
      <c r="K892" s="9">
        <v>12.8</v>
      </c>
      <c r="L892" s="9">
        <v>17.399999999999999</v>
      </c>
      <c r="M892" s="9">
        <v>23.2</v>
      </c>
    </row>
    <row r="893" spans="1:13" x14ac:dyDescent="0.4">
      <c r="A893" s="16">
        <f t="shared" si="78"/>
        <v>46044</v>
      </c>
      <c r="B893" s="1">
        <f t="shared" si="79"/>
        <v>58.79</v>
      </c>
      <c r="C893" s="1">
        <f t="shared" si="80"/>
        <v>3.62</v>
      </c>
      <c r="D893" s="1">
        <f t="shared" si="81"/>
        <v>13.9</v>
      </c>
      <c r="E893" s="1">
        <f t="shared" si="82"/>
        <v>16.5</v>
      </c>
      <c r="F893" s="1">
        <f t="shared" si="83"/>
        <v>21.2</v>
      </c>
      <c r="H893" s="11">
        <v>46044</v>
      </c>
      <c r="I893" s="25">
        <v>58.79</v>
      </c>
      <c r="J893" s="9">
        <v>3.62</v>
      </c>
      <c r="K893" s="9">
        <v>13.9</v>
      </c>
      <c r="L893" s="9">
        <v>16.5</v>
      </c>
      <c r="M893" s="9">
        <v>21.2</v>
      </c>
    </row>
    <row r="894" spans="1:13" x14ac:dyDescent="0.4">
      <c r="A894" s="16">
        <f t="shared" si="78"/>
        <v>46051</v>
      </c>
      <c r="B894" s="1">
        <f t="shared" si="79"/>
        <v>59.58</v>
      </c>
      <c r="C894" s="1">
        <f t="shared" si="80"/>
        <v>3.58</v>
      </c>
      <c r="D894" s="1">
        <f t="shared" si="81"/>
        <v>14</v>
      </c>
      <c r="E894" s="1">
        <f t="shared" si="82"/>
        <v>15.7</v>
      </c>
      <c r="F894" s="1">
        <f t="shared" si="83"/>
        <v>20</v>
      </c>
      <c r="H894" s="11">
        <v>46051</v>
      </c>
      <c r="I894" s="25">
        <v>59.58</v>
      </c>
      <c r="J894" s="9">
        <v>3.58</v>
      </c>
      <c r="K894" s="9">
        <v>14</v>
      </c>
      <c r="L894" s="9">
        <v>15.7</v>
      </c>
      <c r="M894" s="9">
        <v>20</v>
      </c>
    </row>
    <row r="895" spans="1:13" x14ac:dyDescent="0.4">
      <c r="A895" s="16">
        <f t="shared" si="78"/>
        <v>46058</v>
      </c>
      <c r="B895" s="1">
        <f t="shared" si="79"/>
        <v>56.36</v>
      </c>
      <c r="C895" s="1">
        <f t="shared" si="80"/>
        <v>3.74</v>
      </c>
      <c r="D895" s="1">
        <f t="shared" si="81"/>
        <v>12.7</v>
      </c>
      <c r="E895" s="1">
        <f t="shared" si="82"/>
        <v>15.8</v>
      </c>
      <c r="F895" s="1">
        <f t="shared" si="83"/>
        <v>19.399999999999999</v>
      </c>
      <c r="H895" s="11">
        <v>46058</v>
      </c>
      <c r="I895" s="25">
        <v>56.36</v>
      </c>
      <c r="J895" s="9">
        <v>3.74</v>
      </c>
      <c r="K895" s="9">
        <v>12.7</v>
      </c>
      <c r="L895" s="9">
        <v>15.8</v>
      </c>
      <c r="M895" s="9">
        <v>19.399999999999999</v>
      </c>
    </row>
    <row r="896" spans="1:13" x14ac:dyDescent="0.4">
      <c r="A896" s="16">
        <f t="shared" si="78"/>
        <v>46065</v>
      </c>
      <c r="B896" s="1">
        <f t="shared" si="79"/>
        <v>56.03</v>
      </c>
      <c r="C896" s="1">
        <f t="shared" si="80"/>
        <v>4.01</v>
      </c>
      <c r="D896" s="1">
        <f t="shared" si="81"/>
        <v>11.4</v>
      </c>
      <c r="E896" s="1">
        <f t="shared" si="82"/>
        <v>17.5</v>
      </c>
      <c r="F896" s="1">
        <f t="shared" si="83"/>
        <v>21</v>
      </c>
      <c r="H896" s="11">
        <v>46065</v>
      </c>
      <c r="I896" s="25">
        <v>56.03</v>
      </c>
      <c r="J896" s="9">
        <v>4.01</v>
      </c>
      <c r="K896" s="9">
        <v>11.4</v>
      </c>
      <c r="L896" s="9">
        <v>17.5</v>
      </c>
      <c r="M896" s="9">
        <v>21</v>
      </c>
    </row>
    <row r="897" spans="1:13" x14ac:dyDescent="0.4">
      <c r="A897" s="16">
        <f t="shared" si="78"/>
        <v>46079</v>
      </c>
      <c r="B897" s="1">
        <f t="shared" si="79"/>
        <v>58.19</v>
      </c>
      <c r="C897" s="1">
        <f t="shared" si="80"/>
        <v>5.47</v>
      </c>
      <c r="D897" s="1">
        <f t="shared" si="81"/>
        <v>18.7</v>
      </c>
      <c r="E897" s="1">
        <f t="shared" si="82"/>
        <v>25</v>
      </c>
      <c r="F897" s="1">
        <f t="shared" si="83"/>
        <v>27.6</v>
      </c>
      <c r="H897" s="11">
        <v>46079</v>
      </c>
      <c r="I897" s="25">
        <v>58.19</v>
      </c>
      <c r="J897" s="9">
        <v>5.47</v>
      </c>
      <c r="K897" s="9">
        <v>18.7</v>
      </c>
      <c r="L897" s="9">
        <v>25</v>
      </c>
      <c r="M897" s="9">
        <v>27.6</v>
      </c>
    </row>
    <row r="898" spans="1:13" x14ac:dyDescent="0.4">
      <c r="A898" s="16">
        <f t="shared" si="78"/>
        <v>46086</v>
      </c>
      <c r="B898" s="1">
        <f t="shared" si="79"/>
        <v>62</v>
      </c>
      <c r="C898" s="1">
        <f t="shared" si="80"/>
        <v>6.37</v>
      </c>
      <c r="D898" s="1">
        <f t="shared" si="81"/>
        <v>17.5</v>
      </c>
      <c r="E898" s="1">
        <f t="shared" si="82"/>
        <v>23.7</v>
      </c>
      <c r="F898" s="1">
        <f t="shared" si="83"/>
        <v>25.3</v>
      </c>
      <c r="H898" s="11">
        <v>46086</v>
      </c>
      <c r="I898" s="25">
        <v>62</v>
      </c>
      <c r="J898" s="9">
        <v>6.37</v>
      </c>
      <c r="K898" s="9">
        <v>17.5</v>
      </c>
      <c r="L898" s="9">
        <v>23.7</v>
      </c>
      <c r="M898" s="9">
        <v>25.3</v>
      </c>
    </row>
    <row r="899" spans="1:13" x14ac:dyDescent="0.4">
      <c r="A899" s="16">
        <f t="shared" si="78"/>
        <v>46093</v>
      </c>
      <c r="B899" s="1">
        <f t="shared" si="79"/>
        <v>54.8</v>
      </c>
      <c r="C899" s="1">
        <f t="shared" si="80"/>
        <v>5.94</v>
      </c>
      <c r="D899" s="1">
        <f t="shared" si="81"/>
        <v>23.3</v>
      </c>
      <c r="E899" s="1">
        <f t="shared" si="82"/>
        <v>27.2</v>
      </c>
      <c r="F899" s="1">
        <f t="shared" si="83"/>
        <v>28.2</v>
      </c>
      <c r="H899" s="11">
        <v>46093</v>
      </c>
      <c r="I899" s="25">
        <v>54.8</v>
      </c>
      <c r="J899" s="9">
        <v>5.94</v>
      </c>
      <c r="K899" s="9">
        <v>23.3</v>
      </c>
      <c r="L899" s="9">
        <v>27.2</v>
      </c>
      <c r="M899" s="9">
        <v>28.2</v>
      </c>
    </row>
    <row r="900" spans="1:13" x14ac:dyDescent="0.4">
      <c r="A900" s="16">
        <f t="shared" si="78"/>
        <v>46100</v>
      </c>
      <c r="B900" s="1">
        <f t="shared" si="79"/>
        <v>51.07</v>
      </c>
      <c r="C900" s="1">
        <f t="shared" si="80"/>
        <v>5.92</v>
      </c>
      <c r="D900" s="1">
        <f t="shared" si="81"/>
        <v>26.6</v>
      </c>
      <c r="E900" s="1">
        <f t="shared" si="82"/>
        <v>31.2</v>
      </c>
      <c r="F900" s="1">
        <f t="shared" si="83"/>
        <v>31.7</v>
      </c>
      <c r="H900" s="11">
        <v>46100</v>
      </c>
      <c r="I900" s="25">
        <v>51.07</v>
      </c>
      <c r="J900" s="9">
        <v>5.92</v>
      </c>
      <c r="K900" s="9">
        <v>26.6</v>
      </c>
      <c r="L900" s="9">
        <v>31.2</v>
      </c>
      <c r="M900" s="9">
        <v>31.7</v>
      </c>
    </row>
    <row r="901" spans="1:13" x14ac:dyDescent="0.4">
      <c r="A901" s="16">
        <f t="shared" si="78"/>
        <v>46107</v>
      </c>
      <c r="B901" s="1">
        <f t="shared" si="79"/>
        <v>47.27</v>
      </c>
      <c r="C901" s="1">
        <f t="shared" si="80"/>
        <v>5.85</v>
      </c>
      <c r="D901" s="1">
        <f t="shared" si="81"/>
        <v>24.8</v>
      </c>
      <c r="E901" s="1">
        <f t="shared" si="82"/>
        <v>29.8</v>
      </c>
      <c r="F901" s="1">
        <f t="shared" si="83"/>
        <v>30.8</v>
      </c>
      <c r="H901" s="11">
        <v>46107</v>
      </c>
      <c r="I901" s="25">
        <v>47.27</v>
      </c>
      <c r="J901" s="9">
        <v>5.85</v>
      </c>
      <c r="K901" s="9">
        <v>24.8</v>
      </c>
      <c r="L901" s="9">
        <v>29.8</v>
      </c>
      <c r="M901" s="9">
        <v>30.8</v>
      </c>
    </row>
    <row r="902" spans="1:13" x14ac:dyDescent="0.4">
      <c r="A902" s="16">
        <f t="shared" ref="A902:A910" si="84">H902</f>
        <v>46114</v>
      </c>
      <c r="B902" s="1">
        <f t="shared" ref="B902:B912" si="85">IF(I902&lt;&gt;0,I902,B901)</f>
        <v>45.16</v>
      </c>
      <c r="C902" s="1">
        <f t="shared" si="80"/>
        <v>5.71</v>
      </c>
      <c r="D902" s="1">
        <f t="shared" si="81"/>
        <v>26.2</v>
      </c>
      <c r="E902" s="1">
        <f t="shared" si="82"/>
        <v>31.3</v>
      </c>
      <c r="F902" s="1">
        <f t="shared" si="83"/>
        <v>31.9</v>
      </c>
      <c r="H902" s="11">
        <v>46114</v>
      </c>
      <c r="I902" s="25">
        <v>45.16</v>
      </c>
      <c r="J902" s="9">
        <v>5.71</v>
      </c>
      <c r="K902" s="9">
        <v>26.2</v>
      </c>
      <c r="L902" s="9">
        <v>31.3</v>
      </c>
      <c r="M902" s="9">
        <v>31.9</v>
      </c>
    </row>
    <row r="903" spans="1:13" x14ac:dyDescent="0.4">
      <c r="A903" s="16">
        <f t="shared" si="84"/>
        <v>46121</v>
      </c>
      <c r="B903" s="1">
        <f t="shared" si="85"/>
        <v>48.7</v>
      </c>
      <c r="C903" s="1">
        <f t="shared" ref="C903:C912" si="86">IF(J903&lt;&gt;0,J903,C902)</f>
        <v>5.57</v>
      </c>
      <c r="D903" s="1">
        <f t="shared" ref="D903:D912" si="87">IF(K903&lt;&gt;0,K903,D902)</f>
        <v>26.7</v>
      </c>
      <c r="E903" s="1">
        <f t="shared" ref="E903:E912" si="88">IF(L903&lt;&gt;0,L903,E902)</f>
        <v>30.7</v>
      </c>
      <c r="F903" s="1">
        <f t="shared" ref="F903:F912" si="89">IF(M903&lt;&gt;0,M903,F902)</f>
        <v>30.9</v>
      </c>
      <c r="H903" s="11">
        <v>46121</v>
      </c>
      <c r="I903" s="25">
        <v>48.7</v>
      </c>
      <c r="J903" s="9">
        <v>5.57</v>
      </c>
      <c r="K903" s="9">
        <v>26.7</v>
      </c>
      <c r="L903" s="9">
        <v>30.7</v>
      </c>
      <c r="M903" s="9">
        <v>30.9</v>
      </c>
    </row>
    <row r="904" spans="1:13" x14ac:dyDescent="0.4">
      <c r="A904" s="16">
        <f t="shared" si="84"/>
        <v>46128</v>
      </c>
      <c r="B904" s="1">
        <f t="shared" si="85"/>
        <v>42.5</v>
      </c>
      <c r="C904" s="1">
        <f t="shared" si="86"/>
        <v>5.5</v>
      </c>
      <c r="D904" s="1">
        <f t="shared" si="87"/>
        <v>28.5</v>
      </c>
      <c r="E904" s="1">
        <f t="shared" si="88"/>
        <v>32</v>
      </c>
      <c r="F904" s="1">
        <f t="shared" si="89"/>
        <v>32.299999999999997</v>
      </c>
      <c r="H904" s="11">
        <v>46128</v>
      </c>
      <c r="I904" s="25">
        <v>42.5</v>
      </c>
      <c r="J904" s="9">
        <v>5.5</v>
      </c>
      <c r="K904" s="9">
        <v>28.5</v>
      </c>
      <c r="L904" s="9">
        <v>32</v>
      </c>
      <c r="M904" s="9">
        <v>32.299999999999997</v>
      </c>
    </row>
    <row r="905" spans="1:13" x14ac:dyDescent="0.4">
      <c r="A905" s="16">
        <f t="shared" si="84"/>
        <v>46135</v>
      </c>
      <c r="B905" s="1">
        <f t="shared" si="85"/>
        <v>43.11</v>
      </c>
      <c r="C905" s="1">
        <f t="shared" si="86"/>
        <v>5.49</v>
      </c>
      <c r="D905" s="1">
        <f t="shared" si="87"/>
        <v>28.9</v>
      </c>
      <c r="E905" s="1">
        <f t="shared" si="88"/>
        <v>32.5</v>
      </c>
      <c r="F905" s="1">
        <f t="shared" si="89"/>
        <v>34.200000000000003</v>
      </c>
      <c r="H905" s="11">
        <v>46135</v>
      </c>
      <c r="I905" s="25">
        <v>43.11</v>
      </c>
      <c r="J905" s="9">
        <v>5.49</v>
      </c>
      <c r="K905" s="9">
        <v>28.9</v>
      </c>
      <c r="L905" s="9">
        <v>32.5</v>
      </c>
      <c r="M905" s="9">
        <v>34.200000000000003</v>
      </c>
    </row>
    <row r="906" spans="1:13" x14ac:dyDescent="0.4">
      <c r="A906" s="16">
        <f t="shared" si="84"/>
        <v>46142</v>
      </c>
      <c r="B906" s="1">
        <f t="shared" si="85"/>
        <v>43.94</v>
      </c>
      <c r="C906" s="1">
        <f t="shared" si="86"/>
        <v>5.19</v>
      </c>
      <c r="D906" s="1">
        <f t="shared" si="87"/>
        <v>22.9</v>
      </c>
      <c r="E906" s="1">
        <f t="shared" si="88"/>
        <v>30.2</v>
      </c>
      <c r="F906" s="1">
        <f t="shared" si="89"/>
        <v>33.4</v>
      </c>
      <c r="H906" s="11">
        <v>46142</v>
      </c>
      <c r="I906" s="25">
        <v>43.94</v>
      </c>
      <c r="J906" s="9">
        <v>5.19</v>
      </c>
      <c r="K906" s="9">
        <v>22.9</v>
      </c>
      <c r="L906" s="9">
        <v>30.2</v>
      </c>
      <c r="M906" s="9">
        <v>33.4</v>
      </c>
    </row>
    <row r="907" spans="1:13" x14ac:dyDescent="0.4">
      <c r="A907" s="16">
        <f t="shared" si="84"/>
        <v>46149</v>
      </c>
      <c r="B907" s="1">
        <f t="shared" si="85"/>
        <v>52.12</v>
      </c>
      <c r="C907" s="1">
        <f t="shared" si="86"/>
        <v>5.01</v>
      </c>
      <c r="D907" s="1">
        <f t="shared" si="87"/>
        <v>27.5</v>
      </c>
      <c r="E907" s="1">
        <f t="shared" si="88"/>
        <v>33.200000000000003</v>
      </c>
      <c r="F907" s="1">
        <f t="shared" si="89"/>
        <v>36.299999999999997</v>
      </c>
      <c r="H907" s="11">
        <v>46149</v>
      </c>
      <c r="I907" s="25">
        <v>52.12</v>
      </c>
      <c r="J907" s="9">
        <v>5.01</v>
      </c>
      <c r="K907" s="9">
        <v>27.5</v>
      </c>
      <c r="L907" s="9">
        <v>33.200000000000003</v>
      </c>
      <c r="M907" s="9">
        <v>36.299999999999997</v>
      </c>
    </row>
    <row r="908" spans="1:13" x14ac:dyDescent="0.4">
      <c r="A908" s="16">
        <f t="shared" si="84"/>
        <v>46156</v>
      </c>
      <c r="B908" s="1">
        <f t="shared" si="85"/>
        <v>45.61</v>
      </c>
      <c r="C908" s="1">
        <f t="shared" si="86"/>
        <v>4.9000000000000004</v>
      </c>
      <c r="D908" s="1">
        <f t="shared" si="87"/>
        <v>29.6</v>
      </c>
      <c r="E908" s="1">
        <f t="shared" si="88"/>
        <v>32.799999999999997</v>
      </c>
      <c r="F908" s="1">
        <f t="shared" si="89"/>
        <v>38.1</v>
      </c>
      <c r="H908" s="11">
        <v>46156</v>
      </c>
      <c r="I908" s="25">
        <v>45.61</v>
      </c>
      <c r="J908" s="9">
        <v>4.9000000000000004</v>
      </c>
      <c r="K908" s="9">
        <v>29.6</v>
      </c>
      <c r="L908" s="9">
        <v>32.799999999999997</v>
      </c>
      <c r="M908" s="9">
        <v>38.1</v>
      </c>
    </row>
    <row r="909" spans="1:13" x14ac:dyDescent="0.4">
      <c r="A909" s="16">
        <f t="shared" si="84"/>
        <v>46163</v>
      </c>
      <c r="B909" s="1">
        <f t="shared" si="85"/>
        <v>40.26</v>
      </c>
      <c r="C909" s="1">
        <f t="shared" si="86"/>
        <v>4.8600000000000003</v>
      </c>
      <c r="D909" s="1">
        <f t="shared" si="87"/>
        <v>28.9</v>
      </c>
      <c r="E909" s="1">
        <f t="shared" si="88"/>
        <v>32</v>
      </c>
      <c r="F909" s="1">
        <f t="shared" si="89"/>
        <v>39</v>
      </c>
      <c r="H909" s="11">
        <v>46163</v>
      </c>
      <c r="I909" s="25">
        <v>40.26</v>
      </c>
      <c r="J909" s="9">
        <v>4.8600000000000003</v>
      </c>
      <c r="K909" s="9">
        <v>28.9</v>
      </c>
      <c r="L909" s="9">
        <v>32</v>
      </c>
      <c r="M909" s="9">
        <v>39</v>
      </c>
    </row>
    <row r="910" spans="1:13" x14ac:dyDescent="0.4">
      <c r="A910" s="16">
        <f t="shared" si="84"/>
        <v>46170</v>
      </c>
      <c r="B910" s="1">
        <f t="shared" si="85"/>
        <v>34.96</v>
      </c>
      <c r="C910" s="1">
        <f t="shared" si="86"/>
        <v>4.7</v>
      </c>
      <c r="D910" s="1">
        <f t="shared" si="87"/>
        <v>30.2</v>
      </c>
      <c r="E910" s="1">
        <f t="shared" si="88"/>
        <v>31.9</v>
      </c>
      <c r="F910" s="1">
        <f t="shared" si="89"/>
        <v>38.9</v>
      </c>
      <c r="H910" s="11">
        <v>46170</v>
      </c>
      <c r="I910" s="25">
        <v>34.96</v>
      </c>
      <c r="J910" s="9">
        <v>4.7</v>
      </c>
      <c r="K910" s="9">
        <v>30.2</v>
      </c>
      <c r="L910" s="9">
        <v>31.9</v>
      </c>
      <c r="M910" s="9">
        <v>38.9</v>
      </c>
    </row>
    <row r="911" spans="1:13" x14ac:dyDescent="0.4">
      <c r="A911" s="16">
        <f t="shared" ref="A911:A913" si="90">H911</f>
        <v>46177</v>
      </c>
      <c r="B911" s="1">
        <f t="shared" si="85"/>
        <v>31.98</v>
      </c>
      <c r="C911" s="1">
        <f t="shared" si="86"/>
        <v>4.67</v>
      </c>
      <c r="D911" s="1">
        <f t="shared" si="87"/>
        <v>29.9</v>
      </c>
      <c r="E911" s="1">
        <f t="shared" si="88"/>
        <v>31.2</v>
      </c>
      <c r="F911" s="1">
        <f t="shared" si="89"/>
        <v>39.200000000000003</v>
      </c>
      <c r="H911" s="11">
        <v>46177</v>
      </c>
      <c r="I911" s="25">
        <v>31.98</v>
      </c>
      <c r="J911" s="9">
        <v>4.67</v>
      </c>
      <c r="K911" s="9">
        <v>29.9</v>
      </c>
      <c r="L911" s="9">
        <v>31.2</v>
      </c>
      <c r="M911" s="9">
        <v>39.200000000000003</v>
      </c>
    </row>
    <row r="912" spans="1:13" x14ac:dyDescent="0.4">
      <c r="A912" s="16">
        <f t="shared" si="90"/>
        <v>46184</v>
      </c>
      <c r="B912" s="1">
        <f t="shared" si="85"/>
        <v>31.05</v>
      </c>
      <c r="C912" s="1">
        <f t="shared" si="86"/>
        <v>4.54</v>
      </c>
      <c r="D912" s="1">
        <f t="shared" si="87"/>
        <v>24.3</v>
      </c>
      <c r="E912" s="1">
        <f t="shared" si="88"/>
        <v>28.1</v>
      </c>
      <c r="F912" s="1">
        <f t="shared" si="89"/>
        <v>34.700000000000003</v>
      </c>
      <c r="H912" s="11">
        <v>46184</v>
      </c>
      <c r="I912" s="25">
        <v>31.05</v>
      </c>
      <c r="J912" s="9">
        <v>4.54</v>
      </c>
      <c r="K912" s="9">
        <v>24.3</v>
      </c>
      <c r="L912" s="9">
        <v>28.1</v>
      </c>
      <c r="M912" s="9">
        <v>34.700000000000003</v>
      </c>
    </row>
    <row r="913" spans="1:13" x14ac:dyDescent="0.4">
      <c r="A913" s="16">
        <f t="shared" si="90"/>
        <v>46191</v>
      </c>
      <c r="B913" s="1">
        <f t="shared" ref="B913:B914" si="91">IF(I913&lt;&gt;0,I913,B912)</f>
        <v>26.25</v>
      </c>
      <c r="C913" s="1">
        <f t="shared" ref="C913:C914" si="92">IF(J913&lt;&gt;0,J913,C912)</f>
        <v>4.5199999999999996</v>
      </c>
      <c r="D913" s="1">
        <f t="shared" ref="D913:D914" si="93">IF(K913&lt;&gt;0,K913,D912)</f>
        <v>26.5</v>
      </c>
      <c r="E913" s="1">
        <f t="shared" ref="E913:E914" si="94">IF(L913&lt;&gt;0,L913,E912)</f>
        <v>30.7</v>
      </c>
      <c r="F913" s="1">
        <f t="shared" ref="F913:F914" si="95">IF(M913&lt;&gt;0,M913,F912)</f>
        <v>38.299999999999997</v>
      </c>
      <c r="H913" s="11">
        <v>46191</v>
      </c>
      <c r="I913" s="25">
        <v>26.25</v>
      </c>
      <c r="J913" s="9">
        <v>4.5199999999999996</v>
      </c>
      <c r="K913" s="9">
        <v>26.5</v>
      </c>
      <c r="L913" s="9">
        <v>30.7</v>
      </c>
      <c r="M913" s="9">
        <v>38.299999999999997</v>
      </c>
    </row>
    <row r="914" spans="1:13" x14ac:dyDescent="0.4">
      <c r="A914" s="16">
        <f t="shared" ref="A914" si="96">H914</f>
        <v>46198</v>
      </c>
      <c r="B914" s="1">
        <f t="shared" si="91"/>
        <v>21.11</v>
      </c>
      <c r="C914" s="1">
        <f t="shared" si="92"/>
        <v>4.82</v>
      </c>
      <c r="D914" s="1">
        <f t="shared" si="93"/>
        <v>30</v>
      </c>
      <c r="E914" s="1">
        <f t="shared" si="94"/>
        <v>35.700000000000003</v>
      </c>
      <c r="F914" s="1">
        <f t="shared" si="95"/>
        <v>41.8</v>
      </c>
      <c r="H914" s="11">
        <v>46198</v>
      </c>
      <c r="I914" s="25">
        <v>21.11</v>
      </c>
      <c r="J914" s="9">
        <v>4.82</v>
      </c>
      <c r="K914" s="9">
        <v>30</v>
      </c>
      <c r="L914" s="9">
        <v>35.700000000000003</v>
      </c>
      <c r="M914" s="9">
        <v>41.8</v>
      </c>
    </row>
    <row r="915" spans="1:13" x14ac:dyDescent="0.4">
      <c r="A915" s="16">
        <f t="shared" ref="A915:A916" si="97">H915</f>
        <v>46205</v>
      </c>
      <c r="B915" s="1">
        <f t="shared" ref="B915:B916" si="98">IF(I915&lt;&gt;0,I915,B914)</f>
        <v>23.21</v>
      </c>
      <c r="C915" s="1">
        <f t="shared" ref="C915:C916" si="99">IF(J915&lt;&gt;0,J915,C914)</f>
        <v>4.93</v>
      </c>
      <c r="D915" s="1">
        <f t="shared" ref="D915:D916" si="100">IF(K915&lt;&gt;0,K915,D914)</f>
        <v>31.5</v>
      </c>
      <c r="E915" s="1">
        <f t="shared" ref="E915:E916" si="101">IF(L915&lt;&gt;0,L915,E914)</f>
        <v>36.4</v>
      </c>
      <c r="F915" s="1">
        <f t="shared" ref="F915:F916" si="102">IF(M915&lt;&gt;0,M915,F914)</f>
        <v>41.6</v>
      </c>
      <c r="H915" s="11">
        <v>46205</v>
      </c>
      <c r="I915" s="25">
        <v>23.21</v>
      </c>
      <c r="J915" s="9">
        <v>4.93</v>
      </c>
      <c r="K915" s="9">
        <v>31.5</v>
      </c>
      <c r="L915" s="9">
        <v>36.4</v>
      </c>
      <c r="M915" s="9">
        <v>41.6</v>
      </c>
    </row>
    <row r="916" spans="1:13" x14ac:dyDescent="0.4">
      <c r="A916" s="16">
        <f t="shared" si="97"/>
        <v>46212</v>
      </c>
      <c r="B916" s="1">
        <f t="shared" si="98"/>
        <v>19.940000000000001</v>
      </c>
      <c r="C916" s="1">
        <f t="shared" si="99"/>
        <v>4.75</v>
      </c>
      <c r="D916" s="1">
        <f t="shared" si="100"/>
        <v>26.4</v>
      </c>
      <c r="E916" s="1">
        <f t="shared" si="101"/>
        <v>32.5</v>
      </c>
      <c r="F916" s="1">
        <f t="shared" si="102"/>
        <v>37.299999999999997</v>
      </c>
      <c r="H916" s="11">
        <v>46212</v>
      </c>
      <c r="I916" s="25">
        <v>19.940000000000001</v>
      </c>
      <c r="J916" s="9">
        <v>4.75</v>
      </c>
      <c r="K916" s="9">
        <v>26.4</v>
      </c>
      <c r="L916" s="9">
        <v>32.5</v>
      </c>
      <c r="M916" s="9">
        <v>37.299999999999997</v>
      </c>
    </row>
    <row r="917" spans="1:13" x14ac:dyDescent="0.4">
      <c r="A917" s="16">
        <f t="shared" ref="A917" si="103">H917</f>
        <v>46219</v>
      </c>
      <c r="B917" s="1">
        <f t="shared" ref="B917" si="104">IF(I917&lt;&gt;0,I917,B916)</f>
        <v>18.100000000000001</v>
      </c>
      <c r="C917" s="1">
        <f t="shared" ref="C917" si="105">IF(J917&lt;&gt;0,J917,C916)</f>
        <v>4.03</v>
      </c>
      <c r="D917" s="1">
        <f t="shared" ref="D917" si="106">IF(K917&lt;&gt;0,K917,D916)</f>
        <v>25.9</v>
      </c>
      <c r="E917" s="1">
        <f t="shared" ref="E917" si="107">IF(L917&lt;&gt;0,L917,E916)</f>
        <v>30.3</v>
      </c>
      <c r="F917" s="1">
        <f t="shared" ref="F917" si="108">IF(M917&lt;&gt;0,M917,F916)</f>
        <v>33</v>
      </c>
      <c r="H917" s="11">
        <v>46219</v>
      </c>
      <c r="I917" s="25">
        <v>18.100000000000001</v>
      </c>
      <c r="J917" s="9">
        <v>4.03</v>
      </c>
      <c r="K917" s="9">
        <v>25.9</v>
      </c>
      <c r="L917" s="9">
        <v>30.3</v>
      </c>
      <c r="M917" s="9">
        <v>33</v>
      </c>
    </row>
    <row r="918" spans="1:13" x14ac:dyDescent="0.4">
      <c r="A918" s="16">
        <f t="shared" ref="A918" si="109">H918</f>
        <v>46226</v>
      </c>
      <c r="B918" s="1">
        <f t="shared" ref="B918" si="110">IF(I918&lt;&gt;0,I918,B917)</f>
        <v>23.86</v>
      </c>
      <c r="C918" s="1">
        <f t="shared" ref="C918" si="111">IF(J918&lt;&gt;0,J918,C917)</f>
        <v>3.72</v>
      </c>
      <c r="D918" s="1">
        <f t="shared" ref="D918" si="112">IF(K918&lt;&gt;0,K918,D917)</f>
        <v>25</v>
      </c>
      <c r="E918" s="1">
        <f t="shared" ref="E918" si="113">IF(L918&lt;&gt;0,L918,E917)</f>
        <v>29.2</v>
      </c>
      <c r="F918" s="1">
        <f t="shared" ref="F918" si="114">IF(M918&lt;&gt;0,M918,F917)</f>
        <v>30.8</v>
      </c>
      <c r="H918" s="11">
        <v>46226</v>
      </c>
      <c r="I918" s="25">
        <v>23.86</v>
      </c>
      <c r="J918" s="9">
        <v>3.72</v>
      </c>
      <c r="K918" s="9">
        <v>25</v>
      </c>
      <c r="L918" s="9">
        <v>29.2</v>
      </c>
      <c r="M918" s="9">
        <v>30.8</v>
      </c>
    </row>
    <row r="919" spans="1:13" x14ac:dyDescent="0.4">
      <c r="A919" s="16">
        <f t="shared" ref="A919" si="115">H919</f>
        <v>46233</v>
      </c>
      <c r="B919" s="1">
        <f t="shared" ref="B919" si="116">IF(I919&lt;&gt;0,I919,B918)</f>
        <v>37.83</v>
      </c>
      <c r="C919" s="1">
        <f t="shared" ref="C919" si="117">IF(J919&lt;&gt;0,J919,C918)</f>
        <v>3.23</v>
      </c>
      <c r="D919" s="1">
        <f t="shared" ref="D919" si="118">IF(K919&lt;&gt;0,K919,D918)</f>
        <v>26.5</v>
      </c>
      <c r="E919" s="1">
        <f t="shared" ref="E919" si="119">IF(L919&lt;&gt;0,L919,E918)</f>
        <v>30.4</v>
      </c>
      <c r="F919" s="1">
        <f t="shared" ref="F919" si="120">IF(M919&lt;&gt;0,M919,F918)</f>
        <v>30.6</v>
      </c>
      <c r="H919" s="11">
        <v>46233</v>
      </c>
      <c r="I919" s="25">
        <v>37.83</v>
      </c>
      <c r="J919" s="9">
        <v>3.23</v>
      </c>
      <c r="K919" s="9">
        <v>26.5</v>
      </c>
      <c r="L919" s="9">
        <v>30.4</v>
      </c>
      <c r="M919" s="9">
        <v>30.6</v>
      </c>
    </row>
    <row r="920" spans="1:13" x14ac:dyDescent="0.4">
      <c r="A920" s="16">
        <f t="shared" ref="A920:A921" si="121">H920</f>
        <v>46240</v>
      </c>
      <c r="B920" s="1">
        <f t="shared" ref="B920:B921" si="122">IF(I920&lt;&gt;0,I920,B919)</f>
        <v>39.83</v>
      </c>
      <c r="C920" s="1">
        <f t="shared" ref="C920:C921" si="123">IF(J920&lt;&gt;0,J920,C919)</f>
        <v>3.09</v>
      </c>
      <c r="D920" s="1">
        <f t="shared" ref="D920:D921" si="124">IF(K920&lt;&gt;0,K920,D919)</f>
        <v>26.7</v>
      </c>
      <c r="E920" s="1">
        <f t="shared" ref="E920:E921" si="125">IF(L920&lt;&gt;0,L920,E919)</f>
        <v>32</v>
      </c>
      <c r="F920" s="1">
        <f t="shared" ref="F920:F921" si="126">IF(M920&lt;&gt;0,M920,F919)</f>
        <v>33.799999999999997</v>
      </c>
      <c r="H920" s="11">
        <v>46240</v>
      </c>
      <c r="I920" s="25">
        <v>39.83</v>
      </c>
      <c r="J920" s="9">
        <v>3.09</v>
      </c>
      <c r="K920" s="9">
        <v>26.7</v>
      </c>
      <c r="L920" s="9">
        <v>32</v>
      </c>
      <c r="M920" s="9">
        <v>33.799999999999997</v>
      </c>
    </row>
    <row r="921" spans="1:13" x14ac:dyDescent="0.4">
      <c r="A921" s="16">
        <f t="shared" si="121"/>
        <v>46247</v>
      </c>
      <c r="B921" s="1">
        <f t="shared" si="122"/>
        <v>35.53</v>
      </c>
      <c r="C921" s="1">
        <f t="shared" si="123"/>
        <v>2.95</v>
      </c>
      <c r="D921" s="1">
        <f t="shared" si="124"/>
        <v>24.9</v>
      </c>
      <c r="E921" s="1">
        <f t="shared" si="125"/>
        <v>29.9</v>
      </c>
      <c r="F921" s="1">
        <f t="shared" si="126"/>
        <v>32.700000000000003</v>
      </c>
      <c r="H921" s="11">
        <v>46247</v>
      </c>
      <c r="I921" s="25">
        <v>35.53</v>
      </c>
      <c r="J921" s="9">
        <v>2.95</v>
      </c>
      <c r="K921" s="9">
        <v>24.9</v>
      </c>
      <c r="L921" s="9">
        <v>29.9</v>
      </c>
      <c r="M921" s="9">
        <v>32.700000000000003</v>
      </c>
    </row>
    <row r="922" spans="1:13" x14ac:dyDescent="0.4">
      <c r="A922" s="16">
        <f t="shared" ref="A922:A924" si="127">H922</f>
        <v>46254</v>
      </c>
      <c r="B922" s="1">
        <f t="shared" ref="B922:B924" si="128">IF(I922&lt;&gt;0,I922,B921)</f>
        <v>38.270000000000003</v>
      </c>
      <c r="C922" s="1">
        <f t="shared" ref="C922:C924" si="129">IF(J922&lt;&gt;0,J922,C921)</f>
        <v>2.79</v>
      </c>
      <c r="D922" s="1">
        <f t="shared" ref="D922:D924" si="130">IF(K922&lt;&gt;0,K922,D921)</f>
        <v>13</v>
      </c>
      <c r="E922" s="1">
        <f t="shared" ref="E922:E924" si="131">IF(L922&lt;&gt;0,L922,E921)</f>
        <v>18.8</v>
      </c>
      <c r="F922" s="1">
        <f t="shared" ref="F922:F924" si="132">IF(M922&lt;&gt;0,M922,F921)</f>
        <v>20.6</v>
      </c>
      <c r="H922" s="11">
        <v>46254</v>
      </c>
      <c r="I922" s="25">
        <v>38.270000000000003</v>
      </c>
      <c r="J922" s="9">
        <v>2.79</v>
      </c>
      <c r="K922" s="9">
        <v>13</v>
      </c>
      <c r="L922" s="9">
        <v>18.8</v>
      </c>
      <c r="M922" s="9">
        <v>20.6</v>
      </c>
    </row>
    <row r="923" spans="1:13" x14ac:dyDescent="0.4">
      <c r="A923" s="16">
        <f t="shared" si="127"/>
        <v>46261</v>
      </c>
      <c r="B923" s="1">
        <f t="shared" si="128"/>
        <v>38.14</v>
      </c>
      <c r="C923" s="1">
        <f t="shared" si="129"/>
        <v>2.42</v>
      </c>
      <c r="D923" s="1">
        <f t="shared" si="130"/>
        <v>15.1</v>
      </c>
      <c r="E923" s="1">
        <f t="shared" si="131"/>
        <v>20.3</v>
      </c>
      <c r="F923" s="1">
        <f t="shared" si="132"/>
        <v>22.4</v>
      </c>
      <c r="H923" s="11">
        <v>46261</v>
      </c>
      <c r="I923" s="25">
        <v>38.14</v>
      </c>
      <c r="J923" s="9">
        <v>2.42</v>
      </c>
      <c r="K923" s="9">
        <v>15.1</v>
      </c>
      <c r="L923" s="9">
        <v>20.3</v>
      </c>
      <c r="M923" s="9">
        <v>22.4</v>
      </c>
    </row>
    <row r="924" spans="1:13" x14ac:dyDescent="0.4">
      <c r="A924" s="16">
        <f t="shared" si="127"/>
        <v>46268</v>
      </c>
      <c r="B924" s="1">
        <f t="shared" si="128"/>
        <v>34.47</v>
      </c>
      <c r="C924" s="1">
        <f t="shared" si="129"/>
        <v>2.34</v>
      </c>
      <c r="D924" s="1">
        <f t="shared" si="130"/>
        <v>16.899999999999999</v>
      </c>
      <c r="E924" s="1">
        <f t="shared" si="131"/>
        <v>21</v>
      </c>
      <c r="F924" s="1">
        <f t="shared" si="132"/>
        <v>23.2</v>
      </c>
      <c r="H924" s="11">
        <v>46268</v>
      </c>
      <c r="I924" s="25">
        <v>34.47</v>
      </c>
      <c r="J924" s="9">
        <v>2.34</v>
      </c>
      <c r="K924" s="9">
        <v>16.899999999999999</v>
      </c>
      <c r="L924" s="9">
        <v>21</v>
      </c>
      <c r="M924" s="9">
        <v>23.2</v>
      </c>
    </row>
    <row r="925" spans="1:13" x14ac:dyDescent="0.4">
      <c r="A925" s="16">
        <f t="shared" ref="A925:A927" si="133">H925</f>
        <v>46275</v>
      </c>
      <c r="B925" s="1">
        <f t="shared" ref="B925:B927" si="134">IF(I925&lt;&gt;0,I925,B924)</f>
        <v>32.880000000000003</v>
      </c>
      <c r="C925" s="1">
        <f t="shared" ref="C925:C927" si="135">IF(J925&lt;&gt;0,J925,C924)</f>
        <v>2.2000000000000002</v>
      </c>
      <c r="D925" s="1">
        <f t="shared" ref="D925:D927" si="136">IF(K925&lt;&gt;0,K925,D924)</f>
        <v>15.7</v>
      </c>
      <c r="E925" s="1">
        <f t="shared" ref="E925:E927" si="137">IF(L925&lt;&gt;0,L925,E924)</f>
        <v>19.5</v>
      </c>
      <c r="F925" s="1">
        <f t="shared" ref="F925:F927" si="138">IF(M925&lt;&gt;0,M925,F924)</f>
        <v>20.6</v>
      </c>
      <c r="H925" s="11">
        <v>46275</v>
      </c>
      <c r="I925" s="25">
        <v>32.880000000000003</v>
      </c>
      <c r="J925" s="9">
        <v>2.2000000000000002</v>
      </c>
      <c r="K925" s="9">
        <v>15.7</v>
      </c>
      <c r="L925" s="9">
        <v>19.5</v>
      </c>
      <c r="M925" s="9">
        <v>20.6</v>
      </c>
    </row>
    <row r="926" spans="1:13" x14ac:dyDescent="0.4">
      <c r="A926" s="16">
        <f t="shared" si="133"/>
        <v>46282</v>
      </c>
      <c r="B926" s="1">
        <f t="shared" si="134"/>
        <v>27.94</v>
      </c>
      <c r="C926" s="1">
        <f t="shared" si="135"/>
        <v>2.1</v>
      </c>
      <c r="D926" s="1">
        <f t="shared" si="136"/>
        <v>17.899999999999999</v>
      </c>
      <c r="E926" s="1">
        <f t="shared" si="137"/>
        <v>21.3</v>
      </c>
      <c r="F926" s="1">
        <f t="shared" si="138"/>
        <v>21.7</v>
      </c>
      <c r="H926" s="11">
        <v>46282</v>
      </c>
      <c r="I926" s="25">
        <v>27.94</v>
      </c>
      <c r="J926" s="9">
        <v>2.1</v>
      </c>
      <c r="K926" s="9">
        <v>17.899999999999999</v>
      </c>
      <c r="L926" s="9">
        <v>21.3</v>
      </c>
      <c r="M926" s="9">
        <v>21.7</v>
      </c>
    </row>
    <row r="927" spans="1:13" x14ac:dyDescent="0.4">
      <c r="A927" s="16">
        <f t="shared" si="133"/>
        <v>46289</v>
      </c>
      <c r="B927" s="1">
        <f t="shared" si="134"/>
        <v>27.59</v>
      </c>
      <c r="C927" s="1">
        <f t="shared" si="135"/>
        <v>2.1</v>
      </c>
      <c r="D927" s="1">
        <f t="shared" si="136"/>
        <v>20.100000000000001</v>
      </c>
      <c r="E927" s="1">
        <f t="shared" si="137"/>
        <v>24.6</v>
      </c>
      <c r="F927" s="1">
        <f t="shared" si="138"/>
        <v>25.3</v>
      </c>
      <c r="H927" s="11">
        <v>46289</v>
      </c>
      <c r="I927" s="25">
        <v>27.59</v>
      </c>
      <c r="J927" s="9">
        <v>0</v>
      </c>
      <c r="K927" s="9">
        <v>20.100000000000001</v>
      </c>
      <c r="L927" s="9">
        <v>24.6</v>
      </c>
      <c r="M927" s="9">
        <v>25.3</v>
      </c>
    </row>
    <row r="928" spans="1:13" x14ac:dyDescent="0.4">
      <c r="H928" s="11"/>
      <c r="I928" s="25"/>
      <c r="J928" s="9"/>
      <c r="K928" s="9"/>
      <c r="L928" s="9"/>
      <c r="M928" s="9"/>
    </row>
    <row r="929" spans="8:13" x14ac:dyDescent="0.4">
      <c r="H929" s="11"/>
      <c r="I929" s="25"/>
      <c r="J929" s="9"/>
      <c r="K929" s="9"/>
      <c r="L929" s="9"/>
      <c r="M929" s="9"/>
    </row>
    <row r="930" spans="8:13" x14ac:dyDescent="0.4">
      <c r="H930" s="11"/>
      <c r="I930" s="25"/>
      <c r="J930" s="9"/>
      <c r="K930" s="9"/>
      <c r="L930" s="9"/>
      <c r="M930" s="9"/>
    </row>
    <row r="931" spans="8:13" x14ac:dyDescent="0.4">
      <c r="H931" s="11"/>
      <c r="I931" s="25"/>
      <c r="J931" s="9"/>
      <c r="K931" s="9"/>
      <c r="L931" s="9"/>
      <c r="M931" s="9"/>
    </row>
    <row r="932" spans="8:13" x14ac:dyDescent="0.4">
      <c r="H932" s="11"/>
      <c r="I932" s="25"/>
      <c r="J932" s="9"/>
      <c r="K932" s="9"/>
      <c r="L932" s="9"/>
      <c r="M932" s="9"/>
    </row>
    <row r="933" spans="8:13" x14ac:dyDescent="0.4">
      <c r="H933" s="11"/>
      <c r="I933" s="25"/>
      <c r="J933" s="9"/>
      <c r="K933" s="9"/>
      <c r="L933" s="9"/>
      <c r="M933" s="9"/>
    </row>
    <row r="934" spans="8:13" x14ac:dyDescent="0.4">
      <c r="H934" s="11"/>
      <c r="I934" s="25"/>
      <c r="J934" s="9"/>
      <c r="K934" s="9"/>
      <c r="L934" s="9"/>
      <c r="M934" s="9"/>
    </row>
    <row r="935" spans="8:13" x14ac:dyDescent="0.4">
      <c r="H935" s="11"/>
      <c r="I935" s="25"/>
      <c r="J935" s="9"/>
      <c r="K935" s="9"/>
      <c r="L935" s="9"/>
      <c r="M935" s="9"/>
    </row>
    <row r="936" spans="8:13" x14ac:dyDescent="0.4">
      <c r="H936" s="11"/>
      <c r="I936" s="25"/>
      <c r="J936" s="9"/>
      <c r="K936" s="9"/>
      <c r="L936" s="9"/>
      <c r="M936" s="9"/>
    </row>
    <row r="937" spans="8:13" x14ac:dyDescent="0.4">
      <c r="H937" s="11"/>
      <c r="I937" s="25"/>
      <c r="J937" s="9"/>
      <c r="K937" s="9"/>
      <c r="L937" s="9"/>
      <c r="M937" s="9"/>
    </row>
    <row r="938" spans="8:13" x14ac:dyDescent="0.4">
      <c r="H938" s="11"/>
      <c r="I938" s="25"/>
      <c r="J938" s="9"/>
      <c r="K938" s="9"/>
      <c r="L938" s="9"/>
      <c r="M938" s="9"/>
    </row>
    <row r="939" spans="8:13" x14ac:dyDescent="0.4">
      <c r="H939" s="11"/>
      <c r="I939" s="25"/>
      <c r="J939" s="9"/>
      <c r="K939" s="9"/>
      <c r="L939" s="9"/>
      <c r="M939" s="9"/>
    </row>
    <row r="940" spans="8:13" x14ac:dyDescent="0.4">
      <c r="H940" s="11"/>
      <c r="I940" s="25"/>
      <c r="J940" s="9"/>
      <c r="K940" s="9"/>
      <c r="L940" s="9"/>
      <c r="M940" s="9"/>
    </row>
    <row r="941" spans="8:13" x14ac:dyDescent="0.4">
      <c r="H941" s="11"/>
      <c r="I941" s="25"/>
      <c r="J941" s="9"/>
      <c r="K941" s="9"/>
      <c r="L941" s="9"/>
      <c r="M941" s="9"/>
    </row>
    <row r="942" spans="8:13" x14ac:dyDescent="0.4">
      <c r="H942" s="11"/>
      <c r="I942" s="25"/>
      <c r="J942" s="9"/>
      <c r="K942" s="9"/>
      <c r="L942" s="9"/>
      <c r="M942" s="9"/>
    </row>
    <row r="943" spans="8:13" x14ac:dyDescent="0.4">
      <c r="H943" s="11"/>
      <c r="I943" s="25"/>
      <c r="J943" s="9"/>
      <c r="K943" s="9"/>
      <c r="L943" s="9"/>
      <c r="M943" s="9"/>
    </row>
    <row r="944" spans="8:13" x14ac:dyDescent="0.4">
      <c r="H944" s="11"/>
      <c r="I944" s="25"/>
      <c r="J944" s="9"/>
      <c r="K944" s="9"/>
      <c r="L944" s="9"/>
      <c r="M944" s="9"/>
    </row>
    <row r="945" spans="8:13" x14ac:dyDescent="0.4">
      <c r="H945" s="11"/>
      <c r="I945" s="25"/>
      <c r="J945" s="9"/>
      <c r="K945" s="9"/>
      <c r="L945" s="9"/>
      <c r="M945" s="9"/>
    </row>
    <row r="946" spans="8:13" x14ac:dyDescent="0.4">
      <c r="H946" s="11"/>
      <c r="I946" s="25"/>
      <c r="J946" s="9"/>
      <c r="K946" s="9"/>
      <c r="L946" s="9"/>
      <c r="M946" s="9"/>
    </row>
    <row r="947" spans="8:13" x14ac:dyDescent="0.4">
      <c r="H947" s="11"/>
      <c r="I947" s="25"/>
      <c r="J947" s="9"/>
      <c r="K947" s="9"/>
      <c r="L947" s="9"/>
      <c r="M947" s="9"/>
    </row>
    <row r="948" spans="8:13" x14ac:dyDescent="0.4">
      <c r="H948" s="11"/>
      <c r="I948" s="25"/>
      <c r="J948" s="9"/>
      <c r="K948" s="9"/>
      <c r="L948" s="9"/>
      <c r="M948" s="9"/>
    </row>
    <row r="949" spans="8:13" x14ac:dyDescent="0.4">
      <c r="H949" s="11"/>
      <c r="I949" s="25"/>
      <c r="J949" s="9"/>
      <c r="K949" s="9"/>
      <c r="L949" s="9"/>
      <c r="M949" s="9"/>
    </row>
    <row r="950" spans="8:13" x14ac:dyDescent="0.4">
      <c r="H950" s="11"/>
      <c r="I950" s="25"/>
      <c r="J950" s="9"/>
      <c r="K950" s="9"/>
      <c r="L950" s="9"/>
      <c r="M950" s="9"/>
    </row>
    <row r="951" spans="8:13" x14ac:dyDescent="0.4">
      <c r="H951" s="11"/>
      <c r="I951" s="25"/>
      <c r="J951" s="9"/>
      <c r="K951" s="9"/>
      <c r="L951" s="9"/>
      <c r="M951" s="9"/>
    </row>
    <row r="952" spans="8:13" x14ac:dyDescent="0.4">
      <c r="H952" s="11"/>
      <c r="I952" s="25"/>
      <c r="J952" s="9"/>
      <c r="K952" s="9"/>
      <c r="L952" s="9"/>
      <c r="M952" s="9"/>
    </row>
    <row r="953" spans="8:13" x14ac:dyDescent="0.4">
      <c r="H953" s="11"/>
      <c r="I953" s="25"/>
      <c r="J953" s="9"/>
      <c r="K953" s="9"/>
      <c r="L953" s="9"/>
      <c r="M953" s="9"/>
    </row>
    <row r="954" spans="8:13" x14ac:dyDescent="0.4">
      <c r="H954" s="11"/>
      <c r="I954" s="25"/>
      <c r="J954" s="9"/>
      <c r="K954" s="9"/>
      <c r="L954" s="9"/>
      <c r="M954" s="9"/>
    </row>
    <row r="955" spans="8:13" x14ac:dyDescent="0.4">
      <c r="H955" s="11"/>
      <c r="I955" s="25"/>
      <c r="J955" s="9"/>
      <c r="K955" s="9"/>
      <c r="L955" s="9"/>
      <c r="M955" s="9"/>
    </row>
    <row r="956" spans="8:13" x14ac:dyDescent="0.4">
      <c r="H956" s="11"/>
      <c r="I956" s="25"/>
      <c r="J956" s="9"/>
      <c r="K956" s="9"/>
      <c r="L956" s="9"/>
      <c r="M956" s="9"/>
    </row>
    <row r="957" spans="8:13" x14ac:dyDescent="0.4">
      <c r="H957" s="11"/>
      <c r="I957" s="25"/>
      <c r="J957" s="9"/>
      <c r="K957" s="9"/>
      <c r="L957" s="9"/>
      <c r="M957" s="9"/>
    </row>
    <row r="958" spans="8:13" x14ac:dyDescent="0.4">
      <c r="H958" s="11"/>
      <c r="I958" s="25"/>
      <c r="J958" s="9"/>
      <c r="K958" s="9"/>
      <c r="L958" s="9"/>
      <c r="M958" s="9"/>
    </row>
    <row r="959" spans="8:13" x14ac:dyDescent="0.4">
      <c r="H959" s="11"/>
      <c r="I959" s="25"/>
      <c r="J959" s="9"/>
      <c r="K959" s="9"/>
      <c r="L959" s="9"/>
      <c r="M959" s="9"/>
    </row>
    <row r="960" spans="8:13" x14ac:dyDescent="0.4">
      <c r="H960" s="11"/>
      <c r="I960" s="25"/>
      <c r="J960" s="9"/>
      <c r="K960" s="9"/>
      <c r="L960" s="9"/>
      <c r="M960" s="9"/>
    </row>
    <row r="961" spans="8:13" x14ac:dyDescent="0.4">
      <c r="H961" s="11"/>
      <c r="I961" s="25"/>
      <c r="J961" s="9"/>
      <c r="K961" s="9"/>
      <c r="L961" s="9"/>
      <c r="M961" s="9"/>
    </row>
    <row r="962" spans="8:13" x14ac:dyDescent="0.4">
      <c r="H962" s="11"/>
      <c r="I962" s="25"/>
      <c r="J962" s="9"/>
      <c r="K962" s="9"/>
      <c r="L962" s="9"/>
      <c r="M962" s="9"/>
    </row>
    <row r="963" spans="8:13" x14ac:dyDescent="0.4">
      <c r="H963" s="11"/>
      <c r="I963" s="25"/>
      <c r="J963" s="9"/>
      <c r="K963" s="9"/>
      <c r="L963" s="9"/>
      <c r="M963" s="9"/>
    </row>
    <row r="964" spans="8:13" x14ac:dyDescent="0.4">
      <c r="H964" s="11"/>
      <c r="I964" s="25"/>
      <c r="J964" s="9"/>
      <c r="K964" s="9"/>
      <c r="L964" s="9"/>
      <c r="M964" s="9"/>
    </row>
    <row r="965" spans="8:13" x14ac:dyDescent="0.4">
      <c r="H965" s="11"/>
      <c r="I965" s="25"/>
      <c r="J965" s="9"/>
      <c r="K965" s="9"/>
      <c r="L965" s="9"/>
      <c r="M965" s="9"/>
    </row>
    <row r="966" spans="8:13" x14ac:dyDescent="0.4">
      <c r="H966" s="11"/>
      <c r="I966" s="25"/>
      <c r="J966" s="9"/>
      <c r="K966" s="9"/>
      <c r="L966" s="9"/>
      <c r="M966" s="9"/>
    </row>
    <row r="967" spans="8:13" x14ac:dyDescent="0.4">
      <c r="H967" s="11"/>
      <c r="I967" s="25"/>
      <c r="J967" s="9"/>
      <c r="K967" s="9"/>
      <c r="L967" s="9"/>
      <c r="M967" s="9"/>
    </row>
    <row r="968" spans="8:13" x14ac:dyDescent="0.4">
      <c r="H968" s="11"/>
      <c r="I968" s="25"/>
      <c r="J968" s="9"/>
      <c r="K968" s="9"/>
      <c r="L968" s="9"/>
      <c r="M968" s="9"/>
    </row>
    <row r="969" spans="8:13" x14ac:dyDescent="0.4">
      <c r="H969" s="11"/>
      <c r="I969" s="25"/>
      <c r="J969" s="9"/>
      <c r="K969" s="9"/>
      <c r="L969" s="9"/>
      <c r="M969" s="9"/>
    </row>
    <row r="970" spans="8:13" x14ac:dyDescent="0.4">
      <c r="H970" s="11"/>
      <c r="I970" s="25"/>
      <c r="J970" s="9"/>
      <c r="K970" s="9"/>
      <c r="L970" s="9"/>
      <c r="M970" s="9"/>
    </row>
    <row r="971" spans="8:13" x14ac:dyDescent="0.4">
      <c r="H971" s="11"/>
      <c r="I971" s="25"/>
      <c r="J971" s="9"/>
      <c r="K971" s="9"/>
      <c r="L971" s="9"/>
      <c r="M971" s="9"/>
    </row>
    <row r="972" spans="8:13" x14ac:dyDescent="0.4">
      <c r="H972" s="11"/>
      <c r="I972" s="25"/>
      <c r="J972" s="9"/>
      <c r="K972" s="9"/>
      <c r="L972" s="9"/>
      <c r="M972" s="9"/>
    </row>
    <row r="973" spans="8:13" x14ac:dyDescent="0.4">
      <c r="H973" s="11"/>
      <c r="I973" s="25"/>
      <c r="J973" s="9"/>
      <c r="K973" s="9"/>
      <c r="L973" s="9"/>
      <c r="M973" s="9"/>
    </row>
    <row r="974" spans="8:13" x14ac:dyDescent="0.4">
      <c r="H974" s="11"/>
      <c r="I974" s="25"/>
      <c r="J974" s="9"/>
      <c r="K974" s="9"/>
      <c r="L974" s="9"/>
      <c r="M974" s="9"/>
    </row>
    <row r="975" spans="8:13" x14ac:dyDescent="0.4">
      <c r="H975" s="11"/>
      <c r="I975" s="25"/>
      <c r="J975" s="9"/>
      <c r="K975" s="9"/>
      <c r="L975" s="9"/>
      <c r="M975" s="9"/>
    </row>
    <row r="976" spans="8:13" x14ac:dyDescent="0.4">
      <c r="H976" s="11"/>
      <c r="I976" s="25"/>
      <c r="J976" s="9"/>
      <c r="K976" s="9"/>
      <c r="L976" s="9"/>
      <c r="M976" s="9"/>
    </row>
    <row r="977" spans="8:13" x14ac:dyDescent="0.4">
      <c r="H977" s="11"/>
      <c r="I977" s="25"/>
      <c r="J977" s="9"/>
      <c r="K977" s="9"/>
      <c r="L977" s="9"/>
      <c r="M977" s="9"/>
    </row>
    <row r="978" spans="8:13" x14ac:dyDescent="0.4">
      <c r="H978" s="11"/>
      <c r="I978" s="25"/>
      <c r="J978" s="9"/>
      <c r="K978" s="9"/>
      <c r="L978" s="9"/>
      <c r="M978" s="9"/>
    </row>
    <row r="979" spans="8:13" x14ac:dyDescent="0.4">
      <c r="H979" s="11"/>
      <c r="I979" s="25"/>
      <c r="J979" s="9"/>
      <c r="K979" s="9"/>
      <c r="L979" s="9"/>
      <c r="M979" s="9"/>
    </row>
    <row r="980" spans="8:13" x14ac:dyDescent="0.4">
      <c r="H980" s="11"/>
      <c r="I980" s="25"/>
      <c r="J980" s="9"/>
      <c r="K980" s="9"/>
      <c r="L980" s="9"/>
      <c r="M980" s="9"/>
    </row>
    <row r="981" spans="8:13" x14ac:dyDescent="0.4">
      <c r="H981" s="11"/>
      <c r="I981" s="25"/>
      <c r="J981" s="9"/>
      <c r="K981" s="9"/>
      <c r="L981" s="9"/>
      <c r="M981" s="9"/>
    </row>
    <row r="982" spans="8:13" x14ac:dyDescent="0.4">
      <c r="H982" s="11"/>
      <c r="I982" s="25"/>
      <c r="J982" s="9"/>
      <c r="K982" s="9"/>
      <c r="L982" s="9"/>
      <c r="M982" s="9"/>
    </row>
    <row r="983" spans="8:13" x14ac:dyDescent="0.4">
      <c r="H983" s="11"/>
      <c r="I983" s="25"/>
      <c r="J983" s="9"/>
      <c r="K983" s="9"/>
      <c r="L983" s="9"/>
      <c r="M983" s="9"/>
    </row>
    <row r="984" spans="8:13" x14ac:dyDescent="0.4">
      <c r="H984" s="11"/>
      <c r="I984" s="25"/>
      <c r="J984" s="9"/>
      <c r="K984" s="9"/>
      <c r="L984" s="9"/>
      <c r="M984" s="9"/>
    </row>
    <row r="985" spans="8:13" x14ac:dyDescent="0.4">
      <c r="H985" s="11"/>
      <c r="I985" s="25"/>
      <c r="J985" s="9"/>
      <c r="K985" s="9"/>
      <c r="L985" s="9"/>
      <c r="M985" s="9"/>
    </row>
    <row r="986" spans="8:13" x14ac:dyDescent="0.4">
      <c r="H986" s="11"/>
      <c r="I986" s="25"/>
      <c r="J986" s="9"/>
      <c r="K986" s="9"/>
      <c r="L986" s="9"/>
      <c r="M986" s="9"/>
    </row>
    <row r="987" spans="8:13" x14ac:dyDescent="0.4">
      <c r="H987" s="11"/>
      <c r="I987" s="25"/>
      <c r="J987" s="9"/>
      <c r="K987" s="9"/>
      <c r="L987" s="9"/>
      <c r="M987" s="9"/>
    </row>
    <row r="988" spans="8:13" x14ac:dyDescent="0.4">
      <c r="H988" s="11"/>
      <c r="I988" s="25"/>
      <c r="J988" s="9"/>
      <c r="K988" s="9"/>
      <c r="L988" s="9"/>
      <c r="M988" s="9"/>
    </row>
    <row r="989" spans="8:13" x14ac:dyDescent="0.4">
      <c r="H989" s="11"/>
      <c r="I989" s="25"/>
      <c r="J989" s="9"/>
      <c r="K989" s="9"/>
      <c r="L989" s="9"/>
      <c r="M989" s="9"/>
    </row>
    <row r="990" spans="8:13" x14ac:dyDescent="0.4">
      <c r="H990" s="11"/>
      <c r="I990" s="25"/>
      <c r="J990" s="9"/>
      <c r="K990" s="9"/>
      <c r="L990" s="9"/>
      <c r="M990" s="9"/>
    </row>
    <row r="991" spans="8:13" x14ac:dyDescent="0.4">
      <c r="H991" s="11"/>
      <c r="I991" s="25"/>
      <c r="J991" s="9"/>
      <c r="K991" s="9"/>
      <c r="L991" s="9"/>
      <c r="M991" s="9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CC61-23A1-4D85-A449-DEB1EEA83EF9}">
  <dimension ref="A1:K662"/>
  <sheetViews>
    <sheetView zoomScale="91" zoomScaleNormal="91" workbookViewId="0">
      <pane xSplit="1" ySplit="4" topLeftCell="B640" activePane="bottomRight" state="frozen"/>
      <selection pane="topRight" activeCell="B1" sqref="B1"/>
      <selection pane="bottomLeft" activeCell="A5" sqref="A5"/>
      <selection pane="bottomRight" activeCell="D663" sqref="D663"/>
    </sheetView>
  </sheetViews>
  <sheetFormatPr defaultRowHeight="13.9" outlineLevelCol="1" x14ac:dyDescent="0.4"/>
  <cols>
    <col min="1" max="1" width="11.59765625" bestFit="1" customWidth="1"/>
    <col min="2" max="2" width="16" style="1" bestFit="1" customWidth="1"/>
    <col min="3" max="3" width="28.86328125" style="1" bestFit="1" customWidth="1"/>
    <col min="4" max="4" width="37.59765625" style="1" bestFit="1" customWidth="1"/>
    <col min="8" max="8" width="11.59765625" customWidth="1" outlineLevel="1"/>
    <col min="9" max="9" width="16" customWidth="1" outlineLevel="1"/>
    <col min="10" max="10" width="28.86328125" customWidth="1" outlineLevel="1"/>
    <col min="11" max="11" width="37.59765625" customWidth="1" outlineLevel="1"/>
    <col min="12" max="12" width="9.1328125"/>
  </cols>
  <sheetData>
    <row r="1" spans="1:11" x14ac:dyDescent="0.4">
      <c r="H1" s="15" t="str">
        <f>[1]!edb()</f>
        <v>Wind</v>
      </c>
    </row>
    <row r="2" spans="1:11" x14ac:dyDescent="0.4">
      <c r="A2" s="19"/>
      <c r="B2" s="7" t="s">
        <v>41</v>
      </c>
      <c r="C2" s="7" t="s">
        <v>42</v>
      </c>
      <c r="D2" s="7" t="s">
        <v>43</v>
      </c>
      <c r="H2" s="37" t="s">
        <v>6</v>
      </c>
      <c r="I2" s="37" t="s">
        <v>22</v>
      </c>
      <c r="J2" s="37" t="s">
        <v>23</v>
      </c>
      <c r="K2" s="37" t="s">
        <v>24</v>
      </c>
    </row>
    <row r="3" spans="1:11" x14ac:dyDescent="0.4">
      <c r="A3" s="27" t="s">
        <v>0</v>
      </c>
      <c r="B3" s="28" t="s">
        <v>1</v>
      </c>
      <c r="C3" s="28" t="s">
        <v>1</v>
      </c>
      <c r="D3" s="28" t="s">
        <v>1</v>
      </c>
      <c r="H3" s="37" t="s">
        <v>11</v>
      </c>
      <c r="I3" s="37" t="s">
        <v>7</v>
      </c>
      <c r="J3" s="37" t="s">
        <v>7</v>
      </c>
      <c r="K3" s="37" t="s">
        <v>7</v>
      </c>
    </row>
    <row r="4" spans="1:11" x14ac:dyDescent="0.4">
      <c r="A4" s="27" t="s">
        <v>34</v>
      </c>
      <c r="B4" s="28" t="s">
        <v>44</v>
      </c>
      <c r="C4" s="28" t="s">
        <v>44</v>
      </c>
      <c r="D4" s="28" t="s">
        <v>44</v>
      </c>
      <c r="H4" s="37" t="s">
        <v>4</v>
      </c>
      <c r="I4" s="37" t="s">
        <v>25</v>
      </c>
      <c r="J4" s="37" t="s">
        <v>25</v>
      </c>
      <c r="K4" s="37" t="s">
        <v>25</v>
      </c>
    </row>
    <row r="5" spans="1:11" x14ac:dyDescent="0.4">
      <c r="A5" s="16">
        <f t="shared" ref="A5:A68" si="0">H5</f>
        <v>42008</v>
      </c>
      <c r="B5" s="26"/>
      <c r="C5" s="26">
        <f>IF(J5&lt;&gt;0,J5/100,C4)</f>
        <v>0.78</v>
      </c>
      <c r="D5" s="26">
        <f>IF(K5&lt;&gt;0,K5/100,D4)</f>
        <v>0.78</v>
      </c>
      <c r="H5" s="11">
        <v>42008</v>
      </c>
      <c r="I5" s="9">
        <v>0</v>
      </c>
      <c r="J5" s="9">
        <v>78</v>
      </c>
      <c r="K5" s="9">
        <v>78</v>
      </c>
    </row>
    <row r="6" spans="1:11" x14ac:dyDescent="0.4">
      <c r="A6" s="16">
        <f t="shared" si="0"/>
        <v>42009</v>
      </c>
      <c r="B6" s="26"/>
      <c r="C6" s="26">
        <f t="shared" ref="C6:C69" si="1">IF(J6&lt;&gt;0,J6/100,C5)</f>
        <v>0.78</v>
      </c>
      <c r="D6" s="26">
        <f t="shared" ref="D6:D69" si="2">IF(K6&lt;&gt;0,K6/100,D5)</f>
        <v>0.78</v>
      </c>
      <c r="H6" s="11">
        <v>42009</v>
      </c>
      <c r="I6" s="9">
        <v>0</v>
      </c>
      <c r="J6" s="9">
        <v>78</v>
      </c>
      <c r="K6" s="9">
        <v>78</v>
      </c>
    </row>
    <row r="7" spans="1:11" x14ac:dyDescent="0.4">
      <c r="A7" s="16">
        <f t="shared" si="0"/>
        <v>42010</v>
      </c>
      <c r="B7" s="26"/>
      <c r="C7" s="26">
        <f t="shared" si="1"/>
        <v>0.78</v>
      </c>
      <c r="D7" s="26">
        <f t="shared" si="2"/>
        <v>0.78</v>
      </c>
      <c r="H7" s="11">
        <v>42010</v>
      </c>
      <c r="I7" s="9">
        <v>0</v>
      </c>
      <c r="J7" s="9">
        <v>78</v>
      </c>
      <c r="K7" s="9">
        <v>78</v>
      </c>
    </row>
    <row r="8" spans="1:11" x14ac:dyDescent="0.4">
      <c r="A8" s="16">
        <f t="shared" si="0"/>
        <v>42018</v>
      </c>
      <c r="B8" s="26"/>
      <c r="C8" s="26">
        <f t="shared" si="1"/>
        <v>0.78</v>
      </c>
      <c r="D8" s="26">
        <f t="shared" si="2"/>
        <v>0.7</v>
      </c>
      <c r="H8" s="11">
        <v>42018</v>
      </c>
      <c r="I8" s="9">
        <v>0</v>
      </c>
      <c r="J8" s="9">
        <v>78</v>
      </c>
      <c r="K8" s="9">
        <v>70</v>
      </c>
    </row>
    <row r="9" spans="1:11" x14ac:dyDescent="0.4">
      <c r="A9" s="16">
        <f t="shared" si="0"/>
        <v>42019</v>
      </c>
      <c r="B9" s="26"/>
      <c r="C9" s="26">
        <f t="shared" si="1"/>
        <v>0.78</v>
      </c>
      <c r="D9" s="26">
        <f t="shared" si="2"/>
        <v>0.67</v>
      </c>
      <c r="H9" s="11">
        <v>42019</v>
      </c>
      <c r="I9" s="9">
        <v>0</v>
      </c>
      <c r="J9" s="9">
        <v>78</v>
      </c>
      <c r="K9" s="9">
        <v>67</v>
      </c>
    </row>
    <row r="10" spans="1:11" x14ac:dyDescent="0.4">
      <c r="A10" s="16">
        <f t="shared" si="0"/>
        <v>42024</v>
      </c>
      <c r="B10" s="26"/>
      <c r="C10" s="26">
        <f t="shared" si="1"/>
        <v>0.78</v>
      </c>
      <c r="D10" s="26">
        <f t="shared" si="2"/>
        <v>0.67</v>
      </c>
      <c r="H10" s="11">
        <v>42024</v>
      </c>
      <c r="I10" s="9">
        <v>0</v>
      </c>
      <c r="J10" s="9">
        <v>78</v>
      </c>
      <c r="K10" s="9">
        <v>67</v>
      </c>
    </row>
    <row r="11" spans="1:11" x14ac:dyDescent="0.4">
      <c r="A11" s="16">
        <f t="shared" si="0"/>
        <v>42030</v>
      </c>
      <c r="B11" s="26"/>
      <c r="C11" s="26">
        <f t="shared" si="1"/>
        <v>0.78</v>
      </c>
      <c r="D11" s="26">
        <f t="shared" si="2"/>
        <v>0.63</v>
      </c>
      <c r="H11" s="11">
        <v>42030</v>
      </c>
      <c r="I11" s="9">
        <v>0</v>
      </c>
      <c r="J11" s="9">
        <v>78</v>
      </c>
      <c r="K11" s="9">
        <v>63</v>
      </c>
    </row>
    <row r="12" spans="1:11" x14ac:dyDescent="0.4">
      <c r="A12" s="16">
        <f t="shared" si="0"/>
        <v>42031</v>
      </c>
      <c r="B12" s="26"/>
      <c r="C12" s="26">
        <f t="shared" si="1"/>
        <v>0.77</v>
      </c>
      <c r="D12" s="26">
        <f t="shared" si="2"/>
        <v>0.57999999999999996</v>
      </c>
      <c r="H12" s="11">
        <v>42031</v>
      </c>
      <c r="I12" s="9">
        <v>0</v>
      </c>
      <c r="J12" s="9">
        <v>77</v>
      </c>
      <c r="K12" s="9">
        <v>58</v>
      </c>
    </row>
    <row r="13" spans="1:11" x14ac:dyDescent="0.4">
      <c r="A13" s="16">
        <f t="shared" si="0"/>
        <v>42033</v>
      </c>
      <c r="B13" s="26"/>
      <c r="C13" s="26">
        <f t="shared" si="1"/>
        <v>0.77</v>
      </c>
      <c r="D13" s="26">
        <f t="shared" si="2"/>
        <v>0.56000000000000005</v>
      </c>
      <c r="H13" s="11">
        <v>42033</v>
      </c>
      <c r="I13" s="9">
        <v>0</v>
      </c>
      <c r="J13" s="9">
        <v>77</v>
      </c>
      <c r="K13" s="9">
        <v>56</v>
      </c>
    </row>
    <row r="14" spans="1:11" x14ac:dyDescent="0.4">
      <c r="A14" s="16">
        <f t="shared" si="0"/>
        <v>42045</v>
      </c>
      <c r="B14" s="26"/>
      <c r="C14" s="26">
        <f t="shared" si="1"/>
        <v>0.73</v>
      </c>
      <c r="D14" s="26">
        <f t="shared" si="2"/>
        <v>0.4</v>
      </c>
      <c r="H14" s="11">
        <v>42045</v>
      </c>
      <c r="I14" s="9">
        <v>0</v>
      </c>
      <c r="J14" s="9">
        <v>73</v>
      </c>
      <c r="K14" s="9">
        <v>40</v>
      </c>
    </row>
    <row r="15" spans="1:11" x14ac:dyDescent="0.4">
      <c r="A15" s="16">
        <f t="shared" si="0"/>
        <v>42046</v>
      </c>
      <c r="B15" s="26"/>
      <c r="C15" s="26">
        <f t="shared" si="1"/>
        <v>0.68</v>
      </c>
      <c r="D15" s="26">
        <f t="shared" si="2"/>
        <v>0.37</v>
      </c>
      <c r="H15" s="11">
        <v>42046</v>
      </c>
      <c r="I15" s="9">
        <v>0</v>
      </c>
      <c r="J15" s="9">
        <v>68</v>
      </c>
      <c r="K15" s="9">
        <v>37</v>
      </c>
    </row>
    <row r="16" spans="1:11" x14ac:dyDescent="0.4">
      <c r="A16" s="16">
        <f t="shared" si="0"/>
        <v>42048</v>
      </c>
      <c r="B16" s="26"/>
      <c r="C16" s="26">
        <f t="shared" si="1"/>
        <v>0.68</v>
      </c>
      <c r="D16" s="26">
        <f t="shared" si="2"/>
        <v>0.35</v>
      </c>
      <c r="H16" s="11">
        <v>42048</v>
      </c>
      <c r="I16" s="9">
        <v>0</v>
      </c>
      <c r="J16" s="9">
        <v>68</v>
      </c>
      <c r="K16" s="9">
        <v>35</v>
      </c>
    </row>
    <row r="17" spans="1:11" x14ac:dyDescent="0.4">
      <c r="A17" s="16">
        <f t="shared" si="0"/>
        <v>42062</v>
      </c>
      <c r="B17" s="26"/>
      <c r="C17" s="26">
        <f t="shared" si="1"/>
        <v>0.68</v>
      </c>
      <c r="D17" s="26">
        <f t="shared" si="2"/>
        <v>0.35</v>
      </c>
      <c r="H17" s="11">
        <v>42062</v>
      </c>
      <c r="I17" s="9">
        <v>0</v>
      </c>
      <c r="J17" s="9">
        <v>68</v>
      </c>
      <c r="K17" s="9">
        <v>35</v>
      </c>
    </row>
    <row r="18" spans="1:11" x14ac:dyDescent="0.4">
      <c r="A18" s="16">
        <f t="shared" si="0"/>
        <v>42064</v>
      </c>
      <c r="B18" s="26"/>
      <c r="C18" s="26">
        <f t="shared" si="1"/>
        <v>0.68</v>
      </c>
      <c r="D18" s="26">
        <f t="shared" si="2"/>
        <v>0.35</v>
      </c>
      <c r="H18" s="11">
        <v>42064</v>
      </c>
      <c r="I18" s="9">
        <v>0</v>
      </c>
      <c r="J18" s="9">
        <v>68</v>
      </c>
      <c r="K18" s="9">
        <v>35</v>
      </c>
    </row>
    <row r="19" spans="1:11" x14ac:dyDescent="0.4">
      <c r="A19" s="16">
        <f t="shared" si="0"/>
        <v>42068</v>
      </c>
      <c r="B19" s="26"/>
      <c r="C19" s="26">
        <f t="shared" si="1"/>
        <v>0.68</v>
      </c>
      <c r="D19" s="26">
        <f t="shared" si="2"/>
        <v>0.35</v>
      </c>
      <c r="H19" s="11">
        <v>42068</v>
      </c>
      <c r="I19" s="9">
        <v>0</v>
      </c>
      <c r="J19" s="9">
        <v>68</v>
      </c>
      <c r="K19" s="9">
        <v>35</v>
      </c>
    </row>
    <row r="20" spans="1:11" x14ac:dyDescent="0.4">
      <c r="A20" s="16">
        <f t="shared" si="0"/>
        <v>42073</v>
      </c>
      <c r="B20" s="26"/>
      <c r="C20" s="26">
        <f t="shared" si="1"/>
        <v>0.71</v>
      </c>
      <c r="D20" s="26">
        <f t="shared" si="2"/>
        <v>0.4</v>
      </c>
      <c r="H20" s="11">
        <v>42073</v>
      </c>
      <c r="I20" s="9">
        <v>0</v>
      </c>
      <c r="J20" s="9">
        <v>71</v>
      </c>
      <c r="K20" s="9">
        <v>40</v>
      </c>
    </row>
    <row r="21" spans="1:11" x14ac:dyDescent="0.4">
      <c r="A21" s="16">
        <f t="shared" si="0"/>
        <v>42079</v>
      </c>
      <c r="B21" s="26"/>
      <c r="C21" s="26">
        <f t="shared" si="1"/>
        <v>0.72</v>
      </c>
      <c r="D21" s="26">
        <f t="shared" si="2"/>
        <v>0.5</v>
      </c>
      <c r="H21" s="11">
        <v>42079</v>
      </c>
      <c r="I21" s="9">
        <v>0</v>
      </c>
      <c r="J21" s="9">
        <v>72</v>
      </c>
      <c r="K21" s="9">
        <v>50</v>
      </c>
    </row>
    <row r="22" spans="1:11" x14ac:dyDescent="0.4">
      <c r="A22" s="16">
        <f t="shared" si="0"/>
        <v>42082</v>
      </c>
      <c r="B22" s="26"/>
      <c r="C22" s="26">
        <f t="shared" si="1"/>
        <v>0.75</v>
      </c>
      <c r="D22" s="26">
        <f t="shared" si="2"/>
        <v>0.6</v>
      </c>
      <c r="H22" s="11">
        <v>42082</v>
      </c>
      <c r="I22" s="9">
        <v>0</v>
      </c>
      <c r="J22" s="9">
        <v>75</v>
      </c>
      <c r="K22" s="9">
        <v>60</v>
      </c>
    </row>
    <row r="23" spans="1:11" x14ac:dyDescent="0.4">
      <c r="A23" s="16">
        <f t="shared" si="0"/>
        <v>42086</v>
      </c>
      <c r="B23" s="26"/>
      <c r="C23" s="26">
        <f t="shared" si="1"/>
        <v>0.75</v>
      </c>
      <c r="D23" s="26">
        <f t="shared" si="2"/>
        <v>0.65</v>
      </c>
      <c r="H23" s="11">
        <v>42086</v>
      </c>
      <c r="I23" s="9">
        <v>0</v>
      </c>
      <c r="J23" s="9">
        <v>75</v>
      </c>
      <c r="K23" s="9">
        <v>65</v>
      </c>
    </row>
    <row r="24" spans="1:11" x14ac:dyDescent="0.4">
      <c r="A24" s="16">
        <f t="shared" si="0"/>
        <v>42087</v>
      </c>
      <c r="B24" s="26"/>
      <c r="C24" s="26">
        <f t="shared" si="1"/>
        <v>0.75</v>
      </c>
      <c r="D24" s="26">
        <f t="shared" si="2"/>
        <v>0.65</v>
      </c>
      <c r="H24" s="11">
        <v>42087</v>
      </c>
      <c r="I24" s="9">
        <v>0</v>
      </c>
      <c r="J24" s="9">
        <v>75</v>
      </c>
      <c r="K24" s="9">
        <v>65</v>
      </c>
    </row>
    <row r="25" spans="1:11" x14ac:dyDescent="0.4">
      <c r="A25" s="16">
        <f t="shared" si="0"/>
        <v>42090</v>
      </c>
      <c r="B25" s="26"/>
      <c r="C25" s="26">
        <f t="shared" si="1"/>
        <v>0.75</v>
      </c>
      <c r="D25" s="26">
        <f t="shared" si="2"/>
        <v>0.65</v>
      </c>
      <c r="H25" s="11">
        <v>42090</v>
      </c>
      <c r="I25" s="9">
        <v>0</v>
      </c>
      <c r="J25" s="9">
        <v>75</v>
      </c>
      <c r="K25" s="9">
        <v>65</v>
      </c>
    </row>
    <row r="26" spans="1:11" x14ac:dyDescent="0.4">
      <c r="A26" s="16">
        <f t="shared" si="0"/>
        <v>42094</v>
      </c>
      <c r="B26" s="26"/>
      <c r="C26" s="26">
        <f t="shared" si="1"/>
        <v>0.78</v>
      </c>
      <c r="D26" s="26">
        <f t="shared" si="2"/>
        <v>0.7</v>
      </c>
      <c r="H26" s="11">
        <v>42094</v>
      </c>
      <c r="I26" s="9">
        <v>0</v>
      </c>
      <c r="J26" s="9">
        <v>78</v>
      </c>
      <c r="K26" s="9">
        <v>70</v>
      </c>
    </row>
    <row r="27" spans="1:11" x14ac:dyDescent="0.4">
      <c r="A27" s="16">
        <f t="shared" si="0"/>
        <v>42095</v>
      </c>
      <c r="B27" s="26"/>
      <c r="C27" s="26">
        <f t="shared" si="1"/>
        <v>0.78</v>
      </c>
      <c r="D27" s="26">
        <f t="shared" si="2"/>
        <v>0.7</v>
      </c>
      <c r="H27" s="11">
        <v>42095</v>
      </c>
      <c r="I27" s="9">
        <v>0</v>
      </c>
      <c r="J27" s="9">
        <v>78</v>
      </c>
      <c r="K27" s="9">
        <v>70</v>
      </c>
    </row>
    <row r="28" spans="1:11" x14ac:dyDescent="0.4">
      <c r="A28" s="16">
        <f t="shared" si="0"/>
        <v>42101</v>
      </c>
      <c r="B28" s="26"/>
      <c r="C28" s="26">
        <f t="shared" si="1"/>
        <v>0.78</v>
      </c>
      <c r="D28" s="26">
        <f t="shared" si="2"/>
        <v>0.75</v>
      </c>
      <c r="H28" s="11">
        <v>42101</v>
      </c>
      <c r="I28" s="9">
        <v>0</v>
      </c>
      <c r="J28" s="9">
        <v>78</v>
      </c>
      <c r="K28" s="9">
        <v>75</v>
      </c>
    </row>
    <row r="29" spans="1:11" x14ac:dyDescent="0.4">
      <c r="A29" s="16">
        <f t="shared" si="0"/>
        <v>42115</v>
      </c>
      <c r="B29" s="26"/>
      <c r="C29" s="26">
        <f t="shared" si="1"/>
        <v>0.78</v>
      </c>
      <c r="D29" s="26">
        <f t="shared" si="2"/>
        <v>0.75</v>
      </c>
      <c r="H29" s="11">
        <v>42115</v>
      </c>
      <c r="I29" s="9">
        <v>0</v>
      </c>
      <c r="J29" s="9">
        <v>78</v>
      </c>
      <c r="K29" s="9">
        <v>75</v>
      </c>
    </row>
    <row r="30" spans="1:11" x14ac:dyDescent="0.4">
      <c r="A30" s="16">
        <f t="shared" si="0"/>
        <v>42116</v>
      </c>
      <c r="B30" s="26"/>
      <c r="C30" s="26">
        <f t="shared" si="1"/>
        <v>0.82</v>
      </c>
      <c r="D30" s="26">
        <f t="shared" si="2"/>
        <v>0.79</v>
      </c>
      <c r="H30" s="11">
        <v>42116</v>
      </c>
      <c r="I30" s="9">
        <v>0</v>
      </c>
      <c r="J30" s="9">
        <v>82</v>
      </c>
      <c r="K30" s="9">
        <v>79</v>
      </c>
    </row>
    <row r="31" spans="1:11" x14ac:dyDescent="0.4">
      <c r="A31" s="16">
        <f t="shared" si="0"/>
        <v>42121</v>
      </c>
      <c r="B31" s="26"/>
      <c r="C31" s="26">
        <f t="shared" si="1"/>
        <v>0.82</v>
      </c>
      <c r="D31" s="26">
        <f t="shared" si="2"/>
        <v>0.79</v>
      </c>
      <c r="H31" s="11">
        <v>42121</v>
      </c>
      <c r="I31" s="9">
        <v>0</v>
      </c>
      <c r="J31" s="9">
        <v>82</v>
      </c>
      <c r="K31" s="9">
        <v>79</v>
      </c>
    </row>
    <row r="32" spans="1:11" x14ac:dyDescent="0.4">
      <c r="A32" s="16">
        <f t="shared" si="0"/>
        <v>42123</v>
      </c>
      <c r="B32" s="26"/>
      <c r="C32" s="26">
        <f t="shared" si="1"/>
        <v>0.82</v>
      </c>
      <c r="D32" s="26">
        <f t="shared" si="2"/>
        <v>0.79</v>
      </c>
      <c r="H32" s="11">
        <v>42123</v>
      </c>
      <c r="I32" s="9">
        <v>0</v>
      </c>
      <c r="J32" s="9">
        <v>82</v>
      </c>
      <c r="K32" s="9">
        <v>79</v>
      </c>
    </row>
    <row r="33" spans="1:11" x14ac:dyDescent="0.4">
      <c r="A33" s="16">
        <f t="shared" si="0"/>
        <v>42129</v>
      </c>
      <c r="B33" s="26"/>
      <c r="C33" s="26">
        <f t="shared" si="1"/>
        <v>0.84</v>
      </c>
      <c r="D33" s="26">
        <f t="shared" si="2"/>
        <v>0.8</v>
      </c>
      <c r="H33" s="11">
        <v>42129</v>
      </c>
      <c r="I33" s="9">
        <v>0</v>
      </c>
      <c r="J33" s="9">
        <v>84</v>
      </c>
      <c r="K33" s="9">
        <v>80</v>
      </c>
    </row>
    <row r="34" spans="1:11" x14ac:dyDescent="0.4">
      <c r="A34" s="16">
        <f t="shared" si="0"/>
        <v>42132</v>
      </c>
      <c r="B34" s="26"/>
      <c r="C34" s="26">
        <f t="shared" si="1"/>
        <v>0.84</v>
      </c>
      <c r="D34" s="26">
        <f t="shared" si="2"/>
        <v>0.8</v>
      </c>
      <c r="H34" s="11">
        <v>42132</v>
      </c>
      <c r="I34" s="9">
        <v>0</v>
      </c>
      <c r="J34" s="9">
        <v>84</v>
      </c>
      <c r="K34" s="9">
        <v>80</v>
      </c>
    </row>
    <row r="35" spans="1:11" x14ac:dyDescent="0.4">
      <c r="A35" s="16">
        <f t="shared" si="0"/>
        <v>42138</v>
      </c>
      <c r="B35" s="26"/>
      <c r="C35" s="26">
        <f t="shared" si="1"/>
        <v>0.84</v>
      </c>
      <c r="D35" s="26">
        <f t="shared" si="2"/>
        <v>0.8</v>
      </c>
      <c r="H35" s="11">
        <v>42138</v>
      </c>
      <c r="I35" s="9">
        <v>0</v>
      </c>
      <c r="J35" s="9">
        <v>84</v>
      </c>
      <c r="K35" s="9">
        <v>80</v>
      </c>
    </row>
    <row r="36" spans="1:11" x14ac:dyDescent="0.4">
      <c r="A36" s="16">
        <f t="shared" si="0"/>
        <v>42139</v>
      </c>
      <c r="B36" s="26"/>
      <c r="C36" s="26">
        <f t="shared" si="1"/>
        <v>0.84</v>
      </c>
      <c r="D36" s="26">
        <f t="shared" si="2"/>
        <v>0.8</v>
      </c>
      <c r="H36" s="11">
        <v>42139</v>
      </c>
      <c r="I36" s="9">
        <v>0</v>
      </c>
      <c r="J36" s="9">
        <v>84</v>
      </c>
      <c r="K36" s="9">
        <v>80</v>
      </c>
    </row>
    <row r="37" spans="1:11" x14ac:dyDescent="0.4">
      <c r="A37" s="16">
        <f t="shared" si="0"/>
        <v>42150</v>
      </c>
      <c r="B37" s="26"/>
      <c r="C37" s="26">
        <f t="shared" si="1"/>
        <v>0.84</v>
      </c>
      <c r="D37" s="26">
        <f t="shared" si="2"/>
        <v>0.78</v>
      </c>
      <c r="H37" s="11">
        <v>42150</v>
      </c>
      <c r="I37" s="9">
        <v>0</v>
      </c>
      <c r="J37" s="9">
        <v>84</v>
      </c>
      <c r="K37" s="9">
        <v>78</v>
      </c>
    </row>
    <row r="38" spans="1:11" x14ac:dyDescent="0.4">
      <c r="A38" s="16">
        <f t="shared" si="0"/>
        <v>42151</v>
      </c>
      <c r="B38" s="26"/>
      <c r="C38" s="26">
        <f t="shared" si="1"/>
        <v>0.82</v>
      </c>
      <c r="D38" s="26">
        <f t="shared" si="2"/>
        <v>0.78</v>
      </c>
      <c r="H38" s="11">
        <v>42151</v>
      </c>
      <c r="I38" s="9">
        <v>0</v>
      </c>
      <c r="J38" s="9">
        <v>82</v>
      </c>
      <c r="K38" s="9">
        <v>78</v>
      </c>
    </row>
    <row r="39" spans="1:11" x14ac:dyDescent="0.4">
      <c r="A39" s="16">
        <f t="shared" si="0"/>
        <v>42158</v>
      </c>
      <c r="B39" s="26"/>
      <c r="C39" s="26">
        <f t="shared" si="1"/>
        <v>0.8</v>
      </c>
      <c r="D39" s="26">
        <f t="shared" si="2"/>
        <v>0.72</v>
      </c>
      <c r="H39" s="11">
        <v>42158</v>
      </c>
      <c r="I39" s="9">
        <v>0</v>
      </c>
      <c r="J39" s="9">
        <v>80</v>
      </c>
      <c r="K39" s="9">
        <v>72</v>
      </c>
    </row>
    <row r="40" spans="1:11" x14ac:dyDescent="0.4">
      <c r="A40" s="16">
        <f t="shared" si="0"/>
        <v>42160</v>
      </c>
      <c r="B40" s="26"/>
      <c r="C40" s="26">
        <f t="shared" si="1"/>
        <v>0.8</v>
      </c>
      <c r="D40" s="26">
        <f t="shared" si="2"/>
        <v>0.72</v>
      </c>
      <c r="H40" s="11">
        <v>42160</v>
      </c>
      <c r="I40" s="9">
        <v>0</v>
      </c>
      <c r="J40" s="9">
        <v>80</v>
      </c>
      <c r="K40" s="9">
        <v>72</v>
      </c>
    </row>
    <row r="41" spans="1:11" x14ac:dyDescent="0.4">
      <c r="A41" s="16">
        <f t="shared" si="0"/>
        <v>42163</v>
      </c>
      <c r="B41" s="26"/>
      <c r="C41" s="26">
        <f t="shared" si="1"/>
        <v>0.8</v>
      </c>
      <c r="D41" s="26">
        <f t="shared" si="2"/>
        <v>0.72</v>
      </c>
      <c r="H41" s="11">
        <v>42163</v>
      </c>
      <c r="I41" s="9">
        <v>0</v>
      </c>
      <c r="J41" s="9">
        <v>80</v>
      </c>
      <c r="K41" s="9">
        <v>72</v>
      </c>
    </row>
    <row r="42" spans="1:11" x14ac:dyDescent="0.4">
      <c r="A42" s="16">
        <f t="shared" si="0"/>
        <v>42165</v>
      </c>
      <c r="B42" s="26"/>
      <c r="C42" s="26">
        <f t="shared" si="1"/>
        <v>0.79</v>
      </c>
      <c r="D42" s="26">
        <f t="shared" si="2"/>
        <v>0.72</v>
      </c>
      <c r="H42" s="11">
        <v>42165</v>
      </c>
      <c r="I42" s="9">
        <v>0</v>
      </c>
      <c r="J42" s="9">
        <v>79</v>
      </c>
      <c r="K42" s="9">
        <v>72</v>
      </c>
    </row>
    <row r="43" spans="1:11" x14ac:dyDescent="0.4">
      <c r="A43" s="16">
        <f t="shared" si="0"/>
        <v>42166</v>
      </c>
      <c r="B43" s="26"/>
      <c r="C43" s="26">
        <f t="shared" si="1"/>
        <v>0.79</v>
      </c>
      <c r="D43" s="26">
        <f t="shared" si="2"/>
        <v>0.72</v>
      </c>
      <c r="H43" s="11">
        <v>42166</v>
      </c>
      <c r="I43" s="9">
        <v>0</v>
      </c>
      <c r="J43" s="9">
        <v>79</v>
      </c>
      <c r="K43" s="9">
        <v>72</v>
      </c>
    </row>
    <row r="44" spans="1:11" x14ac:dyDescent="0.4">
      <c r="A44" s="16">
        <f t="shared" si="0"/>
        <v>42170</v>
      </c>
      <c r="B44" s="26"/>
      <c r="C44" s="26">
        <f t="shared" si="1"/>
        <v>0.79</v>
      </c>
      <c r="D44" s="26">
        <f t="shared" si="2"/>
        <v>0.72</v>
      </c>
      <c r="H44" s="11">
        <v>42170</v>
      </c>
      <c r="I44" s="9">
        <v>0</v>
      </c>
      <c r="J44" s="9">
        <v>79</v>
      </c>
      <c r="K44" s="9">
        <v>72</v>
      </c>
    </row>
    <row r="45" spans="1:11" x14ac:dyDescent="0.4">
      <c r="A45" s="16">
        <f t="shared" si="0"/>
        <v>42178</v>
      </c>
      <c r="B45" s="26"/>
      <c r="C45" s="26">
        <f t="shared" si="1"/>
        <v>0.78</v>
      </c>
      <c r="D45" s="26">
        <f t="shared" si="2"/>
        <v>0.72</v>
      </c>
      <c r="H45" s="11">
        <v>42178</v>
      </c>
      <c r="I45" s="9">
        <v>0</v>
      </c>
      <c r="J45" s="9">
        <v>78</v>
      </c>
      <c r="K45" s="9">
        <v>72</v>
      </c>
    </row>
    <row r="46" spans="1:11" x14ac:dyDescent="0.4">
      <c r="A46" s="16">
        <f t="shared" si="0"/>
        <v>42179</v>
      </c>
      <c r="B46" s="26"/>
      <c r="C46" s="26">
        <f t="shared" si="1"/>
        <v>0.78</v>
      </c>
      <c r="D46" s="26">
        <f t="shared" si="2"/>
        <v>0.72</v>
      </c>
      <c r="H46" s="11">
        <v>42179</v>
      </c>
      <c r="I46" s="9">
        <v>0</v>
      </c>
      <c r="J46" s="9">
        <v>78</v>
      </c>
      <c r="K46" s="9">
        <v>72</v>
      </c>
    </row>
    <row r="47" spans="1:11" x14ac:dyDescent="0.4">
      <c r="A47" s="16">
        <f t="shared" si="0"/>
        <v>42181</v>
      </c>
      <c r="B47" s="26"/>
      <c r="C47" s="26">
        <f t="shared" si="1"/>
        <v>0.78</v>
      </c>
      <c r="D47" s="26">
        <f t="shared" si="2"/>
        <v>0.72</v>
      </c>
      <c r="H47" s="11">
        <v>42181</v>
      </c>
      <c r="I47" s="9">
        <v>0</v>
      </c>
      <c r="J47" s="9">
        <v>78</v>
      </c>
      <c r="K47" s="9">
        <v>0</v>
      </c>
    </row>
    <row r="48" spans="1:11" x14ac:dyDescent="0.4">
      <c r="A48" s="16">
        <f t="shared" si="0"/>
        <v>42183</v>
      </c>
      <c r="B48" s="26"/>
      <c r="C48" s="26">
        <f t="shared" si="1"/>
        <v>0.78</v>
      </c>
      <c r="D48" s="26">
        <f t="shared" si="2"/>
        <v>0.72</v>
      </c>
      <c r="H48" s="11">
        <v>42183</v>
      </c>
      <c r="I48" s="9">
        <v>0</v>
      </c>
      <c r="J48" s="9">
        <v>0</v>
      </c>
      <c r="K48" s="9">
        <v>72</v>
      </c>
    </row>
    <row r="49" spans="1:11" x14ac:dyDescent="0.4">
      <c r="A49" s="16">
        <f t="shared" si="0"/>
        <v>42187</v>
      </c>
      <c r="B49" s="26"/>
      <c r="C49" s="26">
        <f t="shared" si="1"/>
        <v>0.78</v>
      </c>
      <c r="D49" s="26">
        <f t="shared" si="2"/>
        <v>0.71</v>
      </c>
      <c r="H49" s="11">
        <v>42187</v>
      </c>
      <c r="I49" s="9">
        <v>0</v>
      </c>
      <c r="J49" s="9">
        <v>78</v>
      </c>
      <c r="K49" s="9">
        <v>71</v>
      </c>
    </row>
    <row r="50" spans="1:11" x14ac:dyDescent="0.4">
      <c r="A50" s="16">
        <f t="shared" si="0"/>
        <v>42188</v>
      </c>
      <c r="B50" s="26"/>
      <c r="C50" s="26">
        <f t="shared" si="1"/>
        <v>0.76</v>
      </c>
      <c r="D50" s="26">
        <f t="shared" si="2"/>
        <v>0.7</v>
      </c>
      <c r="H50" s="11">
        <v>42188</v>
      </c>
      <c r="I50" s="9">
        <v>0</v>
      </c>
      <c r="J50" s="9">
        <v>76</v>
      </c>
      <c r="K50" s="9">
        <v>70</v>
      </c>
    </row>
    <row r="51" spans="1:11" x14ac:dyDescent="0.4">
      <c r="A51" s="16">
        <f t="shared" si="0"/>
        <v>42195</v>
      </c>
      <c r="B51" s="26"/>
      <c r="C51" s="26">
        <f t="shared" si="1"/>
        <v>0.75</v>
      </c>
      <c r="D51" s="26">
        <f t="shared" si="2"/>
        <v>0.69</v>
      </c>
      <c r="H51" s="11">
        <v>42195</v>
      </c>
      <c r="I51" s="9">
        <v>0</v>
      </c>
      <c r="J51" s="9">
        <v>75</v>
      </c>
      <c r="K51" s="9">
        <v>69</v>
      </c>
    </row>
    <row r="52" spans="1:11" x14ac:dyDescent="0.4">
      <c r="A52" s="16">
        <f t="shared" si="0"/>
        <v>42202</v>
      </c>
      <c r="B52" s="26"/>
      <c r="C52" s="26">
        <f t="shared" si="1"/>
        <v>0.74</v>
      </c>
      <c r="D52" s="26">
        <f t="shared" si="2"/>
        <v>0.67</v>
      </c>
      <c r="H52" s="11">
        <v>42202</v>
      </c>
      <c r="I52" s="9">
        <v>0</v>
      </c>
      <c r="J52" s="9">
        <v>74</v>
      </c>
      <c r="K52" s="9">
        <v>67</v>
      </c>
    </row>
    <row r="53" spans="1:11" x14ac:dyDescent="0.4">
      <c r="A53" s="16">
        <f t="shared" si="0"/>
        <v>42220</v>
      </c>
      <c r="B53" s="26"/>
      <c r="C53" s="26">
        <f t="shared" si="1"/>
        <v>0.73</v>
      </c>
      <c r="D53" s="26">
        <f t="shared" si="2"/>
        <v>0.66</v>
      </c>
      <c r="H53" s="11">
        <v>42220</v>
      </c>
      <c r="I53" s="9">
        <v>0</v>
      </c>
      <c r="J53" s="9">
        <v>73</v>
      </c>
      <c r="K53" s="9">
        <v>66</v>
      </c>
    </row>
    <row r="54" spans="1:11" x14ac:dyDescent="0.4">
      <c r="A54" s="16">
        <f t="shared" si="0"/>
        <v>42226</v>
      </c>
      <c r="B54" s="26"/>
      <c r="C54" s="26">
        <f t="shared" si="1"/>
        <v>0.71</v>
      </c>
      <c r="D54" s="26">
        <f t="shared" si="2"/>
        <v>0.66</v>
      </c>
      <c r="H54" s="11">
        <v>42226</v>
      </c>
      <c r="I54" s="9">
        <v>0</v>
      </c>
      <c r="J54" s="9">
        <v>71</v>
      </c>
      <c r="K54" s="9">
        <v>66</v>
      </c>
    </row>
    <row r="55" spans="1:11" x14ac:dyDescent="0.4">
      <c r="A55" s="16">
        <f t="shared" si="0"/>
        <v>42247</v>
      </c>
      <c r="B55" s="26"/>
      <c r="C55" s="26">
        <f t="shared" si="1"/>
        <v>0.73</v>
      </c>
      <c r="D55" s="26">
        <f t="shared" si="2"/>
        <v>0.7</v>
      </c>
      <c r="H55" s="11">
        <v>42247</v>
      </c>
      <c r="I55" s="9">
        <v>0</v>
      </c>
      <c r="J55" s="9">
        <v>73</v>
      </c>
      <c r="K55" s="9">
        <v>70</v>
      </c>
    </row>
    <row r="56" spans="1:11" x14ac:dyDescent="0.4">
      <c r="A56" s="16">
        <f t="shared" si="0"/>
        <v>42258</v>
      </c>
      <c r="B56" s="26"/>
      <c r="C56" s="26">
        <f t="shared" si="1"/>
        <v>0.76</v>
      </c>
      <c r="D56" s="26">
        <f t="shared" si="2"/>
        <v>0.72</v>
      </c>
      <c r="H56" s="11">
        <v>42258</v>
      </c>
      <c r="I56" s="9">
        <v>0</v>
      </c>
      <c r="J56" s="9">
        <v>76</v>
      </c>
      <c r="K56" s="9">
        <v>72</v>
      </c>
    </row>
    <row r="57" spans="1:11" x14ac:dyDescent="0.4">
      <c r="A57" s="16">
        <f t="shared" si="0"/>
        <v>42265</v>
      </c>
      <c r="B57" s="26"/>
      <c r="C57" s="26">
        <f t="shared" si="1"/>
        <v>0.78</v>
      </c>
      <c r="D57" s="26">
        <f t="shared" si="2"/>
        <v>0.75</v>
      </c>
      <c r="H57" s="11">
        <v>42265</v>
      </c>
      <c r="I57" s="9">
        <v>0</v>
      </c>
      <c r="J57" s="9">
        <v>78</v>
      </c>
      <c r="K57" s="9">
        <v>75</v>
      </c>
    </row>
    <row r="58" spans="1:11" x14ac:dyDescent="0.4">
      <c r="A58" s="16">
        <f t="shared" si="0"/>
        <v>42276</v>
      </c>
      <c r="B58" s="26"/>
      <c r="C58" s="26">
        <f t="shared" si="1"/>
        <v>0.78</v>
      </c>
      <c r="D58" s="26">
        <f t="shared" si="2"/>
        <v>0.76</v>
      </c>
      <c r="H58" s="11">
        <v>42276</v>
      </c>
      <c r="I58" s="9">
        <v>0</v>
      </c>
      <c r="J58" s="9">
        <v>78</v>
      </c>
      <c r="K58" s="9">
        <v>76</v>
      </c>
    </row>
    <row r="59" spans="1:11" x14ac:dyDescent="0.4">
      <c r="A59" s="16">
        <f t="shared" si="0"/>
        <v>42287</v>
      </c>
      <c r="B59" s="26"/>
      <c r="C59" s="26">
        <f t="shared" si="1"/>
        <v>0.76</v>
      </c>
      <c r="D59" s="26">
        <f t="shared" si="2"/>
        <v>0.76</v>
      </c>
      <c r="H59" s="11">
        <v>42287</v>
      </c>
      <c r="I59" s="9">
        <v>0</v>
      </c>
      <c r="J59" s="9">
        <v>76</v>
      </c>
      <c r="K59" s="9">
        <v>76</v>
      </c>
    </row>
    <row r="60" spans="1:11" x14ac:dyDescent="0.4">
      <c r="A60" s="16">
        <f t="shared" si="0"/>
        <v>42296</v>
      </c>
      <c r="B60" s="26"/>
      <c r="C60" s="26">
        <f t="shared" si="1"/>
        <v>0.77</v>
      </c>
      <c r="D60" s="26">
        <f t="shared" si="2"/>
        <v>0.76</v>
      </c>
      <c r="H60" s="11">
        <v>42296</v>
      </c>
      <c r="I60" s="9">
        <v>0</v>
      </c>
      <c r="J60" s="9">
        <v>77</v>
      </c>
      <c r="K60" s="9">
        <v>76</v>
      </c>
    </row>
    <row r="61" spans="1:11" x14ac:dyDescent="0.4">
      <c r="A61" s="16">
        <f t="shared" si="0"/>
        <v>42303</v>
      </c>
      <c r="B61" s="26"/>
      <c r="C61" s="26">
        <f t="shared" si="1"/>
        <v>0.78</v>
      </c>
      <c r="D61" s="26">
        <f t="shared" si="2"/>
        <v>0.76</v>
      </c>
      <c r="H61" s="11">
        <v>42303</v>
      </c>
      <c r="I61" s="9">
        <v>0</v>
      </c>
      <c r="J61" s="9">
        <v>78</v>
      </c>
      <c r="K61" s="9">
        <v>76</v>
      </c>
    </row>
    <row r="62" spans="1:11" x14ac:dyDescent="0.4">
      <c r="A62" s="16">
        <f t="shared" si="0"/>
        <v>42308</v>
      </c>
      <c r="B62" s="26"/>
      <c r="C62" s="26">
        <f t="shared" si="1"/>
        <v>0.76</v>
      </c>
      <c r="D62" s="26">
        <f t="shared" si="2"/>
        <v>0.75</v>
      </c>
      <c r="H62" s="11">
        <v>42308</v>
      </c>
      <c r="I62" s="9">
        <v>0</v>
      </c>
      <c r="J62" s="9">
        <v>76</v>
      </c>
      <c r="K62" s="9">
        <v>75</v>
      </c>
    </row>
    <row r="63" spans="1:11" x14ac:dyDescent="0.4">
      <c r="A63" s="16">
        <f t="shared" si="0"/>
        <v>42317</v>
      </c>
      <c r="B63" s="26"/>
      <c r="C63" s="26">
        <f t="shared" si="1"/>
        <v>0.77</v>
      </c>
      <c r="D63" s="26">
        <f t="shared" si="2"/>
        <v>0.75</v>
      </c>
      <c r="H63" s="11">
        <v>42317</v>
      </c>
      <c r="I63" s="9">
        <v>0</v>
      </c>
      <c r="J63" s="9">
        <v>77</v>
      </c>
      <c r="K63" s="9">
        <v>75</v>
      </c>
    </row>
    <row r="64" spans="1:11" x14ac:dyDescent="0.4">
      <c r="A64" s="16">
        <f t="shared" si="0"/>
        <v>42324</v>
      </c>
      <c r="B64" s="26"/>
      <c r="C64" s="26">
        <f t="shared" si="1"/>
        <v>0.76</v>
      </c>
      <c r="D64" s="26">
        <f t="shared" si="2"/>
        <v>0.75</v>
      </c>
      <c r="H64" s="11">
        <v>42324</v>
      </c>
      <c r="I64" s="9">
        <v>0</v>
      </c>
      <c r="J64" s="9">
        <v>76</v>
      </c>
      <c r="K64" s="9">
        <v>75</v>
      </c>
    </row>
    <row r="65" spans="1:11" x14ac:dyDescent="0.4">
      <c r="A65" s="16">
        <f t="shared" si="0"/>
        <v>42331</v>
      </c>
      <c r="B65" s="26"/>
      <c r="C65" s="26">
        <f t="shared" si="1"/>
        <v>0.76</v>
      </c>
      <c r="D65" s="26">
        <f t="shared" si="2"/>
        <v>0.75</v>
      </c>
      <c r="H65" s="11">
        <v>42331</v>
      </c>
      <c r="I65" s="9">
        <v>0</v>
      </c>
      <c r="J65" s="9">
        <v>0</v>
      </c>
      <c r="K65" s="9">
        <v>75</v>
      </c>
    </row>
    <row r="66" spans="1:11" x14ac:dyDescent="0.4">
      <c r="A66" s="16">
        <f t="shared" si="0"/>
        <v>42338</v>
      </c>
      <c r="B66" s="26"/>
      <c r="C66" s="26">
        <f t="shared" si="1"/>
        <v>0.76</v>
      </c>
      <c r="D66" s="26">
        <f t="shared" si="2"/>
        <v>0.74</v>
      </c>
      <c r="H66" s="11">
        <v>42338</v>
      </c>
      <c r="I66" s="9">
        <v>0</v>
      </c>
      <c r="J66" s="9">
        <v>76</v>
      </c>
      <c r="K66" s="9">
        <v>74</v>
      </c>
    </row>
    <row r="67" spans="1:11" x14ac:dyDescent="0.4">
      <c r="A67" s="16">
        <f t="shared" si="0"/>
        <v>42345</v>
      </c>
      <c r="B67" s="26"/>
      <c r="C67" s="26">
        <f t="shared" si="1"/>
        <v>0.74</v>
      </c>
      <c r="D67" s="26">
        <f t="shared" si="2"/>
        <v>0.72</v>
      </c>
      <c r="H67" s="11">
        <v>42345</v>
      </c>
      <c r="I67" s="9">
        <v>0</v>
      </c>
      <c r="J67" s="9">
        <v>74</v>
      </c>
      <c r="K67" s="9">
        <v>72</v>
      </c>
    </row>
    <row r="68" spans="1:11" x14ac:dyDescent="0.4">
      <c r="A68" s="16">
        <f t="shared" si="0"/>
        <v>42352</v>
      </c>
      <c r="B68" s="26"/>
      <c r="C68" s="26">
        <f t="shared" si="1"/>
        <v>0.73</v>
      </c>
      <c r="D68" s="26">
        <f t="shared" si="2"/>
        <v>0.71</v>
      </c>
      <c r="H68" s="11">
        <v>42352</v>
      </c>
      <c r="I68" s="9">
        <v>0</v>
      </c>
      <c r="J68" s="9">
        <v>73</v>
      </c>
      <c r="K68" s="9">
        <v>71</v>
      </c>
    </row>
    <row r="69" spans="1:11" x14ac:dyDescent="0.4">
      <c r="A69" s="16">
        <f t="shared" ref="A69:A132" si="3">H69</f>
        <v>42359</v>
      </c>
      <c r="B69" s="26"/>
      <c r="C69" s="26">
        <f t="shared" si="1"/>
        <v>0.72</v>
      </c>
      <c r="D69" s="26">
        <f t="shared" si="2"/>
        <v>0.7</v>
      </c>
      <c r="H69" s="11">
        <v>42359</v>
      </c>
      <c r="I69" s="9">
        <v>0</v>
      </c>
      <c r="J69" s="9">
        <v>72</v>
      </c>
      <c r="K69" s="9">
        <v>70</v>
      </c>
    </row>
    <row r="70" spans="1:11" x14ac:dyDescent="0.4">
      <c r="A70" s="16">
        <f t="shared" si="3"/>
        <v>42366</v>
      </c>
      <c r="B70" s="26"/>
      <c r="C70" s="26">
        <f t="shared" ref="C70:C133" si="4">IF(J70&lt;&gt;0,J70/100,C69)</f>
        <v>0.7</v>
      </c>
      <c r="D70" s="26">
        <f t="shared" ref="D70:D133" si="5">IF(K70&lt;&gt;0,K70/100,D69)</f>
        <v>0.69</v>
      </c>
      <c r="H70" s="11">
        <v>42366</v>
      </c>
      <c r="I70" s="9">
        <v>0</v>
      </c>
      <c r="J70" s="9">
        <v>70</v>
      </c>
      <c r="K70" s="9">
        <v>69</v>
      </c>
    </row>
    <row r="71" spans="1:11" x14ac:dyDescent="0.4">
      <c r="A71" s="16">
        <f t="shared" si="3"/>
        <v>42373</v>
      </c>
      <c r="B71" s="26"/>
      <c r="C71" s="26">
        <f t="shared" si="4"/>
        <v>0.69</v>
      </c>
      <c r="D71" s="26">
        <f t="shared" si="5"/>
        <v>0.67</v>
      </c>
      <c r="H71" s="11">
        <v>42373</v>
      </c>
      <c r="I71" s="9">
        <v>0</v>
      </c>
      <c r="J71" s="9">
        <v>69</v>
      </c>
      <c r="K71" s="9">
        <v>67</v>
      </c>
    </row>
    <row r="72" spans="1:11" x14ac:dyDescent="0.4">
      <c r="A72" s="16">
        <f t="shared" si="3"/>
        <v>42380</v>
      </c>
      <c r="B72" s="26"/>
      <c r="C72" s="26">
        <f t="shared" si="4"/>
        <v>0.68</v>
      </c>
      <c r="D72" s="26">
        <f t="shared" si="5"/>
        <v>0.63</v>
      </c>
      <c r="H72" s="11">
        <v>42380</v>
      </c>
      <c r="I72" s="9">
        <v>0</v>
      </c>
      <c r="J72" s="9">
        <v>68</v>
      </c>
      <c r="K72" s="9">
        <v>63</v>
      </c>
    </row>
    <row r="73" spans="1:11" x14ac:dyDescent="0.4">
      <c r="A73" s="16">
        <f t="shared" si="3"/>
        <v>42388</v>
      </c>
      <c r="B73" s="26"/>
      <c r="C73" s="26">
        <f t="shared" si="4"/>
        <v>0.66</v>
      </c>
      <c r="D73" s="26">
        <f t="shared" si="5"/>
        <v>0.55000000000000004</v>
      </c>
      <c r="H73" s="11">
        <v>42388</v>
      </c>
      <c r="I73" s="9">
        <v>0</v>
      </c>
      <c r="J73" s="9">
        <v>66</v>
      </c>
      <c r="K73" s="9">
        <v>55</v>
      </c>
    </row>
    <row r="74" spans="1:11" x14ac:dyDescent="0.4">
      <c r="A74" s="16">
        <f t="shared" si="3"/>
        <v>42395</v>
      </c>
      <c r="B74" s="26"/>
      <c r="C74" s="26">
        <f t="shared" si="4"/>
        <v>0.63</v>
      </c>
      <c r="D74" s="26">
        <f t="shared" si="5"/>
        <v>0.53</v>
      </c>
      <c r="H74" s="11">
        <v>42395</v>
      </c>
      <c r="I74" s="9">
        <v>0</v>
      </c>
      <c r="J74" s="9">
        <v>63</v>
      </c>
      <c r="K74" s="9">
        <v>53</v>
      </c>
    </row>
    <row r="75" spans="1:11" x14ac:dyDescent="0.4">
      <c r="A75" s="16">
        <f t="shared" si="3"/>
        <v>42401</v>
      </c>
      <c r="B75" s="26"/>
      <c r="C75" s="26">
        <f t="shared" si="4"/>
        <v>0.53</v>
      </c>
      <c r="D75" s="26">
        <f t="shared" si="5"/>
        <v>0.2</v>
      </c>
      <c r="H75" s="11">
        <v>42401</v>
      </c>
      <c r="I75" s="9">
        <v>0</v>
      </c>
      <c r="J75" s="9">
        <v>53</v>
      </c>
      <c r="K75" s="9">
        <v>20</v>
      </c>
    </row>
    <row r="76" spans="1:11" x14ac:dyDescent="0.4">
      <c r="A76" s="16">
        <f t="shared" si="3"/>
        <v>42416</v>
      </c>
      <c r="B76" s="26"/>
      <c r="C76" s="26">
        <f t="shared" si="4"/>
        <v>0.62</v>
      </c>
      <c r="D76" s="26">
        <f t="shared" si="5"/>
        <v>0.25</v>
      </c>
      <c r="H76" s="11">
        <v>42416</v>
      </c>
      <c r="I76" s="9">
        <v>0</v>
      </c>
      <c r="J76" s="9">
        <v>62</v>
      </c>
      <c r="K76" s="9">
        <v>25</v>
      </c>
    </row>
    <row r="77" spans="1:11" x14ac:dyDescent="0.4">
      <c r="A77" s="16">
        <f t="shared" si="3"/>
        <v>42423</v>
      </c>
      <c r="B77" s="26"/>
      <c r="C77" s="26">
        <f t="shared" si="4"/>
        <v>0.66</v>
      </c>
      <c r="D77" s="26">
        <f t="shared" si="5"/>
        <v>0.3</v>
      </c>
      <c r="H77" s="11">
        <v>42423</v>
      </c>
      <c r="I77" s="9">
        <v>0</v>
      </c>
      <c r="J77" s="9">
        <v>66</v>
      </c>
      <c r="K77" s="9">
        <v>30</v>
      </c>
    </row>
    <row r="78" spans="1:11" x14ac:dyDescent="0.4">
      <c r="A78" s="16">
        <f t="shared" si="3"/>
        <v>42430</v>
      </c>
      <c r="B78" s="26"/>
      <c r="C78" s="26">
        <f t="shared" si="4"/>
        <v>0.73</v>
      </c>
      <c r="D78" s="26">
        <f t="shared" si="5"/>
        <v>0.57999999999999996</v>
      </c>
      <c r="H78" s="11">
        <v>42430</v>
      </c>
      <c r="I78" s="9">
        <v>0</v>
      </c>
      <c r="J78" s="9">
        <v>73</v>
      </c>
      <c r="K78" s="9">
        <v>58</v>
      </c>
    </row>
    <row r="79" spans="1:11" x14ac:dyDescent="0.4">
      <c r="A79" s="16">
        <f t="shared" si="3"/>
        <v>42437</v>
      </c>
      <c r="B79" s="26"/>
      <c r="C79" s="26">
        <f t="shared" si="4"/>
        <v>0.74</v>
      </c>
      <c r="D79" s="26">
        <f t="shared" si="5"/>
        <v>0.75</v>
      </c>
      <c r="H79" s="11">
        <v>42437</v>
      </c>
      <c r="I79" s="9">
        <v>0</v>
      </c>
      <c r="J79" s="9">
        <v>74</v>
      </c>
      <c r="K79" s="9">
        <v>75</v>
      </c>
    </row>
    <row r="80" spans="1:11" x14ac:dyDescent="0.4">
      <c r="A80" s="16">
        <f t="shared" si="3"/>
        <v>42440</v>
      </c>
      <c r="B80" s="26"/>
      <c r="C80" s="26">
        <f t="shared" si="4"/>
        <v>0.75</v>
      </c>
      <c r="D80" s="26">
        <f t="shared" si="5"/>
        <v>0.85</v>
      </c>
      <c r="H80" s="11">
        <v>42440</v>
      </c>
      <c r="I80" s="9">
        <v>0</v>
      </c>
      <c r="J80" s="9">
        <v>75</v>
      </c>
      <c r="K80" s="9">
        <v>85</v>
      </c>
    </row>
    <row r="81" spans="1:11" x14ac:dyDescent="0.4">
      <c r="A81" s="16">
        <f t="shared" si="3"/>
        <v>42447</v>
      </c>
      <c r="B81" s="26"/>
      <c r="C81" s="26">
        <f t="shared" si="4"/>
        <v>0.78</v>
      </c>
      <c r="D81" s="26">
        <f t="shared" si="5"/>
        <v>0.87</v>
      </c>
      <c r="H81" s="11">
        <v>42447</v>
      </c>
      <c r="I81" s="9">
        <v>0</v>
      </c>
      <c r="J81" s="9">
        <v>78</v>
      </c>
      <c r="K81" s="9">
        <v>87</v>
      </c>
    </row>
    <row r="82" spans="1:11" x14ac:dyDescent="0.4">
      <c r="A82" s="16">
        <f t="shared" si="3"/>
        <v>42496</v>
      </c>
      <c r="B82" s="26"/>
      <c r="C82" s="26">
        <f t="shared" si="4"/>
        <v>0.75</v>
      </c>
      <c r="D82" s="26">
        <f t="shared" si="5"/>
        <v>0.73499999999999999</v>
      </c>
      <c r="H82" s="11">
        <v>42496</v>
      </c>
      <c r="I82" s="9">
        <v>0</v>
      </c>
      <c r="J82" s="9">
        <v>75</v>
      </c>
      <c r="K82" s="9">
        <v>73.5</v>
      </c>
    </row>
    <row r="83" spans="1:11" x14ac:dyDescent="0.4">
      <c r="A83" s="16">
        <f t="shared" si="3"/>
        <v>42503</v>
      </c>
      <c r="B83" s="26"/>
      <c r="C83" s="26">
        <f t="shared" si="4"/>
        <v>0.75</v>
      </c>
      <c r="D83" s="26">
        <f t="shared" si="5"/>
        <v>0.71</v>
      </c>
      <c r="H83" s="11">
        <v>42503</v>
      </c>
      <c r="I83" s="9">
        <v>0</v>
      </c>
      <c r="J83" s="9">
        <v>75</v>
      </c>
      <c r="K83" s="9">
        <v>71</v>
      </c>
    </row>
    <row r="84" spans="1:11" x14ac:dyDescent="0.4">
      <c r="A84" s="16">
        <f t="shared" si="3"/>
        <v>42510</v>
      </c>
      <c r="B84" s="26"/>
      <c r="C84" s="26">
        <f t="shared" si="4"/>
        <v>0.75</v>
      </c>
      <c r="D84" s="26">
        <f t="shared" si="5"/>
        <v>0.745</v>
      </c>
      <c r="H84" s="11">
        <v>42510</v>
      </c>
      <c r="I84" s="9">
        <v>0</v>
      </c>
      <c r="J84" s="9">
        <v>75</v>
      </c>
      <c r="K84" s="9">
        <v>74.5</v>
      </c>
    </row>
    <row r="85" spans="1:11" x14ac:dyDescent="0.4">
      <c r="A85" s="16">
        <f t="shared" si="3"/>
        <v>42516</v>
      </c>
      <c r="B85" s="26">
        <f>IF(I85&lt;&gt;0,I85/100,B84)</f>
        <v>0.75209999999999999</v>
      </c>
      <c r="C85" s="26">
        <f t="shared" si="4"/>
        <v>0.75</v>
      </c>
      <c r="D85" s="26">
        <f t="shared" si="5"/>
        <v>0.745</v>
      </c>
      <c r="H85" s="11">
        <v>42516</v>
      </c>
      <c r="I85" s="9">
        <v>75.209999999999994</v>
      </c>
      <c r="J85" s="9">
        <v>0</v>
      </c>
      <c r="K85" s="9">
        <v>0</v>
      </c>
    </row>
    <row r="86" spans="1:11" x14ac:dyDescent="0.4">
      <c r="A86" s="16">
        <f t="shared" si="3"/>
        <v>42517</v>
      </c>
      <c r="B86" s="26">
        <f t="shared" ref="B86:B149" si="6">IF(I86&lt;&gt;0,I86/100,B85)</f>
        <v>0.75209999999999999</v>
      </c>
      <c r="C86" s="26">
        <f t="shared" si="4"/>
        <v>0.75</v>
      </c>
      <c r="D86" s="26">
        <f t="shared" si="5"/>
        <v>0.745</v>
      </c>
      <c r="H86" s="11">
        <v>42517</v>
      </c>
      <c r="I86" s="9">
        <v>0</v>
      </c>
      <c r="J86" s="9">
        <v>75</v>
      </c>
      <c r="K86" s="9">
        <v>74.5</v>
      </c>
    </row>
    <row r="87" spans="1:11" x14ac:dyDescent="0.4">
      <c r="A87" s="16">
        <f t="shared" si="3"/>
        <v>42523</v>
      </c>
      <c r="B87" s="26">
        <f t="shared" si="6"/>
        <v>0.79720000000000002</v>
      </c>
      <c r="C87" s="26">
        <f t="shared" si="4"/>
        <v>0.75</v>
      </c>
      <c r="D87" s="26">
        <f t="shared" si="5"/>
        <v>0.745</v>
      </c>
      <c r="H87" s="11">
        <v>42523</v>
      </c>
      <c r="I87" s="9">
        <v>79.72</v>
      </c>
      <c r="J87" s="9">
        <v>0</v>
      </c>
      <c r="K87" s="9">
        <v>0</v>
      </c>
    </row>
    <row r="88" spans="1:11" x14ac:dyDescent="0.4">
      <c r="A88" s="16">
        <f t="shared" si="3"/>
        <v>42524</v>
      </c>
      <c r="B88" s="26">
        <f t="shared" si="6"/>
        <v>0.79720000000000002</v>
      </c>
      <c r="C88" s="26">
        <f t="shared" si="4"/>
        <v>0.75</v>
      </c>
      <c r="D88" s="26">
        <f t="shared" si="5"/>
        <v>0.745</v>
      </c>
      <c r="H88" s="11">
        <v>42524</v>
      </c>
      <c r="I88" s="9">
        <v>0</v>
      </c>
      <c r="J88" s="9">
        <v>75</v>
      </c>
      <c r="K88" s="9">
        <v>74.5</v>
      </c>
    </row>
    <row r="89" spans="1:11" x14ac:dyDescent="0.4">
      <c r="A89" s="16">
        <f t="shared" si="3"/>
        <v>42530</v>
      </c>
      <c r="B89" s="26">
        <f t="shared" si="6"/>
        <v>0.80430000000000001</v>
      </c>
      <c r="C89" s="26">
        <f t="shared" si="4"/>
        <v>0.75</v>
      </c>
      <c r="D89" s="26">
        <f t="shared" si="5"/>
        <v>0.745</v>
      </c>
      <c r="H89" s="11">
        <v>42530</v>
      </c>
      <c r="I89" s="9">
        <v>80.430000000000007</v>
      </c>
      <c r="J89" s="9">
        <v>0</v>
      </c>
      <c r="K89" s="9">
        <v>0</v>
      </c>
    </row>
    <row r="90" spans="1:11" x14ac:dyDescent="0.4">
      <c r="A90" s="16">
        <f t="shared" si="3"/>
        <v>42534</v>
      </c>
      <c r="B90" s="26">
        <f t="shared" si="6"/>
        <v>0.80430000000000001</v>
      </c>
      <c r="C90" s="26">
        <f t="shared" si="4"/>
        <v>0.745</v>
      </c>
      <c r="D90" s="26">
        <f t="shared" si="5"/>
        <v>0.74</v>
      </c>
      <c r="H90" s="11">
        <v>42534</v>
      </c>
      <c r="I90" s="9">
        <v>0</v>
      </c>
      <c r="J90" s="9">
        <v>74.5</v>
      </c>
      <c r="K90" s="9">
        <v>74</v>
      </c>
    </row>
    <row r="91" spans="1:11" x14ac:dyDescent="0.4">
      <c r="A91" s="16">
        <f t="shared" si="3"/>
        <v>42537</v>
      </c>
      <c r="B91" s="26">
        <f t="shared" si="6"/>
        <v>0.79519999999999991</v>
      </c>
      <c r="C91" s="26">
        <f t="shared" si="4"/>
        <v>0.745</v>
      </c>
      <c r="D91" s="26">
        <f t="shared" si="5"/>
        <v>0.74</v>
      </c>
      <c r="H91" s="11">
        <v>42537</v>
      </c>
      <c r="I91" s="9">
        <v>79.52</v>
      </c>
      <c r="J91" s="9">
        <v>0</v>
      </c>
      <c r="K91" s="9">
        <v>0</v>
      </c>
    </row>
    <row r="92" spans="1:11" x14ac:dyDescent="0.4">
      <c r="A92" s="16">
        <f t="shared" si="3"/>
        <v>42538</v>
      </c>
      <c r="B92" s="26">
        <f t="shared" si="6"/>
        <v>0.79519999999999991</v>
      </c>
      <c r="C92" s="26">
        <f t="shared" si="4"/>
        <v>0.75800000000000001</v>
      </c>
      <c r="D92" s="26">
        <f t="shared" si="5"/>
        <v>0.71499999999999997</v>
      </c>
      <c r="H92" s="11">
        <v>42538</v>
      </c>
      <c r="I92" s="9">
        <v>0</v>
      </c>
      <c r="J92" s="9">
        <v>75.8</v>
      </c>
      <c r="K92" s="9">
        <v>71.5</v>
      </c>
    </row>
    <row r="93" spans="1:11" x14ac:dyDescent="0.4">
      <c r="A93" s="16">
        <f t="shared" si="3"/>
        <v>42544</v>
      </c>
      <c r="B93" s="26">
        <f t="shared" si="6"/>
        <v>0.7904000000000001</v>
      </c>
      <c r="C93" s="26">
        <f t="shared" si="4"/>
        <v>0.75800000000000001</v>
      </c>
      <c r="D93" s="26">
        <f t="shared" si="5"/>
        <v>0.71499999999999997</v>
      </c>
      <c r="H93" s="11">
        <v>42544</v>
      </c>
      <c r="I93" s="9">
        <v>79.040000000000006</v>
      </c>
      <c r="J93" s="9">
        <v>0</v>
      </c>
      <c r="K93" s="9">
        <v>0</v>
      </c>
    </row>
    <row r="94" spans="1:11" x14ac:dyDescent="0.4">
      <c r="A94" s="16">
        <f t="shared" si="3"/>
        <v>42545</v>
      </c>
      <c r="B94" s="26">
        <f t="shared" si="6"/>
        <v>0.7904000000000001</v>
      </c>
      <c r="C94" s="26">
        <f t="shared" si="4"/>
        <v>0.75800000000000001</v>
      </c>
      <c r="D94" s="26">
        <f t="shared" si="5"/>
        <v>0.71499999999999997</v>
      </c>
      <c r="H94" s="11">
        <v>42545</v>
      </c>
      <c r="I94" s="9">
        <v>0</v>
      </c>
      <c r="J94" s="9">
        <v>75.8</v>
      </c>
      <c r="K94" s="9">
        <v>71.5</v>
      </c>
    </row>
    <row r="95" spans="1:11" x14ac:dyDescent="0.4">
      <c r="A95" s="16">
        <f t="shared" si="3"/>
        <v>42551</v>
      </c>
      <c r="B95" s="26">
        <f t="shared" si="6"/>
        <v>0.7883</v>
      </c>
      <c r="C95" s="26">
        <f t="shared" si="4"/>
        <v>0.75800000000000001</v>
      </c>
      <c r="D95" s="26">
        <f t="shared" si="5"/>
        <v>0.71499999999999997</v>
      </c>
      <c r="H95" s="11">
        <v>42551</v>
      </c>
      <c r="I95" s="9">
        <v>78.83</v>
      </c>
      <c r="J95" s="9">
        <v>0</v>
      </c>
      <c r="K95" s="9">
        <v>0</v>
      </c>
    </row>
    <row r="96" spans="1:11" x14ac:dyDescent="0.4">
      <c r="A96" s="16">
        <f t="shared" si="3"/>
        <v>42552</v>
      </c>
      <c r="B96" s="26">
        <f t="shared" si="6"/>
        <v>0.7883</v>
      </c>
      <c r="C96" s="26">
        <f t="shared" si="4"/>
        <v>0.75800000000000001</v>
      </c>
      <c r="D96" s="26">
        <f t="shared" si="5"/>
        <v>0.71499999999999997</v>
      </c>
      <c r="H96" s="11">
        <v>42552</v>
      </c>
      <c r="I96" s="9">
        <v>0</v>
      </c>
      <c r="J96" s="9">
        <v>75.8</v>
      </c>
      <c r="K96" s="9">
        <v>71.5</v>
      </c>
    </row>
    <row r="97" spans="1:11" x14ac:dyDescent="0.4">
      <c r="A97" s="16">
        <f t="shared" si="3"/>
        <v>42558</v>
      </c>
      <c r="B97" s="26">
        <f t="shared" si="6"/>
        <v>0.72739999999999994</v>
      </c>
      <c r="C97" s="26">
        <f t="shared" si="4"/>
        <v>0.75800000000000001</v>
      </c>
      <c r="D97" s="26">
        <f t="shared" si="5"/>
        <v>0.71499999999999997</v>
      </c>
      <c r="H97" s="11">
        <v>42558</v>
      </c>
      <c r="I97" s="9">
        <v>72.739999999999995</v>
      </c>
      <c r="J97" s="9">
        <v>0</v>
      </c>
      <c r="K97" s="9">
        <v>0</v>
      </c>
    </row>
    <row r="98" spans="1:11" x14ac:dyDescent="0.4">
      <c r="A98" s="16">
        <f t="shared" si="3"/>
        <v>42559</v>
      </c>
      <c r="B98" s="26">
        <f t="shared" si="6"/>
        <v>0.72739999999999994</v>
      </c>
      <c r="C98" s="26">
        <f t="shared" si="4"/>
        <v>0.75800000000000001</v>
      </c>
      <c r="D98" s="26">
        <f t="shared" si="5"/>
        <v>0.70499999999999996</v>
      </c>
      <c r="H98" s="11">
        <v>42559</v>
      </c>
      <c r="I98" s="9">
        <v>0</v>
      </c>
      <c r="J98" s="9">
        <v>75.8</v>
      </c>
      <c r="K98" s="9">
        <v>70.5</v>
      </c>
    </row>
    <row r="99" spans="1:11" x14ac:dyDescent="0.4">
      <c r="A99" s="16">
        <f t="shared" si="3"/>
        <v>42565</v>
      </c>
      <c r="B99" s="26">
        <f t="shared" si="6"/>
        <v>0.70299999999999996</v>
      </c>
      <c r="C99" s="26">
        <f t="shared" si="4"/>
        <v>0.75800000000000001</v>
      </c>
      <c r="D99" s="26">
        <f t="shared" si="5"/>
        <v>0.70499999999999996</v>
      </c>
      <c r="H99" s="11">
        <v>42565</v>
      </c>
      <c r="I99" s="9">
        <v>70.3</v>
      </c>
      <c r="J99" s="9">
        <v>0</v>
      </c>
      <c r="K99" s="9">
        <v>0</v>
      </c>
    </row>
    <row r="100" spans="1:11" x14ac:dyDescent="0.4">
      <c r="A100" s="16">
        <f t="shared" si="3"/>
        <v>42566</v>
      </c>
      <c r="B100" s="26">
        <f t="shared" si="6"/>
        <v>0.70299999999999996</v>
      </c>
      <c r="C100" s="26">
        <f t="shared" si="4"/>
        <v>0.75800000000000001</v>
      </c>
      <c r="D100" s="26">
        <f t="shared" si="5"/>
        <v>0.68500000000000005</v>
      </c>
      <c r="H100" s="11">
        <v>42566</v>
      </c>
      <c r="I100" s="9">
        <v>0</v>
      </c>
      <c r="J100" s="9">
        <v>75.8</v>
      </c>
      <c r="K100" s="9">
        <v>68.5</v>
      </c>
    </row>
    <row r="101" spans="1:11" x14ac:dyDescent="0.4">
      <c r="A101" s="16">
        <f t="shared" si="3"/>
        <v>42569</v>
      </c>
      <c r="B101" s="26">
        <f t="shared" si="6"/>
        <v>0.70299999999999996</v>
      </c>
      <c r="C101" s="26">
        <f t="shared" si="4"/>
        <v>0.75800000000000001</v>
      </c>
      <c r="D101" s="26">
        <f t="shared" si="5"/>
        <v>0.68500000000000005</v>
      </c>
      <c r="H101" s="11">
        <v>42569</v>
      </c>
      <c r="I101" s="9">
        <v>0</v>
      </c>
      <c r="J101" s="9">
        <v>75.8</v>
      </c>
      <c r="K101" s="9">
        <v>68.5</v>
      </c>
    </row>
    <row r="102" spans="1:11" x14ac:dyDescent="0.4">
      <c r="A102" s="16">
        <f t="shared" si="3"/>
        <v>42572</v>
      </c>
      <c r="B102" s="26">
        <f t="shared" si="6"/>
        <v>0.67049999999999998</v>
      </c>
      <c r="C102" s="26">
        <f t="shared" si="4"/>
        <v>0.75800000000000001</v>
      </c>
      <c r="D102" s="26">
        <f t="shared" si="5"/>
        <v>0.68500000000000005</v>
      </c>
      <c r="H102" s="11">
        <v>42572</v>
      </c>
      <c r="I102" s="9">
        <v>67.05</v>
      </c>
      <c r="J102" s="9">
        <v>0</v>
      </c>
      <c r="K102" s="9">
        <v>0</v>
      </c>
    </row>
    <row r="103" spans="1:11" x14ac:dyDescent="0.4">
      <c r="A103" s="16">
        <f t="shared" si="3"/>
        <v>42573</v>
      </c>
      <c r="B103" s="26">
        <f t="shared" si="6"/>
        <v>0.67049999999999998</v>
      </c>
      <c r="C103" s="26">
        <f t="shared" si="4"/>
        <v>0.75800000000000001</v>
      </c>
      <c r="D103" s="26">
        <f t="shared" si="5"/>
        <v>0.68</v>
      </c>
      <c r="H103" s="11">
        <v>42573</v>
      </c>
      <c r="I103" s="9">
        <v>0</v>
      </c>
      <c r="J103" s="9">
        <v>75.8</v>
      </c>
      <c r="K103" s="9">
        <v>68</v>
      </c>
    </row>
    <row r="104" spans="1:11" x14ac:dyDescent="0.4">
      <c r="A104" s="16">
        <f t="shared" si="3"/>
        <v>42576</v>
      </c>
      <c r="B104" s="26">
        <f t="shared" si="6"/>
        <v>0.67049999999999998</v>
      </c>
      <c r="C104" s="26">
        <f t="shared" si="4"/>
        <v>0.75800000000000001</v>
      </c>
      <c r="D104" s="26">
        <f t="shared" si="5"/>
        <v>0.68</v>
      </c>
      <c r="H104" s="11">
        <v>42576</v>
      </c>
      <c r="I104" s="9">
        <v>0</v>
      </c>
      <c r="J104" s="9">
        <v>75.8</v>
      </c>
      <c r="K104" s="9">
        <v>68</v>
      </c>
    </row>
    <row r="105" spans="1:11" x14ac:dyDescent="0.4">
      <c r="A105" s="16">
        <f t="shared" si="3"/>
        <v>42579</v>
      </c>
      <c r="B105" s="26">
        <f t="shared" si="6"/>
        <v>0.66549999999999998</v>
      </c>
      <c r="C105" s="26">
        <f t="shared" si="4"/>
        <v>0.75800000000000001</v>
      </c>
      <c r="D105" s="26">
        <f t="shared" si="5"/>
        <v>0.68</v>
      </c>
      <c r="H105" s="11">
        <v>42579</v>
      </c>
      <c r="I105" s="9">
        <v>66.55</v>
      </c>
      <c r="J105" s="9">
        <v>0</v>
      </c>
      <c r="K105" s="9">
        <v>0</v>
      </c>
    </row>
    <row r="106" spans="1:11" x14ac:dyDescent="0.4">
      <c r="A106" s="16">
        <f t="shared" si="3"/>
        <v>42580</v>
      </c>
      <c r="B106" s="26">
        <f t="shared" si="6"/>
        <v>0.66549999999999998</v>
      </c>
      <c r="C106" s="26">
        <f t="shared" si="4"/>
        <v>0.75800000000000001</v>
      </c>
      <c r="D106" s="26">
        <f t="shared" si="5"/>
        <v>0.65</v>
      </c>
      <c r="H106" s="11">
        <v>42580</v>
      </c>
      <c r="I106" s="9">
        <v>0</v>
      </c>
      <c r="J106" s="9">
        <v>75.8</v>
      </c>
      <c r="K106" s="9">
        <v>65</v>
      </c>
    </row>
    <row r="107" spans="1:11" x14ac:dyDescent="0.4">
      <c r="A107" s="16">
        <f t="shared" si="3"/>
        <v>42586</v>
      </c>
      <c r="B107" s="26">
        <f t="shared" si="6"/>
        <v>0.68099999999999994</v>
      </c>
      <c r="C107" s="26">
        <f t="shared" si="4"/>
        <v>0.75800000000000001</v>
      </c>
      <c r="D107" s="26">
        <f t="shared" si="5"/>
        <v>0.65</v>
      </c>
      <c r="H107" s="11">
        <v>42586</v>
      </c>
      <c r="I107" s="9">
        <v>68.099999999999994</v>
      </c>
      <c r="J107" s="9">
        <v>0</v>
      </c>
      <c r="K107" s="9">
        <v>0</v>
      </c>
    </row>
    <row r="108" spans="1:11" x14ac:dyDescent="0.4">
      <c r="A108" s="16">
        <f t="shared" si="3"/>
        <v>42587</v>
      </c>
      <c r="B108" s="26">
        <f t="shared" si="6"/>
        <v>0.68099999999999994</v>
      </c>
      <c r="C108" s="26">
        <f t="shared" si="4"/>
        <v>0.75800000000000001</v>
      </c>
      <c r="D108" s="26">
        <f t="shared" si="5"/>
        <v>0.61</v>
      </c>
      <c r="H108" s="11">
        <v>42587</v>
      </c>
      <c r="I108" s="9">
        <v>0</v>
      </c>
      <c r="J108" s="9">
        <v>75.8</v>
      </c>
      <c r="K108" s="9">
        <v>61</v>
      </c>
    </row>
    <row r="109" spans="1:11" x14ac:dyDescent="0.4">
      <c r="A109" s="16">
        <f t="shared" si="3"/>
        <v>42590</v>
      </c>
      <c r="B109" s="26">
        <f t="shared" si="6"/>
        <v>0.68099999999999994</v>
      </c>
      <c r="C109" s="26">
        <f t="shared" si="4"/>
        <v>0.75800000000000001</v>
      </c>
      <c r="D109" s="26">
        <f t="shared" si="5"/>
        <v>0.61</v>
      </c>
      <c r="H109" s="11">
        <v>42590</v>
      </c>
      <c r="I109" s="9">
        <v>0</v>
      </c>
      <c r="J109" s="9">
        <v>75.8</v>
      </c>
      <c r="K109" s="9">
        <v>61</v>
      </c>
    </row>
    <row r="110" spans="1:11" x14ac:dyDescent="0.4">
      <c r="A110" s="16">
        <f t="shared" si="3"/>
        <v>42593</v>
      </c>
      <c r="B110" s="26">
        <f t="shared" si="6"/>
        <v>0.67110000000000003</v>
      </c>
      <c r="C110" s="26">
        <f t="shared" si="4"/>
        <v>0.75800000000000001</v>
      </c>
      <c r="D110" s="26">
        <f t="shared" si="5"/>
        <v>0.61</v>
      </c>
      <c r="H110" s="11">
        <v>42593</v>
      </c>
      <c r="I110" s="9">
        <v>67.11</v>
      </c>
      <c r="J110" s="9">
        <v>0</v>
      </c>
      <c r="K110" s="9">
        <v>0</v>
      </c>
    </row>
    <row r="111" spans="1:11" x14ac:dyDescent="0.4">
      <c r="A111" s="16">
        <f t="shared" si="3"/>
        <v>42594</v>
      </c>
      <c r="B111" s="26">
        <f t="shared" si="6"/>
        <v>0.67110000000000003</v>
      </c>
      <c r="C111" s="26">
        <f t="shared" si="4"/>
        <v>0.75800000000000001</v>
      </c>
      <c r="D111" s="26">
        <f t="shared" si="5"/>
        <v>0.64</v>
      </c>
      <c r="H111" s="11">
        <v>42594</v>
      </c>
      <c r="I111" s="9">
        <v>0</v>
      </c>
      <c r="J111" s="9">
        <v>75.8</v>
      </c>
      <c r="K111" s="9">
        <v>64</v>
      </c>
    </row>
    <row r="112" spans="1:11" x14ac:dyDescent="0.4">
      <c r="A112" s="16">
        <f t="shared" si="3"/>
        <v>42597</v>
      </c>
      <c r="B112" s="26">
        <f t="shared" si="6"/>
        <v>0.67110000000000003</v>
      </c>
      <c r="C112" s="26">
        <f t="shared" si="4"/>
        <v>0.75800000000000001</v>
      </c>
      <c r="D112" s="26">
        <f t="shared" si="5"/>
        <v>0.64</v>
      </c>
      <c r="H112" s="11">
        <v>42597</v>
      </c>
      <c r="I112" s="9">
        <v>0</v>
      </c>
      <c r="J112" s="9">
        <v>75.8</v>
      </c>
      <c r="K112" s="9">
        <v>64</v>
      </c>
    </row>
    <row r="113" spans="1:11" x14ac:dyDescent="0.4">
      <c r="A113" s="16">
        <f t="shared" si="3"/>
        <v>42600</v>
      </c>
      <c r="B113" s="26">
        <f t="shared" si="6"/>
        <v>0.62429999999999997</v>
      </c>
      <c r="C113" s="26">
        <f t="shared" si="4"/>
        <v>0.75800000000000001</v>
      </c>
      <c r="D113" s="26">
        <f t="shared" si="5"/>
        <v>0.64</v>
      </c>
      <c r="H113" s="11">
        <v>42600</v>
      </c>
      <c r="I113" s="9">
        <v>62.43</v>
      </c>
      <c r="J113" s="9">
        <v>0</v>
      </c>
      <c r="K113" s="9">
        <v>0</v>
      </c>
    </row>
    <row r="114" spans="1:11" x14ac:dyDescent="0.4">
      <c r="A114" s="16">
        <f t="shared" si="3"/>
        <v>42601</v>
      </c>
      <c r="B114" s="26">
        <f t="shared" si="6"/>
        <v>0.62429999999999997</v>
      </c>
      <c r="C114" s="26">
        <f t="shared" si="4"/>
        <v>0.755</v>
      </c>
      <c r="D114" s="26">
        <f t="shared" si="5"/>
        <v>0.68</v>
      </c>
      <c r="H114" s="11">
        <v>42601</v>
      </c>
      <c r="I114" s="9">
        <v>0</v>
      </c>
      <c r="J114" s="9">
        <v>75.5</v>
      </c>
      <c r="K114" s="9">
        <v>68</v>
      </c>
    </row>
    <row r="115" spans="1:11" x14ac:dyDescent="0.4">
      <c r="A115" s="16">
        <f t="shared" si="3"/>
        <v>42604</v>
      </c>
      <c r="B115" s="26">
        <f t="shared" si="6"/>
        <v>0.62429999999999997</v>
      </c>
      <c r="C115" s="26">
        <f t="shared" si="4"/>
        <v>0.755</v>
      </c>
      <c r="D115" s="26">
        <f t="shared" si="5"/>
        <v>0.68</v>
      </c>
      <c r="H115" s="11">
        <v>42604</v>
      </c>
      <c r="I115" s="9">
        <v>0</v>
      </c>
      <c r="J115" s="9">
        <v>75.5</v>
      </c>
      <c r="K115" s="9">
        <v>68</v>
      </c>
    </row>
    <row r="116" spans="1:11" x14ac:dyDescent="0.4">
      <c r="A116" s="16">
        <f t="shared" si="3"/>
        <v>42607</v>
      </c>
      <c r="B116" s="26">
        <f t="shared" si="6"/>
        <v>0.60130000000000006</v>
      </c>
      <c r="C116" s="26">
        <f t="shared" si="4"/>
        <v>0.755</v>
      </c>
      <c r="D116" s="26">
        <f t="shared" si="5"/>
        <v>0.68</v>
      </c>
      <c r="H116" s="11">
        <v>42607</v>
      </c>
      <c r="I116" s="9">
        <v>60.13</v>
      </c>
      <c r="J116" s="9">
        <v>0</v>
      </c>
      <c r="K116" s="9">
        <v>0</v>
      </c>
    </row>
    <row r="117" spans="1:11" x14ac:dyDescent="0.4">
      <c r="A117" s="16">
        <f t="shared" si="3"/>
        <v>42608</v>
      </c>
      <c r="B117" s="26">
        <f t="shared" si="6"/>
        <v>0.60130000000000006</v>
      </c>
      <c r="C117" s="26">
        <f t="shared" si="4"/>
        <v>0.5</v>
      </c>
      <c r="D117" s="26">
        <f t="shared" si="5"/>
        <v>0.63</v>
      </c>
      <c r="H117" s="11">
        <v>42608</v>
      </c>
      <c r="I117" s="9">
        <v>0</v>
      </c>
      <c r="J117" s="9">
        <v>50</v>
      </c>
      <c r="K117" s="9">
        <v>63</v>
      </c>
    </row>
    <row r="118" spans="1:11" x14ac:dyDescent="0.4">
      <c r="A118" s="16">
        <f t="shared" si="3"/>
        <v>42611</v>
      </c>
      <c r="B118" s="26">
        <f t="shared" si="6"/>
        <v>0.60130000000000006</v>
      </c>
      <c r="C118" s="26">
        <f t="shared" si="4"/>
        <v>0.5</v>
      </c>
      <c r="D118" s="26">
        <f t="shared" si="5"/>
        <v>0.63</v>
      </c>
      <c r="H118" s="11">
        <v>42611</v>
      </c>
      <c r="I118" s="9">
        <v>0</v>
      </c>
      <c r="J118" s="9">
        <v>50</v>
      </c>
      <c r="K118" s="9">
        <v>63</v>
      </c>
    </row>
    <row r="119" spans="1:11" x14ac:dyDescent="0.4">
      <c r="A119" s="16">
        <f t="shared" si="3"/>
        <v>42614</v>
      </c>
      <c r="B119" s="26">
        <f t="shared" si="6"/>
        <v>0.58200000000000007</v>
      </c>
      <c r="C119" s="26">
        <f t="shared" si="4"/>
        <v>0.5</v>
      </c>
      <c r="D119" s="26">
        <f t="shared" si="5"/>
        <v>0.63</v>
      </c>
      <c r="H119" s="11">
        <v>42614</v>
      </c>
      <c r="I119" s="9">
        <v>58.2</v>
      </c>
      <c r="J119" s="9">
        <v>0</v>
      </c>
      <c r="K119" s="9">
        <v>0</v>
      </c>
    </row>
    <row r="120" spans="1:11" x14ac:dyDescent="0.4">
      <c r="A120" s="16">
        <f t="shared" si="3"/>
        <v>42615</v>
      </c>
      <c r="B120" s="26">
        <f t="shared" si="6"/>
        <v>0.58200000000000007</v>
      </c>
      <c r="C120" s="26">
        <f t="shared" si="4"/>
        <v>0.5</v>
      </c>
      <c r="D120" s="26">
        <f t="shared" si="5"/>
        <v>0.61499999999999999</v>
      </c>
      <c r="H120" s="11">
        <v>42615</v>
      </c>
      <c r="I120" s="9">
        <v>0</v>
      </c>
      <c r="J120" s="9">
        <v>50</v>
      </c>
      <c r="K120" s="9">
        <v>61.5</v>
      </c>
    </row>
    <row r="121" spans="1:11" x14ac:dyDescent="0.4">
      <c r="A121" s="16">
        <f t="shared" si="3"/>
        <v>42621</v>
      </c>
      <c r="B121" s="26">
        <f t="shared" si="6"/>
        <v>0.58889999999999998</v>
      </c>
      <c r="C121" s="26">
        <f t="shared" si="4"/>
        <v>0.5</v>
      </c>
      <c r="D121" s="26">
        <f t="shared" si="5"/>
        <v>0.61499999999999999</v>
      </c>
      <c r="H121" s="11">
        <v>42621</v>
      </c>
      <c r="I121" s="9">
        <v>58.89</v>
      </c>
      <c r="J121" s="9">
        <v>0</v>
      </c>
      <c r="K121" s="9">
        <v>0</v>
      </c>
    </row>
    <row r="122" spans="1:11" x14ac:dyDescent="0.4">
      <c r="A122" s="16">
        <f t="shared" si="3"/>
        <v>42622</v>
      </c>
      <c r="B122" s="26">
        <f t="shared" si="6"/>
        <v>0.58889999999999998</v>
      </c>
      <c r="C122" s="26">
        <f t="shared" si="4"/>
        <v>0.55000000000000004</v>
      </c>
      <c r="D122" s="26">
        <f t="shared" si="5"/>
        <v>0.71499999999999997</v>
      </c>
      <c r="H122" s="11">
        <v>42622</v>
      </c>
      <c r="I122" s="9">
        <v>0</v>
      </c>
      <c r="J122" s="9">
        <v>55</v>
      </c>
      <c r="K122" s="9">
        <v>71.5</v>
      </c>
    </row>
    <row r="123" spans="1:11" x14ac:dyDescent="0.4">
      <c r="A123" s="16">
        <f t="shared" si="3"/>
        <v>42628</v>
      </c>
      <c r="B123" s="26">
        <f t="shared" si="6"/>
        <v>0.61119999999999997</v>
      </c>
      <c r="C123" s="26">
        <f t="shared" si="4"/>
        <v>0.55000000000000004</v>
      </c>
      <c r="D123" s="26">
        <f t="shared" si="5"/>
        <v>0.71499999999999997</v>
      </c>
      <c r="H123" s="11">
        <v>42628</v>
      </c>
      <c r="I123" s="9">
        <v>61.12</v>
      </c>
      <c r="J123" s="9">
        <v>0</v>
      </c>
      <c r="K123" s="9">
        <v>0</v>
      </c>
    </row>
    <row r="124" spans="1:11" x14ac:dyDescent="0.4">
      <c r="A124" s="16">
        <f t="shared" si="3"/>
        <v>42635</v>
      </c>
      <c r="B124" s="26">
        <f t="shared" si="6"/>
        <v>0.5968</v>
      </c>
      <c r="C124" s="26">
        <f t="shared" si="4"/>
        <v>0.55000000000000004</v>
      </c>
      <c r="D124" s="26">
        <f t="shared" si="5"/>
        <v>0.71499999999999997</v>
      </c>
      <c r="H124" s="11">
        <v>42635</v>
      </c>
      <c r="I124" s="9">
        <v>59.68</v>
      </c>
      <c r="J124" s="9">
        <v>0</v>
      </c>
      <c r="K124" s="9">
        <v>0</v>
      </c>
    </row>
    <row r="125" spans="1:11" x14ac:dyDescent="0.4">
      <c r="A125" s="16">
        <f t="shared" si="3"/>
        <v>42636</v>
      </c>
      <c r="B125" s="26">
        <f t="shared" si="6"/>
        <v>0.5968</v>
      </c>
      <c r="C125" s="26">
        <f t="shared" si="4"/>
        <v>0.78</v>
      </c>
      <c r="D125" s="26">
        <f t="shared" si="5"/>
        <v>0.8</v>
      </c>
      <c r="H125" s="11">
        <v>42636</v>
      </c>
      <c r="I125" s="9">
        <v>0</v>
      </c>
      <c r="J125" s="9">
        <v>78</v>
      </c>
      <c r="K125" s="9">
        <v>80</v>
      </c>
    </row>
    <row r="126" spans="1:11" x14ac:dyDescent="0.4">
      <c r="A126" s="16">
        <f t="shared" si="3"/>
        <v>42642</v>
      </c>
      <c r="B126" s="26">
        <f t="shared" si="6"/>
        <v>0.57710000000000006</v>
      </c>
      <c r="C126" s="26">
        <f t="shared" si="4"/>
        <v>0.78299999999999992</v>
      </c>
      <c r="D126" s="26">
        <f t="shared" si="5"/>
        <v>0.81499999999999995</v>
      </c>
      <c r="H126" s="11">
        <v>42642</v>
      </c>
      <c r="I126" s="9">
        <v>57.71</v>
      </c>
      <c r="J126" s="9">
        <v>78.3</v>
      </c>
      <c r="K126" s="9">
        <v>81.5</v>
      </c>
    </row>
    <row r="127" spans="1:11" x14ac:dyDescent="0.4">
      <c r="A127" s="16">
        <f t="shared" si="3"/>
        <v>42649</v>
      </c>
      <c r="B127" s="26">
        <f t="shared" si="6"/>
        <v>0.56069999999999998</v>
      </c>
      <c r="C127" s="26">
        <f t="shared" si="4"/>
        <v>0.78299999999999992</v>
      </c>
      <c r="D127" s="26">
        <f t="shared" si="5"/>
        <v>0.81499999999999995</v>
      </c>
      <c r="H127" s="11">
        <v>42649</v>
      </c>
      <c r="I127" s="9">
        <v>56.07</v>
      </c>
      <c r="J127" s="9">
        <v>0</v>
      </c>
      <c r="K127" s="9">
        <v>0</v>
      </c>
    </row>
    <row r="128" spans="1:11" x14ac:dyDescent="0.4">
      <c r="A128" s="16">
        <f t="shared" si="3"/>
        <v>42656</v>
      </c>
      <c r="B128" s="26">
        <f t="shared" si="6"/>
        <v>0.54959999999999998</v>
      </c>
      <c r="C128" s="26">
        <f t="shared" si="4"/>
        <v>0.78299999999999992</v>
      </c>
      <c r="D128" s="26">
        <f t="shared" si="5"/>
        <v>0.85</v>
      </c>
      <c r="H128" s="11">
        <v>42656</v>
      </c>
      <c r="I128" s="9">
        <v>54.96</v>
      </c>
      <c r="J128" s="9">
        <v>78.3</v>
      </c>
      <c r="K128" s="9">
        <v>85</v>
      </c>
    </row>
    <row r="129" spans="1:11" x14ac:dyDescent="0.4">
      <c r="A129" s="16">
        <f t="shared" si="3"/>
        <v>42663</v>
      </c>
      <c r="B129" s="26">
        <f t="shared" si="6"/>
        <v>0.55000000000000004</v>
      </c>
      <c r="C129" s="26">
        <f t="shared" si="4"/>
        <v>0.78299999999999992</v>
      </c>
      <c r="D129" s="26">
        <f t="shared" si="5"/>
        <v>0.85</v>
      </c>
      <c r="H129" s="11">
        <v>42663</v>
      </c>
      <c r="I129" s="9">
        <v>55</v>
      </c>
      <c r="J129" s="9">
        <v>78.3</v>
      </c>
      <c r="K129" s="9">
        <v>85</v>
      </c>
    </row>
    <row r="130" spans="1:11" x14ac:dyDescent="0.4">
      <c r="A130" s="16">
        <f t="shared" si="3"/>
        <v>42670</v>
      </c>
      <c r="B130" s="26">
        <f t="shared" si="6"/>
        <v>0.53339999999999999</v>
      </c>
      <c r="C130" s="26">
        <f t="shared" si="4"/>
        <v>0.78299999999999992</v>
      </c>
      <c r="D130" s="26">
        <f t="shared" si="5"/>
        <v>0.84</v>
      </c>
      <c r="H130" s="11">
        <v>42670</v>
      </c>
      <c r="I130" s="9">
        <v>53.34</v>
      </c>
      <c r="J130" s="9">
        <v>78.3</v>
      </c>
      <c r="K130" s="9">
        <v>84</v>
      </c>
    </row>
    <row r="131" spans="1:11" x14ac:dyDescent="0.4">
      <c r="A131" s="16">
        <f t="shared" si="3"/>
        <v>42677</v>
      </c>
      <c r="B131" s="26">
        <f t="shared" si="6"/>
        <v>0.52469999999999994</v>
      </c>
      <c r="C131" s="26">
        <f t="shared" si="4"/>
        <v>0.78500000000000003</v>
      </c>
      <c r="D131" s="26">
        <f t="shared" si="5"/>
        <v>0.84</v>
      </c>
      <c r="H131" s="11">
        <v>42677</v>
      </c>
      <c r="I131" s="9">
        <v>52.47</v>
      </c>
      <c r="J131" s="9">
        <v>78.5</v>
      </c>
      <c r="K131" s="9">
        <v>84</v>
      </c>
    </row>
    <row r="132" spans="1:11" x14ac:dyDescent="0.4">
      <c r="A132" s="16">
        <f t="shared" si="3"/>
        <v>42684</v>
      </c>
      <c r="B132" s="26">
        <f t="shared" si="6"/>
        <v>0.51259999999999994</v>
      </c>
      <c r="C132" s="26">
        <f t="shared" si="4"/>
        <v>0.78500000000000003</v>
      </c>
      <c r="D132" s="26">
        <f t="shared" si="5"/>
        <v>0.84</v>
      </c>
      <c r="H132" s="11">
        <v>42684</v>
      </c>
      <c r="I132" s="9">
        <v>51.26</v>
      </c>
      <c r="J132" s="9">
        <v>78.5</v>
      </c>
      <c r="K132" s="9">
        <v>84</v>
      </c>
    </row>
    <row r="133" spans="1:11" x14ac:dyDescent="0.4">
      <c r="A133" s="16">
        <f t="shared" ref="A133:A196" si="7">H133</f>
        <v>42691</v>
      </c>
      <c r="B133" s="26">
        <f t="shared" si="6"/>
        <v>0.54059999999999997</v>
      </c>
      <c r="C133" s="26">
        <f t="shared" si="4"/>
        <v>0.78500000000000003</v>
      </c>
      <c r="D133" s="26">
        <f t="shared" si="5"/>
        <v>0.84</v>
      </c>
      <c r="H133" s="11">
        <v>42691</v>
      </c>
      <c r="I133" s="9">
        <v>54.06</v>
      </c>
      <c r="J133" s="9">
        <v>78.5</v>
      </c>
      <c r="K133" s="9">
        <v>84</v>
      </c>
    </row>
    <row r="134" spans="1:11" x14ac:dyDescent="0.4">
      <c r="A134" s="16">
        <f t="shared" si="7"/>
        <v>42698</v>
      </c>
      <c r="B134" s="26">
        <f t="shared" si="6"/>
        <v>0.54020000000000001</v>
      </c>
      <c r="C134" s="26">
        <f t="shared" ref="C134:C197" si="8">IF(J134&lt;&gt;0,J134/100,C133)</f>
        <v>0.78500000000000003</v>
      </c>
      <c r="D134" s="26">
        <f t="shared" ref="D134:D197" si="9">IF(K134&lt;&gt;0,K134/100,D133)</f>
        <v>0.81</v>
      </c>
      <c r="H134" s="11">
        <v>42698</v>
      </c>
      <c r="I134" s="9">
        <v>54.02</v>
      </c>
      <c r="J134" s="9">
        <v>78.5</v>
      </c>
      <c r="K134" s="9">
        <v>81</v>
      </c>
    </row>
    <row r="135" spans="1:11" x14ac:dyDescent="0.4">
      <c r="A135" s="16">
        <f t="shared" si="7"/>
        <v>42705</v>
      </c>
      <c r="B135" s="26">
        <f t="shared" si="6"/>
        <v>0.53749999999999998</v>
      </c>
      <c r="C135" s="26">
        <f t="shared" si="8"/>
        <v>0.78500000000000003</v>
      </c>
      <c r="D135" s="26">
        <f t="shared" si="9"/>
        <v>0.79</v>
      </c>
      <c r="H135" s="11">
        <v>42705</v>
      </c>
      <c r="I135" s="9">
        <v>53.75</v>
      </c>
      <c r="J135" s="9">
        <v>78.5</v>
      </c>
      <c r="K135" s="9">
        <v>79</v>
      </c>
    </row>
    <row r="136" spans="1:11" x14ac:dyDescent="0.4">
      <c r="A136" s="16">
        <f t="shared" si="7"/>
        <v>42712</v>
      </c>
      <c r="B136" s="26">
        <f t="shared" si="6"/>
        <v>0.53490000000000004</v>
      </c>
      <c r="C136" s="26">
        <f t="shared" si="8"/>
        <v>0.78500000000000003</v>
      </c>
      <c r="D136" s="26">
        <f t="shared" si="9"/>
        <v>0.78</v>
      </c>
      <c r="H136" s="11">
        <v>42712</v>
      </c>
      <c r="I136" s="9">
        <v>53.49</v>
      </c>
      <c r="J136" s="9">
        <v>78.5</v>
      </c>
      <c r="K136" s="9">
        <v>78</v>
      </c>
    </row>
    <row r="137" spans="1:11" x14ac:dyDescent="0.4">
      <c r="A137" s="16">
        <f t="shared" si="7"/>
        <v>42719</v>
      </c>
      <c r="B137" s="26">
        <f t="shared" si="6"/>
        <v>0.53369999999999995</v>
      </c>
      <c r="C137" s="26">
        <f t="shared" si="8"/>
        <v>0.78500000000000003</v>
      </c>
      <c r="D137" s="26">
        <f t="shared" si="9"/>
        <v>0.73</v>
      </c>
      <c r="H137" s="11">
        <v>42719</v>
      </c>
      <c r="I137" s="9">
        <v>53.37</v>
      </c>
      <c r="J137" s="9">
        <v>78.5</v>
      </c>
      <c r="K137" s="9">
        <v>73</v>
      </c>
    </row>
    <row r="138" spans="1:11" x14ac:dyDescent="0.4">
      <c r="A138" s="16">
        <f t="shared" si="7"/>
        <v>42726</v>
      </c>
      <c r="B138" s="26">
        <f t="shared" si="6"/>
        <v>0.50819999999999999</v>
      </c>
      <c r="C138" s="26">
        <f t="shared" si="8"/>
        <v>0.78500000000000003</v>
      </c>
      <c r="D138" s="26">
        <f t="shared" si="9"/>
        <v>0.7</v>
      </c>
      <c r="H138" s="11">
        <v>42726</v>
      </c>
      <c r="I138" s="9">
        <v>50.82</v>
      </c>
      <c r="J138" s="9">
        <v>78.5</v>
      </c>
      <c r="K138" s="9">
        <v>70</v>
      </c>
    </row>
    <row r="139" spans="1:11" x14ac:dyDescent="0.4">
      <c r="A139" s="16">
        <f t="shared" si="7"/>
        <v>42733</v>
      </c>
      <c r="B139" s="26">
        <f t="shared" si="6"/>
        <v>0.52800000000000002</v>
      </c>
      <c r="C139" s="26">
        <f t="shared" si="8"/>
        <v>0.78500000000000003</v>
      </c>
      <c r="D139" s="26">
        <f t="shared" si="9"/>
        <v>0.66</v>
      </c>
      <c r="H139" s="11">
        <v>42733</v>
      </c>
      <c r="I139" s="9">
        <v>52.8</v>
      </c>
      <c r="J139" s="9">
        <v>78.5</v>
      </c>
      <c r="K139" s="9">
        <v>66</v>
      </c>
    </row>
    <row r="140" spans="1:11" x14ac:dyDescent="0.4">
      <c r="A140" s="16">
        <f t="shared" si="7"/>
        <v>42740</v>
      </c>
      <c r="B140" s="26">
        <f t="shared" si="6"/>
        <v>0.52929999999999999</v>
      </c>
      <c r="C140" s="26">
        <f t="shared" si="8"/>
        <v>0.76500000000000001</v>
      </c>
      <c r="D140" s="26">
        <f t="shared" si="9"/>
        <v>0.55000000000000004</v>
      </c>
      <c r="H140" s="11">
        <v>42740</v>
      </c>
      <c r="I140" s="9">
        <v>52.93</v>
      </c>
      <c r="J140" s="9">
        <v>76.5</v>
      </c>
      <c r="K140" s="9">
        <v>55</v>
      </c>
    </row>
    <row r="141" spans="1:11" x14ac:dyDescent="0.4">
      <c r="A141" s="16">
        <f t="shared" si="7"/>
        <v>42747</v>
      </c>
      <c r="B141" s="26">
        <f t="shared" si="6"/>
        <v>0.54559999999999997</v>
      </c>
      <c r="C141" s="26">
        <f t="shared" si="8"/>
        <v>0.73699999999999999</v>
      </c>
      <c r="D141" s="26">
        <f t="shared" si="9"/>
        <v>0.35</v>
      </c>
      <c r="H141" s="11">
        <v>42747</v>
      </c>
      <c r="I141" s="9">
        <v>54.56</v>
      </c>
      <c r="J141" s="9">
        <v>73.7</v>
      </c>
      <c r="K141" s="9">
        <v>35</v>
      </c>
    </row>
    <row r="142" spans="1:11" x14ac:dyDescent="0.4">
      <c r="A142" s="16">
        <f t="shared" si="7"/>
        <v>42754</v>
      </c>
      <c r="B142" s="26">
        <f t="shared" si="6"/>
        <v>0.56559999999999999</v>
      </c>
      <c r="C142" s="26">
        <f t="shared" si="8"/>
        <v>0.61699999999999999</v>
      </c>
      <c r="D142" s="26">
        <f t="shared" si="9"/>
        <v>0.15</v>
      </c>
      <c r="H142" s="11">
        <v>42754</v>
      </c>
      <c r="I142" s="9">
        <v>56.56</v>
      </c>
      <c r="J142" s="9">
        <v>61.7</v>
      </c>
      <c r="K142" s="9">
        <v>15</v>
      </c>
    </row>
    <row r="143" spans="1:11" x14ac:dyDescent="0.4">
      <c r="A143" s="16">
        <f t="shared" si="7"/>
        <v>42775</v>
      </c>
      <c r="B143" s="26">
        <f t="shared" si="6"/>
        <v>0.63319999999999999</v>
      </c>
      <c r="C143" s="26">
        <f t="shared" si="8"/>
        <v>0.63600000000000001</v>
      </c>
      <c r="D143" s="26">
        <f t="shared" si="9"/>
        <v>0.47</v>
      </c>
      <c r="H143" s="11">
        <v>42775</v>
      </c>
      <c r="I143" s="9">
        <v>63.32</v>
      </c>
      <c r="J143" s="9">
        <v>63.6</v>
      </c>
      <c r="K143" s="9">
        <v>47</v>
      </c>
    </row>
    <row r="144" spans="1:11" x14ac:dyDescent="0.4">
      <c r="A144" s="16">
        <f t="shared" si="7"/>
        <v>42782</v>
      </c>
      <c r="B144" s="26">
        <f t="shared" si="6"/>
        <v>0.63460000000000005</v>
      </c>
      <c r="C144" s="26">
        <f t="shared" si="8"/>
        <v>0.7</v>
      </c>
      <c r="D144" s="26">
        <f t="shared" si="9"/>
        <v>0.66</v>
      </c>
      <c r="H144" s="11">
        <v>42782</v>
      </c>
      <c r="I144" s="9">
        <v>63.46</v>
      </c>
      <c r="J144" s="9">
        <v>70</v>
      </c>
      <c r="K144" s="9">
        <v>66</v>
      </c>
    </row>
    <row r="145" spans="1:11" x14ac:dyDescent="0.4">
      <c r="A145" s="16">
        <f t="shared" si="7"/>
        <v>42789</v>
      </c>
      <c r="B145" s="26">
        <f t="shared" si="6"/>
        <v>0.6371</v>
      </c>
      <c r="C145" s="26">
        <f t="shared" si="8"/>
        <v>0.74</v>
      </c>
      <c r="D145" s="26">
        <f t="shared" si="9"/>
        <v>0.76</v>
      </c>
      <c r="H145" s="11">
        <v>42789</v>
      </c>
      <c r="I145" s="9">
        <v>63.71</v>
      </c>
      <c r="J145" s="9">
        <v>74</v>
      </c>
      <c r="K145" s="9">
        <v>76</v>
      </c>
    </row>
    <row r="146" spans="1:11" x14ac:dyDescent="0.4">
      <c r="A146" s="16">
        <f t="shared" si="7"/>
        <v>42796</v>
      </c>
      <c r="B146" s="26">
        <f t="shared" si="6"/>
        <v>0.63029999999999997</v>
      </c>
      <c r="C146" s="26">
        <f t="shared" si="8"/>
        <v>0.77</v>
      </c>
      <c r="D146" s="26">
        <f t="shared" si="9"/>
        <v>0.8</v>
      </c>
      <c r="H146" s="11">
        <v>42796</v>
      </c>
      <c r="I146" s="9">
        <v>63.03</v>
      </c>
      <c r="J146" s="9">
        <v>77</v>
      </c>
      <c r="K146" s="9">
        <v>80</v>
      </c>
    </row>
    <row r="147" spans="1:11" x14ac:dyDescent="0.4">
      <c r="A147" s="16">
        <f t="shared" si="7"/>
        <v>42803</v>
      </c>
      <c r="B147" s="26">
        <f t="shared" si="6"/>
        <v>0.62539999999999996</v>
      </c>
      <c r="C147" s="26">
        <f t="shared" si="8"/>
        <v>0.76500000000000001</v>
      </c>
      <c r="D147" s="26">
        <f t="shared" si="9"/>
        <v>0.81</v>
      </c>
      <c r="H147" s="11">
        <v>42803</v>
      </c>
      <c r="I147" s="9">
        <v>62.54</v>
      </c>
      <c r="J147" s="9">
        <v>76.5</v>
      </c>
      <c r="K147" s="9">
        <v>81</v>
      </c>
    </row>
    <row r="148" spans="1:11" x14ac:dyDescent="0.4">
      <c r="A148" s="16">
        <f t="shared" si="7"/>
        <v>42810</v>
      </c>
      <c r="B148" s="26">
        <f t="shared" si="6"/>
        <v>0.62609999999999999</v>
      </c>
      <c r="C148" s="26">
        <f t="shared" si="8"/>
        <v>0.77099999999999991</v>
      </c>
      <c r="D148" s="26">
        <f t="shared" si="9"/>
        <v>0.8</v>
      </c>
      <c r="H148" s="11">
        <v>42810</v>
      </c>
      <c r="I148" s="9">
        <v>62.61</v>
      </c>
      <c r="J148" s="9">
        <v>77.099999999999994</v>
      </c>
      <c r="K148" s="9">
        <v>80</v>
      </c>
    </row>
    <row r="149" spans="1:11" x14ac:dyDescent="0.4">
      <c r="A149" s="16">
        <f t="shared" si="7"/>
        <v>42817</v>
      </c>
      <c r="B149" s="26">
        <f t="shared" si="6"/>
        <v>0.62850000000000006</v>
      </c>
      <c r="C149" s="26">
        <f t="shared" si="8"/>
        <v>0.78299999999999992</v>
      </c>
      <c r="D149" s="26">
        <f t="shared" si="9"/>
        <v>0.78500000000000003</v>
      </c>
      <c r="H149" s="11">
        <v>42817</v>
      </c>
      <c r="I149" s="9">
        <v>62.85</v>
      </c>
      <c r="J149" s="9">
        <v>78.3</v>
      </c>
      <c r="K149" s="9">
        <v>78.5</v>
      </c>
    </row>
    <row r="150" spans="1:11" x14ac:dyDescent="0.4">
      <c r="A150" s="16">
        <f t="shared" si="7"/>
        <v>42824</v>
      </c>
      <c r="B150" s="26">
        <f t="shared" ref="B150:B213" si="10">IF(I150&lt;&gt;0,I150/100,B149)</f>
        <v>0.64</v>
      </c>
      <c r="C150" s="26">
        <f t="shared" si="8"/>
        <v>0.7609999999999999</v>
      </c>
      <c r="D150" s="26">
        <f t="shared" si="9"/>
        <v>0.78500000000000003</v>
      </c>
      <c r="H150" s="11">
        <v>42824</v>
      </c>
      <c r="I150" s="9">
        <v>64</v>
      </c>
      <c r="J150" s="9">
        <v>76.099999999999994</v>
      </c>
      <c r="K150" s="9">
        <v>78.5</v>
      </c>
    </row>
    <row r="151" spans="1:11" x14ac:dyDescent="0.4">
      <c r="A151" s="16">
        <f t="shared" si="7"/>
        <v>42831</v>
      </c>
      <c r="B151" s="26">
        <f t="shared" si="10"/>
        <v>0.63139999999999996</v>
      </c>
      <c r="C151" s="26">
        <f t="shared" si="8"/>
        <v>0.7609999999999999</v>
      </c>
      <c r="D151" s="26">
        <f t="shared" si="9"/>
        <v>0.78500000000000003</v>
      </c>
      <c r="H151" s="11">
        <v>42831</v>
      </c>
      <c r="I151" s="9">
        <v>63.14</v>
      </c>
      <c r="J151" s="9">
        <v>76.099999999999994</v>
      </c>
      <c r="K151" s="9">
        <v>78.5</v>
      </c>
    </row>
    <row r="152" spans="1:11" x14ac:dyDescent="0.4">
      <c r="A152" s="16">
        <f t="shared" si="7"/>
        <v>42838</v>
      </c>
      <c r="B152" s="26">
        <f t="shared" si="10"/>
        <v>0.63259999999999994</v>
      </c>
      <c r="C152" s="26">
        <f t="shared" si="8"/>
        <v>0.77599999999999991</v>
      </c>
      <c r="D152" s="26">
        <f t="shared" si="9"/>
        <v>0.82499999999999996</v>
      </c>
      <c r="H152" s="11">
        <v>42838</v>
      </c>
      <c r="I152" s="9">
        <v>63.26</v>
      </c>
      <c r="J152" s="9">
        <v>77.599999999999994</v>
      </c>
      <c r="K152" s="9">
        <v>82.5</v>
      </c>
    </row>
    <row r="153" spans="1:11" x14ac:dyDescent="0.4">
      <c r="A153" s="16">
        <f t="shared" si="7"/>
        <v>42845</v>
      </c>
      <c r="B153" s="26">
        <f t="shared" si="10"/>
        <v>0.58520000000000005</v>
      </c>
      <c r="C153" s="26">
        <f t="shared" si="8"/>
        <v>0.77599999999999991</v>
      </c>
      <c r="D153" s="26">
        <f t="shared" si="9"/>
        <v>0.82499999999999996</v>
      </c>
      <c r="H153" s="11">
        <v>42845</v>
      </c>
      <c r="I153" s="9">
        <v>58.52</v>
      </c>
      <c r="J153" s="9">
        <v>77.599999999999994</v>
      </c>
      <c r="K153" s="9">
        <v>82.5</v>
      </c>
    </row>
    <row r="154" spans="1:11" x14ac:dyDescent="0.4">
      <c r="A154" s="16">
        <f t="shared" si="7"/>
        <v>42852</v>
      </c>
      <c r="B154" s="26">
        <f t="shared" si="10"/>
        <v>0.58389999999999997</v>
      </c>
      <c r="C154" s="26">
        <f t="shared" si="8"/>
        <v>0.76900000000000002</v>
      </c>
      <c r="D154" s="26">
        <f t="shared" si="9"/>
        <v>0.82499999999999996</v>
      </c>
      <c r="H154" s="11">
        <v>42852</v>
      </c>
      <c r="I154" s="9">
        <v>58.39</v>
      </c>
      <c r="J154" s="9">
        <v>76.900000000000006</v>
      </c>
      <c r="K154" s="9">
        <v>82.5</v>
      </c>
    </row>
    <row r="155" spans="1:11" x14ac:dyDescent="0.4">
      <c r="A155" s="16">
        <f t="shared" si="7"/>
        <v>42859</v>
      </c>
      <c r="B155" s="26">
        <f t="shared" si="10"/>
        <v>0.59929999999999994</v>
      </c>
      <c r="C155" s="26">
        <f t="shared" si="8"/>
        <v>0.76900000000000002</v>
      </c>
      <c r="D155" s="26">
        <f t="shared" si="9"/>
        <v>0.78500000000000003</v>
      </c>
      <c r="H155" s="11">
        <v>42859</v>
      </c>
      <c r="I155" s="9">
        <v>59.93</v>
      </c>
      <c r="J155" s="9">
        <v>76.900000000000006</v>
      </c>
      <c r="K155" s="9">
        <v>78.5</v>
      </c>
    </row>
    <row r="156" spans="1:11" x14ac:dyDescent="0.4">
      <c r="A156" s="16">
        <f t="shared" si="7"/>
        <v>42866</v>
      </c>
      <c r="B156" s="26">
        <f t="shared" si="10"/>
        <v>0.58079999999999998</v>
      </c>
      <c r="C156" s="26">
        <f t="shared" si="8"/>
        <v>0.75599999999999989</v>
      </c>
      <c r="D156" s="26">
        <f t="shared" si="9"/>
        <v>0.78500000000000003</v>
      </c>
      <c r="H156" s="11">
        <v>42866</v>
      </c>
      <c r="I156" s="9">
        <v>58.08</v>
      </c>
      <c r="J156" s="9">
        <v>75.599999999999994</v>
      </c>
      <c r="K156" s="9">
        <v>78.5</v>
      </c>
    </row>
    <row r="157" spans="1:11" x14ac:dyDescent="0.4">
      <c r="A157" s="16">
        <f t="shared" si="7"/>
        <v>42873</v>
      </c>
      <c r="B157" s="26">
        <f t="shared" si="10"/>
        <v>0.55659999999999998</v>
      </c>
      <c r="C157" s="26">
        <f t="shared" si="8"/>
        <v>0.77200000000000002</v>
      </c>
      <c r="D157" s="26">
        <f t="shared" si="9"/>
        <v>0.78500000000000003</v>
      </c>
      <c r="H157" s="11">
        <v>42873</v>
      </c>
      <c r="I157" s="9">
        <v>55.66</v>
      </c>
      <c r="J157" s="9">
        <v>77.2</v>
      </c>
      <c r="K157" s="9">
        <v>78.5</v>
      </c>
    </row>
    <row r="158" spans="1:11" x14ac:dyDescent="0.4">
      <c r="A158" s="16">
        <f t="shared" si="7"/>
        <v>42880</v>
      </c>
      <c r="B158" s="26">
        <f t="shared" si="10"/>
        <v>0.56200000000000006</v>
      </c>
      <c r="C158" s="26">
        <f t="shared" si="8"/>
        <v>0.78500000000000003</v>
      </c>
      <c r="D158" s="26">
        <f t="shared" si="9"/>
        <v>0.8</v>
      </c>
      <c r="H158" s="11">
        <v>42880</v>
      </c>
      <c r="I158" s="9">
        <v>56.2</v>
      </c>
      <c r="J158" s="9">
        <v>78.5</v>
      </c>
      <c r="K158" s="9">
        <v>80</v>
      </c>
    </row>
    <row r="159" spans="1:11" x14ac:dyDescent="0.4">
      <c r="A159" s="16">
        <f t="shared" si="7"/>
        <v>42887</v>
      </c>
      <c r="B159" s="26">
        <f t="shared" si="10"/>
        <v>0.56220000000000003</v>
      </c>
      <c r="C159" s="26">
        <f t="shared" si="8"/>
        <v>0.78500000000000003</v>
      </c>
      <c r="D159" s="26">
        <f t="shared" si="9"/>
        <v>0.8</v>
      </c>
      <c r="H159" s="11">
        <v>42887</v>
      </c>
      <c r="I159" s="9">
        <v>56.22</v>
      </c>
      <c r="J159" s="9">
        <v>0</v>
      </c>
      <c r="K159" s="9">
        <v>0</v>
      </c>
    </row>
    <row r="160" spans="1:11" x14ac:dyDescent="0.4">
      <c r="A160" s="16">
        <f t="shared" si="7"/>
        <v>42888</v>
      </c>
      <c r="B160" s="26">
        <f t="shared" si="10"/>
        <v>0.56220000000000003</v>
      </c>
      <c r="C160" s="26">
        <f t="shared" si="8"/>
        <v>0.78500000000000003</v>
      </c>
      <c r="D160" s="26">
        <f t="shared" si="9"/>
        <v>0.8</v>
      </c>
      <c r="H160" s="11">
        <v>42888</v>
      </c>
      <c r="I160" s="9">
        <v>0</v>
      </c>
      <c r="J160" s="9">
        <v>78.5</v>
      </c>
      <c r="K160" s="9">
        <v>80</v>
      </c>
    </row>
    <row r="161" spans="1:11" x14ac:dyDescent="0.4">
      <c r="A161" s="16">
        <f t="shared" si="7"/>
        <v>42894</v>
      </c>
      <c r="B161" s="26">
        <f t="shared" si="10"/>
        <v>0.56189999999999996</v>
      </c>
      <c r="C161" s="26">
        <f t="shared" si="8"/>
        <v>0.77900000000000003</v>
      </c>
      <c r="D161" s="26">
        <f t="shared" si="9"/>
        <v>0.79</v>
      </c>
      <c r="H161" s="11">
        <v>42894</v>
      </c>
      <c r="I161" s="9">
        <v>56.19</v>
      </c>
      <c r="J161" s="9">
        <v>77.900000000000006</v>
      </c>
      <c r="K161" s="9">
        <v>79</v>
      </c>
    </row>
    <row r="162" spans="1:11" x14ac:dyDescent="0.4">
      <c r="A162" s="16">
        <f t="shared" si="7"/>
        <v>42901</v>
      </c>
      <c r="B162" s="26">
        <f t="shared" si="10"/>
        <v>0.60799999999999998</v>
      </c>
      <c r="C162" s="26">
        <f t="shared" si="8"/>
        <v>0.77200000000000002</v>
      </c>
      <c r="D162" s="26">
        <f t="shared" si="9"/>
        <v>0.76</v>
      </c>
      <c r="H162" s="11">
        <v>42901</v>
      </c>
      <c r="I162" s="9">
        <v>60.8</v>
      </c>
      <c r="J162" s="9">
        <v>77.2</v>
      </c>
      <c r="K162" s="9">
        <v>76</v>
      </c>
    </row>
    <row r="163" spans="1:11" x14ac:dyDescent="0.4">
      <c r="A163" s="16">
        <f t="shared" si="7"/>
        <v>42908</v>
      </c>
      <c r="B163" s="26">
        <f t="shared" si="10"/>
        <v>0.61950000000000005</v>
      </c>
      <c r="C163" s="26">
        <f t="shared" si="8"/>
        <v>0.79099999999999993</v>
      </c>
      <c r="D163" s="26">
        <f t="shared" si="9"/>
        <v>0.76</v>
      </c>
      <c r="H163" s="11">
        <v>42908</v>
      </c>
      <c r="I163" s="9">
        <v>61.95</v>
      </c>
      <c r="J163" s="9">
        <v>79.099999999999994</v>
      </c>
      <c r="K163" s="9">
        <v>76</v>
      </c>
    </row>
    <row r="164" spans="1:11" x14ac:dyDescent="0.4">
      <c r="A164" s="16">
        <f t="shared" si="7"/>
        <v>42915</v>
      </c>
      <c r="B164" s="26">
        <f t="shared" si="10"/>
        <v>0.61640000000000006</v>
      </c>
      <c r="C164" s="26">
        <f t="shared" si="8"/>
        <v>0.77900000000000003</v>
      </c>
      <c r="D164" s="26">
        <f t="shared" si="9"/>
        <v>0.76</v>
      </c>
      <c r="H164" s="11">
        <v>42915</v>
      </c>
      <c r="I164" s="9">
        <v>61.64</v>
      </c>
      <c r="J164" s="9">
        <v>77.900000000000006</v>
      </c>
      <c r="K164" s="9">
        <v>76</v>
      </c>
    </row>
    <row r="165" spans="1:11" x14ac:dyDescent="0.4">
      <c r="A165" s="16">
        <f t="shared" si="7"/>
        <v>42922</v>
      </c>
      <c r="B165" s="26">
        <f t="shared" si="10"/>
        <v>0.61960000000000004</v>
      </c>
      <c r="C165" s="26">
        <f t="shared" si="8"/>
        <v>0.77900000000000003</v>
      </c>
      <c r="D165" s="26">
        <f t="shared" si="9"/>
        <v>0.76</v>
      </c>
      <c r="H165" s="11">
        <v>42922</v>
      </c>
      <c r="I165" s="9">
        <v>61.96</v>
      </c>
      <c r="J165" s="9">
        <v>77.900000000000006</v>
      </c>
      <c r="K165" s="9">
        <v>76</v>
      </c>
    </row>
    <row r="166" spans="1:11" x14ac:dyDescent="0.4">
      <c r="A166" s="16">
        <f t="shared" si="7"/>
        <v>42929</v>
      </c>
      <c r="B166" s="26">
        <f t="shared" si="10"/>
        <v>0.63869999999999993</v>
      </c>
      <c r="C166" s="26">
        <f t="shared" si="8"/>
        <v>0.77900000000000003</v>
      </c>
      <c r="D166" s="26">
        <f t="shared" si="9"/>
        <v>0.76</v>
      </c>
      <c r="H166" s="11">
        <v>42929</v>
      </c>
      <c r="I166" s="9">
        <v>63.87</v>
      </c>
      <c r="J166" s="9">
        <v>77.900000000000006</v>
      </c>
      <c r="K166" s="9">
        <v>76</v>
      </c>
    </row>
    <row r="167" spans="1:11" x14ac:dyDescent="0.4">
      <c r="A167" s="16">
        <f t="shared" si="7"/>
        <v>42936</v>
      </c>
      <c r="B167" s="26">
        <f t="shared" si="10"/>
        <v>0.60250000000000004</v>
      </c>
      <c r="C167" s="26">
        <f t="shared" si="8"/>
        <v>0.77900000000000003</v>
      </c>
      <c r="D167" s="26">
        <f t="shared" si="9"/>
        <v>0.74</v>
      </c>
      <c r="H167" s="11">
        <v>42936</v>
      </c>
      <c r="I167" s="9">
        <v>60.25</v>
      </c>
      <c r="J167" s="9">
        <v>77.900000000000006</v>
      </c>
      <c r="K167" s="9">
        <v>74</v>
      </c>
    </row>
    <row r="168" spans="1:11" x14ac:dyDescent="0.4">
      <c r="A168" s="16">
        <f t="shared" si="7"/>
        <v>42943</v>
      </c>
      <c r="B168" s="26">
        <f t="shared" si="10"/>
        <v>0.61599999999999999</v>
      </c>
      <c r="C168" s="26">
        <f t="shared" si="8"/>
        <v>0.77900000000000003</v>
      </c>
      <c r="D168" s="26">
        <f t="shared" si="9"/>
        <v>0.56000000000000005</v>
      </c>
      <c r="H168" s="11">
        <v>42943</v>
      </c>
      <c r="I168" s="9">
        <v>61.6</v>
      </c>
      <c r="J168" s="9">
        <v>77.900000000000006</v>
      </c>
      <c r="K168" s="9">
        <v>56</v>
      </c>
    </row>
    <row r="169" spans="1:11" x14ac:dyDescent="0.4">
      <c r="A169" s="16">
        <f t="shared" si="7"/>
        <v>42950</v>
      </c>
      <c r="B169" s="26">
        <f t="shared" si="10"/>
        <v>0.626</v>
      </c>
      <c r="C169" s="26">
        <f t="shared" si="8"/>
        <v>0.77900000000000003</v>
      </c>
      <c r="D169" s="26">
        <f t="shared" si="9"/>
        <v>0.74</v>
      </c>
      <c r="H169" s="11">
        <v>42950</v>
      </c>
      <c r="I169" s="9">
        <v>62.6</v>
      </c>
      <c r="J169" s="9">
        <v>77.900000000000006</v>
      </c>
      <c r="K169" s="9">
        <v>74</v>
      </c>
    </row>
    <row r="170" spans="1:11" x14ac:dyDescent="0.4">
      <c r="A170" s="16">
        <f t="shared" si="7"/>
        <v>42957</v>
      </c>
      <c r="B170" s="26">
        <f t="shared" si="10"/>
        <v>0.61819999999999997</v>
      </c>
      <c r="C170" s="26">
        <f t="shared" si="8"/>
        <v>0.77900000000000003</v>
      </c>
      <c r="D170" s="26">
        <f t="shared" si="9"/>
        <v>0.74</v>
      </c>
      <c r="H170" s="11">
        <v>42957</v>
      </c>
      <c r="I170" s="9">
        <v>61.82</v>
      </c>
      <c r="J170" s="9">
        <v>77.900000000000006</v>
      </c>
      <c r="K170" s="9">
        <v>74</v>
      </c>
    </row>
    <row r="171" spans="1:11" x14ac:dyDescent="0.4">
      <c r="A171" s="16">
        <f t="shared" si="7"/>
        <v>42964</v>
      </c>
      <c r="B171" s="26">
        <f t="shared" si="10"/>
        <v>0.61009999999999998</v>
      </c>
      <c r="C171" s="26">
        <f t="shared" si="8"/>
        <v>0.76400000000000001</v>
      </c>
      <c r="D171" s="26">
        <f t="shared" si="9"/>
        <v>0.72</v>
      </c>
      <c r="H171" s="11">
        <v>42964</v>
      </c>
      <c r="I171" s="9">
        <v>61.01</v>
      </c>
      <c r="J171" s="9">
        <v>76.400000000000006</v>
      </c>
      <c r="K171" s="9">
        <v>72</v>
      </c>
    </row>
    <row r="172" spans="1:11" x14ac:dyDescent="0.4">
      <c r="A172" s="16">
        <f t="shared" si="7"/>
        <v>42971</v>
      </c>
      <c r="B172" s="26">
        <f t="shared" si="10"/>
        <v>0.59640000000000004</v>
      </c>
      <c r="C172" s="26">
        <f t="shared" si="8"/>
        <v>0.76400000000000001</v>
      </c>
      <c r="D172" s="26">
        <f t="shared" si="9"/>
        <v>0.74</v>
      </c>
      <c r="H172" s="11">
        <v>42971</v>
      </c>
      <c r="I172" s="9">
        <v>59.64</v>
      </c>
      <c r="J172" s="9">
        <v>76.400000000000006</v>
      </c>
      <c r="K172" s="9">
        <v>74</v>
      </c>
    </row>
    <row r="173" spans="1:11" x14ac:dyDescent="0.4">
      <c r="A173" s="16">
        <f t="shared" si="7"/>
        <v>42978</v>
      </c>
      <c r="B173" s="26">
        <f t="shared" si="10"/>
        <v>0.58479999999999999</v>
      </c>
      <c r="C173" s="26">
        <f t="shared" si="8"/>
        <v>0.75900000000000001</v>
      </c>
      <c r="D173" s="26">
        <f t="shared" si="9"/>
        <v>0.78</v>
      </c>
      <c r="H173" s="11">
        <v>42978</v>
      </c>
      <c r="I173" s="9">
        <v>58.48</v>
      </c>
      <c r="J173" s="9">
        <v>75.900000000000006</v>
      </c>
      <c r="K173" s="9">
        <v>78</v>
      </c>
    </row>
    <row r="174" spans="1:11" x14ac:dyDescent="0.4">
      <c r="A174" s="16">
        <f t="shared" si="7"/>
        <v>42985</v>
      </c>
      <c r="B174" s="26">
        <f t="shared" si="10"/>
        <v>0.59279999999999999</v>
      </c>
      <c r="C174" s="26">
        <f t="shared" si="8"/>
        <v>0.76800000000000002</v>
      </c>
      <c r="D174" s="26">
        <f t="shared" si="9"/>
        <v>0.72</v>
      </c>
      <c r="H174" s="11">
        <v>42985</v>
      </c>
      <c r="I174" s="9">
        <v>59.28</v>
      </c>
      <c r="J174" s="9">
        <v>76.8</v>
      </c>
      <c r="K174" s="9">
        <v>72</v>
      </c>
    </row>
    <row r="175" spans="1:11" x14ac:dyDescent="0.4">
      <c r="A175" s="16">
        <f t="shared" si="7"/>
        <v>42992</v>
      </c>
      <c r="B175" s="26">
        <f t="shared" si="10"/>
        <v>0.56889999999999996</v>
      </c>
      <c r="C175" s="26">
        <f t="shared" si="8"/>
        <v>0.76800000000000002</v>
      </c>
      <c r="D175" s="26">
        <f t="shared" si="9"/>
        <v>0.74</v>
      </c>
      <c r="H175" s="11">
        <v>42992</v>
      </c>
      <c r="I175" s="9">
        <v>56.89</v>
      </c>
      <c r="J175" s="9">
        <v>76.8</v>
      </c>
      <c r="K175" s="9">
        <v>74</v>
      </c>
    </row>
    <row r="176" spans="1:11" x14ac:dyDescent="0.4">
      <c r="A176" s="16">
        <f t="shared" si="7"/>
        <v>42999</v>
      </c>
      <c r="B176" s="26">
        <f t="shared" si="10"/>
        <v>0.56009999999999993</v>
      </c>
      <c r="C176" s="26">
        <f t="shared" si="8"/>
        <v>0.78099999999999992</v>
      </c>
      <c r="D176" s="26">
        <f t="shared" si="9"/>
        <v>0.73</v>
      </c>
      <c r="H176" s="11">
        <v>42999</v>
      </c>
      <c r="I176" s="9">
        <v>56.01</v>
      </c>
      <c r="J176" s="9">
        <v>78.099999999999994</v>
      </c>
      <c r="K176" s="9">
        <v>73</v>
      </c>
    </row>
    <row r="177" spans="1:11" x14ac:dyDescent="0.4">
      <c r="A177" s="16">
        <f t="shared" si="7"/>
        <v>43006</v>
      </c>
      <c r="B177" s="26">
        <f t="shared" si="10"/>
        <v>0.55779999999999996</v>
      </c>
      <c r="C177" s="26">
        <f t="shared" si="8"/>
        <v>0.78799999999999992</v>
      </c>
      <c r="D177" s="26">
        <f t="shared" si="9"/>
        <v>0.77</v>
      </c>
      <c r="H177" s="11">
        <v>43006</v>
      </c>
      <c r="I177" s="9">
        <v>55.78</v>
      </c>
      <c r="J177" s="9">
        <v>78.8</v>
      </c>
      <c r="K177" s="9">
        <v>77</v>
      </c>
    </row>
    <row r="178" spans="1:11" x14ac:dyDescent="0.4">
      <c r="A178" s="16">
        <f t="shared" si="7"/>
        <v>43020</v>
      </c>
      <c r="B178" s="26">
        <f t="shared" si="10"/>
        <v>0.57619999999999993</v>
      </c>
      <c r="C178" s="26">
        <f t="shared" si="8"/>
        <v>0.78799999999999992</v>
      </c>
      <c r="D178" s="26">
        <f t="shared" si="9"/>
        <v>0.72</v>
      </c>
      <c r="H178" s="11">
        <v>43020</v>
      </c>
      <c r="I178" s="9">
        <v>57.62</v>
      </c>
      <c r="J178" s="9">
        <v>78.8</v>
      </c>
      <c r="K178" s="9">
        <v>72</v>
      </c>
    </row>
    <row r="179" spans="1:11" x14ac:dyDescent="0.4">
      <c r="A179" s="16">
        <f t="shared" si="7"/>
        <v>43027</v>
      </c>
      <c r="B179" s="26">
        <f t="shared" si="10"/>
        <v>0.51739999999999997</v>
      </c>
      <c r="C179" s="26">
        <f t="shared" si="8"/>
        <v>0.78400000000000003</v>
      </c>
      <c r="D179" s="26">
        <f t="shared" si="9"/>
        <v>0.78</v>
      </c>
      <c r="H179" s="11">
        <v>43027</v>
      </c>
      <c r="I179" s="9">
        <v>51.74</v>
      </c>
      <c r="J179" s="9">
        <v>78.400000000000006</v>
      </c>
      <c r="K179" s="9">
        <v>78</v>
      </c>
    </row>
    <row r="180" spans="1:11" x14ac:dyDescent="0.4">
      <c r="A180" s="16">
        <f t="shared" si="7"/>
        <v>43034</v>
      </c>
      <c r="B180" s="26">
        <f t="shared" si="10"/>
        <v>0.50580000000000003</v>
      </c>
      <c r="C180" s="26">
        <f t="shared" si="8"/>
        <v>0.78700000000000003</v>
      </c>
      <c r="D180" s="26">
        <f t="shared" si="9"/>
        <v>0.75</v>
      </c>
      <c r="H180" s="11">
        <v>43034</v>
      </c>
      <c r="I180" s="9">
        <v>50.58</v>
      </c>
      <c r="J180" s="9">
        <v>78.7</v>
      </c>
      <c r="K180" s="9">
        <v>75</v>
      </c>
    </row>
    <row r="181" spans="1:11" x14ac:dyDescent="0.4">
      <c r="A181" s="16">
        <f t="shared" si="7"/>
        <v>43041</v>
      </c>
      <c r="B181" s="26">
        <f t="shared" si="10"/>
        <v>0.55720000000000003</v>
      </c>
      <c r="C181" s="26">
        <f t="shared" si="8"/>
        <v>0.78700000000000003</v>
      </c>
      <c r="D181" s="26">
        <f t="shared" si="9"/>
        <v>0.78</v>
      </c>
      <c r="H181" s="11">
        <v>43041</v>
      </c>
      <c r="I181" s="9">
        <v>55.72</v>
      </c>
      <c r="J181" s="9">
        <v>78.7</v>
      </c>
      <c r="K181" s="9">
        <v>78</v>
      </c>
    </row>
    <row r="182" spans="1:11" x14ac:dyDescent="0.4">
      <c r="A182" s="16">
        <f t="shared" si="7"/>
        <v>43048</v>
      </c>
      <c r="B182" s="26">
        <f t="shared" si="10"/>
        <v>0.58399999999999996</v>
      </c>
      <c r="C182" s="26">
        <f t="shared" si="8"/>
        <v>0.78700000000000003</v>
      </c>
      <c r="D182" s="26">
        <f t="shared" si="9"/>
        <v>0.8</v>
      </c>
      <c r="H182" s="11">
        <v>43048</v>
      </c>
      <c r="I182" s="9">
        <v>58.4</v>
      </c>
      <c r="J182" s="9">
        <v>78.7</v>
      </c>
      <c r="K182" s="9">
        <v>80</v>
      </c>
    </row>
    <row r="183" spans="1:11" x14ac:dyDescent="0.4">
      <c r="A183" s="16">
        <f t="shared" si="7"/>
        <v>43055</v>
      </c>
      <c r="B183" s="26">
        <f t="shared" si="10"/>
        <v>0.57379999999999998</v>
      </c>
      <c r="C183" s="26">
        <f t="shared" si="8"/>
        <v>0.78700000000000003</v>
      </c>
      <c r="D183" s="26">
        <f t="shared" si="9"/>
        <v>0.76</v>
      </c>
      <c r="H183" s="11">
        <v>43055</v>
      </c>
      <c r="I183" s="9">
        <v>57.38</v>
      </c>
      <c r="J183" s="9">
        <v>78.7</v>
      </c>
      <c r="K183" s="9">
        <v>76</v>
      </c>
    </row>
    <row r="184" spans="1:11" x14ac:dyDescent="0.4">
      <c r="A184" s="16">
        <f t="shared" si="7"/>
        <v>43062</v>
      </c>
      <c r="B184" s="26">
        <f t="shared" si="10"/>
        <v>0.54770000000000008</v>
      </c>
      <c r="C184" s="26">
        <f t="shared" si="8"/>
        <v>0.78700000000000003</v>
      </c>
      <c r="D184" s="26">
        <f t="shared" si="9"/>
        <v>0.76</v>
      </c>
      <c r="H184" s="11">
        <v>43062</v>
      </c>
      <c r="I184" s="9">
        <v>54.77</v>
      </c>
      <c r="J184" s="9">
        <v>78.7</v>
      </c>
      <c r="K184" s="9">
        <v>76</v>
      </c>
    </row>
    <row r="185" spans="1:11" x14ac:dyDescent="0.4">
      <c r="A185" s="16">
        <f t="shared" si="7"/>
        <v>43069</v>
      </c>
      <c r="B185" s="26">
        <f t="shared" si="10"/>
        <v>0.51939999999999997</v>
      </c>
      <c r="C185" s="26">
        <f t="shared" si="8"/>
        <v>0.78700000000000003</v>
      </c>
      <c r="D185" s="26">
        <f t="shared" si="9"/>
        <v>0.74</v>
      </c>
      <c r="H185" s="11">
        <v>43069</v>
      </c>
      <c r="I185" s="9">
        <v>51.94</v>
      </c>
      <c r="J185" s="9">
        <v>78.7</v>
      </c>
      <c r="K185" s="9">
        <v>74</v>
      </c>
    </row>
    <row r="186" spans="1:11" x14ac:dyDescent="0.4">
      <c r="A186" s="16">
        <f t="shared" si="7"/>
        <v>43076</v>
      </c>
      <c r="B186" s="26">
        <f t="shared" si="10"/>
        <v>0.49049999999999999</v>
      </c>
      <c r="C186" s="26">
        <f t="shared" si="8"/>
        <v>0.78700000000000003</v>
      </c>
      <c r="D186" s="26">
        <f t="shared" si="9"/>
        <v>0.66</v>
      </c>
      <c r="H186" s="11">
        <v>43076</v>
      </c>
      <c r="I186" s="9">
        <v>49.05</v>
      </c>
      <c r="J186" s="9">
        <v>78.7</v>
      </c>
      <c r="K186" s="9">
        <v>66</v>
      </c>
    </row>
    <row r="187" spans="1:11" x14ac:dyDescent="0.4">
      <c r="A187" s="16">
        <f t="shared" si="7"/>
        <v>43083</v>
      </c>
      <c r="B187" s="26">
        <f t="shared" si="10"/>
        <v>0.44549999999999995</v>
      </c>
      <c r="C187" s="26">
        <f t="shared" si="8"/>
        <v>0.78700000000000003</v>
      </c>
      <c r="D187" s="26">
        <f t="shared" si="9"/>
        <v>0.7</v>
      </c>
      <c r="H187" s="11">
        <v>43083</v>
      </c>
      <c r="I187" s="9">
        <v>44.55</v>
      </c>
      <c r="J187" s="9">
        <v>78.7</v>
      </c>
      <c r="K187" s="9">
        <v>70</v>
      </c>
    </row>
    <row r="188" spans="1:11" x14ac:dyDescent="0.4">
      <c r="A188" s="16">
        <f t="shared" si="7"/>
        <v>43090</v>
      </c>
      <c r="B188" s="26">
        <f t="shared" si="10"/>
        <v>0.45600000000000002</v>
      </c>
      <c r="C188" s="26">
        <f t="shared" si="8"/>
        <v>0.78400000000000003</v>
      </c>
      <c r="D188" s="26">
        <f t="shared" si="9"/>
        <v>0.7</v>
      </c>
      <c r="H188" s="11">
        <v>43090</v>
      </c>
      <c r="I188" s="9">
        <v>45.6</v>
      </c>
      <c r="J188" s="9">
        <v>78.400000000000006</v>
      </c>
      <c r="K188" s="9">
        <v>70</v>
      </c>
    </row>
    <row r="189" spans="1:11" x14ac:dyDescent="0.4">
      <c r="A189" s="16">
        <f t="shared" si="7"/>
        <v>43097</v>
      </c>
      <c r="B189" s="26">
        <f t="shared" si="10"/>
        <v>0.4551</v>
      </c>
      <c r="C189" s="26">
        <f t="shared" si="8"/>
        <v>0.78400000000000003</v>
      </c>
      <c r="D189" s="26">
        <f t="shared" si="9"/>
        <v>0.7</v>
      </c>
      <c r="H189" s="11">
        <v>43097</v>
      </c>
      <c r="I189" s="9">
        <v>45.51</v>
      </c>
      <c r="J189" s="9">
        <v>78.400000000000006</v>
      </c>
      <c r="K189" s="9">
        <v>70</v>
      </c>
    </row>
    <row r="190" spans="1:11" x14ac:dyDescent="0.4">
      <c r="A190" s="16">
        <f t="shared" si="7"/>
        <v>43104</v>
      </c>
      <c r="B190" s="26">
        <f t="shared" si="10"/>
        <v>0.47609999999999997</v>
      </c>
      <c r="C190" s="26">
        <f t="shared" si="8"/>
        <v>0.78400000000000003</v>
      </c>
      <c r="D190" s="26">
        <f t="shared" si="9"/>
        <v>0.68</v>
      </c>
      <c r="H190" s="11">
        <v>43104</v>
      </c>
      <c r="I190" s="9">
        <v>47.61</v>
      </c>
      <c r="J190" s="9">
        <v>78.400000000000006</v>
      </c>
      <c r="K190" s="9">
        <v>68</v>
      </c>
    </row>
    <row r="191" spans="1:11" x14ac:dyDescent="0.4">
      <c r="A191" s="16">
        <f t="shared" si="7"/>
        <v>43111</v>
      </c>
      <c r="B191" s="26">
        <f t="shared" si="10"/>
        <v>0.48210000000000003</v>
      </c>
      <c r="C191" s="26">
        <f t="shared" si="8"/>
        <v>0.78400000000000003</v>
      </c>
      <c r="D191" s="26">
        <f t="shared" si="9"/>
        <v>0.66</v>
      </c>
      <c r="H191" s="11">
        <v>43111</v>
      </c>
      <c r="I191" s="9">
        <v>48.21</v>
      </c>
      <c r="J191" s="9">
        <v>78.400000000000006</v>
      </c>
      <c r="K191" s="9">
        <v>66</v>
      </c>
    </row>
    <row r="192" spans="1:11" x14ac:dyDescent="0.4">
      <c r="A192" s="16">
        <f t="shared" si="7"/>
        <v>43118</v>
      </c>
      <c r="B192" s="26">
        <f t="shared" si="10"/>
        <v>0.46679999999999999</v>
      </c>
      <c r="C192" s="26">
        <f t="shared" si="8"/>
        <v>0.77900000000000003</v>
      </c>
      <c r="D192" s="26">
        <f t="shared" si="9"/>
        <v>0.63</v>
      </c>
      <c r="H192" s="11">
        <v>43118</v>
      </c>
      <c r="I192" s="9">
        <v>46.68</v>
      </c>
      <c r="J192" s="9">
        <v>77.900000000000006</v>
      </c>
      <c r="K192" s="9">
        <v>63</v>
      </c>
    </row>
    <row r="193" spans="1:11" x14ac:dyDescent="0.4">
      <c r="A193" s="16">
        <f t="shared" si="7"/>
        <v>43125</v>
      </c>
      <c r="B193" s="26">
        <f t="shared" si="10"/>
        <v>0.45710000000000001</v>
      </c>
      <c r="C193" s="26">
        <f t="shared" si="8"/>
        <v>0.73699999999999999</v>
      </c>
      <c r="D193" s="26">
        <f t="shared" si="9"/>
        <v>0.61</v>
      </c>
      <c r="H193" s="11">
        <v>43125</v>
      </c>
      <c r="I193" s="9">
        <v>45.71</v>
      </c>
      <c r="J193" s="9">
        <v>73.7</v>
      </c>
      <c r="K193" s="9">
        <v>61</v>
      </c>
    </row>
    <row r="194" spans="1:11" x14ac:dyDescent="0.4">
      <c r="A194" s="16">
        <f t="shared" si="7"/>
        <v>43132</v>
      </c>
      <c r="B194" s="26">
        <f t="shared" si="10"/>
        <v>0.4763</v>
      </c>
      <c r="C194" s="26">
        <f t="shared" si="8"/>
        <v>0.73699999999999999</v>
      </c>
      <c r="D194" s="26">
        <f t="shared" si="9"/>
        <v>0.41</v>
      </c>
      <c r="H194" s="11">
        <v>43132</v>
      </c>
      <c r="I194" s="9">
        <v>47.63</v>
      </c>
      <c r="J194" s="9">
        <v>73.7</v>
      </c>
      <c r="K194" s="9">
        <v>41</v>
      </c>
    </row>
    <row r="195" spans="1:11" x14ac:dyDescent="0.4">
      <c r="A195" s="16">
        <f t="shared" si="7"/>
        <v>43139</v>
      </c>
      <c r="B195" s="26">
        <f t="shared" si="10"/>
        <v>0.46140000000000003</v>
      </c>
      <c r="C195" s="26">
        <f t="shared" si="8"/>
        <v>0.73699999999999999</v>
      </c>
      <c r="D195" s="26">
        <f t="shared" si="9"/>
        <v>0.41</v>
      </c>
      <c r="H195" s="11">
        <v>43139</v>
      </c>
      <c r="I195" s="9">
        <v>46.14</v>
      </c>
      <c r="J195" s="9">
        <v>73.7</v>
      </c>
      <c r="K195" s="9">
        <v>41</v>
      </c>
    </row>
    <row r="196" spans="1:11" x14ac:dyDescent="0.4">
      <c r="A196" s="16">
        <f t="shared" si="7"/>
        <v>43153</v>
      </c>
      <c r="B196" s="26">
        <f t="shared" si="10"/>
        <v>0.57240000000000002</v>
      </c>
      <c r="C196" s="26">
        <f t="shared" si="8"/>
        <v>0.73699999999999999</v>
      </c>
      <c r="D196" s="26">
        <f t="shared" si="9"/>
        <v>0.41</v>
      </c>
      <c r="H196" s="11">
        <v>43153</v>
      </c>
      <c r="I196" s="9">
        <v>57.24</v>
      </c>
      <c r="J196" s="9">
        <v>0</v>
      </c>
      <c r="K196" s="9">
        <v>0</v>
      </c>
    </row>
    <row r="197" spans="1:11" x14ac:dyDescent="0.4">
      <c r="A197" s="16">
        <f t="shared" ref="A197:A260" si="11">H197</f>
        <v>43155</v>
      </c>
      <c r="B197" s="26">
        <f t="shared" si="10"/>
        <v>0.57240000000000002</v>
      </c>
      <c r="C197" s="26">
        <f t="shared" si="8"/>
        <v>0.78390000000000004</v>
      </c>
      <c r="D197" s="26">
        <f t="shared" si="9"/>
        <v>0.41</v>
      </c>
      <c r="H197" s="11">
        <v>43155</v>
      </c>
      <c r="I197" s="9">
        <v>0</v>
      </c>
      <c r="J197" s="9">
        <v>78.39</v>
      </c>
      <c r="K197" s="9">
        <v>41</v>
      </c>
    </row>
    <row r="198" spans="1:11" x14ac:dyDescent="0.4">
      <c r="A198" s="16">
        <f t="shared" si="11"/>
        <v>43160</v>
      </c>
      <c r="B198" s="26">
        <f t="shared" si="10"/>
        <v>0.56040000000000001</v>
      </c>
      <c r="C198" s="26">
        <f t="shared" ref="C198:C261" si="12">IF(J198&lt;&gt;0,J198/100,C197)</f>
        <v>0.82279999999999998</v>
      </c>
      <c r="D198" s="26">
        <f t="shared" ref="D198:D261" si="13">IF(K198&lt;&gt;0,K198/100,D197)</f>
        <v>0.49</v>
      </c>
      <c r="H198" s="11">
        <v>43160</v>
      </c>
      <c r="I198" s="9">
        <v>56.04</v>
      </c>
      <c r="J198" s="9">
        <v>82.28</v>
      </c>
      <c r="K198" s="9">
        <v>49</v>
      </c>
    </row>
    <row r="199" spans="1:11" x14ac:dyDescent="0.4">
      <c r="A199" s="16">
        <f t="shared" si="11"/>
        <v>43167</v>
      </c>
      <c r="B199" s="26">
        <f t="shared" si="10"/>
        <v>0.58540000000000003</v>
      </c>
      <c r="C199" s="26">
        <f t="shared" si="12"/>
        <v>0.86109999999999998</v>
      </c>
      <c r="D199" s="26">
        <f t="shared" si="13"/>
        <v>0.72</v>
      </c>
      <c r="H199" s="11">
        <v>43167</v>
      </c>
      <c r="I199" s="9">
        <v>58.54</v>
      </c>
      <c r="J199" s="9">
        <v>86.11</v>
      </c>
      <c r="K199" s="9">
        <v>72</v>
      </c>
    </row>
    <row r="200" spans="1:11" x14ac:dyDescent="0.4">
      <c r="A200" s="16">
        <f t="shared" si="11"/>
        <v>43174</v>
      </c>
      <c r="B200" s="26">
        <f t="shared" si="10"/>
        <v>0.55049999999999999</v>
      </c>
      <c r="C200" s="26">
        <f t="shared" si="12"/>
        <v>0.87680000000000002</v>
      </c>
      <c r="D200" s="26">
        <f t="shared" si="13"/>
        <v>0.72</v>
      </c>
      <c r="H200" s="11">
        <v>43174</v>
      </c>
      <c r="I200" s="9">
        <v>55.05</v>
      </c>
      <c r="J200" s="9">
        <v>87.68</v>
      </c>
      <c r="K200" s="9">
        <v>72</v>
      </c>
    </row>
    <row r="201" spans="1:11" x14ac:dyDescent="0.4">
      <c r="A201" s="16">
        <f t="shared" si="11"/>
        <v>43181</v>
      </c>
      <c r="B201" s="26">
        <f t="shared" si="10"/>
        <v>0.57540000000000002</v>
      </c>
      <c r="C201" s="26">
        <f t="shared" si="12"/>
        <v>0.89170000000000005</v>
      </c>
      <c r="D201" s="26">
        <f t="shared" si="13"/>
        <v>0.82</v>
      </c>
      <c r="H201" s="11">
        <v>43181</v>
      </c>
      <c r="I201" s="9">
        <v>57.54</v>
      </c>
      <c r="J201" s="9">
        <v>89.17</v>
      </c>
      <c r="K201" s="9">
        <v>82</v>
      </c>
    </row>
    <row r="202" spans="1:11" x14ac:dyDescent="0.4">
      <c r="A202" s="16">
        <f t="shared" si="11"/>
        <v>43188</v>
      </c>
      <c r="B202" s="26">
        <f t="shared" si="10"/>
        <v>0.58950000000000002</v>
      </c>
      <c r="C202" s="26">
        <f t="shared" si="12"/>
        <v>0.89029999999999998</v>
      </c>
      <c r="D202" s="26">
        <f t="shared" si="13"/>
        <v>0.86</v>
      </c>
      <c r="H202" s="11">
        <v>43188</v>
      </c>
      <c r="I202" s="9">
        <v>58.95</v>
      </c>
      <c r="J202" s="9">
        <v>89.03</v>
      </c>
      <c r="K202" s="9">
        <v>86</v>
      </c>
    </row>
    <row r="203" spans="1:11" x14ac:dyDescent="0.4">
      <c r="A203" s="16">
        <f t="shared" si="11"/>
        <v>43194</v>
      </c>
      <c r="B203" s="26">
        <f t="shared" si="10"/>
        <v>0.58950000000000002</v>
      </c>
      <c r="C203" s="26">
        <f t="shared" si="12"/>
        <v>0.89029999999999998</v>
      </c>
      <c r="D203" s="26">
        <f t="shared" si="13"/>
        <v>0.86</v>
      </c>
      <c r="H203" s="11">
        <v>43194</v>
      </c>
      <c r="I203" s="9">
        <v>0</v>
      </c>
      <c r="J203" s="9">
        <v>89.03</v>
      </c>
      <c r="K203" s="9">
        <v>86</v>
      </c>
    </row>
    <row r="204" spans="1:11" x14ac:dyDescent="0.4">
      <c r="A204" s="16">
        <f t="shared" si="11"/>
        <v>43195</v>
      </c>
      <c r="B204" s="26">
        <f t="shared" si="10"/>
        <v>0.61870000000000003</v>
      </c>
      <c r="C204" s="26">
        <f t="shared" si="12"/>
        <v>0.89029999999999998</v>
      </c>
      <c r="D204" s="26">
        <f t="shared" si="13"/>
        <v>0.86</v>
      </c>
      <c r="H204" s="11">
        <v>43195</v>
      </c>
      <c r="I204" s="9">
        <v>61.87</v>
      </c>
      <c r="J204" s="9">
        <v>0</v>
      </c>
      <c r="K204" s="9">
        <v>0</v>
      </c>
    </row>
    <row r="205" spans="1:11" x14ac:dyDescent="0.4">
      <c r="A205" s="16">
        <f t="shared" si="11"/>
        <v>43202</v>
      </c>
      <c r="B205" s="26">
        <f t="shared" si="10"/>
        <v>0.60309999999999997</v>
      </c>
      <c r="C205" s="26">
        <f t="shared" si="12"/>
        <v>0.79099999999999993</v>
      </c>
      <c r="D205" s="26">
        <f t="shared" si="13"/>
        <v>0.9</v>
      </c>
      <c r="H205" s="11">
        <v>43202</v>
      </c>
      <c r="I205" s="9">
        <v>60.31</v>
      </c>
      <c r="J205" s="9">
        <v>79.099999999999994</v>
      </c>
      <c r="K205" s="9">
        <v>90</v>
      </c>
    </row>
    <row r="206" spans="1:11" x14ac:dyDescent="0.4">
      <c r="A206" s="16">
        <f t="shared" si="11"/>
        <v>43209</v>
      </c>
      <c r="B206" s="26">
        <f t="shared" si="10"/>
        <v>0.59599999999999997</v>
      </c>
      <c r="C206" s="26">
        <f t="shared" si="12"/>
        <v>0.79700000000000004</v>
      </c>
      <c r="D206" s="26">
        <f t="shared" si="13"/>
        <v>0.9</v>
      </c>
      <c r="H206" s="11">
        <v>43209</v>
      </c>
      <c r="I206" s="9">
        <v>59.6</v>
      </c>
      <c r="J206" s="9">
        <v>79.7</v>
      </c>
      <c r="K206" s="9">
        <v>90</v>
      </c>
    </row>
    <row r="207" spans="1:11" x14ac:dyDescent="0.4">
      <c r="A207" s="16">
        <f t="shared" si="11"/>
        <v>43216</v>
      </c>
      <c r="B207" s="26">
        <f t="shared" si="10"/>
        <v>0.56999999999999995</v>
      </c>
      <c r="C207" s="26">
        <f t="shared" si="12"/>
        <v>0.80900000000000005</v>
      </c>
      <c r="D207" s="26">
        <f t="shared" si="13"/>
        <v>0.88</v>
      </c>
      <c r="H207" s="11">
        <v>43216</v>
      </c>
      <c r="I207" s="9">
        <v>57</v>
      </c>
      <c r="J207" s="9">
        <v>80.900000000000006</v>
      </c>
      <c r="K207" s="9">
        <v>88</v>
      </c>
    </row>
    <row r="208" spans="1:11" x14ac:dyDescent="0.4">
      <c r="A208" s="16">
        <f t="shared" si="11"/>
        <v>43223</v>
      </c>
      <c r="B208" s="26">
        <f t="shared" si="10"/>
        <v>0.59950000000000003</v>
      </c>
      <c r="C208" s="26">
        <f t="shared" si="12"/>
        <v>0.80900000000000005</v>
      </c>
      <c r="D208" s="26">
        <f t="shared" si="13"/>
        <v>0.88</v>
      </c>
      <c r="H208" s="11">
        <v>43223</v>
      </c>
      <c r="I208" s="9">
        <v>59.95</v>
      </c>
      <c r="J208" s="9">
        <v>0</v>
      </c>
      <c r="K208" s="9">
        <v>0</v>
      </c>
    </row>
    <row r="209" spans="1:11" x14ac:dyDescent="0.4">
      <c r="A209" s="16">
        <f t="shared" si="11"/>
        <v>43224</v>
      </c>
      <c r="B209" s="26">
        <f t="shared" si="10"/>
        <v>0.59950000000000003</v>
      </c>
      <c r="C209" s="26">
        <f t="shared" si="12"/>
        <v>0.80900000000000005</v>
      </c>
      <c r="D209" s="26">
        <f t="shared" si="13"/>
        <v>0.9</v>
      </c>
      <c r="H209" s="11">
        <v>43224</v>
      </c>
      <c r="I209" s="9">
        <v>0</v>
      </c>
      <c r="J209" s="9">
        <v>80.900000000000006</v>
      </c>
      <c r="K209" s="9">
        <v>90</v>
      </c>
    </row>
    <row r="210" spans="1:11" x14ac:dyDescent="0.4">
      <c r="A210" s="16">
        <f t="shared" si="11"/>
        <v>43230</v>
      </c>
      <c r="B210" s="26">
        <f t="shared" si="10"/>
        <v>0.62360000000000004</v>
      </c>
      <c r="C210" s="26">
        <f t="shared" si="12"/>
        <v>0.80900000000000005</v>
      </c>
      <c r="D210" s="26">
        <f t="shared" si="13"/>
        <v>0.86</v>
      </c>
      <c r="H210" s="11">
        <v>43230</v>
      </c>
      <c r="I210" s="9">
        <v>62.36</v>
      </c>
      <c r="J210" s="9">
        <v>80.900000000000006</v>
      </c>
      <c r="K210" s="9">
        <v>86</v>
      </c>
    </row>
    <row r="211" spans="1:11" x14ac:dyDescent="0.4">
      <c r="A211" s="16">
        <f t="shared" si="11"/>
        <v>43237</v>
      </c>
      <c r="B211" s="26">
        <f t="shared" si="10"/>
        <v>0.57369999999999999</v>
      </c>
      <c r="C211" s="26">
        <f t="shared" si="12"/>
        <v>0.80900000000000005</v>
      </c>
      <c r="D211" s="26">
        <f t="shared" si="13"/>
        <v>0.86</v>
      </c>
      <c r="H211" s="11">
        <v>43237</v>
      </c>
      <c r="I211" s="9">
        <v>57.37</v>
      </c>
      <c r="J211" s="9">
        <v>0</v>
      </c>
      <c r="K211" s="9">
        <v>0</v>
      </c>
    </row>
    <row r="212" spans="1:11" x14ac:dyDescent="0.4">
      <c r="A212" s="16">
        <f t="shared" si="11"/>
        <v>43238</v>
      </c>
      <c r="B212" s="26">
        <f t="shared" si="10"/>
        <v>0.57369999999999999</v>
      </c>
      <c r="C212" s="26">
        <f t="shared" si="12"/>
        <v>0.81400000000000006</v>
      </c>
      <c r="D212" s="26">
        <f t="shared" si="13"/>
        <v>0.86</v>
      </c>
      <c r="H212" s="11">
        <v>43238</v>
      </c>
      <c r="I212" s="9">
        <v>0</v>
      </c>
      <c r="J212" s="9">
        <v>81.400000000000006</v>
      </c>
      <c r="K212" s="9">
        <v>86</v>
      </c>
    </row>
    <row r="213" spans="1:11" x14ac:dyDescent="0.4">
      <c r="A213" s="16">
        <f t="shared" si="11"/>
        <v>43244</v>
      </c>
      <c r="B213" s="26">
        <f t="shared" si="10"/>
        <v>0.58939999999999992</v>
      </c>
      <c r="C213" s="26">
        <f t="shared" si="12"/>
        <v>0.81400000000000006</v>
      </c>
      <c r="D213" s="26">
        <f t="shared" si="13"/>
        <v>0.86</v>
      </c>
      <c r="H213" s="11">
        <v>43244</v>
      </c>
      <c r="I213" s="9">
        <v>58.94</v>
      </c>
      <c r="J213" s="9">
        <v>0</v>
      </c>
      <c r="K213" s="9">
        <v>0</v>
      </c>
    </row>
    <row r="214" spans="1:11" x14ac:dyDescent="0.4">
      <c r="A214" s="16">
        <f t="shared" si="11"/>
        <v>43245</v>
      </c>
      <c r="B214" s="26">
        <f t="shared" ref="B214:B277" si="14">IF(I214&lt;&gt;0,I214/100,B213)</f>
        <v>0.58939999999999992</v>
      </c>
      <c r="C214" s="26">
        <f t="shared" si="12"/>
        <v>0.80900000000000005</v>
      </c>
      <c r="D214" s="26">
        <f t="shared" si="13"/>
        <v>0.86</v>
      </c>
      <c r="H214" s="11">
        <v>43245</v>
      </c>
      <c r="I214" s="9">
        <v>0</v>
      </c>
      <c r="J214" s="9">
        <v>80.900000000000006</v>
      </c>
      <c r="K214" s="9">
        <v>86</v>
      </c>
    </row>
    <row r="215" spans="1:11" x14ac:dyDescent="0.4">
      <c r="A215" s="16">
        <f t="shared" si="11"/>
        <v>43251</v>
      </c>
      <c r="B215" s="26">
        <f t="shared" si="14"/>
        <v>0.57050000000000001</v>
      </c>
      <c r="C215" s="26">
        <f t="shared" si="12"/>
        <v>0.80900000000000005</v>
      </c>
      <c r="D215" s="26">
        <f t="shared" si="13"/>
        <v>0.86</v>
      </c>
      <c r="H215" s="11">
        <v>43251</v>
      </c>
      <c r="I215" s="9">
        <v>57.05</v>
      </c>
      <c r="J215" s="9">
        <v>0</v>
      </c>
      <c r="K215" s="9">
        <v>0</v>
      </c>
    </row>
    <row r="216" spans="1:11" x14ac:dyDescent="0.4">
      <c r="A216" s="16">
        <f t="shared" si="11"/>
        <v>43252</v>
      </c>
      <c r="B216" s="26">
        <f t="shared" si="14"/>
        <v>0.57050000000000001</v>
      </c>
      <c r="C216" s="26">
        <f t="shared" si="12"/>
        <v>0.80400000000000005</v>
      </c>
      <c r="D216" s="26">
        <f t="shared" si="13"/>
        <v>0.84</v>
      </c>
      <c r="H216" s="11">
        <v>43252</v>
      </c>
      <c r="I216" s="9">
        <v>0</v>
      </c>
      <c r="J216" s="9">
        <v>80.400000000000006</v>
      </c>
      <c r="K216" s="9">
        <v>84</v>
      </c>
    </row>
    <row r="217" spans="1:11" x14ac:dyDescent="0.4">
      <c r="A217" s="16">
        <f t="shared" si="11"/>
        <v>43258</v>
      </c>
      <c r="B217" s="26">
        <f t="shared" si="14"/>
        <v>0.58229999999999993</v>
      </c>
      <c r="C217" s="26">
        <f t="shared" si="12"/>
        <v>0.80400000000000005</v>
      </c>
      <c r="D217" s="26">
        <f t="shared" si="13"/>
        <v>0.84</v>
      </c>
      <c r="H217" s="11">
        <v>43258</v>
      </c>
      <c r="I217" s="9">
        <v>58.23</v>
      </c>
      <c r="J217" s="9">
        <v>0</v>
      </c>
      <c r="K217" s="9">
        <v>0</v>
      </c>
    </row>
    <row r="218" spans="1:11" x14ac:dyDescent="0.4">
      <c r="A218" s="16">
        <f t="shared" si="11"/>
        <v>43259</v>
      </c>
      <c r="B218" s="26">
        <f t="shared" si="14"/>
        <v>0.58229999999999993</v>
      </c>
      <c r="C218" s="26">
        <f t="shared" si="12"/>
        <v>0.80799999999999994</v>
      </c>
      <c r="D218" s="26">
        <f t="shared" si="13"/>
        <v>0.83</v>
      </c>
      <c r="H218" s="11">
        <v>43259</v>
      </c>
      <c r="I218" s="9">
        <v>0</v>
      </c>
      <c r="J218" s="9">
        <v>80.8</v>
      </c>
      <c r="K218" s="9">
        <v>83</v>
      </c>
    </row>
    <row r="219" spans="1:11" x14ac:dyDescent="0.4">
      <c r="A219" s="16">
        <f t="shared" si="11"/>
        <v>43265</v>
      </c>
      <c r="B219" s="26">
        <f t="shared" si="14"/>
        <v>0.59840000000000004</v>
      </c>
      <c r="C219" s="26">
        <f t="shared" si="12"/>
        <v>0.80799999999999994</v>
      </c>
      <c r="D219" s="26">
        <f t="shared" si="13"/>
        <v>0.83</v>
      </c>
      <c r="H219" s="11">
        <v>43265</v>
      </c>
      <c r="I219" s="9">
        <v>59.84</v>
      </c>
      <c r="J219" s="9">
        <v>0</v>
      </c>
      <c r="K219" s="9">
        <v>0</v>
      </c>
    </row>
    <row r="220" spans="1:11" x14ac:dyDescent="0.4">
      <c r="A220" s="16">
        <f t="shared" si="11"/>
        <v>43266</v>
      </c>
      <c r="B220" s="26">
        <f t="shared" si="14"/>
        <v>0.59840000000000004</v>
      </c>
      <c r="C220" s="26">
        <f t="shared" si="12"/>
        <v>0.80799999999999994</v>
      </c>
      <c r="D220" s="26">
        <f t="shared" si="13"/>
        <v>0.83</v>
      </c>
      <c r="H220" s="11">
        <v>43266</v>
      </c>
      <c r="I220" s="9">
        <v>0</v>
      </c>
      <c r="J220" s="9">
        <v>80.8</v>
      </c>
      <c r="K220" s="9">
        <v>83</v>
      </c>
    </row>
    <row r="221" spans="1:11" x14ac:dyDescent="0.4">
      <c r="A221" s="16">
        <f t="shared" si="11"/>
        <v>43272</v>
      </c>
      <c r="B221" s="26">
        <f t="shared" si="14"/>
        <v>0.61209999999999998</v>
      </c>
      <c r="C221" s="26">
        <f t="shared" si="12"/>
        <v>0.80500000000000005</v>
      </c>
      <c r="D221" s="26">
        <f t="shared" si="13"/>
        <v>0.82</v>
      </c>
      <c r="H221" s="11">
        <v>43272</v>
      </c>
      <c r="I221" s="9">
        <v>61.21</v>
      </c>
      <c r="J221" s="9">
        <v>80.5</v>
      </c>
      <c r="K221" s="9">
        <v>82</v>
      </c>
    </row>
    <row r="222" spans="1:11" x14ac:dyDescent="0.4">
      <c r="A222" s="16">
        <f t="shared" si="11"/>
        <v>43279</v>
      </c>
      <c r="B222" s="26">
        <f t="shared" si="14"/>
        <v>0.62609999999999999</v>
      </c>
      <c r="C222" s="26">
        <f t="shared" si="12"/>
        <v>0.80500000000000005</v>
      </c>
      <c r="D222" s="26">
        <f t="shared" si="13"/>
        <v>0.82</v>
      </c>
      <c r="H222" s="11">
        <v>43279</v>
      </c>
      <c r="I222" s="9">
        <v>62.61</v>
      </c>
      <c r="J222" s="9">
        <v>0</v>
      </c>
      <c r="K222" s="9">
        <v>0</v>
      </c>
    </row>
    <row r="223" spans="1:11" x14ac:dyDescent="0.4">
      <c r="A223" s="16">
        <f t="shared" si="11"/>
        <v>43280</v>
      </c>
      <c r="B223" s="26">
        <f t="shared" si="14"/>
        <v>0.62609999999999999</v>
      </c>
      <c r="C223" s="26">
        <f t="shared" si="12"/>
        <v>0.77800000000000002</v>
      </c>
      <c r="D223" s="26">
        <f t="shared" si="13"/>
        <v>0.82</v>
      </c>
      <c r="H223" s="11">
        <v>43280</v>
      </c>
      <c r="I223" s="9">
        <v>0</v>
      </c>
      <c r="J223" s="9">
        <v>77.8</v>
      </c>
      <c r="K223" s="9">
        <v>82</v>
      </c>
    </row>
    <row r="224" spans="1:11" x14ac:dyDescent="0.4">
      <c r="A224" s="16">
        <f t="shared" si="11"/>
        <v>43286</v>
      </c>
      <c r="B224" s="26">
        <f t="shared" si="14"/>
        <v>0.6159</v>
      </c>
      <c r="C224" s="26">
        <f t="shared" si="12"/>
        <v>0.77800000000000002</v>
      </c>
      <c r="D224" s="26">
        <f t="shared" si="13"/>
        <v>0.82</v>
      </c>
      <c r="H224" s="11">
        <v>43286</v>
      </c>
      <c r="I224" s="9">
        <v>61.59</v>
      </c>
      <c r="J224" s="9">
        <v>0</v>
      </c>
      <c r="K224" s="9">
        <v>0</v>
      </c>
    </row>
    <row r="225" spans="1:11" x14ac:dyDescent="0.4">
      <c r="A225" s="16">
        <f t="shared" si="11"/>
        <v>43287</v>
      </c>
      <c r="B225" s="26">
        <f t="shared" si="14"/>
        <v>0.6159</v>
      </c>
      <c r="C225" s="26">
        <f t="shared" si="12"/>
        <v>0.78299999999999992</v>
      </c>
      <c r="D225" s="26">
        <f t="shared" si="13"/>
        <v>0.8</v>
      </c>
      <c r="H225" s="11">
        <v>43287</v>
      </c>
      <c r="I225" s="9">
        <v>0</v>
      </c>
      <c r="J225" s="9">
        <v>78.3</v>
      </c>
      <c r="K225" s="9">
        <v>80</v>
      </c>
    </row>
    <row r="226" spans="1:11" x14ac:dyDescent="0.4">
      <c r="A226" s="16">
        <f t="shared" si="11"/>
        <v>43293</v>
      </c>
      <c r="B226" s="26">
        <f t="shared" si="14"/>
        <v>0.60899999999999999</v>
      </c>
      <c r="C226" s="26">
        <f t="shared" si="12"/>
        <v>0.78599999999999992</v>
      </c>
      <c r="D226" s="26">
        <f t="shared" si="13"/>
        <v>0.74</v>
      </c>
      <c r="H226" s="11">
        <v>43293</v>
      </c>
      <c r="I226" s="9">
        <v>60.9</v>
      </c>
      <c r="J226" s="9">
        <v>78.599999999999994</v>
      </c>
      <c r="K226" s="9">
        <v>74</v>
      </c>
    </row>
    <row r="227" spans="1:11" x14ac:dyDescent="0.4">
      <c r="A227" s="16">
        <f t="shared" si="11"/>
        <v>43300</v>
      </c>
      <c r="B227" s="26">
        <f t="shared" si="14"/>
        <v>0.57030000000000003</v>
      </c>
      <c r="C227" s="26">
        <f t="shared" si="12"/>
        <v>0.80200000000000005</v>
      </c>
      <c r="D227" s="26">
        <f t="shared" si="13"/>
        <v>0.74</v>
      </c>
      <c r="H227" s="11">
        <v>43300</v>
      </c>
      <c r="I227" s="9">
        <v>57.03</v>
      </c>
      <c r="J227" s="9">
        <v>80.2</v>
      </c>
      <c r="K227" s="9">
        <v>74</v>
      </c>
    </row>
    <row r="228" spans="1:11" x14ac:dyDescent="0.4">
      <c r="A228" s="16">
        <f t="shared" si="11"/>
        <v>43307</v>
      </c>
      <c r="B228" s="26">
        <f t="shared" si="14"/>
        <v>0.54920000000000002</v>
      </c>
      <c r="C228" s="26">
        <f t="shared" si="12"/>
        <v>0.80200000000000005</v>
      </c>
      <c r="D228" s="26">
        <f t="shared" si="13"/>
        <v>0.72</v>
      </c>
      <c r="H228" s="11">
        <v>43307</v>
      </c>
      <c r="I228" s="9">
        <v>54.92</v>
      </c>
      <c r="J228" s="9">
        <v>80.2</v>
      </c>
      <c r="K228" s="9">
        <v>72</v>
      </c>
    </row>
    <row r="229" spans="1:11" x14ac:dyDescent="0.4">
      <c r="A229" s="16">
        <f t="shared" si="11"/>
        <v>43314</v>
      </c>
      <c r="B229" s="26">
        <f t="shared" si="14"/>
        <v>0.50939999999999996</v>
      </c>
      <c r="C229" s="26">
        <f t="shared" si="12"/>
        <v>0.80200000000000005</v>
      </c>
      <c r="D229" s="26">
        <f t="shared" si="13"/>
        <v>0.72</v>
      </c>
      <c r="H229" s="11">
        <v>43314</v>
      </c>
      <c r="I229" s="9">
        <v>50.94</v>
      </c>
      <c r="J229" s="9">
        <v>0</v>
      </c>
      <c r="K229" s="9">
        <v>0</v>
      </c>
    </row>
    <row r="230" spans="1:11" x14ac:dyDescent="0.4">
      <c r="A230" s="16">
        <f t="shared" si="11"/>
        <v>43315</v>
      </c>
      <c r="B230" s="26">
        <f t="shared" si="14"/>
        <v>0.50939999999999996</v>
      </c>
      <c r="C230" s="26">
        <f t="shared" si="12"/>
        <v>0.81700000000000006</v>
      </c>
      <c r="D230" s="26">
        <f t="shared" si="13"/>
        <v>0.77</v>
      </c>
      <c r="H230" s="11">
        <v>43315</v>
      </c>
      <c r="I230" s="9">
        <v>0</v>
      </c>
      <c r="J230" s="9">
        <v>81.7</v>
      </c>
      <c r="K230" s="9">
        <v>77</v>
      </c>
    </row>
    <row r="231" spans="1:11" x14ac:dyDescent="0.4">
      <c r="A231" s="16">
        <f t="shared" si="11"/>
        <v>43321</v>
      </c>
      <c r="B231" s="26">
        <f t="shared" si="14"/>
        <v>0.52210000000000001</v>
      </c>
      <c r="C231" s="26">
        <f t="shared" si="12"/>
        <v>0.81700000000000006</v>
      </c>
      <c r="D231" s="26">
        <f t="shared" si="13"/>
        <v>0.77</v>
      </c>
      <c r="H231" s="11">
        <v>43321</v>
      </c>
      <c r="I231" s="9">
        <v>52.21</v>
      </c>
      <c r="J231" s="9">
        <v>0</v>
      </c>
      <c r="K231" s="9">
        <v>0</v>
      </c>
    </row>
    <row r="232" spans="1:11" x14ac:dyDescent="0.4">
      <c r="A232" s="16">
        <f t="shared" si="11"/>
        <v>43322</v>
      </c>
      <c r="B232" s="26">
        <f t="shared" si="14"/>
        <v>0.52210000000000001</v>
      </c>
      <c r="C232" s="26">
        <f t="shared" si="12"/>
        <v>0.81700000000000006</v>
      </c>
      <c r="D232" s="26">
        <f t="shared" si="13"/>
        <v>0.75</v>
      </c>
      <c r="H232" s="11">
        <v>43322</v>
      </c>
      <c r="I232" s="9">
        <v>0</v>
      </c>
      <c r="J232" s="9">
        <v>81.7</v>
      </c>
      <c r="K232" s="9">
        <v>75</v>
      </c>
    </row>
    <row r="233" spans="1:11" x14ac:dyDescent="0.4">
      <c r="A233" s="16">
        <f t="shared" si="11"/>
        <v>43328</v>
      </c>
      <c r="B233" s="26">
        <f t="shared" si="14"/>
        <v>0.55130000000000001</v>
      </c>
      <c r="C233" s="26">
        <f t="shared" si="12"/>
        <v>0.8</v>
      </c>
      <c r="D233" s="26">
        <f t="shared" si="13"/>
        <v>0.75</v>
      </c>
      <c r="H233" s="11">
        <v>43328</v>
      </c>
      <c r="I233" s="9">
        <v>55.13</v>
      </c>
      <c r="J233" s="9">
        <v>80</v>
      </c>
      <c r="K233" s="9">
        <v>75</v>
      </c>
    </row>
    <row r="234" spans="1:11" x14ac:dyDescent="0.4">
      <c r="A234" s="16">
        <f t="shared" si="11"/>
        <v>43335</v>
      </c>
      <c r="B234" s="26">
        <f t="shared" si="14"/>
        <v>0.55779999999999996</v>
      </c>
      <c r="C234" s="26">
        <f t="shared" si="12"/>
        <v>0.78</v>
      </c>
      <c r="D234" s="26">
        <f t="shared" si="13"/>
        <v>0.65</v>
      </c>
      <c r="H234" s="11">
        <v>43335</v>
      </c>
      <c r="I234" s="9">
        <v>55.78</v>
      </c>
      <c r="J234" s="9">
        <v>78</v>
      </c>
      <c r="K234" s="9">
        <v>65</v>
      </c>
    </row>
    <row r="235" spans="1:11" x14ac:dyDescent="0.4">
      <c r="A235" s="16">
        <f t="shared" si="11"/>
        <v>43342</v>
      </c>
      <c r="B235" s="26">
        <f t="shared" si="14"/>
        <v>0.55220000000000002</v>
      </c>
      <c r="C235" s="26">
        <f t="shared" si="12"/>
        <v>0.78</v>
      </c>
      <c r="D235" s="26">
        <f t="shared" si="13"/>
        <v>0.65</v>
      </c>
      <c r="H235" s="11">
        <v>43342</v>
      </c>
      <c r="I235" s="9">
        <v>55.22</v>
      </c>
      <c r="J235" s="9">
        <v>0</v>
      </c>
      <c r="K235" s="9">
        <v>0</v>
      </c>
    </row>
    <row r="236" spans="1:11" x14ac:dyDescent="0.4">
      <c r="A236" s="16">
        <f t="shared" si="11"/>
        <v>43343</v>
      </c>
      <c r="B236" s="26">
        <f t="shared" si="14"/>
        <v>0.55220000000000002</v>
      </c>
      <c r="C236" s="26">
        <f t="shared" si="12"/>
        <v>0.79</v>
      </c>
      <c r="D236" s="26">
        <f t="shared" si="13"/>
        <v>0.7</v>
      </c>
      <c r="H236" s="11">
        <v>43343</v>
      </c>
      <c r="I236" s="9">
        <v>0</v>
      </c>
      <c r="J236" s="9">
        <v>79</v>
      </c>
      <c r="K236" s="9">
        <v>70</v>
      </c>
    </row>
    <row r="237" spans="1:11" x14ac:dyDescent="0.4">
      <c r="A237" s="16">
        <f t="shared" si="11"/>
        <v>43349</v>
      </c>
      <c r="B237" s="26">
        <f t="shared" si="14"/>
        <v>0.54689999999999994</v>
      </c>
      <c r="C237" s="26">
        <f t="shared" si="12"/>
        <v>0.8</v>
      </c>
      <c r="D237" s="26">
        <f t="shared" si="13"/>
        <v>0.66</v>
      </c>
      <c r="H237" s="11">
        <v>43349</v>
      </c>
      <c r="I237" s="9">
        <v>54.69</v>
      </c>
      <c r="J237" s="9">
        <v>80</v>
      </c>
      <c r="K237" s="9">
        <v>66</v>
      </c>
    </row>
    <row r="238" spans="1:11" x14ac:dyDescent="0.4">
      <c r="A238" s="16">
        <f t="shared" si="11"/>
        <v>43356</v>
      </c>
      <c r="B238" s="26">
        <f t="shared" si="14"/>
        <v>0.55069999999999997</v>
      </c>
      <c r="C238" s="26">
        <f t="shared" si="12"/>
        <v>0.78239999999999998</v>
      </c>
      <c r="D238" s="26">
        <f t="shared" si="13"/>
        <v>0.68</v>
      </c>
      <c r="H238" s="11">
        <v>43356</v>
      </c>
      <c r="I238" s="9">
        <v>55.07</v>
      </c>
      <c r="J238" s="9">
        <v>78.239999999999995</v>
      </c>
      <c r="K238" s="9">
        <v>68</v>
      </c>
    </row>
    <row r="239" spans="1:11" x14ac:dyDescent="0.4">
      <c r="A239" s="16">
        <f t="shared" si="11"/>
        <v>43363</v>
      </c>
      <c r="B239" s="26">
        <f t="shared" si="14"/>
        <v>0.55100000000000005</v>
      </c>
      <c r="C239" s="26">
        <f t="shared" si="12"/>
        <v>0.76180000000000003</v>
      </c>
      <c r="D239" s="26">
        <f t="shared" si="13"/>
        <v>0.63</v>
      </c>
      <c r="H239" s="11">
        <v>43363</v>
      </c>
      <c r="I239" s="9">
        <v>55.1</v>
      </c>
      <c r="J239" s="9">
        <v>76.180000000000007</v>
      </c>
      <c r="K239" s="9">
        <v>63</v>
      </c>
    </row>
    <row r="240" spans="1:11" x14ac:dyDescent="0.4">
      <c r="A240" s="16">
        <f t="shared" si="11"/>
        <v>43370</v>
      </c>
      <c r="B240" s="26">
        <f t="shared" si="14"/>
        <v>0.56579999999999997</v>
      </c>
      <c r="C240" s="26">
        <f t="shared" si="12"/>
        <v>0.74919999999999998</v>
      </c>
      <c r="D240" s="26">
        <f t="shared" si="13"/>
        <v>0.61</v>
      </c>
      <c r="H240" s="11">
        <v>43370</v>
      </c>
      <c r="I240" s="9">
        <v>56.58</v>
      </c>
      <c r="J240" s="9">
        <v>74.92</v>
      </c>
      <c r="K240" s="9">
        <v>61</v>
      </c>
    </row>
    <row r="241" spans="1:11" x14ac:dyDescent="0.4">
      <c r="A241" s="16">
        <f t="shared" si="11"/>
        <v>43384</v>
      </c>
      <c r="B241" s="26">
        <f t="shared" si="14"/>
        <v>0.56879999999999997</v>
      </c>
      <c r="C241" s="26">
        <f t="shared" si="12"/>
        <v>0.78859999999999997</v>
      </c>
      <c r="D241" s="26">
        <f t="shared" si="13"/>
        <v>0.8</v>
      </c>
      <c r="H241" s="11">
        <v>43384</v>
      </c>
      <c r="I241" s="9">
        <v>56.88</v>
      </c>
      <c r="J241" s="9">
        <v>78.86</v>
      </c>
      <c r="K241" s="9">
        <v>80</v>
      </c>
    </row>
    <row r="242" spans="1:11" x14ac:dyDescent="0.4">
      <c r="A242" s="16">
        <f t="shared" si="11"/>
        <v>43391</v>
      </c>
      <c r="B242" s="26">
        <f t="shared" si="14"/>
        <v>0.54990000000000006</v>
      </c>
      <c r="C242" s="26">
        <f t="shared" si="12"/>
        <v>0.84099999999999997</v>
      </c>
      <c r="D242" s="26">
        <f t="shared" si="13"/>
        <v>0.78</v>
      </c>
      <c r="H242" s="11">
        <v>43391</v>
      </c>
      <c r="I242" s="9">
        <v>54.99</v>
      </c>
      <c r="J242" s="9">
        <v>84.1</v>
      </c>
      <c r="K242" s="9">
        <v>78</v>
      </c>
    </row>
    <row r="243" spans="1:11" x14ac:dyDescent="0.4">
      <c r="A243" s="16">
        <f t="shared" si="11"/>
        <v>43398</v>
      </c>
      <c r="B243" s="26">
        <f t="shared" si="14"/>
        <v>0.57109999999999994</v>
      </c>
      <c r="C243" s="26">
        <f t="shared" si="12"/>
        <v>0.85019999999999996</v>
      </c>
      <c r="D243" s="26">
        <f t="shared" si="13"/>
        <v>0.75800000000000001</v>
      </c>
      <c r="H243" s="11">
        <v>43398</v>
      </c>
      <c r="I243" s="9">
        <v>57.11</v>
      </c>
      <c r="J243" s="9">
        <v>85.02</v>
      </c>
      <c r="K243" s="9">
        <v>75.8</v>
      </c>
    </row>
    <row r="244" spans="1:11" x14ac:dyDescent="0.4">
      <c r="A244" s="16">
        <f t="shared" si="11"/>
        <v>43405</v>
      </c>
      <c r="B244" s="26">
        <f t="shared" si="14"/>
        <v>0.56009999999999993</v>
      </c>
      <c r="C244" s="26">
        <f t="shared" si="12"/>
        <v>0.85239999999999994</v>
      </c>
      <c r="D244" s="26">
        <f t="shared" si="13"/>
        <v>0.72</v>
      </c>
      <c r="H244" s="11">
        <v>43405</v>
      </c>
      <c r="I244" s="9">
        <v>56.01</v>
      </c>
      <c r="J244" s="9">
        <v>85.24</v>
      </c>
      <c r="K244" s="9">
        <v>72</v>
      </c>
    </row>
    <row r="245" spans="1:11" x14ac:dyDescent="0.4">
      <c r="A245" s="16">
        <f t="shared" si="11"/>
        <v>43412</v>
      </c>
      <c r="B245" s="26">
        <f t="shared" si="14"/>
        <v>0.52790000000000004</v>
      </c>
      <c r="C245" s="26">
        <f t="shared" si="12"/>
        <v>0.85239999999999994</v>
      </c>
      <c r="D245" s="26">
        <f t="shared" si="13"/>
        <v>0.72</v>
      </c>
      <c r="H245" s="11">
        <v>43412</v>
      </c>
      <c r="I245" s="9">
        <v>52.79</v>
      </c>
      <c r="J245" s="9">
        <v>0</v>
      </c>
      <c r="K245" s="9">
        <v>0</v>
      </c>
    </row>
    <row r="246" spans="1:11" x14ac:dyDescent="0.4">
      <c r="A246" s="16">
        <f t="shared" si="11"/>
        <v>43413</v>
      </c>
      <c r="B246" s="26">
        <f t="shared" si="14"/>
        <v>0.52790000000000004</v>
      </c>
      <c r="C246" s="26">
        <f t="shared" si="12"/>
        <v>0.87239999999999995</v>
      </c>
      <c r="D246" s="26">
        <f t="shared" si="13"/>
        <v>0.69</v>
      </c>
      <c r="H246" s="11">
        <v>43413</v>
      </c>
      <c r="I246" s="9">
        <v>0</v>
      </c>
      <c r="J246" s="9">
        <v>87.24</v>
      </c>
      <c r="K246" s="9">
        <v>69</v>
      </c>
    </row>
    <row r="247" spans="1:11" x14ac:dyDescent="0.4">
      <c r="A247" s="16">
        <f t="shared" si="11"/>
        <v>43419</v>
      </c>
      <c r="B247" s="26">
        <f t="shared" si="14"/>
        <v>0.53369999999999995</v>
      </c>
      <c r="C247" s="26">
        <f t="shared" si="12"/>
        <v>0.84739999999999993</v>
      </c>
      <c r="D247" s="26">
        <f t="shared" si="13"/>
        <v>0.60799999999999998</v>
      </c>
      <c r="H247" s="11">
        <v>43419</v>
      </c>
      <c r="I247" s="9">
        <v>53.37</v>
      </c>
      <c r="J247" s="9">
        <v>84.74</v>
      </c>
      <c r="K247" s="9">
        <v>60.8</v>
      </c>
    </row>
    <row r="248" spans="1:11" x14ac:dyDescent="0.4">
      <c r="A248" s="16">
        <f t="shared" si="11"/>
        <v>43426</v>
      </c>
      <c r="B248" s="26">
        <f t="shared" si="14"/>
        <v>0.51719999999999999</v>
      </c>
      <c r="C248" s="26">
        <f t="shared" si="12"/>
        <v>0.84889999999999999</v>
      </c>
      <c r="D248" s="26">
        <f t="shared" si="13"/>
        <v>0.7</v>
      </c>
      <c r="H248" s="11">
        <v>43426</v>
      </c>
      <c r="I248" s="9">
        <v>51.72</v>
      </c>
      <c r="J248" s="9">
        <v>84.89</v>
      </c>
      <c r="K248" s="9">
        <v>70</v>
      </c>
    </row>
    <row r="249" spans="1:11" x14ac:dyDescent="0.4">
      <c r="A249" s="16">
        <f t="shared" si="11"/>
        <v>43433</v>
      </c>
      <c r="B249" s="26">
        <f t="shared" si="14"/>
        <v>0.5161</v>
      </c>
      <c r="C249" s="26">
        <f t="shared" si="12"/>
        <v>0.85849999999999993</v>
      </c>
      <c r="D249" s="26">
        <f t="shared" si="13"/>
        <v>0.67</v>
      </c>
      <c r="H249" s="11">
        <v>43433</v>
      </c>
      <c r="I249" s="9">
        <v>51.61</v>
      </c>
      <c r="J249" s="9">
        <v>85.85</v>
      </c>
      <c r="K249" s="9">
        <v>67</v>
      </c>
    </row>
    <row r="250" spans="1:11" x14ac:dyDescent="0.4">
      <c r="A250" s="16">
        <f t="shared" si="11"/>
        <v>43440</v>
      </c>
      <c r="B250" s="26">
        <f t="shared" si="14"/>
        <v>0.50329999999999997</v>
      </c>
      <c r="C250" s="26">
        <f t="shared" si="12"/>
        <v>0.85849999999999993</v>
      </c>
      <c r="D250" s="26">
        <f t="shared" si="13"/>
        <v>0.67</v>
      </c>
      <c r="H250" s="11">
        <v>43440</v>
      </c>
      <c r="I250" s="9">
        <v>50.33</v>
      </c>
      <c r="J250" s="9">
        <v>0</v>
      </c>
      <c r="K250" s="9">
        <v>0</v>
      </c>
    </row>
    <row r="251" spans="1:11" x14ac:dyDescent="0.4">
      <c r="A251" s="16">
        <f t="shared" si="11"/>
        <v>43441</v>
      </c>
      <c r="B251" s="26">
        <f t="shared" si="14"/>
        <v>0.50329999999999997</v>
      </c>
      <c r="C251" s="26">
        <f t="shared" si="12"/>
        <v>0.85930000000000006</v>
      </c>
      <c r="D251" s="26">
        <f t="shared" si="13"/>
        <v>0.67</v>
      </c>
      <c r="H251" s="11">
        <v>43441</v>
      </c>
      <c r="I251" s="9">
        <v>0</v>
      </c>
      <c r="J251" s="9">
        <v>85.93</v>
      </c>
      <c r="K251" s="9">
        <v>67</v>
      </c>
    </row>
    <row r="252" spans="1:11" x14ac:dyDescent="0.4">
      <c r="A252" s="16">
        <f t="shared" si="11"/>
        <v>43447</v>
      </c>
      <c r="B252" s="26">
        <f t="shared" si="14"/>
        <v>0.50570000000000004</v>
      </c>
      <c r="C252" s="26">
        <f t="shared" si="12"/>
        <v>0.84930000000000005</v>
      </c>
      <c r="D252" s="26">
        <f t="shared" si="13"/>
        <v>0.69</v>
      </c>
      <c r="H252" s="11">
        <v>43447</v>
      </c>
      <c r="I252" s="9">
        <v>50.57</v>
      </c>
      <c r="J252" s="9">
        <v>84.93</v>
      </c>
      <c r="K252" s="9">
        <v>69</v>
      </c>
    </row>
    <row r="253" spans="1:11" x14ac:dyDescent="0.4">
      <c r="A253" s="16">
        <f t="shared" si="11"/>
        <v>43454</v>
      </c>
      <c r="B253" s="26">
        <f t="shared" si="14"/>
        <v>0.46360000000000001</v>
      </c>
      <c r="C253" s="26">
        <f t="shared" si="12"/>
        <v>0.84019999999999995</v>
      </c>
      <c r="D253" s="26">
        <f t="shared" si="13"/>
        <v>0.69</v>
      </c>
      <c r="H253" s="11">
        <v>43454</v>
      </c>
      <c r="I253" s="9">
        <v>46.36</v>
      </c>
      <c r="J253" s="9">
        <v>84.02</v>
      </c>
      <c r="K253" s="9">
        <v>69</v>
      </c>
    </row>
    <row r="254" spans="1:11" x14ac:dyDescent="0.4">
      <c r="A254" s="16">
        <f t="shared" si="11"/>
        <v>43461</v>
      </c>
      <c r="B254" s="26">
        <f t="shared" si="14"/>
        <v>0.4753</v>
      </c>
      <c r="C254" s="26">
        <f t="shared" si="12"/>
        <v>0.82930000000000004</v>
      </c>
      <c r="D254" s="26">
        <f t="shared" si="13"/>
        <v>0.69</v>
      </c>
      <c r="H254" s="11">
        <v>43461</v>
      </c>
      <c r="I254" s="9">
        <v>47.53</v>
      </c>
      <c r="J254" s="9">
        <v>82.93</v>
      </c>
      <c r="K254" s="9">
        <v>69</v>
      </c>
    </row>
    <row r="255" spans="1:11" x14ac:dyDescent="0.4">
      <c r="A255" s="16">
        <f t="shared" si="11"/>
        <v>43468</v>
      </c>
      <c r="B255" s="26">
        <f t="shared" si="14"/>
        <v>0.48909999999999998</v>
      </c>
      <c r="C255" s="26">
        <f t="shared" si="12"/>
        <v>0.82930000000000004</v>
      </c>
      <c r="D255" s="26">
        <f t="shared" si="13"/>
        <v>0.69</v>
      </c>
      <c r="H255" s="11">
        <v>43468</v>
      </c>
      <c r="I255" s="9">
        <v>48.91</v>
      </c>
      <c r="J255" s="9">
        <v>0</v>
      </c>
      <c r="K255" s="9">
        <v>0</v>
      </c>
    </row>
    <row r="256" spans="1:11" x14ac:dyDescent="0.4">
      <c r="A256" s="16">
        <f t="shared" si="11"/>
        <v>43469</v>
      </c>
      <c r="B256" s="26">
        <f t="shared" si="14"/>
        <v>0.48909999999999998</v>
      </c>
      <c r="C256" s="26">
        <f t="shared" si="12"/>
        <v>0.83150000000000002</v>
      </c>
      <c r="D256" s="26">
        <f t="shared" si="13"/>
        <v>0.64</v>
      </c>
      <c r="H256" s="11">
        <v>43469</v>
      </c>
      <c r="I256" s="9">
        <v>0</v>
      </c>
      <c r="J256" s="9">
        <v>83.15</v>
      </c>
      <c r="K256" s="9">
        <v>64</v>
      </c>
    </row>
    <row r="257" spans="1:11" x14ac:dyDescent="0.4">
      <c r="A257" s="16">
        <f t="shared" si="11"/>
        <v>43473</v>
      </c>
      <c r="B257" s="26">
        <f t="shared" si="14"/>
        <v>0.48909999999999998</v>
      </c>
      <c r="C257" s="26">
        <f t="shared" si="12"/>
        <v>0.83180000000000009</v>
      </c>
      <c r="D257" s="26">
        <f t="shared" si="13"/>
        <v>0.63</v>
      </c>
      <c r="H257" s="11">
        <v>43473</v>
      </c>
      <c r="I257" s="9">
        <v>0</v>
      </c>
      <c r="J257" s="9">
        <v>83.18</v>
      </c>
      <c r="K257" s="9">
        <v>63</v>
      </c>
    </row>
    <row r="258" spans="1:11" x14ac:dyDescent="0.4">
      <c r="A258" s="16">
        <f t="shared" si="11"/>
        <v>43475</v>
      </c>
      <c r="B258" s="26">
        <f t="shared" si="14"/>
        <v>0.48259999999999997</v>
      </c>
      <c r="C258" s="26">
        <f t="shared" si="12"/>
        <v>0.83180000000000009</v>
      </c>
      <c r="D258" s="26">
        <f t="shared" si="13"/>
        <v>0.63</v>
      </c>
      <c r="H258" s="11">
        <v>43475</v>
      </c>
      <c r="I258" s="9">
        <v>48.26</v>
      </c>
      <c r="J258" s="9">
        <v>83.18</v>
      </c>
      <c r="K258" s="9">
        <v>63</v>
      </c>
    </row>
    <row r="259" spans="1:11" x14ac:dyDescent="0.4">
      <c r="A259" s="16">
        <f t="shared" si="11"/>
        <v>43482</v>
      </c>
      <c r="B259" s="26">
        <f t="shared" si="14"/>
        <v>0.48710000000000003</v>
      </c>
      <c r="C259" s="26">
        <f t="shared" si="12"/>
        <v>0.82469999999999999</v>
      </c>
      <c r="D259" s="26">
        <f t="shared" si="13"/>
        <v>0.55000000000000004</v>
      </c>
      <c r="H259" s="11">
        <v>43482</v>
      </c>
      <c r="I259" s="9">
        <v>48.71</v>
      </c>
      <c r="J259" s="9">
        <v>82.47</v>
      </c>
      <c r="K259" s="9">
        <v>55</v>
      </c>
    </row>
    <row r="260" spans="1:11" x14ac:dyDescent="0.4">
      <c r="A260" s="16">
        <f t="shared" si="11"/>
        <v>43489</v>
      </c>
      <c r="B260" s="26">
        <f t="shared" si="14"/>
        <v>0.50319999999999998</v>
      </c>
      <c r="C260" s="26">
        <f t="shared" si="12"/>
        <v>0.81209999999999993</v>
      </c>
      <c r="D260" s="26">
        <f t="shared" si="13"/>
        <v>0.5</v>
      </c>
      <c r="H260" s="11">
        <v>43489</v>
      </c>
      <c r="I260" s="9">
        <v>50.32</v>
      </c>
      <c r="J260" s="9">
        <v>81.209999999999994</v>
      </c>
      <c r="K260" s="9">
        <v>50</v>
      </c>
    </row>
    <row r="261" spans="1:11" x14ac:dyDescent="0.4">
      <c r="A261" s="16">
        <f t="shared" ref="A261:A324" si="15">H261</f>
        <v>43496</v>
      </c>
      <c r="B261" s="26">
        <f t="shared" si="14"/>
        <v>0.53090000000000004</v>
      </c>
      <c r="C261" s="26">
        <f t="shared" si="12"/>
        <v>0.79099999999999993</v>
      </c>
      <c r="D261" s="26">
        <f t="shared" si="13"/>
        <v>0.18</v>
      </c>
      <c r="H261" s="11">
        <v>43496</v>
      </c>
      <c r="I261" s="9">
        <v>53.09</v>
      </c>
      <c r="J261" s="9">
        <v>79.099999999999994</v>
      </c>
      <c r="K261" s="9">
        <v>18</v>
      </c>
    </row>
    <row r="262" spans="1:11" x14ac:dyDescent="0.4">
      <c r="A262" s="16">
        <f t="shared" si="15"/>
        <v>43510</v>
      </c>
      <c r="B262" s="26">
        <f t="shared" si="14"/>
        <v>0.60799999999999998</v>
      </c>
      <c r="C262" s="26">
        <f t="shared" ref="C262:C325" si="16">IF(J262&lt;&gt;0,J262/100,C261)</f>
        <v>0.81629999999999991</v>
      </c>
      <c r="D262" s="26">
        <f t="shared" ref="D262:D325" si="17">IF(K262&lt;&gt;0,K262/100,D261)</f>
        <v>0.4</v>
      </c>
      <c r="H262" s="11">
        <v>43510</v>
      </c>
      <c r="I262" s="9">
        <v>60.8</v>
      </c>
      <c r="J262" s="9">
        <v>81.63</v>
      </c>
      <c r="K262" s="9">
        <v>40</v>
      </c>
    </row>
    <row r="263" spans="1:11" x14ac:dyDescent="0.4">
      <c r="A263" s="16">
        <f t="shared" si="15"/>
        <v>43517</v>
      </c>
      <c r="B263" s="26">
        <f t="shared" si="14"/>
        <v>0.60799999999999998</v>
      </c>
      <c r="C263" s="26">
        <f t="shared" si="16"/>
        <v>0.85750000000000004</v>
      </c>
      <c r="D263" s="26">
        <f t="shared" si="17"/>
        <v>0.57999999999999996</v>
      </c>
      <c r="H263" s="11">
        <v>43517</v>
      </c>
      <c r="I263" s="9">
        <v>0</v>
      </c>
      <c r="J263" s="9">
        <v>85.75</v>
      </c>
      <c r="K263" s="9">
        <v>58</v>
      </c>
    </row>
    <row r="264" spans="1:11" x14ac:dyDescent="0.4">
      <c r="A264" s="16">
        <f t="shared" si="15"/>
        <v>43524</v>
      </c>
      <c r="B264" s="26">
        <f t="shared" si="14"/>
        <v>0.60799999999999998</v>
      </c>
      <c r="C264" s="26">
        <f t="shared" si="16"/>
        <v>0.91920000000000002</v>
      </c>
      <c r="D264" s="26">
        <f t="shared" si="17"/>
        <v>0.67</v>
      </c>
      <c r="H264" s="11">
        <v>43524</v>
      </c>
      <c r="I264" s="9">
        <v>0</v>
      </c>
      <c r="J264" s="9">
        <v>91.92</v>
      </c>
      <c r="K264" s="9">
        <v>67</v>
      </c>
    </row>
    <row r="265" spans="1:11" x14ac:dyDescent="0.4">
      <c r="A265" s="16">
        <f t="shared" si="15"/>
        <v>43531</v>
      </c>
      <c r="B265" s="26">
        <f t="shared" si="14"/>
        <v>0.61080000000000001</v>
      </c>
      <c r="C265" s="26">
        <f t="shared" si="16"/>
        <v>0.93870000000000009</v>
      </c>
      <c r="D265" s="26">
        <f t="shared" si="17"/>
        <v>0.68</v>
      </c>
      <c r="H265" s="11">
        <v>43531</v>
      </c>
      <c r="I265" s="9">
        <v>61.08</v>
      </c>
      <c r="J265" s="9">
        <v>93.87</v>
      </c>
      <c r="K265" s="9">
        <v>68</v>
      </c>
    </row>
    <row r="266" spans="1:11" x14ac:dyDescent="0.4">
      <c r="A266" s="16">
        <f t="shared" si="15"/>
        <v>43538</v>
      </c>
      <c r="B266" s="26">
        <f t="shared" si="14"/>
        <v>0.6179</v>
      </c>
      <c r="C266" s="26">
        <f t="shared" si="16"/>
        <v>0.94680000000000009</v>
      </c>
      <c r="D266" s="26">
        <f t="shared" si="17"/>
        <v>0.7</v>
      </c>
      <c r="H266" s="11">
        <v>43538</v>
      </c>
      <c r="I266" s="9">
        <v>61.79</v>
      </c>
      <c r="J266" s="9">
        <v>94.68</v>
      </c>
      <c r="K266" s="9">
        <v>70</v>
      </c>
    </row>
    <row r="267" spans="1:11" x14ac:dyDescent="0.4">
      <c r="A267" s="16">
        <f t="shared" si="15"/>
        <v>43545</v>
      </c>
      <c r="B267" s="26">
        <f t="shared" si="14"/>
        <v>0.62639999999999996</v>
      </c>
      <c r="C267" s="26">
        <f t="shared" si="16"/>
        <v>0.95379999999999998</v>
      </c>
      <c r="D267" s="26">
        <f t="shared" si="17"/>
        <v>0.79</v>
      </c>
      <c r="H267" s="11">
        <v>43545</v>
      </c>
      <c r="I267" s="9">
        <v>62.64</v>
      </c>
      <c r="J267" s="9">
        <v>95.38</v>
      </c>
      <c r="K267" s="9">
        <v>79</v>
      </c>
    </row>
    <row r="268" spans="1:11" x14ac:dyDescent="0.4">
      <c r="A268" s="16">
        <f t="shared" si="15"/>
        <v>43552</v>
      </c>
      <c r="B268" s="26">
        <f t="shared" si="14"/>
        <v>0.6</v>
      </c>
      <c r="C268" s="26">
        <f t="shared" si="16"/>
        <v>0.98129999999999995</v>
      </c>
      <c r="D268" s="26">
        <f t="shared" si="17"/>
        <v>0.78</v>
      </c>
      <c r="H268" s="11">
        <v>43552</v>
      </c>
      <c r="I268" s="9">
        <v>60</v>
      </c>
      <c r="J268" s="9">
        <v>98.13</v>
      </c>
      <c r="K268" s="9">
        <v>78</v>
      </c>
    </row>
    <row r="269" spans="1:11" x14ac:dyDescent="0.4">
      <c r="A269" s="16">
        <f t="shared" si="15"/>
        <v>43559</v>
      </c>
      <c r="B269" s="26">
        <f t="shared" si="14"/>
        <v>0.64269999999999994</v>
      </c>
      <c r="C269" s="26">
        <f t="shared" si="16"/>
        <v>0.99299999999999999</v>
      </c>
      <c r="D269" s="26">
        <f t="shared" si="17"/>
        <v>0.78500000000000003</v>
      </c>
      <c r="H269" s="11">
        <v>43559</v>
      </c>
      <c r="I269" s="9">
        <v>64.27</v>
      </c>
      <c r="J269" s="9">
        <v>99.3</v>
      </c>
      <c r="K269" s="9">
        <v>78.5</v>
      </c>
    </row>
    <row r="270" spans="1:11" x14ac:dyDescent="0.4">
      <c r="A270" s="16">
        <f t="shared" si="15"/>
        <v>43566</v>
      </c>
      <c r="B270" s="26">
        <f t="shared" si="14"/>
        <v>0.66370000000000007</v>
      </c>
      <c r="C270" s="26">
        <f t="shared" si="16"/>
        <v>0.97799999999999998</v>
      </c>
      <c r="D270" s="26">
        <f t="shared" si="17"/>
        <v>0.78870000000000007</v>
      </c>
      <c r="H270" s="11">
        <v>43566</v>
      </c>
      <c r="I270" s="9">
        <v>66.37</v>
      </c>
      <c r="J270" s="9">
        <v>97.8</v>
      </c>
      <c r="K270" s="9">
        <v>78.87</v>
      </c>
    </row>
    <row r="271" spans="1:11" x14ac:dyDescent="0.4">
      <c r="A271" s="16">
        <f t="shared" si="15"/>
        <v>43573</v>
      </c>
      <c r="B271" s="26">
        <f t="shared" si="14"/>
        <v>0.64540000000000008</v>
      </c>
      <c r="C271" s="26">
        <f t="shared" si="16"/>
        <v>0.97019999999999995</v>
      </c>
      <c r="D271" s="26">
        <f t="shared" si="17"/>
        <v>0.7752</v>
      </c>
      <c r="H271" s="11">
        <v>43573</v>
      </c>
      <c r="I271" s="9">
        <v>64.540000000000006</v>
      </c>
      <c r="J271" s="9">
        <v>97.02</v>
      </c>
      <c r="K271" s="9">
        <v>77.52</v>
      </c>
    </row>
    <row r="272" spans="1:11" x14ac:dyDescent="0.4">
      <c r="A272" s="16">
        <f t="shared" si="15"/>
        <v>43580</v>
      </c>
      <c r="B272" s="26">
        <f t="shared" si="14"/>
        <v>0.64739999999999998</v>
      </c>
      <c r="C272" s="26">
        <f t="shared" si="16"/>
        <v>0.98609999999999998</v>
      </c>
      <c r="D272" s="26">
        <f t="shared" si="17"/>
        <v>0.75800000000000001</v>
      </c>
      <c r="H272" s="11">
        <v>43580</v>
      </c>
      <c r="I272" s="9">
        <v>64.739999999999995</v>
      </c>
      <c r="J272" s="9">
        <v>98.61</v>
      </c>
      <c r="K272" s="9">
        <v>75.8</v>
      </c>
    </row>
    <row r="273" spans="1:11" x14ac:dyDescent="0.4">
      <c r="A273" s="16">
        <f t="shared" si="15"/>
        <v>43585</v>
      </c>
      <c r="B273" s="26">
        <f t="shared" si="14"/>
        <v>0.64739999999999998</v>
      </c>
      <c r="C273" s="26">
        <f t="shared" si="16"/>
        <v>0.99450000000000005</v>
      </c>
      <c r="D273" s="26">
        <f t="shared" si="17"/>
        <v>0.7419</v>
      </c>
      <c r="H273" s="11">
        <v>43585</v>
      </c>
      <c r="I273" s="9">
        <v>0</v>
      </c>
      <c r="J273" s="9">
        <v>99.45</v>
      </c>
      <c r="K273" s="9">
        <v>74.19</v>
      </c>
    </row>
    <row r="274" spans="1:11" x14ac:dyDescent="0.4">
      <c r="A274" s="16">
        <f t="shared" si="15"/>
        <v>43587</v>
      </c>
      <c r="B274" s="26">
        <f t="shared" si="14"/>
        <v>0.65859999999999996</v>
      </c>
      <c r="C274" s="26">
        <f t="shared" si="16"/>
        <v>0.99450000000000005</v>
      </c>
      <c r="D274" s="26">
        <f t="shared" si="17"/>
        <v>0.7419</v>
      </c>
      <c r="H274" s="11">
        <v>43587</v>
      </c>
      <c r="I274" s="9">
        <v>65.86</v>
      </c>
      <c r="J274" s="9">
        <v>0</v>
      </c>
      <c r="K274" s="9">
        <v>0</v>
      </c>
    </row>
    <row r="275" spans="1:11" x14ac:dyDescent="0.4">
      <c r="A275" s="16">
        <f t="shared" si="15"/>
        <v>43594</v>
      </c>
      <c r="B275" s="26">
        <f t="shared" si="14"/>
        <v>0.68189999999999995</v>
      </c>
      <c r="C275" s="26">
        <f t="shared" si="16"/>
        <v>0.98629999999999995</v>
      </c>
      <c r="D275" s="26">
        <f t="shared" si="17"/>
        <v>0.73560000000000003</v>
      </c>
      <c r="H275" s="11">
        <v>43594</v>
      </c>
      <c r="I275" s="9">
        <v>68.19</v>
      </c>
      <c r="J275" s="9">
        <v>98.63</v>
      </c>
      <c r="K275" s="9">
        <v>73.56</v>
      </c>
    </row>
    <row r="276" spans="1:11" x14ac:dyDescent="0.4">
      <c r="A276" s="16">
        <f t="shared" si="15"/>
        <v>43601</v>
      </c>
      <c r="B276" s="26">
        <f t="shared" si="14"/>
        <v>0.65510000000000002</v>
      </c>
      <c r="C276" s="26">
        <f t="shared" si="16"/>
        <v>0.95849999999999991</v>
      </c>
      <c r="D276" s="26">
        <f t="shared" si="17"/>
        <v>0.70219999999999994</v>
      </c>
      <c r="H276" s="11">
        <v>43601</v>
      </c>
      <c r="I276" s="9">
        <v>65.510000000000005</v>
      </c>
      <c r="J276" s="9">
        <v>95.85</v>
      </c>
      <c r="K276" s="9">
        <v>70.22</v>
      </c>
    </row>
    <row r="277" spans="1:11" x14ac:dyDescent="0.4">
      <c r="A277" s="16">
        <f t="shared" si="15"/>
        <v>43608</v>
      </c>
      <c r="B277" s="26">
        <f t="shared" si="14"/>
        <v>0.6765000000000001</v>
      </c>
      <c r="C277" s="26">
        <f t="shared" si="16"/>
        <v>0.92890000000000006</v>
      </c>
      <c r="D277" s="26">
        <f t="shared" si="17"/>
        <v>0.66780000000000006</v>
      </c>
      <c r="H277" s="11">
        <v>43608</v>
      </c>
      <c r="I277" s="9">
        <v>67.650000000000006</v>
      </c>
      <c r="J277" s="9">
        <v>92.89</v>
      </c>
      <c r="K277" s="9">
        <v>66.78</v>
      </c>
    </row>
    <row r="278" spans="1:11" x14ac:dyDescent="0.4">
      <c r="A278" s="16">
        <f t="shared" si="15"/>
        <v>43615</v>
      </c>
      <c r="B278" s="26">
        <f t="shared" ref="B278:B341" si="18">IF(I278&lt;&gt;0,I278/100,B277)</f>
        <v>0.6654000000000001</v>
      </c>
      <c r="C278" s="26">
        <f t="shared" si="16"/>
        <v>0.90229999999999999</v>
      </c>
      <c r="D278" s="26">
        <f t="shared" si="17"/>
        <v>0.62429999999999997</v>
      </c>
      <c r="H278" s="11">
        <v>43615</v>
      </c>
      <c r="I278" s="9">
        <v>66.540000000000006</v>
      </c>
      <c r="J278" s="9">
        <v>90.23</v>
      </c>
      <c r="K278" s="9">
        <v>62.43</v>
      </c>
    </row>
    <row r="279" spans="1:11" x14ac:dyDescent="0.4">
      <c r="A279" s="16">
        <f t="shared" si="15"/>
        <v>43622</v>
      </c>
      <c r="B279" s="26">
        <f t="shared" si="18"/>
        <v>0.66870000000000007</v>
      </c>
      <c r="C279" s="26">
        <f t="shared" si="16"/>
        <v>0.92230000000000001</v>
      </c>
      <c r="D279" s="26">
        <f t="shared" si="17"/>
        <v>0.59699999999999998</v>
      </c>
      <c r="H279" s="11">
        <v>43622</v>
      </c>
      <c r="I279" s="9">
        <v>66.87</v>
      </c>
      <c r="J279" s="9">
        <v>92.23</v>
      </c>
      <c r="K279" s="9">
        <v>59.7</v>
      </c>
    </row>
    <row r="280" spans="1:11" x14ac:dyDescent="0.4">
      <c r="A280" s="16">
        <f t="shared" si="15"/>
        <v>43629</v>
      </c>
      <c r="B280" s="26">
        <f t="shared" si="18"/>
        <v>0.69650000000000001</v>
      </c>
      <c r="C280" s="26">
        <f t="shared" si="16"/>
        <v>0.94519999999999993</v>
      </c>
      <c r="D280" s="26">
        <f t="shared" si="17"/>
        <v>0.57399999999999995</v>
      </c>
      <c r="H280" s="11">
        <v>43629</v>
      </c>
      <c r="I280" s="9">
        <v>69.650000000000006</v>
      </c>
      <c r="J280" s="9">
        <v>94.52</v>
      </c>
      <c r="K280" s="9">
        <v>57.4</v>
      </c>
    </row>
    <row r="281" spans="1:11" x14ac:dyDescent="0.4">
      <c r="A281" s="16">
        <f t="shared" si="15"/>
        <v>43636</v>
      </c>
      <c r="B281" s="26">
        <f t="shared" si="18"/>
        <v>0.69409999999999994</v>
      </c>
      <c r="C281" s="26">
        <f t="shared" si="16"/>
        <v>0.95169999999999999</v>
      </c>
      <c r="D281" s="26">
        <f t="shared" si="17"/>
        <v>0.55700000000000005</v>
      </c>
      <c r="H281" s="11">
        <v>43636</v>
      </c>
      <c r="I281" s="9">
        <v>69.41</v>
      </c>
      <c r="J281" s="9">
        <v>95.17</v>
      </c>
      <c r="K281" s="9">
        <v>55.7</v>
      </c>
    </row>
    <row r="282" spans="1:11" x14ac:dyDescent="0.4">
      <c r="A282" s="16">
        <f t="shared" si="15"/>
        <v>43643</v>
      </c>
      <c r="B282" s="26">
        <f t="shared" si="18"/>
        <v>0.6826000000000001</v>
      </c>
      <c r="C282" s="26">
        <f t="shared" si="16"/>
        <v>0.96750000000000003</v>
      </c>
      <c r="D282" s="26">
        <f t="shared" si="17"/>
        <v>0.55100000000000005</v>
      </c>
      <c r="H282" s="11">
        <v>43643</v>
      </c>
      <c r="I282" s="9">
        <v>68.260000000000005</v>
      </c>
      <c r="J282" s="9">
        <v>96.75</v>
      </c>
      <c r="K282" s="9">
        <v>55.1</v>
      </c>
    </row>
    <row r="283" spans="1:11" x14ac:dyDescent="0.4">
      <c r="A283" s="16">
        <f t="shared" si="15"/>
        <v>43650</v>
      </c>
      <c r="B283" s="26">
        <f t="shared" si="18"/>
        <v>0.68640000000000001</v>
      </c>
      <c r="C283" s="26">
        <f t="shared" si="16"/>
        <v>0.97719999999999996</v>
      </c>
      <c r="D283" s="26">
        <f t="shared" si="17"/>
        <v>0.53200000000000003</v>
      </c>
      <c r="H283" s="11">
        <v>43650</v>
      </c>
      <c r="I283" s="9">
        <v>68.64</v>
      </c>
      <c r="J283" s="9">
        <v>97.72</v>
      </c>
      <c r="K283" s="9">
        <v>53.2</v>
      </c>
    </row>
    <row r="284" spans="1:11" x14ac:dyDescent="0.4">
      <c r="A284" s="16">
        <f t="shared" si="15"/>
        <v>43657</v>
      </c>
      <c r="B284" s="26">
        <f t="shared" si="18"/>
        <v>0.66739999999999999</v>
      </c>
      <c r="C284" s="26">
        <f t="shared" si="16"/>
        <v>0.95239999999999991</v>
      </c>
      <c r="D284" s="26">
        <f t="shared" si="17"/>
        <v>0.52170000000000005</v>
      </c>
      <c r="H284" s="11">
        <v>43657</v>
      </c>
      <c r="I284" s="9">
        <v>66.739999999999995</v>
      </c>
      <c r="J284" s="9">
        <v>95.24</v>
      </c>
      <c r="K284" s="9">
        <v>52.17</v>
      </c>
    </row>
    <row r="285" spans="1:11" x14ac:dyDescent="0.4">
      <c r="A285" s="16">
        <f t="shared" si="15"/>
        <v>43664</v>
      </c>
      <c r="B285" s="26">
        <f t="shared" si="18"/>
        <v>0.64749999999999996</v>
      </c>
      <c r="C285" s="26">
        <f t="shared" si="16"/>
        <v>0.92209999999999992</v>
      </c>
      <c r="D285" s="26">
        <f t="shared" si="17"/>
        <v>0.52400000000000002</v>
      </c>
      <c r="H285" s="11">
        <v>43664</v>
      </c>
      <c r="I285" s="9">
        <v>64.75</v>
      </c>
      <c r="J285" s="9">
        <v>92.21</v>
      </c>
      <c r="K285" s="9">
        <v>52.4</v>
      </c>
    </row>
    <row r="286" spans="1:11" x14ac:dyDescent="0.4">
      <c r="A286" s="16">
        <f t="shared" si="15"/>
        <v>43671</v>
      </c>
      <c r="B286" s="26">
        <f t="shared" si="18"/>
        <v>0.69900000000000007</v>
      </c>
      <c r="C286" s="26">
        <f t="shared" si="16"/>
        <v>0.90090000000000003</v>
      </c>
      <c r="D286" s="26">
        <f t="shared" si="17"/>
        <v>0.52729999999999999</v>
      </c>
      <c r="H286" s="11">
        <v>43671</v>
      </c>
      <c r="I286" s="9">
        <v>69.900000000000006</v>
      </c>
      <c r="J286" s="9">
        <v>90.09</v>
      </c>
      <c r="K286" s="9">
        <v>52.73</v>
      </c>
    </row>
    <row r="287" spans="1:11" x14ac:dyDescent="0.4">
      <c r="A287" s="16">
        <f t="shared" si="15"/>
        <v>43678</v>
      </c>
      <c r="B287" s="26">
        <f t="shared" si="18"/>
        <v>0.68310000000000004</v>
      </c>
      <c r="C287" s="26">
        <f t="shared" si="16"/>
        <v>0.88629999999999998</v>
      </c>
      <c r="D287" s="26">
        <f t="shared" si="17"/>
        <v>0.504</v>
      </c>
      <c r="H287" s="11">
        <v>43678</v>
      </c>
      <c r="I287" s="9">
        <v>68.31</v>
      </c>
      <c r="J287" s="9">
        <v>88.63</v>
      </c>
      <c r="K287" s="9">
        <v>50.4</v>
      </c>
    </row>
    <row r="288" spans="1:11" x14ac:dyDescent="0.4">
      <c r="A288" s="16">
        <f t="shared" si="15"/>
        <v>43685</v>
      </c>
      <c r="B288" s="26">
        <f t="shared" si="18"/>
        <v>0.67469999999999997</v>
      </c>
      <c r="C288" s="26">
        <f t="shared" si="16"/>
        <v>0.90620000000000001</v>
      </c>
      <c r="D288" s="26">
        <f t="shared" si="17"/>
        <v>0.50900000000000001</v>
      </c>
      <c r="H288" s="11">
        <v>43685</v>
      </c>
      <c r="I288" s="9">
        <v>67.47</v>
      </c>
      <c r="J288" s="9">
        <v>90.62</v>
      </c>
      <c r="K288" s="9">
        <v>50.9</v>
      </c>
    </row>
    <row r="289" spans="1:11" x14ac:dyDescent="0.4">
      <c r="A289" s="16">
        <f t="shared" si="15"/>
        <v>43692</v>
      </c>
      <c r="B289" s="26">
        <f t="shared" si="18"/>
        <v>0.68230000000000002</v>
      </c>
      <c r="C289" s="26">
        <f t="shared" si="16"/>
        <v>0.90540000000000009</v>
      </c>
      <c r="D289" s="26">
        <f t="shared" si="17"/>
        <v>0.54</v>
      </c>
      <c r="H289" s="11">
        <v>43692</v>
      </c>
      <c r="I289" s="9">
        <v>68.23</v>
      </c>
      <c r="J289" s="9">
        <v>90.54</v>
      </c>
      <c r="K289" s="9">
        <v>54</v>
      </c>
    </row>
    <row r="290" spans="1:11" x14ac:dyDescent="0.4">
      <c r="A290" s="16">
        <f t="shared" si="15"/>
        <v>43699</v>
      </c>
      <c r="B290" s="26">
        <f t="shared" si="18"/>
        <v>0.65390000000000004</v>
      </c>
      <c r="C290" s="26">
        <f t="shared" si="16"/>
        <v>0.9224</v>
      </c>
      <c r="D290" s="26">
        <f t="shared" si="17"/>
        <v>0.55069999999999997</v>
      </c>
      <c r="H290" s="11">
        <v>43699</v>
      </c>
      <c r="I290" s="9">
        <v>65.39</v>
      </c>
      <c r="J290" s="9">
        <v>92.24</v>
      </c>
      <c r="K290" s="9">
        <v>55.07</v>
      </c>
    </row>
    <row r="291" spans="1:11" x14ac:dyDescent="0.4">
      <c r="A291" s="16">
        <f t="shared" si="15"/>
        <v>43706</v>
      </c>
      <c r="B291" s="26">
        <f t="shared" si="18"/>
        <v>0.62429999999999997</v>
      </c>
      <c r="C291" s="26">
        <f t="shared" si="16"/>
        <v>0.9224</v>
      </c>
      <c r="D291" s="26">
        <f t="shared" si="17"/>
        <v>0.623</v>
      </c>
      <c r="H291" s="11">
        <v>43706</v>
      </c>
      <c r="I291" s="9">
        <v>62.43</v>
      </c>
      <c r="J291" s="9">
        <v>92.24</v>
      </c>
      <c r="K291" s="9">
        <v>62.3</v>
      </c>
    </row>
    <row r="292" spans="1:11" x14ac:dyDescent="0.4">
      <c r="A292" s="16">
        <f t="shared" si="15"/>
        <v>43713</v>
      </c>
      <c r="B292" s="26">
        <f t="shared" si="18"/>
        <v>0.63519999999999999</v>
      </c>
      <c r="C292" s="26">
        <f t="shared" si="16"/>
        <v>0.92799999999999994</v>
      </c>
      <c r="D292" s="26">
        <f t="shared" si="17"/>
        <v>0.67</v>
      </c>
      <c r="H292" s="11">
        <v>43713</v>
      </c>
      <c r="I292" s="9">
        <v>63.52</v>
      </c>
      <c r="J292" s="9">
        <v>92.8</v>
      </c>
      <c r="K292" s="9">
        <v>67</v>
      </c>
    </row>
    <row r="293" spans="1:11" x14ac:dyDescent="0.4">
      <c r="A293" s="16">
        <f t="shared" si="15"/>
        <v>43720</v>
      </c>
      <c r="B293" s="26">
        <f t="shared" si="18"/>
        <v>0.65700000000000003</v>
      </c>
      <c r="C293" s="26">
        <f t="shared" si="16"/>
        <v>0.93099999999999994</v>
      </c>
      <c r="D293" s="26">
        <f t="shared" si="17"/>
        <v>0.69599999999999995</v>
      </c>
      <c r="H293" s="11">
        <v>43720</v>
      </c>
      <c r="I293" s="9">
        <v>65.7</v>
      </c>
      <c r="J293" s="9">
        <v>93.1</v>
      </c>
      <c r="K293" s="9">
        <v>69.599999999999994</v>
      </c>
    </row>
    <row r="294" spans="1:11" x14ac:dyDescent="0.4">
      <c r="A294" s="16">
        <f t="shared" si="15"/>
        <v>43727</v>
      </c>
      <c r="B294" s="26">
        <f t="shared" si="18"/>
        <v>0.67579999999999996</v>
      </c>
      <c r="C294" s="26">
        <f t="shared" si="16"/>
        <v>0.9423999999999999</v>
      </c>
      <c r="D294" s="26">
        <f t="shared" si="17"/>
        <v>0.70829999999999993</v>
      </c>
      <c r="H294" s="11">
        <v>43727</v>
      </c>
      <c r="I294" s="9">
        <v>67.58</v>
      </c>
      <c r="J294" s="9">
        <v>94.24</v>
      </c>
      <c r="K294" s="9">
        <v>70.83</v>
      </c>
    </row>
    <row r="295" spans="1:11" x14ac:dyDescent="0.4">
      <c r="A295" s="16">
        <f t="shared" si="15"/>
        <v>43734</v>
      </c>
      <c r="B295" s="26">
        <f t="shared" si="18"/>
        <v>0.67019999999999991</v>
      </c>
      <c r="C295" s="26">
        <f t="shared" si="16"/>
        <v>0.9423999999999999</v>
      </c>
      <c r="D295" s="26">
        <f t="shared" si="17"/>
        <v>0.73</v>
      </c>
      <c r="H295" s="11">
        <v>43734</v>
      </c>
      <c r="I295" s="9">
        <v>67.02</v>
      </c>
      <c r="J295" s="9">
        <v>94.24</v>
      </c>
      <c r="K295" s="9">
        <v>73</v>
      </c>
    </row>
    <row r="296" spans="1:11" x14ac:dyDescent="0.4">
      <c r="A296" s="16">
        <f t="shared" si="15"/>
        <v>43748</v>
      </c>
      <c r="B296" s="26">
        <f t="shared" si="18"/>
        <v>0.60640000000000005</v>
      </c>
      <c r="C296" s="26">
        <f t="shared" si="16"/>
        <v>0.94569999999999999</v>
      </c>
      <c r="D296" s="26">
        <f t="shared" si="17"/>
        <v>0.65</v>
      </c>
      <c r="H296" s="11">
        <v>43748</v>
      </c>
      <c r="I296" s="9">
        <v>60.64</v>
      </c>
      <c r="J296" s="9">
        <v>94.57</v>
      </c>
      <c r="K296" s="9">
        <v>65</v>
      </c>
    </row>
    <row r="297" spans="1:11" x14ac:dyDescent="0.4">
      <c r="A297" s="16">
        <f t="shared" si="15"/>
        <v>43755</v>
      </c>
      <c r="B297" s="26">
        <f t="shared" si="18"/>
        <v>0.624</v>
      </c>
      <c r="C297" s="26">
        <f t="shared" si="16"/>
        <v>0.93610000000000004</v>
      </c>
      <c r="D297" s="26">
        <f t="shared" si="17"/>
        <v>0.7</v>
      </c>
      <c r="H297" s="11">
        <v>43755</v>
      </c>
      <c r="I297" s="9">
        <v>62.4</v>
      </c>
      <c r="J297" s="9">
        <v>93.61</v>
      </c>
      <c r="K297" s="9">
        <v>70</v>
      </c>
    </row>
    <row r="298" spans="1:11" x14ac:dyDescent="0.4">
      <c r="A298" s="16">
        <f t="shared" si="15"/>
        <v>43762</v>
      </c>
      <c r="B298" s="26">
        <f t="shared" si="18"/>
        <v>0.59670000000000001</v>
      </c>
      <c r="C298" s="26">
        <f t="shared" si="16"/>
        <v>0.93159999999999998</v>
      </c>
      <c r="D298" s="26">
        <f t="shared" si="17"/>
        <v>0.76</v>
      </c>
      <c r="H298" s="11">
        <v>43762</v>
      </c>
      <c r="I298" s="9">
        <v>59.67</v>
      </c>
      <c r="J298" s="9">
        <v>93.16</v>
      </c>
      <c r="K298" s="9">
        <v>76</v>
      </c>
    </row>
    <row r="299" spans="1:11" x14ac:dyDescent="0.4">
      <c r="A299" s="16">
        <f t="shared" si="15"/>
        <v>43769</v>
      </c>
      <c r="B299" s="26">
        <f t="shared" si="18"/>
        <v>0.59219999999999995</v>
      </c>
      <c r="C299" s="26">
        <f t="shared" si="16"/>
        <v>0.9131999999999999</v>
      </c>
      <c r="D299" s="26">
        <f t="shared" si="17"/>
        <v>0.74</v>
      </c>
      <c r="H299" s="11">
        <v>43769</v>
      </c>
      <c r="I299" s="9">
        <v>59.22</v>
      </c>
      <c r="J299" s="9">
        <v>91.32</v>
      </c>
      <c r="K299" s="9">
        <v>74</v>
      </c>
    </row>
    <row r="300" spans="1:11" x14ac:dyDescent="0.4">
      <c r="A300" s="16">
        <f t="shared" si="15"/>
        <v>43776</v>
      </c>
      <c r="B300" s="26">
        <f t="shared" si="18"/>
        <v>0.56279999999999997</v>
      </c>
      <c r="C300" s="26">
        <f t="shared" si="16"/>
        <v>0.92169999999999996</v>
      </c>
      <c r="D300" s="26">
        <f t="shared" si="17"/>
        <v>0.72</v>
      </c>
      <c r="H300" s="11">
        <v>43776</v>
      </c>
      <c r="I300" s="9">
        <v>56.28</v>
      </c>
      <c r="J300" s="9">
        <v>92.17</v>
      </c>
      <c r="K300" s="9">
        <v>72</v>
      </c>
    </row>
    <row r="301" spans="1:11" x14ac:dyDescent="0.4">
      <c r="A301" s="16">
        <f t="shared" si="15"/>
        <v>43783</v>
      </c>
      <c r="B301" s="26">
        <f t="shared" si="18"/>
        <v>0.5706</v>
      </c>
      <c r="C301" s="26">
        <f t="shared" si="16"/>
        <v>0.91900000000000004</v>
      </c>
      <c r="D301" s="26">
        <f t="shared" si="17"/>
        <v>0.72</v>
      </c>
      <c r="H301" s="11">
        <v>43783</v>
      </c>
      <c r="I301" s="9">
        <v>57.06</v>
      </c>
      <c r="J301" s="9">
        <v>91.9</v>
      </c>
      <c r="K301" s="9">
        <v>72</v>
      </c>
    </row>
    <row r="302" spans="1:11" x14ac:dyDescent="0.4">
      <c r="A302" s="16">
        <f t="shared" si="15"/>
        <v>43790</v>
      </c>
      <c r="B302" s="26">
        <f t="shared" si="18"/>
        <v>0.58909999999999996</v>
      </c>
      <c r="C302" s="26">
        <f t="shared" si="16"/>
        <v>0.91849999999999998</v>
      </c>
      <c r="D302" s="26">
        <f t="shared" si="17"/>
        <v>0.71</v>
      </c>
      <c r="H302" s="11">
        <v>43790</v>
      </c>
      <c r="I302" s="9">
        <v>58.91</v>
      </c>
      <c r="J302" s="9">
        <v>91.85</v>
      </c>
      <c r="K302" s="9">
        <v>71</v>
      </c>
    </row>
    <row r="303" spans="1:11" x14ac:dyDescent="0.4">
      <c r="A303" s="16">
        <f t="shared" si="15"/>
        <v>43797</v>
      </c>
      <c r="B303" s="26">
        <f t="shared" si="18"/>
        <v>0.57090000000000007</v>
      </c>
      <c r="C303" s="26">
        <f t="shared" si="16"/>
        <v>0.91930000000000012</v>
      </c>
      <c r="D303" s="26">
        <f t="shared" si="17"/>
        <v>0.7</v>
      </c>
      <c r="H303" s="11">
        <v>43797</v>
      </c>
      <c r="I303" s="9">
        <v>57.09</v>
      </c>
      <c r="J303" s="9">
        <v>91.93</v>
      </c>
      <c r="K303" s="9">
        <v>70</v>
      </c>
    </row>
    <row r="304" spans="1:11" x14ac:dyDescent="0.4">
      <c r="A304" s="16">
        <f t="shared" si="15"/>
        <v>43804</v>
      </c>
      <c r="B304" s="26">
        <f t="shared" si="18"/>
        <v>0.56469999999999998</v>
      </c>
      <c r="C304" s="26">
        <f t="shared" si="16"/>
        <v>0.92019999999999991</v>
      </c>
      <c r="D304" s="26">
        <f t="shared" si="17"/>
        <v>0.68</v>
      </c>
      <c r="H304" s="11">
        <v>43804</v>
      </c>
      <c r="I304" s="9">
        <v>56.47</v>
      </c>
      <c r="J304" s="9">
        <v>92.02</v>
      </c>
      <c r="K304" s="9">
        <v>68</v>
      </c>
    </row>
    <row r="305" spans="1:11" x14ac:dyDescent="0.4">
      <c r="A305" s="16">
        <f t="shared" si="15"/>
        <v>43811</v>
      </c>
      <c r="B305" s="26">
        <f t="shared" si="18"/>
        <v>0.55740000000000001</v>
      </c>
      <c r="C305" s="26">
        <f t="shared" si="16"/>
        <v>0.9020999999999999</v>
      </c>
      <c r="D305" s="26">
        <f t="shared" si="17"/>
        <v>0.66</v>
      </c>
      <c r="H305" s="11">
        <v>43811</v>
      </c>
      <c r="I305" s="9">
        <v>55.74</v>
      </c>
      <c r="J305" s="9">
        <v>90.21</v>
      </c>
      <c r="K305" s="9">
        <v>66</v>
      </c>
    </row>
    <row r="306" spans="1:11" x14ac:dyDescent="0.4">
      <c r="A306" s="16">
        <f t="shared" si="15"/>
        <v>43818</v>
      </c>
      <c r="B306" s="26">
        <f t="shared" si="18"/>
        <v>0.53969999999999996</v>
      </c>
      <c r="C306" s="26">
        <f t="shared" si="16"/>
        <v>0.88120000000000009</v>
      </c>
      <c r="D306" s="26">
        <f t="shared" si="17"/>
        <v>0.7</v>
      </c>
      <c r="H306" s="11">
        <v>43818</v>
      </c>
      <c r="I306" s="9">
        <v>53.97</v>
      </c>
      <c r="J306" s="9">
        <v>88.12</v>
      </c>
      <c r="K306" s="9">
        <v>70</v>
      </c>
    </row>
    <row r="307" spans="1:11" x14ac:dyDescent="0.4">
      <c r="A307" s="16">
        <f t="shared" si="15"/>
        <v>43825</v>
      </c>
      <c r="B307" s="26">
        <f t="shared" si="18"/>
        <v>0.53420000000000001</v>
      </c>
      <c r="C307" s="26">
        <f t="shared" si="16"/>
        <v>0.85760000000000003</v>
      </c>
      <c r="D307" s="26">
        <f t="shared" si="17"/>
        <v>0.64</v>
      </c>
      <c r="H307" s="11">
        <v>43825</v>
      </c>
      <c r="I307" s="9">
        <v>53.42</v>
      </c>
      <c r="J307" s="9">
        <v>85.76</v>
      </c>
      <c r="K307" s="9">
        <v>64</v>
      </c>
    </row>
    <row r="308" spans="1:11" x14ac:dyDescent="0.4">
      <c r="A308" s="16">
        <f t="shared" si="15"/>
        <v>43832</v>
      </c>
      <c r="B308" s="26">
        <f t="shared" si="18"/>
        <v>0.56720000000000004</v>
      </c>
      <c r="C308" s="26">
        <f t="shared" si="16"/>
        <v>0.84530000000000005</v>
      </c>
      <c r="D308" s="26">
        <f t="shared" si="17"/>
        <v>0.55000000000000004</v>
      </c>
      <c r="H308" s="11">
        <v>43832</v>
      </c>
      <c r="I308" s="9">
        <v>56.72</v>
      </c>
      <c r="J308" s="9">
        <v>84.53</v>
      </c>
      <c r="K308" s="9">
        <v>55</v>
      </c>
    </row>
    <row r="309" spans="1:11" x14ac:dyDescent="0.4">
      <c r="A309" s="16">
        <f t="shared" si="15"/>
        <v>43839</v>
      </c>
      <c r="B309" s="26">
        <f t="shared" si="18"/>
        <v>0.55969999999999998</v>
      </c>
      <c r="C309" s="26">
        <f t="shared" si="16"/>
        <v>0.82830000000000004</v>
      </c>
      <c r="D309" s="26">
        <f t="shared" si="17"/>
        <v>0.43</v>
      </c>
      <c r="H309" s="11">
        <v>43839</v>
      </c>
      <c r="I309" s="9">
        <v>55.97</v>
      </c>
      <c r="J309" s="9">
        <v>82.83</v>
      </c>
      <c r="K309" s="9">
        <v>43</v>
      </c>
    </row>
    <row r="310" spans="1:11" x14ac:dyDescent="0.4">
      <c r="A310" s="16">
        <f t="shared" si="15"/>
        <v>43846</v>
      </c>
      <c r="B310" s="26">
        <f t="shared" si="18"/>
        <v>0.58619999999999994</v>
      </c>
      <c r="C310" s="26">
        <f t="shared" si="16"/>
        <v>0.74140000000000006</v>
      </c>
      <c r="D310" s="26">
        <f t="shared" si="17"/>
        <v>0.25</v>
      </c>
      <c r="H310" s="11">
        <v>43846</v>
      </c>
      <c r="I310" s="9">
        <v>58.62</v>
      </c>
      <c r="J310" s="9">
        <v>74.14</v>
      </c>
      <c r="K310" s="9">
        <v>25</v>
      </c>
    </row>
    <row r="311" spans="1:11" x14ac:dyDescent="0.4">
      <c r="A311" s="16">
        <f t="shared" si="15"/>
        <v>43853</v>
      </c>
      <c r="B311" s="26">
        <f t="shared" si="18"/>
        <v>0.62259999999999993</v>
      </c>
      <c r="C311" s="26">
        <f t="shared" si="16"/>
        <v>0.72889999999999999</v>
      </c>
      <c r="D311" s="26">
        <f t="shared" si="17"/>
        <v>0.13</v>
      </c>
      <c r="H311" s="11">
        <v>43853</v>
      </c>
      <c r="I311" s="9">
        <v>62.26</v>
      </c>
      <c r="J311" s="9">
        <v>72.89</v>
      </c>
      <c r="K311" s="9">
        <v>13</v>
      </c>
    </row>
    <row r="312" spans="1:11" x14ac:dyDescent="0.4">
      <c r="A312" s="16">
        <f t="shared" si="15"/>
        <v>43860</v>
      </c>
      <c r="B312" s="26">
        <f t="shared" si="18"/>
        <v>0.64659999999999995</v>
      </c>
      <c r="C312" s="26">
        <f t="shared" si="16"/>
        <v>0.72889999999999999</v>
      </c>
      <c r="D312" s="26">
        <f t="shared" si="17"/>
        <v>0.13</v>
      </c>
      <c r="H312" s="11">
        <v>43860</v>
      </c>
      <c r="I312" s="9">
        <v>64.66</v>
      </c>
      <c r="J312" s="9">
        <v>0</v>
      </c>
      <c r="K312" s="9">
        <v>0</v>
      </c>
    </row>
    <row r="313" spans="1:11" x14ac:dyDescent="0.4">
      <c r="A313" s="16">
        <f t="shared" si="15"/>
        <v>43867</v>
      </c>
      <c r="B313" s="26">
        <f t="shared" si="18"/>
        <v>0.5806</v>
      </c>
      <c r="C313" s="26">
        <f t="shared" si="16"/>
        <v>0.66430000000000011</v>
      </c>
      <c r="D313" s="26">
        <f t="shared" si="17"/>
        <v>0.05</v>
      </c>
      <c r="H313" s="11">
        <v>43867</v>
      </c>
      <c r="I313" s="9">
        <v>58.06</v>
      </c>
      <c r="J313" s="9">
        <v>66.430000000000007</v>
      </c>
      <c r="K313" s="9">
        <v>5</v>
      </c>
    </row>
    <row r="314" spans="1:11" x14ac:dyDescent="0.4">
      <c r="A314" s="16">
        <f t="shared" si="15"/>
        <v>43874</v>
      </c>
      <c r="B314" s="26">
        <f t="shared" si="18"/>
        <v>0.57489999999999997</v>
      </c>
      <c r="C314" s="26">
        <f t="shared" si="16"/>
        <v>0.61199999999999999</v>
      </c>
      <c r="D314" s="26">
        <f t="shared" si="17"/>
        <v>7.0000000000000007E-2</v>
      </c>
      <c r="H314" s="11">
        <v>43874</v>
      </c>
      <c r="I314" s="9">
        <v>57.49</v>
      </c>
      <c r="J314" s="9">
        <v>61.2</v>
      </c>
      <c r="K314" s="9">
        <v>7</v>
      </c>
    </row>
    <row r="315" spans="1:11" x14ac:dyDescent="0.4">
      <c r="A315" s="16">
        <f t="shared" si="15"/>
        <v>43881</v>
      </c>
      <c r="B315" s="26">
        <f t="shared" si="18"/>
        <v>0.61649999999999994</v>
      </c>
      <c r="C315" s="26">
        <f t="shared" si="16"/>
        <v>0.62209999999999999</v>
      </c>
      <c r="D315" s="26">
        <f t="shared" si="17"/>
        <v>0.16</v>
      </c>
      <c r="H315" s="11">
        <v>43881</v>
      </c>
      <c r="I315" s="9">
        <v>61.65</v>
      </c>
      <c r="J315" s="9">
        <v>62.21</v>
      </c>
      <c r="K315" s="9">
        <v>16</v>
      </c>
    </row>
    <row r="316" spans="1:11" x14ac:dyDescent="0.4">
      <c r="A316" s="16">
        <f t="shared" si="15"/>
        <v>43888</v>
      </c>
      <c r="B316" s="26">
        <f t="shared" si="18"/>
        <v>0.65280000000000005</v>
      </c>
      <c r="C316" s="26">
        <f t="shared" si="16"/>
        <v>0.65029999999999999</v>
      </c>
      <c r="D316" s="26">
        <f t="shared" si="17"/>
        <v>0.38</v>
      </c>
      <c r="H316" s="11">
        <v>43888</v>
      </c>
      <c r="I316" s="9">
        <v>65.28</v>
      </c>
      <c r="J316" s="9">
        <v>65.03</v>
      </c>
      <c r="K316" s="9">
        <v>38</v>
      </c>
    </row>
    <row r="317" spans="1:11" x14ac:dyDescent="0.4">
      <c r="A317" s="16">
        <f t="shared" si="15"/>
        <v>43895</v>
      </c>
      <c r="B317" s="26">
        <f t="shared" si="18"/>
        <v>0.66020000000000001</v>
      </c>
      <c r="C317" s="26">
        <f t="shared" si="16"/>
        <v>0.69209999999999994</v>
      </c>
      <c r="D317" s="26">
        <f t="shared" si="17"/>
        <v>0.6</v>
      </c>
      <c r="H317" s="11">
        <v>43895</v>
      </c>
      <c r="I317" s="9">
        <v>66.02</v>
      </c>
      <c r="J317" s="9">
        <v>69.209999999999994</v>
      </c>
      <c r="K317" s="9">
        <v>60</v>
      </c>
    </row>
    <row r="318" spans="1:11" x14ac:dyDescent="0.4">
      <c r="A318" s="16">
        <f t="shared" si="15"/>
        <v>43902</v>
      </c>
      <c r="B318" s="26">
        <f t="shared" si="18"/>
        <v>0.71200000000000008</v>
      </c>
      <c r="C318" s="26">
        <f t="shared" si="16"/>
        <v>0.75959999999999994</v>
      </c>
      <c r="D318" s="26">
        <f t="shared" si="17"/>
        <v>0.6552</v>
      </c>
      <c r="H318" s="11">
        <v>43902</v>
      </c>
      <c r="I318" s="9">
        <v>71.2</v>
      </c>
      <c r="J318" s="9">
        <v>75.959999999999994</v>
      </c>
      <c r="K318" s="9">
        <v>65.52</v>
      </c>
    </row>
    <row r="319" spans="1:11" x14ac:dyDescent="0.4">
      <c r="A319" s="16">
        <f t="shared" si="15"/>
        <v>43909</v>
      </c>
      <c r="B319" s="26">
        <f t="shared" si="18"/>
        <v>0.71150000000000002</v>
      </c>
      <c r="C319" s="26">
        <f t="shared" si="16"/>
        <v>0.85450000000000004</v>
      </c>
      <c r="D319" s="26">
        <f t="shared" si="17"/>
        <v>0.6552</v>
      </c>
      <c r="H319" s="11">
        <v>43909</v>
      </c>
      <c r="I319" s="9">
        <v>71.150000000000006</v>
      </c>
      <c r="J319" s="9">
        <v>85.45</v>
      </c>
      <c r="K319" s="9">
        <v>0</v>
      </c>
    </row>
    <row r="320" spans="1:11" x14ac:dyDescent="0.4">
      <c r="A320" s="16">
        <f t="shared" si="15"/>
        <v>43916</v>
      </c>
      <c r="B320" s="26">
        <f t="shared" si="18"/>
        <v>0.7498999999999999</v>
      </c>
      <c r="C320" s="26">
        <f t="shared" si="16"/>
        <v>0.85239999999999994</v>
      </c>
      <c r="D320" s="26">
        <f t="shared" si="17"/>
        <v>0.67569999999999997</v>
      </c>
      <c r="H320" s="11">
        <v>43916</v>
      </c>
      <c r="I320" s="9">
        <v>74.989999999999995</v>
      </c>
      <c r="J320" s="9">
        <v>85.24</v>
      </c>
      <c r="K320" s="9">
        <v>67.569999999999993</v>
      </c>
    </row>
    <row r="321" spans="1:11" x14ac:dyDescent="0.4">
      <c r="A321" s="16">
        <f t="shared" si="15"/>
        <v>43923</v>
      </c>
      <c r="B321" s="26">
        <f t="shared" si="18"/>
        <v>0.7722</v>
      </c>
      <c r="C321" s="26">
        <f t="shared" si="16"/>
        <v>0.82869999999999999</v>
      </c>
      <c r="D321" s="26">
        <f t="shared" si="17"/>
        <v>0.53749999999999998</v>
      </c>
      <c r="H321" s="11">
        <v>43923</v>
      </c>
      <c r="I321" s="9">
        <v>77.22</v>
      </c>
      <c r="J321" s="9">
        <v>82.87</v>
      </c>
      <c r="K321" s="9">
        <v>53.75</v>
      </c>
    </row>
    <row r="322" spans="1:11" x14ac:dyDescent="0.4">
      <c r="A322" s="16">
        <f t="shared" si="15"/>
        <v>43930</v>
      </c>
      <c r="B322" s="26">
        <f t="shared" si="18"/>
        <v>0.76619999999999999</v>
      </c>
      <c r="C322" s="26">
        <f t="shared" si="16"/>
        <v>0.78129999999999999</v>
      </c>
      <c r="D322" s="26">
        <f t="shared" si="17"/>
        <v>0.55880000000000007</v>
      </c>
      <c r="H322" s="11">
        <v>43930</v>
      </c>
      <c r="I322" s="9">
        <v>76.62</v>
      </c>
      <c r="J322" s="9">
        <v>78.13</v>
      </c>
      <c r="K322" s="9">
        <v>55.88</v>
      </c>
    </row>
    <row r="323" spans="1:11" x14ac:dyDescent="0.4">
      <c r="A323" s="16">
        <f t="shared" si="15"/>
        <v>43937</v>
      </c>
      <c r="B323" s="26">
        <f t="shared" si="18"/>
        <v>0.74809999999999999</v>
      </c>
      <c r="C323" s="26">
        <f t="shared" si="16"/>
        <v>0.80720000000000003</v>
      </c>
      <c r="D323" s="26">
        <f t="shared" si="17"/>
        <v>0.55420000000000003</v>
      </c>
      <c r="H323" s="11">
        <v>43937</v>
      </c>
      <c r="I323" s="9">
        <v>74.81</v>
      </c>
      <c r="J323" s="9">
        <v>80.72</v>
      </c>
      <c r="K323" s="9">
        <v>55.42</v>
      </c>
    </row>
    <row r="324" spans="1:11" x14ac:dyDescent="0.4">
      <c r="A324" s="16">
        <f t="shared" si="15"/>
        <v>43944</v>
      </c>
      <c r="B324" s="26">
        <f t="shared" si="18"/>
        <v>0.7581</v>
      </c>
      <c r="C324" s="26">
        <f t="shared" si="16"/>
        <v>0.84030000000000005</v>
      </c>
      <c r="D324" s="26">
        <f t="shared" si="17"/>
        <v>0.5454</v>
      </c>
      <c r="H324" s="11">
        <v>43944</v>
      </c>
      <c r="I324" s="9">
        <v>75.81</v>
      </c>
      <c r="J324" s="9">
        <v>84.03</v>
      </c>
      <c r="K324" s="9">
        <v>54.54</v>
      </c>
    </row>
    <row r="325" spans="1:11" x14ac:dyDescent="0.4">
      <c r="A325" s="16">
        <f t="shared" ref="A325:A388" si="19">H325</f>
        <v>43951</v>
      </c>
      <c r="B325" s="26">
        <f t="shared" si="18"/>
        <v>0.752</v>
      </c>
      <c r="C325" s="26">
        <f t="shared" si="16"/>
        <v>0.86170000000000002</v>
      </c>
      <c r="D325" s="26">
        <f t="shared" si="17"/>
        <v>0.51190000000000002</v>
      </c>
      <c r="H325" s="11">
        <v>43951</v>
      </c>
      <c r="I325" s="9">
        <v>75.2</v>
      </c>
      <c r="J325" s="9">
        <v>86.17</v>
      </c>
      <c r="K325" s="9">
        <v>51.19</v>
      </c>
    </row>
    <row r="326" spans="1:11" x14ac:dyDescent="0.4">
      <c r="A326" s="16">
        <f t="shared" si="19"/>
        <v>43958</v>
      </c>
      <c r="B326" s="26">
        <f t="shared" si="18"/>
        <v>0.76230000000000009</v>
      </c>
      <c r="C326" s="26">
        <f t="shared" ref="C326:C389" si="20">IF(J326&lt;&gt;0,J326/100,C325)</f>
        <v>0.87840000000000007</v>
      </c>
      <c r="D326" s="26">
        <f t="shared" ref="D326:D389" si="21">IF(K326&lt;&gt;0,K326/100,D325)</f>
        <v>0.51190000000000002</v>
      </c>
      <c r="H326" s="11">
        <v>43958</v>
      </c>
      <c r="I326" s="9">
        <v>76.23</v>
      </c>
      <c r="J326" s="9">
        <v>87.84</v>
      </c>
      <c r="K326" s="9">
        <v>0</v>
      </c>
    </row>
    <row r="327" spans="1:11" x14ac:dyDescent="0.4">
      <c r="A327" s="16">
        <f t="shared" si="19"/>
        <v>43959</v>
      </c>
      <c r="B327" s="26">
        <f t="shared" si="18"/>
        <v>0.76230000000000009</v>
      </c>
      <c r="C327" s="26">
        <f t="shared" si="20"/>
        <v>0.87840000000000007</v>
      </c>
      <c r="D327" s="26">
        <f t="shared" si="21"/>
        <v>0.58630000000000004</v>
      </c>
      <c r="H327" s="11">
        <v>43959</v>
      </c>
      <c r="I327" s="9">
        <v>0</v>
      </c>
      <c r="J327" s="9">
        <v>0</v>
      </c>
      <c r="K327" s="9">
        <v>58.63</v>
      </c>
    </row>
    <row r="328" spans="1:11" x14ac:dyDescent="0.4">
      <c r="A328" s="16">
        <f t="shared" si="19"/>
        <v>43965</v>
      </c>
      <c r="B328" s="26">
        <f t="shared" si="18"/>
        <v>0.75700000000000001</v>
      </c>
      <c r="C328" s="26">
        <f t="shared" si="20"/>
        <v>0.88700000000000001</v>
      </c>
      <c r="D328" s="26">
        <f t="shared" si="21"/>
        <v>0.62350000000000005</v>
      </c>
      <c r="H328" s="11">
        <v>43965</v>
      </c>
      <c r="I328" s="9">
        <v>75.7</v>
      </c>
      <c r="J328" s="9">
        <v>88.7</v>
      </c>
      <c r="K328" s="9">
        <v>62.35</v>
      </c>
    </row>
    <row r="329" spans="1:11" x14ac:dyDescent="0.4">
      <c r="A329" s="16">
        <f t="shared" si="19"/>
        <v>43972</v>
      </c>
      <c r="B329" s="26">
        <f t="shared" si="18"/>
        <v>0.73950000000000005</v>
      </c>
      <c r="C329" s="26">
        <f t="shared" si="20"/>
        <v>0.88700000000000001</v>
      </c>
      <c r="D329" s="26">
        <f t="shared" si="21"/>
        <v>0.67469999999999997</v>
      </c>
      <c r="H329" s="11">
        <v>43972</v>
      </c>
      <c r="I329" s="9">
        <v>73.95</v>
      </c>
      <c r="J329" s="9">
        <v>88.7</v>
      </c>
      <c r="K329" s="9">
        <v>67.47</v>
      </c>
    </row>
    <row r="330" spans="1:11" x14ac:dyDescent="0.4">
      <c r="A330" s="16">
        <f t="shared" si="19"/>
        <v>43979</v>
      </c>
      <c r="B330" s="26">
        <f t="shared" si="18"/>
        <v>0.76379999999999992</v>
      </c>
      <c r="C330" s="26">
        <f t="shared" si="20"/>
        <v>0.87609999999999999</v>
      </c>
      <c r="D330" s="26">
        <f t="shared" si="21"/>
        <v>0.70290000000000008</v>
      </c>
      <c r="H330" s="11">
        <v>43979</v>
      </c>
      <c r="I330" s="9">
        <v>76.38</v>
      </c>
      <c r="J330" s="9">
        <v>87.61</v>
      </c>
      <c r="K330" s="9">
        <v>70.290000000000006</v>
      </c>
    </row>
    <row r="331" spans="1:11" x14ac:dyDescent="0.4">
      <c r="A331" s="16">
        <f t="shared" si="19"/>
        <v>43986</v>
      </c>
      <c r="B331" s="26">
        <f t="shared" si="18"/>
        <v>0.7339</v>
      </c>
      <c r="C331" s="26">
        <f t="shared" si="20"/>
        <v>0.8748999999999999</v>
      </c>
      <c r="D331" s="26">
        <f t="shared" si="21"/>
        <v>0.6603</v>
      </c>
      <c r="H331" s="11">
        <v>43986</v>
      </c>
      <c r="I331" s="9">
        <v>73.39</v>
      </c>
      <c r="J331" s="9">
        <v>87.49</v>
      </c>
      <c r="K331" s="9">
        <v>66.03</v>
      </c>
    </row>
    <row r="332" spans="1:11" x14ac:dyDescent="0.4">
      <c r="A332" s="16">
        <f t="shared" si="19"/>
        <v>43993</v>
      </c>
      <c r="B332" s="26">
        <f t="shared" si="18"/>
        <v>0.71150000000000002</v>
      </c>
      <c r="C332" s="26">
        <f t="shared" si="20"/>
        <v>0.88319999999999999</v>
      </c>
      <c r="D332" s="26">
        <f t="shared" si="21"/>
        <v>0.64659999999999995</v>
      </c>
      <c r="H332" s="11">
        <v>43993</v>
      </c>
      <c r="I332" s="9">
        <v>71.150000000000006</v>
      </c>
      <c r="J332" s="9">
        <v>88.32</v>
      </c>
      <c r="K332" s="9">
        <v>64.66</v>
      </c>
    </row>
    <row r="333" spans="1:11" x14ac:dyDescent="0.4">
      <c r="A333" s="16">
        <f t="shared" si="19"/>
        <v>44000</v>
      </c>
      <c r="B333" s="26">
        <f t="shared" si="18"/>
        <v>0.69010000000000005</v>
      </c>
      <c r="C333" s="26">
        <f t="shared" si="20"/>
        <v>0.88040000000000007</v>
      </c>
      <c r="D333" s="26">
        <f t="shared" si="21"/>
        <v>0.63659999999999994</v>
      </c>
      <c r="H333" s="11">
        <v>44000</v>
      </c>
      <c r="I333" s="9">
        <v>69.010000000000005</v>
      </c>
      <c r="J333" s="9">
        <v>88.04</v>
      </c>
      <c r="K333" s="9">
        <v>63.66</v>
      </c>
    </row>
    <row r="334" spans="1:11" x14ac:dyDescent="0.4">
      <c r="A334" s="16">
        <f t="shared" si="19"/>
        <v>44006</v>
      </c>
      <c r="B334" s="26">
        <f t="shared" si="18"/>
        <v>0.69010000000000005</v>
      </c>
      <c r="C334" s="26">
        <f t="shared" si="20"/>
        <v>0.87400000000000011</v>
      </c>
      <c r="D334" s="26">
        <f t="shared" si="21"/>
        <v>0.63190000000000002</v>
      </c>
      <c r="H334" s="11">
        <v>44006</v>
      </c>
      <c r="I334" s="9">
        <v>0</v>
      </c>
      <c r="J334" s="9">
        <v>87.4</v>
      </c>
      <c r="K334" s="9">
        <v>63.19</v>
      </c>
    </row>
    <row r="335" spans="1:11" x14ac:dyDescent="0.4">
      <c r="A335" s="16">
        <f t="shared" si="19"/>
        <v>44007</v>
      </c>
      <c r="B335" s="26">
        <f t="shared" si="18"/>
        <v>0.69420000000000004</v>
      </c>
      <c r="C335" s="26">
        <f t="shared" si="20"/>
        <v>0.87400000000000011</v>
      </c>
      <c r="D335" s="26">
        <f t="shared" si="21"/>
        <v>0.63190000000000002</v>
      </c>
      <c r="H335" s="11">
        <v>44007</v>
      </c>
      <c r="I335" s="9">
        <v>69.42</v>
      </c>
      <c r="J335" s="9">
        <v>0</v>
      </c>
      <c r="K335" s="9">
        <v>0</v>
      </c>
    </row>
    <row r="336" spans="1:11" x14ac:dyDescent="0.4">
      <c r="A336" s="16">
        <f t="shared" si="19"/>
        <v>44014</v>
      </c>
      <c r="B336" s="26">
        <f t="shared" si="18"/>
        <v>0.6762999999999999</v>
      </c>
      <c r="C336" s="26">
        <f t="shared" si="20"/>
        <v>0.88129999999999997</v>
      </c>
      <c r="D336" s="26">
        <f t="shared" si="21"/>
        <v>0.61990000000000001</v>
      </c>
      <c r="H336" s="11">
        <v>44014</v>
      </c>
      <c r="I336" s="9">
        <v>67.63</v>
      </c>
      <c r="J336" s="9">
        <v>88.13</v>
      </c>
      <c r="K336" s="9">
        <v>61.99</v>
      </c>
    </row>
    <row r="337" spans="1:11" x14ac:dyDescent="0.4">
      <c r="A337" s="16">
        <f t="shared" si="19"/>
        <v>44021</v>
      </c>
      <c r="B337" s="26">
        <f t="shared" si="18"/>
        <v>0.68010000000000004</v>
      </c>
      <c r="C337" s="26">
        <f t="shared" si="20"/>
        <v>0.87819999999999998</v>
      </c>
      <c r="D337" s="26">
        <f t="shared" si="21"/>
        <v>0.61070000000000002</v>
      </c>
      <c r="H337" s="11">
        <v>44021</v>
      </c>
      <c r="I337" s="9">
        <v>68.010000000000005</v>
      </c>
      <c r="J337" s="9">
        <v>87.82</v>
      </c>
      <c r="K337" s="9">
        <v>61.07</v>
      </c>
    </row>
    <row r="338" spans="1:11" x14ac:dyDescent="0.4">
      <c r="A338" s="16">
        <f t="shared" si="19"/>
        <v>44028</v>
      </c>
      <c r="B338" s="26">
        <f t="shared" si="18"/>
        <v>0.70069999999999988</v>
      </c>
      <c r="C338" s="26">
        <f t="shared" si="20"/>
        <v>0.87269999999999992</v>
      </c>
      <c r="D338" s="26">
        <f t="shared" si="21"/>
        <v>0.52710000000000001</v>
      </c>
      <c r="H338" s="11">
        <v>44028</v>
      </c>
      <c r="I338" s="9">
        <v>70.069999999999993</v>
      </c>
      <c r="J338" s="9">
        <v>87.27</v>
      </c>
      <c r="K338" s="9">
        <v>52.71</v>
      </c>
    </row>
    <row r="339" spans="1:11" x14ac:dyDescent="0.4">
      <c r="A339" s="16">
        <f t="shared" si="19"/>
        <v>44035</v>
      </c>
      <c r="B339" s="26">
        <f t="shared" si="18"/>
        <v>0.70459999999999989</v>
      </c>
      <c r="C339" s="26">
        <f t="shared" si="20"/>
        <v>0.8701000000000001</v>
      </c>
      <c r="D339" s="26">
        <f t="shared" si="21"/>
        <v>0.58719999999999994</v>
      </c>
      <c r="H339" s="11">
        <v>44035</v>
      </c>
      <c r="I339" s="9">
        <v>70.459999999999994</v>
      </c>
      <c r="J339" s="9">
        <v>87.01</v>
      </c>
      <c r="K339" s="9">
        <v>58.72</v>
      </c>
    </row>
    <row r="340" spans="1:11" x14ac:dyDescent="0.4">
      <c r="A340" s="16">
        <f t="shared" si="19"/>
        <v>44042</v>
      </c>
      <c r="B340" s="26">
        <f t="shared" si="18"/>
        <v>0.72439999999999993</v>
      </c>
      <c r="C340" s="26">
        <f t="shared" si="20"/>
        <v>0.86860000000000004</v>
      </c>
      <c r="D340" s="26">
        <f t="shared" si="21"/>
        <v>0.59439999999999993</v>
      </c>
      <c r="H340" s="11">
        <v>44042</v>
      </c>
      <c r="I340" s="9">
        <v>72.44</v>
      </c>
      <c r="J340" s="9">
        <v>86.86</v>
      </c>
      <c r="K340" s="9">
        <v>59.44</v>
      </c>
    </row>
    <row r="341" spans="1:11" x14ac:dyDescent="0.4">
      <c r="A341" s="16">
        <f t="shared" si="19"/>
        <v>44049</v>
      </c>
      <c r="B341" s="26">
        <f t="shared" si="18"/>
        <v>0.71200000000000008</v>
      </c>
      <c r="C341" s="26">
        <f t="shared" si="20"/>
        <v>0.86580000000000001</v>
      </c>
      <c r="D341" s="26">
        <f t="shared" si="21"/>
        <v>0.626</v>
      </c>
      <c r="H341" s="11">
        <v>44049</v>
      </c>
      <c r="I341" s="9">
        <v>71.2</v>
      </c>
      <c r="J341" s="9">
        <v>86.58</v>
      </c>
      <c r="K341" s="9">
        <v>62.6</v>
      </c>
    </row>
    <row r="342" spans="1:11" x14ac:dyDescent="0.4">
      <c r="A342" s="16">
        <f t="shared" si="19"/>
        <v>44056</v>
      </c>
      <c r="B342" s="26">
        <f t="shared" ref="B342:B405" si="22">IF(I342&lt;&gt;0,I342/100,B341)</f>
        <v>0.71400000000000008</v>
      </c>
      <c r="C342" s="26">
        <f t="shared" si="20"/>
        <v>0.8637999999999999</v>
      </c>
      <c r="D342" s="26">
        <f t="shared" si="21"/>
        <v>0.67680000000000007</v>
      </c>
      <c r="H342" s="11">
        <v>44056</v>
      </c>
      <c r="I342" s="9">
        <v>71.400000000000006</v>
      </c>
      <c r="J342" s="9">
        <v>86.38</v>
      </c>
      <c r="K342" s="9">
        <v>67.680000000000007</v>
      </c>
    </row>
    <row r="343" spans="1:11" x14ac:dyDescent="0.4">
      <c r="A343" s="16">
        <f t="shared" si="19"/>
        <v>44063</v>
      </c>
      <c r="B343" s="26">
        <f t="shared" si="22"/>
        <v>0.70930000000000004</v>
      </c>
      <c r="C343" s="26">
        <f t="shared" si="20"/>
        <v>0.8637999999999999</v>
      </c>
      <c r="D343" s="26">
        <f t="shared" si="21"/>
        <v>0.6663</v>
      </c>
      <c r="H343" s="11">
        <v>44063</v>
      </c>
      <c r="I343" s="9">
        <v>70.930000000000007</v>
      </c>
      <c r="J343" s="9">
        <v>86.38</v>
      </c>
      <c r="K343" s="9">
        <v>66.63</v>
      </c>
    </row>
    <row r="344" spans="1:11" x14ac:dyDescent="0.4">
      <c r="A344" s="16">
        <f t="shared" si="19"/>
        <v>44070</v>
      </c>
      <c r="B344" s="26">
        <f t="shared" si="22"/>
        <v>0.68159999999999998</v>
      </c>
      <c r="C344" s="26">
        <f t="shared" si="20"/>
        <v>0.8637999999999999</v>
      </c>
      <c r="D344" s="26">
        <f t="shared" si="21"/>
        <v>0.68420000000000003</v>
      </c>
      <c r="H344" s="11">
        <v>44070</v>
      </c>
      <c r="I344" s="9">
        <v>68.16</v>
      </c>
      <c r="J344" s="9">
        <v>86.38</v>
      </c>
      <c r="K344" s="9">
        <v>68.42</v>
      </c>
    </row>
    <row r="345" spans="1:11" x14ac:dyDescent="0.4">
      <c r="A345" s="16">
        <f t="shared" si="19"/>
        <v>44077</v>
      </c>
      <c r="B345" s="26">
        <f t="shared" si="22"/>
        <v>0.69909999999999994</v>
      </c>
      <c r="C345" s="26">
        <f t="shared" si="20"/>
        <v>0.8637999999999999</v>
      </c>
      <c r="D345" s="26">
        <f t="shared" si="21"/>
        <v>0.59360000000000002</v>
      </c>
      <c r="H345" s="11">
        <v>44077</v>
      </c>
      <c r="I345" s="9">
        <v>69.91</v>
      </c>
      <c r="J345" s="9">
        <v>86.38</v>
      </c>
      <c r="K345" s="9">
        <v>59.36</v>
      </c>
    </row>
    <row r="346" spans="1:11" x14ac:dyDescent="0.4">
      <c r="A346" s="16">
        <f t="shared" si="19"/>
        <v>44084</v>
      </c>
      <c r="B346" s="26">
        <f t="shared" si="22"/>
        <v>0.72199999999999998</v>
      </c>
      <c r="C346" s="26">
        <f t="shared" si="20"/>
        <v>0.87540000000000007</v>
      </c>
      <c r="D346" s="26">
        <f t="shared" si="21"/>
        <v>0.69889999999999997</v>
      </c>
      <c r="H346" s="11">
        <v>44084</v>
      </c>
      <c r="I346" s="9">
        <v>72.2</v>
      </c>
      <c r="J346" s="9">
        <v>87.54</v>
      </c>
      <c r="K346" s="9">
        <v>69.89</v>
      </c>
    </row>
    <row r="347" spans="1:11" x14ac:dyDescent="0.4">
      <c r="A347" s="16">
        <f t="shared" si="19"/>
        <v>44091</v>
      </c>
      <c r="B347" s="26">
        <f t="shared" si="22"/>
        <v>0.73250000000000004</v>
      </c>
      <c r="C347" s="26">
        <f t="shared" si="20"/>
        <v>0.87419999999999998</v>
      </c>
      <c r="D347" s="26">
        <f t="shared" si="21"/>
        <v>0.71209999999999996</v>
      </c>
      <c r="H347" s="11">
        <v>44091</v>
      </c>
      <c r="I347" s="9">
        <v>73.25</v>
      </c>
      <c r="J347" s="9">
        <v>87.42</v>
      </c>
      <c r="K347" s="9">
        <v>71.209999999999994</v>
      </c>
    </row>
    <row r="348" spans="1:11" x14ac:dyDescent="0.4">
      <c r="A348" s="16">
        <f t="shared" si="19"/>
        <v>44098</v>
      </c>
      <c r="B348" s="26">
        <f t="shared" si="22"/>
        <v>0.73450000000000004</v>
      </c>
      <c r="C348" s="26">
        <f t="shared" si="20"/>
        <v>0.87159999999999993</v>
      </c>
      <c r="D348" s="26">
        <f t="shared" si="21"/>
        <v>0.71120000000000005</v>
      </c>
      <c r="H348" s="11">
        <v>44098</v>
      </c>
      <c r="I348" s="9">
        <v>73.45</v>
      </c>
      <c r="J348" s="9">
        <v>87.16</v>
      </c>
      <c r="K348" s="9">
        <v>71.12</v>
      </c>
    </row>
    <row r="349" spans="1:11" x14ac:dyDescent="0.4">
      <c r="A349" s="16">
        <f t="shared" si="19"/>
        <v>44104</v>
      </c>
      <c r="B349" s="26">
        <f t="shared" si="22"/>
        <v>0.73450000000000004</v>
      </c>
      <c r="C349" s="26">
        <f t="shared" si="20"/>
        <v>0.86769999999999992</v>
      </c>
      <c r="D349" s="26">
        <f t="shared" si="21"/>
        <v>0.72730000000000006</v>
      </c>
      <c r="H349" s="11">
        <v>44104</v>
      </c>
      <c r="I349" s="9">
        <v>0</v>
      </c>
      <c r="J349" s="9">
        <v>86.77</v>
      </c>
      <c r="K349" s="9">
        <v>72.73</v>
      </c>
    </row>
    <row r="350" spans="1:11" x14ac:dyDescent="0.4">
      <c r="A350" s="16">
        <f t="shared" si="19"/>
        <v>44105</v>
      </c>
      <c r="B350" s="26">
        <f t="shared" si="22"/>
        <v>0.71650000000000003</v>
      </c>
      <c r="C350" s="26">
        <f t="shared" si="20"/>
        <v>0.86769999999999992</v>
      </c>
      <c r="D350" s="26">
        <f t="shared" si="21"/>
        <v>0.72730000000000006</v>
      </c>
      <c r="H350" s="11">
        <v>44105</v>
      </c>
      <c r="I350" s="9">
        <v>71.650000000000006</v>
      </c>
      <c r="J350" s="9">
        <v>0</v>
      </c>
      <c r="K350" s="9">
        <v>0</v>
      </c>
    </row>
    <row r="351" spans="1:11" x14ac:dyDescent="0.4">
      <c r="A351" s="16">
        <f t="shared" si="19"/>
        <v>44112</v>
      </c>
      <c r="B351" s="26">
        <f t="shared" si="22"/>
        <v>0.76870000000000005</v>
      </c>
      <c r="C351" s="26">
        <f t="shared" si="20"/>
        <v>0.86769999999999992</v>
      </c>
      <c r="D351" s="26">
        <f t="shared" si="21"/>
        <v>0.72730000000000006</v>
      </c>
      <c r="H351" s="11">
        <v>44112</v>
      </c>
      <c r="I351" s="9">
        <v>76.87</v>
      </c>
      <c r="J351" s="9">
        <v>0</v>
      </c>
      <c r="K351" s="9">
        <v>0</v>
      </c>
    </row>
    <row r="352" spans="1:11" x14ac:dyDescent="0.4">
      <c r="A352" s="16">
        <f t="shared" si="19"/>
        <v>44119</v>
      </c>
      <c r="B352" s="26">
        <f t="shared" si="22"/>
        <v>0.72829999999999995</v>
      </c>
      <c r="C352" s="26">
        <f t="shared" si="20"/>
        <v>0.84829999999999994</v>
      </c>
      <c r="D352" s="26">
        <f t="shared" si="21"/>
        <v>0.81200000000000006</v>
      </c>
      <c r="H352" s="11">
        <v>44119</v>
      </c>
      <c r="I352" s="9">
        <v>72.83</v>
      </c>
      <c r="J352" s="9">
        <v>84.83</v>
      </c>
      <c r="K352" s="9">
        <v>81.2</v>
      </c>
    </row>
    <row r="353" spans="1:11" x14ac:dyDescent="0.4">
      <c r="A353" s="16">
        <f t="shared" si="19"/>
        <v>44126</v>
      </c>
      <c r="B353" s="26">
        <f t="shared" si="22"/>
        <v>0.69030000000000002</v>
      </c>
      <c r="C353" s="26">
        <f t="shared" si="20"/>
        <v>0.86319999999999997</v>
      </c>
      <c r="D353" s="26">
        <f t="shared" si="21"/>
        <v>0.82950000000000002</v>
      </c>
      <c r="H353" s="11">
        <v>44126</v>
      </c>
      <c r="I353" s="9">
        <v>69.03</v>
      </c>
      <c r="J353" s="9">
        <v>86.32</v>
      </c>
      <c r="K353" s="9">
        <v>82.95</v>
      </c>
    </row>
    <row r="354" spans="1:11" x14ac:dyDescent="0.4">
      <c r="A354" s="16">
        <f t="shared" si="19"/>
        <v>44133</v>
      </c>
      <c r="B354" s="26">
        <f t="shared" si="22"/>
        <v>0.6986</v>
      </c>
      <c r="C354" s="26">
        <f t="shared" si="20"/>
        <v>0.86919999999999997</v>
      </c>
      <c r="D354" s="26">
        <f t="shared" si="21"/>
        <v>0.83200000000000007</v>
      </c>
      <c r="H354" s="11">
        <v>44133</v>
      </c>
      <c r="I354" s="9">
        <v>69.86</v>
      </c>
      <c r="J354" s="9">
        <v>86.92</v>
      </c>
      <c r="K354" s="9">
        <v>83.2</v>
      </c>
    </row>
    <row r="355" spans="1:11" x14ac:dyDescent="0.4">
      <c r="A355" s="16">
        <f t="shared" si="19"/>
        <v>44140</v>
      </c>
      <c r="B355" s="26">
        <f t="shared" si="22"/>
        <v>0.68830000000000002</v>
      </c>
      <c r="C355" s="26">
        <f t="shared" si="20"/>
        <v>0.87349999999999994</v>
      </c>
      <c r="D355" s="26">
        <f t="shared" si="21"/>
        <v>0.82440000000000002</v>
      </c>
      <c r="H355" s="11">
        <v>44140</v>
      </c>
      <c r="I355" s="9">
        <v>68.83</v>
      </c>
      <c r="J355" s="9">
        <v>87.35</v>
      </c>
      <c r="K355" s="9">
        <v>82.44</v>
      </c>
    </row>
    <row r="356" spans="1:11" x14ac:dyDescent="0.4">
      <c r="A356" s="16">
        <f t="shared" si="19"/>
        <v>44147</v>
      </c>
      <c r="B356" s="26">
        <f t="shared" si="22"/>
        <v>0.70069999999999988</v>
      </c>
      <c r="C356" s="26">
        <f t="shared" si="20"/>
        <v>0.87439999999999996</v>
      </c>
      <c r="D356" s="26">
        <f t="shared" si="21"/>
        <v>0.80310000000000004</v>
      </c>
      <c r="H356" s="11">
        <v>44147</v>
      </c>
      <c r="I356" s="9">
        <v>70.069999999999993</v>
      </c>
      <c r="J356" s="9">
        <v>87.44</v>
      </c>
      <c r="K356" s="9">
        <v>80.31</v>
      </c>
    </row>
    <row r="357" spans="1:11" x14ac:dyDescent="0.4">
      <c r="A357" s="16">
        <f t="shared" si="19"/>
        <v>44154</v>
      </c>
      <c r="B357" s="26">
        <f t="shared" si="22"/>
        <v>0.68769999999999998</v>
      </c>
      <c r="C357" s="26">
        <f t="shared" si="20"/>
        <v>0.87430000000000008</v>
      </c>
      <c r="D357" s="26">
        <f t="shared" si="21"/>
        <v>0.79720000000000002</v>
      </c>
      <c r="H357" s="11">
        <v>44154</v>
      </c>
      <c r="I357" s="9">
        <v>68.77</v>
      </c>
      <c r="J357" s="9">
        <v>87.43</v>
      </c>
      <c r="K357" s="9">
        <v>79.72</v>
      </c>
    </row>
    <row r="358" spans="1:11" x14ac:dyDescent="0.4">
      <c r="A358" s="16">
        <f t="shared" si="19"/>
        <v>44161</v>
      </c>
      <c r="B358" s="26">
        <f t="shared" si="22"/>
        <v>0.68830000000000002</v>
      </c>
      <c r="C358" s="26">
        <f t="shared" si="20"/>
        <v>0.87719999999999998</v>
      </c>
      <c r="D358" s="26">
        <f t="shared" si="21"/>
        <v>0.78469999999999995</v>
      </c>
      <c r="H358" s="11">
        <v>44161</v>
      </c>
      <c r="I358" s="9">
        <v>68.83</v>
      </c>
      <c r="J358" s="9">
        <v>87.72</v>
      </c>
      <c r="K358" s="9">
        <v>78.47</v>
      </c>
    </row>
    <row r="359" spans="1:11" x14ac:dyDescent="0.4">
      <c r="A359" s="16">
        <f t="shared" si="19"/>
        <v>44168</v>
      </c>
      <c r="B359" s="26">
        <f t="shared" si="22"/>
        <v>0.66670000000000007</v>
      </c>
      <c r="C359" s="26">
        <f t="shared" si="20"/>
        <v>0.87749999999999995</v>
      </c>
      <c r="D359" s="26">
        <f t="shared" si="21"/>
        <v>0.75829999999999997</v>
      </c>
      <c r="H359" s="11">
        <v>44168</v>
      </c>
      <c r="I359" s="9">
        <v>66.67</v>
      </c>
      <c r="J359" s="9">
        <v>87.75</v>
      </c>
      <c r="K359" s="9">
        <v>75.83</v>
      </c>
    </row>
    <row r="360" spans="1:11" x14ac:dyDescent="0.4">
      <c r="A360" s="16">
        <f t="shared" si="19"/>
        <v>44175</v>
      </c>
      <c r="B360" s="26">
        <f t="shared" si="22"/>
        <v>0.61630000000000007</v>
      </c>
      <c r="C360" s="26">
        <f t="shared" si="20"/>
        <v>0.87749999999999995</v>
      </c>
      <c r="D360" s="26">
        <f t="shared" si="21"/>
        <v>0.77670000000000006</v>
      </c>
      <c r="H360" s="11">
        <v>44175</v>
      </c>
      <c r="I360" s="9">
        <v>61.63</v>
      </c>
      <c r="J360" s="9">
        <v>87.75</v>
      </c>
      <c r="K360" s="9">
        <v>77.67</v>
      </c>
    </row>
    <row r="361" spans="1:11" x14ac:dyDescent="0.4">
      <c r="A361" s="16">
        <f t="shared" si="19"/>
        <v>44182</v>
      </c>
      <c r="B361" s="26">
        <f t="shared" si="22"/>
        <v>0.56909999999999994</v>
      </c>
      <c r="C361" s="26">
        <f t="shared" si="20"/>
        <v>0.87749999999999995</v>
      </c>
      <c r="D361" s="26">
        <f t="shared" si="21"/>
        <v>0.76879999999999993</v>
      </c>
      <c r="H361" s="11">
        <v>44182</v>
      </c>
      <c r="I361" s="9">
        <v>56.91</v>
      </c>
      <c r="J361" s="9">
        <v>87.75</v>
      </c>
      <c r="K361" s="9">
        <v>76.88</v>
      </c>
    </row>
    <row r="362" spans="1:11" x14ac:dyDescent="0.4">
      <c r="A362" s="16">
        <f t="shared" si="19"/>
        <v>44189</v>
      </c>
      <c r="B362" s="26">
        <f t="shared" si="22"/>
        <v>0.53079999999999994</v>
      </c>
      <c r="C362" s="26">
        <f t="shared" si="20"/>
        <v>0.86580000000000001</v>
      </c>
      <c r="D362" s="26">
        <f t="shared" si="21"/>
        <v>0.76419999999999999</v>
      </c>
      <c r="H362" s="11">
        <v>44189</v>
      </c>
      <c r="I362" s="9">
        <v>53.08</v>
      </c>
      <c r="J362" s="9">
        <v>86.58</v>
      </c>
      <c r="K362" s="9">
        <v>76.42</v>
      </c>
    </row>
    <row r="363" spans="1:11" x14ac:dyDescent="0.4">
      <c r="A363" s="16">
        <f t="shared" si="19"/>
        <v>44196</v>
      </c>
      <c r="B363" s="26">
        <f t="shared" si="22"/>
        <v>0.52929999999999999</v>
      </c>
      <c r="C363" s="26">
        <f t="shared" si="20"/>
        <v>0.85730000000000006</v>
      </c>
      <c r="D363" s="26">
        <f t="shared" si="21"/>
        <v>0.75650000000000006</v>
      </c>
      <c r="H363" s="11">
        <v>44196</v>
      </c>
      <c r="I363" s="9">
        <v>52.93</v>
      </c>
      <c r="J363" s="9">
        <v>85.73</v>
      </c>
      <c r="K363" s="9">
        <v>75.650000000000006</v>
      </c>
    </row>
    <row r="364" spans="1:11" x14ac:dyDescent="0.4">
      <c r="A364" s="16">
        <f t="shared" si="19"/>
        <v>44203</v>
      </c>
      <c r="B364" s="26">
        <f t="shared" si="22"/>
        <v>0.55740000000000001</v>
      </c>
      <c r="C364" s="26">
        <f t="shared" si="20"/>
        <v>0.88260000000000005</v>
      </c>
      <c r="D364" s="26">
        <f t="shared" si="21"/>
        <v>0.70760000000000001</v>
      </c>
      <c r="H364" s="11">
        <v>44203</v>
      </c>
      <c r="I364" s="9">
        <v>55.74</v>
      </c>
      <c r="J364" s="9">
        <v>88.26</v>
      </c>
      <c r="K364" s="9">
        <v>70.760000000000005</v>
      </c>
    </row>
    <row r="365" spans="1:11" x14ac:dyDescent="0.4">
      <c r="A365" s="16">
        <f t="shared" si="19"/>
        <v>44210</v>
      </c>
      <c r="B365" s="26">
        <f t="shared" si="22"/>
        <v>0.55520000000000003</v>
      </c>
      <c r="C365" s="26">
        <f t="shared" si="20"/>
        <v>0.87620000000000009</v>
      </c>
      <c r="D365" s="26">
        <f t="shared" si="21"/>
        <v>0.66290000000000004</v>
      </c>
      <c r="H365" s="11">
        <v>44210</v>
      </c>
      <c r="I365" s="9">
        <v>55.52</v>
      </c>
      <c r="J365" s="9">
        <v>87.62</v>
      </c>
      <c r="K365" s="9">
        <v>66.290000000000006</v>
      </c>
    </row>
    <row r="366" spans="1:11" x14ac:dyDescent="0.4">
      <c r="A366" s="16">
        <f t="shared" si="19"/>
        <v>44217</v>
      </c>
      <c r="B366" s="26">
        <f t="shared" si="22"/>
        <v>0.55179999999999996</v>
      </c>
      <c r="C366" s="26">
        <f t="shared" si="20"/>
        <v>0.82120000000000004</v>
      </c>
      <c r="D366" s="26">
        <f t="shared" si="21"/>
        <v>0.50350000000000006</v>
      </c>
      <c r="H366" s="11">
        <v>44217</v>
      </c>
      <c r="I366" s="9">
        <v>55.18</v>
      </c>
      <c r="J366" s="9">
        <v>82.12</v>
      </c>
      <c r="K366" s="9">
        <v>50.35</v>
      </c>
    </row>
    <row r="367" spans="1:11" x14ac:dyDescent="0.4">
      <c r="A367" s="16">
        <f t="shared" si="19"/>
        <v>44224</v>
      </c>
      <c r="B367" s="26">
        <f t="shared" si="22"/>
        <v>0.5635</v>
      </c>
      <c r="C367" s="26">
        <f t="shared" si="20"/>
        <v>0.78439999999999999</v>
      </c>
      <c r="D367" s="26">
        <f t="shared" si="21"/>
        <v>0.33679999999999999</v>
      </c>
      <c r="H367" s="11">
        <v>44224</v>
      </c>
      <c r="I367" s="9">
        <v>56.35</v>
      </c>
      <c r="J367" s="9">
        <v>78.44</v>
      </c>
      <c r="K367" s="9">
        <v>33.68</v>
      </c>
    </row>
    <row r="368" spans="1:11" x14ac:dyDescent="0.4">
      <c r="A368" s="16">
        <f t="shared" si="19"/>
        <v>44231</v>
      </c>
      <c r="B368" s="26">
        <f t="shared" si="22"/>
        <v>0.6089</v>
      </c>
      <c r="C368" s="26">
        <f t="shared" si="20"/>
        <v>0.78439999999999999</v>
      </c>
      <c r="D368" s="26">
        <f t="shared" si="21"/>
        <v>0.1449</v>
      </c>
      <c r="H368" s="11">
        <v>44231</v>
      </c>
      <c r="I368" s="9">
        <v>60.89</v>
      </c>
      <c r="J368" s="9">
        <v>78.44</v>
      </c>
      <c r="K368" s="9">
        <v>14.49</v>
      </c>
    </row>
    <row r="369" spans="1:11" x14ac:dyDescent="0.4">
      <c r="A369" s="16">
        <f t="shared" si="19"/>
        <v>44237</v>
      </c>
      <c r="B369" s="26">
        <f t="shared" si="22"/>
        <v>0.6089</v>
      </c>
      <c r="C369" s="26">
        <f t="shared" si="20"/>
        <v>0.70920000000000005</v>
      </c>
      <c r="D369" s="26">
        <f t="shared" si="21"/>
        <v>4.3400000000000001E-2</v>
      </c>
      <c r="H369" s="11">
        <v>44237</v>
      </c>
      <c r="I369" s="9">
        <v>0</v>
      </c>
      <c r="J369" s="9">
        <v>70.92</v>
      </c>
      <c r="K369" s="9">
        <v>4.34</v>
      </c>
    </row>
    <row r="370" spans="1:11" x14ac:dyDescent="0.4">
      <c r="A370" s="16">
        <f t="shared" si="19"/>
        <v>44238</v>
      </c>
      <c r="B370" s="26">
        <f t="shared" si="22"/>
        <v>0.70510000000000006</v>
      </c>
      <c r="C370" s="26">
        <f t="shared" si="20"/>
        <v>0.70920000000000005</v>
      </c>
      <c r="D370" s="26">
        <f t="shared" si="21"/>
        <v>4.3400000000000001E-2</v>
      </c>
      <c r="H370" s="11">
        <v>44238</v>
      </c>
      <c r="I370" s="9">
        <v>70.510000000000005</v>
      </c>
      <c r="J370" s="9">
        <v>0</v>
      </c>
      <c r="K370" s="9">
        <v>0</v>
      </c>
    </row>
    <row r="371" spans="1:11" x14ac:dyDescent="0.4">
      <c r="A371" s="16">
        <f t="shared" si="19"/>
        <v>44245</v>
      </c>
      <c r="B371" s="26">
        <f t="shared" si="22"/>
        <v>0.74540000000000006</v>
      </c>
      <c r="C371" s="26">
        <f t="shared" si="20"/>
        <v>0.70920000000000005</v>
      </c>
      <c r="D371" s="26">
        <f t="shared" si="21"/>
        <v>4.3400000000000001E-2</v>
      </c>
      <c r="H371" s="11">
        <v>44245</v>
      </c>
      <c r="I371" s="9">
        <v>74.540000000000006</v>
      </c>
      <c r="J371" s="9">
        <v>0</v>
      </c>
      <c r="K371" s="9">
        <v>0</v>
      </c>
    </row>
    <row r="372" spans="1:11" x14ac:dyDescent="0.4">
      <c r="A372" s="16">
        <f t="shared" si="19"/>
        <v>44252</v>
      </c>
      <c r="B372" s="26">
        <f t="shared" si="22"/>
        <v>0.74060000000000004</v>
      </c>
      <c r="C372" s="26">
        <f t="shared" si="20"/>
        <v>0.80969999999999998</v>
      </c>
      <c r="D372" s="26">
        <f t="shared" si="21"/>
        <v>0.62319999999999998</v>
      </c>
      <c r="H372" s="11">
        <v>44252</v>
      </c>
      <c r="I372" s="9">
        <v>74.06</v>
      </c>
      <c r="J372" s="9">
        <v>80.97</v>
      </c>
      <c r="K372" s="9">
        <v>62.32</v>
      </c>
    </row>
    <row r="373" spans="1:11" x14ac:dyDescent="0.4">
      <c r="A373" s="16">
        <f t="shared" si="19"/>
        <v>44259</v>
      </c>
      <c r="B373" s="26">
        <f t="shared" si="22"/>
        <v>0.73919999999999997</v>
      </c>
      <c r="C373" s="26">
        <f t="shared" si="20"/>
        <v>0.88989999999999991</v>
      </c>
      <c r="D373" s="26">
        <f t="shared" si="21"/>
        <v>0.64569999999999994</v>
      </c>
      <c r="H373" s="11">
        <v>44259</v>
      </c>
      <c r="I373" s="9">
        <v>73.92</v>
      </c>
      <c r="J373" s="9">
        <v>88.99</v>
      </c>
      <c r="K373" s="9">
        <v>64.569999999999993</v>
      </c>
    </row>
    <row r="374" spans="1:11" x14ac:dyDescent="0.4">
      <c r="A374" s="16">
        <f t="shared" si="19"/>
        <v>44266</v>
      </c>
      <c r="B374" s="26">
        <f t="shared" si="22"/>
        <v>0.75760000000000005</v>
      </c>
      <c r="C374" s="26">
        <f t="shared" si="20"/>
        <v>0.91349999999999998</v>
      </c>
      <c r="D374" s="26">
        <f t="shared" si="21"/>
        <v>0.70269999999999999</v>
      </c>
      <c r="H374" s="11">
        <v>44266</v>
      </c>
      <c r="I374" s="9">
        <v>75.760000000000005</v>
      </c>
      <c r="J374" s="9">
        <v>91.35</v>
      </c>
      <c r="K374" s="9">
        <v>70.27</v>
      </c>
    </row>
    <row r="375" spans="1:11" x14ac:dyDescent="0.4">
      <c r="A375" s="16">
        <f t="shared" si="19"/>
        <v>44273</v>
      </c>
      <c r="B375" s="26">
        <f t="shared" si="22"/>
        <v>0.74319999999999997</v>
      </c>
      <c r="C375" s="26">
        <f t="shared" si="20"/>
        <v>0.9265000000000001</v>
      </c>
      <c r="D375" s="26">
        <f t="shared" si="21"/>
        <v>0.74049999999999994</v>
      </c>
      <c r="H375" s="11">
        <v>44273</v>
      </c>
      <c r="I375" s="9">
        <v>74.319999999999993</v>
      </c>
      <c r="J375" s="9">
        <v>92.65</v>
      </c>
      <c r="K375" s="9">
        <v>74.05</v>
      </c>
    </row>
    <row r="376" spans="1:11" x14ac:dyDescent="0.4">
      <c r="A376" s="16">
        <f t="shared" si="19"/>
        <v>44280</v>
      </c>
      <c r="B376" s="26">
        <f t="shared" si="22"/>
        <v>0.75450000000000006</v>
      </c>
      <c r="C376" s="26">
        <f t="shared" si="20"/>
        <v>0.93959999999999999</v>
      </c>
      <c r="D376" s="26">
        <f t="shared" si="21"/>
        <v>0.75609999999999999</v>
      </c>
      <c r="H376" s="11">
        <v>44280</v>
      </c>
      <c r="I376" s="9">
        <v>75.45</v>
      </c>
      <c r="J376" s="9">
        <v>93.96</v>
      </c>
      <c r="K376" s="9">
        <v>75.61</v>
      </c>
    </row>
    <row r="377" spans="1:11" x14ac:dyDescent="0.4">
      <c r="A377" s="16">
        <f t="shared" si="19"/>
        <v>44287</v>
      </c>
      <c r="B377" s="26">
        <f t="shared" si="22"/>
        <v>0.71540000000000004</v>
      </c>
      <c r="C377" s="26">
        <f t="shared" si="20"/>
        <v>0.94840000000000002</v>
      </c>
      <c r="D377" s="26">
        <f t="shared" si="21"/>
        <v>0.76540000000000008</v>
      </c>
      <c r="H377" s="11">
        <v>44287</v>
      </c>
      <c r="I377" s="9">
        <v>71.540000000000006</v>
      </c>
      <c r="J377" s="9">
        <v>94.84</v>
      </c>
      <c r="K377" s="9">
        <v>76.540000000000006</v>
      </c>
    </row>
    <row r="378" spans="1:11" x14ac:dyDescent="0.4">
      <c r="A378" s="16">
        <f t="shared" si="19"/>
        <v>44294</v>
      </c>
      <c r="B378" s="26">
        <f t="shared" si="22"/>
        <v>0.71930000000000005</v>
      </c>
      <c r="C378" s="26">
        <f t="shared" si="20"/>
        <v>0.95209999999999995</v>
      </c>
      <c r="D378" s="26">
        <f t="shared" si="21"/>
        <v>0.76049999999999995</v>
      </c>
      <c r="H378" s="11">
        <v>44294</v>
      </c>
      <c r="I378" s="9">
        <v>71.930000000000007</v>
      </c>
      <c r="J378" s="9">
        <v>95.21</v>
      </c>
      <c r="K378" s="9">
        <v>76.05</v>
      </c>
    </row>
    <row r="379" spans="1:11" x14ac:dyDescent="0.4">
      <c r="A379" s="16">
        <f t="shared" si="19"/>
        <v>44301</v>
      </c>
      <c r="B379" s="26">
        <f t="shared" si="22"/>
        <v>0.69319999999999993</v>
      </c>
      <c r="C379" s="26">
        <f t="shared" si="20"/>
        <v>0.94819999999999993</v>
      </c>
      <c r="D379" s="26">
        <f t="shared" si="21"/>
        <v>0.74980000000000002</v>
      </c>
      <c r="H379" s="11">
        <v>44301</v>
      </c>
      <c r="I379" s="9">
        <v>69.319999999999993</v>
      </c>
      <c r="J379" s="9">
        <v>94.82</v>
      </c>
      <c r="K379" s="9">
        <v>74.98</v>
      </c>
    </row>
    <row r="380" spans="1:11" x14ac:dyDescent="0.4">
      <c r="A380" s="16">
        <f t="shared" si="19"/>
        <v>44308</v>
      </c>
      <c r="B380" s="26">
        <f t="shared" si="22"/>
        <v>0.69330000000000003</v>
      </c>
      <c r="C380" s="26">
        <f t="shared" si="20"/>
        <v>0.95369999999999999</v>
      </c>
      <c r="D380" s="26">
        <f t="shared" si="21"/>
        <v>0.73659999999999992</v>
      </c>
      <c r="H380" s="11">
        <v>44308</v>
      </c>
      <c r="I380" s="9">
        <v>69.33</v>
      </c>
      <c r="J380" s="9">
        <v>95.37</v>
      </c>
      <c r="K380" s="9">
        <v>73.66</v>
      </c>
    </row>
    <row r="381" spans="1:11" x14ac:dyDescent="0.4">
      <c r="A381" s="16">
        <f t="shared" si="19"/>
        <v>44315</v>
      </c>
      <c r="B381" s="26">
        <f t="shared" si="22"/>
        <v>0.72060000000000002</v>
      </c>
      <c r="C381" s="26">
        <f t="shared" si="20"/>
        <v>0.95510000000000006</v>
      </c>
      <c r="D381" s="26">
        <f t="shared" si="21"/>
        <v>0.73120000000000007</v>
      </c>
      <c r="H381" s="11">
        <v>44315</v>
      </c>
      <c r="I381" s="9">
        <v>72.06</v>
      </c>
      <c r="J381" s="9">
        <v>95.51</v>
      </c>
      <c r="K381" s="9">
        <v>73.12</v>
      </c>
    </row>
    <row r="382" spans="1:11" x14ac:dyDescent="0.4">
      <c r="A382" s="16">
        <f t="shared" si="19"/>
        <v>44322</v>
      </c>
      <c r="B382" s="26">
        <f t="shared" si="22"/>
        <v>0.73060000000000003</v>
      </c>
      <c r="C382" s="26">
        <f t="shared" si="20"/>
        <v>0.95510000000000006</v>
      </c>
      <c r="D382" s="26">
        <f t="shared" si="21"/>
        <v>0.73120000000000007</v>
      </c>
      <c r="H382" s="11">
        <v>44322</v>
      </c>
      <c r="I382" s="9">
        <v>73.06</v>
      </c>
      <c r="J382" s="9">
        <v>0</v>
      </c>
      <c r="K382" s="9">
        <v>0</v>
      </c>
    </row>
    <row r="383" spans="1:11" x14ac:dyDescent="0.4">
      <c r="A383" s="16">
        <f t="shared" si="19"/>
        <v>44324</v>
      </c>
      <c r="B383" s="26">
        <f t="shared" si="22"/>
        <v>0.73060000000000003</v>
      </c>
      <c r="C383" s="26">
        <f t="shared" si="20"/>
        <v>0.95879999999999999</v>
      </c>
      <c r="D383" s="26">
        <f t="shared" si="21"/>
        <v>0.72349999999999992</v>
      </c>
      <c r="H383" s="11">
        <v>44324</v>
      </c>
      <c r="I383" s="9">
        <v>0</v>
      </c>
      <c r="J383" s="9">
        <v>95.88</v>
      </c>
      <c r="K383" s="9">
        <v>72.349999999999994</v>
      </c>
    </row>
    <row r="384" spans="1:11" x14ac:dyDescent="0.4">
      <c r="A384" s="16">
        <f t="shared" si="19"/>
        <v>44329</v>
      </c>
      <c r="B384" s="26">
        <f t="shared" si="22"/>
        <v>0.7279000000000001</v>
      </c>
      <c r="C384" s="26">
        <f t="shared" si="20"/>
        <v>0.9456</v>
      </c>
      <c r="D384" s="26">
        <f t="shared" si="21"/>
        <v>0.72950000000000004</v>
      </c>
      <c r="H384" s="11">
        <v>44329</v>
      </c>
      <c r="I384" s="9">
        <v>72.790000000000006</v>
      </c>
      <c r="J384" s="9">
        <v>94.56</v>
      </c>
      <c r="K384" s="9">
        <v>72.95</v>
      </c>
    </row>
    <row r="385" spans="1:11" x14ac:dyDescent="0.4">
      <c r="A385" s="16">
        <f t="shared" si="19"/>
        <v>44336</v>
      </c>
      <c r="B385" s="26">
        <f t="shared" si="22"/>
        <v>0.73849999999999993</v>
      </c>
      <c r="C385" s="26">
        <f t="shared" si="20"/>
        <v>0.91239999999999999</v>
      </c>
      <c r="D385" s="26">
        <f t="shared" si="21"/>
        <v>0.71069999999999989</v>
      </c>
      <c r="H385" s="11">
        <v>44336</v>
      </c>
      <c r="I385" s="9">
        <v>73.849999999999994</v>
      </c>
      <c r="J385" s="9">
        <v>91.24</v>
      </c>
      <c r="K385" s="9">
        <v>71.069999999999993</v>
      </c>
    </row>
    <row r="386" spans="1:11" x14ac:dyDescent="0.4">
      <c r="A386" s="16">
        <f t="shared" si="19"/>
        <v>44343</v>
      </c>
      <c r="B386" s="26">
        <f t="shared" si="22"/>
        <v>0.73750000000000004</v>
      </c>
      <c r="C386" s="26">
        <f t="shared" si="20"/>
        <v>0.91139999999999999</v>
      </c>
      <c r="D386" s="26">
        <f t="shared" si="21"/>
        <v>0.70920000000000005</v>
      </c>
      <c r="H386" s="11">
        <v>44343</v>
      </c>
      <c r="I386" s="9">
        <v>73.75</v>
      </c>
      <c r="J386" s="9">
        <v>91.14</v>
      </c>
      <c r="K386" s="9">
        <v>70.92</v>
      </c>
    </row>
    <row r="387" spans="1:11" x14ac:dyDescent="0.4">
      <c r="A387" s="16">
        <f t="shared" si="19"/>
        <v>44350</v>
      </c>
      <c r="B387" s="26">
        <f t="shared" si="22"/>
        <v>0.7369</v>
      </c>
      <c r="C387" s="26">
        <f t="shared" si="20"/>
        <v>0.92400000000000004</v>
      </c>
      <c r="D387" s="26">
        <f t="shared" si="21"/>
        <v>0.70640000000000003</v>
      </c>
      <c r="H387" s="11">
        <v>44350</v>
      </c>
      <c r="I387" s="9">
        <v>73.69</v>
      </c>
      <c r="J387" s="9">
        <v>92.4</v>
      </c>
      <c r="K387" s="9">
        <v>70.64</v>
      </c>
    </row>
    <row r="388" spans="1:11" x14ac:dyDescent="0.4">
      <c r="A388" s="16">
        <f t="shared" si="19"/>
        <v>44357</v>
      </c>
      <c r="B388" s="26">
        <f t="shared" si="22"/>
        <v>0.72560000000000002</v>
      </c>
      <c r="C388" s="26">
        <f t="shared" si="20"/>
        <v>0.92510000000000003</v>
      </c>
      <c r="D388" s="26">
        <f t="shared" si="21"/>
        <v>0.70150000000000001</v>
      </c>
      <c r="H388" s="11">
        <v>44357</v>
      </c>
      <c r="I388" s="9">
        <v>72.56</v>
      </c>
      <c r="J388" s="9">
        <v>92.51</v>
      </c>
      <c r="K388" s="9">
        <v>70.150000000000006</v>
      </c>
    </row>
    <row r="389" spans="1:11" x14ac:dyDescent="0.4">
      <c r="A389" s="16">
        <f t="shared" ref="A389:A452" si="23">H389</f>
        <v>44364</v>
      </c>
      <c r="B389" s="26">
        <f t="shared" si="22"/>
        <v>0.74260000000000004</v>
      </c>
      <c r="C389" s="26">
        <f t="shared" si="20"/>
        <v>0.9264</v>
      </c>
      <c r="D389" s="26">
        <f t="shared" si="21"/>
        <v>0.69620000000000004</v>
      </c>
      <c r="H389" s="11">
        <v>44364</v>
      </c>
      <c r="I389" s="9">
        <v>74.260000000000005</v>
      </c>
      <c r="J389" s="9">
        <v>92.64</v>
      </c>
      <c r="K389" s="9">
        <v>69.62</v>
      </c>
    </row>
    <row r="390" spans="1:11" x14ac:dyDescent="0.4">
      <c r="A390" s="16">
        <f t="shared" si="23"/>
        <v>44371</v>
      </c>
      <c r="B390" s="26">
        <f t="shared" si="22"/>
        <v>0.746</v>
      </c>
      <c r="C390" s="26">
        <f t="shared" ref="C390:C453" si="24">IF(J390&lt;&gt;0,J390/100,C389)</f>
        <v>0.92980000000000007</v>
      </c>
      <c r="D390" s="26">
        <f t="shared" ref="D390:D453" si="25">IF(K390&lt;&gt;0,K390/100,D389)</f>
        <v>0.69940000000000002</v>
      </c>
      <c r="H390" s="11">
        <v>44371</v>
      </c>
      <c r="I390" s="9">
        <v>74.599999999999994</v>
      </c>
      <c r="J390" s="9">
        <v>92.98</v>
      </c>
      <c r="K390" s="9">
        <v>69.94</v>
      </c>
    </row>
    <row r="391" spans="1:11" x14ac:dyDescent="0.4">
      <c r="A391" s="16">
        <f t="shared" si="23"/>
        <v>44378</v>
      </c>
      <c r="B391" s="26">
        <f t="shared" si="22"/>
        <v>0.72310000000000008</v>
      </c>
      <c r="C391" s="26">
        <f t="shared" si="24"/>
        <v>0.93069999999999997</v>
      </c>
      <c r="D391" s="26">
        <f t="shared" si="25"/>
        <v>0.72170000000000001</v>
      </c>
      <c r="H391" s="11">
        <v>44378</v>
      </c>
      <c r="I391" s="9">
        <v>72.31</v>
      </c>
      <c r="J391" s="9">
        <v>93.07</v>
      </c>
      <c r="K391" s="9">
        <v>72.17</v>
      </c>
    </row>
    <row r="392" spans="1:11" x14ac:dyDescent="0.4">
      <c r="A392" s="16">
        <f t="shared" si="23"/>
        <v>44385</v>
      </c>
      <c r="B392" s="26">
        <f t="shared" si="22"/>
        <v>0.72199999999999998</v>
      </c>
      <c r="C392" s="26">
        <f t="shared" si="24"/>
        <v>0.94290000000000007</v>
      </c>
      <c r="D392" s="26">
        <f t="shared" si="25"/>
        <v>0.76019999999999999</v>
      </c>
      <c r="H392" s="11">
        <v>44385</v>
      </c>
      <c r="I392" s="9">
        <v>72.2</v>
      </c>
      <c r="J392" s="9">
        <v>94.29</v>
      </c>
      <c r="K392" s="9">
        <v>76.02</v>
      </c>
    </row>
    <row r="393" spans="1:11" x14ac:dyDescent="0.4">
      <c r="A393" s="16">
        <f t="shared" si="23"/>
        <v>44392</v>
      </c>
      <c r="B393" s="26">
        <f t="shared" si="22"/>
        <v>0.72620000000000007</v>
      </c>
      <c r="C393" s="26">
        <f t="shared" si="24"/>
        <v>0.93859999999999999</v>
      </c>
      <c r="D393" s="26">
        <f t="shared" si="25"/>
        <v>0.76200000000000001</v>
      </c>
      <c r="H393" s="11">
        <v>44392</v>
      </c>
      <c r="I393" s="9">
        <v>72.62</v>
      </c>
      <c r="J393" s="9">
        <v>93.86</v>
      </c>
      <c r="K393" s="9">
        <v>76.2</v>
      </c>
    </row>
    <row r="394" spans="1:11" x14ac:dyDescent="0.4">
      <c r="A394" s="16">
        <f t="shared" si="23"/>
        <v>44399</v>
      </c>
      <c r="B394" s="26">
        <f t="shared" si="22"/>
        <v>0.72530000000000006</v>
      </c>
      <c r="C394" s="26">
        <f t="shared" si="24"/>
        <v>0.94550000000000001</v>
      </c>
      <c r="D394" s="26">
        <f t="shared" si="25"/>
        <v>0.76469999999999994</v>
      </c>
      <c r="H394" s="11">
        <v>44399</v>
      </c>
      <c r="I394" s="9">
        <v>72.53</v>
      </c>
      <c r="J394" s="9">
        <v>94.55</v>
      </c>
      <c r="K394" s="9">
        <v>76.47</v>
      </c>
    </row>
    <row r="395" spans="1:11" x14ac:dyDescent="0.4">
      <c r="A395" s="16">
        <f t="shared" si="23"/>
        <v>44406</v>
      </c>
      <c r="B395" s="26">
        <f t="shared" si="22"/>
        <v>0.6876000000000001</v>
      </c>
      <c r="C395" s="26">
        <f t="shared" si="24"/>
        <v>0.95499999999999996</v>
      </c>
      <c r="D395" s="26">
        <f t="shared" si="25"/>
        <v>0.76239999999999997</v>
      </c>
      <c r="H395" s="11">
        <v>44406</v>
      </c>
      <c r="I395" s="9">
        <v>68.760000000000005</v>
      </c>
      <c r="J395" s="9">
        <v>95.5</v>
      </c>
      <c r="K395" s="9">
        <v>76.239999999999995</v>
      </c>
    </row>
    <row r="396" spans="1:11" x14ac:dyDescent="0.4">
      <c r="A396" s="16">
        <f t="shared" si="23"/>
        <v>44413</v>
      </c>
      <c r="B396" s="26">
        <f t="shared" si="22"/>
        <v>0.65290000000000004</v>
      </c>
      <c r="C396" s="26">
        <f t="shared" si="24"/>
        <v>0.96140000000000003</v>
      </c>
      <c r="D396" s="26">
        <f t="shared" si="25"/>
        <v>0.76290000000000002</v>
      </c>
      <c r="H396" s="11">
        <v>44413</v>
      </c>
      <c r="I396" s="9">
        <v>65.290000000000006</v>
      </c>
      <c r="J396" s="9">
        <v>96.14</v>
      </c>
      <c r="K396" s="9">
        <v>76.290000000000006</v>
      </c>
    </row>
    <row r="397" spans="1:11" x14ac:dyDescent="0.4">
      <c r="A397" s="16">
        <f t="shared" si="23"/>
        <v>44420</v>
      </c>
      <c r="B397" s="26">
        <f t="shared" si="22"/>
        <v>0.68290000000000006</v>
      </c>
      <c r="C397" s="26">
        <f t="shared" si="24"/>
        <v>0.96150000000000002</v>
      </c>
      <c r="D397" s="26">
        <f t="shared" si="25"/>
        <v>0.72840000000000005</v>
      </c>
      <c r="H397" s="11">
        <v>44420</v>
      </c>
      <c r="I397" s="9">
        <v>68.290000000000006</v>
      </c>
      <c r="J397" s="9">
        <v>96.15</v>
      </c>
      <c r="K397" s="9">
        <v>72.84</v>
      </c>
    </row>
    <row r="398" spans="1:11" x14ac:dyDescent="0.4">
      <c r="A398" s="16">
        <f t="shared" si="23"/>
        <v>44427</v>
      </c>
      <c r="B398" s="26">
        <f t="shared" si="22"/>
        <v>0.70180000000000009</v>
      </c>
      <c r="C398" s="26">
        <f t="shared" si="24"/>
        <v>0.93640000000000001</v>
      </c>
      <c r="D398" s="26">
        <f t="shared" si="25"/>
        <v>0.68659999999999999</v>
      </c>
      <c r="H398" s="11">
        <v>44427</v>
      </c>
      <c r="I398" s="9">
        <v>70.180000000000007</v>
      </c>
      <c r="J398" s="9">
        <v>93.64</v>
      </c>
      <c r="K398" s="9">
        <v>68.66</v>
      </c>
    </row>
    <row r="399" spans="1:11" x14ac:dyDescent="0.4">
      <c r="A399" s="16">
        <f t="shared" si="23"/>
        <v>44434</v>
      </c>
      <c r="B399" s="26">
        <f t="shared" si="22"/>
        <v>0.7256999999999999</v>
      </c>
      <c r="C399" s="26">
        <f t="shared" si="24"/>
        <v>0.91189999999999993</v>
      </c>
      <c r="D399" s="26">
        <f t="shared" si="25"/>
        <v>0.67819999999999991</v>
      </c>
      <c r="H399" s="11">
        <v>44434</v>
      </c>
      <c r="I399" s="9">
        <v>72.569999999999993</v>
      </c>
      <c r="J399" s="9">
        <v>91.19</v>
      </c>
      <c r="K399" s="9">
        <v>67.819999999999993</v>
      </c>
    </row>
    <row r="400" spans="1:11" x14ac:dyDescent="0.4">
      <c r="A400" s="16">
        <f t="shared" si="23"/>
        <v>44441</v>
      </c>
      <c r="B400" s="26">
        <f t="shared" si="22"/>
        <v>0.71519999999999995</v>
      </c>
      <c r="C400" s="26">
        <f t="shared" si="24"/>
        <v>0.90910000000000002</v>
      </c>
      <c r="D400" s="26">
        <f t="shared" si="25"/>
        <v>0.67669999999999997</v>
      </c>
      <c r="H400" s="11">
        <v>44441</v>
      </c>
      <c r="I400" s="9">
        <v>71.52</v>
      </c>
      <c r="J400" s="9">
        <v>90.91</v>
      </c>
      <c r="K400" s="9">
        <v>67.67</v>
      </c>
    </row>
    <row r="401" spans="1:11" x14ac:dyDescent="0.4">
      <c r="A401" s="16">
        <f t="shared" si="23"/>
        <v>44448</v>
      </c>
      <c r="B401" s="26">
        <f t="shared" si="22"/>
        <v>0.68110000000000004</v>
      </c>
      <c r="C401" s="26">
        <f t="shared" si="24"/>
        <v>0.8992</v>
      </c>
      <c r="D401" s="26">
        <f t="shared" si="25"/>
        <v>0.68500000000000005</v>
      </c>
      <c r="H401" s="11">
        <v>44448</v>
      </c>
      <c r="I401" s="9">
        <v>68.11</v>
      </c>
      <c r="J401" s="9">
        <v>89.92</v>
      </c>
      <c r="K401" s="9">
        <v>68.5</v>
      </c>
    </row>
    <row r="402" spans="1:11" x14ac:dyDescent="0.4">
      <c r="A402" s="16">
        <f t="shared" si="23"/>
        <v>44455</v>
      </c>
      <c r="B402" s="26">
        <f t="shared" si="22"/>
        <v>0.63549999999999995</v>
      </c>
      <c r="C402" s="26">
        <f t="shared" si="24"/>
        <v>0.86840000000000006</v>
      </c>
      <c r="D402" s="26">
        <f t="shared" si="25"/>
        <v>0.67030000000000001</v>
      </c>
      <c r="H402" s="11">
        <v>44455</v>
      </c>
      <c r="I402" s="9">
        <v>63.55</v>
      </c>
      <c r="J402" s="9">
        <v>86.84</v>
      </c>
      <c r="K402" s="9">
        <v>67.03</v>
      </c>
    </row>
    <row r="403" spans="1:11" x14ac:dyDescent="0.4">
      <c r="A403" s="16">
        <f t="shared" si="23"/>
        <v>44462</v>
      </c>
      <c r="B403" s="26">
        <f t="shared" si="22"/>
        <v>0.5958</v>
      </c>
      <c r="C403" s="26">
        <f t="shared" si="24"/>
        <v>0.83050000000000002</v>
      </c>
      <c r="D403" s="26">
        <f t="shared" si="25"/>
        <v>0.68299999999999994</v>
      </c>
      <c r="H403" s="11">
        <v>44462</v>
      </c>
      <c r="I403" s="9">
        <v>59.58</v>
      </c>
      <c r="J403" s="9">
        <v>83.05</v>
      </c>
      <c r="K403" s="9">
        <v>68.3</v>
      </c>
    </row>
    <row r="404" spans="1:11" x14ac:dyDescent="0.4">
      <c r="A404" s="16">
        <f t="shared" si="23"/>
        <v>44469</v>
      </c>
      <c r="B404" s="26">
        <f t="shared" si="22"/>
        <v>0.65959999999999996</v>
      </c>
      <c r="C404" s="26">
        <f t="shared" si="24"/>
        <v>0.78370000000000006</v>
      </c>
      <c r="D404" s="26">
        <f t="shared" si="25"/>
        <v>0.34450000000000003</v>
      </c>
      <c r="H404" s="11">
        <v>44469</v>
      </c>
      <c r="I404" s="9">
        <v>65.959999999999994</v>
      </c>
      <c r="J404" s="9">
        <v>78.37</v>
      </c>
      <c r="K404" s="9">
        <v>34.450000000000003</v>
      </c>
    </row>
    <row r="405" spans="1:11" x14ac:dyDescent="0.4">
      <c r="A405" s="16">
        <f t="shared" si="23"/>
        <v>44476</v>
      </c>
      <c r="B405" s="26">
        <f t="shared" si="22"/>
        <v>0.66049999999999998</v>
      </c>
      <c r="C405" s="26">
        <f t="shared" si="24"/>
        <v>0.78370000000000006</v>
      </c>
      <c r="D405" s="26">
        <f t="shared" si="25"/>
        <v>0.34450000000000003</v>
      </c>
      <c r="H405" s="11">
        <v>44476</v>
      </c>
      <c r="I405" s="9">
        <v>66.05</v>
      </c>
      <c r="J405" s="9">
        <v>0</v>
      </c>
      <c r="K405" s="9">
        <v>0</v>
      </c>
    </row>
    <row r="406" spans="1:11" x14ac:dyDescent="0.4">
      <c r="A406" s="16">
        <f t="shared" si="23"/>
        <v>44483</v>
      </c>
      <c r="B406" s="26">
        <f t="shared" ref="B406:B469" si="26">IF(I406&lt;&gt;0,I406/100,B405)</f>
        <v>0.6724</v>
      </c>
      <c r="C406" s="26">
        <f t="shared" si="24"/>
        <v>0.7248</v>
      </c>
      <c r="D406" s="26">
        <f t="shared" si="25"/>
        <v>0.52380000000000004</v>
      </c>
      <c r="H406" s="11">
        <v>44483</v>
      </c>
      <c r="I406" s="9">
        <v>67.239999999999995</v>
      </c>
      <c r="J406" s="9">
        <v>72.48</v>
      </c>
      <c r="K406" s="9">
        <v>52.38</v>
      </c>
    </row>
    <row r="407" spans="1:11" x14ac:dyDescent="0.4">
      <c r="A407" s="16">
        <f t="shared" si="23"/>
        <v>44490</v>
      </c>
      <c r="B407" s="26">
        <f t="shared" si="26"/>
        <v>0.66969999999999996</v>
      </c>
      <c r="C407" s="26">
        <f t="shared" si="24"/>
        <v>0.70689999999999997</v>
      </c>
      <c r="D407" s="26">
        <f t="shared" si="25"/>
        <v>0.52390000000000003</v>
      </c>
      <c r="H407" s="11">
        <v>44490</v>
      </c>
      <c r="I407" s="9">
        <v>66.97</v>
      </c>
      <c r="J407" s="9">
        <v>70.69</v>
      </c>
      <c r="K407" s="9">
        <v>52.39</v>
      </c>
    </row>
    <row r="408" spans="1:11" x14ac:dyDescent="0.4">
      <c r="A408" s="16">
        <f t="shared" si="23"/>
        <v>44497</v>
      </c>
      <c r="B408" s="26">
        <f t="shared" si="26"/>
        <v>0.61039999999999994</v>
      </c>
      <c r="C408" s="26">
        <f t="shared" si="24"/>
        <v>0.70819999999999994</v>
      </c>
      <c r="D408" s="26">
        <f t="shared" si="25"/>
        <v>0.61030000000000006</v>
      </c>
      <c r="H408" s="11">
        <v>44497</v>
      </c>
      <c r="I408" s="9">
        <v>61.04</v>
      </c>
      <c r="J408" s="9">
        <v>70.819999999999993</v>
      </c>
      <c r="K408" s="9">
        <v>61.03</v>
      </c>
    </row>
    <row r="409" spans="1:11" x14ac:dyDescent="0.4">
      <c r="A409" s="16">
        <f t="shared" si="23"/>
        <v>44504</v>
      </c>
      <c r="B409" s="26">
        <f t="shared" si="26"/>
        <v>0.56619999999999993</v>
      </c>
      <c r="C409" s="26">
        <f t="shared" si="24"/>
        <v>0.73599999999999999</v>
      </c>
      <c r="D409" s="26">
        <f t="shared" si="25"/>
        <v>0.62119999999999997</v>
      </c>
      <c r="H409" s="11">
        <v>44504</v>
      </c>
      <c r="I409" s="9">
        <v>56.62</v>
      </c>
      <c r="J409" s="9">
        <v>73.599999999999994</v>
      </c>
      <c r="K409" s="9">
        <v>62.12</v>
      </c>
    </row>
    <row r="410" spans="1:11" x14ac:dyDescent="0.4">
      <c r="A410" s="16">
        <f t="shared" si="23"/>
        <v>44511</v>
      </c>
      <c r="B410" s="26">
        <f t="shared" si="26"/>
        <v>0.58729999999999993</v>
      </c>
      <c r="C410" s="26">
        <f t="shared" si="24"/>
        <v>0.77590000000000003</v>
      </c>
      <c r="D410" s="26">
        <f t="shared" si="25"/>
        <v>0.61990000000000001</v>
      </c>
      <c r="H410" s="11">
        <v>44511</v>
      </c>
      <c r="I410" s="9">
        <v>58.73</v>
      </c>
      <c r="J410" s="9">
        <v>77.59</v>
      </c>
      <c r="K410" s="9">
        <v>61.99</v>
      </c>
    </row>
    <row r="411" spans="1:11" x14ac:dyDescent="0.4">
      <c r="A411" s="16">
        <f t="shared" si="23"/>
        <v>44518</v>
      </c>
      <c r="B411" s="26">
        <f t="shared" si="26"/>
        <v>0.60899999999999999</v>
      </c>
      <c r="C411" s="26">
        <f t="shared" si="24"/>
        <v>0.87069999999999992</v>
      </c>
      <c r="D411" s="26">
        <f t="shared" si="25"/>
        <v>0.62130000000000007</v>
      </c>
      <c r="H411" s="11">
        <v>44518</v>
      </c>
      <c r="I411" s="9">
        <v>60.9</v>
      </c>
      <c r="J411" s="9">
        <v>87.07</v>
      </c>
      <c r="K411" s="9">
        <v>62.13</v>
      </c>
    </row>
    <row r="412" spans="1:11" x14ac:dyDescent="0.4">
      <c r="A412" s="16">
        <f t="shared" si="23"/>
        <v>44525</v>
      </c>
      <c r="B412" s="26">
        <f t="shared" si="26"/>
        <v>0.66480000000000006</v>
      </c>
      <c r="C412" s="26">
        <f t="shared" si="24"/>
        <v>0.88430000000000009</v>
      </c>
      <c r="D412" s="26">
        <f t="shared" si="25"/>
        <v>0.60650000000000004</v>
      </c>
      <c r="H412" s="11">
        <v>44525</v>
      </c>
      <c r="I412" s="9">
        <v>66.48</v>
      </c>
      <c r="J412" s="9">
        <v>88.43</v>
      </c>
      <c r="K412" s="9">
        <v>60.65</v>
      </c>
    </row>
    <row r="413" spans="1:11" x14ac:dyDescent="0.4">
      <c r="A413" s="16">
        <f t="shared" si="23"/>
        <v>44532</v>
      </c>
      <c r="B413" s="26">
        <f t="shared" si="26"/>
        <v>0.66890000000000005</v>
      </c>
      <c r="C413" s="26">
        <f t="shared" si="24"/>
        <v>0.81830000000000003</v>
      </c>
      <c r="D413" s="26">
        <f t="shared" si="25"/>
        <v>0.58930000000000005</v>
      </c>
      <c r="H413" s="11">
        <v>44532</v>
      </c>
      <c r="I413" s="9">
        <v>66.89</v>
      </c>
      <c r="J413" s="9">
        <v>81.83</v>
      </c>
      <c r="K413" s="9">
        <v>58.93</v>
      </c>
    </row>
    <row r="414" spans="1:11" x14ac:dyDescent="0.4">
      <c r="A414" s="16">
        <f t="shared" si="23"/>
        <v>44539</v>
      </c>
      <c r="B414" s="26">
        <f t="shared" si="26"/>
        <v>0.62970000000000004</v>
      </c>
      <c r="C414" s="26">
        <f t="shared" si="24"/>
        <v>0.79530000000000001</v>
      </c>
      <c r="D414" s="26">
        <f t="shared" si="25"/>
        <v>0.56369999999999998</v>
      </c>
      <c r="H414" s="11">
        <v>44539</v>
      </c>
      <c r="I414" s="9">
        <v>62.97</v>
      </c>
      <c r="J414" s="9">
        <v>79.53</v>
      </c>
      <c r="K414" s="9">
        <v>56.37</v>
      </c>
    </row>
    <row r="415" spans="1:11" x14ac:dyDescent="0.4">
      <c r="A415" s="16">
        <f t="shared" si="23"/>
        <v>44546</v>
      </c>
      <c r="B415" s="26">
        <f t="shared" si="26"/>
        <v>0.64400000000000002</v>
      </c>
      <c r="C415" s="26">
        <f t="shared" si="24"/>
        <v>0.79730000000000001</v>
      </c>
      <c r="D415" s="26">
        <f t="shared" si="25"/>
        <v>0.56200000000000006</v>
      </c>
      <c r="H415" s="11">
        <v>44546</v>
      </c>
      <c r="I415" s="9">
        <v>64.400000000000006</v>
      </c>
      <c r="J415" s="9">
        <v>79.73</v>
      </c>
      <c r="K415" s="9">
        <v>56.2</v>
      </c>
    </row>
    <row r="416" spans="1:11" x14ac:dyDescent="0.4">
      <c r="A416" s="16">
        <f t="shared" si="23"/>
        <v>44553</v>
      </c>
      <c r="B416" s="26">
        <f t="shared" si="26"/>
        <v>0.61990000000000001</v>
      </c>
      <c r="C416" s="26">
        <f t="shared" si="24"/>
        <v>0.77170000000000005</v>
      </c>
      <c r="D416" s="26">
        <f t="shared" si="25"/>
        <v>0.54449999999999998</v>
      </c>
      <c r="H416" s="11">
        <v>44553</v>
      </c>
      <c r="I416" s="9">
        <v>61.99</v>
      </c>
      <c r="J416" s="9">
        <v>77.17</v>
      </c>
      <c r="K416" s="9">
        <v>54.45</v>
      </c>
    </row>
    <row r="417" spans="1:11" x14ac:dyDescent="0.4">
      <c r="A417" s="16">
        <f t="shared" si="23"/>
        <v>44560</v>
      </c>
      <c r="B417" s="26">
        <f t="shared" si="26"/>
        <v>0.61439999999999995</v>
      </c>
      <c r="C417" s="26">
        <f t="shared" si="24"/>
        <v>0.76529999999999998</v>
      </c>
      <c r="D417" s="26">
        <f t="shared" si="25"/>
        <v>0.51890000000000003</v>
      </c>
      <c r="H417" s="11">
        <v>44560</v>
      </c>
      <c r="I417" s="9">
        <v>61.44</v>
      </c>
      <c r="J417" s="9">
        <v>76.53</v>
      </c>
      <c r="K417" s="9">
        <v>51.89</v>
      </c>
    </row>
    <row r="418" spans="1:11" x14ac:dyDescent="0.4">
      <c r="A418" s="16">
        <f t="shared" si="23"/>
        <v>44567</v>
      </c>
      <c r="B418" s="26">
        <f t="shared" si="26"/>
        <v>0.62979999999999992</v>
      </c>
      <c r="C418" s="26">
        <f t="shared" si="24"/>
        <v>0.75730000000000008</v>
      </c>
      <c r="D418" s="26">
        <f t="shared" si="25"/>
        <v>0.50990000000000002</v>
      </c>
      <c r="H418" s="11">
        <v>44567</v>
      </c>
      <c r="I418" s="9">
        <v>62.98</v>
      </c>
      <c r="J418" s="9">
        <v>75.73</v>
      </c>
      <c r="K418" s="9">
        <v>50.99</v>
      </c>
    </row>
    <row r="419" spans="1:11" x14ac:dyDescent="0.4">
      <c r="A419" s="16">
        <f t="shared" si="23"/>
        <v>44574</v>
      </c>
      <c r="B419" s="26">
        <f t="shared" si="26"/>
        <v>0.64610000000000001</v>
      </c>
      <c r="C419" s="26">
        <f t="shared" si="24"/>
        <v>0.83389999999999997</v>
      </c>
      <c r="D419" s="26">
        <f t="shared" si="25"/>
        <v>0.46289999999999998</v>
      </c>
      <c r="H419" s="11">
        <v>44574</v>
      </c>
      <c r="I419" s="9">
        <v>64.61</v>
      </c>
      <c r="J419" s="9">
        <v>83.39</v>
      </c>
      <c r="K419" s="9">
        <v>46.29</v>
      </c>
    </row>
    <row r="420" spans="1:11" x14ac:dyDescent="0.4">
      <c r="A420" s="16">
        <f t="shared" si="23"/>
        <v>44581</v>
      </c>
      <c r="B420" s="26">
        <f t="shared" si="26"/>
        <v>0.66599999999999993</v>
      </c>
      <c r="C420" s="26">
        <f t="shared" si="24"/>
        <v>0.83200000000000007</v>
      </c>
      <c r="D420" s="26">
        <f t="shared" si="25"/>
        <v>0.4178</v>
      </c>
      <c r="H420" s="11">
        <v>44581</v>
      </c>
      <c r="I420" s="9">
        <v>66.599999999999994</v>
      </c>
      <c r="J420" s="9">
        <v>83.2</v>
      </c>
      <c r="K420" s="9">
        <v>41.78</v>
      </c>
    </row>
    <row r="421" spans="1:11" x14ac:dyDescent="0.4">
      <c r="A421" s="16">
        <f t="shared" si="23"/>
        <v>44588</v>
      </c>
      <c r="B421" s="26">
        <f t="shared" si="26"/>
        <v>0.70090000000000008</v>
      </c>
      <c r="C421" s="26">
        <f t="shared" si="24"/>
        <v>0.81299999999999994</v>
      </c>
      <c r="D421" s="26">
        <f t="shared" si="25"/>
        <v>0.21510000000000001</v>
      </c>
      <c r="H421" s="11">
        <v>44588</v>
      </c>
      <c r="I421" s="9">
        <v>70.09</v>
      </c>
      <c r="J421" s="9">
        <v>81.3</v>
      </c>
      <c r="K421" s="9">
        <v>21.51</v>
      </c>
    </row>
    <row r="422" spans="1:11" x14ac:dyDescent="0.4">
      <c r="A422" s="16">
        <f t="shared" si="23"/>
        <v>44602</v>
      </c>
      <c r="B422" s="26">
        <f t="shared" si="26"/>
        <v>0.72089999999999999</v>
      </c>
      <c r="C422" s="26">
        <f t="shared" si="24"/>
        <v>0.80220000000000002</v>
      </c>
      <c r="D422" s="26">
        <f t="shared" si="25"/>
        <v>0.311</v>
      </c>
      <c r="H422" s="11">
        <v>44602</v>
      </c>
      <c r="I422" s="9">
        <v>72.09</v>
      </c>
      <c r="J422" s="9">
        <v>80.22</v>
      </c>
      <c r="K422" s="9">
        <v>31.1</v>
      </c>
    </row>
    <row r="423" spans="1:11" x14ac:dyDescent="0.4">
      <c r="A423" s="16">
        <f t="shared" si="23"/>
        <v>44609</v>
      </c>
      <c r="B423" s="26">
        <f t="shared" si="26"/>
        <v>0.70709999999999995</v>
      </c>
      <c r="C423" s="26">
        <f t="shared" si="24"/>
        <v>0.80220000000000002</v>
      </c>
      <c r="D423" s="26">
        <f t="shared" si="25"/>
        <v>0.49939999999999996</v>
      </c>
      <c r="H423" s="11">
        <v>44609</v>
      </c>
      <c r="I423" s="9">
        <v>70.709999999999994</v>
      </c>
      <c r="J423" s="9">
        <v>0</v>
      </c>
      <c r="K423" s="9">
        <v>49.94</v>
      </c>
    </row>
    <row r="424" spans="1:11" x14ac:dyDescent="0.4">
      <c r="A424" s="16">
        <f t="shared" si="23"/>
        <v>44616</v>
      </c>
      <c r="B424" s="26">
        <f t="shared" si="26"/>
        <v>0.68920000000000003</v>
      </c>
      <c r="C424" s="26">
        <f t="shared" si="24"/>
        <v>0.85099999999999998</v>
      </c>
      <c r="D424" s="26">
        <f t="shared" si="25"/>
        <v>0.59740000000000004</v>
      </c>
      <c r="H424" s="11">
        <v>44616</v>
      </c>
      <c r="I424" s="9">
        <v>68.92</v>
      </c>
      <c r="J424" s="9">
        <v>85.1</v>
      </c>
      <c r="K424" s="9">
        <v>59.74</v>
      </c>
    </row>
    <row r="425" spans="1:11" x14ac:dyDescent="0.4">
      <c r="A425" s="16">
        <f t="shared" si="23"/>
        <v>44623</v>
      </c>
      <c r="B425" s="26">
        <f t="shared" si="26"/>
        <v>0.67859999999999998</v>
      </c>
      <c r="C425" s="26">
        <f t="shared" si="24"/>
        <v>0.86099999999999999</v>
      </c>
      <c r="D425" s="26">
        <f t="shared" si="25"/>
        <v>0.64049999999999996</v>
      </c>
      <c r="H425" s="11">
        <v>44623</v>
      </c>
      <c r="I425" s="9">
        <v>67.86</v>
      </c>
      <c r="J425" s="9">
        <v>86.1</v>
      </c>
      <c r="K425" s="9">
        <v>64.05</v>
      </c>
    </row>
    <row r="426" spans="1:11" x14ac:dyDescent="0.4">
      <c r="A426" s="16">
        <f t="shared" si="23"/>
        <v>44630</v>
      </c>
      <c r="B426" s="26">
        <f t="shared" si="26"/>
        <v>0.72160000000000002</v>
      </c>
      <c r="C426" s="26">
        <f t="shared" si="24"/>
        <v>0.93040000000000012</v>
      </c>
      <c r="D426" s="26">
        <f t="shared" si="25"/>
        <v>0.66659999999999997</v>
      </c>
      <c r="H426" s="11">
        <v>44630</v>
      </c>
      <c r="I426" s="9">
        <v>72.16</v>
      </c>
      <c r="J426" s="9">
        <v>93.04</v>
      </c>
      <c r="K426" s="9">
        <v>66.66</v>
      </c>
    </row>
    <row r="427" spans="1:11" x14ac:dyDescent="0.4">
      <c r="A427" s="16">
        <f t="shared" si="23"/>
        <v>44637</v>
      </c>
      <c r="B427" s="26">
        <f t="shared" si="26"/>
        <v>0.7228</v>
      </c>
      <c r="C427" s="26">
        <f t="shared" si="24"/>
        <v>0.92720000000000002</v>
      </c>
      <c r="D427" s="26">
        <f t="shared" si="25"/>
        <v>0.66859999999999997</v>
      </c>
      <c r="H427" s="11">
        <v>44637</v>
      </c>
      <c r="I427" s="9">
        <v>72.28</v>
      </c>
      <c r="J427" s="9">
        <v>92.72</v>
      </c>
      <c r="K427" s="9">
        <v>66.86</v>
      </c>
    </row>
    <row r="428" spans="1:11" x14ac:dyDescent="0.4">
      <c r="A428" s="16">
        <f t="shared" si="23"/>
        <v>44644</v>
      </c>
      <c r="B428" s="26">
        <f t="shared" si="26"/>
        <v>0.7228</v>
      </c>
      <c r="C428" s="26">
        <f t="shared" si="24"/>
        <v>0.92900000000000005</v>
      </c>
      <c r="D428" s="26">
        <f t="shared" si="25"/>
        <v>0.64029999999999998</v>
      </c>
      <c r="H428" s="11">
        <v>44644</v>
      </c>
      <c r="I428" s="9">
        <v>0</v>
      </c>
      <c r="J428" s="9">
        <v>92.9</v>
      </c>
      <c r="K428" s="9">
        <v>64.03</v>
      </c>
    </row>
    <row r="429" spans="1:11" x14ac:dyDescent="0.4">
      <c r="A429" s="16">
        <f t="shared" si="23"/>
        <v>44651</v>
      </c>
      <c r="B429" s="26">
        <f t="shared" si="26"/>
        <v>0.7228</v>
      </c>
      <c r="C429" s="26">
        <f t="shared" si="24"/>
        <v>0.91339999999999999</v>
      </c>
      <c r="D429" s="26">
        <f t="shared" si="25"/>
        <v>0.61960000000000004</v>
      </c>
      <c r="H429" s="11">
        <v>44651</v>
      </c>
      <c r="I429" s="9">
        <v>0</v>
      </c>
      <c r="J429" s="9">
        <v>91.34</v>
      </c>
      <c r="K429" s="9">
        <v>61.96</v>
      </c>
    </row>
    <row r="430" spans="1:11" x14ac:dyDescent="0.4">
      <c r="A430" s="16">
        <f t="shared" si="23"/>
        <v>44658</v>
      </c>
      <c r="B430" s="26">
        <f t="shared" si="26"/>
        <v>0.7228</v>
      </c>
      <c r="C430" s="26">
        <f t="shared" si="24"/>
        <v>0.88590000000000002</v>
      </c>
      <c r="D430" s="26">
        <f t="shared" si="25"/>
        <v>0.49969999999999998</v>
      </c>
      <c r="H430" s="11">
        <v>44658</v>
      </c>
      <c r="I430" s="9">
        <v>0</v>
      </c>
      <c r="J430" s="9">
        <v>88.59</v>
      </c>
      <c r="K430" s="9">
        <v>49.97</v>
      </c>
    </row>
    <row r="431" spans="1:11" x14ac:dyDescent="0.4">
      <c r="A431" s="16">
        <f t="shared" si="23"/>
        <v>44665</v>
      </c>
      <c r="B431" s="26">
        <f t="shared" si="26"/>
        <v>0.7228</v>
      </c>
      <c r="C431" s="26">
        <f t="shared" si="24"/>
        <v>0.81269999999999998</v>
      </c>
      <c r="D431" s="26">
        <f t="shared" si="25"/>
        <v>0.51739999999999997</v>
      </c>
      <c r="H431" s="11">
        <v>44665</v>
      </c>
      <c r="I431" s="9">
        <v>0</v>
      </c>
      <c r="J431" s="9">
        <v>81.27</v>
      </c>
      <c r="K431" s="9">
        <v>51.74</v>
      </c>
    </row>
    <row r="432" spans="1:11" x14ac:dyDescent="0.4">
      <c r="A432" s="16">
        <f t="shared" si="23"/>
        <v>44672</v>
      </c>
      <c r="B432" s="26">
        <f t="shared" si="26"/>
        <v>0.7228</v>
      </c>
      <c r="C432" s="26">
        <f t="shared" si="24"/>
        <v>0.74099999999999999</v>
      </c>
      <c r="D432" s="26">
        <f t="shared" si="25"/>
        <v>0.50519999999999998</v>
      </c>
      <c r="H432" s="11">
        <v>44672</v>
      </c>
      <c r="I432" s="9">
        <v>0</v>
      </c>
      <c r="J432" s="9">
        <v>74.099999999999994</v>
      </c>
      <c r="K432" s="9">
        <v>50.52</v>
      </c>
    </row>
    <row r="433" spans="1:11" x14ac:dyDescent="0.4">
      <c r="A433" s="16">
        <f t="shared" si="23"/>
        <v>44679</v>
      </c>
      <c r="B433" s="26">
        <f t="shared" si="26"/>
        <v>0.7228</v>
      </c>
      <c r="C433" s="26">
        <f t="shared" si="24"/>
        <v>0.73790000000000011</v>
      </c>
      <c r="D433" s="26">
        <f t="shared" si="25"/>
        <v>0.48920000000000002</v>
      </c>
      <c r="H433" s="11">
        <v>44679</v>
      </c>
      <c r="I433" s="9">
        <v>0</v>
      </c>
      <c r="J433" s="9">
        <v>73.790000000000006</v>
      </c>
      <c r="K433" s="9">
        <v>48.92</v>
      </c>
    </row>
    <row r="434" spans="1:11" x14ac:dyDescent="0.4">
      <c r="A434" s="16">
        <f t="shared" si="23"/>
        <v>44686</v>
      </c>
      <c r="B434" s="26">
        <f t="shared" si="26"/>
        <v>0.7228</v>
      </c>
      <c r="C434" s="26">
        <f t="shared" si="24"/>
        <v>0.74309999999999998</v>
      </c>
      <c r="D434" s="26">
        <f t="shared" si="25"/>
        <v>0.45</v>
      </c>
      <c r="H434" s="11">
        <v>44686</v>
      </c>
      <c r="I434" s="9">
        <v>0</v>
      </c>
      <c r="J434" s="9">
        <v>74.31</v>
      </c>
      <c r="K434" s="9">
        <v>45</v>
      </c>
    </row>
    <row r="435" spans="1:11" x14ac:dyDescent="0.4">
      <c r="A435" s="16">
        <f t="shared" si="23"/>
        <v>44693</v>
      </c>
      <c r="B435" s="26">
        <f t="shared" si="26"/>
        <v>0.7228</v>
      </c>
      <c r="C435" s="26">
        <f t="shared" si="24"/>
        <v>0.75269999999999992</v>
      </c>
      <c r="D435" s="26">
        <f t="shared" si="25"/>
        <v>0.48849999999999999</v>
      </c>
      <c r="H435" s="11">
        <v>44693</v>
      </c>
      <c r="I435" s="9">
        <v>0</v>
      </c>
      <c r="J435" s="9">
        <v>75.27</v>
      </c>
      <c r="K435" s="9">
        <v>48.85</v>
      </c>
    </row>
    <row r="436" spans="1:11" x14ac:dyDescent="0.4">
      <c r="A436" s="16">
        <f t="shared" si="23"/>
        <v>44700</v>
      </c>
      <c r="B436" s="26">
        <f t="shared" si="26"/>
        <v>0.7228</v>
      </c>
      <c r="C436" s="26">
        <f t="shared" si="24"/>
        <v>0.75459999999999994</v>
      </c>
      <c r="D436" s="26">
        <f t="shared" si="25"/>
        <v>0.49</v>
      </c>
      <c r="H436" s="11">
        <v>44700</v>
      </c>
      <c r="I436" s="9">
        <v>0</v>
      </c>
      <c r="J436" s="9">
        <v>75.459999999999994</v>
      </c>
      <c r="K436" s="9">
        <v>49</v>
      </c>
    </row>
    <row r="437" spans="1:11" x14ac:dyDescent="0.4">
      <c r="A437" s="16">
        <f t="shared" si="23"/>
        <v>44707</v>
      </c>
      <c r="B437" s="26">
        <f t="shared" si="26"/>
        <v>0.7228</v>
      </c>
      <c r="C437" s="26">
        <f t="shared" si="24"/>
        <v>0.76650000000000007</v>
      </c>
      <c r="D437" s="26">
        <f t="shared" si="25"/>
        <v>0.49829999999999997</v>
      </c>
      <c r="H437" s="11">
        <v>44707</v>
      </c>
      <c r="I437" s="9">
        <v>0</v>
      </c>
      <c r="J437" s="9">
        <v>76.650000000000006</v>
      </c>
      <c r="K437" s="9">
        <v>49.83</v>
      </c>
    </row>
    <row r="438" spans="1:11" x14ac:dyDescent="0.4">
      <c r="A438" s="16">
        <f t="shared" si="23"/>
        <v>44714</v>
      </c>
      <c r="B438" s="26">
        <f t="shared" si="26"/>
        <v>0.7228</v>
      </c>
      <c r="C438" s="26">
        <f t="shared" si="24"/>
        <v>0.75840000000000007</v>
      </c>
      <c r="D438" s="26">
        <f t="shared" si="25"/>
        <v>0.4768</v>
      </c>
      <c r="H438" s="11">
        <v>44714</v>
      </c>
      <c r="I438" s="9">
        <v>0</v>
      </c>
      <c r="J438" s="9">
        <v>75.84</v>
      </c>
      <c r="K438" s="9">
        <v>47.68</v>
      </c>
    </row>
    <row r="439" spans="1:11" x14ac:dyDescent="0.4">
      <c r="A439" s="16">
        <f t="shared" si="23"/>
        <v>44721</v>
      </c>
      <c r="B439" s="26">
        <f t="shared" si="26"/>
        <v>0.7228</v>
      </c>
      <c r="C439" s="26">
        <f t="shared" si="24"/>
        <v>0.75529999999999997</v>
      </c>
      <c r="D439" s="26">
        <f t="shared" si="25"/>
        <v>0.48119999999999996</v>
      </c>
      <c r="H439" s="11">
        <v>44721</v>
      </c>
      <c r="I439" s="9">
        <v>0</v>
      </c>
      <c r="J439" s="9">
        <v>75.53</v>
      </c>
      <c r="K439" s="9">
        <v>48.12</v>
      </c>
    </row>
    <row r="440" spans="1:11" x14ac:dyDescent="0.4">
      <c r="A440" s="16">
        <f t="shared" si="23"/>
        <v>44728</v>
      </c>
      <c r="B440" s="26">
        <f t="shared" si="26"/>
        <v>0.75739999999999996</v>
      </c>
      <c r="C440" s="26">
        <f t="shared" si="24"/>
        <v>0.74159999999999993</v>
      </c>
      <c r="D440" s="26">
        <f t="shared" si="25"/>
        <v>0.47989999999999999</v>
      </c>
      <c r="H440" s="11">
        <v>44728</v>
      </c>
      <c r="I440" s="9">
        <v>75.739999999999995</v>
      </c>
      <c r="J440" s="9">
        <v>74.16</v>
      </c>
      <c r="K440" s="9">
        <v>47.99</v>
      </c>
    </row>
    <row r="441" spans="1:11" x14ac:dyDescent="0.4">
      <c r="A441" s="16">
        <f t="shared" si="23"/>
        <v>44735</v>
      </c>
      <c r="B441" s="26">
        <f t="shared" si="26"/>
        <v>0.75569999999999993</v>
      </c>
      <c r="C441" s="26">
        <f t="shared" si="24"/>
        <v>0.73450000000000004</v>
      </c>
      <c r="D441" s="26">
        <f t="shared" si="25"/>
        <v>0.47989999999999999</v>
      </c>
      <c r="H441" s="11">
        <v>44735</v>
      </c>
      <c r="I441" s="9">
        <v>75.569999999999993</v>
      </c>
      <c r="J441" s="9">
        <v>73.45</v>
      </c>
      <c r="K441" s="9">
        <v>47.99</v>
      </c>
    </row>
    <row r="442" spans="1:11" x14ac:dyDescent="0.4">
      <c r="A442" s="16">
        <f t="shared" si="23"/>
        <v>44742</v>
      </c>
      <c r="B442" s="26">
        <f t="shared" si="26"/>
        <v>0.74280000000000002</v>
      </c>
      <c r="C442" s="26">
        <f t="shared" si="24"/>
        <v>0.77839999999999998</v>
      </c>
      <c r="D442" s="26">
        <f t="shared" si="25"/>
        <v>0.47950000000000004</v>
      </c>
      <c r="H442" s="11">
        <v>44742</v>
      </c>
      <c r="I442" s="9">
        <v>74.28</v>
      </c>
      <c r="J442" s="9">
        <v>77.84</v>
      </c>
      <c r="K442" s="9">
        <v>47.95</v>
      </c>
    </row>
    <row r="443" spans="1:11" x14ac:dyDescent="0.4">
      <c r="A443" s="16">
        <f t="shared" si="23"/>
        <v>44749</v>
      </c>
      <c r="B443" s="26">
        <f t="shared" si="26"/>
        <v>0.73480000000000001</v>
      </c>
      <c r="C443" s="26">
        <f t="shared" si="24"/>
        <v>0.73849999999999993</v>
      </c>
      <c r="D443" s="26">
        <f t="shared" si="25"/>
        <v>0.47439999999999999</v>
      </c>
      <c r="H443" s="11">
        <v>44749</v>
      </c>
      <c r="I443" s="9">
        <v>73.48</v>
      </c>
      <c r="J443" s="9">
        <v>73.849999999999994</v>
      </c>
      <c r="K443" s="9">
        <v>47.44</v>
      </c>
    </row>
    <row r="444" spans="1:11" x14ac:dyDescent="0.4">
      <c r="A444" s="16">
        <f t="shared" si="23"/>
        <v>44756</v>
      </c>
      <c r="B444" s="26">
        <f t="shared" si="26"/>
        <v>0.70010000000000006</v>
      </c>
      <c r="C444" s="26">
        <f t="shared" si="24"/>
        <v>0.69129999999999991</v>
      </c>
      <c r="D444" s="26">
        <f t="shared" si="25"/>
        <v>0.46909999999999996</v>
      </c>
      <c r="H444" s="11">
        <v>44756</v>
      </c>
      <c r="I444" s="9">
        <v>70.010000000000005</v>
      </c>
      <c r="J444" s="9">
        <v>69.13</v>
      </c>
      <c r="K444" s="9">
        <v>46.91</v>
      </c>
    </row>
    <row r="445" spans="1:11" x14ac:dyDescent="0.4">
      <c r="A445" s="16">
        <f t="shared" si="23"/>
        <v>44763</v>
      </c>
      <c r="B445" s="26">
        <f t="shared" si="26"/>
        <v>0.69090000000000007</v>
      </c>
      <c r="C445" s="26">
        <f t="shared" si="24"/>
        <v>0.64370000000000005</v>
      </c>
      <c r="D445" s="26">
        <f t="shared" si="25"/>
        <v>0.4551</v>
      </c>
      <c r="H445" s="11">
        <v>44763</v>
      </c>
      <c r="I445" s="9">
        <v>69.09</v>
      </c>
      <c r="J445" s="9">
        <v>64.37</v>
      </c>
      <c r="K445" s="9">
        <v>45.51</v>
      </c>
    </row>
    <row r="446" spans="1:11" x14ac:dyDescent="0.4">
      <c r="A446" s="16">
        <f t="shared" si="23"/>
        <v>44770</v>
      </c>
      <c r="B446" s="26">
        <f t="shared" si="26"/>
        <v>0.66810000000000003</v>
      </c>
      <c r="C446" s="26">
        <f t="shared" si="24"/>
        <v>0.63019999999999998</v>
      </c>
      <c r="D446" s="26">
        <f t="shared" si="25"/>
        <v>0.47159999999999996</v>
      </c>
      <c r="H446" s="11">
        <v>44770</v>
      </c>
      <c r="I446" s="9">
        <v>66.81</v>
      </c>
      <c r="J446" s="9">
        <v>63.02</v>
      </c>
      <c r="K446" s="9">
        <v>47.16</v>
      </c>
    </row>
    <row r="447" spans="1:11" x14ac:dyDescent="0.4">
      <c r="A447" s="16">
        <f t="shared" si="23"/>
        <v>44777</v>
      </c>
      <c r="B447" s="26">
        <f t="shared" si="26"/>
        <v>0.63359999999999994</v>
      </c>
      <c r="C447" s="26">
        <f t="shared" si="24"/>
        <v>0.64159999999999995</v>
      </c>
      <c r="D447" s="26">
        <f t="shared" si="25"/>
        <v>0.48170000000000002</v>
      </c>
      <c r="H447" s="11">
        <v>44777</v>
      </c>
      <c r="I447" s="9">
        <v>63.36</v>
      </c>
      <c r="J447" s="9">
        <v>64.16</v>
      </c>
      <c r="K447" s="9">
        <v>48.17</v>
      </c>
    </row>
    <row r="448" spans="1:11" x14ac:dyDescent="0.4">
      <c r="A448" s="16">
        <f t="shared" si="23"/>
        <v>44784</v>
      </c>
      <c r="B448" s="26">
        <f t="shared" si="26"/>
        <v>0.63560000000000005</v>
      </c>
      <c r="C448" s="26">
        <f t="shared" si="24"/>
        <v>0.64159999999999995</v>
      </c>
      <c r="D448" s="26">
        <f t="shared" si="25"/>
        <v>0.48009999999999997</v>
      </c>
      <c r="H448" s="11">
        <v>44784</v>
      </c>
      <c r="I448" s="9">
        <v>63.56</v>
      </c>
      <c r="J448" s="9">
        <v>64.16</v>
      </c>
      <c r="K448" s="9">
        <v>48.01</v>
      </c>
    </row>
    <row r="449" spans="1:11" x14ac:dyDescent="0.4">
      <c r="A449" s="16">
        <f t="shared" si="23"/>
        <v>44791</v>
      </c>
      <c r="B449" s="26">
        <f t="shared" si="26"/>
        <v>0.62729999999999997</v>
      </c>
      <c r="C449" s="26">
        <f t="shared" si="24"/>
        <v>0.64129999999999998</v>
      </c>
      <c r="D449" s="26">
        <f t="shared" si="25"/>
        <v>0.45439999999999997</v>
      </c>
      <c r="H449" s="11">
        <v>44791</v>
      </c>
      <c r="I449" s="9">
        <v>62.73</v>
      </c>
      <c r="J449" s="9">
        <v>64.13</v>
      </c>
      <c r="K449" s="9">
        <v>45.44</v>
      </c>
    </row>
    <row r="450" spans="1:11" x14ac:dyDescent="0.4">
      <c r="A450" s="16">
        <f t="shared" si="23"/>
        <v>44798</v>
      </c>
      <c r="B450" s="26">
        <f t="shared" si="26"/>
        <v>0.61419999999999997</v>
      </c>
      <c r="C450" s="26">
        <f t="shared" si="24"/>
        <v>0.64040000000000008</v>
      </c>
      <c r="D450" s="26">
        <f t="shared" si="25"/>
        <v>0.45779999999999998</v>
      </c>
      <c r="H450" s="11">
        <v>44798</v>
      </c>
      <c r="I450" s="9">
        <v>61.42</v>
      </c>
      <c r="J450" s="9">
        <v>64.040000000000006</v>
      </c>
      <c r="K450" s="9">
        <v>45.78</v>
      </c>
    </row>
    <row r="451" spans="1:11" x14ac:dyDescent="0.4">
      <c r="A451" s="16">
        <f t="shared" si="23"/>
        <v>44805</v>
      </c>
      <c r="B451" s="26">
        <f t="shared" si="26"/>
        <v>0.6784</v>
      </c>
      <c r="C451" s="26">
        <f t="shared" si="24"/>
        <v>0.70849999999999991</v>
      </c>
      <c r="D451" s="26">
        <f t="shared" si="25"/>
        <v>0.54189999999999994</v>
      </c>
      <c r="H451" s="11">
        <v>44805</v>
      </c>
      <c r="I451" s="9">
        <v>67.84</v>
      </c>
      <c r="J451" s="9">
        <v>70.849999999999994</v>
      </c>
      <c r="K451" s="9">
        <v>54.19</v>
      </c>
    </row>
    <row r="452" spans="1:11" x14ac:dyDescent="0.4">
      <c r="A452" s="16">
        <f t="shared" si="23"/>
        <v>44812</v>
      </c>
      <c r="B452" s="26">
        <f t="shared" si="26"/>
        <v>0.7034999999999999</v>
      </c>
      <c r="C452" s="26">
        <f t="shared" si="24"/>
        <v>0.75290000000000001</v>
      </c>
      <c r="D452" s="26">
        <f t="shared" si="25"/>
        <v>0.58640000000000003</v>
      </c>
      <c r="H452" s="11">
        <v>44812</v>
      </c>
      <c r="I452" s="9">
        <v>70.349999999999994</v>
      </c>
      <c r="J452" s="9">
        <v>75.290000000000006</v>
      </c>
      <c r="K452" s="9">
        <v>58.64</v>
      </c>
    </row>
    <row r="453" spans="1:11" x14ac:dyDescent="0.4">
      <c r="A453" s="16">
        <f t="shared" ref="A453:A516" si="27">H453</f>
        <v>44819</v>
      </c>
      <c r="B453" s="26">
        <f t="shared" si="26"/>
        <v>0.71739999999999993</v>
      </c>
      <c r="C453" s="26">
        <f t="shared" si="24"/>
        <v>0.76219999999999999</v>
      </c>
      <c r="D453" s="26">
        <f t="shared" si="25"/>
        <v>0.62860000000000005</v>
      </c>
      <c r="H453" s="11">
        <v>44819</v>
      </c>
      <c r="I453" s="9">
        <v>71.739999999999995</v>
      </c>
      <c r="J453" s="9">
        <v>76.22</v>
      </c>
      <c r="K453" s="9">
        <v>62.86</v>
      </c>
    </row>
    <row r="454" spans="1:11" x14ac:dyDescent="0.4">
      <c r="A454" s="16">
        <f t="shared" si="27"/>
        <v>44826</v>
      </c>
      <c r="B454" s="26">
        <f t="shared" si="26"/>
        <v>0.67930000000000001</v>
      </c>
      <c r="C454" s="26">
        <f t="shared" ref="C454:C517" si="28">IF(J454&lt;&gt;0,J454/100,C453)</f>
        <v>0.76590000000000003</v>
      </c>
      <c r="D454" s="26">
        <f t="shared" ref="D454:D517" si="29">IF(K454&lt;&gt;0,K454/100,D453)</f>
        <v>0.62860000000000005</v>
      </c>
      <c r="H454" s="11">
        <v>44826</v>
      </c>
      <c r="I454" s="9">
        <v>67.930000000000007</v>
      </c>
      <c r="J454" s="9">
        <v>76.59</v>
      </c>
      <c r="K454" s="9">
        <v>62.86</v>
      </c>
    </row>
    <row r="455" spans="1:11" x14ac:dyDescent="0.4">
      <c r="A455" s="16">
        <f t="shared" si="27"/>
        <v>44833</v>
      </c>
      <c r="B455" s="26">
        <f t="shared" si="26"/>
        <v>0.67519999999999991</v>
      </c>
      <c r="C455" s="26">
        <f t="shared" si="28"/>
        <v>0.76209999999999989</v>
      </c>
      <c r="D455" s="26">
        <f t="shared" si="29"/>
        <v>0.62460000000000004</v>
      </c>
      <c r="H455" s="11">
        <v>44833</v>
      </c>
      <c r="I455" s="9">
        <v>67.52</v>
      </c>
      <c r="J455" s="9">
        <v>76.209999999999994</v>
      </c>
      <c r="K455" s="9">
        <v>62.46</v>
      </c>
    </row>
    <row r="456" spans="1:11" x14ac:dyDescent="0.4">
      <c r="A456" s="16">
        <f t="shared" si="27"/>
        <v>44847</v>
      </c>
      <c r="B456" s="26">
        <f t="shared" si="26"/>
        <v>0.66480000000000006</v>
      </c>
      <c r="C456" s="26">
        <f t="shared" si="28"/>
        <v>0.74659999999999993</v>
      </c>
      <c r="D456" s="26">
        <f t="shared" si="29"/>
        <v>0.61890000000000001</v>
      </c>
      <c r="H456" s="11">
        <v>44847</v>
      </c>
      <c r="I456" s="9">
        <v>66.48</v>
      </c>
      <c r="J456" s="9">
        <v>74.66</v>
      </c>
      <c r="K456" s="9">
        <v>61.89</v>
      </c>
    </row>
    <row r="457" spans="1:11" x14ac:dyDescent="0.4">
      <c r="A457" s="16">
        <f t="shared" si="27"/>
        <v>44854</v>
      </c>
      <c r="B457" s="26">
        <f t="shared" si="26"/>
        <v>0.6470999999999999</v>
      </c>
      <c r="C457" s="26">
        <f t="shared" si="28"/>
        <v>0.73219999999999996</v>
      </c>
      <c r="D457" s="26">
        <f t="shared" si="29"/>
        <v>0.61799999999999999</v>
      </c>
      <c r="H457" s="11">
        <v>44854</v>
      </c>
      <c r="I457" s="9">
        <v>64.709999999999994</v>
      </c>
      <c r="J457" s="9">
        <v>73.22</v>
      </c>
      <c r="K457" s="9">
        <v>61.8</v>
      </c>
    </row>
    <row r="458" spans="1:11" x14ac:dyDescent="0.4">
      <c r="A458" s="16">
        <f t="shared" si="27"/>
        <v>44861</v>
      </c>
      <c r="B458" s="26">
        <f t="shared" si="26"/>
        <v>0.67260000000000009</v>
      </c>
      <c r="C458" s="26">
        <f t="shared" si="28"/>
        <v>0.73280000000000001</v>
      </c>
      <c r="D458" s="26">
        <f t="shared" si="29"/>
        <v>0.61329999999999996</v>
      </c>
      <c r="H458" s="11">
        <v>44861</v>
      </c>
      <c r="I458" s="9">
        <v>67.260000000000005</v>
      </c>
      <c r="J458" s="9">
        <v>73.28</v>
      </c>
      <c r="K458" s="9">
        <v>61.33</v>
      </c>
    </row>
    <row r="459" spans="1:11" x14ac:dyDescent="0.4">
      <c r="A459" s="16">
        <f t="shared" si="27"/>
        <v>44868</v>
      </c>
      <c r="B459" s="26">
        <f t="shared" si="26"/>
        <v>0.66810000000000003</v>
      </c>
      <c r="C459" s="26">
        <f t="shared" si="28"/>
        <v>0.72809999999999997</v>
      </c>
      <c r="D459" s="26">
        <f t="shared" si="29"/>
        <v>0.5958</v>
      </c>
      <c r="H459" s="11">
        <v>44868</v>
      </c>
      <c r="I459" s="9">
        <v>66.81</v>
      </c>
      <c r="J459" s="9">
        <v>72.81</v>
      </c>
      <c r="K459" s="9">
        <v>59.58</v>
      </c>
    </row>
    <row r="460" spans="1:11" x14ac:dyDescent="0.4">
      <c r="A460" s="16">
        <f t="shared" si="27"/>
        <v>44875</v>
      </c>
      <c r="B460" s="26">
        <f t="shared" si="26"/>
        <v>0.68049999999999999</v>
      </c>
      <c r="C460" s="26">
        <f t="shared" si="28"/>
        <v>0.66239999999999999</v>
      </c>
      <c r="D460" s="26">
        <f t="shared" si="29"/>
        <v>0.58260000000000001</v>
      </c>
      <c r="H460" s="11">
        <v>44875</v>
      </c>
      <c r="I460" s="9">
        <v>68.05</v>
      </c>
      <c r="J460" s="9">
        <v>66.239999999999995</v>
      </c>
      <c r="K460" s="9">
        <v>58.26</v>
      </c>
    </row>
    <row r="461" spans="1:11" x14ac:dyDescent="0.4">
      <c r="A461" s="16">
        <f t="shared" si="27"/>
        <v>44882</v>
      </c>
      <c r="B461" s="26">
        <f t="shared" si="26"/>
        <v>0.69349999999999989</v>
      </c>
      <c r="C461" s="26">
        <f t="shared" si="28"/>
        <v>0.63129999999999997</v>
      </c>
      <c r="D461" s="26">
        <f t="shared" si="29"/>
        <v>0.55700000000000005</v>
      </c>
      <c r="H461" s="11">
        <v>44882</v>
      </c>
      <c r="I461" s="9">
        <v>69.349999999999994</v>
      </c>
      <c r="J461" s="9">
        <v>63.13</v>
      </c>
      <c r="K461" s="9">
        <v>55.7</v>
      </c>
    </row>
    <row r="462" spans="1:11" x14ac:dyDescent="0.4">
      <c r="A462" s="16">
        <f t="shared" si="27"/>
        <v>44889</v>
      </c>
      <c r="B462" s="26">
        <f t="shared" si="26"/>
        <v>0.68459999999999999</v>
      </c>
      <c r="C462" s="26">
        <f t="shared" si="28"/>
        <v>0.60309999999999997</v>
      </c>
      <c r="D462" s="26">
        <f t="shared" si="29"/>
        <v>0.54400000000000004</v>
      </c>
      <c r="H462" s="11">
        <v>44889</v>
      </c>
      <c r="I462" s="9">
        <v>68.459999999999994</v>
      </c>
      <c r="J462" s="9">
        <v>60.31</v>
      </c>
      <c r="K462" s="9">
        <v>54.4</v>
      </c>
    </row>
    <row r="463" spans="1:11" x14ac:dyDescent="0.4">
      <c r="A463" s="16">
        <f t="shared" si="27"/>
        <v>44896</v>
      </c>
      <c r="B463" s="26">
        <f t="shared" si="26"/>
        <v>0.67579999999999996</v>
      </c>
      <c r="C463" s="26">
        <f t="shared" si="28"/>
        <v>0.59799999999999998</v>
      </c>
      <c r="D463" s="26">
        <f t="shared" si="29"/>
        <v>0.50229999999999997</v>
      </c>
      <c r="H463" s="11">
        <v>44896</v>
      </c>
      <c r="I463" s="9">
        <v>67.58</v>
      </c>
      <c r="J463" s="9">
        <v>59.8</v>
      </c>
      <c r="K463" s="9">
        <v>50.23</v>
      </c>
    </row>
    <row r="464" spans="1:11" x14ac:dyDescent="0.4">
      <c r="A464" s="16">
        <f t="shared" si="27"/>
        <v>44903</v>
      </c>
      <c r="B464" s="26">
        <f t="shared" si="26"/>
        <v>0.65949999999999998</v>
      </c>
      <c r="C464" s="26">
        <f t="shared" si="28"/>
        <v>0.5786</v>
      </c>
      <c r="D464" s="26">
        <f t="shared" si="29"/>
        <v>0.48899999999999999</v>
      </c>
      <c r="H464" s="11">
        <v>44903</v>
      </c>
      <c r="I464" s="9">
        <v>65.95</v>
      </c>
      <c r="J464" s="9">
        <v>57.86</v>
      </c>
      <c r="K464" s="9">
        <v>48.9</v>
      </c>
    </row>
    <row r="465" spans="1:11" x14ac:dyDescent="0.4">
      <c r="A465" s="16">
        <f t="shared" si="27"/>
        <v>44910</v>
      </c>
      <c r="B465" s="26">
        <f t="shared" si="26"/>
        <v>0.6492</v>
      </c>
      <c r="C465" s="26">
        <f t="shared" si="28"/>
        <v>0.56520000000000004</v>
      </c>
      <c r="D465" s="26">
        <f t="shared" si="29"/>
        <v>0.49930000000000002</v>
      </c>
      <c r="H465" s="11">
        <v>44910</v>
      </c>
      <c r="I465" s="9">
        <v>64.92</v>
      </c>
      <c r="J465" s="9">
        <v>56.52</v>
      </c>
      <c r="K465" s="9">
        <v>49.93</v>
      </c>
    </row>
    <row r="466" spans="1:11" x14ac:dyDescent="0.4">
      <c r="A466" s="16">
        <f t="shared" si="27"/>
        <v>44917</v>
      </c>
      <c r="B466" s="26">
        <f t="shared" si="26"/>
        <v>0.65180000000000005</v>
      </c>
      <c r="C466" s="26">
        <f t="shared" si="28"/>
        <v>0.53759999999999997</v>
      </c>
      <c r="D466" s="26">
        <f t="shared" si="29"/>
        <v>0.46850000000000003</v>
      </c>
      <c r="H466" s="11">
        <v>44917</v>
      </c>
      <c r="I466" s="9">
        <v>65.180000000000007</v>
      </c>
      <c r="J466" s="9">
        <v>53.76</v>
      </c>
      <c r="K466" s="9">
        <v>46.85</v>
      </c>
    </row>
    <row r="467" spans="1:11" x14ac:dyDescent="0.4">
      <c r="A467" s="16">
        <f t="shared" si="27"/>
        <v>44924</v>
      </c>
      <c r="B467" s="26">
        <f t="shared" si="26"/>
        <v>0.65029999999999999</v>
      </c>
      <c r="C467" s="26">
        <f t="shared" si="28"/>
        <v>0.52469999999999994</v>
      </c>
      <c r="D467" s="26">
        <f t="shared" si="29"/>
        <v>0.30170000000000002</v>
      </c>
      <c r="H467" s="11">
        <v>44924</v>
      </c>
      <c r="I467" s="9">
        <v>65.03</v>
      </c>
      <c r="J467" s="9">
        <v>52.47</v>
      </c>
      <c r="K467" s="9">
        <v>30.17</v>
      </c>
    </row>
    <row r="468" spans="1:11" x14ac:dyDescent="0.4">
      <c r="A468" s="16">
        <f t="shared" si="27"/>
        <v>44931</v>
      </c>
      <c r="B468" s="26">
        <f t="shared" si="26"/>
        <v>0.68920000000000003</v>
      </c>
      <c r="C468" s="26">
        <f t="shared" si="28"/>
        <v>0.50029999999999997</v>
      </c>
      <c r="D468" s="26">
        <f t="shared" si="29"/>
        <v>0.1777</v>
      </c>
      <c r="H468" s="11">
        <v>44931</v>
      </c>
      <c r="I468" s="9">
        <v>68.92</v>
      </c>
      <c r="J468" s="9">
        <v>50.03</v>
      </c>
      <c r="K468" s="9">
        <v>17.77</v>
      </c>
    </row>
    <row r="469" spans="1:11" x14ac:dyDescent="0.4">
      <c r="A469" s="16">
        <f t="shared" si="27"/>
        <v>44938</v>
      </c>
      <c r="B469" s="26">
        <f t="shared" si="26"/>
        <v>0.69450000000000001</v>
      </c>
      <c r="C469" s="26">
        <f t="shared" si="28"/>
        <v>0.47859999999999997</v>
      </c>
      <c r="D469" s="26">
        <f t="shared" si="29"/>
        <v>0.1128</v>
      </c>
      <c r="H469" s="11">
        <v>44938</v>
      </c>
      <c r="I469" s="9">
        <v>69.45</v>
      </c>
      <c r="J469" s="9">
        <v>47.86</v>
      </c>
      <c r="K469" s="9">
        <v>11.28</v>
      </c>
    </row>
    <row r="470" spans="1:11" x14ac:dyDescent="0.4">
      <c r="A470" s="16">
        <f t="shared" si="27"/>
        <v>44945</v>
      </c>
      <c r="B470" s="26">
        <f t="shared" ref="B470:B533" si="30">IF(I470&lt;&gt;0,I470/100,B469)</f>
        <v>0.69550000000000001</v>
      </c>
      <c r="C470" s="26">
        <f t="shared" si="28"/>
        <v>0.4698</v>
      </c>
      <c r="D470" s="26">
        <f t="shared" si="29"/>
        <v>3.7499999999999999E-2</v>
      </c>
      <c r="H470" s="11">
        <v>44945</v>
      </c>
      <c r="I470" s="9">
        <v>69.55</v>
      </c>
      <c r="J470" s="9">
        <v>46.98</v>
      </c>
      <c r="K470" s="9">
        <v>3.75</v>
      </c>
    </row>
    <row r="471" spans="1:11" x14ac:dyDescent="0.4">
      <c r="A471" s="16">
        <f t="shared" si="27"/>
        <v>44959</v>
      </c>
      <c r="B471" s="26">
        <f t="shared" si="30"/>
        <v>0.74309999999999998</v>
      </c>
      <c r="C471" s="26">
        <f t="shared" si="28"/>
        <v>0.49009999999999998</v>
      </c>
      <c r="D471" s="26">
        <f t="shared" si="29"/>
        <v>0.25469999999999998</v>
      </c>
      <c r="H471" s="11">
        <v>44959</v>
      </c>
      <c r="I471" s="9">
        <v>74.31</v>
      </c>
      <c r="J471" s="9">
        <v>49.01</v>
      </c>
      <c r="K471" s="9">
        <v>25.47</v>
      </c>
    </row>
    <row r="472" spans="1:11" x14ac:dyDescent="0.4">
      <c r="A472" s="16">
        <f t="shared" si="27"/>
        <v>44966</v>
      </c>
      <c r="B472" s="26">
        <f t="shared" si="30"/>
        <v>0.74939999999999996</v>
      </c>
      <c r="C472" s="26">
        <f t="shared" si="28"/>
        <v>0.57769999999999999</v>
      </c>
      <c r="D472" s="26">
        <f t="shared" si="29"/>
        <v>0.36840000000000006</v>
      </c>
      <c r="H472" s="11">
        <v>44966</v>
      </c>
      <c r="I472" s="9">
        <v>74.94</v>
      </c>
      <c r="J472" s="9">
        <v>57.77</v>
      </c>
      <c r="K472" s="9">
        <v>36.840000000000003</v>
      </c>
    </row>
    <row r="473" spans="1:11" x14ac:dyDescent="0.4">
      <c r="A473" s="16">
        <f t="shared" si="27"/>
        <v>44973</v>
      </c>
      <c r="B473" s="26">
        <f t="shared" si="30"/>
        <v>0.77049999999999996</v>
      </c>
      <c r="C473" s="26">
        <f t="shared" si="28"/>
        <v>0.61499999999999999</v>
      </c>
      <c r="D473" s="26">
        <f t="shared" si="29"/>
        <v>0.45770000000000005</v>
      </c>
      <c r="H473" s="11">
        <v>44973</v>
      </c>
      <c r="I473" s="9">
        <v>77.05</v>
      </c>
      <c r="J473" s="9">
        <v>61.5</v>
      </c>
      <c r="K473" s="9">
        <v>45.77</v>
      </c>
    </row>
    <row r="474" spans="1:11" x14ac:dyDescent="0.4">
      <c r="A474" s="16">
        <f t="shared" si="27"/>
        <v>44980</v>
      </c>
      <c r="B474" s="26">
        <f t="shared" si="30"/>
        <v>0.77069999999999994</v>
      </c>
      <c r="C474" s="26">
        <f t="shared" si="28"/>
        <v>0.66310000000000002</v>
      </c>
      <c r="D474" s="26">
        <f t="shared" si="29"/>
        <v>0.56490000000000007</v>
      </c>
      <c r="H474" s="11">
        <v>44980</v>
      </c>
      <c r="I474" s="9">
        <v>77.069999999999993</v>
      </c>
      <c r="J474" s="9">
        <v>66.31</v>
      </c>
      <c r="K474" s="9">
        <v>56.49</v>
      </c>
    </row>
    <row r="475" spans="1:11" x14ac:dyDescent="0.4">
      <c r="A475" s="16">
        <f t="shared" si="27"/>
        <v>44987</v>
      </c>
      <c r="B475" s="26">
        <f t="shared" si="30"/>
        <v>0.80319999999999991</v>
      </c>
      <c r="C475" s="26">
        <f t="shared" si="28"/>
        <v>0.74439999999999995</v>
      </c>
      <c r="D475" s="26">
        <f t="shared" si="29"/>
        <v>0.62929999999999997</v>
      </c>
      <c r="H475" s="11">
        <v>44987</v>
      </c>
      <c r="I475" s="9">
        <v>80.319999999999993</v>
      </c>
      <c r="J475" s="9">
        <v>74.44</v>
      </c>
      <c r="K475" s="9">
        <v>62.93</v>
      </c>
    </row>
    <row r="476" spans="1:11" x14ac:dyDescent="0.4">
      <c r="A476" s="16">
        <f t="shared" si="27"/>
        <v>44994</v>
      </c>
      <c r="B476" s="26">
        <f t="shared" si="30"/>
        <v>0.81299999999999994</v>
      </c>
      <c r="C476" s="26">
        <f t="shared" si="28"/>
        <v>0.752</v>
      </c>
      <c r="D476" s="26">
        <f t="shared" si="29"/>
        <v>0.63759999999999994</v>
      </c>
      <c r="H476" s="11">
        <v>44994</v>
      </c>
      <c r="I476" s="9">
        <v>81.3</v>
      </c>
      <c r="J476" s="9">
        <v>75.2</v>
      </c>
      <c r="K476" s="9">
        <v>63.76</v>
      </c>
    </row>
    <row r="477" spans="1:11" x14ac:dyDescent="0.4">
      <c r="A477" s="16">
        <f t="shared" si="27"/>
        <v>45001</v>
      </c>
      <c r="B477" s="26">
        <f t="shared" si="30"/>
        <v>0.80870000000000009</v>
      </c>
      <c r="C477" s="26">
        <f t="shared" si="28"/>
        <v>0.78040000000000009</v>
      </c>
      <c r="D477" s="26">
        <f t="shared" si="29"/>
        <v>0.64249999999999996</v>
      </c>
      <c r="H477" s="11">
        <v>45001</v>
      </c>
      <c r="I477" s="9">
        <v>80.87</v>
      </c>
      <c r="J477" s="9">
        <v>78.040000000000006</v>
      </c>
      <c r="K477" s="9">
        <v>64.25</v>
      </c>
    </row>
    <row r="478" spans="1:11" x14ac:dyDescent="0.4">
      <c r="A478" s="16">
        <f t="shared" si="27"/>
        <v>45008</v>
      </c>
      <c r="B478" s="26">
        <f t="shared" si="30"/>
        <v>0.76939999999999997</v>
      </c>
      <c r="C478" s="26">
        <f t="shared" si="28"/>
        <v>0.80010000000000003</v>
      </c>
      <c r="D478" s="26">
        <f t="shared" si="29"/>
        <v>0.63270000000000004</v>
      </c>
      <c r="H478" s="11">
        <v>45008</v>
      </c>
      <c r="I478" s="9">
        <v>76.94</v>
      </c>
      <c r="J478" s="9">
        <v>80.010000000000005</v>
      </c>
      <c r="K478" s="9">
        <v>63.27</v>
      </c>
    </row>
    <row r="479" spans="1:11" x14ac:dyDescent="0.4">
      <c r="A479" s="16">
        <f t="shared" si="27"/>
        <v>45015</v>
      </c>
      <c r="B479" s="26">
        <f t="shared" si="30"/>
        <v>0.76879999999999993</v>
      </c>
      <c r="C479" s="26">
        <f t="shared" si="28"/>
        <v>0.80810000000000004</v>
      </c>
      <c r="D479" s="26">
        <f t="shared" si="29"/>
        <v>0.62020000000000008</v>
      </c>
      <c r="H479" s="11">
        <v>45015</v>
      </c>
      <c r="I479" s="9">
        <v>76.88</v>
      </c>
      <c r="J479" s="9">
        <v>80.81</v>
      </c>
      <c r="K479" s="9">
        <v>62.02</v>
      </c>
    </row>
    <row r="480" spans="1:11" x14ac:dyDescent="0.4">
      <c r="A480" s="16">
        <f t="shared" si="27"/>
        <v>45022</v>
      </c>
      <c r="B480" s="26">
        <f t="shared" si="30"/>
        <v>0.81830000000000003</v>
      </c>
      <c r="C480" s="26">
        <f t="shared" si="28"/>
        <v>0.8216</v>
      </c>
      <c r="D480" s="26">
        <f t="shared" si="29"/>
        <v>0.54479999999999995</v>
      </c>
      <c r="H480" s="11">
        <v>45022</v>
      </c>
      <c r="I480" s="9">
        <v>81.83</v>
      </c>
      <c r="J480" s="9">
        <v>82.16</v>
      </c>
      <c r="K480" s="9">
        <v>54.48</v>
      </c>
    </row>
    <row r="481" spans="1:11" x14ac:dyDescent="0.4">
      <c r="A481" s="16">
        <f t="shared" si="27"/>
        <v>45029</v>
      </c>
      <c r="B481" s="26">
        <f t="shared" si="30"/>
        <v>0.82069999999999999</v>
      </c>
      <c r="C481" s="26">
        <f t="shared" si="28"/>
        <v>0.83</v>
      </c>
      <c r="D481" s="26">
        <f t="shared" si="29"/>
        <v>0.55100000000000005</v>
      </c>
      <c r="H481" s="11">
        <v>45029</v>
      </c>
      <c r="I481" s="9">
        <v>82.07</v>
      </c>
      <c r="J481" s="9">
        <v>83</v>
      </c>
      <c r="K481" s="9">
        <v>55.1</v>
      </c>
    </row>
    <row r="482" spans="1:11" x14ac:dyDescent="0.4">
      <c r="A482" s="16">
        <f t="shared" si="27"/>
        <v>45036</v>
      </c>
      <c r="B482" s="26">
        <f t="shared" si="30"/>
        <v>0.82609999999999995</v>
      </c>
      <c r="C482" s="26">
        <f t="shared" si="28"/>
        <v>0.82230000000000003</v>
      </c>
      <c r="D482" s="26">
        <f t="shared" si="29"/>
        <v>0.54689999999999994</v>
      </c>
      <c r="H482" s="11">
        <v>45036</v>
      </c>
      <c r="I482" s="9">
        <v>82.61</v>
      </c>
      <c r="J482" s="9">
        <v>82.23</v>
      </c>
      <c r="K482" s="9">
        <v>54.69</v>
      </c>
    </row>
    <row r="483" spans="1:11" x14ac:dyDescent="0.4">
      <c r="A483" s="16">
        <f t="shared" si="27"/>
        <v>45043</v>
      </c>
      <c r="B483" s="26">
        <f t="shared" si="30"/>
        <v>0.83260000000000001</v>
      </c>
      <c r="C483" s="26">
        <f t="shared" si="28"/>
        <v>0.79299999999999993</v>
      </c>
      <c r="D483" s="26">
        <f t="shared" si="29"/>
        <v>0.54289999999999994</v>
      </c>
      <c r="H483" s="11">
        <v>45043</v>
      </c>
      <c r="I483" s="9">
        <v>83.26</v>
      </c>
      <c r="J483" s="9">
        <v>79.3</v>
      </c>
      <c r="K483" s="9">
        <v>54.29</v>
      </c>
    </row>
    <row r="484" spans="1:11" x14ac:dyDescent="0.4">
      <c r="A484" s="16">
        <f t="shared" si="27"/>
        <v>45050</v>
      </c>
      <c r="B484" s="26">
        <f t="shared" si="30"/>
        <v>0.8206</v>
      </c>
      <c r="C484" s="26">
        <f t="shared" si="28"/>
        <v>0.77819999999999989</v>
      </c>
      <c r="D484" s="26">
        <f t="shared" si="29"/>
        <v>0.48229999999999995</v>
      </c>
      <c r="H484" s="11">
        <v>45050</v>
      </c>
      <c r="I484" s="9">
        <v>82.06</v>
      </c>
      <c r="J484" s="9">
        <v>77.819999999999993</v>
      </c>
      <c r="K484" s="9">
        <v>48.23</v>
      </c>
    </row>
    <row r="485" spans="1:11" x14ac:dyDescent="0.4">
      <c r="A485" s="16">
        <f t="shared" si="27"/>
        <v>45057</v>
      </c>
      <c r="B485" s="26">
        <f t="shared" si="30"/>
        <v>0.81079999999999997</v>
      </c>
      <c r="C485" s="26">
        <f t="shared" si="28"/>
        <v>0.78560000000000008</v>
      </c>
      <c r="D485" s="26">
        <f t="shared" si="29"/>
        <v>0.57940000000000003</v>
      </c>
      <c r="H485" s="11">
        <v>45057</v>
      </c>
      <c r="I485" s="9">
        <v>81.08</v>
      </c>
      <c r="J485" s="9">
        <v>78.56</v>
      </c>
      <c r="K485" s="9">
        <v>57.94</v>
      </c>
    </row>
    <row r="486" spans="1:11" x14ac:dyDescent="0.4">
      <c r="A486" s="16">
        <f t="shared" si="27"/>
        <v>45064</v>
      </c>
      <c r="B486" s="26">
        <f t="shared" si="30"/>
        <v>0.80180000000000007</v>
      </c>
      <c r="C486" s="26">
        <f t="shared" si="28"/>
        <v>0.80290000000000006</v>
      </c>
      <c r="D486" s="26">
        <f t="shared" si="29"/>
        <v>0.60460000000000003</v>
      </c>
      <c r="H486" s="11">
        <v>45064</v>
      </c>
      <c r="I486" s="9">
        <v>80.180000000000007</v>
      </c>
      <c r="J486" s="9">
        <v>80.290000000000006</v>
      </c>
      <c r="K486" s="9">
        <v>60.46</v>
      </c>
    </row>
    <row r="487" spans="1:11" x14ac:dyDescent="0.4">
      <c r="A487" s="16">
        <f t="shared" si="27"/>
        <v>45071</v>
      </c>
      <c r="B487" s="26">
        <f t="shared" si="30"/>
        <v>0.78959999999999997</v>
      </c>
      <c r="C487" s="26">
        <f t="shared" si="28"/>
        <v>0.82239999999999991</v>
      </c>
      <c r="D487" s="26">
        <f t="shared" si="29"/>
        <v>0.60460000000000003</v>
      </c>
      <c r="H487" s="11">
        <v>45071</v>
      </c>
      <c r="I487" s="9">
        <v>78.959999999999994</v>
      </c>
      <c r="J487" s="9">
        <v>82.24</v>
      </c>
      <c r="K487" s="9">
        <v>60.46</v>
      </c>
    </row>
    <row r="488" spans="1:11" x14ac:dyDescent="0.4">
      <c r="A488" s="16">
        <f t="shared" si="27"/>
        <v>45078</v>
      </c>
      <c r="B488" s="26">
        <f t="shared" si="30"/>
        <v>0.79049999999999998</v>
      </c>
      <c r="C488" s="26">
        <f t="shared" si="28"/>
        <v>0.81830000000000003</v>
      </c>
      <c r="D488" s="26">
        <f t="shared" si="29"/>
        <v>0.60450000000000004</v>
      </c>
      <c r="H488" s="11">
        <v>45078</v>
      </c>
      <c r="I488" s="9">
        <v>79.05</v>
      </c>
      <c r="J488" s="9">
        <v>81.83</v>
      </c>
      <c r="K488" s="9">
        <v>60.45</v>
      </c>
    </row>
    <row r="489" spans="1:11" x14ac:dyDescent="0.4">
      <c r="A489" s="16">
        <f t="shared" si="27"/>
        <v>45085</v>
      </c>
      <c r="B489" s="26">
        <f t="shared" si="30"/>
        <v>0.80489999999999995</v>
      </c>
      <c r="C489" s="26">
        <f t="shared" si="28"/>
        <v>0.83650000000000002</v>
      </c>
      <c r="D489" s="26">
        <f t="shared" si="29"/>
        <v>0.6038</v>
      </c>
      <c r="H489" s="11">
        <v>45085</v>
      </c>
      <c r="I489" s="9">
        <v>80.489999999999995</v>
      </c>
      <c r="J489" s="9">
        <v>83.65</v>
      </c>
      <c r="K489" s="9">
        <v>60.38</v>
      </c>
    </row>
    <row r="490" spans="1:11" x14ac:dyDescent="0.4">
      <c r="A490" s="16">
        <f t="shared" si="27"/>
        <v>45092</v>
      </c>
      <c r="B490" s="26">
        <f t="shared" si="30"/>
        <v>0.82040000000000002</v>
      </c>
      <c r="C490" s="26">
        <f t="shared" si="28"/>
        <v>0.85400000000000009</v>
      </c>
      <c r="D490" s="26">
        <f t="shared" si="29"/>
        <v>0.62929999999999997</v>
      </c>
      <c r="H490" s="11">
        <v>45092</v>
      </c>
      <c r="I490" s="9">
        <v>82.04</v>
      </c>
      <c r="J490" s="9">
        <v>85.4</v>
      </c>
      <c r="K490" s="9">
        <v>62.93</v>
      </c>
    </row>
    <row r="491" spans="1:11" x14ac:dyDescent="0.4">
      <c r="A491" s="16">
        <f t="shared" si="27"/>
        <v>45098</v>
      </c>
      <c r="B491" s="26">
        <f t="shared" si="30"/>
        <v>0.82040000000000002</v>
      </c>
      <c r="C491" s="26">
        <f t="shared" si="28"/>
        <v>0.85589999999999999</v>
      </c>
      <c r="D491" s="26">
        <f t="shared" si="29"/>
        <v>0.62560000000000004</v>
      </c>
      <c r="H491" s="11">
        <v>45098</v>
      </c>
      <c r="I491" s="9">
        <v>0</v>
      </c>
      <c r="J491" s="9">
        <v>85.59</v>
      </c>
      <c r="K491" s="9">
        <v>62.56</v>
      </c>
    </row>
    <row r="492" spans="1:11" x14ac:dyDescent="0.4">
      <c r="A492" s="16">
        <f t="shared" si="27"/>
        <v>45099</v>
      </c>
      <c r="B492" s="26">
        <f t="shared" si="30"/>
        <v>0.81620000000000004</v>
      </c>
      <c r="C492" s="26">
        <f t="shared" si="28"/>
        <v>0.85589999999999999</v>
      </c>
      <c r="D492" s="26">
        <f t="shared" si="29"/>
        <v>0.62560000000000004</v>
      </c>
      <c r="H492" s="11">
        <v>45099</v>
      </c>
      <c r="I492" s="9">
        <v>81.62</v>
      </c>
      <c r="J492" s="9">
        <v>0</v>
      </c>
      <c r="K492" s="9">
        <v>0</v>
      </c>
    </row>
    <row r="493" spans="1:11" x14ac:dyDescent="0.4">
      <c r="A493" s="16">
        <f t="shared" si="27"/>
        <v>45106</v>
      </c>
      <c r="B493" s="26">
        <f t="shared" si="30"/>
        <v>0.79849999999999999</v>
      </c>
      <c r="C493" s="26">
        <f t="shared" si="28"/>
        <v>0.86150000000000004</v>
      </c>
      <c r="D493" s="26">
        <f t="shared" si="29"/>
        <v>0.63049999999999995</v>
      </c>
      <c r="H493" s="11">
        <v>45106</v>
      </c>
      <c r="I493" s="9">
        <v>79.849999999999994</v>
      </c>
      <c r="J493" s="9">
        <v>86.15</v>
      </c>
      <c r="K493" s="9">
        <v>63.05</v>
      </c>
    </row>
    <row r="494" spans="1:11" x14ac:dyDescent="0.4">
      <c r="A494" s="16">
        <f t="shared" si="27"/>
        <v>45113</v>
      </c>
      <c r="B494" s="26">
        <f t="shared" si="30"/>
        <v>0.77410000000000001</v>
      </c>
      <c r="C494" s="26">
        <f t="shared" si="28"/>
        <v>0.8619</v>
      </c>
      <c r="D494" s="26">
        <f t="shared" si="29"/>
        <v>0.6361</v>
      </c>
      <c r="H494" s="11">
        <v>45113</v>
      </c>
      <c r="I494" s="9">
        <v>77.41</v>
      </c>
      <c r="J494" s="9">
        <v>86.19</v>
      </c>
      <c r="K494" s="9">
        <v>63.61</v>
      </c>
    </row>
    <row r="495" spans="1:11" x14ac:dyDescent="0.4">
      <c r="A495" s="16">
        <f t="shared" si="27"/>
        <v>45120</v>
      </c>
      <c r="B495" s="26">
        <f t="shared" si="30"/>
        <v>0.77170000000000005</v>
      </c>
      <c r="C495" s="26">
        <f t="shared" si="28"/>
        <v>0.86080000000000001</v>
      </c>
      <c r="D495" s="26">
        <f t="shared" si="29"/>
        <v>0.63869999999999993</v>
      </c>
      <c r="H495" s="11">
        <v>45120</v>
      </c>
      <c r="I495" s="9">
        <v>77.17</v>
      </c>
      <c r="J495" s="9">
        <v>86.08</v>
      </c>
      <c r="K495" s="9">
        <v>63.87</v>
      </c>
    </row>
    <row r="496" spans="1:11" x14ac:dyDescent="0.4">
      <c r="A496" s="16">
        <f t="shared" si="27"/>
        <v>45127</v>
      </c>
      <c r="B496" s="26">
        <f t="shared" si="30"/>
        <v>0.77040000000000008</v>
      </c>
      <c r="C496" s="26">
        <f t="shared" si="28"/>
        <v>0.86080000000000001</v>
      </c>
      <c r="D496" s="26">
        <f t="shared" si="29"/>
        <v>0.63470000000000004</v>
      </c>
      <c r="H496" s="11">
        <v>45127</v>
      </c>
      <c r="I496" s="9">
        <v>77.040000000000006</v>
      </c>
      <c r="J496" s="9">
        <v>86.08</v>
      </c>
      <c r="K496" s="9">
        <v>63.47</v>
      </c>
    </row>
    <row r="497" spans="1:11" x14ac:dyDescent="0.4">
      <c r="A497" s="16">
        <f t="shared" si="27"/>
        <v>45134</v>
      </c>
      <c r="B497" s="26">
        <f t="shared" si="30"/>
        <v>0.8095</v>
      </c>
      <c r="C497" s="26">
        <f t="shared" si="28"/>
        <v>0.86150000000000004</v>
      </c>
      <c r="D497" s="26">
        <f t="shared" si="29"/>
        <v>0.62840000000000007</v>
      </c>
      <c r="H497" s="11">
        <v>45134</v>
      </c>
      <c r="I497" s="9">
        <v>80.95</v>
      </c>
      <c r="J497" s="9">
        <v>86.15</v>
      </c>
      <c r="K497" s="9">
        <v>62.84</v>
      </c>
    </row>
    <row r="498" spans="1:11" x14ac:dyDescent="0.4">
      <c r="A498" s="16">
        <f t="shared" si="27"/>
        <v>45141</v>
      </c>
      <c r="B498" s="26">
        <f t="shared" si="30"/>
        <v>0.82830000000000004</v>
      </c>
      <c r="C498" s="26">
        <f t="shared" si="28"/>
        <v>0.86319999999999997</v>
      </c>
      <c r="D498" s="26">
        <f t="shared" si="29"/>
        <v>0.63139999999999996</v>
      </c>
      <c r="H498" s="11">
        <v>45141</v>
      </c>
      <c r="I498" s="9">
        <v>82.83</v>
      </c>
      <c r="J498" s="9">
        <v>86.32</v>
      </c>
      <c r="K498" s="9">
        <v>63.14</v>
      </c>
    </row>
    <row r="499" spans="1:11" x14ac:dyDescent="0.4">
      <c r="A499" s="16">
        <f t="shared" si="27"/>
        <v>45148</v>
      </c>
      <c r="B499" s="26">
        <f t="shared" si="30"/>
        <v>0.82510000000000006</v>
      </c>
      <c r="C499" s="26">
        <f t="shared" si="28"/>
        <v>0.8609</v>
      </c>
      <c r="D499" s="26">
        <f t="shared" si="29"/>
        <v>0.62829999999999997</v>
      </c>
      <c r="H499" s="11">
        <v>45148</v>
      </c>
      <c r="I499" s="9">
        <v>82.51</v>
      </c>
      <c r="J499" s="9">
        <v>86.09</v>
      </c>
      <c r="K499" s="9">
        <v>62.83</v>
      </c>
    </row>
    <row r="500" spans="1:11" x14ac:dyDescent="0.4">
      <c r="A500" s="16">
        <f t="shared" si="27"/>
        <v>45155</v>
      </c>
      <c r="B500" s="26">
        <f t="shared" si="30"/>
        <v>0.79830000000000001</v>
      </c>
      <c r="C500" s="26">
        <f t="shared" si="28"/>
        <v>0.85950000000000004</v>
      </c>
      <c r="D500" s="26">
        <f t="shared" si="29"/>
        <v>0.63019999999999998</v>
      </c>
      <c r="H500" s="11">
        <v>45155</v>
      </c>
      <c r="I500" s="9">
        <v>79.83</v>
      </c>
      <c r="J500" s="9">
        <v>85.95</v>
      </c>
      <c r="K500" s="9">
        <v>63.02</v>
      </c>
    </row>
    <row r="501" spans="1:11" x14ac:dyDescent="0.4">
      <c r="A501" s="16">
        <f t="shared" si="27"/>
        <v>45162</v>
      </c>
      <c r="B501" s="26">
        <f t="shared" si="30"/>
        <v>0.7792</v>
      </c>
      <c r="C501" s="26">
        <f t="shared" si="28"/>
        <v>0.85950000000000004</v>
      </c>
      <c r="D501" s="26">
        <f t="shared" si="29"/>
        <v>0.64280000000000004</v>
      </c>
      <c r="H501" s="11">
        <v>45162</v>
      </c>
      <c r="I501" s="9">
        <v>77.92</v>
      </c>
      <c r="J501" s="9">
        <v>85.95</v>
      </c>
      <c r="K501" s="9">
        <v>64.28</v>
      </c>
    </row>
    <row r="502" spans="1:11" x14ac:dyDescent="0.4">
      <c r="A502" s="16">
        <f t="shared" si="27"/>
        <v>45169</v>
      </c>
      <c r="B502" s="26">
        <f t="shared" si="30"/>
        <v>0.74790000000000001</v>
      </c>
      <c r="C502" s="26">
        <f t="shared" si="28"/>
        <v>0.85950000000000004</v>
      </c>
      <c r="D502" s="26">
        <f t="shared" si="29"/>
        <v>0.64599999999999991</v>
      </c>
      <c r="H502" s="11">
        <v>45169</v>
      </c>
      <c r="I502" s="9">
        <v>74.790000000000006</v>
      </c>
      <c r="J502" s="9">
        <v>85.95</v>
      </c>
      <c r="K502" s="9">
        <v>64.599999999999994</v>
      </c>
    </row>
    <row r="503" spans="1:11" x14ac:dyDescent="0.4">
      <c r="A503" s="16">
        <f t="shared" si="27"/>
        <v>45176</v>
      </c>
      <c r="B503" s="26">
        <f t="shared" si="30"/>
        <v>0.72459999999999991</v>
      </c>
      <c r="C503" s="26">
        <f t="shared" si="28"/>
        <v>0.85880000000000001</v>
      </c>
      <c r="D503" s="26">
        <f t="shared" si="29"/>
        <v>0.65290000000000004</v>
      </c>
      <c r="H503" s="11">
        <v>45176</v>
      </c>
      <c r="I503" s="9">
        <v>72.459999999999994</v>
      </c>
      <c r="J503" s="9">
        <v>85.88</v>
      </c>
      <c r="K503" s="9">
        <v>65.290000000000006</v>
      </c>
    </row>
    <row r="504" spans="1:11" x14ac:dyDescent="0.4">
      <c r="A504" s="16">
        <f t="shared" si="27"/>
        <v>45183</v>
      </c>
      <c r="B504" s="26">
        <f t="shared" si="30"/>
        <v>0.7389</v>
      </c>
      <c r="C504" s="26">
        <f t="shared" si="28"/>
        <v>0.86239999999999994</v>
      </c>
      <c r="D504" s="26">
        <f t="shared" si="29"/>
        <v>0.6581999999999999</v>
      </c>
      <c r="H504" s="11">
        <v>45183</v>
      </c>
      <c r="I504" s="9">
        <v>73.89</v>
      </c>
      <c r="J504" s="9">
        <v>86.24</v>
      </c>
      <c r="K504" s="9">
        <v>65.819999999999993</v>
      </c>
    </row>
    <row r="505" spans="1:11" x14ac:dyDescent="0.4">
      <c r="A505" s="16">
        <f t="shared" si="27"/>
        <v>45190</v>
      </c>
      <c r="B505" s="26">
        <f t="shared" si="30"/>
        <v>0.76159999999999994</v>
      </c>
      <c r="C505" s="26">
        <f t="shared" si="28"/>
        <v>0.83279999999999998</v>
      </c>
      <c r="D505" s="26">
        <f t="shared" si="29"/>
        <v>0.65590000000000004</v>
      </c>
      <c r="H505" s="11">
        <v>45190</v>
      </c>
      <c r="I505" s="9">
        <v>76.16</v>
      </c>
      <c r="J505" s="9">
        <v>83.28</v>
      </c>
      <c r="K505" s="9">
        <v>65.59</v>
      </c>
    </row>
    <row r="506" spans="1:11" x14ac:dyDescent="0.4">
      <c r="A506" s="16">
        <f t="shared" si="27"/>
        <v>45197</v>
      </c>
      <c r="B506" s="26">
        <f t="shared" si="30"/>
        <v>0.8105</v>
      </c>
      <c r="C506" s="26">
        <f t="shared" si="28"/>
        <v>0.81510000000000005</v>
      </c>
      <c r="D506" s="26">
        <f t="shared" si="29"/>
        <v>0.65159999999999996</v>
      </c>
      <c r="H506" s="11">
        <v>45197</v>
      </c>
      <c r="I506" s="9">
        <v>81.05</v>
      </c>
      <c r="J506" s="9">
        <v>81.510000000000005</v>
      </c>
      <c r="K506" s="9">
        <v>65.16</v>
      </c>
    </row>
    <row r="507" spans="1:11" x14ac:dyDescent="0.4">
      <c r="A507" s="16">
        <f t="shared" si="27"/>
        <v>45204</v>
      </c>
      <c r="B507" s="26">
        <f t="shared" si="30"/>
        <v>0.8105</v>
      </c>
      <c r="C507" s="26">
        <f t="shared" si="28"/>
        <v>0.81510000000000005</v>
      </c>
      <c r="D507" s="26">
        <f t="shared" si="29"/>
        <v>0.6401</v>
      </c>
      <c r="H507" s="11">
        <v>45204</v>
      </c>
      <c r="I507" s="9">
        <v>0</v>
      </c>
      <c r="J507" s="9">
        <v>0</v>
      </c>
      <c r="K507" s="9">
        <v>64.010000000000005</v>
      </c>
    </row>
    <row r="508" spans="1:11" x14ac:dyDescent="0.4">
      <c r="A508" s="16">
        <f t="shared" si="27"/>
        <v>45211</v>
      </c>
      <c r="B508" s="26">
        <f t="shared" si="30"/>
        <v>0.82540000000000002</v>
      </c>
      <c r="C508" s="26">
        <f t="shared" si="28"/>
        <v>0.82869999999999999</v>
      </c>
      <c r="D508" s="26">
        <f t="shared" si="29"/>
        <v>0.64829999999999999</v>
      </c>
      <c r="H508" s="11">
        <v>45211</v>
      </c>
      <c r="I508" s="9">
        <v>82.54</v>
      </c>
      <c r="J508" s="9">
        <v>82.87</v>
      </c>
      <c r="K508" s="9">
        <v>64.83</v>
      </c>
    </row>
    <row r="509" spans="1:11" x14ac:dyDescent="0.4">
      <c r="A509" s="16">
        <f t="shared" si="27"/>
        <v>45218</v>
      </c>
      <c r="B509" s="26">
        <f t="shared" si="30"/>
        <v>0.80449999999999999</v>
      </c>
      <c r="C509" s="26">
        <f t="shared" si="28"/>
        <v>0.85650000000000004</v>
      </c>
      <c r="D509" s="26">
        <f t="shared" si="29"/>
        <v>0.65980000000000005</v>
      </c>
      <c r="H509" s="11">
        <v>45218</v>
      </c>
      <c r="I509" s="9">
        <v>80.45</v>
      </c>
      <c r="J509" s="9">
        <v>85.65</v>
      </c>
      <c r="K509" s="9">
        <v>65.98</v>
      </c>
    </row>
    <row r="510" spans="1:11" x14ac:dyDescent="0.4">
      <c r="A510" s="16">
        <f t="shared" si="27"/>
        <v>45225</v>
      </c>
      <c r="B510" s="26">
        <f t="shared" si="30"/>
        <v>0.81180000000000008</v>
      </c>
      <c r="C510" s="26">
        <f t="shared" si="28"/>
        <v>0.86870000000000003</v>
      </c>
      <c r="D510" s="26">
        <f t="shared" si="29"/>
        <v>0.65849999999999997</v>
      </c>
      <c r="H510" s="11">
        <v>45225</v>
      </c>
      <c r="I510" s="9">
        <v>81.180000000000007</v>
      </c>
      <c r="J510" s="9">
        <v>86.87</v>
      </c>
      <c r="K510" s="9">
        <v>65.849999999999994</v>
      </c>
    </row>
    <row r="511" spans="1:11" x14ac:dyDescent="0.4">
      <c r="A511" s="16">
        <f t="shared" si="27"/>
        <v>45232</v>
      </c>
      <c r="B511" s="26">
        <f t="shared" si="30"/>
        <v>0.81819999999999993</v>
      </c>
      <c r="C511" s="26">
        <f t="shared" si="28"/>
        <v>0.87219999999999998</v>
      </c>
      <c r="D511" s="26">
        <f t="shared" si="29"/>
        <v>0.6603</v>
      </c>
      <c r="H511" s="11">
        <v>45232</v>
      </c>
      <c r="I511" s="9">
        <v>81.819999999999993</v>
      </c>
      <c r="J511" s="9">
        <v>87.22</v>
      </c>
      <c r="K511" s="9">
        <v>66.03</v>
      </c>
    </row>
    <row r="512" spans="1:11" x14ac:dyDescent="0.4">
      <c r="A512" s="16">
        <f t="shared" si="27"/>
        <v>45239</v>
      </c>
      <c r="B512" s="26">
        <f t="shared" si="30"/>
        <v>0.79890000000000005</v>
      </c>
      <c r="C512" s="26">
        <f t="shared" si="28"/>
        <v>0.87219999999999998</v>
      </c>
      <c r="D512" s="26">
        <f t="shared" si="29"/>
        <v>0.6603</v>
      </c>
      <c r="H512" s="11">
        <v>45239</v>
      </c>
      <c r="I512" s="9">
        <v>79.89</v>
      </c>
      <c r="J512" s="9">
        <v>87.22</v>
      </c>
      <c r="K512" s="9">
        <v>66.03</v>
      </c>
    </row>
    <row r="513" spans="1:11" x14ac:dyDescent="0.4">
      <c r="A513" s="16">
        <f t="shared" si="27"/>
        <v>45246</v>
      </c>
      <c r="B513" s="26">
        <f t="shared" si="30"/>
        <v>0.80779999999999996</v>
      </c>
      <c r="C513" s="26">
        <f t="shared" si="28"/>
        <v>0.84670000000000001</v>
      </c>
      <c r="D513" s="26">
        <f t="shared" si="29"/>
        <v>0.65769999999999995</v>
      </c>
      <c r="H513" s="11">
        <v>45246</v>
      </c>
      <c r="I513" s="9">
        <v>80.78</v>
      </c>
      <c r="J513" s="9">
        <v>84.67</v>
      </c>
      <c r="K513" s="9">
        <v>65.77</v>
      </c>
    </row>
    <row r="514" spans="1:11" x14ac:dyDescent="0.4">
      <c r="A514" s="16">
        <f t="shared" si="27"/>
        <v>45253</v>
      </c>
      <c r="B514" s="26">
        <f t="shared" si="30"/>
        <v>0.80459999999999998</v>
      </c>
      <c r="C514" s="26">
        <f t="shared" si="28"/>
        <v>0.84299999999999997</v>
      </c>
      <c r="D514" s="26">
        <f t="shared" si="29"/>
        <v>0.68840000000000001</v>
      </c>
      <c r="H514" s="11">
        <v>45253</v>
      </c>
      <c r="I514" s="9">
        <v>80.459999999999994</v>
      </c>
      <c r="J514" s="9">
        <v>84.3</v>
      </c>
      <c r="K514" s="9">
        <v>68.84</v>
      </c>
    </row>
    <row r="515" spans="1:11" x14ac:dyDescent="0.4">
      <c r="A515" s="16">
        <f t="shared" si="27"/>
        <v>45260</v>
      </c>
      <c r="B515" s="26">
        <f t="shared" si="30"/>
        <v>0.81530000000000002</v>
      </c>
      <c r="C515" s="26">
        <f t="shared" si="28"/>
        <v>0.85489999999999999</v>
      </c>
      <c r="D515" s="26">
        <f t="shared" si="29"/>
        <v>0.68840000000000001</v>
      </c>
      <c r="H515" s="11">
        <v>45260</v>
      </c>
      <c r="I515" s="9">
        <v>81.53</v>
      </c>
      <c r="J515" s="9">
        <v>85.49</v>
      </c>
      <c r="K515" s="9">
        <v>68.84</v>
      </c>
    </row>
    <row r="516" spans="1:11" x14ac:dyDescent="0.4">
      <c r="A516" s="16">
        <f t="shared" si="27"/>
        <v>45267</v>
      </c>
      <c r="B516" s="26">
        <f t="shared" si="30"/>
        <v>0.79400000000000004</v>
      </c>
      <c r="C516" s="26">
        <f t="shared" si="28"/>
        <v>0.85840000000000005</v>
      </c>
      <c r="D516" s="26">
        <f t="shared" si="29"/>
        <v>0.68680000000000008</v>
      </c>
      <c r="H516" s="11">
        <v>45267</v>
      </c>
      <c r="I516" s="9">
        <v>79.400000000000006</v>
      </c>
      <c r="J516" s="9">
        <v>85.84</v>
      </c>
      <c r="K516" s="9">
        <v>68.680000000000007</v>
      </c>
    </row>
    <row r="517" spans="1:11" x14ac:dyDescent="0.4">
      <c r="A517" s="16">
        <f t="shared" ref="A517:A580" si="31">H517</f>
        <v>45274</v>
      </c>
      <c r="B517" s="26">
        <f t="shared" si="30"/>
        <v>0.80449999999999999</v>
      </c>
      <c r="C517" s="26">
        <f t="shared" si="28"/>
        <v>0.85400000000000009</v>
      </c>
      <c r="D517" s="26">
        <f t="shared" si="29"/>
        <v>0.68079999999999996</v>
      </c>
      <c r="H517" s="11">
        <v>45274</v>
      </c>
      <c r="I517" s="9">
        <v>80.45</v>
      </c>
      <c r="J517" s="9">
        <v>85.4</v>
      </c>
      <c r="K517" s="9">
        <v>68.08</v>
      </c>
    </row>
    <row r="518" spans="1:11" x14ac:dyDescent="0.4">
      <c r="A518" s="16">
        <f t="shared" si="31"/>
        <v>45281</v>
      </c>
      <c r="B518" s="26">
        <f t="shared" si="30"/>
        <v>0.75269999999999992</v>
      </c>
      <c r="C518" s="26">
        <f t="shared" ref="C518:C581" si="32">IF(J518&lt;&gt;0,J518/100,C517)</f>
        <v>0.84499999999999997</v>
      </c>
      <c r="D518" s="26">
        <f t="shared" ref="D518:D581" si="33">IF(K518&lt;&gt;0,K518/100,D517)</f>
        <v>0.67700000000000005</v>
      </c>
      <c r="H518" s="11">
        <v>45281</v>
      </c>
      <c r="I518" s="9">
        <v>75.27</v>
      </c>
      <c r="J518" s="9">
        <v>84.5</v>
      </c>
      <c r="K518" s="9">
        <v>67.7</v>
      </c>
    </row>
    <row r="519" spans="1:11" x14ac:dyDescent="0.4">
      <c r="A519" s="16">
        <f t="shared" si="31"/>
        <v>45288</v>
      </c>
      <c r="B519" s="26">
        <f t="shared" si="30"/>
        <v>0.70950000000000002</v>
      </c>
      <c r="C519" s="26">
        <f t="shared" si="32"/>
        <v>0.84930000000000005</v>
      </c>
      <c r="D519" s="26">
        <f t="shared" si="33"/>
        <v>0.66900000000000004</v>
      </c>
      <c r="H519" s="11">
        <v>45288</v>
      </c>
      <c r="I519" s="9">
        <v>70.95</v>
      </c>
      <c r="J519" s="9">
        <v>84.93</v>
      </c>
      <c r="K519" s="9">
        <v>66.900000000000006</v>
      </c>
    </row>
    <row r="520" spans="1:11" x14ac:dyDescent="0.4">
      <c r="A520" s="16">
        <f t="shared" si="31"/>
        <v>45295</v>
      </c>
      <c r="B520" s="26">
        <f t="shared" si="30"/>
        <v>0.73089999999999999</v>
      </c>
      <c r="C520" s="26">
        <f t="shared" si="32"/>
        <v>0.84920000000000007</v>
      </c>
      <c r="D520" s="26">
        <f t="shared" si="33"/>
        <v>0.66159999999999997</v>
      </c>
      <c r="H520" s="11">
        <v>45295</v>
      </c>
      <c r="I520" s="9">
        <v>73.09</v>
      </c>
      <c r="J520" s="9">
        <v>84.92</v>
      </c>
      <c r="K520" s="9">
        <v>66.16</v>
      </c>
    </row>
    <row r="521" spans="1:11" x14ac:dyDescent="0.4">
      <c r="A521" s="16">
        <f t="shared" si="31"/>
        <v>45302</v>
      </c>
      <c r="B521" s="26">
        <f t="shared" si="30"/>
        <v>0.70440000000000003</v>
      </c>
      <c r="C521" s="26">
        <f t="shared" si="32"/>
        <v>0.85170000000000001</v>
      </c>
      <c r="D521" s="26">
        <f t="shared" si="33"/>
        <v>0.65510000000000002</v>
      </c>
      <c r="H521" s="11">
        <v>45302</v>
      </c>
      <c r="I521" s="9">
        <v>70.44</v>
      </c>
      <c r="J521" s="9">
        <v>85.17</v>
      </c>
      <c r="K521" s="9">
        <v>65.510000000000005</v>
      </c>
    </row>
    <row r="522" spans="1:11" x14ac:dyDescent="0.4">
      <c r="A522" s="16">
        <f t="shared" si="31"/>
        <v>45309</v>
      </c>
      <c r="B522" s="26">
        <f t="shared" si="30"/>
        <v>0.74140000000000006</v>
      </c>
      <c r="C522" s="26">
        <f t="shared" si="32"/>
        <v>0.85049999999999992</v>
      </c>
      <c r="D522" s="26">
        <f t="shared" si="33"/>
        <v>0.61840000000000006</v>
      </c>
      <c r="H522" s="11">
        <v>45309</v>
      </c>
      <c r="I522" s="9">
        <v>74.14</v>
      </c>
      <c r="J522" s="9">
        <v>85.05</v>
      </c>
      <c r="K522" s="9">
        <v>61.84</v>
      </c>
    </row>
    <row r="523" spans="1:11" x14ac:dyDescent="0.4">
      <c r="A523" s="16">
        <f t="shared" si="31"/>
        <v>45315</v>
      </c>
      <c r="B523" s="26">
        <f t="shared" si="30"/>
        <v>0.74140000000000006</v>
      </c>
      <c r="C523" s="26">
        <f t="shared" si="32"/>
        <v>0.85049999999999992</v>
      </c>
      <c r="D523" s="26">
        <f t="shared" si="33"/>
        <v>0.68720000000000003</v>
      </c>
      <c r="H523" s="11">
        <v>45315</v>
      </c>
      <c r="I523" s="9">
        <v>0</v>
      </c>
      <c r="J523" s="9">
        <v>0</v>
      </c>
      <c r="K523" s="9">
        <v>68.72</v>
      </c>
    </row>
    <row r="524" spans="1:11" x14ac:dyDescent="0.4">
      <c r="A524" s="16">
        <f t="shared" si="31"/>
        <v>45316</v>
      </c>
      <c r="B524" s="26">
        <f t="shared" si="30"/>
        <v>0.7853</v>
      </c>
      <c r="C524" s="26">
        <f t="shared" si="32"/>
        <v>0.83579999999999999</v>
      </c>
      <c r="D524" s="26">
        <f t="shared" si="33"/>
        <v>0.54689999999999994</v>
      </c>
      <c r="H524" s="11">
        <v>45316</v>
      </c>
      <c r="I524" s="9">
        <v>78.53</v>
      </c>
      <c r="J524" s="9">
        <v>83.58</v>
      </c>
      <c r="K524" s="9">
        <v>54.69</v>
      </c>
    </row>
    <row r="525" spans="1:11" x14ac:dyDescent="0.4">
      <c r="A525" s="16">
        <f t="shared" si="31"/>
        <v>45323</v>
      </c>
      <c r="B525" s="26">
        <f t="shared" si="30"/>
        <v>0.79480000000000006</v>
      </c>
      <c r="C525" s="26">
        <f t="shared" si="32"/>
        <v>0.78650000000000009</v>
      </c>
      <c r="D525" s="26">
        <f t="shared" si="33"/>
        <v>0.22870000000000001</v>
      </c>
      <c r="H525" s="11">
        <v>45323</v>
      </c>
      <c r="I525" s="9">
        <v>79.48</v>
      </c>
      <c r="J525" s="9">
        <v>78.650000000000006</v>
      </c>
      <c r="K525" s="9">
        <v>22.87</v>
      </c>
    </row>
    <row r="526" spans="1:11" x14ac:dyDescent="0.4">
      <c r="A526" s="16">
        <f t="shared" si="31"/>
        <v>45330</v>
      </c>
      <c r="B526" s="26">
        <f t="shared" si="30"/>
        <v>0.83279999999999998</v>
      </c>
      <c r="C526" s="26">
        <f t="shared" si="32"/>
        <v>0.76760000000000006</v>
      </c>
      <c r="D526" s="26">
        <f t="shared" si="33"/>
        <v>4.6799999999999994E-2</v>
      </c>
      <c r="H526" s="11">
        <v>45330</v>
      </c>
      <c r="I526" s="9">
        <v>83.28</v>
      </c>
      <c r="J526" s="9">
        <v>76.760000000000005</v>
      </c>
      <c r="K526" s="9">
        <v>4.68</v>
      </c>
    </row>
    <row r="527" spans="1:11" x14ac:dyDescent="0.4">
      <c r="A527" s="16">
        <f t="shared" si="31"/>
        <v>45344</v>
      </c>
      <c r="B527" s="26">
        <f t="shared" si="30"/>
        <v>0.86900000000000011</v>
      </c>
      <c r="C527" s="26">
        <f t="shared" si="32"/>
        <v>0.81120000000000003</v>
      </c>
      <c r="D527" s="26">
        <f t="shared" si="33"/>
        <v>0.36759999999999998</v>
      </c>
      <c r="H527" s="11">
        <v>45344</v>
      </c>
      <c r="I527" s="9">
        <v>86.9</v>
      </c>
      <c r="J527" s="9">
        <v>81.12</v>
      </c>
      <c r="K527" s="9">
        <v>36.76</v>
      </c>
    </row>
    <row r="528" spans="1:11" x14ac:dyDescent="0.4">
      <c r="A528" s="16">
        <f t="shared" si="31"/>
        <v>45351</v>
      </c>
      <c r="B528" s="26">
        <f t="shared" si="30"/>
        <v>0.84439999999999993</v>
      </c>
      <c r="C528" s="26">
        <f t="shared" si="32"/>
        <v>0.85709999999999997</v>
      </c>
      <c r="D528" s="26">
        <f t="shared" si="33"/>
        <v>0.56420000000000003</v>
      </c>
      <c r="H528" s="11">
        <v>45351</v>
      </c>
      <c r="I528" s="9">
        <v>84.44</v>
      </c>
      <c r="J528" s="9">
        <v>85.71</v>
      </c>
      <c r="K528" s="9">
        <v>56.42</v>
      </c>
    </row>
    <row r="529" spans="1:11" x14ac:dyDescent="0.4">
      <c r="A529" s="16">
        <f t="shared" si="31"/>
        <v>45358</v>
      </c>
      <c r="B529" s="26">
        <f t="shared" si="30"/>
        <v>0.83920000000000006</v>
      </c>
      <c r="C529" s="26">
        <f t="shared" si="32"/>
        <v>0.89069999999999994</v>
      </c>
      <c r="D529" s="26">
        <f t="shared" si="33"/>
        <v>0.65189999999999992</v>
      </c>
      <c r="H529" s="11">
        <v>45358</v>
      </c>
      <c r="I529" s="9">
        <v>83.92</v>
      </c>
      <c r="J529" s="9">
        <v>89.07</v>
      </c>
      <c r="K529" s="9">
        <v>65.19</v>
      </c>
    </row>
    <row r="530" spans="1:11" x14ac:dyDescent="0.4">
      <c r="A530" s="16">
        <f t="shared" si="31"/>
        <v>45365</v>
      </c>
      <c r="B530" s="26">
        <f t="shared" si="30"/>
        <v>0.85549999999999993</v>
      </c>
      <c r="C530" s="26">
        <f t="shared" si="32"/>
        <v>0.90379999999999994</v>
      </c>
      <c r="D530" s="26">
        <f t="shared" si="33"/>
        <v>0.70599999999999996</v>
      </c>
      <c r="H530" s="11">
        <v>45365</v>
      </c>
      <c r="I530" s="9">
        <v>85.55</v>
      </c>
      <c r="J530" s="9">
        <v>90.38</v>
      </c>
      <c r="K530" s="9">
        <v>70.599999999999994</v>
      </c>
    </row>
    <row r="531" spans="1:11" x14ac:dyDescent="0.4">
      <c r="A531" s="16">
        <f t="shared" si="31"/>
        <v>45372</v>
      </c>
      <c r="B531" s="26">
        <f t="shared" si="30"/>
        <v>0.8367</v>
      </c>
      <c r="C531" s="26">
        <f t="shared" si="32"/>
        <v>0.90540000000000009</v>
      </c>
      <c r="D531" s="26">
        <f t="shared" si="33"/>
        <v>0.71939999999999993</v>
      </c>
      <c r="H531" s="11">
        <v>45372</v>
      </c>
      <c r="I531" s="9">
        <v>83.67</v>
      </c>
      <c r="J531" s="9">
        <v>90.54</v>
      </c>
      <c r="K531" s="9">
        <v>71.94</v>
      </c>
    </row>
    <row r="532" spans="1:11" x14ac:dyDescent="0.4">
      <c r="A532" s="16">
        <f t="shared" si="31"/>
        <v>45379</v>
      </c>
      <c r="B532" s="26">
        <f t="shared" si="30"/>
        <v>0.84750000000000003</v>
      </c>
      <c r="C532" s="26">
        <f t="shared" si="32"/>
        <v>0.90150000000000008</v>
      </c>
      <c r="D532" s="26">
        <f t="shared" si="33"/>
        <v>0.72129999999999994</v>
      </c>
      <c r="H532" s="11">
        <v>45379</v>
      </c>
      <c r="I532" s="9">
        <v>84.75</v>
      </c>
      <c r="J532" s="9">
        <v>90.15</v>
      </c>
      <c r="K532" s="9">
        <v>72.13</v>
      </c>
    </row>
    <row r="533" spans="1:11" x14ac:dyDescent="0.4">
      <c r="A533" s="16">
        <f t="shared" si="31"/>
        <v>45386</v>
      </c>
      <c r="B533" s="26">
        <f t="shared" si="30"/>
        <v>0.85860000000000003</v>
      </c>
      <c r="C533" s="26">
        <f t="shared" si="32"/>
        <v>0.9043000000000001</v>
      </c>
      <c r="D533" s="26">
        <f t="shared" si="33"/>
        <v>0.72129999999999994</v>
      </c>
      <c r="H533" s="11">
        <v>45386</v>
      </c>
      <c r="I533" s="9">
        <v>85.86</v>
      </c>
      <c r="J533" s="9">
        <v>90.43</v>
      </c>
      <c r="K533" s="9">
        <v>0</v>
      </c>
    </row>
    <row r="534" spans="1:11" x14ac:dyDescent="0.4">
      <c r="A534" s="16">
        <f t="shared" si="31"/>
        <v>45389</v>
      </c>
      <c r="B534" s="26">
        <f t="shared" ref="B534:B597" si="34">IF(I534&lt;&gt;0,I534/100,B533)</f>
        <v>0.85860000000000003</v>
      </c>
      <c r="C534" s="26">
        <f t="shared" si="32"/>
        <v>0.9043000000000001</v>
      </c>
      <c r="D534" s="26">
        <f t="shared" si="33"/>
        <v>0.72489999999999999</v>
      </c>
      <c r="H534" s="11">
        <v>45389</v>
      </c>
      <c r="I534" s="9">
        <v>0</v>
      </c>
      <c r="J534" s="9">
        <v>0</v>
      </c>
      <c r="K534" s="9">
        <v>72.489999999999995</v>
      </c>
    </row>
    <row r="535" spans="1:11" x14ac:dyDescent="0.4">
      <c r="A535" s="16">
        <f t="shared" si="31"/>
        <v>45393</v>
      </c>
      <c r="B535" s="26">
        <f t="shared" si="34"/>
        <v>0.8479000000000001</v>
      </c>
      <c r="C535" s="26">
        <f t="shared" si="32"/>
        <v>0.9043000000000001</v>
      </c>
      <c r="D535" s="26">
        <f t="shared" si="33"/>
        <v>0.72489999999999999</v>
      </c>
      <c r="H535" s="11">
        <v>45393</v>
      </c>
      <c r="I535" s="9">
        <v>84.79</v>
      </c>
      <c r="J535" s="9">
        <v>90.43</v>
      </c>
      <c r="K535" s="9">
        <v>72.489999999999995</v>
      </c>
    </row>
    <row r="536" spans="1:11" x14ac:dyDescent="0.4">
      <c r="A536" s="16">
        <f t="shared" si="31"/>
        <v>45400</v>
      </c>
      <c r="B536" s="26">
        <f t="shared" si="34"/>
        <v>0.83389999999999997</v>
      </c>
      <c r="C536" s="26">
        <f t="shared" si="32"/>
        <v>0.90700000000000003</v>
      </c>
      <c r="D536" s="26">
        <f t="shared" si="33"/>
        <v>0.72489999999999999</v>
      </c>
      <c r="H536" s="11">
        <v>45400</v>
      </c>
      <c r="I536" s="9">
        <v>83.39</v>
      </c>
      <c r="J536" s="9">
        <v>90.7</v>
      </c>
      <c r="K536" s="9">
        <v>72.489999999999995</v>
      </c>
    </row>
    <row r="537" spans="1:11" x14ac:dyDescent="0.4">
      <c r="A537" s="16">
        <f t="shared" si="31"/>
        <v>45407</v>
      </c>
      <c r="B537" s="26">
        <f t="shared" si="34"/>
        <v>0.81700000000000006</v>
      </c>
      <c r="C537" s="26">
        <f t="shared" si="32"/>
        <v>0.90910000000000002</v>
      </c>
      <c r="D537" s="26">
        <f t="shared" si="33"/>
        <v>0.72349999999999992</v>
      </c>
      <c r="H537" s="11">
        <v>45407</v>
      </c>
      <c r="I537" s="9">
        <v>81.7</v>
      </c>
      <c r="J537" s="9">
        <v>90.91</v>
      </c>
      <c r="K537" s="9">
        <v>72.349999999999994</v>
      </c>
    </row>
    <row r="538" spans="1:11" x14ac:dyDescent="0.4">
      <c r="A538" s="16">
        <f t="shared" si="31"/>
        <v>45414</v>
      </c>
      <c r="B538" s="26">
        <f t="shared" si="34"/>
        <v>0.86349999999999993</v>
      </c>
      <c r="C538" s="26">
        <f t="shared" si="32"/>
        <v>0.90910000000000002</v>
      </c>
      <c r="D538" s="26">
        <f t="shared" si="33"/>
        <v>0.72349999999999992</v>
      </c>
      <c r="H538" s="11">
        <v>45414</v>
      </c>
      <c r="I538" s="9">
        <v>86.35</v>
      </c>
      <c r="J538" s="9">
        <v>0</v>
      </c>
      <c r="K538" s="9">
        <v>0</v>
      </c>
    </row>
    <row r="539" spans="1:11" x14ac:dyDescent="0.4">
      <c r="A539" s="16">
        <f t="shared" si="31"/>
        <v>45421</v>
      </c>
      <c r="B539" s="26">
        <f t="shared" si="34"/>
        <v>0.85519999999999996</v>
      </c>
      <c r="C539" s="26">
        <f t="shared" si="32"/>
        <v>0.89060000000000006</v>
      </c>
      <c r="D539" s="26">
        <f t="shared" si="33"/>
        <v>0.70709999999999995</v>
      </c>
      <c r="H539" s="11">
        <v>45421</v>
      </c>
      <c r="I539" s="9">
        <v>85.52</v>
      </c>
      <c r="J539" s="9">
        <v>89.06</v>
      </c>
      <c r="K539" s="9">
        <v>70.709999999999994</v>
      </c>
    </row>
    <row r="540" spans="1:11" x14ac:dyDescent="0.4">
      <c r="A540" s="16">
        <f t="shared" si="31"/>
        <v>45428</v>
      </c>
      <c r="B540" s="26">
        <f t="shared" si="34"/>
        <v>0.81230000000000002</v>
      </c>
      <c r="C540" s="26">
        <f t="shared" si="32"/>
        <v>0.86799999999999999</v>
      </c>
      <c r="D540" s="26">
        <f t="shared" si="33"/>
        <v>0.70709999999999995</v>
      </c>
      <c r="H540" s="11">
        <v>45428</v>
      </c>
      <c r="I540" s="9">
        <v>81.23</v>
      </c>
      <c r="J540" s="9">
        <v>86.8</v>
      </c>
      <c r="K540" s="9">
        <v>70.709999999999994</v>
      </c>
    </row>
    <row r="541" spans="1:11" x14ac:dyDescent="0.4">
      <c r="A541" s="16">
        <f t="shared" si="31"/>
        <v>45435</v>
      </c>
      <c r="B541" s="26">
        <f t="shared" si="34"/>
        <v>0.79849999999999999</v>
      </c>
      <c r="C541" s="26">
        <f t="shared" si="32"/>
        <v>0.86040000000000005</v>
      </c>
      <c r="D541" s="26">
        <f t="shared" si="33"/>
        <v>0.69629999999999992</v>
      </c>
      <c r="H541" s="11">
        <v>45435</v>
      </c>
      <c r="I541" s="9">
        <v>79.849999999999994</v>
      </c>
      <c r="J541" s="9">
        <v>86.04</v>
      </c>
      <c r="K541" s="9">
        <v>69.63</v>
      </c>
    </row>
    <row r="542" spans="1:11" x14ac:dyDescent="0.4">
      <c r="A542" s="16">
        <f t="shared" si="31"/>
        <v>45442</v>
      </c>
      <c r="B542" s="26">
        <f t="shared" si="34"/>
        <v>0.79569999999999996</v>
      </c>
      <c r="C542" s="26">
        <f t="shared" si="32"/>
        <v>0.86349999999999993</v>
      </c>
      <c r="D542" s="26">
        <f t="shared" si="33"/>
        <v>0.69510000000000005</v>
      </c>
      <c r="H542" s="11">
        <v>45442</v>
      </c>
      <c r="I542" s="9">
        <v>79.569999999999993</v>
      </c>
      <c r="J542" s="9">
        <v>86.35</v>
      </c>
      <c r="K542" s="9">
        <v>69.510000000000005</v>
      </c>
    </row>
    <row r="543" spans="1:11" x14ac:dyDescent="0.4">
      <c r="A543" s="16">
        <f t="shared" si="31"/>
        <v>45449</v>
      </c>
      <c r="B543" s="26">
        <f t="shared" si="34"/>
        <v>0.79620000000000002</v>
      </c>
      <c r="C543" s="26">
        <f t="shared" si="32"/>
        <v>0.86790000000000012</v>
      </c>
      <c r="D543" s="26">
        <f t="shared" si="33"/>
        <v>0.68220000000000003</v>
      </c>
      <c r="H543" s="11">
        <v>45449</v>
      </c>
      <c r="I543" s="9">
        <v>79.62</v>
      </c>
      <c r="J543" s="9">
        <v>86.79</v>
      </c>
      <c r="K543" s="9">
        <v>68.22</v>
      </c>
    </row>
    <row r="544" spans="1:11" x14ac:dyDescent="0.4">
      <c r="A544" s="16">
        <f t="shared" si="31"/>
        <v>45456</v>
      </c>
      <c r="B544" s="26">
        <f t="shared" si="34"/>
        <v>0.83079999999999998</v>
      </c>
      <c r="C544" s="26">
        <f t="shared" si="32"/>
        <v>0.86739999999999995</v>
      </c>
      <c r="D544" s="26">
        <f t="shared" si="33"/>
        <v>0.68079999999999996</v>
      </c>
      <c r="H544" s="11">
        <v>45456</v>
      </c>
      <c r="I544" s="9">
        <v>83.08</v>
      </c>
      <c r="J544" s="9">
        <v>86.74</v>
      </c>
      <c r="K544" s="9">
        <v>68.08</v>
      </c>
    </row>
    <row r="545" spans="1:11" x14ac:dyDescent="0.4">
      <c r="A545" s="16">
        <f t="shared" si="31"/>
        <v>45463</v>
      </c>
      <c r="B545" s="26">
        <f t="shared" si="34"/>
        <v>0.82620000000000005</v>
      </c>
      <c r="C545" s="26">
        <f t="shared" si="32"/>
        <v>0.86739999999999995</v>
      </c>
      <c r="D545" s="26">
        <f t="shared" si="33"/>
        <v>0.67519999999999991</v>
      </c>
      <c r="H545" s="11">
        <v>45463</v>
      </c>
      <c r="I545" s="9">
        <v>82.62</v>
      </c>
      <c r="J545" s="9">
        <v>86.74</v>
      </c>
      <c r="K545" s="9">
        <v>67.52</v>
      </c>
    </row>
    <row r="546" spans="1:11" x14ac:dyDescent="0.4">
      <c r="A546" s="16">
        <f t="shared" si="31"/>
        <v>45470</v>
      </c>
      <c r="B546" s="26">
        <f t="shared" si="34"/>
        <v>0.80059999999999998</v>
      </c>
      <c r="C546" s="26">
        <f t="shared" si="32"/>
        <v>0.86909999999999998</v>
      </c>
      <c r="D546" s="26">
        <f t="shared" si="33"/>
        <v>0.67449999999999999</v>
      </c>
      <c r="H546" s="11">
        <v>45470</v>
      </c>
      <c r="I546" s="9">
        <v>80.06</v>
      </c>
      <c r="J546" s="9">
        <v>86.91</v>
      </c>
      <c r="K546" s="9">
        <v>67.45</v>
      </c>
    </row>
    <row r="547" spans="1:11" x14ac:dyDescent="0.4">
      <c r="A547" s="16">
        <f t="shared" si="31"/>
        <v>45477</v>
      </c>
      <c r="B547" s="26">
        <f t="shared" si="34"/>
        <v>0.82620000000000005</v>
      </c>
      <c r="C547" s="26">
        <f t="shared" si="32"/>
        <v>0.87730000000000008</v>
      </c>
      <c r="D547" s="26">
        <f t="shared" si="33"/>
        <v>0.66870000000000007</v>
      </c>
      <c r="H547" s="11">
        <v>45477</v>
      </c>
      <c r="I547" s="9">
        <v>82.62</v>
      </c>
      <c r="J547" s="9">
        <v>87.73</v>
      </c>
      <c r="K547" s="9">
        <v>66.87</v>
      </c>
    </row>
    <row r="548" spans="1:11" x14ac:dyDescent="0.4">
      <c r="A548" s="16">
        <f t="shared" si="31"/>
        <v>45484</v>
      </c>
      <c r="B548" s="26">
        <f t="shared" si="34"/>
        <v>0.81989999999999996</v>
      </c>
      <c r="C548" s="26">
        <f t="shared" si="32"/>
        <v>0.87609999999999999</v>
      </c>
      <c r="D548" s="26">
        <f t="shared" si="33"/>
        <v>0.65159999999999996</v>
      </c>
      <c r="H548" s="11">
        <v>45484</v>
      </c>
      <c r="I548" s="9">
        <v>81.99</v>
      </c>
      <c r="J548" s="9">
        <v>87.61</v>
      </c>
      <c r="K548" s="9">
        <v>65.16</v>
      </c>
    </row>
    <row r="549" spans="1:11" x14ac:dyDescent="0.4">
      <c r="A549" s="16">
        <f t="shared" si="31"/>
        <v>45491</v>
      </c>
      <c r="B549" s="26">
        <f t="shared" si="34"/>
        <v>0.82909999999999995</v>
      </c>
      <c r="C549" s="26">
        <f t="shared" si="32"/>
        <v>0.86900000000000011</v>
      </c>
      <c r="D549" s="26">
        <f t="shared" si="33"/>
        <v>0.64190000000000003</v>
      </c>
      <c r="H549" s="11">
        <v>45491</v>
      </c>
      <c r="I549" s="9">
        <v>82.91</v>
      </c>
      <c r="J549" s="9">
        <v>86.9</v>
      </c>
      <c r="K549" s="9">
        <v>64.19</v>
      </c>
    </row>
    <row r="550" spans="1:11" x14ac:dyDescent="0.4">
      <c r="A550" s="16">
        <f t="shared" si="31"/>
        <v>45498</v>
      </c>
      <c r="B550" s="26">
        <f t="shared" si="34"/>
        <v>0.82489999999999997</v>
      </c>
      <c r="C550" s="26">
        <f t="shared" si="32"/>
        <v>0.86769999999999992</v>
      </c>
      <c r="D550" s="26">
        <f t="shared" si="33"/>
        <v>0.63790000000000002</v>
      </c>
      <c r="H550" s="11">
        <v>45498</v>
      </c>
      <c r="I550" s="9">
        <v>82.49</v>
      </c>
      <c r="J550" s="9">
        <v>86.77</v>
      </c>
      <c r="K550" s="9">
        <v>63.79</v>
      </c>
    </row>
    <row r="551" spans="1:11" x14ac:dyDescent="0.4">
      <c r="A551" s="16">
        <f t="shared" si="31"/>
        <v>45504</v>
      </c>
      <c r="B551" s="26">
        <f t="shared" si="34"/>
        <v>0.82489999999999997</v>
      </c>
      <c r="C551" s="26">
        <f t="shared" si="32"/>
        <v>0.86769999999999992</v>
      </c>
      <c r="D551" s="26">
        <f t="shared" si="33"/>
        <v>0.63280000000000003</v>
      </c>
      <c r="H551" s="11">
        <v>45504</v>
      </c>
      <c r="I551" s="9">
        <v>0</v>
      </c>
      <c r="J551" s="9">
        <v>0</v>
      </c>
      <c r="K551" s="9">
        <v>63.28</v>
      </c>
    </row>
    <row r="552" spans="1:11" x14ac:dyDescent="0.4">
      <c r="A552" s="16">
        <f t="shared" si="31"/>
        <v>45505</v>
      </c>
      <c r="B552" s="26">
        <f t="shared" si="34"/>
        <v>0.79799999999999993</v>
      </c>
      <c r="C552" s="26">
        <f t="shared" si="32"/>
        <v>0.88419999999999999</v>
      </c>
      <c r="D552" s="26">
        <f t="shared" si="33"/>
        <v>0.63280000000000003</v>
      </c>
      <c r="H552" s="11">
        <v>45505</v>
      </c>
      <c r="I552" s="9">
        <v>79.8</v>
      </c>
      <c r="J552" s="9">
        <v>88.42</v>
      </c>
      <c r="K552" s="9">
        <v>0</v>
      </c>
    </row>
    <row r="553" spans="1:11" x14ac:dyDescent="0.4">
      <c r="A553" s="16">
        <f t="shared" si="31"/>
        <v>45512</v>
      </c>
      <c r="B553" s="26">
        <f t="shared" si="34"/>
        <v>0.79319999999999991</v>
      </c>
      <c r="C553" s="26">
        <f t="shared" si="32"/>
        <v>0.88290000000000002</v>
      </c>
      <c r="D553" s="26">
        <f t="shared" si="33"/>
        <v>0.58950000000000002</v>
      </c>
      <c r="H553" s="11">
        <v>45512</v>
      </c>
      <c r="I553" s="9">
        <v>79.319999999999993</v>
      </c>
      <c r="J553" s="9">
        <v>88.29</v>
      </c>
      <c r="K553" s="9">
        <v>58.95</v>
      </c>
    </row>
    <row r="554" spans="1:11" x14ac:dyDescent="0.4">
      <c r="A554" s="16">
        <f t="shared" si="31"/>
        <v>45519</v>
      </c>
      <c r="B554" s="26">
        <f t="shared" si="34"/>
        <v>0.77129999999999999</v>
      </c>
      <c r="C554" s="26">
        <f t="shared" si="32"/>
        <v>0.88290000000000002</v>
      </c>
      <c r="D554" s="26">
        <f t="shared" si="33"/>
        <v>0.60850000000000004</v>
      </c>
      <c r="H554" s="11">
        <v>45519</v>
      </c>
      <c r="I554" s="9">
        <v>77.13</v>
      </c>
      <c r="J554" s="9">
        <v>88.29</v>
      </c>
      <c r="K554" s="9">
        <v>60.85</v>
      </c>
    </row>
    <row r="555" spans="1:11" x14ac:dyDescent="0.4">
      <c r="A555" s="16">
        <f t="shared" si="31"/>
        <v>45526</v>
      </c>
      <c r="B555" s="26">
        <f t="shared" si="34"/>
        <v>0.76950000000000007</v>
      </c>
      <c r="C555" s="26">
        <f t="shared" si="32"/>
        <v>0.8831</v>
      </c>
      <c r="D555" s="26">
        <f t="shared" si="33"/>
        <v>0.62740000000000007</v>
      </c>
      <c r="H555" s="11">
        <v>45526</v>
      </c>
      <c r="I555" s="9">
        <v>76.95</v>
      </c>
      <c r="J555" s="9">
        <v>88.31</v>
      </c>
      <c r="K555" s="9">
        <v>62.74</v>
      </c>
    </row>
    <row r="556" spans="1:11" x14ac:dyDescent="0.4">
      <c r="A556" s="16">
        <f t="shared" si="31"/>
        <v>45533</v>
      </c>
      <c r="B556" s="26">
        <f t="shared" si="34"/>
        <v>0.77560000000000007</v>
      </c>
      <c r="C556" s="26">
        <f t="shared" si="32"/>
        <v>0.88580000000000003</v>
      </c>
      <c r="D556" s="26">
        <f t="shared" si="33"/>
        <v>0.65370000000000006</v>
      </c>
      <c r="H556" s="11">
        <v>45533</v>
      </c>
      <c r="I556" s="9">
        <v>77.56</v>
      </c>
      <c r="J556" s="9">
        <v>88.58</v>
      </c>
      <c r="K556" s="9">
        <v>65.37</v>
      </c>
    </row>
    <row r="557" spans="1:11" x14ac:dyDescent="0.4">
      <c r="A557" s="16">
        <f t="shared" si="31"/>
        <v>45540</v>
      </c>
      <c r="B557" s="26">
        <f t="shared" si="34"/>
        <v>0.82</v>
      </c>
      <c r="C557" s="26">
        <f t="shared" si="32"/>
        <v>0.87930000000000008</v>
      </c>
      <c r="D557" s="26">
        <f t="shared" si="33"/>
        <v>0.65749999999999997</v>
      </c>
      <c r="H557" s="11">
        <v>45540</v>
      </c>
      <c r="I557" s="9">
        <v>82</v>
      </c>
      <c r="J557" s="9">
        <v>87.93</v>
      </c>
      <c r="K557" s="9">
        <v>65.75</v>
      </c>
    </row>
    <row r="558" spans="1:11" x14ac:dyDescent="0.4">
      <c r="A558" s="16">
        <f t="shared" si="31"/>
        <v>45547</v>
      </c>
      <c r="B558" s="26">
        <f t="shared" si="34"/>
        <v>0.81779999999999997</v>
      </c>
      <c r="C558" s="26">
        <f t="shared" si="32"/>
        <v>0.88040000000000007</v>
      </c>
      <c r="D558" s="26">
        <f t="shared" si="33"/>
        <v>0.65749999999999997</v>
      </c>
      <c r="H558" s="11">
        <v>45547</v>
      </c>
      <c r="I558" s="9">
        <v>81.78</v>
      </c>
      <c r="J558" s="9">
        <v>88.04</v>
      </c>
      <c r="K558" s="9">
        <v>65.75</v>
      </c>
    </row>
    <row r="559" spans="1:11" x14ac:dyDescent="0.4">
      <c r="A559" s="16">
        <f t="shared" si="31"/>
        <v>45554</v>
      </c>
      <c r="B559" s="26">
        <f t="shared" si="34"/>
        <v>0.85199999999999998</v>
      </c>
      <c r="C559" s="26">
        <f t="shared" si="32"/>
        <v>0.88919999999999999</v>
      </c>
      <c r="D559" s="26">
        <f t="shared" si="33"/>
        <v>0.66180000000000005</v>
      </c>
      <c r="H559" s="11">
        <v>45554</v>
      </c>
      <c r="I559" s="9">
        <v>85.2</v>
      </c>
      <c r="J559" s="9">
        <v>88.92</v>
      </c>
      <c r="K559" s="9">
        <v>66.180000000000007</v>
      </c>
    </row>
    <row r="560" spans="1:11" x14ac:dyDescent="0.4">
      <c r="A560" s="16">
        <f t="shared" si="31"/>
        <v>45561</v>
      </c>
      <c r="B560" s="26">
        <f t="shared" si="34"/>
        <v>0.86329999999999996</v>
      </c>
      <c r="C560" s="26">
        <f t="shared" si="32"/>
        <v>0.89319999999999988</v>
      </c>
      <c r="D560" s="26">
        <f t="shared" si="33"/>
        <v>0.66180000000000005</v>
      </c>
      <c r="H560" s="11">
        <v>45561</v>
      </c>
      <c r="I560" s="9">
        <v>86.33</v>
      </c>
      <c r="J560" s="9">
        <v>89.32</v>
      </c>
      <c r="K560" s="9">
        <v>66.180000000000007</v>
      </c>
    </row>
    <row r="561" spans="1:11" x14ac:dyDescent="0.4">
      <c r="A561" s="16">
        <f t="shared" si="31"/>
        <v>45575</v>
      </c>
      <c r="B561" s="26">
        <f t="shared" si="34"/>
        <v>0.86299999999999999</v>
      </c>
      <c r="C561" s="26">
        <f t="shared" si="32"/>
        <v>0.89319999999999988</v>
      </c>
      <c r="D561" s="26">
        <f t="shared" si="33"/>
        <v>0.68530000000000002</v>
      </c>
      <c r="H561" s="11">
        <v>45575</v>
      </c>
      <c r="I561" s="9">
        <v>86.3</v>
      </c>
      <c r="J561" s="9">
        <v>89.32</v>
      </c>
      <c r="K561" s="9">
        <v>68.53</v>
      </c>
    </row>
    <row r="562" spans="1:11" x14ac:dyDescent="0.4">
      <c r="A562" s="16">
        <f t="shared" si="31"/>
        <v>45582</v>
      </c>
      <c r="B562" s="26">
        <f t="shared" si="34"/>
        <v>0.84549999999999992</v>
      </c>
      <c r="C562" s="26">
        <f t="shared" si="32"/>
        <v>0.89319999999999988</v>
      </c>
      <c r="D562" s="26">
        <f t="shared" si="33"/>
        <v>0.68720000000000003</v>
      </c>
      <c r="H562" s="11">
        <v>45582</v>
      </c>
      <c r="I562" s="9">
        <v>84.55</v>
      </c>
      <c r="J562" s="9">
        <v>89.32</v>
      </c>
      <c r="K562" s="9">
        <v>68.72</v>
      </c>
    </row>
    <row r="563" spans="1:11" x14ac:dyDescent="0.4">
      <c r="A563" s="16">
        <f t="shared" si="31"/>
        <v>45589</v>
      </c>
      <c r="B563" s="26">
        <f t="shared" si="34"/>
        <v>0.85219999999999996</v>
      </c>
      <c r="C563" s="26">
        <f t="shared" si="32"/>
        <v>0.89319999999999988</v>
      </c>
      <c r="D563" s="26">
        <f t="shared" si="33"/>
        <v>0.68720000000000003</v>
      </c>
      <c r="H563" s="11">
        <v>45589</v>
      </c>
      <c r="I563" s="9">
        <v>85.22</v>
      </c>
      <c r="J563" s="9">
        <v>89.32</v>
      </c>
      <c r="K563" s="9">
        <v>68.72</v>
      </c>
    </row>
    <row r="564" spans="1:11" x14ac:dyDescent="0.4">
      <c r="A564" s="16">
        <f t="shared" si="31"/>
        <v>45596</v>
      </c>
      <c r="B564" s="26">
        <f t="shared" si="34"/>
        <v>0.84439999999999993</v>
      </c>
      <c r="C564" s="26">
        <f t="shared" si="32"/>
        <v>0.89450000000000007</v>
      </c>
      <c r="D564" s="26">
        <f t="shared" si="33"/>
        <v>0.68720000000000003</v>
      </c>
      <c r="H564" s="11">
        <v>45596</v>
      </c>
      <c r="I564" s="9">
        <v>84.44</v>
      </c>
      <c r="J564" s="9">
        <v>89.45</v>
      </c>
      <c r="K564" s="9">
        <v>68.72</v>
      </c>
    </row>
    <row r="565" spans="1:11" x14ac:dyDescent="0.4">
      <c r="A565" s="16">
        <f t="shared" si="31"/>
        <v>45603</v>
      </c>
      <c r="B565" s="26">
        <f t="shared" si="34"/>
        <v>0.83239999999999992</v>
      </c>
      <c r="C565" s="26">
        <f t="shared" si="32"/>
        <v>0.89610000000000001</v>
      </c>
      <c r="D565" s="26">
        <f t="shared" si="33"/>
        <v>0.69040000000000001</v>
      </c>
      <c r="H565" s="11">
        <v>45603</v>
      </c>
      <c r="I565" s="9">
        <v>83.24</v>
      </c>
      <c r="J565" s="9">
        <v>89.61</v>
      </c>
      <c r="K565" s="9">
        <v>69.040000000000006</v>
      </c>
    </row>
    <row r="566" spans="1:11" x14ac:dyDescent="0.4">
      <c r="A566" s="16">
        <f t="shared" si="31"/>
        <v>45610</v>
      </c>
      <c r="B566" s="26">
        <f t="shared" si="34"/>
        <v>0.82109999999999994</v>
      </c>
      <c r="C566" s="26">
        <f t="shared" si="32"/>
        <v>0.89080000000000004</v>
      </c>
      <c r="D566" s="26">
        <f t="shared" si="33"/>
        <v>0.69040000000000001</v>
      </c>
      <c r="H566" s="11">
        <v>45610</v>
      </c>
      <c r="I566" s="9">
        <v>82.11</v>
      </c>
      <c r="J566" s="9">
        <v>89.08</v>
      </c>
      <c r="K566" s="9">
        <v>69.040000000000006</v>
      </c>
    </row>
    <row r="567" spans="1:11" x14ac:dyDescent="0.4">
      <c r="A567" s="16">
        <f t="shared" si="31"/>
        <v>45617</v>
      </c>
      <c r="B567" s="26">
        <f t="shared" si="34"/>
        <v>0.81730000000000003</v>
      </c>
      <c r="C567" s="26">
        <f t="shared" si="32"/>
        <v>0.88870000000000005</v>
      </c>
      <c r="D567" s="26">
        <f t="shared" si="33"/>
        <v>0.68530000000000002</v>
      </c>
      <c r="H567" s="11">
        <v>45617</v>
      </c>
      <c r="I567" s="9">
        <v>81.73</v>
      </c>
      <c r="J567" s="9">
        <v>88.87</v>
      </c>
      <c r="K567" s="9">
        <v>68.53</v>
      </c>
    </row>
    <row r="568" spans="1:11" x14ac:dyDescent="0.4">
      <c r="A568" s="16">
        <f t="shared" si="31"/>
        <v>45624</v>
      </c>
      <c r="B568" s="26">
        <f t="shared" si="34"/>
        <v>0.83569999999999989</v>
      </c>
      <c r="C568" s="26">
        <f t="shared" si="32"/>
        <v>0.88870000000000005</v>
      </c>
      <c r="D568" s="26">
        <f t="shared" si="33"/>
        <v>0.66790000000000005</v>
      </c>
      <c r="H568" s="11">
        <v>45624</v>
      </c>
      <c r="I568" s="9">
        <v>83.57</v>
      </c>
      <c r="J568" s="9">
        <v>88.87</v>
      </c>
      <c r="K568" s="9">
        <v>66.790000000000006</v>
      </c>
    </row>
    <row r="569" spans="1:11" x14ac:dyDescent="0.4">
      <c r="A569" s="16">
        <f t="shared" si="31"/>
        <v>45631</v>
      </c>
      <c r="B569" s="26">
        <f t="shared" si="34"/>
        <v>0.82310000000000005</v>
      </c>
      <c r="C569" s="26">
        <f t="shared" si="32"/>
        <v>0.89249999999999996</v>
      </c>
      <c r="D569" s="26">
        <f t="shared" si="33"/>
        <v>0.65689999999999993</v>
      </c>
      <c r="H569" s="11">
        <v>45631</v>
      </c>
      <c r="I569" s="9">
        <v>82.31</v>
      </c>
      <c r="J569" s="9">
        <v>89.25</v>
      </c>
      <c r="K569" s="9">
        <v>65.69</v>
      </c>
    </row>
    <row r="570" spans="1:11" x14ac:dyDescent="0.4">
      <c r="A570" s="16">
        <f t="shared" si="31"/>
        <v>45638</v>
      </c>
      <c r="B570" s="26">
        <f t="shared" si="34"/>
        <v>0.82389999999999997</v>
      </c>
      <c r="C570" s="26">
        <f t="shared" si="32"/>
        <v>0.89069999999999994</v>
      </c>
      <c r="D570" s="26">
        <f t="shared" si="33"/>
        <v>0.65549999999999997</v>
      </c>
      <c r="H570" s="11">
        <v>45638</v>
      </c>
      <c r="I570" s="9">
        <v>82.39</v>
      </c>
      <c r="J570" s="9">
        <v>89.07</v>
      </c>
      <c r="K570" s="9">
        <v>65.55</v>
      </c>
    </row>
    <row r="571" spans="1:11" x14ac:dyDescent="0.4">
      <c r="A571" s="16">
        <f t="shared" si="31"/>
        <v>45645</v>
      </c>
      <c r="B571" s="26">
        <f t="shared" si="34"/>
        <v>0.80180000000000007</v>
      </c>
      <c r="C571" s="26">
        <f t="shared" si="32"/>
        <v>0.89690000000000003</v>
      </c>
      <c r="D571" s="26">
        <f t="shared" si="33"/>
        <v>0.6411</v>
      </c>
      <c r="H571" s="11">
        <v>45645</v>
      </c>
      <c r="I571" s="9">
        <v>80.180000000000007</v>
      </c>
      <c r="J571" s="9">
        <v>89.69</v>
      </c>
      <c r="K571" s="9">
        <v>64.11</v>
      </c>
    </row>
    <row r="572" spans="1:11" x14ac:dyDescent="0.4">
      <c r="A572" s="16">
        <f t="shared" si="31"/>
        <v>45652</v>
      </c>
      <c r="B572" s="26">
        <f t="shared" si="34"/>
        <v>0.77670000000000006</v>
      </c>
      <c r="C572" s="26">
        <f t="shared" si="32"/>
        <v>0.88730000000000009</v>
      </c>
      <c r="D572" s="26">
        <f t="shared" si="33"/>
        <v>0.62729999999999997</v>
      </c>
      <c r="H572" s="11">
        <v>45652</v>
      </c>
      <c r="I572" s="9">
        <v>77.67</v>
      </c>
      <c r="J572" s="9">
        <v>88.73</v>
      </c>
      <c r="K572" s="9">
        <v>62.73</v>
      </c>
    </row>
    <row r="573" spans="1:11" x14ac:dyDescent="0.4">
      <c r="A573" s="16">
        <f t="shared" si="31"/>
        <v>45659</v>
      </c>
      <c r="B573" s="26">
        <f t="shared" si="34"/>
        <v>0.78989999999999994</v>
      </c>
      <c r="C573" s="26">
        <f t="shared" si="32"/>
        <v>0.88239999999999996</v>
      </c>
      <c r="D573" s="26">
        <f t="shared" si="33"/>
        <v>0.55430000000000001</v>
      </c>
      <c r="H573" s="11">
        <v>45659</v>
      </c>
      <c r="I573" s="9">
        <v>78.989999999999995</v>
      </c>
      <c r="J573" s="9">
        <v>88.24</v>
      </c>
      <c r="K573" s="9">
        <v>55.43</v>
      </c>
    </row>
    <row r="574" spans="1:11" x14ac:dyDescent="0.4">
      <c r="A574" s="16">
        <f t="shared" si="31"/>
        <v>45666</v>
      </c>
      <c r="B574" s="26">
        <f t="shared" si="34"/>
        <v>0.78639999999999999</v>
      </c>
      <c r="C574" s="26">
        <f t="shared" si="32"/>
        <v>0.85670000000000002</v>
      </c>
      <c r="D574" s="26">
        <f t="shared" si="33"/>
        <v>0.51270000000000004</v>
      </c>
      <c r="H574" s="11">
        <v>45666</v>
      </c>
      <c r="I574" s="9">
        <v>78.64</v>
      </c>
      <c r="J574" s="9">
        <v>85.67</v>
      </c>
      <c r="K574" s="9">
        <v>51.27</v>
      </c>
    </row>
    <row r="575" spans="1:11" x14ac:dyDescent="0.4">
      <c r="A575" s="16">
        <f t="shared" si="31"/>
        <v>45673</v>
      </c>
      <c r="B575" s="26">
        <f t="shared" si="34"/>
        <v>0.81059999999999999</v>
      </c>
      <c r="C575" s="26">
        <f t="shared" si="32"/>
        <v>0.85670000000000002</v>
      </c>
      <c r="D575" s="26">
        <f t="shared" si="33"/>
        <v>0.42460000000000003</v>
      </c>
      <c r="H575" s="11">
        <v>45673</v>
      </c>
      <c r="I575" s="9">
        <v>81.06</v>
      </c>
      <c r="J575" s="9">
        <v>85.67</v>
      </c>
      <c r="K575" s="9">
        <v>42.46</v>
      </c>
    </row>
    <row r="576" spans="1:11" x14ac:dyDescent="0.4">
      <c r="A576" s="16">
        <f t="shared" si="31"/>
        <v>45680</v>
      </c>
      <c r="B576" s="26">
        <f t="shared" si="34"/>
        <v>0.8345999999999999</v>
      </c>
      <c r="C576" s="26">
        <f t="shared" si="32"/>
        <v>0.80430000000000001</v>
      </c>
      <c r="D576" s="26">
        <f t="shared" si="33"/>
        <v>9.2300000000000007E-2</v>
      </c>
      <c r="H576" s="11">
        <v>45680</v>
      </c>
      <c r="I576" s="9">
        <v>83.46</v>
      </c>
      <c r="J576" s="9">
        <v>80.430000000000007</v>
      </c>
      <c r="K576" s="9">
        <v>9.23</v>
      </c>
    </row>
    <row r="577" spans="1:11" x14ac:dyDescent="0.4">
      <c r="A577" s="16">
        <f t="shared" si="31"/>
        <v>45694</v>
      </c>
      <c r="B577" s="26">
        <f t="shared" si="34"/>
        <v>0.87809999999999999</v>
      </c>
      <c r="C577" s="26">
        <f t="shared" si="32"/>
        <v>0.80290000000000006</v>
      </c>
      <c r="D577" s="26">
        <f t="shared" si="33"/>
        <v>0.1862</v>
      </c>
      <c r="H577" s="11">
        <v>45694</v>
      </c>
      <c r="I577" s="9">
        <v>87.81</v>
      </c>
      <c r="J577" s="9">
        <v>80.290000000000006</v>
      </c>
      <c r="K577" s="9">
        <v>18.62</v>
      </c>
    </row>
    <row r="578" spans="1:11" x14ac:dyDescent="0.4">
      <c r="A578" s="16">
        <f t="shared" si="31"/>
        <v>45701</v>
      </c>
      <c r="B578" s="26">
        <f t="shared" si="34"/>
        <v>0.87190000000000001</v>
      </c>
      <c r="C578" s="26">
        <f t="shared" si="32"/>
        <v>0.86879999999999991</v>
      </c>
      <c r="D578" s="26">
        <f t="shared" si="33"/>
        <v>0.34429999999999999</v>
      </c>
      <c r="H578" s="11">
        <v>45701</v>
      </c>
      <c r="I578" s="9">
        <v>87.19</v>
      </c>
      <c r="J578" s="9">
        <v>86.88</v>
      </c>
      <c r="K578" s="9">
        <v>34.43</v>
      </c>
    </row>
    <row r="579" spans="1:11" x14ac:dyDescent="0.4">
      <c r="A579" s="16">
        <f t="shared" si="31"/>
        <v>45708</v>
      </c>
      <c r="B579" s="26">
        <f t="shared" si="34"/>
        <v>0.86769999999999992</v>
      </c>
      <c r="C579" s="26">
        <f t="shared" si="32"/>
        <v>0.90349999999999997</v>
      </c>
      <c r="D579" s="26">
        <f t="shared" si="33"/>
        <v>0.34429999999999999</v>
      </c>
      <c r="H579" s="11">
        <v>45708</v>
      </c>
      <c r="I579" s="9">
        <v>86.77</v>
      </c>
      <c r="J579" s="9">
        <v>90.35</v>
      </c>
      <c r="K579" s="9">
        <v>0</v>
      </c>
    </row>
    <row r="580" spans="1:11" x14ac:dyDescent="0.4">
      <c r="A580" s="16">
        <f t="shared" si="31"/>
        <v>45715</v>
      </c>
      <c r="B580" s="26">
        <f t="shared" si="34"/>
        <v>0.86640000000000006</v>
      </c>
      <c r="C580" s="26">
        <f t="shared" si="32"/>
        <v>0.91489999999999994</v>
      </c>
      <c r="D580" s="26">
        <f t="shared" si="33"/>
        <v>0.57879999999999998</v>
      </c>
      <c r="H580" s="11">
        <v>45715</v>
      </c>
      <c r="I580" s="9">
        <v>86.64</v>
      </c>
      <c r="J580" s="9">
        <v>91.49</v>
      </c>
      <c r="K580" s="9">
        <v>57.88</v>
      </c>
    </row>
    <row r="581" spans="1:11" x14ac:dyDescent="0.4">
      <c r="A581" s="16">
        <f t="shared" ref="A581:A642" si="35">H581</f>
        <v>45722</v>
      </c>
      <c r="B581" s="26">
        <f t="shared" si="34"/>
        <v>0.89029999999999998</v>
      </c>
      <c r="C581" s="26">
        <f t="shared" si="32"/>
        <v>0.92769999999999997</v>
      </c>
      <c r="D581" s="26">
        <f t="shared" si="33"/>
        <v>0.59989999999999999</v>
      </c>
      <c r="H581" s="11">
        <v>45722</v>
      </c>
      <c r="I581" s="9">
        <v>89.03</v>
      </c>
      <c r="J581" s="9">
        <v>92.77</v>
      </c>
      <c r="K581" s="9">
        <v>59.99</v>
      </c>
    </row>
    <row r="582" spans="1:11" x14ac:dyDescent="0.4">
      <c r="A582" s="16">
        <f t="shared" si="35"/>
        <v>45729</v>
      </c>
      <c r="B582" s="26">
        <f t="shared" si="34"/>
        <v>0.87780000000000002</v>
      </c>
      <c r="C582" s="26">
        <f t="shared" ref="C582:C645" si="36">IF(J582&lt;&gt;0,J582/100,C581)</f>
        <v>0.94099999999999995</v>
      </c>
      <c r="D582" s="26">
        <f t="shared" ref="D582:D645" si="37">IF(K582&lt;&gt;0,K582/100,D581)</f>
        <v>0.59989999999999999</v>
      </c>
      <c r="H582" s="11">
        <v>45729</v>
      </c>
      <c r="I582" s="9">
        <v>87.78</v>
      </c>
      <c r="J582" s="9">
        <v>94.1</v>
      </c>
      <c r="K582" s="9">
        <v>59.99</v>
      </c>
    </row>
    <row r="583" spans="1:11" x14ac:dyDescent="0.4">
      <c r="A583" s="16">
        <f t="shared" si="35"/>
        <v>45736</v>
      </c>
      <c r="B583" s="26">
        <f t="shared" si="34"/>
        <v>0.87049999999999994</v>
      </c>
      <c r="C583" s="26">
        <f t="shared" si="36"/>
        <v>0.95499999999999996</v>
      </c>
      <c r="D583" s="26">
        <f t="shared" si="37"/>
        <v>0.62639999999999996</v>
      </c>
      <c r="H583" s="11">
        <v>45736</v>
      </c>
      <c r="I583" s="9">
        <v>87.05</v>
      </c>
      <c r="J583" s="9">
        <v>95.5</v>
      </c>
      <c r="K583" s="9">
        <v>62.64</v>
      </c>
    </row>
    <row r="584" spans="1:11" x14ac:dyDescent="0.4">
      <c r="A584" s="16">
        <f t="shared" si="35"/>
        <v>45743</v>
      </c>
      <c r="B584" s="26">
        <f t="shared" si="34"/>
        <v>0.86230000000000007</v>
      </c>
      <c r="C584" s="26">
        <f t="shared" si="36"/>
        <v>0.95499999999999996</v>
      </c>
      <c r="D584" s="26">
        <f t="shared" si="37"/>
        <v>0.63600000000000001</v>
      </c>
      <c r="H584" s="11">
        <v>45743</v>
      </c>
      <c r="I584" s="9">
        <v>86.23</v>
      </c>
      <c r="J584" s="9">
        <v>95.5</v>
      </c>
      <c r="K584" s="9">
        <v>63.6</v>
      </c>
    </row>
    <row r="585" spans="1:11" x14ac:dyDescent="0.4">
      <c r="A585" s="16">
        <f t="shared" si="35"/>
        <v>45750</v>
      </c>
      <c r="B585" s="26">
        <f t="shared" si="34"/>
        <v>0.8589</v>
      </c>
      <c r="C585" s="26">
        <f t="shared" si="36"/>
        <v>0.95499999999999996</v>
      </c>
      <c r="D585" s="26">
        <f t="shared" si="37"/>
        <v>0.62480000000000002</v>
      </c>
      <c r="H585" s="11">
        <v>45750</v>
      </c>
      <c r="I585" s="9">
        <v>85.89</v>
      </c>
      <c r="J585" s="9">
        <v>95.5</v>
      </c>
      <c r="K585" s="9">
        <v>62.48</v>
      </c>
    </row>
    <row r="586" spans="1:11" x14ac:dyDescent="0.4">
      <c r="A586" s="16">
        <f t="shared" si="35"/>
        <v>45757</v>
      </c>
      <c r="B586" s="26">
        <f t="shared" si="34"/>
        <v>0.8640000000000001</v>
      </c>
      <c r="C586" s="26">
        <f t="shared" si="36"/>
        <v>0.95299999999999996</v>
      </c>
      <c r="D586" s="26">
        <f t="shared" si="37"/>
        <v>0.58250000000000002</v>
      </c>
      <c r="H586" s="11">
        <v>45757</v>
      </c>
      <c r="I586" s="9">
        <v>86.4</v>
      </c>
      <c r="J586" s="9">
        <v>95.3</v>
      </c>
      <c r="K586" s="9">
        <v>58.25</v>
      </c>
    </row>
    <row r="587" spans="1:11" x14ac:dyDescent="0.4">
      <c r="A587" s="16">
        <f t="shared" si="35"/>
        <v>45764</v>
      </c>
      <c r="B587" s="26">
        <f t="shared" si="34"/>
        <v>0.85739999999999994</v>
      </c>
      <c r="C587" s="26">
        <f t="shared" si="36"/>
        <v>0.94349999999999989</v>
      </c>
      <c r="D587" s="26">
        <f t="shared" si="37"/>
        <v>0.55940000000000001</v>
      </c>
      <c r="H587" s="11">
        <v>45764</v>
      </c>
      <c r="I587" s="9">
        <v>85.74</v>
      </c>
      <c r="J587" s="9">
        <v>94.35</v>
      </c>
      <c r="K587" s="9">
        <v>55.94</v>
      </c>
    </row>
    <row r="588" spans="1:11" x14ac:dyDescent="0.4">
      <c r="A588" s="16">
        <f t="shared" si="35"/>
        <v>45771</v>
      </c>
      <c r="B588" s="26">
        <f t="shared" si="34"/>
        <v>0.83609999999999995</v>
      </c>
      <c r="C588" s="26">
        <f t="shared" si="36"/>
        <v>0.93340000000000001</v>
      </c>
      <c r="D588" s="26">
        <f t="shared" si="37"/>
        <v>0.55149999999999999</v>
      </c>
      <c r="H588" s="11">
        <v>45771</v>
      </c>
      <c r="I588" s="9">
        <v>83.61</v>
      </c>
      <c r="J588" s="9">
        <v>93.34</v>
      </c>
      <c r="K588" s="9">
        <v>55.15</v>
      </c>
    </row>
    <row r="589" spans="1:11" x14ac:dyDescent="0.4">
      <c r="A589" s="16">
        <f t="shared" si="35"/>
        <v>45777</v>
      </c>
      <c r="B589" s="26">
        <f t="shared" si="34"/>
        <v>0.83609999999999995</v>
      </c>
      <c r="C589" s="26">
        <f t="shared" si="36"/>
        <v>0.93340000000000001</v>
      </c>
      <c r="D589" s="26">
        <f t="shared" si="37"/>
        <v>0.55090000000000006</v>
      </c>
      <c r="H589" s="11">
        <v>45777</v>
      </c>
      <c r="I589" s="9">
        <v>0</v>
      </c>
      <c r="J589" s="9">
        <v>0</v>
      </c>
      <c r="K589" s="9">
        <v>55.09</v>
      </c>
    </row>
    <row r="590" spans="1:11" x14ac:dyDescent="0.4">
      <c r="A590" s="16">
        <f t="shared" si="35"/>
        <v>45778</v>
      </c>
      <c r="B590" s="26">
        <f t="shared" si="34"/>
        <v>0.86769999999999992</v>
      </c>
      <c r="C590" s="26">
        <f t="shared" si="36"/>
        <v>0.92280000000000006</v>
      </c>
      <c r="D590" s="26">
        <f t="shared" si="37"/>
        <v>0.55090000000000006</v>
      </c>
      <c r="H590" s="11">
        <v>45778</v>
      </c>
      <c r="I590" s="9">
        <v>86.77</v>
      </c>
      <c r="J590" s="9">
        <v>92.28</v>
      </c>
      <c r="K590" s="9">
        <v>0</v>
      </c>
    </row>
    <row r="591" spans="1:11" x14ac:dyDescent="0.4">
      <c r="A591" s="16">
        <f t="shared" si="35"/>
        <v>45785</v>
      </c>
      <c r="B591" s="26">
        <f t="shared" si="34"/>
        <v>0.87349999999999994</v>
      </c>
      <c r="C591" s="26">
        <f t="shared" si="36"/>
        <v>0.92</v>
      </c>
      <c r="D591" s="26">
        <f t="shared" si="37"/>
        <v>0.60819999999999996</v>
      </c>
      <c r="H591" s="11">
        <v>45785</v>
      </c>
      <c r="I591" s="9">
        <v>87.35</v>
      </c>
      <c r="J591" s="9">
        <v>92</v>
      </c>
      <c r="K591" s="9">
        <v>60.82</v>
      </c>
    </row>
    <row r="592" spans="1:11" x14ac:dyDescent="0.4">
      <c r="A592" s="16">
        <f t="shared" si="35"/>
        <v>45792</v>
      </c>
      <c r="B592" s="26">
        <f t="shared" si="34"/>
        <v>0.8640000000000001</v>
      </c>
      <c r="C592" s="26">
        <f t="shared" si="36"/>
        <v>0.90150000000000008</v>
      </c>
      <c r="D592" s="26">
        <f t="shared" si="37"/>
        <v>0.63439999999999996</v>
      </c>
      <c r="H592" s="11">
        <v>45792</v>
      </c>
      <c r="I592" s="9">
        <v>86.4</v>
      </c>
      <c r="J592" s="9">
        <v>90.15</v>
      </c>
      <c r="K592" s="9">
        <v>63.44</v>
      </c>
    </row>
    <row r="593" spans="1:11" x14ac:dyDescent="0.4">
      <c r="A593" s="16">
        <f t="shared" si="35"/>
        <v>45799</v>
      </c>
      <c r="B593" s="26">
        <f t="shared" si="34"/>
        <v>0.88560000000000005</v>
      </c>
      <c r="C593" s="26">
        <f t="shared" si="36"/>
        <v>0.90150000000000008</v>
      </c>
      <c r="D593" s="26">
        <f t="shared" si="37"/>
        <v>0.63439999999999996</v>
      </c>
      <c r="H593" s="11">
        <v>45799</v>
      </c>
      <c r="I593" s="9">
        <v>88.56</v>
      </c>
      <c r="J593" s="9">
        <v>90.15</v>
      </c>
      <c r="K593" s="9">
        <v>63.44</v>
      </c>
    </row>
    <row r="594" spans="1:11" x14ac:dyDescent="0.4">
      <c r="A594" s="16">
        <f t="shared" si="35"/>
        <v>45806</v>
      </c>
      <c r="B594" s="26">
        <f t="shared" si="34"/>
        <v>0.89829999999999999</v>
      </c>
      <c r="C594" s="26">
        <f t="shared" si="36"/>
        <v>0.88950000000000007</v>
      </c>
      <c r="D594" s="26">
        <f t="shared" si="37"/>
        <v>0.62319999999999998</v>
      </c>
      <c r="H594" s="11">
        <v>45806</v>
      </c>
      <c r="I594" s="9">
        <v>89.83</v>
      </c>
      <c r="J594" s="9">
        <v>88.95</v>
      </c>
      <c r="K594" s="9">
        <v>62.32</v>
      </c>
    </row>
    <row r="595" spans="1:11" x14ac:dyDescent="0.4">
      <c r="A595" s="16">
        <f t="shared" si="35"/>
        <v>45813</v>
      </c>
      <c r="B595" s="26">
        <f t="shared" si="34"/>
        <v>0.89430000000000009</v>
      </c>
      <c r="C595" s="26">
        <f t="shared" si="36"/>
        <v>0.89410000000000001</v>
      </c>
      <c r="D595" s="26">
        <f t="shared" si="37"/>
        <v>0.61260000000000003</v>
      </c>
      <c r="H595" s="11">
        <v>45813</v>
      </c>
      <c r="I595" s="9">
        <v>89.43</v>
      </c>
      <c r="J595" s="9">
        <v>89.41</v>
      </c>
      <c r="K595" s="9">
        <v>61.26</v>
      </c>
    </row>
    <row r="596" spans="1:11" x14ac:dyDescent="0.4">
      <c r="A596" s="16">
        <f t="shared" si="35"/>
        <v>45820</v>
      </c>
      <c r="B596" s="26">
        <f t="shared" si="34"/>
        <v>0.878</v>
      </c>
      <c r="C596" s="26">
        <f t="shared" si="36"/>
        <v>0.90150000000000008</v>
      </c>
      <c r="D596" s="26">
        <f t="shared" si="37"/>
        <v>0.61020000000000008</v>
      </c>
      <c r="H596" s="11">
        <v>45820</v>
      </c>
      <c r="I596" s="9">
        <v>87.8</v>
      </c>
      <c r="J596" s="9">
        <v>90.15</v>
      </c>
      <c r="K596" s="9">
        <v>61.02</v>
      </c>
    </row>
    <row r="597" spans="1:11" x14ac:dyDescent="0.4">
      <c r="A597" s="16">
        <f t="shared" si="35"/>
        <v>45827</v>
      </c>
      <c r="B597" s="26">
        <f t="shared" si="34"/>
        <v>0.88280000000000003</v>
      </c>
      <c r="C597" s="26">
        <f t="shared" si="36"/>
        <v>0.90549999999999997</v>
      </c>
      <c r="D597" s="26">
        <f t="shared" si="37"/>
        <v>0.60670000000000002</v>
      </c>
      <c r="H597" s="11">
        <v>45827</v>
      </c>
      <c r="I597" s="9">
        <v>88.28</v>
      </c>
      <c r="J597" s="9">
        <v>90.55</v>
      </c>
      <c r="K597" s="9">
        <v>60.67</v>
      </c>
    </row>
    <row r="598" spans="1:11" x14ac:dyDescent="0.4">
      <c r="A598" s="16">
        <f t="shared" si="35"/>
        <v>45834</v>
      </c>
      <c r="B598" s="26">
        <f t="shared" ref="B598:B647" si="38">IF(I598&lt;&gt;0,I598/100,B597)</f>
        <v>0.85780000000000001</v>
      </c>
      <c r="C598" s="26">
        <f t="shared" si="36"/>
        <v>0.90620000000000001</v>
      </c>
      <c r="D598" s="26">
        <f t="shared" si="37"/>
        <v>0.59009999999999996</v>
      </c>
      <c r="H598" s="11">
        <v>45834</v>
      </c>
      <c r="I598" s="9">
        <v>85.78</v>
      </c>
      <c r="J598" s="9">
        <v>90.62</v>
      </c>
      <c r="K598" s="9">
        <v>59.01</v>
      </c>
    </row>
    <row r="599" spans="1:11" x14ac:dyDescent="0.4">
      <c r="A599" s="16">
        <f t="shared" si="35"/>
        <v>45841</v>
      </c>
      <c r="B599" s="26">
        <f t="shared" si="38"/>
        <v>0.84319999999999995</v>
      </c>
      <c r="C599" s="26">
        <f t="shared" si="36"/>
        <v>0.91900000000000004</v>
      </c>
      <c r="D599" s="26">
        <f t="shared" si="37"/>
        <v>0.58090000000000008</v>
      </c>
      <c r="H599" s="11">
        <v>45841</v>
      </c>
      <c r="I599" s="9">
        <v>84.32</v>
      </c>
      <c r="J599" s="9">
        <v>91.9</v>
      </c>
      <c r="K599" s="9">
        <v>58.09</v>
      </c>
    </row>
    <row r="600" spans="1:11" x14ac:dyDescent="0.4">
      <c r="A600" s="16">
        <f t="shared" si="35"/>
        <v>45848</v>
      </c>
      <c r="B600" s="26">
        <f t="shared" si="38"/>
        <v>0.85260000000000002</v>
      </c>
      <c r="C600" s="26">
        <f t="shared" si="36"/>
        <v>0.91769999999999996</v>
      </c>
      <c r="D600" s="26">
        <f t="shared" si="37"/>
        <v>0.56200000000000006</v>
      </c>
      <c r="H600" s="11">
        <v>45848</v>
      </c>
      <c r="I600" s="9">
        <v>85.26</v>
      </c>
      <c r="J600" s="9">
        <v>91.77</v>
      </c>
      <c r="K600" s="9">
        <v>56.2</v>
      </c>
    </row>
    <row r="601" spans="1:11" x14ac:dyDescent="0.4">
      <c r="A601" s="16">
        <f t="shared" si="35"/>
        <v>45855</v>
      </c>
      <c r="B601" s="26">
        <f t="shared" si="38"/>
        <v>0.84459999999999991</v>
      </c>
      <c r="C601" s="26">
        <f t="shared" si="36"/>
        <v>0.9294</v>
      </c>
      <c r="D601" s="26">
        <f t="shared" si="37"/>
        <v>0.55830000000000002</v>
      </c>
      <c r="H601" s="11">
        <v>45855</v>
      </c>
      <c r="I601" s="9">
        <v>84.46</v>
      </c>
      <c r="J601" s="9">
        <v>92.94</v>
      </c>
      <c r="K601" s="9">
        <v>55.83</v>
      </c>
    </row>
    <row r="602" spans="1:11" x14ac:dyDescent="0.4">
      <c r="A602" s="16">
        <f t="shared" si="35"/>
        <v>45862</v>
      </c>
      <c r="B602" s="26">
        <f t="shared" si="38"/>
        <v>0.83590000000000009</v>
      </c>
      <c r="C602" s="26">
        <f t="shared" si="36"/>
        <v>0.92090000000000005</v>
      </c>
      <c r="D602" s="26">
        <f t="shared" si="37"/>
        <v>0.55590000000000006</v>
      </c>
      <c r="H602" s="11">
        <v>45862</v>
      </c>
      <c r="I602" s="9">
        <v>83.59</v>
      </c>
      <c r="J602" s="9">
        <v>92.09</v>
      </c>
      <c r="K602" s="9">
        <v>55.59</v>
      </c>
    </row>
    <row r="603" spans="1:11" x14ac:dyDescent="0.4">
      <c r="A603" s="16">
        <f t="shared" si="35"/>
        <v>45869</v>
      </c>
      <c r="B603" s="26">
        <f t="shared" si="38"/>
        <v>0.83599999999999997</v>
      </c>
      <c r="C603" s="26">
        <f t="shared" si="36"/>
        <v>0.91510000000000002</v>
      </c>
      <c r="D603" s="26">
        <f t="shared" si="37"/>
        <v>0.55509999999999993</v>
      </c>
      <c r="H603" s="11">
        <v>45869</v>
      </c>
      <c r="I603" s="9">
        <v>83.6</v>
      </c>
      <c r="J603" s="9">
        <v>91.51</v>
      </c>
      <c r="K603" s="9">
        <v>55.51</v>
      </c>
    </row>
    <row r="604" spans="1:11" x14ac:dyDescent="0.4">
      <c r="A604" s="16">
        <f t="shared" si="35"/>
        <v>45876</v>
      </c>
      <c r="B604" s="26">
        <f t="shared" si="38"/>
        <v>0.81980000000000008</v>
      </c>
      <c r="C604" s="26">
        <f t="shared" si="36"/>
        <v>0.90659999999999996</v>
      </c>
      <c r="D604" s="26">
        <f t="shared" si="37"/>
        <v>0.5575</v>
      </c>
      <c r="H604" s="11">
        <v>45876</v>
      </c>
      <c r="I604" s="9">
        <v>81.98</v>
      </c>
      <c r="J604" s="9">
        <v>90.66</v>
      </c>
      <c r="K604" s="9">
        <v>55.75</v>
      </c>
    </row>
    <row r="605" spans="1:11" x14ac:dyDescent="0.4">
      <c r="A605" s="16">
        <f t="shared" si="35"/>
        <v>45883</v>
      </c>
      <c r="B605" s="26">
        <f t="shared" si="38"/>
        <v>0.83219999999999994</v>
      </c>
      <c r="C605" s="26">
        <f t="shared" si="36"/>
        <v>0.90489999999999993</v>
      </c>
      <c r="D605" s="26">
        <f t="shared" si="37"/>
        <v>0.58040000000000003</v>
      </c>
      <c r="H605" s="11">
        <v>45883</v>
      </c>
      <c r="I605" s="9">
        <v>83.22</v>
      </c>
      <c r="J605" s="9">
        <v>90.49</v>
      </c>
      <c r="K605" s="9">
        <v>58.04</v>
      </c>
    </row>
    <row r="606" spans="1:11" x14ac:dyDescent="0.4">
      <c r="A606" s="16">
        <f t="shared" si="35"/>
        <v>45890</v>
      </c>
      <c r="B606" s="26">
        <f t="shared" si="38"/>
        <v>0.83989999999999998</v>
      </c>
      <c r="C606" s="26">
        <f t="shared" si="36"/>
        <v>0.91359999999999997</v>
      </c>
      <c r="D606" s="26">
        <f t="shared" si="37"/>
        <v>0.60089999999999999</v>
      </c>
      <c r="H606" s="11">
        <v>45890</v>
      </c>
      <c r="I606" s="9">
        <v>83.99</v>
      </c>
      <c r="J606" s="9">
        <v>91.36</v>
      </c>
      <c r="K606" s="9">
        <v>60.09</v>
      </c>
    </row>
    <row r="607" spans="1:11" x14ac:dyDescent="0.4">
      <c r="A607" s="16">
        <f t="shared" si="35"/>
        <v>45897</v>
      </c>
      <c r="B607" s="26">
        <f t="shared" si="38"/>
        <v>0.82389999999999997</v>
      </c>
      <c r="C607" s="26">
        <f t="shared" si="36"/>
        <v>0.9163</v>
      </c>
      <c r="D607" s="26">
        <f t="shared" si="37"/>
        <v>0.61980000000000002</v>
      </c>
      <c r="H607" s="11">
        <v>45897</v>
      </c>
      <c r="I607" s="9">
        <v>82.39</v>
      </c>
      <c r="J607" s="9">
        <v>91.63</v>
      </c>
      <c r="K607" s="9">
        <v>61.98</v>
      </c>
    </row>
    <row r="608" spans="1:11" x14ac:dyDescent="0.4">
      <c r="A608" s="16">
        <f t="shared" si="35"/>
        <v>45904</v>
      </c>
      <c r="B608" s="26">
        <f t="shared" si="38"/>
        <v>0.78099999999999992</v>
      </c>
      <c r="C608" s="26">
        <f t="shared" si="36"/>
        <v>0.91280000000000006</v>
      </c>
      <c r="D608" s="26">
        <f t="shared" si="37"/>
        <v>0.62419999999999998</v>
      </c>
      <c r="H608" s="11">
        <v>45904</v>
      </c>
      <c r="I608" s="9">
        <v>78.099999999999994</v>
      </c>
      <c r="J608" s="9">
        <v>91.28</v>
      </c>
      <c r="K608" s="9">
        <v>62.42</v>
      </c>
    </row>
    <row r="609" spans="1:11" x14ac:dyDescent="0.4">
      <c r="A609" s="16">
        <f t="shared" si="35"/>
        <v>45911</v>
      </c>
      <c r="B609" s="26">
        <f t="shared" si="38"/>
        <v>0.79339999999999999</v>
      </c>
      <c r="C609" s="26">
        <f t="shared" si="36"/>
        <v>0.91430000000000011</v>
      </c>
      <c r="D609" s="26">
        <f t="shared" si="37"/>
        <v>0.62419999999999998</v>
      </c>
      <c r="H609" s="11">
        <v>45911</v>
      </c>
      <c r="I609" s="9">
        <v>79.34</v>
      </c>
      <c r="J609" s="9">
        <v>91.43</v>
      </c>
      <c r="K609" s="9">
        <v>62.42</v>
      </c>
    </row>
    <row r="610" spans="1:11" x14ac:dyDescent="0.4">
      <c r="A610" s="16">
        <f t="shared" si="35"/>
        <v>45918</v>
      </c>
      <c r="B610" s="26">
        <f t="shared" si="38"/>
        <v>0.81220000000000003</v>
      </c>
      <c r="C610" s="26">
        <f t="shared" si="36"/>
        <v>0.9154000000000001</v>
      </c>
      <c r="D610" s="26">
        <f t="shared" si="37"/>
        <v>0.62190000000000001</v>
      </c>
      <c r="H610" s="11">
        <v>45918</v>
      </c>
      <c r="I610" s="9">
        <v>81.22</v>
      </c>
      <c r="J610" s="9">
        <v>91.54</v>
      </c>
      <c r="K610" s="9">
        <v>62.19</v>
      </c>
    </row>
    <row r="611" spans="1:11" x14ac:dyDescent="0.4">
      <c r="A611" s="16">
        <f t="shared" si="35"/>
        <v>45925</v>
      </c>
      <c r="B611" s="26">
        <f t="shared" si="38"/>
        <v>0.85580000000000001</v>
      </c>
      <c r="C611" s="26">
        <f t="shared" si="36"/>
        <v>0.9154000000000001</v>
      </c>
      <c r="D611" s="26">
        <f t="shared" si="37"/>
        <v>0.63119999999999998</v>
      </c>
      <c r="H611" s="11">
        <v>45925</v>
      </c>
      <c r="I611" s="9">
        <v>85.58</v>
      </c>
      <c r="J611" s="9">
        <v>91.54</v>
      </c>
      <c r="K611" s="9">
        <v>63.12</v>
      </c>
    </row>
    <row r="612" spans="1:11" x14ac:dyDescent="0.4">
      <c r="A612" s="16">
        <f t="shared" si="35"/>
        <v>45939</v>
      </c>
      <c r="B612" s="26">
        <f t="shared" si="38"/>
        <v>0.85659999999999992</v>
      </c>
      <c r="C612" s="26">
        <f t="shared" si="36"/>
        <v>0.91090000000000004</v>
      </c>
      <c r="D612" s="26">
        <f t="shared" si="37"/>
        <v>0.64060000000000006</v>
      </c>
      <c r="H612" s="11">
        <v>45939</v>
      </c>
      <c r="I612" s="9">
        <v>85.66</v>
      </c>
      <c r="J612" s="9">
        <v>91.09</v>
      </c>
      <c r="K612" s="9">
        <v>64.06</v>
      </c>
    </row>
    <row r="613" spans="1:11" x14ac:dyDescent="0.4">
      <c r="A613" s="16">
        <f t="shared" si="35"/>
        <v>45946</v>
      </c>
      <c r="B613" s="26">
        <f t="shared" si="38"/>
        <v>0.80640000000000001</v>
      </c>
      <c r="C613" s="26">
        <f t="shared" si="36"/>
        <v>0.9104000000000001</v>
      </c>
      <c r="D613" s="26">
        <f t="shared" si="37"/>
        <v>0.64060000000000006</v>
      </c>
      <c r="H613" s="11">
        <v>45946</v>
      </c>
      <c r="I613" s="9">
        <v>80.64</v>
      </c>
      <c r="J613" s="9">
        <v>91.04</v>
      </c>
      <c r="K613" s="9">
        <v>64.06</v>
      </c>
    </row>
    <row r="614" spans="1:11" x14ac:dyDescent="0.4">
      <c r="A614" s="16">
        <f t="shared" si="35"/>
        <v>45953</v>
      </c>
      <c r="B614" s="26">
        <f t="shared" si="38"/>
        <v>0.78029999999999999</v>
      </c>
      <c r="C614" s="26">
        <f t="shared" si="36"/>
        <v>0.9104000000000001</v>
      </c>
      <c r="D614" s="26">
        <f t="shared" si="37"/>
        <v>0.66449999999999998</v>
      </c>
      <c r="H614" s="11">
        <v>45953</v>
      </c>
      <c r="I614" s="9">
        <v>78.03</v>
      </c>
      <c r="J614" s="9">
        <v>91.04</v>
      </c>
      <c r="K614" s="9">
        <v>66.45</v>
      </c>
    </row>
    <row r="615" spans="1:11" x14ac:dyDescent="0.4">
      <c r="A615" s="16">
        <f t="shared" si="35"/>
        <v>45960</v>
      </c>
      <c r="B615" s="26">
        <f t="shared" si="38"/>
        <v>0.80319999999999991</v>
      </c>
      <c r="C615" s="26">
        <f t="shared" si="36"/>
        <v>0.90670000000000006</v>
      </c>
      <c r="D615" s="26">
        <f t="shared" si="37"/>
        <v>0.69</v>
      </c>
      <c r="H615" s="11">
        <v>45960</v>
      </c>
      <c r="I615" s="9">
        <v>80.319999999999993</v>
      </c>
      <c r="J615" s="9">
        <v>90.67</v>
      </c>
      <c r="K615" s="9">
        <v>69</v>
      </c>
    </row>
    <row r="616" spans="1:11" x14ac:dyDescent="0.4">
      <c r="A616" s="16">
        <f t="shared" si="35"/>
        <v>45967</v>
      </c>
      <c r="B616" s="26">
        <f t="shared" si="38"/>
        <v>0.82709999999999995</v>
      </c>
      <c r="C616" s="26">
        <f t="shared" si="36"/>
        <v>0.9081999999999999</v>
      </c>
      <c r="D616" s="26">
        <f t="shared" si="37"/>
        <v>0.69450000000000001</v>
      </c>
      <c r="H616" s="11">
        <v>45967</v>
      </c>
      <c r="I616" s="9">
        <v>82.71</v>
      </c>
      <c r="J616" s="9">
        <v>90.82</v>
      </c>
      <c r="K616" s="9">
        <v>69.45</v>
      </c>
    </row>
    <row r="617" spans="1:11" x14ac:dyDescent="0.4">
      <c r="A617" s="16">
        <f t="shared" si="35"/>
        <v>45974</v>
      </c>
      <c r="B617" s="26">
        <f t="shared" si="38"/>
        <v>0.84079999999999999</v>
      </c>
      <c r="C617" s="26">
        <f t="shared" si="36"/>
        <v>0.9123</v>
      </c>
      <c r="D617" s="26">
        <f t="shared" si="37"/>
        <v>0.67989999999999995</v>
      </c>
      <c r="H617" s="11">
        <v>45974</v>
      </c>
      <c r="I617" s="9">
        <v>84.08</v>
      </c>
      <c r="J617" s="9">
        <v>91.23</v>
      </c>
      <c r="K617" s="9">
        <v>67.989999999999995</v>
      </c>
    </row>
    <row r="618" spans="1:11" x14ac:dyDescent="0.4">
      <c r="A618" s="16">
        <f t="shared" si="35"/>
        <v>45981</v>
      </c>
      <c r="B618" s="26">
        <f t="shared" si="38"/>
        <v>0.83909999999999996</v>
      </c>
      <c r="C618" s="26">
        <f t="shared" si="36"/>
        <v>0.9133</v>
      </c>
      <c r="D618" s="26">
        <f t="shared" si="37"/>
        <v>0.67689999999999995</v>
      </c>
      <c r="H618" s="11">
        <v>45981</v>
      </c>
      <c r="I618" s="9">
        <v>83.91</v>
      </c>
      <c r="J618" s="9">
        <v>91.33</v>
      </c>
      <c r="K618" s="9">
        <v>67.69</v>
      </c>
    </row>
    <row r="619" spans="1:11" x14ac:dyDescent="0.4">
      <c r="A619" s="16">
        <f t="shared" si="35"/>
        <v>45988</v>
      </c>
      <c r="B619" s="26">
        <f t="shared" si="38"/>
        <v>0.83709999999999996</v>
      </c>
      <c r="C619" s="26">
        <f t="shared" si="36"/>
        <v>0.91260000000000008</v>
      </c>
      <c r="D619" s="26">
        <f t="shared" si="37"/>
        <v>0.66930000000000012</v>
      </c>
      <c r="H619" s="11">
        <v>45988</v>
      </c>
      <c r="I619" s="9">
        <v>83.71</v>
      </c>
      <c r="J619" s="9">
        <v>91.26</v>
      </c>
      <c r="K619" s="9">
        <v>66.930000000000007</v>
      </c>
    </row>
    <row r="620" spans="1:11" x14ac:dyDescent="0.4">
      <c r="A620" s="16">
        <f t="shared" si="35"/>
        <v>45995</v>
      </c>
      <c r="B620" s="26">
        <f t="shared" si="38"/>
        <v>0.81830000000000003</v>
      </c>
      <c r="C620" s="26">
        <f t="shared" si="36"/>
        <v>0.90310000000000001</v>
      </c>
      <c r="D620" s="26">
        <f t="shared" si="37"/>
        <v>0.65510000000000002</v>
      </c>
      <c r="H620" s="11">
        <v>45995</v>
      </c>
      <c r="I620" s="9">
        <v>81.83</v>
      </c>
      <c r="J620" s="9">
        <v>90.31</v>
      </c>
      <c r="K620" s="9">
        <v>65.510000000000005</v>
      </c>
    </row>
    <row r="621" spans="1:11" x14ac:dyDescent="0.4">
      <c r="A621" s="16">
        <f t="shared" si="35"/>
        <v>46002</v>
      </c>
      <c r="B621" s="26">
        <f t="shared" si="38"/>
        <v>0.81849999999999989</v>
      </c>
      <c r="C621" s="26">
        <f t="shared" si="36"/>
        <v>0.89049999999999996</v>
      </c>
      <c r="D621" s="26">
        <f t="shared" si="37"/>
        <v>0.63690000000000002</v>
      </c>
      <c r="H621" s="11">
        <v>46002</v>
      </c>
      <c r="I621" s="9">
        <v>81.849999999999994</v>
      </c>
      <c r="J621" s="9">
        <v>89.05</v>
      </c>
      <c r="K621" s="9">
        <v>63.69</v>
      </c>
    </row>
    <row r="622" spans="1:11" x14ac:dyDescent="0.4">
      <c r="A622" s="16">
        <f t="shared" si="35"/>
        <v>46009</v>
      </c>
      <c r="B622" s="26">
        <f t="shared" si="38"/>
        <v>0.80689999999999995</v>
      </c>
      <c r="C622" s="26">
        <f t="shared" si="36"/>
        <v>0.89269999999999994</v>
      </c>
      <c r="D622" s="26">
        <f t="shared" si="37"/>
        <v>0.629</v>
      </c>
      <c r="H622" s="11">
        <v>46009</v>
      </c>
      <c r="I622" s="9">
        <v>80.69</v>
      </c>
      <c r="J622" s="9">
        <v>89.27</v>
      </c>
      <c r="K622" s="9">
        <v>62.9</v>
      </c>
    </row>
    <row r="623" spans="1:11" x14ac:dyDescent="0.4">
      <c r="A623" s="16">
        <f t="shared" si="35"/>
        <v>46016</v>
      </c>
      <c r="B623" s="26">
        <f t="shared" si="38"/>
        <v>0.78769999999999996</v>
      </c>
      <c r="C623" s="26">
        <f t="shared" si="36"/>
        <v>0.8970999999999999</v>
      </c>
      <c r="D623" s="26">
        <f t="shared" si="37"/>
        <v>0.60699999999999998</v>
      </c>
      <c r="H623" s="11">
        <v>46016</v>
      </c>
      <c r="I623" s="9">
        <v>78.77</v>
      </c>
      <c r="J623" s="9">
        <v>89.71</v>
      </c>
      <c r="K623" s="9">
        <v>60.7</v>
      </c>
    </row>
    <row r="624" spans="1:11" x14ac:dyDescent="0.4">
      <c r="A624" s="16">
        <f t="shared" si="35"/>
        <v>46023</v>
      </c>
      <c r="B624" s="26">
        <f t="shared" si="38"/>
        <v>0.80290000000000006</v>
      </c>
      <c r="C624" s="26">
        <f t="shared" si="36"/>
        <v>0.90040000000000009</v>
      </c>
      <c r="D624" s="26">
        <f t="shared" si="37"/>
        <v>0.60699999999999998</v>
      </c>
      <c r="H624" s="11">
        <v>46023</v>
      </c>
      <c r="I624" s="9">
        <v>80.290000000000006</v>
      </c>
      <c r="J624" s="9">
        <v>90.04</v>
      </c>
      <c r="K624" s="9">
        <v>0</v>
      </c>
    </row>
    <row r="625" spans="1:11" x14ac:dyDescent="0.4">
      <c r="A625" s="16">
        <f t="shared" si="35"/>
        <v>46026</v>
      </c>
      <c r="B625" s="26">
        <f t="shared" si="38"/>
        <v>0.80290000000000006</v>
      </c>
      <c r="C625" s="26">
        <f t="shared" si="36"/>
        <v>0.90040000000000009</v>
      </c>
      <c r="D625" s="26">
        <f t="shared" si="37"/>
        <v>0.59549999999999992</v>
      </c>
      <c r="H625" s="11">
        <v>46026</v>
      </c>
      <c r="I625" s="9">
        <v>0</v>
      </c>
      <c r="J625" s="9">
        <v>0</v>
      </c>
      <c r="K625" s="9">
        <v>59.55</v>
      </c>
    </row>
    <row r="626" spans="1:11" x14ac:dyDescent="0.4">
      <c r="A626" s="16">
        <f t="shared" si="35"/>
        <v>46030</v>
      </c>
      <c r="B626" s="26">
        <f t="shared" si="38"/>
        <v>0.83219999999999994</v>
      </c>
      <c r="C626" s="26">
        <f t="shared" si="36"/>
        <v>0.90450000000000008</v>
      </c>
      <c r="D626" s="26">
        <f t="shared" si="37"/>
        <v>0.57889999999999997</v>
      </c>
      <c r="H626" s="11">
        <v>46030</v>
      </c>
      <c r="I626" s="9">
        <v>83.22</v>
      </c>
      <c r="J626" s="9">
        <v>90.45</v>
      </c>
      <c r="K626" s="9">
        <v>57.89</v>
      </c>
    </row>
    <row r="627" spans="1:11" x14ac:dyDescent="0.4">
      <c r="A627" s="16">
        <f t="shared" si="35"/>
        <v>46037</v>
      </c>
      <c r="B627" s="26">
        <f t="shared" si="38"/>
        <v>0.85250000000000004</v>
      </c>
      <c r="C627" s="26">
        <f t="shared" si="36"/>
        <v>0.89829999999999999</v>
      </c>
      <c r="D627" s="26">
        <f t="shared" si="37"/>
        <v>0.5494</v>
      </c>
      <c r="H627" s="11">
        <v>46037</v>
      </c>
      <c r="I627" s="9">
        <v>85.25</v>
      </c>
      <c r="J627" s="9">
        <v>89.83</v>
      </c>
      <c r="K627" s="9">
        <v>54.94</v>
      </c>
    </row>
    <row r="628" spans="1:11" x14ac:dyDescent="0.4">
      <c r="A628" s="16">
        <f t="shared" si="35"/>
        <v>46044</v>
      </c>
      <c r="B628" s="26">
        <f t="shared" si="38"/>
        <v>0.8639</v>
      </c>
      <c r="C628" s="26">
        <f t="shared" si="36"/>
        <v>0.86670000000000003</v>
      </c>
      <c r="D628" s="26">
        <f t="shared" si="37"/>
        <v>0.51200000000000001</v>
      </c>
      <c r="H628" s="11">
        <v>46044</v>
      </c>
      <c r="I628" s="9">
        <v>86.39</v>
      </c>
      <c r="J628" s="9">
        <v>86.67</v>
      </c>
      <c r="K628" s="9">
        <v>51.2</v>
      </c>
    </row>
    <row r="629" spans="1:11" x14ac:dyDescent="0.4">
      <c r="A629" s="16">
        <f t="shared" si="35"/>
        <v>46051</v>
      </c>
      <c r="B629" s="26">
        <f t="shared" si="38"/>
        <v>0.88269999999999993</v>
      </c>
      <c r="C629" s="26">
        <f t="shared" si="36"/>
        <v>0.84209999999999996</v>
      </c>
      <c r="D629" s="26">
        <f t="shared" si="37"/>
        <v>0.42409999999999998</v>
      </c>
      <c r="H629" s="11">
        <v>46051</v>
      </c>
      <c r="I629" s="9">
        <v>88.27</v>
      </c>
      <c r="J629" s="9">
        <v>84.21</v>
      </c>
      <c r="K629" s="9">
        <v>42.41</v>
      </c>
    </row>
    <row r="630" spans="1:11" x14ac:dyDescent="0.4">
      <c r="A630" s="16">
        <f t="shared" si="35"/>
        <v>46058</v>
      </c>
      <c r="B630" s="26">
        <f t="shared" si="38"/>
        <v>0.89139999999999997</v>
      </c>
      <c r="C630" s="26">
        <f t="shared" si="36"/>
        <v>0.81499999999999995</v>
      </c>
      <c r="D630" s="26">
        <f t="shared" si="37"/>
        <v>0.22469999999999998</v>
      </c>
      <c r="H630" s="11">
        <v>46058</v>
      </c>
      <c r="I630" s="9">
        <v>89.14</v>
      </c>
      <c r="J630" s="9">
        <v>81.5</v>
      </c>
      <c r="K630" s="9">
        <v>22.47</v>
      </c>
    </row>
    <row r="631" spans="1:11" x14ac:dyDescent="0.4">
      <c r="A631" s="16">
        <f t="shared" si="35"/>
        <v>46065</v>
      </c>
      <c r="B631" s="26">
        <f t="shared" si="38"/>
        <v>0.90590000000000004</v>
      </c>
      <c r="C631" s="26">
        <f t="shared" si="36"/>
        <v>0.77139999999999997</v>
      </c>
      <c r="D631" s="26">
        <f t="shared" si="37"/>
        <v>0.1176</v>
      </c>
      <c r="H631" s="11">
        <v>46065</v>
      </c>
      <c r="I631" s="9">
        <v>90.59</v>
      </c>
      <c r="J631" s="9">
        <v>77.14</v>
      </c>
      <c r="K631" s="9">
        <v>11.76</v>
      </c>
    </row>
    <row r="632" spans="1:11" x14ac:dyDescent="0.4">
      <c r="A632" s="16">
        <f t="shared" si="35"/>
        <v>46079</v>
      </c>
      <c r="B632" s="26">
        <f t="shared" si="38"/>
        <v>0.93159999999999998</v>
      </c>
      <c r="C632" s="26">
        <f t="shared" si="36"/>
        <v>0.7903</v>
      </c>
      <c r="D632" s="26">
        <f t="shared" si="37"/>
        <v>0.2263</v>
      </c>
      <c r="H632" s="11">
        <v>46079</v>
      </c>
      <c r="I632" s="9">
        <v>93.16</v>
      </c>
      <c r="J632" s="9">
        <v>79.03</v>
      </c>
      <c r="K632" s="9">
        <v>22.63</v>
      </c>
    </row>
    <row r="633" spans="1:11" x14ac:dyDescent="0.4">
      <c r="A633" s="16">
        <f t="shared" si="35"/>
        <v>46086</v>
      </c>
      <c r="B633" s="26">
        <f t="shared" si="38"/>
        <v>0.93310000000000004</v>
      </c>
      <c r="C633" s="26">
        <f t="shared" si="36"/>
        <v>0.84489999999999998</v>
      </c>
      <c r="D633" s="26">
        <f t="shared" si="37"/>
        <v>0.42359999999999998</v>
      </c>
      <c r="H633" s="11">
        <v>46086</v>
      </c>
      <c r="I633" s="9">
        <v>93.31</v>
      </c>
      <c r="J633" s="9">
        <v>84.49</v>
      </c>
      <c r="K633" s="9">
        <v>42.36</v>
      </c>
    </row>
    <row r="634" spans="1:11" x14ac:dyDescent="0.4">
      <c r="A634" s="16">
        <f t="shared" si="35"/>
        <v>46093</v>
      </c>
      <c r="B634" s="26">
        <f t="shared" si="38"/>
        <v>0.93290000000000006</v>
      </c>
      <c r="C634" s="26">
        <f t="shared" si="36"/>
        <v>0.88790000000000002</v>
      </c>
      <c r="D634" s="26">
        <f t="shared" si="37"/>
        <v>0.51249999999999996</v>
      </c>
      <c r="H634" s="11">
        <v>46093</v>
      </c>
      <c r="I634" s="9">
        <v>93.29</v>
      </c>
      <c r="J634" s="9">
        <v>88.79</v>
      </c>
      <c r="K634" s="9">
        <v>51.25</v>
      </c>
    </row>
    <row r="635" spans="1:11" x14ac:dyDescent="0.4">
      <c r="A635" s="16">
        <f t="shared" si="35"/>
        <v>46100</v>
      </c>
      <c r="B635" s="26">
        <f t="shared" si="38"/>
        <v>0.92189999999999994</v>
      </c>
      <c r="C635" s="26">
        <f t="shared" si="36"/>
        <v>0.88430000000000009</v>
      </c>
      <c r="D635" s="26">
        <f t="shared" si="37"/>
        <v>0.52610000000000001</v>
      </c>
      <c r="H635" s="11">
        <v>46100</v>
      </c>
      <c r="I635" s="9">
        <v>92.19</v>
      </c>
      <c r="J635" s="9">
        <v>88.43</v>
      </c>
      <c r="K635" s="9">
        <v>52.61</v>
      </c>
    </row>
    <row r="636" spans="1:11" x14ac:dyDescent="0.4">
      <c r="A636" s="16">
        <f t="shared" si="35"/>
        <v>46107</v>
      </c>
      <c r="B636" s="26">
        <f t="shared" si="38"/>
        <v>0.88349999999999995</v>
      </c>
      <c r="C636" s="26">
        <f t="shared" si="36"/>
        <v>0.8748999999999999</v>
      </c>
      <c r="D636" s="26">
        <f t="shared" si="37"/>
        <v>0.53560000000000008</v>
      </c>
      <c r="H636" s="11">
        <v>46107</v>
      </c>
      <c r="I636" s="9">
        <v>88.35</v>
      </c>
      <c r="J636" s="9">
        <v>87.49</v>
      </c>
      <c r="K636" s="9">
        <v>53.56</v>
      </c>
    </row>
    <row r="637" spans="1:11" x14ac:dyDescent="0.4">
      <c r="A637" s="16">
        <f t="shared" si="35"/>
        <v>46114</v>
      </c>
      <c r="B637" s="26">
        <f t="shared" si="38"/>
        <v>0.91909999999999992</v>
      </c>
      <c r="C637" s="26">
        <f t="shared" si="36"/>
        <v>0.86730000000000007</v>
      </c>
      <c r="D637" s="26">
        <f t="shared" si="37"/>
        <v>0.5353</v>
      </c>
      <c r="H637" s="11">
        <v>46114</v>
      </c>
      <c r="I637" s="9">
        <v>91.91</v>
      </c>
      <c r="J637" s="9">
        <v>86.73</v>
      </c>
      <c r="K637" s="9">
        <v>53.53</v>
      </c>
    </row>
    <row r="638" spans="1:11" x14ac:dyDescent="0.4">
      <c r="A638" s="16">
        <f t="shared" si="35"/>
        <v>46121</v>
      </c>
      <c r="B638" s="26">
        <f t="shared" si="38"/>
        <v>0.92599999999999993</v>
      </c>
      <c r="C638" s="26">
        <f t="shared" si="36"/>
        <v>0.85170000000000001</v>
      </c>
      <c r="D638" s="26">
        <f t="shared" si="37"/>
        <v>0.53139999999999998</v>
      </c>
      <c r="H638" s="11">
        <v>46121</v>
      </c>
      <c r="I638" s="9">
        <v>92.6</v>
      </c>
      <c r="J638" s="9">
        <v>85.17</v>
      </c>
      <c r="K638" s="9">
        <v>53.14</v>
      </c>
    </row>
    <row r="639" spans="1:11" x14ac:dyDescent="0.4">
      <c r="A639" s="16">
        <f t="shared" si="35"/>
        <v>46128</v>
      </c>
      <c r="B639" s="26">
        <f t="shared" si="38"/>
        <v>0.90310000000000001</v>
      </c>
      <c r="C639" s="26">
        <f t="shared" si="36"/>
        <v>0.85060000000000002</v>
      </c>
      <c r="D639" s="26">
        <f t="shared" si="37"/>
        <v>0.5272</v>
      </c>
      <c r="H639" s="11">
        <v>46128</v>
      </c>
      <c r="I639" s="9">
        <v>90.31</v>
      </c>
      <c r="J639" s="9">
        <v>85.06</v>
      </c>
      <c r="K639" s="9">
        <v>52.72</v>
      </c>
    </row>
    <row r="640" spans="1:11" x14ac:dyDescent="0.4">
      <c r="A640" s="16">
        <f t="shared" si="35"/>
        <v>46135</v>
      </c>
      <c r="B640" s="26">
        <f t="shared" si="38"/>
        <v>0.90170000000000006</v>
      </c>
      <c r="C640" s="26">
        <f t="shared" si="36"/>
        <v>0.82709999999999995</v>
      </c>
      <c r="D640" s="26">
        <f t="shared" si="37"/>
        <v>0.51829999999999998</v>
      </c>
      <c r="H640" s="11">
        <v>46135</v>
      </c>
      <c r="I640" s="9">
        <v>90.17</v>
      </c>
      <c r="J640" s="9">
        <v>82.71</v>
      </c>
      <c r="K640" s="9">
        <v>51.83</v>
      </c>
    </row>
    <row r="641" spans="1:11" x14ac:dyDescent="0.4">
      <c r="A641" s="16">
        <f t="shared" si="35"/>
        <v>46142</v>
      </c>
      <c r="B641" s="26">
        <f t="shared" si="38"/>
        <v>0.92010000000000003</v>
      </c>
      <c r="C641" s="26">
        <f t="shared" si="36"/>
        <v>0.81879999999999997</v>
      </c>
      <c r="D641" s="26">
        <f t="shared" si="37"/>
        <v>0.49990000000000001</v>
      </c>
      <c r="H641" s="11">
        <v>46142</v>
      </c>
      <c r="I641" s="9">
        <v>92.01</v>
      </c>
      <c r="J641" s="9">
        <v>81.88</v>
      </c>
      <c r="K641" s="9">
        <v>49.99</v>
      </c>
    </row>
    <row r="642" spans="1:11" x14ac:dyDescent="0.4">
      <c r="A642" s="16">
        <f t="shared" si="35"/>
        <v>46149</v>
      </c>
      <c r="B642" s="26">
        <f t="shared" si="38"/>
        <v>0.94440000000000002</v>
      </c>
      <c r="C642" s="26">
        <f t="shared" si="36"/>
        <v>0.82379999999999998</v>
      </c>
      <c r="D642" s="26">
        <f t="shared" si="37"/>
        <v>0.51819999999999999</v>
      </c>
      <c r="H642" s="11">
        <v>46149</v>
      </c>
      <c r="I642" s="9">
        <v>94.44</v>
      </c>
      <c r="J642" s="9">
        <v>82.38</v>
      </c>
      <c r="K642" s="9">
        <v>51.82</v>
      </c>
    </row>
    <row r="643" spans="1:11" x14ac:dyDescent="0.4">
      <c r="A643" s="16">
        <f>H643</f>
        <v>46156</v>
      </c>
      <c r="B643" s="26">
        <f t="shared" si="38"/>
        <v>0.89629999999999999</v>
      </c>
      <c r="C643" s="26">
        <f t="shared" si="36"/>
        <v>0.79680000000000006</v>
      </c>
      <c r="D643" s="26">
        <f t="shared" si="37"/>
        <v>0.51819999999999999</v>
      </c>
      <c r="H643" s="11">
        <v>46156</v>
      </c>
      <c r="I643" s="9">
        <v>89.63</v>
      </c>
      <c r="J643" s="9">
        <v>79.680000000000007</v>
      </c>
      <c r="K643" s="9">
        <v>51.82</v>
      </c>
    </row>
    <row r="644" spans="1:11" x14ac:dyDescent="0.4">
      <c r="A644" s="16">
        <f>H644</f>
        <v>46163</v>
      </c>
      <c r="B644" s="26">
        <f t="shared" si="38"/>
        <v>0.86290000000000011</v>
      </c>
      <c r="C644" s="26">
        <f t="shared" si="36"/>
        <v>0.79269999999999996</v>
      </c>
      <c r="D644" s="26">
        <f t="shared" si="37"/>
        <v>0.51539999999999997</v>
      </c>
      <c r="H644" s="11">
        <v>46163</v>
      </c>
      <c r="I644" s="9">
        <v>86.29</v>
      </c>
      <c r="J644" s="9">
        <v>79.27</v>
      </c>
      <c r="K644" s="9">
        <v>51.54</v>
      </c>
    </row>
    <row r="645" spans="1:11" x14ac:dyDescent="0.4">
      <c r="A645" s="16">
        <f>H645</f>
        <v>46170</v>
      </c>
      <c r="B645" s="26">
        <f t="shared" si="38"/>
        <v>0.86219999999999997</v>
      </c>
      <c r="C645" s="26">
        <f t="shared" si="36"/>
        <v>0.78780000000000006</v>
      </c>
      <c r="D645" s="26">
        <f t="shared" si="37"/>
        <v>0.51539999999999997</v>
      </c>
      <c r="H645" s="11">
        <v>46170</v>
      </c>
      <c r="I645" s="9">
        <v>86.22</v>
      </c>
      <c r="J645" s="9">
        <v>78.78</v>
      </c>
      <c r="K645" s="9">
        <v>51.54</v>
      </c>
    </row>
    <row r="646" spans="1:11" x14ac:dyDescent="0.4">
      <c r="A646" s="16">
        <f>H646</f>
        <v>46177</v>
      </c>
      <c r="B646" s="26">
        <f t="shared" si="38"/>
        <v>0.90370000000000006</v>
      </c>
      <c r="C646" s="26">
        <f t="shared" ref="C646:C648" si="39">IF(J646&lt;&gt;0,J646/100,C645)</f>
        <v>0.78780000000000006</v>
      </c>
      <c r="D646" s="26">
        <f t="shared" ref="D646:D648" si="40">IF(K646&lt;&gt;0,K646/100,D645)</f>
        <v>0.51080000000000003</v>
      </c>
      <c r="H646" s="11">
        <v>46177</v>
      </c>
      <c r="I646" s="9">
        <v>90.37</v>
      </c>
      <c r="J646" s="9">
        <v>0</v>
      </c>
      <c r="K646" s="9">
        <v>51.08</v>
      </c>
    </row>
    <row r="647" spans="1:11" x14ac:dyDescent="0.4">
      <c r="A647" s="16">
        <f>H647</f>
        <v>46184</v>
      </c>
      <c r="B647" s="26">
        <f t="shared" si="38"/>
        <v>0.90040000000000009</v>
      </c>
      <c r="C647" s="26">
        <f t="shared" si="39"/>
        <v>0.74230000000000007</v>
      </c>
      <c r="D647" s="26">
        <f t="shared" si="40"/>
        <v>0.51290000000000002</v>
      </c>
      <c r="H647" s="11">
        <v>46184</v>
      </c>
      <c r="I647" s="9">
        <v>90.04</v>
      </c>
      <c r="J647" s="9">
        <v>74.23</v>
      </c>
      <c r="K647" s="9">
        <v>51.29</v>
      </c>
    </row>
    <row r="648" spans="1:11" x14ac:dyDescent="0.4">
      <c r="A648" s="16">
        <f t="shared" ref="A648" si="41">H648</f>
        <v>46191</v>
      </c>
      <c r="B648" s="26">
        <f t="shared" ref="B648:B651" si="42">IF(I648&lt;&gt;0,I648/100,B647)</f>
        <v>0.89249999999999996</v>
      </c>
      <c r="C648" s="26">
        <f t="shared" si="39"/>
        <v>0.73519999999999996</v>
      </c>
      <c r="D648" s="26">
        <f t="shared" si="40"/>
        <v>0.53659999999999997</v>
      </c>
      <c r="H648" s="11">
        <v>46191</v>
      </c>
      <c r="I648" s="9">
        <v>89.25</v>
      </c>
      <c r="J648" s="9">
        <v>73.52</v>
      </c>
      <c r="K648" s="9">
        <v>53.66</v>
      </c>
    </row>
    <row r="649" spans="1:11" x14ac:dyDescent="0.4">
      <c r="A649" s="16">
        <f>H649</f>
        <v>46198</v>
      </c>
      <c r="B649" s="26">
        <f t="shared" si="42"/>
        <v>0.90319999999999989</v>
      </c>
      <c r="C649" s="26">
        <f t="shared" ref="C649:C652" si="43">IF(J649&lt;&gt;0,J649/100,C648)</f>
        <v>0.73809999999999998</v>
      </c>
      <c r="D649" s="26">
        <f t="shared" ref="D649:D652" si="44">IF(K649&lt;&gt;0,K649/100,D648)</f>
        <v>0.53659999999999997</v>
      </c>
      <c r="H649" s="11">
        <v>46198</v>
      </c>
      <c r="I649" s="9">
        <v>90.32</v>
      </c>
      <c r="J649" s="9">
        <v>73.81</v>
      </c>
      <c r="K649" s="9">
        <v>53.66</v>
      </c>
    </row>
    <row r="650" spans="1:11" x14ac:dyDescent="0.4">
      <c r="A650" s="16">
        <f>H650</f>
        <v>46205</v>
      </c>
      <c r="B650" s="26">
        <f t="shared" si="42"/>
        <v>0.90029999999999999</v>
      </c>
      <c r="C650" s="26">
        <f t="shared" si="43"/>
        <v>0.73459999999999992</v>
      </c>
      <c r="D650" s="26">
        <f t="shared" si="44"/>
        <v>0.53189999999999993</v>
      </c>
      <c r="H650" s="11">
        <v>46205</v>
      </c>
      <c r="I650" s="9">
        <v>90.03</v>
      </c>
      <c r="J650" s="9">
        <v>73.459999999999994</v>
      </c>
      <c r="K650" s="9">
        <v>53.19</v>
      </c>
    </row>
    <row r="651" spans="1:11" x14ac:dyDescent="0.4">
      <c r="A651" s="16">
        <f>H651</f>
        <v>46212</v>
      </c>
      <c r="B651" s="26">
        <f t="shared" si="42"/>
        <v>0.90450000000000008</v>
      </c>
      <c r="C651" s="26">
        <f t="shared" si="43"/>
        <v>0.74199999999999999</v>
      </c>
      <c r="D651" s="26">
        <f t="shared" si="44"/>
        <v>0.52849999999999997</v>
      </c>
      <c r="H651" s="11">
        <v>46212</v>
      </c>
      <c r="I651" s="9">
        <v>90.45</v>
      </c>
      <c r="J651" s="9">
        <v>74.2</v>
      </c>
      <c r="K651" s="9">
        <v>52.85</v>
      </c>
    </row>
    <row r="652" spans="1:11" x14ac:dyDescent="0.4">
      <c r="A652" s="16">
        <f t="shared" ref="A652" si="45">H652</f>
        <v>46219</v>
      </c>
      <c r="B652" s="26">
        <f t="shared" ref="B652:B653" si="46">IF(I652&lt;&gt;0,I652/100,B651)</f>
        <v>0.89910000000000001</v>
      </c>
      <c r="C652" s="26">
        <f t="shared" si="43"/>
        <v>0.74390000000000001</v>
      </c>
      <c r="D652" s="26">
        <f t="shared" si="44"/>
        <v>0.52310000000000001</v>
      </c>
      <c r="H652" s="11">
        <v>46219</v>
      </c>
      <c r="I652" s="9">
        <v>89.91</v>
      </c>
      <c r="J652" s="9">
        <v>74.39</v>
      </c>
      <c r="K652" s="9">
        <v>52.31</v>
      </c>
    </row>
    <row r="653" spans="1:11" x14ac:dyDescent="0.4">
      <c r="A653" s="16">
        <f>H653</f>
        <v>46226</v>
      </c>
      <c r="B653" s="26">
        <f t="shared" si="46"/>
        <v>0.89090000000000003</v>
      </c>
      <c r="C653" s="26">
        <f t="shared" ref="C653" si="47">IF(J653&lt;&gt;0,J653/100,C652)</f>
        <v>0.74390000000000001</v>
      </c>
      <c r="D653" s="26">
        <f t="shared" ref="D653" si="48">IF(K653&lt;&gt;0,K653/100,D652)</f>
        <v>0.51680000000000004</v>
      </c>
      <c r="H653" s="11">
        <v>46226</v>
      </c>
      <c r="I653" s="9">
        <v>89.09</v>
      </c>
      <c r="J653" s="9">
        <v>74.39</v>
      </c>
      <c r="K653" s="9">
        <v>51.68</v>
      </c>
    </row>
    <row r="654" spans="1:11" x14ac:dyDescent="0.4">
      <c r="A654" s="16">
        <f>H654</f>
        <v>46233</v>
      </c>
      <c r="B654" s="26">
        <f t="shared" ref="B654" si="49">IF(I654&lt;&gt;0,I654/100,B653)</f>
        <v>0.90280000000000005</v>
      </c>
      <c r="C654" s="26">
        <f t="shared" ref="C654" si="50">IF(J654&lt;&gt;0,J654/100,C653)</f>
        <v>0.7387999999999999</v>
      </c>
      <c r="D654" s="26">
        <f t="shared" ref="D654" si="51">IF(K654&lt;&gt;0,K654/100,D653)</f>
        <v>0.51570000000000005</v>
      </c>
      <c r="H654" s="11">
        <v>46233</v>
      </c>
      <c r="I654" s="9">
        <v>90.28</v>
      </c>
      <c r="J654" s="9">
        <v>73.88</v>
      </c>
      <c r="K654" s="9">
        <v>51.57</v>
      </c>
    </row>
    <row r="655" spans="1:11" x14ac:dyDescent="0.4">
      <c r="A655" s="16">
        <f>H655</f>
        <v>46240</v>
      </c>
      <c r="B655" s="26">
        <f t="shared" ref="B655:B656" si="52">IF(I655&lt;&gt;0,I655/100,B654)</f>
        <v>0.88989999999999991</v>
      </c>
      <c r="C655" s="26">
        <f t="shared" ref="C655:C656" si="53">IF(J655&lt;&gt;0,J655/100,C654)</f>
        <v>0.74280000000000002</v>
      </c>
      <c r="D655" s="26">
        <f t="shared" ref="D655:D656" si="54">IF(K655&lt;&gt;0,K655/100,D654)</f>
        <v>0.49920000000000003</v>
      </c>
      <c r="H655" s="11">
        <v>46240</v>
      </c>
      <c r="I655" s="9">
        <v>88.99</v>
      </c>
      <c r="J655" s="9">
        <v>74.28</v>
      </c>
      <c r="K655" s="9">
        <v>49.92</v>
      </c>
    </row>
    <row r="656" spans="1:11" x14ac:dyDescent="0.4">
      <c r="A656" s="16">
        <f t="shared" ref="A656" si="55">H656</f>
        <v>46247</v>
      </c>
      <c r="B656" s="26">
        <f t="shared" si="52"/>
        <v>0.86170000000000002</v>
      </c>
      <c r="C656" s="26">
        <f t="shared" si="53"/>
        <v>0.74280000000000002</v>
      </c>
      <c r="D656" s="26">
        <f t="shared" si="54"/>
        <v>0.50869999999999993</v>
      </c>
      <c r="H656" s="11">
        <v>46247</v>
      </c>
      <c r="I656" s="9">
        <v>86.17</v>
      </c>
      <c r="J656" s="9">
        <v>74.28</v>
      </c>
      <c r="K656" s="9">
        <v>50.87</v>
      </c>
    </row>
    <row r="657" spans="1:11" x14ac:dyDescent="0.4">
      <c r="A657" s="16">
        <f>H657</f>
        <v>46254</v>
      </c>
      <c r="B657" s="26">
        <f t="shared" ref="B657:B659" si="56">IF(I657&lt;&gt;0,I657/100,B656)</f>
        <v>0.86629999999999996</v>
      </c>
      <c r="C657" s="26">
        <f t="shared" ref="C657:C659" si="57">IF(J657&lt;&gt;0,J657/100,C656)</f>
        <v>0.74280000000000002</v>
      </c>
      <c r="D657" s="26">
        <f t="shared" ref="D657:D659" si="58">IF(K657&lt;&gt;0,K657/100,D656)</f>
        <v>0.51780000000000004</v>
      </c>
      <c r="H657" s="11">
        <v>46254</v>
      </c>
      <c r="I657" s="9">
        <v>86.63</v>
      </c>
      <c r="J657" s="9">
        <v>74.28</v>
      </c>
      <c r="K657" s="9">
        <v>51.78</v>
      </c>
    </row>
    <row r="658" spans="1:11" x14ac:dyDescent="0.4">
      <c r="A658" s="16">
        <f>H658</f>
        <v>46261</v>
      </c>
      <c r="B658" s="26">
        <f t="shared" si="56"/>
        <v>0.83329999999999993</v>
      </c>
      <c r="C658" s="26">
        <f t="shared" si="57"/>
        <v>0.74280000000000002</v>
      </c>
      <c r="D658" s="26">
        <f t="shared" si="58"/>
        <v>0.51929999999999998</v>
      </c>
      <c r="H658" s="11">
        <v>46261</v>
      </c>
      <c r="I658" s="9">
        <v>83.33</v>
      </c>
      <c r="J658" s="9">
        <v>74.28</v>
      </c>
      <c r="K658" s="9">
        <v>51.93</v>
      </c>
    </row>
    <row r="659" spans="1:11" x14ac:dyDescent="0.4">
      <c r="A659" s="16">
        <f>H659</f>
        <v>46268</v>
      </c>
      <c r="B659" s="26">
        <f t="shared" si="56"/>
        <v>0.82140000000000002</v>
      </c>
      <c r="C659" s="26">
        <f t="shared" si="57"/>
        <v>0.73780000000000001</v>
      </c>
      <c r="D659" s="26">
        <f t="shared" si="58"/>
        <v>0.52110000000000001</v>
      </c>
      <c r="H659" s="11">
        <v>46268</v>
      </c>
      <c r="I659" s="9">
        <v>82.14</v>
      </c>
      <c r="J659" s="9">
        <v>73.78</v>
      </c>
      <c r="K659" s="9">
        <v>52.11</v>
      </c>
    </row>
    <row r="660" spans="1:11" x14ac:dyDescent="0.4">
      <c r="A660" s="16">
        <f>H660</f>
        <v>46275</v>
      </c>
      <c r="B660" s="26">
        <f t="shared" ref="B660:B662" si="59">IF(I660&lt;&gt;0,I660/100,B659)</f>
        <v>0.79559999999999997</v>
      </c>
      <c r="C660" s="26">
        <f t="shared" ref="C660:C662" si="60">IF(J660&lt;&gt;0,J660/100,C659)</f>
        <v>0.73760000000000003</v>
      </c>
      <c r="D660" s="26">
        <f t="shared" ref="D660:D662" si="61">IF(K660&lt;&gt;0,K660/100,D659)</f>
        <v>0.52239999999999998</v>
      </c>
      <c r="H660" s="11">
        <v>46275</v>
      </c>
      <c r="I660" s="9">
        <v>79.56</v>
      </c>
      <c r="J660" s="9">
        <v>73.760000000000005</v>
      </c>
      <c r="K660" s="9">
        <v>52.24</v>
      </c>
    </row>
    <row r="661" spans="1:11" x14ac:dyDescent="0.4">
      <c r="A661" s="16">
        <f>H661</f>
        <v>46282</v>
      </c>
      <c r="B661" s="26">
        <f t="shared" si="59"/>
        <v>0.81059999999999999</v>
      </c>
      <c r="C661" s="26">
        <f t="shared" si="60"/>
        <v>0.74049999999999994</v>
      </c>
      <c r="D661" s="26">
        <f t="shared" si="61"/>
        <v>0.51939999999999997</v>
      </c>
      <c r="H661" s="11">
        <v>46282</v>
      </c>
      <c r="I661" s="9">
        <v>81.06</v>
      </c>
      <c r="J661" s="9">
        <v>74.05</v>
      </c>
      <c r="K661" s="9">
        <v>51.94</v>
      </c>
    </row>
    <row r="662" spans="1:11" x14ac:dyDescent="0.4">
      <c r="A662" s="16">
        <f>H662</f>
        <v>46289</v>
      </c>
      <c r="B662" s="26">
        <f t="shared" si="59"/>
        <v>0.82040000000000002</v>
      </c>
      <c r="C662" s="26">
        <f t="shared" si="60"/>
        <v>0.73309999999999997</v>
      </c>
      <c r="D662" s="26">
        <f t="shared" si="61"/>
        <v>0.51270000000000004</v>
      </c>
      <c r="H662" s="11">
        <v>46289</v>
      </c>
      <c r="I662" s="9">
        <v>82.04</v>
      </c>
      <c r="J662" s="9">
        <v>73.31</v>
      </c>
      <c r="K662" s="9">
        <v>51.27</v>
      </c>
    </row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2C68-07D6-4E3F-8F51-79061A4109F0}">
  <dimension ref="B1:AQ4175"/>
  <sheetViews>
    <sheetView zoomScale="70" zoomScaleNormal="70" workbookViewId="0">
      <pane xSplit="2" ySplit="4" topLeftCell="C533" activePane="bottomRight" state="frozen"/>
      <selection pane="topRight" activeCell="C1" sqref="C1"/>
      <selection pane="bottomLeft" activeCell="A5" sqref="A5"/>
      <selection pane="bottomRight" activeCell="E565" sqref="E565"/>
    </sheetView>
  </sheetViews>
  <sheetFormatPr defaultRowHeight="13.9" outlineLevelCol="1" x14ac:dyDescent="0.4"/>
  <cols>
    <col min="2" max="2" width="11.1328125" style="2" bestFit="1" customWidth="1"/>
    <col min="3" max="3" width="14.59765625" style="2" customWidth="1"/>
    <col min="4" max="4" width="34.59765625" style="2" bestFit="1" customWidth="1"/>
    <col min="5" max="5" width="27.73046875" style="2" customWidth="1"/>
    <col min="6" max="6" width="32.86328125" style="2" customWidth="1"/>
    <col min="8" max="8" width="11.1328125" style="2" bestFit="1" customWidth="1"/>
    <col min="9" max="9" width="17.3984375" hidden="1" customWidth="1" outlineLevel="1"/>
    <col min="10" max="10" width="22.73046875" hidden="1" customWidth="1" outlineLevel="1"/>
    <col min="11" max="11" width="30" hidden="1" customWidth="1" outlineLevel="1"/>
    <col min="12" max="14" width="9" hidden="1" customWidth="1" outlineLevel="1"/>
    <col min="15" max="15" width="21.86328125" hidden="1" customWidth="1" outlineLevel="1"/>
    <col min="16" max="16" width="42.73046875" hidden="1" customWidth="1" outlineLevel="1"/>
    <col min="17" max="17" width="38.46484375" hidden="1" customWidth="1" outlineLevel="1"/>
    <col min="18" max="18" width="35.1328125" hidden="1" customWidth="1" outlineLevel="1"/>
    <col min="19" max="19" width="36.73046875" hidden="1" customWidth="1" outlineLevel="1"/>
    <col min="20" max="20" width="31" style="30" hidden="1" customWidth="1" outlineLevel="1"/>
    <col min="21" max="21" width="9" hidden="1" customWidth="1" outlineLevel="1"/>
    <col min="22" max="22" width="2.73046875" style="32" hidden="1" customWidth="1" outlineLevel="1"/>
    <col min="23" max="23" width="16.86328125" hidden="1" customWidth="1" outlineLevel="1"/>
    <col min="24" max="24" width="19.1328125" hidden="1" customWidth="1" outlineLevel="1"/>
    <col min="25" max="25" width="20.3984375" hidden="1" customWidth="1" outlineLevel="1"/>
    <col min="26" max="26" width="2.73046875" style="32" hidden="1" customWidth="1" outlineLevel="1"/>
    <col min="27" max="27" width="17.3984375" hidden="1" customWidth="1" outlineLevel="1"/>
    <col min="28" max="28" width="42.1328125" style="21" hidden="1" customWidth="1" outlineLevel="1"/>
    <col min="29" max="29" width="54" style="23" hidden="1" customWidth="1" outlineLevel="1"/>
    <col min="30" max="30" width="37.86328125" style="21" hidden="1" customWidth="1" outlineLevel="1"/>
    <col min="31" max="31" width="40.46484375" hidden="1" customWidth="1" outlineLevel="1"/>
    <col min="32" max="32" width="33" hidden="1" customWidth="1" outlineLevel="1"/>
    <col min="33" max="33" width="9.1328125" collapsed="1"/>
    <col min="37" max="37" width="18.265625" customWidth="1"/>
    <col min="38" max="38" width="18.73046875" customWidth="1"/>
    <col min="39" max="39" width="15.3984375" customWidth="1"/>
    <col min="40" max="40" width="17" customWidth="1"/>
    <col min="41" max="41" width="16.3984375" customWidth="1"/>
    <col min="42" max="42" width="22.3984375" customWidth="1"/>
    <col min="43" max="43" width="24" customWidth="1"/>
  </cols>
  <sheetData>
    <row r="1" spans="2:43" x14ac:dyDescent="0.4">
      <c r="I1" s="13" t="str">
        <f>[1]!edb()</f>
        <v>Wind</v>
      </c>
      <c r="J1" s="10"/>
      <c r="O1" s="15" t="str">
        <f>[1]!edb()</f>
        <v>Wind</v>
      </c>
    </row>
    <row r="2" spans="2:43" x14ac:dyDescent="0.4">
      <c r="B2" s="3"/>
      <c r="C2" s="7" t="s">
        <v>9</v>
      </c>
      <c r="D2" s="3" t="s">
        <v>56</v>
      </c>
      <c r="E2" s="3" t="s">
        <v>2</v>
      </c>
      <c r="F2" s="3" t="s">
        <v>3</v>
      </c>
      <c r="H2" s="3"/>
      <c r="I2" s="36" t="s">
        <v>6</v>
      </c>
      <c r="J2" s="36" t="s">
        <v>26</v>
      </c>
      <c r="K2" s="37" t="s">
        <v>27</v>
      </c>
      <c r="O2" s="37" t="s">
        <v>6</v>
      </c>
      <c r="P2" s="37" t="s">
        <v>29</v>
      </c>
      <c r="Q2" s="37" t="s">
        <v>30</v>
      </c>
      <c r="R2" s="37" t="s">
        <v>28</v>
      </c>
      <c r="S2" s="37" t="s">
        <v>32</v>
      </c>
      <c r="T2" s="39" t="s">
        <v>31</v>
      </c>
      <c r="W2" s="18" t="s">
        <v>6</v>
      </c>
      <c r="X2" s="18" t="s">
        <v>26</v>
      </c>
      <c r="Y2" s="19" t="s">
        <v>27</v>
      </c>
      <c r="Z2" s="33"/>
      <c r="AA2" s="19" t="s">
        <v>6</v>
      </c>
      <c r="AB2" s="22" t="s">
        <v>60</v>
      </c>
      <c r="AC2" s="24" t="s">
        <v>61</v>
      </c>
      <c r="AD2" s="22" t="s">
        <v>59</v>
      </c>
      <c r="AE2" s="19" t="s">
        <v>62</v>
      </c>
      <c r="AF2" s="19" t="s">
        <v>58</v>
      </c>
      <c r="AK2" s="3"/>
      <c r="AL2" s="7"/>
      <c r="AN2" s="3"/>
      <c r="AO2" s="3"/>
      <c r="AP2" s="3"/>
      <c r="AQ2" s="3"/>
    </row>
    <row r="3" spans="2:43" x14ac:dyDescent="0.4">
      <c r="B3" s="4" t="s">
        <v>0</v>
      </c>
      <c r="C3" s="2" t="s">
        <v>7</v>
      </c>
      <c r="D3" s="4" t="s">
        <v>1</v>
      </c>
      <c r="E3" s="4" t="s">
        <v>1</v>
      </c>
      <c r="F3" s="4" t="s">
        <v>1</v>
      </c>
      <c r="H3" s="4"/>
      <c r="I3" s="38" t="s">
        <v>11</v>
      </c>
      <c r="J3" s="38" t="s">
        <v>7</v>
      </c>
      <c r="K3" s="37" t="s">
        <v>7</v>
      </c>
      <c r="O3" s="37" t="s">
        <v>11</v>
      </c>
      <c r="P3" s="37" t="s">
        <v>7</v>
      </c>
      <c r="Q3" s="37" t="s">
        <v>7</v>
      </c>
      <c r="R3" s="37" t="s">
        <v>7</v>
      </c>
      <c r="S3" s="37" t="s">
        <v>7</v>
      </c>
      <c r="T3" s="39" t="s">
        <v>7</v>
      </c>
      <c r="W3" s="12" t="s">
        <v>11</v>
      </c>
      <c r="X3" s="12" t="s">
        <v>7</v>
      </c>
      <c r="Y3" s="19" t="s">
        <v>7</v>
      </c>
      <c r="Z3" s="33"/>
      <c r="AA3" s="19" t="s">
        <v>11</v>
      </c>
      <c r="AB3" s="22" t="s">
        <v>1</v>
      </c>
      <c r="AC3" s="24" t="s">
        <v>1</v>
      </c>
      <c r="AD3" s="22" t="s">
        <v>1</v>
      </c>
      <c r="AE3" s="19" t="s">
        <v>1</v>
      </c>
      <c r="AF3" s="19" t="s">
        <v>1</v>
      </c>
      <c r="AK3" s="4"/>
      <c r="AL3" s="2"/>
      <c r="AN3" s="4"/>
      <c r="AO3" s="4"/>
      <c r="AP3" s="4"/>
      <c r="AQ3" s="4"/>
    </row>
    <row r="4" spans="2:43" x14ac:dyDescent="0.4">
      <c r="B4" s="2" t="s">
        <v>4</v>
      </c>
      <c r="C4" s="2" t="s">
        <v>8</v>
      </c>
      <c r="D4" s="2" t="s">
        <v>5</v>
      </c>
      <c r="E4" s="2" t="s">
        <v>5</v>
      </c>
      <c r="F4" s="2" t="s">
        <v>5</v>
      </c>
      <c r="I4" s="37" t="s">
        <v>4</v>
      </c>
      <c r="J4" s="37" t="s">
        <v>8</v>
      </c>
      <c r="K4" s="37" t="s">
        <v>8</v>
      </c>
      <c r="O4" s="37" t="s">
        <v>4</v>
      </c>
      <c r="P4" s="37" t="s">
        <v>5</v>
      </c>
      <c r="Q4" s="37" t="s">
        <v>5</v>
      </c>
      <c r="R4" s="37" t="s">
        <v>5</v>
      </c>
      <c r="S4" s="37" t="s">
        <v>5</v>
      </c>
      <c r="T4" s="39" t="s">
        <v>5</v>
      </c>
      <c r="W4" s="19" t="s">
        <v>4</v>
      </c>
      <c r="X4" s="19" t="s">
        <v>8</v>
      </c>
      <c r="Y4" s="19" t="s">
        <v>8</v>
      </c>
      <c r="Z4" s="33"/>
      <c r="AA4" s="19" t="s">
        <v>4</v>
      </c>
      <c r="AB4" s="22" t="s">
        <v>36</v>
      </c>
      <c r="AC4" s="24" t="s">
        <v>36</v>
      </c>
      <c r="AD4" s="22" t="s">
        <v>36</v>
      </c>
      <c r="AE4" s="19" t="s">
        <v>36</v>
      </c>
      <c r="AF4" s="19" t="s">
        <v>36</v>
      </c>
      <c r="AK4" s="2"/>
      <c r="AL4" s="2"/>
      <c r="AN4" s="2"/>
      <c r="AO4" s="2"/>
      <c r="AP4" s="2"/>
      <c r="AQ4" s="2"/>
    </row>
    <row r="5" spans="2:43" x14ac:dyDescent="0.4">
      <c r="B5" s="6">
        <f>I57</f>
        <v>42371</v>
      </c>
      <c r="C5" s="8">
        <f>Y57-X57</f>
        <v>350.02</v>
      </c>
      <c r="D5" s="5">
        <f>IFERROR(VLOOKUP(B5,$AA:$AF,4,1)-0.855*VLOOKUP(B5,$AA:$AF,2,1)-0.335*VLOOKUP(B5,$AA:$AF,3,1),D4)</f>
        <v>810.39374999999995</v>
      </c>
      <c r="E5" s="5">
        <f>IFERROR(VLOOKUP(B5,$AA:$AF,5,1)-0.855*VLOOKUP(B5,$AA:$AF,2,1)-0.335*VLOOKUP(B5,$AA:$AF,3,1),E4)</f>
        <v>1310.39375</v>
      </c>
      <c r="F5" s="5">
        <f>IFERROR(VLOOKUP(B5,$AA:$AF,6,1)-0.855*VLOOKUP(B5,$AA:$AF,2,1)-0.335*VLOOKUP(B5,$AA:$AF,3,1),F4)</f>
        <v>2260.3937500000002</v>
      </c>
      <c r="H5" s="6"/>
      <c r="I5" s="11">
        <v>42007</v>
      </c>
      <c r="J5" s="9">
        <v>460.85666666666668</v>
      </c>
      <c r="K5" s="9">
        <v>853</v>
      </c>
      <c r="O5" s="11">
        <v>42371</v>
      </c>
      <c r="P5" s="9">
        <v>0</v>
      </c>
      <c r="Q5" s="9">
        <v>4678.75</v>
      </c>
      <c r="R5" s="9">
        <v>6050</v>
      </c>
      <c r="S5" s="9">
        <v>6550</v>
      </c>
      <c r="T5" s="31">
        <v>7500</v>
      </c>
      <c r="W5" s="16">
        <f>I5</f>
        <v>42007</v>
      </c>
      <c r="X5" s="9">
        <f>IFERROR(IF(J5&lt;&gt;0,J5,X4),X4)</f>
        <v>460.85666666666668</v>
      </c>
      <c r="Y5" s="9">
        <f>IFERROR(IF(K5&lt;&gt;0,K5,Y4),Y4)</f>
        <v>853</v>
      </c>
      <c r="AA5" s="16">
        <f>O5</f>
        <v>42371</v>
      </c>
      <c r="AB5" s="21">
        <v>4295</v>
      </c>
      <c r="AC5" s="21">
        <f>IFERROR(IF(Q5&lt;&gt;0,Q5,AC4),AC4)</f>
        <v>4678.75</v>
      </c>
      <c r="AD5" s="21">
        <f>IFERROR(IF(R5&lt;&gt;0,R5,AD4),AD4)</f>
        <v>6050</v>
      </c>
      <c r="AE5" s="21">
        <f t="shared" ref="AE5:AF5" si="0">IFERROR(IF(S5&lt;&gt;0,S5,AE4),AE4)</f>
        <v>6550</v>
      </c>
      <c r="AF5" s="21">
        <f t="shared" si="0"/>
        <v>7500</v>
      </c>
      <c r="AK5" s="16"/>
      <c r="AL5" s="17"/>
      <c r="AN5" s="16"/>
    </row>
    <row r="6" spans="2:43" x14ac:dyDescent="0.4">
      <c r="B6" s="6">
        <f t="shared" ref="B6:B69" si="1">I58</f>
        <v>42378</v>
      </c>
      <c r="C6" s="8">
        <f t="shared" ref="C6:C69" si="2">Y58-X58</f>
        <v>353.63600000000002</v>
      </c>
      <c r="D6" s="5">
        <f t="shared" ref="D6:D69" si="3">IFERROR(VLOOKUP(B6,$AA:$AF,4,1)-0.855*VLOOKUP(B6,$AA:$AF,2,1)-0.335*VLOOKUP(B6,$AA:$AF,3,1),D5)</f>
        <v>887.18999999999983</v>
      </c>
      <c r="E6" s="5">
        <f t="shared" ref="E6:E69" si="4">IFERROR(VLOOKUP(B6,$AA:$AF,5,1)-0.855*VLOOKUP(B6,$AA:$AF,2,1)-0.335*VLOOKUP(B6,$AA:$AF,3,1),E5)</f>
        <v>1407.1899999999998</v>
      </c>
      <c r="F6" s="5">
        <f t="shared" ref="F6:F69" si="5">IFERROR(VLOOKUP(B6,$AA:$AF,6,1)-0.855*VLOOKUP(B6,$AA:$AF,2,1)-0.335*VLOOKUP(B6,$AA:$AF,3,1),F5)</f>
        <v>2287.1899999999996</v>
      </c>
      <c r="H6" s="6"/>
      <c r="I6" s="11">
        <v>42014</v>
      </c>
      <c r="J6" s="9">
        <v>409.20800000000003</v>
      </c>
      <c r="K6" s="9">
        <v>792.05</v>
      </c>
      <c r="O6" s="11">
        <v>42378</v>
      </c>
      <c r="P6" s="9">
        <v>0</v>
      </c>
      <c r="Q6" s="9">
        <v>4586</v>
      </c>
      <c r="R6" s="9">
        <v>6100</v>
      </c>
      <c r="S6" s="9">
        <v>6620</v>
      </c>
      <c r="T6" s="31">
        <v>7500</v>
      </c>
      <c r="W6" s="16">
        <f t="shared" ref="W6:W69" si="6">I6</f>
        <v>42014</v>
      </c>
      <c r="X6" s="9">
        <f t="shared" ref="X6:X69" si="7">IFERROR(IF(J6&lt;&gt;0,J6,X5),X5)</f>
        <v>409.20800000000003</v>
      </c>
      <c r="Y6" s="9">
        <f t="shared" ref="Y6:Y69" si="8">IFERROR(IF(K6&lt;&gt;0,K6,Y5),Y5)</f>
        <v>792.05</v>
      </c>
      <c r="AA6" s="16">
        <f t="shared" ref="AA6:AA69" si="9">O6</f>
        <v>42378</v>
      </c>
      <c r="AB6" s="21">
        <v>4300</v>
      </c>
      <c r="AC6" s="21">
        <f t="shared" ref="AC6:AC69" si="10">IFERROR(IF(Q6&lt;&gt;0,Q6,AC5),AC5)</f>
        <v>4586</v>
      </c>
      <c r="AD6" s="21">
        <f t="shared" ref="AD6:AD69" si="11">IFERROR(IF(R6&lt;&gt;0,R6,AD5),AD5)</f>
        <v>6100</v>
      </c>
      <c r="AE6" s="21">
        <f t="shared" ref="AE6:AE69" si="12">IFERROR(IF(S6&lt;&gt;0,S6,AE5),AE5)</f>
        <v>6620</v>
      </c>
      <c r="AF6" s="21">
        <f t="shared" ref="AF6:AF69" si="13">IFERROR(IF(T6&lt;&gt;0,T6,AF5),AF5)</f>
        <v>7500</v>
      </c>
      <c r="AK6" s="16"/>
      <c r="AL6" s="17"/>
      <c r="AN6" s="16"/>
    </row>
    <row r="7" spans="2:43" x14ac:dyDescent="0.4">
      <c r="B7" s="6">
        <f t="shared" si="1"/>
        <v>42385</v>
      </c>
      <c r="C7" s="8">
        <f t="shared" si="2"/>
        <v>367.96000000000004</v>
      </c>
      <c r="D7" s="5">
        <f t="shared" si="3"/>
        <v>1107.0249999999999</v>
      </c>
      <c r="E7" s="5">
        <f t="shared" si="4"/>
        <v>1587.0249999999999</v>
      </c>
      <c r="F7" s="5">
        <f t="shared" si="5"/>
        <v>2437.0249999999996</v>
      </c>
      <c r="H7" s="6"/>
      <c r="I7" s="11">
        <v>42021</v>
      </c>
      <c r="J7" s="9">
        <v>399.23200000000003</v>
      </c>
      <c r="K7" s="9">
        <v>743.75</v>
      </c>
      <c r="O7" s="11">
        <v>42385</v>
      </c>
      <c r="P7" s="9">
        <v>0</v>
      </c>
      <c r="Q7" s="9">
        <v>4445</v>
      </c>
      <c r="R7" s="9">
        <v>6170</v>
      </c>
      <c r="S7" s="9">
        <v>6650</v>
      </c>
      <c r="T7" s="31">
        <v>7500</v>
      </c>
      <c r="W7" s="16">
        <f t="shared" si="6"/>
        <v>42021</v>
      </c>
      <c r="X7" s="9">
        <f t="shared" si="7"/>
        <v>399.23200000000003</v>
      </c>
      <c r="Y7" s="9">
        <f t="shared" si="8"/>
        <v>743.75</v>
      </c>
      <c r="AA7" s="16">
        <f t="shared" si="9"/>
        <v>42385</v>
      </c>
      <c r="AB7" s="21">
        <v>4180</v>
      </c>
      <c r="AC7" s="21">
        <f t="shared" si="10"/>
        <v>4445</v>
      </c>
      <c r="AD7" s="21">
        <f t="shared" si="11"/>
        <v>6170</v>
      </c>
      <c r="AE7" s="21">
        <f t="shared" si="12"/>
        <v>6650</v>
      </c>
      <c r="AF7" s="21">
        <f t="shared" si="13"/>
        <v>7500</v>
      </c>
      <c r="AK7" s="16"/>
      <c r="AL7" s="17"/>
      <c r="AN7" s="16"/>
    </row>
    <row r="8" spans="2:43" x14ac:dyDescent="0.4">
      <c r="B8" s="6">
        <f t="shared" si="1"/>
        <v>42392</v>
      </c>
      <c r="C8" s="8">
        <f t="shared" si="2"/>
        <v>379.29</v>
      </c>
      <c r="D8" s="5">
        <f t="shared" si="3"/>
        <v>1248.3899999999999</v>
      </c>
      <c r="E8" s="5">
        <f t="shared" si="4"/>
        <v>1648.3899999999999</v>
      </c>
      <c r="F8" s="5">
        <f t="shared" si="5"/>
        <v>2498.39</v>
      </c>
      <c r="H8" s="6"/>
      <c r="I8" s="11">
        <v>42028</v>
      </c>
      <c r="J8" s="9">
        <v>424.78399999999999</v>
      </c>
      <c r="K8" s="9">
        <v>786.7</v>
      </c>
      <c r="O8" s="11">
        <v>42392</v>
      </c>
      <c r="P8" s="9">
        <v>0</v>
      </c>
      <c r="Q8" s="9">
        <v>4466</v>
      </c>
      <c r="R8" s="9">
        <v>6250</v>
      </c>
      <c r="S8" s="9">
        <v>6650</v>
      </c>
      <c r="T8" s="31">
        <v>7500</v>
      </c>
      <c r="W8" s="16">
        <f t="shared" si="6"/>
        <v>42028</v>
      </c>
      <c r="X8" s="9">
        <f t="shared" si="7"/>
        <v>424.78399999999999</v>
      </c>
      <c r="Y8" s="9">
        <f t="shared" si="8"/>
        <v>786.7</v>
      </c>
      <c r="AA8" s="16">
        <f t="shared" si="9"/>
        <v>42392</v>
      </c>
      <c r="AB8" s="21">
        <v>4100</v>
      </c>
      <c r="AC8" s="21">
        <f t="shared" si="10"/>
        <v>4466</v>
      </c>
      <c r="AD8" s="21">
        <f t="shared" si="11"/>
        <v>6250</v>
      </c>
      <c r="AE8" s="21">
        <f t="shared" si="12"/>
        <v>6650</v>
      </c>
      <c r="AF8" s="21">
        <f t="shared" si="13"/>
        <v>7500</v>
      </c>
      <c r="AK8" s="16"/>
      <c r="AL8" s="17"/>
      <c r="AN8" s="16"/>
    </row>
    <row r="9" spans="2:43" x14ac:dyDescent="0.4">
      <c r="B9" s="6">
        <f t="shared" si="1"/>
        <v>42399</v>
      </c>
      <c r="C9" s="8">
        <f t="shared" si="2"/>
        <v>399.42999999999995</v>
      </c>
      <c r="D9" s="5">
        <f t="shared" si="3"/>
        <v>1114.9999999999998</v>
      </c>
      <c r="E9" s="5">
        <f t="shared" si="4"/>
        <v>1514.9999999999998</v>
      </c>
      <c r="F9" s="5">
        <f t="shared" si="5"/>
        <v>2365</v>
      </c>
      <c r="H9" s="6"/>
      <c r="I9" s="11">
        <v>42035</v>
      </c>
      <c r="J9" s="9">
        <v>430.88400000000001</v>
      </c>
      <c r="K9" s="9">
        <v>774.2</v>
      </c>
      <c r="O9" s="11">
        <v>42399</v>
      </c>
      <c r="P9" s="9">
        <v>0</v>
      </c>
      <c r="Q9" s="9">
        <v>4660</v>
      </c>
      <c r="R9" s="9">
        <v>6250</v>
      </c>
      <c r="S9" s="9">
        <v>6650</v>
      </c>
      <c r="T9" s="31">
        <v>7500</v>
      </c>
      <c r="W9" s="16">
        <f t="shared" si="6"/>
        <v>42035</v>
      </c>
      <c r="X9" s="9">
        <f t="shared" si="7"/>
        <v>430.88400000000001</v>
      </c>
      <c r="Y9" s="9">
        <f t="shared" si="8"/>
        <v>774.2</v>
      </c>
      <c r="AA9" s="16">
        <f t="shared" si="9"/>
        <v>42399</v>
      </c>
      <c r="AB9" s="21">
        <v>4180</v>
      </c>
      <c r="AC9" s="21">
        <f t="shared" si="10"/>
        <v>4660</v>
      </c>
      <c r="AD9" s="21">
        <f t="shared" si="11"/>
        <v>6250</v>
      </c>
      <c r="AE9" s="21">
        <f t="shared" si="12"/>
        <v>6650</v>
      </c>
      <c r="AF9" s="21">
        <f t="shared" si="13"/>
        <v>7500</v>
      </c>
      <c r="AK9" s="16"/>
      <c r="AL9" s="17"/>
      <c r="AN9" s="16"/>
    </row>
    <row r="10" spans="2:43" x14ac:dyDescent="0.4">
      <c r="B10" s="6">
        <f t="shared" si="1"/>
        <v>42406</v>
      </c>
      <c r="C10" s="8">
        <f t="shared" si="2"/>
        <v>411.45899999999995</v>
      </c>
      <c r="D10" s="5">
        <f t="shared" si="3"/>
        <v>1062.5500000000002</v>
      </c>
      <c r="E10" s="5">
        <f t="shared" si="4"/>
        <v>1462.5500000000002</v>
      </c>
      <c r="F10" s="5">
        <f t="shared" si="5"/>
        <v>2312.5500000000002</v>
      </c>
      <c r="H10" s="6"/>
      <c r="I10" s="11">
        <v>42042</v>
      </c>
      <c r="J10" s="9">
        <v>503.68400000000003</v>
      </c>
      <c r="K10" s="9">
        <v>821.6</v>
      </c>
      <c r="O10" s="11">
        <v>42406</v>
      </c>
      <c r="P10" s="9">
        <v>0</v>
      </c>
      <c r="Q10" s="9">
        <v>4740</v>
      </c>
      <c r="R10" s="9">
        <v>6250</v>
      </c>
      <c r="S10" s="9">
        <v>6650</v>
      </c>
      <c r="T10" s="31">
        <v>7500</v>
      </c>
      <c r="W10" s="16">
        <f t="shared" si="6"/>
        <v>42042</v>
      </c>
      <c r="X10" s="9">
        <f t="shared" si="7"/>
        <v>503.68400000000003</v>
      </c>
      <c r="Y10" s="9">
        <f t="shared" si="8"/>
        <v>821.6</v>
      </c>
      <c r="AA10" s="16">
        <f t="shared" si="9"/>
        <v>42406</v>
      </c>
      <c r="AB10" s="21">
        <v>4210</v>
      </c>
      <c r="AC10" s="21">
        <f t="shared" si="10"/>
        <v>4740</v>
      </c>
      <c r="AD10" s="21">
        <f t="shared" si="11"/>
        <v>6250</v>
      </c>
      <c r="AE10" s="21">
        <f t="shared" si="12"/>
        <v>6650</v>
      </c>
      <c r="AF10" s="21">
        <f t="shared" si="13"/>
        <v>7500</v>
      </c>
      <c r="AK10" s="16"/>
      <c r="AL10" s="17"/>
      <c r="AN10" s="16"/>
    </row>
    <row r="11" spans="2:43" x14ac:dyDescent="0.4">
      <c r="B11" s="6">
        <f t="shared" si="1"/>
        <v>42413</v>
      </c>
      <c r="C11" s="8">
        <f t="shared" si="2"/>
        <v>432.37</v>
      </c>
      <c r="D11" s="5">
        <f t="shared" si="3"/>
        <v>1062.5500000000002</v>
      </c>
      <c r="E11" s="5">
        <f t="shared" si="4"/>
        <v>1462.5500000000002</v>
      </c>
      <c r="F11" s="5">
        <f t="shared" si="5"/>
        <v>2312.5500000000002</v>
      </c>
      <c r="H11" s="6"/>
      <c r="I11" s="11">
        <v>42049</v>
      </c>
      <c r="J11" s="9">
        <v>534.08399999999995</v>
      </c>
      <c r="K11" s="9">
        <v>831</v>
      </c>
      <c r="O11" s="11">
        <v>42420</v>
      </c>
      <c r="P11" s="9">
        <v>0</v>
      </c>
      <c r="Q11" s="9">
        <v>4981</v>
      </c>
      <c r="R11" s="9">
        <v>6290</v>
      </c>
      <c r="S11" s="9">
        <v>6670</v>
      </c>
      <c r="T11" s="31">
        <v>7500</v>
      </c>
      <c r="W11" s="16">
        <f t="shared" si="6"/>
        <v>42049</v>
      </c>
      <c r="X11" s="9">
        <f t="shared" si="7"/>
        <v>534.08399999999995</v>
      </c>
      <c r="Y11" s="9">
        <f t="shared" si="8"/>
        <v>831</v>
      </c>
      <c r="AA11" s="16">
        <f t="shared" si="9"/>
        <v>42420</v>
      </c>
      <c r="AB11" s="21">
        <v>4280</v>
      </c>
      <c r="AC11" s="21">
        <f t="shared" si="10"/>
        <v>4981</v>
      </c>
      <c r="AD11" s="21">
        <f t="shared" si="11"/>
        <v>6290</v>
      </c>
      <c r="AE11" s="21">
        <f t="shared" si="12"/>
        <v>6670</v>
      </c>
      <c r="AF11" s="21">
        <f t="shared" si="13"/>
        <v>7500</v>
      </c>
      <c r="AK11" s="16"/>
      <c r="AL11" s="17"/>
      <c r="AN11" s="16"/>
    </row>
    <row r="12" spans="2:43" x14ac:dyDescent="0.4">
      <c r="B12" s="6">
        <f t="shared" si="1"/>
        <v>42420</v>
      </c>
      <c r="C12" s="8">
        <f t="shared" si="2"/>
        <v>420.89400000000001</v>
      </c>
      <c r="D12" s="5">
        <f t="shared" si="3"/>
        <v>961.96499999999992</v>
      </c>
      <c r="E12" s="5">
        <f t="shared" si="4"/>
        <v>1341.9649999999999</v>
      </c>
      <c r="F12" s="5">
        <f t="shared" si="5"/>
        <v>2171.9650000000001</v>
      </c>
      <c r="H12" s="6"/>
      <c r="I12" s="11">
        <v>42056</v>
      </c>
      <c r="J12" s="9">
        <v>0</v>
      </c>
      <c r="K12" s="9">
        <v>878.83333333333337</v>
      </c>
      <c r="O12" s="11">
        <v>42427</v>
      </c>
      <c r="P12" s="9">
        <v>0</v>
      </c>
      <c r="Q12" s="9">
        <v>5207</v>
      </c>
      <c r="R12" s="9">
        <v>6430</v>
      </c>
      <c r="S12" s="9">
        <v>6800</v>
      </c>
      <c r="T12" s="31">
        <v>7580</v>
      </c>
      <c r="W12" s="16">
        <f t="shared" si="6"/>
        <v>42056</v>
      </c>
      <c r="X12" s="9">
        <f t="shared" si="7"/>
        <v>534.08399999999995</v>
      </c>
      <c r="Y12" s="9">
        <f t="shared" si="8"/>
        <v>878.83333333333337</v>
      </c>
      <c r="AA12" s="16">
        <f t="shared" si="9"/>
        <v>42427</v>
      </c>
      <c r="AB12" s="21">
        <v>4310</v>
      </c>
      <c r="AC12" s="21">
        <f t="shared" si="10"/>
        <v>5207</v>
      </c>
      <c r="AD12" s="21">
        <f t="shared" si="11"/>
        <v>6430</v>
      </c>
      <c r="AE12" s="21">
        <f t="shared" si="12"/>
        <v>6800</v>
      </c>
      <c r="AF12" s="21">
        <f t="shared" si="13"/>
        <v>7580</v>
      </c>
      <c r="AK12" s="16"/>
      <c r="AL12" s="17"/>
      <c r="AN12" s="16"/>
    </row>
    <row r="13" spans="2:43" x14ac:dyDescent="0.4">
      <c r="B13" s="6">
        <f t="shared" si="1"/>
        <v>42427</v>
      </c>
      <c r="C13" s="8">
        <f t="shared" si="2"/>
        <v>428.22</v>
      </c>
      <c r="D13" s="5">
        <f t="shared" si="3"/>
        <v>1000.6050000000002</v>
      </c>
      <c r="E13" s="5">
        <f t="shared" si="4"/>
        <v>1370.6050000000002</v>
      </c>
      <c r="F13" s="5">
        <f t="shared" si="5"/>
        <v>2150.6050000000005</v>
      </c>
      <c r="H13" s="6"/>
      <c r="I13" s="11">
        <v>42063</v>
      </c>
      <c r="J13" s="9">
        <v>546.50599999999997</v>
      </c>
      <c r="K13" s="9">
        <v>880.1</v>
      </c>
      <c r="O13" s="11">
        <v>42434</v>
      </c>
      <c r="P13" s="9">
        <v>0</v>
      </c>
      <c r="Q13" s="9">
        <v>5454</v>
      </c>
      <c r="R13" s="9">
        <v>6590</v>
      </c>
      <c r="S13" s="9">
        <v>7020</v>
      </c>
      <c r="T13" s="31">
        <v>7840</v>
      </c>
      <c r="W13" s="16">
        <f t="shared" si="6"/>
        <v>42063</v>
      </c>
      <c r="X13" s="9">
        <f t="shared" si="7"/>
        <v>546.50599999999997</v>
      </c>
      <c r="Y13" s="9">
        <f t="shared" si="8"/>
        <v>880.1</v>
      </c>
      <c r="AA13" s="16">
        <f t="shared" si="9"/>
        <v>42434</v>
      </c>
      <c r="AB13" s="21">
        <v>4350</v>
      </c>
      <c r="AC13" s="21">
        <f t="shared" si="10"/>
        <v>5454</v>
      </c>
      <c r="AD13" s="21">
        <f t="shared" si="11"/>
        <v>6590</v>
      </c>
      <c r="AE13" s="21">
        <f t="shared" si="12"/>
        <v>7020</v>
      </c>
      <c r="AF13" s="21">
        <f t="shared" si="13"/>
        <v>7840</v>
      </c>
      <c r="AK13" s="16"/>
      <c r="AL13" s="17"/>
      <c r="AN13" s="16"/>
    </row>
    <row r="14" spans="2:43" x14ac:dyDescent="0.4">
      <c r="B14" s="6">
        <f t="shared" si="1"/>
        <v>42434</v>
      </c>
      <c r="C14" s="8">
        <f t="shared" si="2"/>
        <v>432.10199999999998</v>
      </c>
      <c r="D14" s="5">
        <f t="shared" si="3"/>
        <v>1043.6599999999999</v>
      </c>
      <c r="E14" s="5">
        <f t="shared" si="4"/>
        <v>1473.6599999999999</v>
      </c>
      <c r="F14" s="5">
        <f t="shared" si="5"/>
        <v>2293.66</v>
      </c>
      <c r="H14" s="6"/>
      <c r="I14" s="11">
        <v>42070</v>
      </c>
      <c r="J14" s="9">
        <v>556.33399999999995</v>
      </c>
      <c r="K14" s="9">
        <v>906.6</v>
      </c>
      <c r="O14" s="11">
        <v>42441</v>
      </c>
      <c r="P14" s="9">
        <v>0</v>
      </c>
      <c r="Q14" s="9">
        <v>5705</v>
      </c>
      <c r="R14" s="9">
        <v>7260</v>
      </c>
      <c r="S14" s="9">
        <v>7730</v>
      </c>
      <c r="T14" s="31">
        <v>8480</v>
      </c>
      <c r="W14" s="16">
        <f t="shared" si="6"/>
        <v>42070</v>
      </c>
      <c r="X14" s="9">
        <f t="shared" si="7"/>
        <v>556.33399999999995</v>
      </c>
      <c r="Y14" s="9">
        <f t="shared" si="8"/>
        <v>906.6</v>
      </c>
      <c r="AA14" s="16">
        <f t="shared" si="9"/>
        <v>42441</v>
      </c>
      <c r="AB14" s="21">
        <v>4570</v>
      </c>
      <c r="AC14" s="21">
        <f t="shared" si="10"/>
        <v>5705</v>
      </c>
      <c r="AD14" s="21">
        <f t="shared" si="11"/>
        <v>7260</v>
      </c>
      <c r="AE14" s="21">
        <f t="shared" si="12"/>
        <v>7730</v>
      </c>
      <c r="AF14" s="21">
        <f t="shared" si="13"/>
        <v>8480</v>
      </c>
      <c r="AK14" s="16"/>
      <c r="AL14" s="17"/>
      <c r="AN14" s="16"/>
    </row>
    <row r="15" spans="2:43" x14ac:dyDescent="0.4">
      <c r="B15" s="6">
        <f t="shared" si="1"/>
        <v>42441</v>
      </c>
      <c r="C15" s="8">
        <f t="shared" si="2"/>
        <v>440.15600000000001</v>
      </c>
      <c r="D15" s="5">
        <f t="shared" si="3"/>
        <v>1441.4749999999999</v>
      </c>
      <c r="E15" s="5">
        <f t="shared" si="4"/>
        <v>1911.4749999999999</v>
      </c>
      <c r="F15" s="5">
        <f t="shared" si="5"/>
        <v>2661.4749999999995</v>
      </c>
      <c r="H15" s="6"/>
      <c r="I15" s="11">
        <v>42077</v>
      </c>
      <c r="J15" s="9">
        <v>528.20799999999997</v>
      </c>
      <c r="K15" s="9">
        <v>865.2</v>
      </c>
      <c r="O15" s="11">
        <v>42448</v>
      </c>
      <c r="P15" s="9">
        <v>0</v>
      </c>
      <c r="Q15" s="9">
        <v>5497</v>
      </c>
      <c r="R15" s="9">
        <v>7185</v>
      </c>
      <c r="S15" s="9">
        <v>7745</v>
      </c>
      <c r="T15" s="31">
        <v>8490</v>
      </c>
      <c r="W15" s="16">
        <f t="shared" si="6"/>
        <v>42077</v>
      </c>
      <c r="X15" s="9">
        <f t="shared" si="7"/>
        <v>528.20799999999997</v>
      </c>
      <c r="Y15" s="9">
        <f t="shared" si="8"/>
        <v>865.2</v>
      </c>
      <c r="AA15" s="16">
        <f t="shared" si="9"/>
        <v>42448</v>
      </c>
      <c r="AB15" s="21">
        <v>4540</v>
      </c>
      <c r="AC15" s="21">
        <f t="shared" si="10"/>
        <v>5497</v>
      </c>
      <c r="AD15" s="21">
        <f t="shared" si="11"/>
        <v>7185</v>
      </c>
      <c r="AE15" s="21">
        <f t="shared" si="12"/>
        <v>7745</v>
      </c>
      <c r="AF15" s="21">
        <f t="shared" si="13"/>
        <v>8490</v>
      </c>
      <c r="AK15" s="16"/>
      <c r="AL15" s="17"/>
      <c r="AN15" s="16"/>
    </row>
    <row r="16" spans="2:43" x14ac:dyDescent="0.4">
      <c r="B16" s="6">
        <f t="shared" si="1"/>
        <v>42448</v>
      </c>
      <c r="C16" s="8">
        <f t="shared" si="2"/>
        <v>430.96399999999994</v>
      </c>
      <c r="D16" s="5">
        <f t="shared" si="3"/>
        <v>1461.8050000000001</v>
      </c>
      <c r="E16" s="5">
        <f t="shared" si="4"/>
        <v>2021.8050000000001</v>
      </c>
      <c r="F16" s="5">
        <f t="shared" si="5"/>
        <v>2766.8050000000003</v>
      </c>
      <c r="H16" s="6"/>
      <c r="I16" s="11">
        <v>42084</v>
      </c>
      <c r="J16" s="9">
        <v>503.78</v>
      </c>
      <c r="K16" s="9">
        <v>809.6</v>
      </c>
      <c r="O16" s="11">
        <v>42455</v>
      </c>
      <c r="P16" s="9">
        <v>0</v>
      </c>
      <c r="Q16" s="9">
        <v>5516</v>
      </c>
      <c r="R16" s="9">
        <v>7125</v>
      </c>
      <c r="S16" s="9">
        <v>7710</v>
      </c>
      <c r="T16" s="31">
        <v>8410</v>
      </c>
      <c r="W16" s="16">
        <f t="shared" si="6"/>
        <v>42084</v>
      </c>
      <c r="X16" s="9">
        <f t="shared" si="7"/>
        <v>503.78</v>
      </c>
      <c r="Y16" s="9">
        <f t="shared" si="8"/>
        <v>809.6</v>
      </c>
      <c r="AA16" s="16">
        <f t="shared" si="9"/>
        <v>42455</v>
      </c>
      <c r="AB16" s="21">
        <v>4520</v>
      </c>
      <c r="AC16" s="21">
        <f t="shared" si="10"/>
        <v>5516</v>
      </c>
      <c r="AD16" s="21">
        <f t="shared" si="11"/>
        <v>7125</v>
      </c>
      <c r="AE16" s="21">
        <f t="shared" si="12"/>
        <v>7710</v>
      </c>
      <c r="AF16" s="21">
        <f t="shared" si="13"/>
        <v>8410</v>
      </c>
      <c r="AK16" s="16"/>
      <c r="AL16" s="17"/>
      <c r="AN16" s="16"/>
    </row>
    <row r="17" spans="2:40" x14ac:dyDescent="0.4">
      <c r="B17" s="6">
        <f t="shared" si="1"/>
        <v>42455</v>
      </c>
      <c r="C17" s="8">
        <f t="shared" si="2"/>
        <v>423.15249999999997</v>
      </c>
      <c r="D17" s="5">
        <f t="shared" si="3"/>
        <v>1412.54</v>
      </c>
      <c r="E17" s="5">
        <f t="shared" si="4"/>
        <v>1997.54</v>
      </c>
      <c r="F17" s="5">
        <f t="shared" si="5"/>
        <v>2697.5399999999995</v>
      </c>
      <c r="H17" s="6"/>
      <c r="I17" s="11">
        <v>42091</v>
      </c>
      <c r="J17" s="9">
        <v>549.73199999999997</v>
      </c>
      <c r="K17" s="9">
        <v>843.6</v>
      </c>
      <c r="O17" s="11">
        <v>42462</v>
      </c>
      <c r="P17" s="9">
        <v>0</v>
      </c>
      <c r="Q17" s="9">
        <v>5541</v>
      </c>
      <c r="R17" s="9">
        <v>7000</v>
      </c>
      <c r="S17" s="9">
        <v>7600</v>
      </c>
      <c r="T17" s="31">
        <v>8400</v>
      </c>
      <c r="W17" s="16">
        <f t="shared" si="6"/>
        <v>42091</v>
      </c>
      <c r="X17" s="9">
        <f t="shared" si="7"/>
        <v>549.73199999999997</v>
      </c>
      <c r="Y17" s="9">
        <f t="shared" si="8"/>
        <v>843.6</v>
      </c>
      <c r="AA17" s="16">
        <f t="shared" si="9"/>
        <v>42462</v>
      </c>
      <c r="AB17" s="21">
        <v>4580</v>
      </c>
      <c r="AC17" s="21">
        <f t="shared" si="10"/>
        <v>5541</v>
      </c>
      <c r="AD17" s="21">
        <f t="shared" si="11"/>
        <v>7000</v>
      </c>
      <c r="AE17" s="21">
        <f t="shared" si="12"/>
        <v>7600</v>
      </c>
      <c r="AF17" s="21">
        <f t="shared" si="13"/>
        <v>8400</v>
      </c>
      <c r="AK17" s="16"/>
      <c r="AL17" s="17"/>
      <c r="AN17" s="16"/>
    </row>
    <row r="18" spans="2:40" x14ac:dyDescent="0.4">
      <c r="B18" s="6">
        <f t="shared" si="1"/>
        <v>42462</v>
      </c>
      <c r="C18" s="8">
        <f t="shared" si="2"/>
        <v>424.61400000000003</v>
      </c>
      <c r="D18" s="5">
        <f t="shared" si="3"/>
        <v>1227.8649999999998</v>
      </c>
      <c r="E18" s="5">
        <f t="shared" si="4"/>
        <v>1827.8649999999998</v>
      </c>
      <c r="F18" s="5">
        <f t="shared" si="5"/>
        <v>2627.8650000000002</v>
      </c>
      <c r="H18" s="6"/>
      <c r="I18" s="11">
        <v>42098</v>
      </c>
      <c r="J18" s="9">
        <v>533.38750000000005</v>
      </c>
      <c r="K18" s="9">
        <v>816</v>
      </c>
      <c r="O18" s="11">
        <v>42469</v>
      </c>
      <c r="P18" s="9">
        <v>0</v>
      </c>
      <c r="Q18" s="9">
        <v>5301.25</v>
      </c>
      <c r="R18" s="9">
        <v>7000</v>
      </c>
      <c r="S18" s="9">
        <v>7600</v>
      </c>
      <c r="T18" s="31">
        <v>8400</v>
      </c>
      <c r="W18" s="16">
        <f t="shared" si="6"/>
        <v>42098</v>
      </c>
      <c r="X18" s="9">
        <f t="shared" si="7"/>
        <v>533.38750000000005</v>
      </c>
      <c r="Y18" s="9">
        <f t="shared" si="8"/>
        <v>816</v>
      </c>
      <c r="AA18" s="16">
        <f t="shared" si="9"/>
        <v>42469</v>
      </c>
      <c r="AB18" s="21">
        <v>4600</v>
      </c>
      <c r="AC18" s="21">
        <f t="shared" si="10"/>
        <v>5301.25</v>
      </c>
      <c r="AD18" s="21">
        <f t="shared" si="11"/>
        <v>7000</v>
      </c>
      <c r="AE18" s="21">
        <f t="shared" si="12"/>
        <v>7600</v>
      </c>
      <c r="AF18" s="21">
        <f t="shared" si="13"/>
        <v>8400</v>
      </c>
      <c r="AK18" s="16"/>
      <c r="AL18" s="17"/>
      <c r="AN18" s="16"/>
    </row>
    <row r="19" spans="2:40" x14ac:dyDescent="0.4">
      <c r="B19" s="6">
        <f t="shared" si="1"/>
        <v>42469</v>
      </c>
      <c r="C19" s="8">
        <f t="shared" si="2"/>
        <v>416.34</v>
      </c>
      <c r="D19" s="5">
        <f t="shared" si="3"/>
        <v>1291.08125</v>
      </c>
      <c r="E19" s="5">
        <f t="shared" si="4"/>
        <v>1891.08125</v>
      </c>
      <c r="F19" s="5">
        <f t="shared" si="5"/>
        <v>2691.0812500000002</v>
      </c>
      <c r="H19" s="6"/>
      <c r="I19" s="11">
        <v>42105</v>
      </c>
      <c r="J19" s="9">
        <v>529.35799999999995</v>
      </c>
      <c r="K19" s="9">
        <v>872.4</v>
      </c>
      <c r="O19" s="11">
        <v>42476</v>
      </c>
      <c r="P19" s="9">
        <v>0</v>
      </c>
      <c r="Q19" s="9">
        <v>5201</v>
      </c>
      <c r="R19" s="9">
        <v>7000</v>
      </c>
      <c r="S19" s="9">
        <v>7650</v>
      </c>
      <c r="T19" s="31">
        <v>8420</v>
      </c>
      <c r="W19" s="16">
        <f t="shared" si="6"/>
        <v>42105</v>
      </c>
      <c r="X19" s="9">
        <f t="shared" si="7"/>
        <v>529.35799999999995</v>
      </c>
      <c r="Y19" s="9">
        <f t="shared" si="8"/>
        <v>872.4</v>
      </c>
      <c r="AA19" s="16">
        <f t="shared" si="9"/>
        <v>42476</v>
      </c>
      <c r="AB19" s="21">
        <v>4640</v>
      </c>
      <c r="AC19" s="21">
        <f t="shared" si="10"/>
        <v>5201</v>
      </c>
      <c r="AD19" s="21">
        <f t="shared" si="11"/>
        <v>7000</v>
      </c>
      <c r="AE19" s="21">
        <f t="shared" si="12"/>
        <v>7650</v>
      </c>
      <c r="AF19" s="21">
        <f t="shared" si="13"/>
        <v>8420</v>
      </c>
      <c r="AK19" s="16"/>
      <c r="AL19" s="17"/>
      <c r="AN19" s="16"/>
    </row>
    <row r="20" spans="2:40" x14ac:dyDescent="0.4">
      <c r="B20" s="6">
        <f t="shared" si="1"/>
        <v>42476</v>
      </c>
      <c r="C20" s="8">
        <f t="shared" si="2"/>
        <v>400.25200000000001</v>
      </c>
      <c r="D20" s="5">
        <f t="shared" si="3"/>
        <v>1290.4650000000001</v>
      </c>
      <c r="E20" s="5">
        <f t="shared" si="4"/>
        <v>1940.4650000000001</v>
      </c>
      <c r="F20" s="5">
        <f t="shared" si="5"/>
        <v>2710.4650000000001</v>
      </c>
      <c r="H20" s="6"/>
      <c r="I20" s="11">
        <v>42112</v>
      </c>
      <c r="J20" s="9">
        <v>560.53200000000004</v>
      </c>
      <c r="K20" s="9">
        <v>923.4</v>
      </c>
      <c r="O20" s="11">
        <v>42483</v>
      </c>
      <c r="P20" s="9">
        <v>0</v>
      </c>
      <c r="Q20" s="9">
        <v>5239</v>
      </c>
      <c r="R20" s="9">
        <v>6730</v>
      </c>
      <c r="S20" s="9">
        <v>7380</v>
      </c>
      <c r="T20" s="31">
        <v>8210</v>
      </c>
      <c r="W20" s="16">
        <f t="shared" si="6"/>
        <v>42112</v>
      </c>
      <c r="X20" s="9">
        <f t="shared" si="7"/>
        <v>560.53200000000004</v>
      </c>
      <c r="Y20" s="9">
        <f t="shared" si="8"/>
        <v>923.4</v>
      </c>
      <c r="AA20" s="16">
        <f t="shared" si="9"/>
        <v>42483</v>
      </c>
      <c r="AB20" s="21">
        <v>4710</v>
      </c>
      <c r="AC20" s="21">
        <f t="shared" si="10"/>
        <v>5239</v>
      </c>
      <c r="AD20" s="21">
        <f t="shared" si="11"/>
        <v>6730</v>
      </c>
      <c r="AE20" s="21">
        <f t="shared" si="12"/>
        <v>7380</v>
      </c>
      <c r="AF20" s="21">
        <f t="shared" si="13"/>
        <v>8210</v>
      </c>
      <c r="AK20" s="16"/>
      <c r="AL20" s="17"/>
      <c r="AN20" s="16"/>
    </row>
    <row r="21" spans="2:40" x14ac:dyDescent="0.4">
      <c r="B21" s="6">
        <f t="shared" si="1"/>
        <v>42483</v>
      </c>
      <c r="C21" s="8">
        <f t="shared" si="2"/>
        <v>402.62600000000003</v>
      </c>
      <c r="D21" s="5">
        <f t="shared" si="3"/>
        <v>947.88500000000022</v>
      </c>
      <c r="E21" s="5">
        <f t="shared" si="4"/>
        <v>1597.8850000000002</v>
      </c>
      <c r="F21" s="5">
        <f t="shared" si="5"/>
        <v>2427.8850000000007</v>
      </c>
      <c r="H21" s="6"/>
      <c r="I21" s="11">
        <v>42119</v>
      </c>
      <c r="J21" s="9">
        <v>570.03399999999999</v>
      </c>
      <c r="K21" s="9">
        <v>961.4</v>
      </c>
      <c r="O21" s="11">
        <v>42490</v>
      </c>
      <c r="P21" s="9">
        <v>0</v>
      </c>
      <c r="Q21" s="9">
        <v>5183</v>
      </c>
      <c r="R21" s="9">
        <v>6900</v>
      </c>
      <c r="S21" s="9">
        <v>7510</v>
      </c>
      <c r="T21" s="31">
        <v>8370</v>
      </c>
      <c r="W21" s="16">
        <f t="shared" si="6"/>
        <v>42119</v>
      </c>
      <c r="X21" s="9">
        <f t="shared" si="7"/>
        <v>570.03399999999999</v>
      </c>
      <c r="Y21" s="9">
        <f t="shared" si="8"/>
        <v>961.4</v>
      </c>
      <c r="AA21" s="16">
        <f t="shared" si="9"/>
        <v>42490</v>
      </c>
      <c r="AB21" s="21">
        <v>4910</v>
      </c>
      <c r="AC21" s="21">
        <f t="shared" si="10"/>
        <v>5183</v>
      </c>
      <c r="AD21" s="21">
        <f t="shared" si="11"/>
        <v>6900</v>
      </c>
      <c r="AE21" s="21">
        <f t="shared" si="12"/>
        <v>7510</v>
      </c>
      <c r="AF21" s="21">
        <f t="shared" si="13"/>
        <v>8370</v>
      </c>
      <c r="AK21" s="16"/>
      <c r="AL21" s="17"/>
      <c r="AN21" s="16"/>
    </row>
    <row r="22" spans="2:40" x14ac:dyDescent="0.4">
      <c r="B22" s="6">
        <f t="shared" si="1"/>
        <v>42490</v>
      </c>
      <c r="C22" s="8">
        <f t="shared" si="2"/>
        <v>408.55400000000003</v>
      </c>
      <c r="D22" s="5">
        <f t="shared" si="3"/>
        <v>965.64499999999975</v>
      </c>
      <c r="E22" s="5">
        <f t="shared" si="4"/>
        <v>1575.6449999999998</v>
      </c>
      <c r="F22" s="5">
        <f t="shared" si="5"/>
        <v>2435.6449999999995</v>
      </c>
      <c r="H22" s="6"/>
      <c r="I22" s="11">
        <v>42126</v>
      </c>
      <c r="J22" s="9">
        <v>587.91999999999996</v>
      </c>
      <c r="K22" s="9">
        <v>962.75</v>
      </c>
      <c r="O22" s="11">
        <v>42497</v>
      </c>
      <c r="P22" s="9">
        <v>0</v>
      </c>
      <c r="Q22" s="9">
        <v>5170</v>
      </c>
      <c r="R22" s="9">
        <v>6850</v>
      </c>
      <c r="S22" s="9">
        <v>7562.5</v>
      </c>
      <c r="T22" s="31">
        <v>8500</v>
      </c>
      <c r="W22" s="16">
        <f t="shared" si="6"/>
        <v>42126</v>
      </c>
      <c r="X22" s="9">
        <f t="shared" si="7"/>
        <v>587.91999999999996</v>
      </c>
      <c r="Y22" s="9">
        <f t="shared" si="8"/>
        <v>962.75</v>
      </c>
      <c r="AA22" s="16">
        <f t="shared" si="9"/>
        <v>42497</v>
      </c>
      <c r="AB22" s="21">
        <v>4775</v>
      </c>
      <c r="AC22" s="21">
        <f t="shared" si="10"/>
        <v>5170</v>
      </c>
      <c r="AD22" s="21">
        <f t="shared" si="11"/>
        <v>6850</v>
      </c>
      <c r="AE22" s="21">
        <f t="shared" si="12"/>
        <v>7562.5</v>
      </c>
      <c r="AF22" s="21">
        <f t="shared" si="13"/>
        <v>8500</v>
      </c>
      <c r="AK22" s="16"/>
      <c r="AL22" s="17"/>
      <c r="AN22" s="16"/>
    </row>
    <row r="23" spans="2:40" x14ac:dyDescent="0.4">
      <c r="B23" s="6">
        <f t="shared" si="1"/>
        <v>42497</v>
      </c>
      <c r="C23" s="8">
        <f t="shared" si="2"/>
        <v>414.35249999999996</v>
      </c>
      <c r="D23" s="5">
        <f t="shared" si="3"/>
        <v>1035.425</v>
      </c>
      <c r="E23" s="5">
        <f t="shared" si="4"/>
        <v>1747.925</v>
      </c>
      <c r="F23" s="5">
        <f t="shared" si="5"/>
        <v>2685.4250000000002</v>
      </c>
      <c r="H23" s="6"/>
      <c r="I23" s="11">
        <v>42133</v>
      </c>
      <c r="J23" s="9">
        <v>586.38400000000001</v>
      </c>
      <c r="K23" s="9">
        <v>984.6</v>
      </c>
      <c r="O23" s="11">
        <v>42504</v>
      </c>
      <c r="P23" s="9">
        <v>0</v>
      </c>
      <c r="Q23" s="9">
        <v>4993</v>
      </c>
      <c r="R23" s="9">
        <v>6670</v>
      </c>
      <c r="S23" s="9">
        <v>7380</v>
      </c>
      <c r="T23" s="31">
        <v>8360</v>
      </c>
      <c r="W23" s="16">
        <f t="shared" si="6"/>
        <v>42133</v>
      </c>
      <c r="X23" s="9">
        <f t="shared" si="7"/>
        <v>586.38400000000001</v>
      </c>
      <c r="Y23" s="9">
        <f t="shared" si="8"/>
        <v>984.6</v>
      </c>
      <c r="AA23" s="16">
        <f t="shared" si="9"/>
        <v>42504</v>
      </c>
      <c r="AB23" s="21">
        <v>4610</v>
      </c>
      <c r="AC23" s="21">
        <f t="shared" si="10"/>
        <v>4993</v>
      </c>
      <c r="AD23" s="21">
        <f t="shared" si="11"/>
        <v>6670</v>
      </c>
      <c r="AE23" s="21">
        <f t="shared" si="12"/>
        <v>7380</v>
      </c>
      <c r="AF23" s="21">
        <f t="shared" si="13"/>
        <v>8360</v>
      </c>
      <c r="AK23" s="16"/>
      <c r="AL23" s="17"/>
      <c r="AN23" s="16"/>
    </row>
    <row r="24" spans="2:40" x14ac:dyDescent="0.4">
      <c r="B24" s="6">
        <f t="shared" si="1"/>
        <v>42504</v>
      </c>
      <c r="C24" s="8">
        <f t="shared" si="2"/>
        <v>395.84800000000001</v>
      </c>
      <c r="D24" s="5">
        <f t="shared" si="3"/>
        <v>1055.7950000000001</v>
      </c>
      <c r="E24" s="5">
        <f t="shared" si="4"/>
        <v>1765.7950000000001</v>
      </c>
      <c r="F24" s="5">
        <f t="shared" si="5"/>
        <v>2745.7950000000005</v>
      </c>
      <c r="H24" s="6"/>
      <c r="I24" s="11">
        <v>42140</v>
      </c>
      <c r="J24" s="9">
        <v>585.88199999999995</v>
      </c>
      <c r="K24" s="9">
        <v>975</v>
      </c>
      <c r="O24" s="11">
        <v>42511</v>
      </c>
      <c r="P24" s="9">
        <v>0</v>
      </c>
      <c r="Q24" s="9">
        <v>5004</v>
      </c>
      <c r="R24" s="9">
        <v>6710</v>
      </c>
      <c r="S24" s="9">
        <v>7330</v>
      </c>
      <c r="T24" s="31">
        <v>8300</v>
      </c>
      <c r="W24" s="16">
        <f t="shared" si="6"/>
        <v>42140</v>
      </c>
      <c r="X24" s="9">
        <f t="shared" si="7"/>
        <v>585.88199999999995</v>
      </c>
      <c r="Y24" s="9">
        <f t="shared" si="8"/>
        <v>975</v>
      </c>
      <c r="AA24" s="16">
        <f t="shared" si="9"/>
        <v>42511</v>
      </c>
      <c r="AB24" s="21">
        <v>4600</v>
      </c>
      <c r="AC24" s="21">
        <f t="shared" si="10"/>
        <v>5004</v>
      </c>
      <c r="AD24" s="21">
        <f t="shared" si="11"/>
        <v>6710</v>
      </c>
      <c r="AE24" s="21">
        <f t="shared" si="12"/>
        <v>7330</v>
      </c>
      <c r="AF24" s="21">
        <f t="shared" si="13"/>
        <v>8300</v>
      </c>
      <c r="AK24" s="16"/>
      <c r="AL24" s="17"/>
      <c r="AN24" s="16"/>
    </row>
    <row r="25" spans="2:40" x14ac:dyDescent="0.4">
      <c r="B25" s="6">
        <f t="shared" si="1"/>
        <v>42511</v>
      </c>
      <c r="C25" s="8">
        <f t="shared" si="2"/>
        <v>379.33</v>
      </c>
      <c r="D25" s="5">
        <f t="shared" si="3"/>
        <v>1100.6599999999999</v>
      </c>
      <c r="E25" s="5">
        <f t="shared" si="4"/>
        <v>1720.6599999999999</v>
      </c>
      <c r="F25" s="5">
        <f t="shared" si="5"/>
        <v>2690.66</v>
      </c>
      <c r="H25" s="6"/>
      <c r="I25" s="11">
        <v>42147</v>
      </c>
      <c r="J25" s="9">
        <v>579.66</v>
      </c>
      <c r="K25" s="9">
        <v>921.8</v>
      </c>
      <c r="O25" s="11">
        <v>42518</v>
      </c>
      <c r="P25" s="9">
        <v>0</v>
      </c>
      <c r="Q25" s="9">
        <v>4897</v>
      </c>
      <c r="R25" s="9">
        <v>6582</v>
      </c>
      <c r="S25" s="9">
        <v>7250</v>
      </c>
      <c r="T25" s="31">
        <v>8200</v>
      </c>
      <c r="W25" s="16">
        <f t="shared" si="6"/>
        <v>42147</v>
      </c>
      <c r="X25" s="9">
        <f t="shared" si="7"/>
        <v>579.66</v>
      </c>
      <c r="Y25" s="9">
        <f t="shared" si="8"/>
        <v>921.8</v>
      </c>
      <c r="AA25" s="16">
        <f t="shared" si="9"/>
        <v>42518</v>
      </c>
      <c r="AB25" s="21">
        <v>4490</v>
      </c>
      <c r="AC25" s="21">
        <f t="shared" si="10"/>
        <v>4897</v>
      </c>
      <c r="AD25" s="21">
        <f t="shared" si="11"/>
        <v>6582</v>
      </c>
      <c r="AE25" s="21">
        <f t="shared" si="12"/>
        <v>7250</v>
      </c>
      <c r="AF25" s="21">
        <f t="shared" si="13"/>
        <v>8200</v>
      </c>
      <c r="AK25" s="16"/>
      <c r="AL25" s="17"/>
      <c r="AN25" s="16"/>
    </row>
    <row r="26" spans="2:40" x14ac:dyDescent="0.4">
      <c r="B26" s="6">
        <f t="shared" si="1"/>
        <v>42518</v>
      </c>
      <c r="C26" s="8">
        <f t="shared" si="2"/>
        <v>365.36200000000002</v>
      </c>
      <c r="D26" s="5">
        <f t="shared" si="3"/>
        <v>1102.5550000000001</v>
      </c>
      <c r="E26" s="5">
        <f t="shared" si="4"/>
        <v>1770.5550000000001</v>
      </c>
      <c r="F26" s="5">
        <f t="shared" si="5"/>
        <v>2720.5550000000003</v>
      </c>
      <c r="H26" s="6"/>
      <c r="I26" s="11">
        <v>42154</v>
      </c>
      <c r="J26" s="9">
        <v>560.48</v>
      </c>
      <c r="K26" s="9">
        <v>915.2</v>
      </c>
      <c r="O26" s="11">
        <v>42525</v>
      </c>
      <c r="P26" s="9">
        <v>0</v>
      </c>
      <c r="Q26" s="9">
        <v>4893</v>
      </c>
      <c r="R26" s="9">
        <v>6430</v>
      </c>
      <c r="S26" s="9">
        <v>7220</v>
      </c>
      <c r="T26" s="31">
        <v>8150</v>
      </c>
      <c r="W26" s="16">
        <f t="shared" si="6"/>
        <v>42154</v>
      </c>
      <c r="X26" s="9">
        <f t="shared" si="7"/>
        <v>560.48</v>
      </c>
      <c r="Y26" s="9">
        <f t="shared" si="8"/>
        <v>915.2</v>
      </c>
      <c r="AA26" s="16">
        <f t="shared" si="9"/>
        <v>42525</v>
      </c>
      <c r="AB26" s="21">
        <v>4500</v>
      </c>
      <c r="AC26" s="21">
        <f t="shared" si="10"/>
        <v>4893</v>
      </c>
      <c r="AD26" s="21">
        <f t="shared" si="11"/>
        <v>6430</v>
      </c>
      <c r="AE26" s="21">
        <f t="shared" si="12"/>
        <v>7220</v>
      </c>
      <c r="AF26" s="21">
        <f t="shared" si="13"/>
        <v>8150</v>
      </c>
      <c r="AK26" s="16"/>
      <c r="AL26" s="17"/>
      <c r="AN26" s="16"/>
    </row>
    <row r="27" spans="2:40" x14ac:dyDescent="0.4">
      <c r="B27" s="6">
        <f t="shared" si="1"/>
        <v>42525</v>
      </c>
      <c r="C27" s="8">
        <f t="shared" si="2"/>
        <v>377.14799999999997</v>
      </c>
      <c r="D27" s="5">
        <f t="shared" si="3"/>
        <v>943.3449999999998</v>
      </c>
      <c r="E27" s="5">
        <f t="shared" si="4"/>
        <v>1733.3449999999998</v>
      </c>
      <c r="F27" s="5">
        <f t="shared" si="5"/>
        <v>2663.3449999999998</v>
      </c>
      <c r="H27" s="6"/>
      <c r="I27" s="11">
        <v>42161</v>
      </c>
      <c r="J27" s="9">
        <v>570.20000000000005</v>
      </c>
      <c r="K27" s="9">
        <v>933</v>
      </c>
      <c r="O27" s="11">
        <v>42532</v>
      </c>
      <c r="P27" s="9">
        <v>0</v>
      </c>
      <c r="Q27" s="9">
        <v>4908.333333333333</v>
      </c>
      <c r="R27" s="9">
        <v>6565</v>
      </c>
      <c r="S27" s="9">
        <v>7240</v>
      </c>
      <c r="T27" s="31">
        <v>8190</v>
      </c>
      <c r="W27" s="16">
        <f t="shared" si="6"/>
        <v>42161</v>
      </c>
      <c r="X27" s="9">
        <f t="shared" si="7"/>
        <v>570.20000000000005</v>
      </c>
      <c r="Y27" s="9">
        <f t="shared" si="8"/>
        <v>933</v>
      </c>
      <c r="AA27" s="16">
        <f t="shared" si="9"/>
        <v>42532</v>
      </c>
      <c r="AB27" s="21">
        <v>4600</v>
      </c>
      <c r="AC27" s="21">
        <f t="shared" si="10"/>
        <v>4908.333333333333</v>
      </c>
      <c r="AD27" s="21">
        <f t="shared" si="11"/>
        <v>6565</v>
      </c>
      <c r="AE27" s="21">
        <f t="shared" si="12"/>
        <v>7240</v>
      </c>
      <c r="AF27" s="21">
        <f t="shared" si="13"/>
        <v>8190</v>
      </c>
      <c r="AK27" s="16"/>
      <c r="AL27" s="17"/>
      <c r="AN27" s="16"/>
    </row>
    <row r="28" spans="2:40" x14ac:dyDescent="0.4">
      <c r="B28" s="6">
        <f t="shared" si="1"/>
        <v>42532</v>
      </c>
      <c r="C28" s="8">
        <f t="shared" si="2"/>
        <v>393.69799999999998</v>
      </c>
      <c r="D28" s="5">
        <f t="shared" si="3"/>
        <v>987.70833333333326</v>
      </c>
      <c r="E28" s="5">
        <f t="shared" si="4"/>
        <v>1662.7083333333333</v>
      </c>
      <c r="F28" s="5">
        <f t="shared" si="5"/>
        <v>2612.708333333333</v>
      </c>
      <c r="H28" s="6"/>
      <c r="I28" s="11">
        <v>42168</v>
      </c>
      <c r="J28" s="9">
        <v>583.65800000000002</v>
      </c>
      <c r="K28" s="9">
        <v>934.8</v>
      </c>
      <c r="O28" s="11">
        <v>42539</v>
      </c>
      <c r="P28" s="9">
        <v>0</v>
      </c>
      <c r="Q28" s="9">
        <v>4891.25</v>
      </c>
      <c r="R28" s="9">
        <v>6566.666666666667</v>
      </c>
      <c r="S28" s="9">
        <v>7250</v>
      </c>
      <c r="T28" s="31">
        <v>8200</v>
      </c>
      <c r="W28" s="16">
        <f t="shared" si="6"/>
        <v>42168</v>
      </c>
      <c r="X28" s="9">
        <f t="shared" si="7"/>
        <v>583.65800000000002</v>
      </c>
      <c r="Y28" s="9">
        <f t="shared" si="8"/>
        <v>934.8</v>
      </c>
      <c r="AA28" s="16">
        <f t="shared" si="9"/>
        <v>42539</v>
      </c>
      <c r="AB28" s="21">
        <v>4558.333333333333</v>
      </c>
      <c r="AC28" s="21">
        <f t="shared" si="10"/>
        <v>4891.25</v>
      </c>
      <c r="AD28" s="21">
        <f t="shared" si="11"/>
        <v>6566.666666666667</v>
      </c>
      <c r="AE28" s="21">
        <f t="shared" si="12"/>
        <v>7250</v>
      </c>
      <c r="AF28" s="21">
        <f t="shared" si="13"/>
        <v>8200</v>
      </c>
      <c r="AK28" s="16"/>
      <c r="AL28" s="17"/>
      <c r="AN28" s="16"/>
    </row>
    <row r="29" spans="2:40" x14ac:dyDescent="0.4">
      <c r="B29" s="6">
        <f t="shared" si="1"/>
        <v>42539</v>
      </c>
      <c r="C29" s="8">
        <f t="shared" si="2"/>
        <v>401.00599999999997</v>
      </c>
      <c r="D29" s="5">
        <f t="shared" si="3"/>
        <v>1030.7229166666673</v>
      </c>
      <c r="E29" s="5">
        <f t="shared" si="4"/>
        <v>1714.0562500000003</v>
      </c>
      <c r="F29" s="5">
        <f t="shared" si="5"/>
        <v>2664.0562499999996</v>
      </c>
      <c r="H29" s="6"/>
      <c r="I29" s="11">
        <v>42175</v>
      </c>
      <c r="J29" s="9">
        <v>570.23400000000004</v>
      </c>
      <c r="K29" s="9">
        <v>941.7</v>
      </c>
      <c r="O29" s="11">
        <v>42546</v>
      </c>
      <c r="P29" s="9">
        <v>0</v>
      </c>
      <c r="Q29" s="9">
        <v>4961.5</v>
      </c>
      <c r="R29" s="9">
        <v>6610</v>
      </c>
      <c r="S29" s="9">
        <v>7290</v>
      </c>
      <c r="T29" s="31">
        <v>8200</v>
      </c>
      <c r="W29" s="16">
        <f t="shared" si="6"/>
        <v>42175</v>
      </c>
      <c r="X29" s="9">
        <f t="shared" si="7"/>
        <v>570.23400000000004</v>
      </c>
      <c r="Y29" s="9">
        <f t="shared" si="8"/>
        <v>941.7</v>
      </c>
      <c r="AA29" s="16">
        <f t="shared" si="9"/>
        <v>42546</v>
      </c>
      <c r="AB29" s="21">
        <v>4620</v>
      </c>
      <c r="AC29" s="21">
        <f t="shared" si="10"/>
        <v>4961.5</v>
      </c>
      <c r="AD29" s="21">
        <f t="shared" si="11"/>
        <v>6610</v>
      </c>
      <c r="AE29" s="21">
        <f t="shared" si="12"/>
        <v>7290</v>
      </c>
      <c r="AF29" s="21">
        <f t="shared" si="13"/>
        <v>8200</v>
      </c>
      <c r="AK29" s="16"/>
      <c r="AL29" s="17"/>
      <c r="AN29" s="16"/>
    </row>
    <row r="30" spans="2:40" x14ac:dyDescent="0.4">
      <c r="B30" s="6">
        <f t="shared" si="1"/>
        <v>42546</v>
      </c>
      <c r="C30" s="8">
        <f t="shared" si="2"/>
        <v>398.36999999999995</v>
      </c>
      <c r="D30" s="5">
        <f t="shared" si="3"/>
        <v>997.7974999999999</v>
      </c>
      <c r="E30" s="5">
        <f t="shared" si="4"/>
        <v>1677.7974999999999</v>
      </c>
      <c r="F30" s="5">
        <f t="shared" si="5"/>
        <v>2587.7974999999997</v>
      </c>
      <c r="H30" s="6"/>
      <c r="I30" s="11">
        <v>42182</v>
      </c>
      <c r="J30" s="9">
        <v>558.70600000000002</v>
      </c>
      <c r="K30" s="9">
        <v>945.3</v>
      </c>
      <c r="O30" s="11">
        <v>42553</v>
      </c>
      <c r="P30" s="9">
        <v>0</v>
      </c>
      <c r="Q30" s="9">
        <v>5160</v>
      </c>
      <c r="R30" s="9">
        <v>6695</v>
      </c>
      <c r="S30" s="9">
        <v>7350</v>
      </c>
      <c r="T30" s="31">
        <v>8240</v>
      </c>
      <c r="W30" s="16">
        <f t="shared" si="6"/>
        <v>42182</v>
      </c>
      <c r="X30" s="9">
        <f t="shared" si="7"/>
        <v>558.70600000000002</v>
      </c>
      <c r="Y30" s="9">
        <f t="shared" si="8"/>
        <v>945.3</v>
      </c>
      <c r="AA30" s="16">
        <f t="shared" si="9"/>
        <v>42553</v>
      </c>
      <c r="AB30" s="21">
        <v>4650</v>
      </c>
      <c r="AC30" s="21">
        <f t="shared" si="10"/>
        <v>5160</v>
      </c>
      <c r="AD30" s="21">
        <f t="shared" si="11"/>
        <v>6695</v>
      </c>
      <c r="AE30" s="21">
        <f t="shared" si="12"/>
        <v>7350</v>
      </c>
      <c r="AF30" s="21">
        <f t="shared" si="13"/>
        <v>8240</v>
      </c>
      <c r="AK30" s="16"/>
      <c r="AL30" s="17"/>
      <c r="AN30" s="16"/>
    </row>
    <row r="31" spans="2:40" x14ac:dyDescent="0.4">
      <c r="B31" s="6">
        <f t="shared" si="1"/>
        <v>42553</v>
      </c>
      <c r="C31" s="8">
        <f t="shared" si="2"/>
        <v>409.29600000000005</v>
      </c>
      <c r="D31" s="5">
        <f t="shared" si="3"/>
        <v>990.64999999999986</v>
      </c>
      <c r="E31" s="5">
        <f t="shared" si="4"/>
        <v>1645.6499999999999</v>
      </c>
      <c r="F31" s="5">
        <f t="shared" si="5"/>
        <v>2535.6499999999996</v>
      </c>
      <c r="H31" s="6"/>
      <c r="I31" s="11">
        <v>42189</v>
      </c>
      <c r="J31" s="9">
        <v>545.03200000000004</v>
      </c>
      <c r="K31" s="9">
        <v>919.1</v>
      </c>
      <c r="O31" s="11">
        <v>42560</v>
      </c>
      <c r="P31" s="9">
        <v>0</v>
      </c>
      <c r="Q31" s="9">
        <v>5173</v>
      </c>
      <c r="R31" s="9">
        <v>6930</v>
      </c>
      <c r="S31" s="9">
        <v>7480</v>
      </c>
      <c r="T31" s="31">
        <v>8330</v>
      </c>
      <c r="W31" s="16">
        <f t="shared" si="6"/>
        <v>42189</v>
      </c>
      <c r="X31" s="9">
        <f t="shared" si="7"/>
        <v>545.03200000000004</v>
      </c>
      <c r="Y31" s="9">
        <f t="shared" si="8"/>
        <v>919.1</v>
      </c>
      <c r="AA31" s="16">
        <f t="shared" si="9"/>
        <v>42560</v>
      </c>
      <c r="AB31" s="21">
        <v>4680</v>
      </c>
      <c r="AC31" s="21">
        <f t="shared" si="10"/>
        <v>5173</v>
      </c>
      <c r="AD31" s="21">
        <f t="shared" si="11"/>
        <v>6930</v>
      </c>
      <c r="AE31" s="21">
        <f t="shared" si="12"/>
        <v>7480</v>
      </c>
      <c r="AF31" s="21">
        <f t="shared" si="13"/>
        <v>8330</v>
      </c>
      <c r="AK31" s="16"/>
      <c r="AL31" s="17"/>
      <c r="AN31" s="16"/>
    </row>
    <row r="32" spans="2:40" x14ac:dyDescent="0.4">
      <c r="B32" s="6">
        <f t="shared" si="1"/>
        <v>42560</v>
      </c>
      <c r="C32" s="8">
        <f t="shared" si="2"/>
        <v>418.4375</v>
      </c>
      <c r="D32" s="5">
        <f t="shared" si="3"/>
        <v>1195.6449999999998</v>
      </c>
      <c r="E32" s="5">
        <f t="shared" si="4"/>
        <v>1745.6449999999998</v>
      </c>
      <c r="F32" s="5">
        <f t="shared" si="5"/>
        <v>2595.6450000000004</v>
      </c>
      <c r="H32" s="6"/>
      <c r="I32" s="11">
        <v>42196</v>
      </c>
      <c r="J32" s="9">
        <v>502.70800000000003</v>
      </c>
      <c r="K32" s="9">
        <v>880.3</v>
      </c>
      <c r="O32" s="11">
        <v>42567</v>
      </c>
      <c r="P32" s="9">
        <v>0</v>
      </c>
      <c r="Q32" s="9">
        <v>5142</v>
      </c>
      <c r="R32" s="9">
        <v>6965</v>
      </c>
      <c r="S32" s="9">
        <v>7520</v>
      </c>
      <c r="T32" s="31">
        <v>8380</v>
      </c>
      <c r="W32" s="16">
        <f t="shared" si="6"/>
        <v>42196</v>
      </c>
      <c r="X32" s="9">
        <f t="shared" si="7"/>
        <v>502.70800000000003</v>
      </c>
      <c r="Y32" s="9">
        <f t="shared" si="8"/>
        <v>880.3</v>
      </c>
      <c r="AA32" s="16">
        <f t="shared" si="9"/>
        <v>42567</v>
      </c>
      <c r="AB32" s="21">
        <v>4550</v>
      </c>
      <c r="AC32" s="21">
        <f t="shared" si="10"/>
        <v>5142</v>
      </c>
      <c r="AD32" s="21">
        <f t="shared" si="11"/>
        <v>6965</v>
      </c>
      <c r="AE32" s="21">
        <f t="shared" si="12"/>
        <v>7520</v>
      </c>
      <c r="AF32" s="21">
        <f t="shared" si="13"/>
        <v>8380</v>
      </c>
      <c r="AK32" s="16"/>
      <c r="AL32" s="17"/>
      <c r="AN32" s="16"/>
    </row>
    <row r="33" spans="2:40" x14ac:dyDescent="0.4">
      <c r="B33" s="6">
        <f t="shared" si="1"/>
        <v>42567</v>
      </c>
      <c r="C33" s="8">
        <f t="shared" si="2"/>
        <v>433.08800000000008</v>
      </c>
      <c r="D33" s="5">
        <f t="shared" si="3"/>
        <v>1352.1799999999998</v>
      </c>
      <c r="E33" s="5">
        <f t="shared" si="4"/>
        <v>1907.1799999999998</v>
      </c>
      <c r="F33" s="5">
        <f t="shared" si="5"/>
        <v>2767.18</v>
      </c>
      <c r="H33" s="6"/>
      <c r="I33" s="11">
        <v>42203</v>
      </c>
      <c r="J33" s="9">
        <v>488.32499999999999</v>
      </c>
      <c r="K33" s="9">
        <v>863.7</v>
      </c>
      <c r="O33" s="11">
        <v>42574</v>
      </c>
      <c r="P33" s="9">
        <v>0</v>
      </c>
      <c r="Q33" s="9">
        <v>5082</v>
      </c>
      <c r="R33" s="9">
        <v>7070</v>
      </c>
      <c r="S33" s="9">
        <v>7600</v>
      </c>
      <c r="T33" s="31">
        <v>8550</v>
      </c>
      <c r="W33" s="16">
        <f t="shared" si="6"/>
        <v>42203</v>
      </c>
      <c r="X33" s="9">
        <f t="shared" si="7"/>
        <v>488.32499999999999</v>
      </c>
      <c r="Y33" s="9">
        <f t="shared" si="8"/>
        <v>863.7</v>
      </c>
      <c r="AA33" s="16">
        <f t="shared" si="9"/>
        <v>42574</v>
      </c>
      <c r="AB33" s="21">
        <v>4600</v>
      </c>
      <c r="AC33" s="21">
        <f t="shared" si="10"/>
        <v>5082</v>
      </c>
      <c r="AD33" s="21">
        <f t="shared" si="11"/>
        <v>7070</v>
      </c>
      <c r="AE33" s="21">
        <f t="shared" si="12"/>
        <v>7600</v>
      </c>
      <c r="AF33" s="21">
        <f t="shared" si="13"/>
        <v>8550</v>
      </c>
      <c r="AK33" s="16"/>
      <c r="AL33" s="17"/>
      <c r="AN33" s="16"/>
    </row>
    <row r="34" spans="2:40" x14ac:dyDescent="0.4">
      <c r="B34" s="6">
        <f t="shared" si="1"/>
        <v>42574</v>
      </c>
      <c r="C34" s="8">
        <f t="shared" si="2"/>
        <v>435.18800000000005</v>
      </c>
      <c r="D34" s="5">
        <f t="shared" si="3"/>
        <v>1434.53</v>
      </c>
      <c r="E34" s="5">
        <f t="shared" si="4"/>
        <v>1964.53</v>
      </c>
      <c r="F34" s="5">
        <f t="shared" si="5"/>
        <v>2914.5299999999997</v>
      </c>
      <c r="H34" s="6"/>
      <c r="I34" s="11">
        <v>42210</v>
      </c>
      <c r="J34" s="9">
        <v>494.358</v>
      </c>
      <c r="K34" s="9">
        <v>872.4</v>
      </c>
      <c r="O34" s="11">
        <v>42581</v>
      </c>
      <c r="P34" s="9">
        <v>0</v>
      </c>
      <c r="Q34" s="9">
        <v>5091</v>
      </c>
      <c r="R34" s="9">
        <v>7100</v>
      </c>
      <c r="S34" s="9">
        <v>7750</v>
      </c>
      <c r="T34" s="31">
        <v>8725</v>
      </c>
      <c r="W34" s="16">
        <f t="shared" si="6"/>
        <v>42210</v>
      </c>
      <c r="X34" s="9">
        <f t="shared" si="7"/>
        <v>494.358</v>
      </c>
      <c r="Y34" s="9">
        <f t="shared" si="8"/>
        <v>872.4</v>
      </c>
      <c r="AA34" s="16">
        <f t="shared" si="9"/>
        <v>42581</v>
      </c>
      <c r="AB34" s="21">
        <v>4576</v>
      </c>
      <c r="AC34" s="21">
        <f t="shared" si="10"/>
        <v>5091</v>
      </c>
      <c r="AD34" s="21">
        <f t="shared" si="11"/>
        <v>7100</v>
      </c>
      <c r="AE34" s="21">
        <f t="shared" si="12"/>
        <v>7750</v>
      </c>
      <c r="AF34" s="21">
        <f t="shared" si="13"/>
        <v>8725</v>
      </c>
      <c r="AK34" s="16"/>
      <c r="AL34" s="17"/>
      <c r="AN34" s="16"/>
    </row>
    <row r="35" spans="2:40" x14ac:dyDescent="0.4">
      <c r="B35" s="6">
        <f t="shared" si="1"/>
        <v>42581</v>
      </c>
      <c r="C35" s="8">
        <f t="shared" si="2"/>
        <v>447.87200000000001</v>
      </c>
      <c r="D35" s="5">
        <f t="shared" si="3"/>
        <v>1482.0349999999999</v>
      </c>
      <c r="E35" s="5">
        <f t="shared" si="4"/>
        <v>2132.0349999999999</v>
      </c>
      <c r="F35" s="5">
        <f t="shared" si="5"/>
        <v>3107.0350000000003</v>
      </c>
      <c r="H35" s="6"/>
      <c r="I35" s="11">
        <v>42217</v>
      </c>
      <c r="J35" s="9">
        <v>479.30599999999998</v>
      </c>
      <c r="K35" s="9">
        <v>855.4</v>
      </c>
      <c r="O35" s="11">
        <v>42588</v>
      </c>
      <c r="P35" s="9">
        <v>0</v>
      </c>
      <c r="Q35" s="9">
        <v>5006</v>
      </c>
      <c r="R35" s="9">
        <v>7020</v>
      </c>
      <c r="S35" s="9">
        <v>7730</v>
      </c>
      <c r="T35" s="31">
        <v>8725</v>
      </c>
      <c r="W35" s="16">
        <f t="shared" si="6"/>
        <v>42217</v>
      </c>
      <c r="X35" s="9">
        <f t="shared" si="7"/>
        <v>479.30599999999998</v>
      </c>
      <c r="Y35" s="9">
        <f t="shared" si="8"/>
        <v>855.4</v>
      </c>
      <c r="AA35" s="16">
        <f t="shared" si="9"/>
        <v>42588</v>
      </c>
      <c r="AB35" s="21">
        <v>4500</v>
      </c>
      <c r="AC35" s="21">
        <f t="shared" si="10"/>
        <v>5006</v>
      </c>
      <c r="AD35" s="21">
        <f t="shared" si="11"/>
        <v>7020</v>
      </c>
      <c r="AE35" s="21">
        <f t="shared" si="12"/>
        <v>7730</v>
      </c>
      <c r="AF35" s="21">
        <f t="shared" si="13"/>
        <v>8725</v>
      </c>
      <c r="AK35" s="16"/>
      <c r="AL35" s="17"/>
      <c r="AN35" s="16"/>
    </row>
    <row r="36" spans="2:40" x14ac:dyDescent="0.4">
      <c r="B36" s="6">
        <f t="shared" si="1"/>
        <v>42588</v>
      </c>
      <c r="C36" s="8">
        <f t="shared" si="2"/>
        <v>456.99800000000005</v>
      </c>
      <c r="D36" s="5">
        <f t="shared" si="3"/>
        <v>1495.49</v>
      </c>
      <c r="E36" s="5">
        <f t="shared" si="4"/>
        <v>2205.4899999999998</v>
      </c>
      <c r="F36" s="5">
        <f t="shared" si="5"/>
        <v>3200.49</v>
      </c>
      <c r="H36" s="6"/>
      <c r="I36" s="11">
        <v>42224</v>
      </c>
      <c r="J36" s="9">
        <v>465.67</v>
      </c>
      <c r="K36" s="9">
        <v>828</v>
      </c>
      <c r="O36" s="11">
        <v>42595</v>
      </c>
      <c r="P36" s="9">
        <v>0</v>
      </c>
      <c r="Q36" s="9">
        <v>5034</v>
      </c>
      <c r="R36" s="9">
        <v>6920</v>
      </c>
      <c r="S36" s="9">
        <v>7650</v>
      </c>
      <c r="T36" s="31">
        <v>8645</v>
      </c>
      <c r="W36" s="16">
        <f t="shared" si="6"/>
        <v>42224</v>
      </c>
      <c r="X36" s="9">
        <f t="shared" si="7"/>
        <v>465.67</v>
      </c>
      <c r="Y36" s="9">
        <f t="shared" si="8"/>
        <v>828</v>
      </c>
      <c r="AA36" s="16">
        <f t="shared" si="9"/>
        <v>42595</v>
      </c>
      <c r="AB36" s="21">
        <v>4576</v>
      </c>
      <c r="AC36" s="21">
        <f t="shared" si="10"/>
        <v>5034</v>
      </c>
      <c r="AD36" s="21">
        <f t="shared" si="11"/>
        <v>6920</v>
      </c>
      <c r="AE36" s="21">
        <f t="shared" si="12"/>
        <v>7650</v>
      </c>
      <c r="AF36" s="21">
        <f t="shared" si="13"/>
        <v>8645</v>
      </c>
      <c r="AK36" s="16"/>
      <c r="AL36" s="17"/>
      <c r="AN36" s="16"/>
    </row>
    <row r="37" spans="2:40" x14ac:dyDescent="0.4">
      <c r="B37" s="6">
        <f t="shared" si="1"/>
        <v>42595</v>
      </c>
      <c r="C37" s="8">
        <f t="shared" si="2"/>
        <v>457.41749999999996</v>
      </c>
      <c r="D37" s="5">
        <f t="shared" si="3"/>
        <v>1321.1299999999999</v>
      </c>
      <c r="E37" s="5">
        <f t="shared" si="4"/>
        <v>2051.13</v>
      </c>
      <c r="F37" s="5">
        <f t="shared" si="5"/>
        <v>3046.13</v>
      </c>
      <c r="H37" s="6"/>
      <c r="I37" s="11">
        <v>42231</v>
      </c>
      <c r="J37" s="9">
        <v>460.98250000000002</v>
      </c>
      <c r="K37" s="9">
        <v>824.5</v>
      </c>
      <c r="O37" s="11">
        <v>42602</v>
      </c>
      <c r="P37" s="9">
        <v>0</v>
      </c>
      <c r="Q37" s="9">
        <v>5092</v>
      </c>
      <c r="R37" s="9">
        <v>7020</v>
      </c>
      <c r="S37" s="9">
        <v>7690</v>
      </c>
      <c r="T37" s="31">
        <v>8625</v>
      </c>
      <c r="W37" s="16">
        <f t="shared" si="6"/>
        <v>42231</v>
      </c>
      <c r="X37" s="9">
        <f t="shared" si="7"/>
        <v>460.98250000000002</v>
      </c>
      <c r="Y37" s="9">
        <f t="shared" si="8"/>
        <v>824.5</v>
      </c>
      <c r="AA37" s="16">
        <f t="shared" si="9"/>
        <v>42602</v>
      </c>
      <c r="AB37" s="21">
        <v>4650</v>
      </c>
      <c r="AC37" s="21">
        <f t="shared" si="10"/>
        <v>5092</v>
      </c>
      <c r="AD37" s="21">
        <f t="shared" si="11"/>
        <v>7020</v>
      </c>
      <c r="AE37" s="21">
        <f t="shared" si="12"/>
        <v>7690</v>
      </c>
      <c r="AF37" s="21">
        <f t="shared" si="13"/>
        <v>8625</v>
      </c>
      <c r="AK37" s="16"/>
      <c r="AL37" s="17"/>
      <c r="AN37" s="16"/>
    </row>
    <row r="38" spans="2:40" x14ac:dyDescent="0.4">
      <c r="B38" s="6">
        <f t="shared" si="1"/>
        <v>42602</v>
      </c>
      <c r="C38" s="8">
        <f t="shared" si="2"/>
        <v>434.28</v>
      </c>
      <c r="D38" s="5">
        <f t="shared" si="3"/>
        <v>1338.4299999999998</v>
      </c>
      <c r="E38" s="5">
        <f t="shared" si="4"/>
        <v>2008.4299999999998</v>
      </c>
      <c r="F38" s="5">
        <f t="shared" si="5"/>
        <v>2943.43</v>
      </c>
      <c r="H38" s="6"/>
      <c r="I38" s="11">
        <v>42238</v>
      </c>
      <c r="J38" s="9">
        <v>437.83</v>
      </c>
      <c r="K38" s="9">
        <v>792.7</v>
      </c>
      <c r="O38" s="11">
        <v>42609</v>
      </c>
      <c r="P38" s="9">
        <v>0</v>
      </c>
      <c r="Q38" s="9">
        <v>5166</v>
      </c>
      <c r="R38" s="9">
        <v>7115</v>
      </c>
      <c r="S38" s="9">
        <v>7750</v>
      </c>
      <c r="T38" s="31">
        <v>8625</v>
      </c>
      <c r="W38" s="16">
        <f t="shared" si="6"/>
        <v>42238</v>
      </c>
      <c r="X38" s="9">
        <f t="shared" si="7"/>
        <v>437.83</v>
      </c>
      <c r="Y38" s="9">
        <f t="shared" si="8"/>
        <v>792.7</v>
      </c>
      <c r="AA38" s="16">
        <f t="shared" si="9"/>
        <v>42609</v>
      </c>
      <c r="AB38" s="21">
        <v>4590</v>
      </c>
      <c r="AC38" s="21">
        <f t="shared" si="10"/>
        <v>5166</v>
      </c>
      <c r="AD38" s="21">
        <f t="shared" si="11"/>
        <v>7115</v>
      </c>
      <c r="AE38" s="21">
        <f t="shared" si="12"/>
        <v>7750</v>
      </c>
      <c r="AF38" s="21">
        <f t="shared" si="13"/>
        <v>8625</v>
      </c>
      <c r="AK38" s="16"/>
      <c r="AL38" s="17"/>
      <c r="AN38" s="16"/>
    </row>
    <row r="39" spans="2:40" x14ac:dyDescent="0.4">
      <c r="B39" s="6">
        <f t="shared" si="1"/>
        <v>42609</v>
      </c>
      <c r="C39" s="8">
        <f t="shared" si="2"/>
        <v>420.79</v>
      </c>
      <c r="D39" s="5">
        <f t="shared" si="3"/>
        <v>1459.94</v>
      </c>
      <c r="E39" s="5">
        <f t="shared" si="4"/>
        <v>2094.94</v>
      </c>
      <c r="F39" s="5">
        <f t="shared" si="5"/>
        <v>2969.94</v>
      </c>
      <c r="H39" s="6"/>
      <c r="I39" s="11">
        <v>42245</v>
      </c>
      <c r="J39" s="9">
        <v>389.41</v>
      </c>
      <c r="K39" s="9">
        <v>755.5</v>
      </c>
      <c r="O39" s="11">
        <v>42616</v>
      </c>
      <c r="P39" s="9">
        <v>0</v>
      </c>
      <c r="Q39" s="9">
        <v>5402</v>
      </c>
      <c r="R39" s="9">
        <v>7070</v>
      </c>
      <c r="S39" s="9">
        <v>7750</v>
      </c>
      <c r="T39" s="31">
        <v>8625</v>
      </c>
      <c r="W39" s="16">
        <f t="shared" si="6"/>
        <v>42245</v>
      </c>
      <c r="X39" s="9">
        <f t="shared" si="7"/>
        <v>389.41</v>
      </c>
      <c r="Y39" s="9">
        <f t="shared" si="8"/>
        <v>755.5</v>
      </c>
      <c r="AA39" s="16">
        <f t="shared" si="9"/>
        <v>42616</v>
      </c>
      <c r="AB39" s="21">
        <v>4586</v>
      </c>
      <c r="AC39" s="21">
        <f t="shared" si="10"/>
        <v>5402</v>
      </c>
      <c r="AD39" s="21">
        <f t="shared" si="11"/>
        <v>7070</v>
      </c>
      <c r="AE39" s="21">
        <f t="shared" si="12"/>
        <v>7750</v>
      </c>
      <c r="AF39" s="21">
        <f t="shared" si="13"/>
        <v>8625</v>
      </c>
      <c r="AK39" s="16"/>
      <c r="AL39" s="17"/>
      <c r="AN39" s="16"/>
    </row>
    <row r="40" spans="2:40" x14ac:dyDescent="0.4">
      <c r="B40" s="6">
        <f t="shared" si="1"/>
        <v>42616</v>
      </c>
      <c r="C40" s="8">
        <f t="shared" si="2"/>
        <v>427.35</v>
      </c>
      <c r="D40" s="5">
        <f t="shared" si="3"/>
        <v>1339.3000000000002</v>
      </c>
      <c r="E40" s="5">
        <f t="shared" si="4"/>
        <v>2019.3000000000002</v>
      </c>
      <c r="F40" s="5">
        <f t="shared" si="5"/>
        <v>2894.3</v>
      </c>
      <c r="H40" s="6"/>
      <c r="I40" s="11">
        <v>42252</v>
      </c>
      <c r="J40" s="9">
        <v>434.43400000000003</v>
      </c>
      <c r="K40" s="9">
        <v>791.4</v>
      </c>
      <c r="O40" s="11">
        <v>42623</v>
      </c>
      <c r="P40" s="9">
        <v>0</v>
      </c>
      <c r="Q40" s="9">
        <v>5454</v>
      </c>
      <c r="R40" s="9">
        <v>7050</v>
      </c>
      <c r="S40" s="9">
        <v>7750</v>
      </c>
      <c r="T40" s="31">
        <v>8625</v>
      </c>
      <c r="W40" s="16">
        <f t="shared" si="6"/>
        <v>42252</v>
      </c>
      <c r="X40" s="9">
        <f t="shared" si="7"/>
        <v>434.43400000000003</v>
      </c>
      <c r="Y40" s="9">
        <f t="shared" si="8"/>
        <v>791.4</v>
      </c>
      <c r="AA40" s="16">
        <f t="shared" si="9"/>
        <v>42623</v>
      </c>
      <c r="AB40" s="21">
        <v>4646</v>
      </c>
      <c r="AC40" s="21">
        <f t="shared" si="10"/>
        <v>5454</v>
      </c>
      <c r="AD40" s="21">
        <f t="shared" si="11"/>
        <v>7050</v>
      </c>
      <c r="AE40" s="21">
        <f t="shared" si="12"/>
        <v>7750</v>
      </c>
      <c r="AF40" s="21">
        <f t="shared" si="13"/>
        <v>8625</v>
      </c>
      <c r="AK40" s="16"/>
      <c r="AL40" s="17"/>
      <c r="AN40" s="16"/>
    </row>
    <row r="41" spans="2:40" x14ac:dyDescent="0.4">
      <c r="B41" s="6">
        <f t="shared" si="1"/>
        <v>42623</v>
      </c>
      <c r="C41" s="8">
        <f t="shared" si="2"/>
        <v>418.11199999999997</v>
      </c>
      <c r="D41" s="5">
        <f t="shared" si="3"/>
        <v>1250.58</v>
      </c>
      <c r="E41" s="5">
        <f t="shared" si="4"/>
        <v>1950.58</v>
      </c>
      <c r="F41" s="5">
        <f t="shared" si="5"/>
        <v>2825.58</v>
      </c>
      <c r="H41" s="6"/>
      <c r="I41" s="11">
        <v>42259</v>
      </c>
      <c r="J41" s="9">
        <v>436.04750000000001</v>
      </c>
      <c r="K41" s="9">
        <v>797</v>
      </c>
      <c r="O41" s="11">
        <v>42630</v>
      </c>
      <c r="P41" s="9">
        <v>0</v>
      </c>
      <c r="Q41" s="9">
        <v>5276.666666666667</v>
      </c>
      <c r="R41" s="9">
        <v>7016.666666666667</v>
      </c>
      <c r="S41" s="9">
        <v>7733.333333333333</v>
      </c>
      <c r="T41" s="31">
        <v>8625</v>
      </c>
      <c r="W41" s="16">
        <f t="shared" si="6"/>
        <v>42259</v>
      </c>
      <c r="X41" s="9">
        <f t="shared" si="7"/>
        <v>436.04750000000001</v>
      </c>
      <c r="Y41" s="9">
        <f t="shared" si="8"/>
        <v>797</v>
      </c>
      <c r="AA41" s="16">
        <f t="shared" si="9"/>
        <v>42630</v>
      </c>
      <c r="AB41" s="21">
        <v>4626.666666666667</v>
      </c>
      <c r="AC41" s="21">
        <f t="shared" si="10"/>
        <v>5276.666666666667</v>
      </c>
      <c r="AD41" s="21">
        <f t="shared" si="11"/>
        <v>7016.666666666667</v>
      </c>
      <c r="AE41" s="21">
        <f t="shared" si="12"/>
        <v>7733.333333333333</v>
      </c>
      <c r="AF41" s="21">
        <f t="shared" si="13"/>
        <v>8625</v>
      </c>
      <c r="AK41" s="16"/>
      <c r="AL41" s="17"/>
      <c r="AN41" s="16"/>
    </row>
    <row r="42" spans="2:40" x14ac:dyDescent="0.4">
      <c r="B42" s="6">
        <f t="shared" si="1"/>
        <v>42630</v>
      </c>
      <c r="C42" s="8">
        <f t="shared" si="2"/>
        <v>409.39750000000004</v>
      </c>
      <c r="D42" s="5">
        <f t="shared" si="3"/>
        <v>1293.1833333333332</v>
      </c>
      <c r="E42" s="5">
        <f t="shared" si="4"/>
        <v>2009.8499999999992</v>
      </c>
      <c r="F42" s="5">
        <f t="shared" si="5"/>
        <v>2901.5166666666664</v>
      </c>
      <c r="H42" s="6"/>
      <c r="I42" s="11">
        <v>42266</v>
      </c>
      <c r="J42" s="9">
        <v>440.55799999999999</v>
      </c>
      <c r="K42" s="9">
        <v>782.2</v>
      </c>
      <c r="O42" s="11">
        <v>42637</v>
      </c>
      <c r="P42" s="9">
        <v>0</v>
      </c>
      <c r="Q42" s="9">
        <v>5234.166666666667</v>
      </c>
      <c r="R42" s="9">
        <v>6841.666666666667</v>
      </c>
      <c r="S42" s="9">
        <v>7616.666666666667</v>
      </c>
      <c r="T42" s="31">
        <v>8625</v>
      </c>
      <c r="W42" s="16">
        <f t="shared" si="6"/>
        <v>42266</v>
      </c>
      <c r="X42" s="9">
        <f t="shared" si="7"/>
        <v>440.55799999999999</v>
      </c>
      <c r="Y42" s="9">
        <f t="shared" si="8"/>
        <v>782.2</v>
      </c>
      <c r="AA42" s="16">
        <f t="shared" si="9"/>
        <v>42637</v>
      </c>
      <c r="AB42" s="21">
        <v>4596.666666666667</v>
      </c>
      <c r="AC42" s="21">
        <f t="shared" si="10"/>
        <v>5234.166666666667</v>
      </c>
      <c r="AD42" s="21">
        <f t="shared" si="11"/>
        <v>6841.666666666667</v>
      </c>
      <c r="AE42" s="21">
        <f t="shared" si="12"/>
        <v>7616.666666666667</v>
      </c>
      <c r="AF42" s="21">
        <f t="shared" si="13"/>
        <v>8625</v>
      </c>
      <c r="AK42" s="16"/>
      <c r="AL42" s="17"/>
      <c r="AN42" s="16"/>
    </row>
    <row r="43" spans="2:40" x14ac:dyDescent="0.4">
      <c r="B43" s="6">
        <f t="shared" si="1"/>
        <v>42637</v>
      </c>
      <c r="C43" s="8">
        <f t="shared" si="2"/>
        <v>395.78199999999993</v>
      </c>
      <c r="D43" s="5">
        <f t="shared" si="3"/>
        <v>1158.0708333333334</v>
      </c>
      <c r="E43" s="5">
        <f t="shared" si="4"/>
        <v>1933.0708333333334</v>
      </c>
      <c r="F43" s="5">
        <f t="shared" si="5"/>
        <v>2941.4041666666672</v>
      </c>
      <c r="H43" s="6"/>
      <c r="I43" s="11">
        <v>42273</v>
      </c>
      <c r="J43" s="9">
        <v>445.70249999999999</v>
      </c>
      <c r="K43" s="9">
        <v>792.625</v>
      </c>
      <c r="O43" s="11">
        <v>42644</v>
      </c>
      <c r="P43" s="9">
        <v>0</v>
      </c>
      <c r="Q43" s="9">
        <v>5136</v>
      </c>
      <c r="R43" s="9">
        <v>6840</v>
      </c>
      <c r="S43" s="9">
        <v>7645</v>
      </c>
      <c r="T43" s="31">
        <v>8625</v>
      </c>
      <c r="W43" s="16">
        <f t="shared" si="6"/>
        <v>42273</v>
      </c>
      <c r="X43" s="9">
        <f t="shared" si="7"/>
        <v>445.70249999999999</v>
      </c>
      <c r="Y43" s="9">
        <f t="shared" si="8"/>
        <v>792.625</v>
      </c>
      <c r="AA43" s="16">
        <f t="shared" si="9"/>
        <v>42644</v>
      </c>
      <c r="AB43" s="21">
        <v>4582</v>
      </c>
      <c r="AC43" s="21">
        <f t="shared" si="10"/>
        <v>5136</v>
      </c>
      <c r="AD43" s="21">
        <f t="shared" si="11"/>
        <v>6840</v>
      </c>
      <c r="AE43" s="21">
        <f t="shared" si="12"/>
        <v>7645</v>
      </c>
      <c r="AF43" s="21">
        <f t="shared" si="13"/>
        <v>8625</v>
      </c>
      <c r="AK43" s="16"/>
      <c r="AL43" s="17"/>
      <c r="AN43" s="16"/>
    </row>
    <row r="44" spans="2:40" x14ac:dyDescent="0.4">
      <c r="B44" s="6">
        <f t="shared" si="1"/>
        <v>42644</v>
      </c>
      <c r="C44" s="8">
        <f t="shared" si="2"/>
        <v>389.03000000000003</v>
      </c>
      <c r="D44" s="5">
        <f t="shared" si="3"/>
        <v>1201.8299999999997</v>
      </c>
      <c r="E44" s="5">
        <f t="shared" si="4"/>
        <v>2006.8299999999997</v>
      </c>
      <c r="F44" s="5">
        <f t="shared" si="5"/>
        <v>2986.829999999999</v>
      </c>
      <c r="H44" s="6"/>
      <c r="I44" s="11">
        <v>42280</v>
      </c>
      <c r="J44" s="9">
        <v>442.36</v>
      </c>
      <c r="K44" s="9">
        <v>784.3</v>
      </c>
      <c r="O44" s="11">
        <v>42651</v>
      </c>
      <c r="P44" s="9">
        <v>0</v>
      </c>
      <c r="Q44" s="9">
        <v>5250</v>
      </c>
      <c r="R44" s="9">
        <v>7000</v>
      </c>
      <c r="S44" s="9">
        <v>7750</v>
      </c>
      <c r="T44" s="31">
        <v>8675</v>
      </c>
      <c r="W44" s="16">
        <f t="shared" si="6"/>
        <v>42280</v>
      </c>
      <c r="X44" s="9">
        <f t="shared" si="7"/>
        <v>442.36</v>
      </c>
      <c r="Y44" s="9">
        <f t="shared" si="8"/>
        <v>784.3</v>
      </c>
      <c r="AA44" s="16">
        <f t="shared" si="9"/>
        <v>42651</v>
      </c>
      <c r="AB44" s="21">
        <v>4650</v>
      </c>
      <c r="AC44" s="21">
        <f t="shared" si="10"/>
        <v>5250</v>
      </c>
      <c r="AD44" s="21">
        <f t="shared" si="11"/>
        <v>7000</v>
      </c>
      <c r="AE44" s="21">
        <f t="shared" si="12"/>
        <v>7750</v>
      </c>
      <c r="AF44" s="21">
        <f t="shared" si="13"/>
        <v>8675</v>
      </c>
      <c r="AK44" s="16"/>
      <c r="AL44" s="17"/>
      <c r="AN44" s="16"/>
    </row>
    <row r="45" spans="2:40" x14ac:dyDescent="0.4">
      <c r="B45" s="6">
        <f t="shared" si="1"/>
        <v>42651</v>
      </c>
      <c r="C45" s="8">
        <f t="shared" si="2"/>
        <v>371.53400000000005</v>
      </c>
      <c r="D45" s="5">
        <f t="shared" si="3"/>
        <v>1265.5</v>
      </c>
      <c r="E45" s="5">
        <f t="shared" si="4"/>
        <v>2015.5</v>
      </c>
      <c r="F45" s="5">
        <f t="shared" si="5"/>
        <v>2940.5</v>
      </c>
      <c r="H45" s="6"/>
      <c r="I45" s="11">
        <v>42287</v>
      </c>
      <c r="J45" s="9">
        <v>472.05799999999999</v>
      </c>
      <c r="K45" s="9">
        <v>818.1</v>
      </c>
      <c r="O45" s="11">
        <v>42658</v>
      </c>
      <c r="P45" s="9">
        <v>0</v>
      </c>
      <c r="Q45" s="9">
        <v>5261.666666666667</v>
      </c>
      <c r="R45" s="9">
        <v>7108.333333333333</v>
      </c>
      <c r="S45" s="9">
        <v>7829.166666666667</v>
      </c>
      <c r="T45" s="31">
        <v>8741.6666666666661</v>
      </c>
      <c r="W45" s="16">
        <f t="shared" si="6"/>
        <v>42287</v>
      </c>
      <c r="X45" s="9">
        <f t="shared" si="7"/>
        <v>472.05799999999999</v>
      </c>
      <c r="Y45" s="9">
        <f t="shared" si="8"/>
        <v>818.1</v>
      </c>
      <c r="AA45" s="16">
        <f t="shared" si="9"/>
        <v>42658</v>
      </c>
      <c r="AB45" s="21">
        <v>4650</v>
      </c>
      <c r="AC45" s="21">
        <f t="shared" si="10"/>
        <v>5261.666666666667</v>
      </c>
      <c r="AD45" s="21">
        <f t="shared" si="11"/>
        <v>7108.333333333333</v>
      </c>
      <c r="AE45" s="21">
        <f t="shared" si="12"/>
        <v>7829.166666666667</v>
      </c>
      <c r="AF45" s="21">
        <f t="shared" si="13"/>
        <v>8741.6666666666661</v>
      </c>
      <c r="AK45" s="16"/>
      <c r="AL45" s="17"/>
      <c r="AN45" s="16"/>
    </row>
    <row r="46" spans="2:40" x14ac:dyDescent="0.4">
      <c r="B46" s="6">
        <f t="shared" si="1"/>
        <v>42658</v>
      </c>
      <c r="C46" s="8">
        <f t="shared" si="2"/>
        <v>370.45600000000002</v>
      </c>
      <c r="D46" s="5">
        <f t="shared" si="3"/>
        <v>1369.9249999999995</v>
      </c>
      <c r="E46" s="5">
        <f t="shared" si="4"/>
        <v>2090.7583333333332</v>
      </c>
      <c r="F46" s="5">
        <f t="shared" si="5"/>
        <v>3003.2583333333323</v>
      </c>
      <c r="H46" s="6"/>
      <c r="I46" s="11">
        <v>42294</v>
      </c>
      <c r="J46" s="9">
        <v>466.78</v>
      </c>
      <c r="K46" s="9">
        <v>821.4</v>
      </c>
      <c r="O46" s="11">
        <v>42665</v>
      </c>
      <c r="P46" s="9">
        <v>0</v>
      </c>
      <c r="Q46" s="9">
        <v>5346</v>
      </c>
      <c r="R46" s="9">
        <v>7220</v>
      </c>
      <c r="S46" s="9">
        <v>7895</v>
      </c>
      <c r="T46" s="31">
        <v>8905</v>
      </c>
      <c r="W46" s="16">
        <f t="shared" si="6"/>
        <v>42294</v>
      </c>
      <c r="X46" s="9">
        <f t="shared" si="7"/>
        <v>466.78</v>
      </c>
      <c r="Y46" s="9">
        <f t="shared" si="8"/>
        <v>821.4</v>
      </c>
      <c r="AA46" s="16">
        <f t="shared" si="9"/>
        <v>42665</v>
      </c>
      <c r="AB46" s="21">
        <v>4652.5</v>
      </c>
      <c r="AC46" s="21">
        <f t="shared" si="10"/>
        <v>5346</v>
      </c>
      <c r="AD46" s="21">
        <f t="shared" si="11"/>
        <v>7220</v>
      </c>
      <c r="AE46" s="21">
        <f t="shared" si="12"/>
        <v>7895</v>
      </c>
      <c r="AF46" s="21">
        <f t="shared" si="13"/>
        <v>8905</v>
      </c>
      <c r="AK46" s="16"/>
      <c r="AL46" s="17"/>
      <c r="AN46" s="16"/>
    </row>
    <row r="47" spans="2:40" x14ac:dyDescent="0.4">
      <c r="B47" s="6">
        <f t="shared" si="1"/>
        <v>42665</v>
      </c>
      <c r="C47" s="8">
        <f t="shared" si="2"/>
        <v>361.69799999999998</v>
      </c>
      <c r="D47" s="5">
        <f t="shared" si="3"/>
        <v>1451.2025000000001</v>
      </c>
      <c r="E47" s="5">
        <f t="shared" si="4"/>
        <v>2126.2025000000003</v>
      </c>
      <c r="F47" s="5">
        <f t="shared" si="5"/>
        <v>3136.2025000000003</v>
      </c>
      <c r="H47" s="6"/>
      <c r="I47" s="11">
        <v>42301</v>
      </c>
      <c r="J47" s="9">
        <v>447.13200000000001</v>
      </c>
      <c r="K47" s="9">
        <v>803.3</v>
      </c>
      <c r="O47" s="11">
        <v>42672</v>
      </c>
      <c r="P47" s="9">
        <v>0</v>
      </c>
      <c r="Q47" s="9">
        <v>5572</v>
      </c>
      <c r="R47" s="9">
        <v>7355</v>
      </c>
      <c r="S47" s="9">
        <v>7975</v>
      </c>
      <c r="T47" s="31">
        <v>9060</v>
      </c>
      <c r="W47" s="16">
        <f t="shared" si="6"/>
        <v>42301</v>
      </c>
      <c r="X47" s="9">
        <f t="shared" si="7"/>
        <v>447.13200000000001</v>
      </c>
      <c r="Y47" s="9">
        <f t="shared" si="8"/>
        <v>803.3</v>
      </c>
      <c r="AA47" s="16">
        <f t="shared" si="9"/>
        <v>42672</v>
      </c>
      <c r="AB47" s="21">
        <v>4710</v>
      </c>
      <c r="AC47" s="21">
        <f t="shared" si="10"/>
        <v>5572</v>
      </c>
      <c r="AD47" s="21">
        <f t="shared" si="11"/>
        <v>7355</v>
      </c>
      <c r="AE47" s="21">
        <f t="shared" si="12"/>
        <v>7975</v>
      </c>
      <c r="AF47" s="21">
        <f t="shared" si="13"/>
        <v>9060</v>
      </c>
      <c r="AK47" s="16"/>
      <c r="AL47" s="17"/>
      <c r="AN47" s="16"/>
    </row>
    <row r="48" spans="2:40" x14ac:dyDescent="0.4">
      <c r="B48" s="6">
        <f t="shared" si="1"/>
        <v>42672</v>
      </c>
      <c r="C48" s="8">
        <f t="shared" si="2"/>
        <v>353.79800000000006</v>
      </c>
      <c r="D48" s="5">
        <f t="shared" si="3"/>
        <v>1461.3300000000002</v>
      </c>
      <c r="E48" s="5">
        <f t="shared" si="4"/>
        <v>2081.33</v>
      </c>
      <c r="F48" s="5">
        <f t="shared" si="5"/>
        <v>3166.3300000000008</v>
      </c>
      <c r="H48" s="6"/>
      <c r="I48" s="11">
        <v>42308</v>
      </c>
      <c r="J48" s="9">
        <v>446.53399999999999</v>
      </c>
      <c r="K48" s="9">
        <v>799</v>
      </c>
      <c r="O48" s="11">
        <v>42679</v>
      </c>
      <c r="P48" s="9">
        <v>0</v>
      </c>
      <c r="Q48" s="9">
        <v>5762</v>
      </c>
      <c r="R48" s="9">
        <v>7435</v>
      </c>
      <c r="S48" s="9">
        <v>7975</v>
      </c>
      <c r="T48" s="31">
        <v>9100</v>
      </c>
      <c r="W48" s="16">
        <f t="shared" si="6"/>
        <v>42308</v>
      </c>
      <c r="X48" s="9">
        <f t="shared" si="7"/>
        <v>446.53399999999999</v>
      </c>
      <c r="Y48" s="9">
        <f t="shared" si="8"/>
        <v>799</v>
      </c>
      <c r="AA48" s="16">
        <f t="shared" si="9"/>
        <v>42679</v>
      </c>
      <c r="AB48" s="21">
        <v>4710</v>
      </c>
      <c r="AC48" s="21">
        <f t="shared" si="10"/>
        <v>5762</v>
      </c>
      <c r="AD48" s="21">
        <f t="shared" si="11"/>
        <v>7435</v>
      </c>
      <c r="AE48" s="21">
        <f t="shared" si="12"/>
        <v>7975</v>
      </c>
      <c r="AF48" s="21">
        <f t="shared" si="13"/>
        <v>9100</v>
      </c>
      <c r="AK48" s="16"/>
      <c r="AL48" s="17"/>
      <c r="AN48" s="16"/>
    </row>
    <row r="49" spans="2:40" x14ac:dyDescent="0.4">
      <c r="B49" s="6">
        <f t="shared" si="1"/>
        <v>42679</v>
      </c>
      <c r="C49" s="8">
        <f t="shared" si="2"/>
        <v>360.25400000000002</v>
      </c>
      <c r="D49" s="5">
        <f t="shared" si="3"/>
        <v>1477.68</v>
      </c>
      <c r="E49" s="5">
        <f t="shared" si="4"/>
        <v>2017.68</v>
      </c>
      <c r="F49" s="5">
        <f t="shared" si="5"/>
        <v>3142.6800000000003</v>
      </c>
      <c r="H49" s="6"/>
      <c r="I49" s="11">
        <v>42315</v>
      </c>
      <c r="J49" s="9">
        <v>468.08199999999999</v>
      </c>
      <c r="K49" s="9">
        <v>810</v>
      </c>
      <c r="O49" s="11">
        <v>42686</v>
      </c>
      <c r="P49" s="9">
        <v>0</v>
      </c>
      <c r="Q49" s="9">
        <v>6052</v>
      </c>
      <c r="R49" s="9">
        <v>7530</v>
      </c>
      <c r="S49" s="9">
        <v>8000</v>
      </c>
      <c r="T49" s="31">
        <v>9120</v>
      </c>
      <c r="W49" s="16">
        <f t="shared" si="6"/>
        <v>42315</v>
      </c>
      <c r="X49" s="9">
        <f t="shared" si="7"/>
        <v>468.08199999999999</v>
      </c>
      <c r="Y49" s="9">
        <f t="shared" si="8"/>
        <v>810</v>
      </c>
      <c r="AA49" s="16">
        <f t="shared" si="9"/>
        <v>42686</v>
      </c>
      <c r="AB49" s="21">
        <v>4700</v>
      </c>
      <c r="AC49" s="21">
        <f t="shared" si="10"/>
        <v>6052</v>
      </c>
      <c r="AD49" s="21">
        <f t="shared" si="11"/>
        <v>7530</v>
      </c>
      <c r="AE49" s="21">
        <f t="shared" si="12"/>
        <v>8000</v>
      </c>
      <c r="AF49" s="21">
        <f t="shared" si="13"/>
        <v>9120</v>
      </c>
      <c r="AK49" s="16"/>
      <c r="AL49" s="17"/>
      <c r="AN49" s="16"/>
    </row>
    <row r="50" spans="2:40" x14ac:dyDescent="0.4">
      <c r="B50" s="6">
        <f t="shared" si="1"/>
        <v>42686</v>
      </c>
      <c r="C50" s="8">
        <f t="shared" si="2"/>
        <v>371.94</v>
      </c>
      <c r="D50" s="5">
        <f t="shared" si="3"/>
        <v>1484.08</v>
      </c>
      <c r="E50" s="5">
        <f t="shared" si="4"/>
        <v>1954.08</v>
      </c>
      <c r="F50" s="5">
        <f t="shared" si="5"/>
        <v>3074.08</v>
      </c>
      <c r="H50" s="6"/>
      <c r="I50" s="11">
        <v>42322</v>
      </c>
      <c r="J50" s="9">
        <v>451.73500000000001</v>
      </c>
      <c r="K50" s="9">
        <v>798.8</v>
      </c>
      <c r="O50" s="11">
        <v>42693</v>
      </c>
      <c r="P50" s="9">
        <v>0</v>
      </c>
      <c r="Q50" s="9">
        <v>6098</v>
      </c>
      <c r="R50" s="9">
        <v>7695</v>
      </c>
      <c r="S50" s="9">
        <v>8100</v>
      </c>
      <c r="T50" s="31">
        <v>9280</v>
      </c>
      <c r="W50" s="16">
        <f t="shared" si="6"/>
        <v>42322</v>
      </c>
      <c r="X50" s="9">
        <f t="shared" si="7"/>
        <v>451.73500000000001</v>
      </c>
      <c r="Y50" s="9">
        <f t="shared" si="8"/>
        <v>798.8</v>
      </c>
      <c r="AA50" s="16">
        <f t="shared" si="9"/>
        <v>42693</v>
      </c>
      <c r="AB50" s="21">
        <v>4690</v>
      </c>
      <c r="AC50" s="21">
        <f t="shared" si="10"/>
        <v>6098</v>
      </c>
      <c r="AD50" s="21">
        <f t="shared" si="11"/>
        <v>7695</v>
      </c>
      <c r="AE50" s="21">
        <f t="shared" si="12"/>
        <v>8100</v>
      </c>
      <c r="AF50" s="21">
        <f t="shared" si="13"/>
        <v>9280</v>
      </c>
      <c r="AK50" s="16"/>
      <c r="AL50" s="17"/>
      <c r="AN50" s="16"/>
    </row>
    <row r="51" spans="2:40" x14ac:dyDescent="0.4">
      <c r="B51" s="6">
        <f t="shared" si="1"/>
        <v>42693</v>
      </c>
      <c r="C51" s="8">
        <f t="shared" si="2"/>
        <v>367.17399999999998</v>
      </c>
      <c r="D51" s="5">
        <f t="shared" si="3"/>
        <v>1642.22</v>
      </c>
      <c r="E51" s="5">
        <f t="shared" si="4"/>
        <v>2047.22</v>
      </c>
      <c r="F51" s="5">
        <f t="shared" si="5"/>
        <v>3227.2200000000003</v>
      </c>
      <c r="H51" s="6"/>
      <c r="I51" s="11">
        <v>42329</v>
      </c>
      <c r="J51" s="9">
        <v>439.03199999999998</v>
      </c>
      <c r="K51" s="9">
        <v>791</v>
      </c>
      <c r="O51" s="11">
        <v>42700</v>
      </c>
      <c r="P51" s="9">
        <v>0</v>
      </c>
      <c r="Q51" s="9">
        <v>6388</v>
      </c>
      <c r="R51" s="9">
        <v>7765</v>
      </c>
      <c r="S51" s="9">
        <v>8140</v>
      </c>
      <c r="T51" s="31">
        <v>9360</v>
      </c>
      <c r="W51" s="16">
        <f t="shared" si="6"/>
        <v>42329</v>
      </c>
      <c r="X51" s="9">
        <f t="shared" si="7"/>
        <v>439.03199999999998</v>
      </c>
      <c r="Y51" s="9">
        <f t="shared" si="8"/>
        <v>791</v>
      </c>
      <c r="AA51" s="16">
        <f t="shared" si="9"/>
        <v>42700</v>
      </c>
      <c r="AB51" s="21">
        <v>4830</v>
      </c>
      <c r="AC51" s="21">
        <f t="shared" si="10"/>
        <v>6388</v>
      </c>
      <c r="AD51" s="21">
        <f t="shared" si="11"/>
        <v>7765</v>
      </c>
      <c r="AE51" s="21">
        <f t="shared" si="12"/>
        <v>8140</v>
      </c>
      <c r="AF51" s="21">
        <f t="shared" si="13"/>
        <v>9360</v>
      </c>
      <c r="AK51" s="16"/>
      <c r="AL51" s="17"/>
      <c r="AN51" s="16"/>
    </row>
    <row r="52" spans="2:40" x14ac:dyDescent="0.4">
      <c r="B52" s="6">
        <f t="shared" si="1"/>
        <v>42700</v>
      </c>
      <c r="C52" s="8">
        <f t="shared" si="2"/>
        <v>359.89</v>
      </c>
      <c r="D52" s="5">
        <f t="shared" si="3"/>
        <v>1495.3700000000003</v>
      </c>
      <c r="E52" s="5">
        <f t="shared" si="4"/>
        <v>1870.3700000000003</v>
      </c>
      <c r="F52" s="5">
        <f t="shared" si="5"/>
        <v>3090.3700000000003</v>
      </c>
      <c r="H52" s="6"/>
      <c r="I52" s="11">
        <v>42336</v>
      </c>
      <c r="J52" s="9">
        <v>452.43400000000003</v>
      </c>
      <c r="K52" s="9">
        <v>791.4</v>
      </c>
      <c r="O52" s="11">
        <v>42707</v>
      </c>
      <c r="P52" s="9">
        <v>0</v>
      </c>
      <c r="Q52" s="9">
        <v>6358</v>
      </c>
      <c r="R52" s="9">
        <v>7790</v>
      </c>
      <c r="S52" s="9">
        <v>8205</v>
      </c>
      <c r="T52" s="31">
        <v>9380</v>
      </c>
      <c r="W52" s="16">
        <f t="shared" si="6"/>
        <v>42336</v>
      </c>
      <c r="X52" s="9">
        <f t="shared" si="7"/>
        <v>452.43400000000003</v>
      </c>
      <c r="Y52" s="9">
        <f t="shared" si="8"/>
        <v>791.4</v>
      </c>
      <c r="AA52" s="16">
        <f t="shared" si="9"/>
        <v>42707</v>
      </c>
      <c r="AB52" s="21">
        <v>4910</v>
      </c>
      <c r="AC52" s="21">
        <f t="shared" si="10"/>
        <v>6358</v>
      </c>
      <c r="AD52" s="21">
        <f t="shared" si="11"/>
        <v>7790</v>
      </c>
      <c r="AE52" s="21">
        <f t="shared" si="12"/>
        <v>8205</v>
      </c>
      <c r="AF52" s="21">
        <f t="shared" si="13"/>
        <v>9380</v>
      </c>
      <c r="AK52" s="16"/>
      <c r="AL52" s="17"/>
      <c r="AN52" s="16"/>
    </row>
    <row r="53" spans="2:40" x14ac:dyDescent="0.4">
      <c r="B53" s="6">
        <f t="shared" si="1"/>
        <v>42707</v>
      </c>
      <c r="C53" s="8">
        <f t="shared" si="2"/>
        <v>366.36599999999999</v>
      </c>
      <c r="D53" s="5">
        <f t="shared" si="3"/>
        <v>1462.0199999999995</v>
      </c>
      <c r="E53" s="5">
        <f t="shared" si="4"/>
        <v>1877.0199999999995</v>
      </c>
      <c r="F53" s="5">
        <f t="shared" si="5"/>
        <v>3052.0199999999995</v>
      </c>
      <c r="H53" s="6"/>
      <c r="I53" s="11">
        <v>42343</v>
      </c>
      <c r="J53" s="9">
        <v>455.35599999999999</v>
      </c>
      <c r="K53" s="9">
        <v>792.9</v>
      </c>
      <c r="O53" s="11">
        <v>42714</v>
      </c>
      <c r="P53" s="9">
        <v>0</v>
      </c>
      <c r="Q53" s="9">
        <v>7010</v>
      </c>
      <c r="R53" s="9">
        <v>8020</v>
      </c>
      <c r="S53" s="9">
        <v>8640</v>
      </c>
      <c r="T53" s="31">
        <v>9610</v>
      </c>
      <c r="W53" s="16">
        <f t="shared" si="6"/>
        <v>42343</v>
      </c>
      <c r="X53" s="9">
        <f>IFERROR(IF(J53&lt;&gt;0,J53,X52),X52)</f>
        <v>455.35599999999999</v>
      </c>
      <c r="Y53" s="9">
        <f t="shared" si="8"/>
        <v>792.9</v>
      </c>
      <c r="AA53" s="16">
        <f t="shared" si="9"/>
        <v>42714</v>
      </c>
      <c r="AB53" s="21">
        <v>4930</v>
      </c>
      <c r="AC53" s="21">
        <f t="shared" si="10"/>
        <v>7010</v>
      </c>
      <c r="AD53" s="21">
        <f t="shared" si="11"/>
        <v>8020</v>
      </c>
      <c r="AE53" s="21">
        <f t="shared" si="12"/>
        <v>8640</v>
      </c>
      <c r="AF53" s="21">
        <f t="shared" si="13"/>
        <v>9610</v>
      </c>
      <c r="AK53" s="16"/>
      <c r="AL53" s="17"/>
      <c r="AN53" s="16"/>
    </row>
    <row r="54" spans="2:40" x14ac:dyDescent="0.4">
      <c r="B54" s="6">
        <f t="shared" si="1"/>
        <v>42714</v>
      </c>
      <c r="C54" s="8">
        <f t="shared" si="2"/>
        <v>360.80400000000003</v>
      </c>
      <c r="D54" s="5">
        <f t="shared" si="3"/>
        <v>1456.5</v>
      </c>
      <c r="E54" s="5">
        <f t="shared" si="4"/>
        <v>2076.5</v>
      </c>
      <c r="F54" s="5">
        <f t="shared" si="5"/>
        <v>3046.5</v>
      </c>
      <c r="H54" s="6"/>
      <c r="I54" s="11">
        <v>42350</v>
      </c>
      <c r="J54" s="9">
        <v>429.90800000000002</v>
      </c>
      <c r="K54" s="9">
        <v>776.4</v>
      </c>
      <c r="O54" s="11">
        <v>42721</v>
      </c>
      <c r="P54" s="9">
        <v>0</v>
      </c>
      <c r="Q54" s="9">
        <v>7596</v>
      </c>
      <c r="R54" s="9">
        <v>8680</v>
      </c>
      <c r="S54" s="9">
        <v>9505</v>
      </c>
      <c r="T54" s="31">
        <v>10375</v>
      </c>
      <c r="W54" s="16">
        <f t="shared" si="6"/>
        <v>42350</v>
      </c>
      <c r="X54" s="9">
        <f t="shared" si="7"/>
        <v>429.90800000000002</v>
      </c>
      <c r="Y54" s="9">
        <f t="shared" si="8"/>
        <v>776.4</v>
      </c>
      <c r="AA54" s="16">
        <f t="shared" si="9"/>
        <v>42721</v>
      </c>
      <c r="AB54" s="21">
        <v>5240</v>
      </c>
      <c r="AC54" s="21">
        <f t="shared" si="10"/>
        <v>7596</v>
      </c>
      <c r="AD54" s="21">
        <f t="shared" si="11"/>
        <v>8680</v>
      </c>
      <c r="AE54" s="21">
        <f t="shared" si="12"/>
        <v>9505</v>
      </c>
      <c r="AF54" s="21">
        <f t="shared" si="13"/>
        <v>10375</v>
      </c>
      <c r="AK54" s="16"/>
      <c r="AL54" s="17"/>
      <c r="AN54" s="16"/>
    </row>
    <row r="55" spans="2:40" x14ac:dyDescent="0.4">
      <c r="B55" s="6">
        <f t="shared" si="1"/>
        <v>42721</v>
      </c>
      <c r="C55" s="8">
        <f t="shared" si="2"/>
        <v>379.15599999999995</v>
      </c>
      <c r="D55" s="5">
        <f t="shared" si="3"/>
        <v>1655.1399999999999</v>
      </c>
      <c r="E55" s="5">
        <f t="shared" si="4"/>
        <v>2480.14</v>
      </c>
      <c r="F55" s="5">
        <f t="shared" si="5"/>
        <v>3350.14</v>
      </c>
      <c r="H55" s="6"/>
      <c r="I55" s="11">
        <v>42357</v>
      </c>
      <c r="J55" s="9">
        <v>416.05799999999999</v>
      </c>
      <c r="K55" s="9">
        <v>762.2</v>
      </c>
      <c r="O55" s="11">
        <v>42728</v>
      </c>
      <c r="P55" s="9">
        <v>0</v>
      </c>
      <c r="Q55" s="9">
        <v>7352</v>
      </c>
      <c r="R55" s="9">
        <v>8800</v>
      </c>
      <c r="S55" s="9">
        <v>9750</v>
      </c>
      <c r="T55" s="31">
        <v>10450</v>
      </c>
      <c r="W55" s="16">
        <f t="shared" si="6"/>
        <v>42357</v>
      </c>
      <c r="X55" s="9">
        <f t="shared" si="7"/>
        <v>416.05799999999999</v>
      </c>
      <c r="Y55" s="9">
        <f t="shared" si="8"/>
        <v>762.2</v>
      </c>
      <c r="AA55" s="16">
        <f t="shared" si="9"/>
        <v>42728</v>
      </c>
      <c r="AB55" s="21">
        <v>5180</v>
      </c>
      <c r="AC55" s="21">
        <f t="shared" si="10"/>
        <v>7352</v>
      </c>
      <c r="AD55" s="21">
        <f t="shared" si="11"/>
        <v>8800</v>
      </c>
      <c r="AE55" s="21">
        <f t="shared" si="12"/>
        <v>9750</v>
      </c>
      <c r="AF55" s="21">
        <f t="shared" si="13"/>
        <v>10450</v>
      </c>
      <c r="AK55" s="16"/>
      <c r="AL55" s="17"/>
      <c r="AN55" s="16"/>
    </row>
    <row r="56" spans="2:40" x14ac:dyDescent="0.4">
      <c r="B56" s="6">
        <f t="shared" si="1"/>
        <v>42728</v>
      </c>
      <c r="C56" s="8">
        <f t="shared" si="2"/>
        <v>377.19999999999993</v>
      </c>
      <c r="D56" s="5">
        <f t="shared" si="3"/>
        <v>1908.1800000000003</v>
      </c>
      <c r="E56" s="5">
        <f t="shared" si="4"/>
        <v>2858.1800000000003</v>
      </c>
      <c r="F56" s="5">
        <f t="shared" si="5"/>
        <v>3558.1800000000003</v>
      </c>
      <c r="H56" s="6"/>
      <c r="I56" s="11">
        <v>42364</v>
      </c>
      <c r="J56" s="9">
        <v>412.36</v>
      </c>
      <c r="K56" s="9">
        <v>764.4375</v>
      </c>
      <c r="O56" s="11">
        <v>42735</v>
      </c>
      <c r="P56" s="9">
        <v>0</v>
      </c>
      <c r="Q56" s="9">
        <v>7870</v>
      </c>
      <c r="R56" s="9">
        <v>8780</v>
      </c>
      <c r="S56" s="9">
        <v>9750</v>
      </c>
      <c r="T56" s="31">
        <v>10450</v>
      </c>
      <c r="W56" s="16">
        <f t="shared" si="6"/>
        <v>42364</v>
      </c>
      <c r="X56" s="9">
        <f t="shared" si="7"/>
        <v>412.36</v>
      </c>
      <c r="Y56" s="9">
        <f t="shared" si="8"/>
        <v>764.4375</v>
      </c>
      <c r="AA56" s="16">
        <f t="shared" si="9"/>
        <v>42735</v>
      </c>
      <c r="AB56" s="21">
        <v>5180</v>
      </c>
      <c r="AC56" s="21">
        <f t="shared" si="10"/>
        <v>7870</v>
      </c>
      <c r="AD56" s="21">
        <f t="shared" si="11"/>
        <v>8780</v>
      </c>
      <c r="AE56" s="21">
        <f t="shared" si="12"/>
        <v>9750</v>
      </c>
      <c r="AF56" s="21">
        <f t="shared" si="13"/>
        <v>10450</v>
      </c>
      <c r="AK56" s="16"/>
      <c r="AL56" s="17"/>
      <c r="AN56" s="16"/>
    </row>
    <row r="57" spans="2:40" x14ac:dyDescent="0.4">
      <c r="B57" s="6">
        <f t="shared" si="1"/>
        <v>42735</v>
      </c>
      <c r="C57" s="8">
        <f t="shared" si="2"/>
        <v>371.75</v>
      </c>
      <c r="D57" s="5">
        <f t="shared" si="3"/>
        <v>1714.65</v>
      </c>
      <c r="E57" s="5">
        <f t="shared" si="4"/>
        <v>2684.65</v>
      </c>
      <c r="F57" s="5">
        <f t="shared" si="5"/>
        <v>3384.65</v>
      </c>
      <c r="H57" s="6"/>
      <c r="I57" s="11">
        <v>42371</v>
      </c>
      <c r="J57" s="9">
        <v>414.79250000000002</v>
      </c>
      <c r="K57" s="9">
        <v>764.8125</v>
      </c>
      <c r="O57" s="11">
        <v>42742</v>
      </c>
      <c r="P57" s="9">
        <v>0</v>
      </c>
      <c r="Q57" s="9">
        <v>7857.5</v>
      </c>
      <c r="R57" s="9">
        <v>8812.5</v>
      </c>
      <c r="S57" s="9">
        <v>9712.5</v>
      </c>
      <c r="T57" s="31">
        <v>10450</v>
      </c>
      <c r="W57" s="16">
        <f t="shared" si="6"/>
        <v>42371</v>
      </c>
      <c r="X57" s="9">
        <f t="shared" si="7"/>
        <v>414.79250000000002</v>
      </c>
      <c r="Y57" s="9">
        <f t="shared" si="8"/>
        <v>764.8125</v>
      </c>
      <c r="AA57" s="16">
        <f t="shared" si="9"/>
        <v>42742</v>
      </c>
      <c r="AB57" s="21">
        <v>5237.5</v>
      </c>
      <c r="AC57" s="21">
        <f t="shared" si="10"/>
        <v>7857.5</v>
      </c>
      <c r="AD57" s="21">
        <f t="shared" si="11"/>
        <v>8812.5</v>
      </c>
      <c r="AE57" s="21">
        <f t="shared" si="12"/>
        <v>9712.5</v>
      </c>
      <c r="AF57" s="21">
        <f t="shared" si="13"/>
        <v>10450</v>
      </c>
      <c r="AK57" s="16"/>
      <c r="AL57" s="17"/>
      <c r="AN57" s="16"/>
    </row>
    <row r="58" spans="2:40" x14ac:dyDescent="0.4">
      <c r="B58" s="6">
        <f t="shared" si="1"/>
        <v>42742</v>
      </c>
      <c r="C58" s="8">
        <f t="shared" si="2"/>
        <v>369.6875</v>
      </c>
      <c r="D58" s="5">
        <f t="shared" si="3"/>
        <v>1702.1749999999997</v>
      </c>
      <c r="E58" s="5">
        <f t="shared" si="4"/>
        <v>2602.1749999999997</v>
      </c>
      <c r="F58" s="5">
        <f t="shared" si="5"/>
        <v>3339.6749999999997</v>
      </c>
      <c r="H58" s="6"/>
      <c r="I58" s="11">
        <v>42378</v>
      </c>
      <c r="J58" s="9">
        <v>403.03199999999998</v>
      </c>
      <c r="K58" s="9">
        <v>756.66800000000001</v>
      </c>
      <c r="O58" s="11">
        <v>42749</v>
      </c>
      <c r="P58" s="9">
        <v>0</v>
      </c>
      <c r="Q58" s="9">
        <v>7757.6</v>
      </c>
      <c r="R58" s="9">
        <v>8650</v>
      </c>
      <c r="S58" s="9">
        <v>9370</v>
      </c>
      <c r="T58" s="31">
        <v>10280</v>
      </c>
      <c r="W58" s="16">
        <f t="shared" si="6"/>
        <v>42378</v>
      </c>
      <c r="X58" s="9">
        <f t="shared" si="7"/>
        <v>403.03199999999998</v>
      </c>
      <c r="Y58" s="9">
        <f t="shared" si="8"/>
        <v>756.66800000000001</v>
      </c>
      <c r="AA58" s="16">
        <f t="shared" si="9"/>
        <v>42749</v>
      </c>
      <c r="AB58" s="21">
        <v>5290</v>
      </c>
      <c r="AC58" s="21">
        <f t="shared" si="10"/>
        <v>7757.6</v>
      </c>
      <c r="AD58" s="21">
        <f t="shared" si="11"/>
        <v>8650</v>
      </c>
      <c r="AE58" s="21">
        <f t="shared" si="12"/>
        <v>9370</v>
      </c>
      <c r="AF58" s="21">
        <f t="shared" si="13"/>
        <v>10280</v>
      </c>
      <c r="AK58" s="16"/>
      <c r="AL58" s="17"/>
      <c r="AN58" s="16"/>
    </row>
    <row r="59" spans="2:40" x14ac:dyDescent="0.4">
      <c r="B59" s="6">
        <f t="shared" si="1"/>
        <v>42749</v>
      </c>
      <c r="C59" s="8">
        <f t="shared" si="2"/>
        <v>352.5</v>
      </c>
      <c r="D59" s="5">
        <f t="shared" si="3"/>
        <v>1528.2539999999999</v>
      </c>
      <c r="E59" s="5">
        <f t="shared" si="4"/>
        <v>2248.2539999999999</v>
      </c>
      <c r="F59" s="5">
        <f t="shared" si="5"/>
        <v>3158.2539999999999</v>
      </c>
      <c r="H59" s="6"/>
      <c r="I59" s="11">
        <v>42385</v>
      </c>
      <c r="J59" s="9">
        <v>341.30799999999999</v>
      </c>
      <c r="K59" s="9">
        <v>709.26800000000003</v>
      </c>
      <c r="O59" s="11">
        <v>42756</v>
      </c>
      <c r="P59" s="9">
        <v>0</v>
      </c>
      <c r="Q59" s="9">
        <v>7880</v>
      </c>
      <c r="R59" s="9">
        <v>8600</v>
      </c>
      <c r="S59" s="9">
        <v>9120</v>
      </c>
      <c r="T59" s="31">
        <v>10200</v>
      </c>
      <c r="W59" s="16">
        <f t="shared" si="6"/>
        <v>42385</v>
      </c>
      <c r="X59" s="9">
        <f t="shared" si="7"/>
        <v>341.30799999999999</v>
      </c>
      <c r="Y59" s="9">
        <f t="shared" si="8"/>
        <v>709.26800000000003</v>
      </c>
      <c r="AA59" s="16">
        <f t="shared" si="9"/>
        <v>42756</v>
      </c>
      <c r="AB59" s="21">
        <v>5310</v>
      </c>
      <c r="AC59" s="21">
        <f t="shared" si="10"/>
        <v>7880</v>
      </c>
      <c r="AD59" s="21">
        <f t="shared" si="11"/>
        <v>8600</v>
      </c>
      <c r="AE59" s="21">
        <f t="shared" si="12"/>
        <v>9120</v>
      </c>
      <c r="AF59" s="21">
        <f t="shared" si="13"/>
        <v>10200</v>
      </c>
      <c r="AK59" s="16"/>
      <c r="AL59" s="17"/>
      <c r="AN59" s="16"/>
    </row>
    <row r="60" spans="2:40" x14ac:dyDescent="0.4">
      <c r="B60" s="6">
        <f t="shared" si="1"/>
        <v>42756</v>
      </c>
      <c r="C60" s="8">
        <f t="shared" si="2"/>
        <v>361.99199999999996</v>
      </c>
      <c r="D60" s="5">
        <f t="shared" si="3"/>
        <v>1420.1499999999996</v>
      </c>
      <c r="E60" s="5">
        <f t="shared" si="4"/>
        <v>1940.1499999999996</v>
      </c>
      <c r="F60" s="5">
        <f t="shared" si="5"/>
        <v>3020.1499999999996</v>
      </c>
      <c r="H60" s="6"/>
      <c r="I60" s="11">
        <v>42392</v>
      </c>
      <c r="J60" s="9">
        <v>313.97800000000001</v>
      </c>
      <c r="K60" s="9">
        <v>693.26800000000003</v>
      </c>
      <c r="O60" s="11">
        <v>42763</v>
      </c>
      <c r="P60" s="9">
        <v>0</v>
      </c>
      <c r="Q60" s="9">
        <v>7895</v>
      </c>
      <c r="R60" s="9">
        <v>8600</v>
      </c>
      <c r="S60" s="9">
        <v>9050</v>
      </c>
      <c r="T60" s="31">
        <v>10200</v>
      </c>
      <c r="W60" s="16">
        <f t="shared" si="6"/>
        <v>42392</v>
      </c>
      <c r="X60" s="9">
        <f t="shared" si="7"/>
        <v>313.97800000000001</v>
      </c>
      <c r="Y60" s="9">
        <f t="shared" si="8"/>
        <v>693.26800000000003</v>
      </c>
      <c r="AA60" s="16">
        <f t="shared" si="9"/>
        <v>42763</v>
      </c>
      <c r="AB60" s="21">
        <v>5300</v>
      </c>
      <c r="AC60" s="21">
        <f t="shared" si="10"/>
        <v>7895</v>
      </c>
      <c r="AD60" s="21">
        <f t="shared" si="11"/>
        <v>8600</v>
      </c>
      <c r="AE60" s="21">
        <f t="shared" si="12"/>
        <v>9050</v>
      </c>
      <c r="AF60" s="21">
        <f t="shared" si="13"/>
        <v>10200</v>
      </c>
      <c r="AK60" s="16"/>
      <c r="AL60" s="17"/>
      <c r="AN60" s="16"/>
    </row>
    <row r="61" spans="2:40" x14ac:dyDescent="0.4">
      <c r="B61" s="6">
        <f t="shared" si="1"/>
        <v>42763</v>
      </c>
      <c r="C61" s="8">
        <f t="shared" si="2"/>
        <v>384.63599999999997</v>
      </c>
      <c r="D61" s="5">
        <f t="shared" si="3"/>
        <v>1423.6749999999997</v>
      </c>
      <c r="E61" s="5">
        <f t="shared" si="4"/>
        <v>1873.6749999999997</v>
      </c>
      <c r="F61" s="5">
        <f t="shared" si="5"/>
        <v>3023.6749999999997</v>
      </c>
      <c r="H61" s="6"/>
      <c r="I61" s="11">
        <v>42399</v>
      </c>
      <c r="J61" s="9">
        <v>313.50400000000002</v>
      </c>
      <c r="K61" s="9">
        <v>712.93399999999997</v>
      </c>
      <c r="O61" s="11">
        <v>42770</v>
      </c>
      <c r="P61" s="9">
        <v>0</v>
      </c>
      <c r="Q61" s="9">
        <v>8270</v>
      </c>
      <c r="R61" s="9">
        <v>8950</v>
      </c>
      <c r="S61" s="9">
        <v>9150</v>
      </c>
      <c r="T61" s="31">
        <v>10200</v>
      </c>
      <c r="W61" s="16">
        <f t="shared" si="6"/>
        <v>42399</v>
      </c>
      <c r="X61" s="9">
        <f t="shared" si="7"/>
        <v>313.50400000000002</v>
      </c>
      <c r="Y61" s="9">
        <f t="shared" si="8"/>
        <v>712.93399999999997</v>
      </c>
      <c r="AA61" s="16">
        <f t="shared" si="9"/>
        <v>42770</v>
      </c>
      <c r="AB61" s="21">
        <v>5600</v>
      </c>
      <c r="AC61" s="21">
        <f t="shared" si="10"/>
        <v>8270</v>
      </c>
      <c r="AD61" s="21">
        <f t="shared" si="11"/>
        <v>8950</v>
      </c>
      <c r="AE61" s="21">
        <f t="shared" si="12"/>
        <v>9150</v>
      </c>
      <c r="AF61" s="21">
        <f t="shared" si="13"/>
        <v>10200</v>
      </c>
      <c r="AK61" s="16"/>
      <c r="AL61" s="17"/>
      <c r="AN61" s="16"/>
    </row>
    <row r="62" spans="2:40" x14ac:dyDescent="0.4">
      <c r="B62" s="6">
        <f t="shared" si="1"/>
        <v>42770</v>
      </c>
      <c r="C62" s="8">
        <f t="shared" si="2"/>
        <v>385.95499999999993</v>
      </c>
      <c r="D62" s="5">
        <f t="shared" si="3"/>
        <v>1391.5499999999997</v>
      </c>
      <c r="E62" s="5">
        <f t="shared" si="4"/>
        <v>1591.5499999999997</v>
      </c>
      <c r="F62" s="5">
        <f t="shared" si="5"/>
        <v>2641.5499999999997</v>
      </c>
      <c r="H62" s="6"/>
      <c r="I62" s="11">
        <v>42406</v>
      </c>
      <c r="J62" s="9">
        <v>323.875</v>
      </c>
      <c r="K62" s="9">
        <v>735.33399999999995</v>
      </c>
      <c r="O62" s="11">
        <v>42777</v>
      </c>
      <c r="P62" s="9">
        <v>0</v>
      </c>
      <c r="Q62" s="9">
        <v>8054.166666666667</v>
      </c>
      <c r="R62" s="9">
        <v>9016.6666666666661</v>
      </c>
      <c r="S62" s="9">
        <v>9245.8333333333339</v>
      </c>
      <c r="T62" s="31">
        <v>10466.666666666666</v>
      </c>
      <c r="W62" s="16">
        <f t="shared" si="6"/>
        <v>42406</v>
      </c>
      <c r="X62" s="9">
        <f t="shared" si="7"/>
        <v>323.875</v>
      </c>
      <c r="Y62" s="9">
        <f t="shared" si="8"/>
        <v>735.33399999999995</v>
      </c>
      <c r="AA62" s="16">
        <f t="shared" si="9"/>
        <v>42777</v>
      </c>
      <c r="AB62" s="21">
        <v>5593.333333333333</v>
      </c>
      <c r="AC62" s="21">
        <f t="shared" si="10"/>
        <v>8054.166666666667</v>
      </c>
      <c r="AD62" s="21">
        <f t="shared" si="11"/>
        <v>9016.6666666666661</v>
      </c>
      <c r="AE62" s="21">
        <f t="shared" si="12"/>
        <v>9245.8333333333339</v>
      </c>
      <c r="AF62" s="21">
        <f t="shared" si="13"/>
        <v>10466.666666666666</v>
      </c>
      <c r="AK62" s="16"/>
      <c r="AL62" s="17"/>
      <c r="AN62" s="16"/>
    </row>
    <row r="63" spans="2:40" x14ac:dyDescent="0.4">
      <c r="B63" s="6">
        <f t="shared" si="1"/>
        <v>42777</v>
      </c>
      <c r="C63" s="8">
        <f t="shared" si="2"/>
        <v>395.93999999999994</v>
      </c>
      <c r="D63" s="5">
        <f t="shared" si="3"/>
        <v>1536.2208333333333</v>
      </c>
      <c r="E63" s="5">
        <f t="shared" si="4"/>
        <v>1765.3875000000012</v>
      </c>
      <c r="F63" s="5">
        <f t="shared" si="5"/>
        <v>2986.2208333333333</v>
      </c>
      <c r="H63" s="6"/>
      <c r="I63" s="11">
        <v>42413</v>
      </c>
      <c r="J63" s="9">
        <v>290.63</v>
      </c>
      <c r="K63" s="9">
        <v>723</v>
      </c>
      <c r="O63" s="11">
        <v>42784</v>
      </c>
      <c r="P63" s="9">
        <v>0</v>
      </c>
      <c r="Q63" s="9">
        <v>7674</v>
      </c>
      <c r="R63" s="9">
        <v>9090</v>
      </c>
      <c r="S63" s="9">
        <v>9295</v>
      </c>
      <c r="T63" s="31">
        <v>10600</v>
      </c>
      <c r="W63" s="16">
        <f t="shared" si="6"/>
        <v>42413</v>
      </c>
      <c r="X63" s="9">
        <f t="shared" si="7"/>
        <v>290.63</v>
      </c>
      <c r="Y63" s="9">
        <f t="shared" si="8"/>
        <v>723</v>
      </c>
      <c r="AA63" s="16">
        <f t="shared" si="9"/>
        <v>42784</v>
      </c>
      <c r="AB63" s="21">
        <v>5620</v>
      </c>
      <c r="AC63" s="21">
        <f t="shared" si="10"/>
        <v>7674</v>
      </c>
      <c r="AD63" s="21">
        <f t="shared" si="11"/>
        <v>9090</v>
      </c>
      <c r="AE63" s="21">
        <f t="shared" si="12"/>
        <v>9295</v>
      </c>
      <c r="AF63" s="21">
        <f t="shared" si="13"/>
        <v>10600</v>
      </c>
      <c r="AK63" s="16"/>
      <c r="AL63" s="17"/>
      <c r="AN63" s="16"/>
    </row>
    <row r="64" spans="2:40" x14ac:dyDescent="0.4">
      <c r="B64" s="6">
        <f t="shared" si="1"/>
        <v>42784</v>
      </c>
      <c r="C64" s="8">
        <f t="shared" si="2"/>
        <v>386.70399999999995</v>
      </c>
      <c r="D64" s="5">
        <f t="shared" si="3"/>
        <v>1714.1100000000006</v>
      </c>
      <c r="E64" s="5">
        <f t="shared" si="4"/>
        <v>1919.1100000000006</v>
      </c>
      <c r="F64" s="5">
        <f t="shared" si="5"/>
        <v>3224.1100000000006</v>
      </c>
      <c r="H64" s="6"/>
      <c r="I64" s="11">
        <v>42420</v>
      </c>
      <c r="J64" s="9">
        <v>318.50400000000002</v>
      </c>
      <c r="K64" s="9">
        <v>739.39800000000002</v>
      </c>
      <c r="O64" s="11">
        <v>42791</v>
      </c>
      <c r="P64" s="9">
        <v>0</v>
      </c>
      <c r="Q64" s="9">
        <v>7341</v>
      </c>
      <c r="R64" s="9">
        <v>8990</v>
      </c>
      <c r="S64" s="9">
        <v>9240</v>
      </c>
      <c r="T64" s="31">
        <v>10590</v>
      </c>
      <c r="W64" s="16">
        <f t="shared" si="6"/>
        <v>42420</v>
      </c>
      <c r="X64" s="9">
        <f t="shared" si="7"/>
        <v>318.50400000000002</v>
      </c>
      <c r="Y64" s="9">
        <f t="shared" si="8"/>
        <v>739.39800000000002</v>
      </c>
      <c r="AA64" s="16">
        <f t="shared" si="9"/>
        <v>42791</v>
      </c>
      <c r="AB64" s="21">
        <v>5530</v>
      </c>
      <c r="AC64" s="21">
        <f t="shared" si="10"/>
        <v>7341</v>
      </c>
      <c r="AD64" s="21">
        <f t="shared" si="11"/>
        <v>8990</v>
      </c>
      <c r="AE64" s="21">
        <f t="shared" si="12"/>
        <v>9240</v>
      </c>
      <c r="AF64" s="21">
        <f t="shared" si="13"/>
        <v>10590</v>
      </c>
      <c r="AK64" s="16"/>
      <c r="AL64" s="17"/>
      <c r="AN64" s="16"/>
    </row>
    <row r="65" spans="2:40" x14ac:dyDescent="0.4">
      <c r="B65" s="6">
        <f t="shared" si="1"/>
        <v>42791</v>
      </c>
      <c r="C65" s="8">
        <f t="shared" si="2"/>
        <v>399.41999999999996</v>
      </c>
      <c r="D65" s="5">
        <f t="shared" si="3"/>
        <v>1802.6150000000002</v>
      </c>
      <c r="E65" s="5">
        <f t="shared" si="4"/>
        <v>2052.6150000000002</v>
      </c>
      <c r="F65" s="5">
        <f t="shared" si="5"/>
        <v>3402.6150000000002</v>
      </c>
      <c r="H65" s="6"/>
      <c r="I65" s="11">
        <v>42427</v>
      </c>
      <c r="J65" s="9">
        <v>318.64999999999998</v>
      </c>
      <c r="K65" s="9">
        <v>746.87</v>
      </c>
      <c r="O65" s="11">
        <v>42798</v>
      </c>
      <c r="P65" s="9">
        <v>0</v>
      </c>
      <c r="Q65" s="9">
        <v>7050</v>
      </c>
      <c r="R65" s="9">
        <v>8840</v>
      </c>
      <c r="S65" s="9">
        <v>9010</v>
      </c>
      <c r="T65" s="31">
        <v>10450</v>
      </c>
      <c r="W65" s="16">
        <f t="shared" si="6"/>
        <v>42427</v>
      </c>
      <c r="X65" s="9">
        <f t="shared" si="7"/>
        <v>318.64999999999998</v>
      </c>
      <c r="Y65" s="9">
        <f t="shared" si="8"/>
        <v>746.87</v>
      </c>
      <c r="AA65" s="16">
        <f t="shared" si="9"/>
        <v>42798</v>
      </c>
      <c r="AB65" s="21">
        <v>5510</v>
      </c>
      <c r="AC65" s="21">
        <f t="shared" si="10"/>
        <v>7050</v>
      </c>
      <c r="AD65" s="21">
        <f t="shared" si="11"/>
        <v>8840</v>
      </c>
      <c r="AE65" s="21">
        <f t="shared" si="12"/>
        <v>9010</v>
      </c>
      <c r="AF65" s="21">
        <f t="shared" si="13"/>
        <v>10450</v>
      </c>
      <c r="AK65" s="16"/>
      <c r="AL65" s="17"/>
      <c r="AN65" s="16"/>
    </row>
    <row r="66" spans="2:40" x14ac:dyDescent="0.4">
      <c r="B66" s="6">
        <f t="shared" si="1"/>
        <v>42798</v>
      </c>
      <c r="C66" s="8">
        <f t="shared" si="2"/>
        <v>410.31599999999997</v>
      </c>
      <c r="D66" s="5">
        <f t="shared" si="3"/>
        <v>1767.1999999999998</v>
      </c>
      <c r="E66" s="5">
        <f t="shared" si="4"/>
        <v>1937.1999999999998</v>
      </c>
      <c r="F66" s="5">
        <f t="shared" si="5"/>
        <v>3377.2</v>
      </c>
      <c r="H66" s="6"/>
      <c r="I66" s="11">
        <v>42434</v>
      </c>
      <c r="J66" s="9">
        <v>331.23</v>
      </c>
      <c r="K66" s="9">
        <v>763.33199999999999</v>
      </c>
      <c r="O66" s="11">
        <v>42805</v>
      </c>
      <c r="P66" s="9">
        <v>0</v>
      </c>
      <c r="Q66" s="9">
        <v>6693</v>
      </c>
      <c r="R66" s="9">
        <v>8635</v>
      </c>
      <c r="S66" s="9">
        <v>8770</v>
      </c>
      <c r="T66" s="31">
        <v>10200</v>
      </c>
      <c r="W66" s="16">
        <f t="shared" si="6"/>
        <v>42434</v>
      </c>
      <c r="X66" s="9">
        <f>IFERROR(IF(J66&lt;&gt;0,J66,X65),X65)</f>
        <v>331.23</v>
      </c>
      <c r="Y66" s="9">
        <f t="shared" si="8"/>
        <v>763.33199999999999</v>
      </c>
      <c r="AA66" s="16">
        <f t="shared" si="9"/>
        <v>42805</v>
      </c>
      <c r="AB66" s="21">
        <v>5310</v>
      </c>
      <c r="AC66" s="21">
        <f t="shared" si="10"/>
        <v>6693</v>
      </c>
      <c r="AD66" s="21">
        <f t="shared" si="11"/>
        <v>8635</v>
      </c>
      <c r="AE66" s="21">
        <f t="shared" si="12"/>
        <v>8770</v>
      </c>
      <c r="AF66" s="21">
        <f t="shared" si="13"/>
        <v>10200</v>
      </c>
      <c r="AK66" s="16"/>
      <c r="AL66" s="17"/>
      <c r="AN66" s="16"/>
    </row>
    <row r="67" spans="2:40" x14ac:dyDescent="0.4">
      <c r="B67" s="6">
        <f t="shared" si="1"/>
        <v>42805</v>
      </c>
      <c r="C67" s="8">
        <f t="shared" si="2"/>
        <v>412.27599999999995</v>
      </c>
      <c r="D67" s="5">
        <f t="shared" si="3"/>
        <v>1852.7949999999996</v>
      </c>
      <c r="E67" s="5">
        <f t="shared" si="4"/>
        <v>1987.7949999999996</v>
      </c>
      <c r="F67" s="5">
        <f t="shared" si="5"/>
        <v>3417.7949999999996</v>
      </c>
      <c r="H67" s="6"/>
      <c r="I67" s="11">
        <v>42441</v>
      </c>
      <c r="J67" s="9">
        <v>354.77600000000001</v>
      </c>
      <c r="K67" s="9">
        <v>794.93200000000002</v>
      </c>
      <c r="O67" s="11">
        <v>42812</v>
      </c>
      <c r="P67" s="9">
        <v>0</v>
      </c>
      <c r="Q67" s="9">
        <v>6918</v>
      </c>
      <c r="R67" s="9">
        <v>8070</v>
      </c>
      <c r="S67" s="9">
        <v>8295</v>
      </c>
      <c r="T67" s="31">
        <v>9830</v>
      </c>
      <c r="W67" s="16">
        <f t="shared" si="6"/>
        <v>42441</v>
      </c>
      <c r="X67" s="9">
        <f t="shared" si="7"/>
        <v>354.77600000000001</v>
      </c>
      <c r="Y67" s="9">
        <f t="shared" si="8"/>
        <v>794.93200000000002</v>
      </c>
      <c r="AA67" s="16">
        <f t="shared" si="9"/>
        <v>42812</v>
      </c>
      <c r="AB67" s="21">
        <v>5060</v>
      </c>
      <c r="AC67" s="21">
        <f t="shared" si="10"/>
        <v>6918</v>
      </c>
      <c r="AD67" s="21">
        <f t="shared" si="11"/>
        <v>8070</v>
      </c>
      <c r="AE67" s="21">
        <f t="shared" si="12"/>
        <v>8295</v>
      </c>
      <c r="AF67" s="21">
        <f t="shared" si="13"/>
        <v>9830</v>
      </c>
      <c r="AK67" s="16"/>
      <c r="AL67" s="17"/>
      <c r="AN67" s="16"/>
    </row>
    <row r="68" spans="2:40" x14ac:dyDescent="0.4">
      <c r="B68" s="6">
        <f t="shared" si="1"/>
        <v>42812</v>
      </c>
      <c r="C68" s="8">
        <f t="shared" si="2"/>
        <v>405.3</v>
      </c>
      <c r="D68" s="5">
        <f t="shared" si="3"/>
        <v>1426.1699999999996</v>
      </c>
      <c r="E68" s="5">
        <f t="shared" si="4"/>
        <v>1651.1699999999996</v>
      </c>
      <c r="F68" s="5">
        <f t="shared" si="5"/>
        <v>3186.1699999999996</v>
      </c>
      <c r="H68" s="6"/>
      <c r="I68" s="11">
        <v>42448</v>
      </c>
      <c r="J68" s="9">
        <v>360.50400000000002</v>
      </c>
      <c r="K68" s="9">
        <v>791.46799999999996</v>
      </c>
      <c r="O68" s="11">
        <v>42819</v>
      </c>
      <c r="P68" s="9">
        <v>0</v>
      </c>
      <c r="Q68" s="9">
        <v>6497</v>
      </c>
      <c r="R68" s="9">
        <v>8035</v>
      </c>
      <c r="S68" s="9">
        <v>8205</v>
      </c>
      <c r="T68" s="31">
        <v>9800</v>
      </c>
      <c r="W68" s="16">
        <f t="shared" si="6"/>
        <v>42448</v>
      </c>
      <c r="X68" s="9">
        <f t="shared" si="7"/>
        <v>360.50400000000002</v>
      </c>
      <c r="Y68" s="9">
        <f t="shared" si="8"/>
        <v>791.46799999999996</v>
      </c>
      <c r="AA68" s="16">
        <f t="shared" si="9"/>
        <v>42819</v>
      </c>
      <c r="AB68" s="21">
        <v>5050</v>
      </c>
      <c r="AC68" s="21">
        <f t="shared" si="10"/>
        <v>6497</v>
      </c>
      <c r="AD68" s="21">
        <f t="shared" si="11"/>
        <v>8035</v>
      </c>
      <c r="AE68" s="21">
        <f t="shared" si="12"/>
        <v>8205</v>
      </c>
      <c r="AF68" s="21">
        <f t="shared" si="13"/>
        <v>9800</v>
      </c>
      <c r="AK68" s="16"/>
      <c r="AL68" s="17"/>
      <c r="AN68" s="16"/>
    </row>
    <row r="69" spans="2:40" x14ac:dyDescent="0.4">
      <c r="B69" s="6">
        <f t="shared" si="1"/>
        <v>42819</v>
      </c>
      <c r="C69" s="8">
        <f t="shared" si="2"/>
        <v>400.42799999999994</v>
      </c>
      <c r="D69" s="5">
        <f t="shared" si="3"/>
        <v>1540.7549999999997</v>
      </c>
      <c r="E69" s="5">
        <f t="shared" si="4"/>
        <v>1710.7549999999997</v>
      </c>
      <c r="F69" s="5">
        <f t="shared" si="5"/>
        <v>3305.7549999999997</v>
      </c>
      <c r="H69" s="6"/>
      <c r="I69" s="11">
        <v>42455</v>
      </c>
      <c r="J69" s="9">
        <v>384.97250000000003</v>
      </c>
      <c r="K69" s="9">
        <v>808.125</v>
      </c>
      <c r="O69" s="11">
        <v>42826</v>
      </c>
      <c r="P69" s="9">
        <v>0</v>
      </c>
      <c r="Q69" s="9">
        <v>6208.333333333333</v>
      </c>
      <c r="R69" s="9">
        <v>7833.333333333333</v>
      </c>
      <c r="S69" s="9">
        <v>7933.333333333333</v>
      </c>
      <c r="T69" s="31">
        <v>9491.6666666666661</v>
      </c>
      <c r="W69" s="16">
        <f t="shared" si="6"/>
        <v>42455</v>
      </c>
      <c r="X69" s="9">
        <f t="shared" si="7"/>
        <v>384.97250000000003</v>
      </c>
      <c r="Y69" s="9">
        <f t="shared" si="8"/>
        <v>808.125</v>
      </c>
      <c r="AA69" s="16">
        <f t="shared" si="9"/>
        <v>42826</v>
      </c>
      <c r="AB69" s="21">
        <v>4918.333333333333</v>
      </c>
      <c r="AC69" s="21">
        <f t="shared" si="10"/>
        <v>6208.333333333333</v>
      </c>
      <c r="AD69" s="21">
        <f t="shared" si="11"/>
        <v>7833.333333333333</v>
      </c>
      <c r="AE69" s="21">
        <f t="shared" si="12"/>
        <v>7933.333333333333</v>
      </c>
      <c r="AF69" s="21">
        <f t="shared" si="13"/>
        <v>9491.6666666666661</v>
      </c>
      <c r="AK69" s="16"/>
      <c r="AL69" s="17"/>
      <c r="AN69" s="16"/>
    </row>
    <row r="70" spans="2:40" x14ac:dyDescent="0.4">
      <c r="B70" s="6">
        <f t="shared" ref="B70:B133" si="14">I122</f>
        <v>42826</v>
      </c>
      <c r="C70" s="8">
        <f t="shared" ref="C70:C133" si="15">Y122-X122</f>
        <v>372.23399999999998</v>
      </c>
      <c r="D70" s="5">
        <f t="shared" ref="D70:D133" si="16">IFERROR(VLOOKUP(B70,$AA:$AF,4,1)-0.855*VLOOKUP(B70,$AA:$AF,2,1)-0.335*VLOOKUP(B70,$AA:$AF,3,1),D69)</f>
        <v>1548.3666666666672</v>
      </c>
      <c r="E70" s="5">
        <f t="shared" ref="E70:E133" si="17">IFERROR(VLOOKUP(B70,$AA:$AF,5,1)-0.855*VLOOKUP(B70,$AA:$AF,2,1)-0.335*VLOOKUP(B70,$AA:$AF,3,1),E69)</f>
        <v>1648.3666666666672</v>
      </c>
      <c r="F70" s="5">
        <f t="shared" ref="F70:F133" si="18">IFERROR(VLOOKUP(B70,$AA:$AF,6,1)-0.855*VLOOKUP(B70,$AA:$AF,2,1)-0.335*VLOOKUP(B70,$AA:$AF,3,1),F69)</f>
        <v>3206.7000000000003</v>
      </c>
      <c r="H70" s="6"/>
      <c r="I70" s="11">
        <v>42462</v>
      </c>
      <c r="J70" s="9">
        <v>391.55200000000002</v>
      </c>
      <c r="K70" s="9">
        <v>816.16600000000005</v>
      </c>
      <c r="O70" s="11">
        <v>42833</v>
      </c>
      <c r="P70" s="9">
        <v>0</v>
      </c>
      <c r="Q70" s="9">
        <v>6318.333333333333</v>
      </c>
      <c r="R70" s="9">
        <v>7833.333333333333</v>
      </c>
      <c r="S70" s="9">
        <v>7916.666666666667</v>
      </c>
      <c r="T70" s="31">
        <v>9425</v>
      </c>
      <c r="W70" s="16">
        <f t="shared" ref="W70:W133" si="19">I70</f>
        <v>42462</v>
      </c>
      <c r="X70" s="9">
        <f t="shared" ref="X70:X133" si="20">IFERROR(IF(J70&lt;&gt;0,J70,X69),X69)</f>
        <v>391.55200000000002</v>
      </c>
      <c r="Y70" s="9">
        <f t="shared" ref="Y70:Y133" si="21">IFERROR(IF(K70&lt;&gt;0,K70,Y69),Y69)</f>
        <v>816.16600000000005</v>
      </c>
      <c r="AA70" s="16">
        <f t="shared" ref="AA70:AA133" si="22">O70</f>
        <v>42833</v>
      </c>
      <c r="AB70" s="21">
        <v>4933.333333333333</v>
      </c>
      <c r="AC70" s="21">
        <f t="shared" ref="AC70:AC133" si="23">IFERROR(IF(Q70&lt;&gt;0,Q70,AC69),AC69)</f>
        <v>6318.333333333333</v>
      </c>
      <c r="AD70" s="21">
        <f t="shared" ref="AD70:AD133" si="24">IFERROR(IF(R70&lt;&gt;0,R70,AD69),AD69)</f>
        <v>7833.333333333333</v>
      </c>
      <c r="AE70" s="21">
        <f t="shared" ref="AE70:AE133" si="25">IFERROR(IF(S70&lt;&gt;0,S70,AE69),AE69)</f>
        <v>7916.666666666667</v>
      </c>
      <c r="AF70" s="21">
        <f t="shared" ref="AF70:AF133" si="26">IFERROR(IF(T70&lt;&gt;0,T70,AF69),AF69)</f>
        <v>9425</v>
      </c>
      <c r="AK70" s="16"/>
      <c r="AL70" s="17"/>
      <c r="AN70" s="16"/>
    </row>
    <row r="71" spans="2:40" x14ac:dyDescent="0.4">
      <c r="B71" s="6">
        <f t="shared" si="14"/>
        <v>42833</v>
      </c>
      <c r="C71" s="8">
        <f t="shared" si="15"/>
        <v>377.05800000000005</v>
      </c>
      <c r="D71" s="5">
        <f t="shared" si="16"/>
        <v>1498.6916666666662</v>
      </c>
      <c r="E71" s="5">
        <f t="shared" si="17"/>
        <v>1582.0250000000001</v>
      </c>
      <c r="F71" s="5">
        <f t="shared" si="18"/>
        <v>3090.3583333333331</v>
      </c>
      <c r="H71" s="6"/>
      <c r="I71" s="11">
        <v>42469</v>
      </c>
      <c r="J71" s="9">
        <v>377.52600000000001</v>
      </c>
      <c r="K71" s="9">
        <v>793.86599999999999</v>
      </c>
      <c r="O71" s="11">
        <v>42840</v>
      </c>
      <c r="P71" s="9">
        <v>0</v>
      </c>
      <c r="Q71" s="9">
        <v>6143</v>
      </c>
      <c r="R71" s="9">
        <v>8090</v>
      </c>
      <c r="S71" s="9">
        <v>8090</v>
      </c>
      <c r="T71" s="31">
        <v>9500</v>
      </c>
      <c r="W71" s="16">
        <f t="shared" si="19"/>
        <v>42469</v>
      </c>
      <c r="X71" s="9">
        <f t="shared" si="20"/>
        <v>377.52600000000001</v>
      </c>
      <c r="Y71" s="9">
        <f t="shared" si="21"/>
        <v>793.86599999999999</v>
      </c>
      <c r="AA71" s="16">
        <f t="shared" si="22"/>
        <v>42840</v>
      </c>
      <c r="AB71" s="21">
        <v>4940</v>
      </c>
      <c r="AC71" s="21">
        <f t="shared" si="23"/>
        <v>6143</v>
      </c>
      <c r="AD71" s="21">
        <f t="shared" si="24"/>
        <v>8090</v>
      </c>
      <c r="AE71" s="21">
        <f t="shared" si="25"/>
        <v>8090</v>
      </c>
      <c r="AF71" s="21">
        <f t="shared" si="26"/>
        <v>9500</v>
      </c>
      <c r="AK71" s="16"/>
      <c r="AL71" s="17"/>
      <c r="AN71" s="16"/>
    </row>
    <row r="72" spans="2:40" x14ac:dyDescent="0.4">
      <c r="B72" s="6">
        <f t="shared" si="14"/>
        <v>42840</v>
      </c>
      <c r="C72" s="8">
        <f t="shared" si="15"/>
        <v>351.67</v>
      </c>
      <c r="D72" s="5">
        <f t="shared" si="16"/>
        <v>1808.395</v>
      </c>
      <c r="E72" s="5">
        <f t="shared" si="17"/>
        <v>1808.395</v>
      </c>
      <c r="F72" s="5">
        <f t="shared" si="18"/>
        <v>3218.395</v>
      </c>
      <c r="H72" s="6"/>
      <c r="I72" s="11">
        <v>42476</v>
      </c>
      <c r="J72" s="9">
        <v>397.97800000000001</v>
      </c>
      <c r="K72" s="9">
        <v>798.23</v>
      </c>
      <c r="O72" s="11">
        <v>42847</v>
      </c>
      <c r="P72" s="9">
        <v>0</v>
      </c>
      <c r="Q72" s="9">
        <v>5823</v>
      </c>
      <c r="R72" s="9">
        <v>8100</v>
      </c>
      <c r="S72" s="9">
        <v>8175</v>
      </c>
      <c r="T72" s="31">
        <v>9600</v>
      </c>
      <c r="W72" s="16">
        <f t="shared" si="19"/>
        <v>42476</v>
      </c>
      <c r="X72" s="9">
        <f t="shared" si="20"/>
        <v>397.97800000000001</v>
      </c>
      <c r="Y72" s="9">
        <f t="shared" si="21"/>
        <v>798.23</v>
      </c>
      <c r="AA72" s="16">
        <f t="shared" si="22"/>
        <v>42847</v>
      </c>
      <c r="AB72" s="21">
        <v>4870</v>
      </c>
      <c r="AC72" s="21">
        <f t="shared" si="23"/>
        <v>5823</v>
      </c>
      <c r="AD72" s="21">
        <f t="shared" si="24"/>
        <v>8100</v>
      </c>
      <c r="AE72" s="21">
        <f t="shared" si="25"/>
        <v>8175</v>
      </c>
      <c r="AF72" s="21">
        <f t="shared" si="26"/>
        <v>9600</v>
      </c>
      <c r="AK72" s="16"/>
      <c r="AL72" s="17"/>
      <c r="AN72" s="16"/>
    </row>
    <row r="73" spans="2:40" x14ac:dyDescent="0.4">
      <c r="B73" s="6">
        <f t="shared" si="14"/>
        <v>42847</v>
      </c>
      <c r="C73" s="8">
        <f t="shared" si="15"/>
        <v>353.786</v>
      </c>
      <c r="D73" s="5">
        <f t="shared" si="16"/>
        <v>1985.4449999999995</v>
      </c>
      <c r="E73" s="5">
        <f t="shared" si="17"/>
        <v>2060.4449999999997</v>
      </c>
      <c r="F73" s="5">
        <f t="shared" si="18"/>
        <v>3485.4449999999997</v>
      </c>
      <c r="H73" s="6"/>
      <c r="I73" s="11">
        <v>42483</v>
      </c>
      <c r="J73" s="9">
        <v>395.20400000000001</v>
      </c>
      <c r="K73" s="9">
        <v>797.83</v>
      </c>
      <c r="O73" s="11">
        <v>42854</v>
      </c>
      <c r="P73" s="9">
        <v>0</v>
      </c>
      <c r="Q73" s="9">
        <v>5802</v>
      </c>
      <c r="R73" s="9">
        <v>7815</v>
      </c>
      <c r="S73" s="9">
        <v>8060</v>
      </c>
      <c r="T73" s="31">
        <v>9560</v>
      </c>
      <c r="W73" s="16">
        <f t="shared" si="19"/>
        <v>42483</v>
      </c>
      <c r="X73" s="9">
        <f t="shared" si="20"/>
        <v>395.20400000000001</v>
      </c>
      <c r="Y73" s="9">
        <f t="shared" si="21"/>
        <v>797.83</v>
      </c>
      <c r="AA73" s="16">
        <f t="shared" si="22"/>
        <v>42854</v>
      </c>
      <c r="AB73" s="21">
        <v>4794</v>
      </c>
      <c r="AC73" s="21">
        <f t="shared" si="23"/>
        <v>5802</v>
      </c>
      <c r="AD73" s="21">
        <f t="shared" si="24"/>
        <v>7815</v>
      </c>
      <c r="AE73" s="21">
        <f t="shared" si="25"/>
        <v>8060</v>
      </c>
      <c r="AF73" s="21">
        <f t="shared" si="26"/>
        <v>9560</v>
      </c>
      <c r="AK73" s="16"/>
      <c r="AL73" s="17"/>
      <c r="AN73" s="16"/>
    </row>
    <row r="74" spans="2:40" x14ac:dyDescent="0.4">
      <c r="B74" s="6">
        <f t="shared" si="14"/>
        <v>42854</v>
      </c>
      <c r="C74" s="8">
        <f t="shared" si="15"/>
        <v>356.54400000000004</v>
      </c>
      <c r="D74" s="5">
        <f t="shared" si="16"/>
        <v>1772.46</v>
      </c>
      <c r="E74" s="5">
        <f t="shared" si="17"/>
        <v>2017.46</v>
      </c>
      <c r="F74" s="5">
        <f t="shared" si="18"/>
        <v>3517.46</v>
      </c>
      <c r="H74" s="6"/>
      <c r="I74" s="11">
        <v>42490</v>
      </c>
      <c r="J74" s="9">
        <v>410.97800000000001</v>
      </c>
      <c r="K74" s="9">
        <v>819.53200000000004</v>
      </c>
      <c r="O74" s="11">
        <v>42861</v>
      </c>
      <c r="P74" s="9">
        <v>0</v>
      </c>
      <c r="Q74" s="9">
        <v>5840.625</v>
      </c>
      <c r="R74" s="9">
        <v>7662.5</v>
      </c>
      <c r="S74" s="9">
        <v>7900</v>
      </c>
      <c r="T74" s="31">
        <v>9412.5</v>
      </c>
      <c r="W74" s="16">
        <f t="shared" si="19"/>
        <v>42490</v>
      </c>
      <c r="X74" s="9">
        <f t="shared" si="20"/>
        <v>410.97800000000001</v>
      </c>
      <c r="Y74" s="9">
        <f t="shared" si="21"/>
        <v>819.53200000000004</v>
      </c>
      <c r="AA74" s="16">
        <f t="shared" si="22"/>
        <v>42861</v>
      </c>
      <c r="AB74" s="21">
        <v>4737.5</v>
      </c>
      <c r="AC74" s="21">
        <f t="shared" si="23"/>
        <v>5840.625</v>
      </c>
      <c r="AD74" s="21">
        <f t="shared" si="24"/>
        <v>7662.5</v>
      </c>
      <c r="AE74" s="21">
        <f t="shared" si="25"/>
        <v>7900</v>
      </c>
      <c r="AF74" s="21">
        <f t="shared" si="26"/>
        <v>9412.5</v>
      </c>
      <c r="AK74" s="16"/>
      <c r="AL74" s="17"/>
      <c r="AN74" s="16"/>
    </row>
    <row r="75" spans="2:40" x14ac:dyDescent="0.4">
      <c r="B75" s="6">
        <f t="shared" si="14"/>
        <v>42861</v>
      </c>
      <c r="C75" s="8">
        <f t="shared" si="15"/>
        <v>369.81500000000005</v>
      </c>
      <c r="D75" s="5">
        <f t="shared" si="16"/>
        <v>1655.3281249999998</v>
      </c>
      <c r="E75" s="5">
        <f t="shared" si="17"/>
        <v>1892.8281249999998</v>
      </c>
      <c r="F75" s="5">
        <f t="shared" si="18"/>
        <v>3405.328125</v>
      </c>
      <c r="H75" s="6"/>
      <c r="I75" s="11">
        <v>42497</v>
      </c>
      <c r="J75" s="9">
        <v>390.5625</v>
      </c>
      <c r="K75" s="9">
        <v>804.91499999999996</v>
      </c>
      <c r="O75" s="11">
        <v>42868</v>
      </c>
      <c r="P75" s="9">
        <v>0</v>
      </c>
      <c r="Q75" s="9">
        <v>5765</v>
      </c>
      <c r="R75" s="9">
        <v>7370</v>
      </c>
      <c r="S75" s="9">
        <v>7665</v>
      </c>
      <c r="T75" s="31">
        <v>9210</v>
      </c>
      <c r="W75" s="16">
        <f t="shared" si="19"/>
        <v>42497</v>
      </c>
      <c r="X75" s="9">
        <f t="shared" si="20"/>
        <v>390.5625</v>
      </c>
      <c r="Y75" s="9">
        <f t="shared" si="21"/>
        <v>804.91499999999996</v>
      </c>
      <c r="AA75" s="16">
        <f t="shared" si="22"/>
        <v>42868</v>
      </c>
      <c r="AB75" s="21">
        <v>4630</v>
      </c>
      <c r="AC75" s="21">
        <f t="shared" si="23"/>
        <v>5765</v>
      </c>
      <c r="AD75" s="21">
        <f t="shared" si="24"/>
        <v>7370</v>
      </c>
      <c r="AE75" s="21">
        <f t="shared" si="25"/>
        <v>7665</v>
      </c>
      <c r="AF75" s="21">
        <f t="shared" si="26"/>
        <v>9210</v>
      </c>
      <c r="AK75" s="16"/>
      <c r="AL75" s="17"/>
      <c r="AN75" s="16"/>
    </row>
    <row r="76" spans="2:40" x14ac:dyDescent="0.4">
      <c r="B76" s="6">
        <f t="shared" si="14"/>
        <v>42868</v>
      </c>
      <c r="C76" s="8">
        <f t="shared" si="15"/>
        <v>358.20749999999998</v>
      </c>
      <c r="D76" s="5">
        <f t="shared" si="16"/>
        <v>1480.0749999999998</v>
      </c>
      <c r="E76" s="5">
        <f t="shared" si="17"/>
        <v>1775.0749999999998</v>
      </c>
      <c r="F76" s="5">
        <f t="shared" si="18"/>
        <v>3320.0750000000003</v>
      </c>
      <c r="H76" s="6"/>
      <c r="I76" s="11">
        <v>42504</v>
      </c>
      <c r="J76" s="9">
        <v>396.95</v>
      </c>
      <c r="K76" s="9">
        <v>792.798</v>
      </c>
      <c r="O76" s="11">
        <v>42875</v>
      </c>
      <c r="P76" s="9">
        <v>0</v>
      </c>
      <c r="Q76" s="9">
        <v>6091</v>
      </c>
      <c r="R76" s="9">
        <v>7415</v>
      </c>
      <c r="S76" s="9">
        <v>7690</v>
      </c>
      <c r="T76" s="31">
        <v>9200</v>
      </c>
      <c r="W76" s="16">
        <f t="shared" si="19"/>
        <v>42504</v>
      </c>
      <c r="X76" s="9">
        <f t="shared" si="20"/>
        <v>396.95</v>
      </c>
      <c r="Y76" s="9">
        <f t="shared" si="21"/>
        <v>792.798</v>
      </c>
      <c r="AA76" s="16">
        <f t="shared" si="22"/>
        <v>42875</v>
      </c>
      <c r="AB76" s="21">
        <v>4740</v>
      </c>
      <c r="AC76" s="21">
        <f t="shared" si="23"/>
        <v>6091</v>
      </c>
      <c r="AD76" s="21">
        <f t="shared" si="24"/>
        <v>7415</v>
      </c>
      <c r="AE76" s="21">
        <f t="shared" si="25"/>
        <v>7690</v>
      </c>
      <c r="AF76" s="21">
        <f t="shared" si="26"/>
        <v>9200</v>
      </c>
      <c r="AK76" s="16"/>
      <c r="AL76" s="17"/>
      <c r="AN76" s="16"/>
    </row>
    <row r="77" spans="2:40" x14ac:dyDescent="0.4">
      <c r="B77" s="6">
        <f t="shared" si="14"/>
        <v>42875</v>
      </c>
      <c r="C77" s="8">
        <f t="shared" si="15"/>
        <v>375.79400000000004</v>
      </c>
      <c r="D77" s="5">
        <f t="shared" si="16"/>
        <v>1321.8150000000001</v>
      </c>
      <c r="E77" s="5">
        <f t="shared" si="17"/>
        <v>1596.8150000000001</v>
      </c>
      <c r="F77" s="5">
        <f t="shared" si="18"/>
        <v>3106.8150000000001</v>
      </c>
      <c r="H77" s="6"/>
      <c r="I77" s="11">
        <v>42511</v>
      </c>
      <c r="J77" s="9">
        <v>420.50200000000001</v>
      </c>
      <c r="K77" s="9">
        <v>799.83199999999999</v>
      </c>
      <c r="O77" s="11">
        <v>42882</v>
      </c>
      <c r="P77" s="9">
        <v>0</v>
      </c>
      <c r="Q77" s="9">
        <v>6560</v>
      </c>
      <c r="R77" s="9">
        <v>7645.833333333333</v>
      </c>
      <c r="S77" s="9">
        <v>8029.166666666667</v>
      </c>
      <c r="T77" s="31">
        <v>9225</v>
      </c>
      <c r="W77" s="16">
        <f t="shared" si="19"/>
        <v>42511</v>
      </c>
      <c r="X77" s="9">
        <f t="shared" si="20"/>
        <v>420.50200000000001</v>
      </c>
      <c r="Y77" s="9">
        <f t="shared" si="21"/>
        <v>799.83199999999999</v>
      </c>
      <c r="AA77" s="16">
        <f t="shared" si="22"/>
        <v>42882</v>
      </c>
      <c r="AB77" s="21">
        <v>4800</v>
      </c>
      <c r="AC77" s="21">
        <f t="shared" si="23"/>
        <v>6560</v>
      </c>
      <c r="AD77" s="21">
        <f t="shared" si="24"/>
        <v>7645.833333333333</v>
      </c>
      <c r="AE77" s="21">
        <f t="shared" si="25"/>
        <v>8029.166666666667</v>
      </c>
      <c r="AF77" s="21">
        <f t="shared" si="26"/>
        <v>9225</v>
      </c>
      <c r="AK77" s="16"/>
      <c r="AL77" s="17"/>
      <c r="AN77" s="16"/>
    </row>
    <row r="78" spans="2:40" x14ac:dyDescent="0.4">
      <c r="B78" s="6">
        <f t="shared" si="14"/>
        <v>42882</v>
      </c>
      <c r="C78" s="8">
        <f t="shared" si="15"/>
        <v>366.46000000000004</v>
      </c>
      <c r="D78" s="5">
        <f t="shared" si="16"/>
        <v>1344.2333333333331</v>
      </c>
      <c r="E78" s="5">
        <f t="shared" si="17"/>
        <v>1727.5666666666671</v>
      </c>
      <c r="F78" s="5">
        <f t="shared" si="18"/>
        <v>2923.4</v>
      </c>
      <c r="H78" s="6"/>
      <c r="I78" s="11">
        <v>42518</v>
      </c>
      <c r="J78" s="9">
        <v>418.70400000000001</v>
      </c>
      <c r="K78" s="9">
        <v>784.06600000000003</v>
      </c>
      <c r="O78" s="11">
        <v>42889</v>
      </c>
      <c r="P78" s="9">
        <v>0</v>
      </c>
      <c r="Q78" s="9">
        <v>6623.333333333333</v>
      </c>
      <c r="R78" s="9">
        <v>7683.333333333333</v>
      </c>
      <c r="S78" s="9">
        <v>8100</v>
      </c>
      <c r="T78" s="31">
        <v>9250</v>
      </c>
      <c r="W78" s="16">
        <f t="shared" si="19"/>
        <v>42518</v>
      </c>
      <c r="X78" s="9">
        <f t="shared" si="20"/>
        <v>418.70400000000001</v>
      </c>
      <c r="Y78" s="9">
        <f t="shared" si="21"/>
        <v>784.06600000000003</v>
      </c>
      <c r="AA78" s="16">
        <f t="shared" si="22"/>
        <v>42889</v>
      </c>
      <c r="AB78" s="21">
        <v>4683.333333333333</v>
      </c>
      <c r="AC78" s="21">
        <f t="shared" si="23"/>
        <v>6623.333333333333</v>
      </c>
      <c r="AD78" s="21">
        <f t="shared" si="24"/>
        <v>7683.333333333333</v>
      </c>
      <c r="AE78" s="21">
        <f t="shared" si="25"/>
        <v>8100</v>
      </c>
      <c r="AF78" s="21">
        <f t="shared" si="26"/>
        <v>9250</v>
      </c>
      <c r="AK78" s="16"/>
      <c r="AL78" s="17"/>
      <c r="AN78" s="16"/>
    </row>
    <row r="79" spans="2:40" x14ac:dyDescent="0.4">
      <c r="B79" s="6">
        <f t="shared" si="14"/>
        <v>42889</v>
      </c>
      <c r="C79" s="8">
        <f t="shared" si="15"/>
        <v>357.52</v>
      </c>
      <c r="D79" s="5">
        <f t="shared" si="16"/>
        <v>1460.2666666666669</v>
      </c>
      <c r="E79" s="5">
        <f t="shared" si="17"/>
        <v>1876.9333333333338</v>
      </c>
      <c r="F79" s="5">
        <f t="shared" si="18"/>
        <v>3026.9333333333334</v>
      </c>
      <c r="H79" s="6"/>
      <c r="I79" s="11">
        <v>42525</v>
      </c>
      <c r="J79" s="9">
        <v>418.75200000000001</v>
      </c>
      <c r="K79" s="9">
        <v>795.9</v>
      </c>
      <c r="O79" s="11">
        <v>42896</v>
      </c>
      <c r="P79" s="9">
        <v>0</v>
      </c>
      <c r="Q79" s="9">
        <v>6486</v>
      </c>
      <c r="R79" s="9">
        <v>7645</v>
      </c>
      <c r="S79" s="9">
        <v>8045</v>
      </c>
      <c r="T79" s="31">
        <v>9250</v>
      </c>
      <c r="W79" s="16">
        <f t="shared" si="19"/>
        <v>42525</v>
      </c>
      <c r="X79" s="9">
        <f t="shared" si="20"/>
        <v>418.75200000000001</v>
      </c>
      <c r="Y79" s="9">
        <f t="shared" si="21"/>
        <v>795.9</v>
      </c>
      <c r="AA79" s="16">
        <f t="shared" si="22"/>
        <v>42896</v>
      </c>
      <c r="AB79" s="21">
        <v>4680</v>
      </c>
      <c r="AC79" s="21">
        <f t="shared" si="23"/>
        <v>6486</v>
      </c>
      <c r="AD79" s="21">
        <f t="shared" si="24"/>
        <v>7645</v>
      </c>
      <c r="AE79" s="21">
        <f t="shared" si="25"/>
        <v>8045</v>
      </c>
      <c r="AF79" s="21">
        <f t="shared" si="26"/>
        <v>9250</v>
      </c>
      <c r="AK79" s="16"/>
      <c r="AL79" s="17"/>
      <c r="AN79" s="16"/>
    </row>
    <row r="80" spans="2:40" x14ac:dyDescent="0.4">
      <c r="B80" s="6">
        <f t="shared" si="14"/>
        <v>42896</v>
      </c>
      <c r="C80" s="8">
        <f t="shared" si="15"/>
        <v>372.59999999999997</v>
      </c>
      <c r="D80" s="5">
        <f t="shared" si="16"/>
        <v>1470.79</v>
      </c>
      <c r="E80" s="5">
        <f t="shared" si="17"/>
        <v>1870.79</v>
      </c>
      <c r="F80" s="5">
        <f t="shared" si="18"/>
        <v>3075.7900000000004</v>
      </c>
      <c r="H80" s="6"/>
      <c r="I80" s="11">
        <v>42532</v>
      </c>
      <c r="J80" s="9">
        <v>426.80200000000002</v>
      </c>
      <c r="K80" s="9">
        <v>820.5</v>
      </c>
      <c r="O80" s="11">
        <v>42903</v>
      </c>
      <c r="P80" s="9">
        <v>0</v>
      </c>
      <c r="Q80" s="9">
        <v>6824</v>
      </c>
      <c r="R80" s="9">
        <v>7695</v>
      </c>
      <c r="S80" s="9">
        <v>8205</v>
      </c>
      <c r="T80" s="31">
        <v>9250</v>
      </c>
      <c r="W80" s="16">
        <f t="shared" si="19"/>
        <v>42532</v>
      </c>
      <c r="X80" s="9">
        <f t="shared" si="20"/>
        <v>426.80200000000002</v>
      </c>
      <c r="Y80" s="9">
        <f t="shared" si="21"/>
        <v>820.5</v>
      </c>
      <c r="AA80" s="16">
        <f t="shared" si="22"/>
        <v>42903</v>
      </c>
      <c r="AB80" s="21">
        <v>4730</v>
      </c>
      <c r="AC80" s="21">
        <f t="shared" si="23"/>
        <v>6824</v>
      </c>
      <c r="AD80" s="21">
        <f t="shared" si="24"/>
        <v>7695</v>
      </c>
      <c r="AE80" s="21">
        <f t="shared" si="25"/>
        <v>8205</v>
      </c>
      <c r="AF80" s="21">
        <f t="shared" si="26"/>
        <v>9250</v>
      </c>
      <c r="AK80" s="16"/>
      <c r="AL80" s="17"/>
      <c r="AN80" s="16"/>
    </row>
    <row r="81" spans="2:40" x14ac:dyDescent="0.4">
      <c r="B81" s="6">
        <f t="shared" si="14"/>
        <v>42903</v>
      </c>
      <c r="C81" s="8">
        <f t="shared" si="15"/>
        <v>381.81000000000006</v>
      </c>
      <c r="D81" s="5">
        <f t="shared" si="16"/>
        <v>1364.81</v>
      </c>
      <c r="E81" s="5">
        <f t="shared" si="17"/>
        <v>1874.8100000000004</v>
      </c>
      <c r="F81" s="5">
        <f t="shared" si="18"/>
        <v>2919.8100000000004</v>
      </c>
      <c r="H81" s="6"/>
      <c r="I81" s="11">
        <v>42539</v>
      </c>
      <c r="J81" s="9">
        <v>413.02800000000002</v>
      </c>
      <c r="K81" s="9">
        <v>814.03399999999999</v>
      </c>
      <c r="O81" s="11">
        <v>42910</v>
      </c>
      <c r="P81" s="9">
        <v>0</v>
      </c>
      <c r="Q81" s="9">
        <v>6534.5</v>
      </c>
      <c r="R81" s="9">
        <v>7740</v>
      </c>
      <c r="S81" s="9">
        <v>8495</v>
      </c>
      <c r="T81" s="31">
        <v>9290</v>
      </c>
      <c r="W81" s="16">
        <f t="shared" si="19"/>
        <v>42539</v>
      </c>
      <c r="X81" s="9">
        <f t="shared" si="20"/>
        <v>413.02800000000002</v>
      </c>
      <c r="Y81" s="9">
        <f t="shared" si="21"/>
        <v>814.03399999999999</v>
      </c>
      <c r="AA81" s="16">
        <f t="shared" si="22"/>
        <v>42910</v>
      </c>
      <c r="AB81" s="21">
        <v>4726</v>
      </c>
      <c r="AC81" s="21">
        <f t="shared" si="23"/>
        <v>6534.5</v>
      </c>
      <c r="AD81" s="21">
        <f t="shared" si="24"/>
        <v>7740</v>
      </c>
      <c r="AE81" s="21">
        <f t="shared" si="25"/>
        <v>8495</v>
      </c>
      <c r="AF81" s="21">
        <f t="shared" si="26"/>
        <v>9290</v>
      </c>
      <c r="AK81" s="16"/>
      <c r="AL81" s="17"/>
      <c r="AN81" s="16"/>
    </row>
    <row r="82" spans="2:40" x14ac:dyDescent="0.4">
      <c r="B82" s="6">
        <f t="shared" si="14"/>
        <v>42910</v>
      </c>
      <c r="C82" s="8">
        <f t="shared" si="15"/>
        <v>377.00600000000003</v>
      </c>
      <c r="D82" s="5">
        <f t="shared" si="16"/>
        <v>1510.2124999999996</v>
      </c>
      <c r="E82" s="5">
        <f t="shared" si="17"/>
        <v>2265.2125000000001</v>
      </c>
      <c r="F82" s="5">
        <f t="shared" si="18"/>
        <v>3060.2125000000001</v>
      </c>
      <c r="H82" s="6"/>
      <c r="I82" s="11">
        <v>42546</v>
      </c>
      <c r="J82" s="9">
        <v>425.43</v>
      </c>
      <c r="K82" s="9">
        <v>823.8</v>
      </c>
      <c r="O82" s="11">
        <v>42917</v>
      </c>
      <c r="P82" s="9">
        <v>0</v>
      </c>
      <c r="Q82" s="9">
        <v>6712</v>
      </c>
      <c r="R82" s="9">
        <v>7830</v>
      </c>
      <c r="S82" s="9">
        <v>8625</v>
      </c>
      <c r="T82" s="31">
        <v>9380</v>
      </c>
      <c r="W82" s="16">
        <f t="shared" si="19"/>
        <v>42546</v>
      </c>
      <c r="X82" s="9">
        <f t="shared" si="20"/>
        <v>425.43</v>
      </c>
      <c r="Y82" s="9">
        <f t="shared" si="21"/>
        <v>823.8</v>
      </c>
      <c r="AA82" s="16">
        <f t="shared" si="22"/>
        <v>42917</v>
      </c>
      <c r="AB82" s="21">
        <v>4756</v>
      </c>
      <c r="AC82" s="21">
        <f t="shared" si="23"/>
        <v>6712</v>
      </c>
      <c r="AD82" s="21">
        <f t="shared" si="24"/>
        <v>7830</v>
      </c>
      <c r="AE82" s="21">
        <f t="shared" si="25"/>
        <v>8625</v>
      </c>
      <c r="AF82" s="21">
        <f t="shared" si="26"/>
        <v>9380</v>
      </c>
      <c r="AK82" s="16"/>
      <c r="AL82" s="17"/>
      <c r="AN82" s="16"/>
    </row>
    <row r="83" spans="2:40" x14ac:dyDescent="0.4">
      <c r="B83" s="6">
        <f t="shared" si="14"/>
        <v>42917</v>
      </c>
      <c r="C83" s="8">
        <f t="shared" si="15"/>
        <v>379.15749999999997</v>
      </c>
      <c r="D83" s="5">
        <f t="shared" si="16"/>
        <v>1515.1</v>
      </c>
      <c r="E83" s="5">
        <f t="shared" si="17"/>
        <v>2310.1</v>
      </c>
      <c r="F83" s="5">
        <f t="shared" si="18"/>
        <v>3065.1</v>
      </c>
      <c r="H83" s="6"/>
      <c r="I83" s="11">
        <v>42553</v>
      </c>
      <c r="J83" s="9">
        <v>413.404</v>
      </c>
      <c r="K83" s="9">
        <v>822.7</v>
      </c>
      <c r="O83" s="11">
        <v>42924</v>
      </c>
      <c r="P83" s="9">
        <v>0</v>
      </c>
      <c r="Q83" s="9">
        <v>6787</v>
      </c>
      <c r="R83" s="9">
        <v>8110</v>
      </c>
      <c r="S83" s="9">
        <v>8890</v>
      </c>
      <c r="T83" s="31">
        <v>9620</v>
      </c>
      <c r="W83" s="16">
        <f t="shared" si="19"/>
        <v>42553</v>
      </c>
      <c r="X83" s="9">
        <f t="shared" si="20"/>
        <v>413.404</v>
      </c>
      <c r="Y83" s="9">
        <f t="shared" si="21"/>
        <v>822.7</v>
      </c>
      <c r="AA83" s="16">
        <f t="shared" si="22"/>
        <v>42924</v>
      </c>
      <c r="AB83" s="21">
        <v>4790</v>
      </c>
      <c r="AC83" s="21">
        <f t="shared" si="23"/>
        <v>6787</v>
      </c>
      <c r="AD83" s="21">
        <f t="shared" si="24"/>
        <v>8110</v>
      </c>
      <c r="AE83" s="21">
        <f t="shared" si="25"/>
        <v>8890</v>
      </c>
      <c r="AF83" s="21">
        <f t="shared" si="26"/>
        <v>9620</v>
      </c>
      <c r="AK83" s="16"/>
      <c r="AL83" s="17"/>
      <c r="AN83" s="16"/>
    </row>
    <row r="84" spans="2:40" x14ac:dyDescent="0.4">
      <c r="B84" s="6">
        <f t="shared" si="14"/>
        <v>42924</v>
      </c>
      <c r="C84" s="8">
        <f t="shared" si="15"/>
        <v>369.858</v>
      </c>
      <c r="D84" s="5">
        <f t="shared" si="16"/>
        <v>1740.9050000000002</v>
      </c>
      <c r="E84" s="5">
        <f t="shared" si="17"/>
        <v>2520.9050000000002</v>
      </c>
      <c r="F84" s="5">
        <f t="shared" si="18"/>
        <v>3250.9050000000002</v>
      </c>
      <c r="H84" s="6"/>
      <c r="I84" s="11">
        <v>42560</v>
      </c>
      <c r="J84" s="9">
        <v>408.4375</v>
      </c>
      <c r="K84" s="9">
        <v>826.875</v>
      </c>
      <c r="O84" s="11">
        <v>42931</v>
      </c>
      <c r="P84" s="9">
        <v>0</v>
      </c>
      <c r="Q84" s="9">
        <v>7184</v>
      </c>
      <c r="R84" s="9">
        <v>8310</v>
      </c>
      <c r="S84" s="9">
        <v>9060</v>
      </c>
      <c r="T84" s="31">
        <v>9845</v>
      </c>
      <c r="W84" s="16">
        <f t="shared" si="19"/>
        <v>42560</v>
      </c>
      <c r="X84" s="9">
        <f t="shared" si="20"/>
        <v>408.4375</v>
      </c>
      <c r="Y84" s="9">
        <f t="shared" si="21"/>
        <v>826.875</v>
      </c>
      <c r="AA84" s="16">
        <f t="shared" si="22"/>
        <v>42931</v>
      </c>
      <c r="AB84" s="21">
        <v>5090</v>
      </c>
      <c r="AC84" s="21">
        <f t="shared" si="23"/>
        <v>7184</v>
      </c>
      <c r="AD84" s="21">
        <f t="shared" si="24"/>
        <v>8310</v>
      </c>
      <c r="AE84" s="21">
        <f t="shared" si="25"/>
        <v>9060</v>
      </c>
      <c r="AF84" s="21">
        <f t="shared" si="26"/>
        <v>9845</v>
      </c>
      <c r="AK84" s="16"/>
      <c r="AL84" s="17"/>
      <c r="AN84" s="16"/>
    </row>
    <row r="85" spans="2:40" x14ac:dyDescent="0.4">
      <c r="B85" s="6">
        <f t="shared" si="14"/>
        <v>42931</v>
      </c>
      <c r="C85" s="8">
        <f t="shared" si="15"/>
        <v>381.45399999999995</v>
      </c>
      <c r="D85" s="5">
        <f t="shared" si="16"/>
        <v>1551.4099999999999</v>
      </c>
      <c r="E85" s="5">
        <f t="shared" si="17"/>
        <v>2301.41</v>
      </c>
      <c r="F85" s="5">
        <f t="shared" si="18"/>
        <v>3086.41</v>
      </c>
      <c r="H85" s="6"/>
      <c r="I85" s="11">
        <v>42567</v>
      </c>
      <c r="J85" s="9">
        <v>387.57799999999997</v>
      </c>
      <c r="K85" s="9">
        <v>820.66600000000005</v>
      </c>
      <c r="O85" s="11">
        <v>42938</v>
      </c>
      <c r="P85" s="9">
        <v>0</v>
      </c>
      <c r="Q85" s="9">
        <v>7315</v>
      </c>
      <c r="R85" s="9">
        <v>8510</v>
      </c>
      <c r="S85" s="9">
        <v>9180</v>
      </c>
      <c r="T85" s="31">
        <v>10025</v>
      </c>
      <c r="W85" s="16">
        <f t="shared" si="19"/>
        <v>42567</v>
      </c>
      <c r="X85" s="9">
        <f t="shared" si="20"/>
        <v>387.57799999999997</v>
      </c>
      <c r="Y85" s="9">
        <f t="shared" si="21"/>
        <v>820.66600000000005</v>
      </c>
      <c r="AA85" s="16">
        <f t="shared" si="22"/>
        <v>42938</v>
      </c>
      <c r="AB85" s="21">
        <v>5372</v>
      </c>
      <c r="AC85" s="21">
        <f t="shared" si="23"/>
        <v>7315</v>
      </c>
      <c r="AD85" s="21">
        <f t="shared" si="24"/>
        <v>8510</v>
      </c>
      <c r="AE85" s="21">
        <f t="shared" si="25"/>
        <v>9180</v>
      </c>
      <c r="AF85" s="21">
        <f t="shared" si="26"/>
        <v>10025</v>
      </c>
      <c r="AK85" s="16"/>
      <c r="AL85" s="17"/>
      <c r="AN85" s="16"/>
    </row>
    <row r="86" spans="2:40" x14ac:dyDescent="0.4">
      <c r="B86" s="6">
        <f t="shared" si="14"/>
        <v>42938</v>
      </c>
      <c r="C86" s="8">
        <f t="shared" si="15"/>
        <v>370.73399999999998</v>
      </c>
      <c r="D86" s="5">
        <f t="shared" si="16"/>
        <v>1466.4150000000004</v>
      </c>
      <c r="E86" s="5">
        <f t="shared" si="17"/>
        <v>2136.4150000000004</v>
      </c>
      <c r="F86" s="5">
        <f t="shared" si="18"/>
        <v>2981.4150000000004</v>
      </c>
      <c r="H86" s="6"/>
      <c r="I86" s="11">
        <v>42574</v>
      </c>
      <c r="J86" s="9">
        <v>384.97800000000001</v>
      </c>
      <c r="K86" s="9">
        <v>820.16600000000005</v>
      </c>
      <c r="O86" s="11">
        <v>42945</v>
      </c>
      <c r="P86" s="9">
        <v>0</v>
      </c>
      <c r="Q86" s="9">
        <v>7220</v>
      </c>
      <c r="R86" s="9">
        <v>8480</v>
      </c>
      <c r="S86" s="9">
        <v>9160</v>
      </c>
      <c r="T86" s="31">
        <v>10005</v>
      </c>
      <c r="W86" s="16">
        <f t="shared" si="19"/>
        <v>42574</v>
      </c>
      <c r="X86" s="9">
        <f t="shared" si="20"/>
        <v>384.97800000000001</v>
      </c>
      <c r="Y86" s="9">
        <f t="shared" si="21"/>
        <v>820.16600000000005</v>
      </c>
      <c r="AA86" s="16">
        <f t="shared" si="22"/>
        <v>42945</v>
      </c>
      <c r="AB86" s="21">
        <v>5220</v>
      </c>
      <c r="AC86" s="21">
        <f t="shared" si="23"/>
        <v>7220</v>
      </c>
      <c r="AD86" s="21">
        <f t="shared" si="24"/>
        <v>8480</v>
      </c>
      <c r="AE86" s="21">
        <f t="shared" si="25"/>
        <v>9160</v>
      </c>
      <c r="AF86" s="21">
        <f t="shared" si="26"/>
        <v>10005</v>
      </c>
      <c r="AK86" s="16"/>
      <c r="AL86" s="17"/>
      <c r="AN86" s="16"/>
    </row>
    <row r="87" spans="2:40" x14ac:dyDescent="0.4">
      <c r="B87" s="6">
        <f t="shared" si="14"/>
        <v>42945</v>
      </c>
      <c r="C87" s="8">
        <f t="shared" si="15"/>
        <v>379.38799999999998</v>
      </c>
      <c r="D87" s="5">
        <f t="shared" si="16"/>
        <v>1598.2000000000003</v>
      </c>
      <c r="E87" s="5">
        <f t="shared" si="17"/>
        <v>2278.2000000000003</v>
      </c>
      <c r="F87" s="5">
        <f t="shared" si="18"/>
        <v>3123.2000000000003</v>
      </c>
      <c r="H87" s="6"/>
      <c r="I87" s="11">
        <v>42581</v>
      </c>
      <c r="J87" s="9">
        <v>357.62799999999999</v>
      </c>
      <c r="K87" s="9">
        <v>805.5</v>
      </c>
      <c r="O87" s="11">
        <v>42952</v>
      </c>
      <c r="P87" s="9">
        <v>0</v>
      </c>
      <c r="Q87" s="9">
        <v>7411</v>
      </c>
      <c r="R87" s="9">
        <v>8250</v>
      </c>
      <c r="S87" s="9">
        <v>8785</v>
      </c>
      <c r="T87" s="31">
        <v>9780</v>
      </c>
      <c r="W87" s="16">
        <f t="shared" si="19"/>
        <v>42581</v>
      </c>
      <c r="X87" s="9">
        <f t="shared" si="20"/>
        <v>357.62799999999999</v>
      </c>
      <c r="Y87" s="9">
        <f t="shared" si="21"/>
        <v>805.5</v>
      </c>
      <c r="AA87" s="16">
        <f t="shared" si="22"/>
        <v>42952</v>
      </c>
      <c r="AB87" s="21">
        <v>5170</v>
      </c>
      <c r="AC87" s="21">
        <f t="shared" si="23"/>
        <v>7411</v>
      </c>
      <c r="AD87" s="21">
        <f t="shared" si="24"/>
        <v>8250</v>
      </c>
      <c r="AE87" s="21">
        <f t="shared" si="25"/>
        <v>8785</v>
      </c>
      <c r="AF87" s="21">
        <f t="shared" si="26"/>
        <v>9780</v>
      </c>
      <c r="AK87" s="16"/>
      <c r="AL87" s="17"/>
      <c r="AN87" s="16"/>
    </row>
    <row r="88" spans="2:40" x14ac:dyDescent="0.4">
      <c r="B88" s="6">
        <f t="shared" si="14"/>
        <v>42952</v>
      </c>
      <c r="C88" s="8">
        <f t="shared" si="15"/>
        <v>370.202</v>
      </c>
      <c r="D88" s="5">
        <f t="shared" si="16"/>
        <v>1346.9650000000006</v>
      </c>
      <c r="E88" s="5">
        <f t="shared" si="17"/>
        <v>1881.9650000000006</v>
      </c>
      <c r="F88" s="5">
        <f t="shared" si="18"/>
        <v>2876.9650000000006</v>
      </c>
      <c r="H88" s="6"/>
      <c r="I88" s="11">
        <v>42588</v>
      </c>
      <c r="J88" s="9">
        <v>340.702</v>
      </c>
      <c r="K88" s="9">
        <v>797.7</v>
      </c>
      <c r="O88" s="11">
        <v>42959</v>
      </c>
      <c r="P88" s="9">
        <v>0</v>
      </c>
      <c r="Q88" s="9">
        <v>7352</v>
      </c>
      <c r="R88" s="9">
        <v>8065</v>
      </c>
      <c r="S88" s="9">
        <v>8500</v>
      </c>
      <c r="T88" s="31">
        <v>9530</v>
      </c>
      <c r="W88" s="16">
        <f t="shared" si="19"/>
        <v>42588</v>
      </c>
      <c r="X88" s="9">
        <f t="shared" si="20"/>
        <v>340.702</v>
      </c>
      <c r="Y88" s="9">
        <f t="shared" si="21"/>
        <v>797.7</v>
      </c>
      <c r="AA88" s="16">
        <f t="shared" si="22"/>
        <v>42959</v>
      </c>
      <c r="AB88" s="21">
        <v>5146</v>
      </c>
      <c r="AC88" s="21">
        <f t="shared" si="23"/>
        <v>7352</v>
      </c>
      <c r="AD88" s="21">
        <f t="shared" si="24"/>
        <v>8065</v>
      </c>
      <c r="AE88" s="21">
        <f t="shared" si="25"/>
        <v>8500</v>
      </c>
      <c r="AF88" s="21">
        <f t="shared" si="26"/>
        <v>9530</v>
      </c>
      <c r="AK88" s="16"/>
      <c r="AL88" s="17"/>
      <c r="AN88" s="16"/>
    </row>
    <row r="89" spans="2:40" x14ac:dyDescent="0.4">
      <c r="B89" s="6">
        <f t="shared" si="14"/>
        <v>42959</v>
      </c>
      <c r="C89" s="8">
        <f t="shared" si="15"/>
        <v>366.30250000000007</v>
      </c>
      <c r="D89" s="5">
        <f t="shared" si="16"/>
        <v>1202.25</v>
      </c>
      <c r="E89" s="5">
        <f t="shared" si="17"/>
        <v>1637.25</v>
      </c>
      <c r="F89" s="5">
        <f t="shared" si="18"/>
        <v>2667.25</v>
      </c>
      <c r="H89" s="6"/>
      <c r="I89" s="11">
        <v>42595</v>
      </c>
      <c r="J89" s="9">
        <v>344.7525</v>
      </c>
      <c r="K89" s="9">
        <v>802.17</v>
      </c>
      <c r="O89" s="11">
        <v>42966</v>
      </c>
      <c r="P89" s="9">
        <v>0</v>
      </c>
      <c r="Q89" s="9">
        <v>7097</v>
      </c>
      <c r="R89" s="9">
        <v>8180</v>
      </c>
      <c r="S89" s="9">
        <v>8630</v>
      </c>
      <c r="T89" s="31">
        <v>9500</v>
      </c>
      <c r="W89" s="16">
        <f t="shared" si="19"/>
        <v>42595</v>
      </c>
      <c r="X89" s="9">
        <f t="shared" si="20"/>
        <v>344.7525</v>
      </c>
      <c r="Y89" s="9">
        <f t="shared" si="21"/>
        <v>802.17</v>
      </c>
      <c r="AA89" s="16">
        <f t="shared" si="22"/>
        <v>42966</v>
      </c>
      <c r="AB89" s="21">
        <v>5070</v>
      </c>
      <c r="AC89" s="21">
        <f t="shared" si="23"/>
        <v>7097</v>
      </c>
      <c r="AD89" s="21">
        <f t="shared" si="24"/>
        <v>8180</v>
      </c>
      <c r="AE89" s="21">
        <f t="shared" si="25"/>
        <v>8630</v>
      </c>
      <c r="AF89" s="21">
        <f t="shared" si="26"/>
        <v>9500</v>
      </c>
      <c r="AK89" s="16"/>
      <c r="AL89" s="17"/>
      <c r="AN89" s="16"/>
    </row>
    <row r="90" spans="2:40" x14ac:dyDescent="0.4">
      <c r="B90" s="6">
        <f t="shared" si="14"/>
        <v>42966</v>
      </c>
      <c r="C90" s="8">
        <f t="shared" si="15"/>
        <v>358.22</v>
      </c>
      <c r="D90" s="5">
        <f t="shared" si="16"/>
        <v>1467.6549999999993</v>
      </c>
      <c r="E90" s="5">
        <f t="shared" si="17"/>
        <v>1917.6549999999993</v>
      </c>
      <c r="F90" s="5">
        <f t="shared" si="18"/>
        <v>2787.6549999999993</v>
      </c>
      <c r="H90" s="6"/>
      <c r="I90" s="11">
        <v>42602</v>
      </c>
      <c r="J90" s="9">
        <v>378.05200000000002</v>
      </c>
      <c r="K90" s="9">
        <v>812.33199999999999</v>
      </c>
      <c r="O90" s="11">
        <v>42973</v>
      </c>
      <c r="P90" s="9">
        <v>0</v>
      </c>
      <c r="Q90" s="9">
        <v>7288</v>
      </c>
      <c r="R90" s="9">
        <v>8325</v>
      </c>
      <c r="S90" s="9">
        <v>8835</v>
      </c>
      <c r="T90" s="31">
        <v>9740</v>
      </c>
      <c r="W90" s="16">
        <f t="shared" si="19"/>
        <v>42602</v>
      </c>
      <c r="X90" s="9">
        <f t="shared" si="20"/>
        <v>378.05200000000002</v>
      </c>
      <c r="Y90" s="9">
        <f t="shared" si="21"/>
        <v>812.33199999999999</v>
      </c>
      <c r="AA90" s="16">
        <f t="shared" si="22"/>
        <v>42973</v>
      </c>
      <c r="AB90" s="21">
        <v>5170</v>
      </c>
      <c r="AC90" s="21">
        <f t="shared" si="23"/>
        <v>7288</v>
      </c>
      <c r="AD90" s="21">
        <f t="shared" si="24"/>
        <v>8325</v>
      </c>
      <c r="AE90" s="21">
        <f t="shared" si="25"/>
        <v>8835</v>
      </c>
      <c r="AF90" s="21">
        <f t="shared" si="26"/>
        <v>9740</v>
      </c>
      <c r="AK90" s="16"/>
      <c r="AL90" s="17"/>
      <c r="AN90" s="16"/>
    </row>
    <row r="91" spans="2:40" x14ac:dyDescent="0.4">
      <c r="B91" s="6">
        <f t="shared" si="14"/>
        <v>42973</v>
      </c>
      <c r="C91" s="8">
        <f t="shared" si="15"/>
        <v>355.71999999999997</v>
      </c>
      <c r="D91" s="5">
        <f t="shared" si="16"/>
        <v>1463.1700000000005</v>
      </c>
      <c r="E91" s="5">
        <f t="shared" si="17"/>
        <v>1973.1700000000005</v>
      </c>
      <c r="F91" s="5">
        <f t="shared" si="18"/>
        <v>2878.1700000000005</v>
      </c>
      <c r="H91" s="6"/>
      <c r="I91" s="11">
        <v>42609</v>
      </c>
      <c r="J91" s="9">
        <v>388.37799999999999</v>
      </c>
      <c r="K91" s="9">
        <v>809.16800000000001</v>
      </c>
      <c r="O91" s="11">
        <v>42980</v>
      </c>
      <c r="P91" s="9">
        <v>0</v>
      </c>
      <c r="Q91" s="9">
        <v>7513</v>
      </c>
      <c r="R91" s="9">
        <v>8425</v>
      </c>
      <c r="S91" s="9">
        <v>8925</v>
      </c>
      <c r="T91" s="31">
        <v>9810</v>
      </c>
      <c r="W91" s="16">
        <f t="shared" si="19"/>
        <v>42609</v>
      </c>
      <c r="X91" s="9">
        <f t="shared" si="20"/>
        <v>388.37799999999999</v>
      </c>
      <c r="Y91" s="9">
        <f t="shared" si="21"/>
        <v>809.16800000000001</v>
      </c>
      <c r="AA91" s="16">
        <f t="shared" si="22"/>
        <v>42980</v>
      </c>
      <c r="AB91" s="21">
        <v>5200</v>
      </c>
      <c r="AC91" s="21">
        <f t="shared" si="23"/>
        <v>7513</v>
      </c>
      <c r="AD91" s="21">
        <f t="shared" si="24"/>
        <v>8425</v>
      </c>
      <c r="AE91" s="21">
        <f t="shared" si="25"/>
        <v>8925</v>
      </c>
      <c r="AF91" s="21">
        <f t="shared" si="26"/>
        <v>9810</v>
      </c>
      <c r="AK91" s="16"/>
      <c r="AL91" s="17"/>
      <c r="AN91" s="16"/>
    </row>
    <row r="92" spans="2:40" x14ac:dyDescent="0.4">
      <c r="B92" s="6">
        <f t="shared" si="14"/>
        <v>42980</v>
      </c>
      <c r="C92" s="8">
        <f t="shared" si="15"/>
        <v>354.255</v>
      </c>
      <c r="D92" s="5">
        <f t="shared" si="16"/>
        <v>1462.145</v>
      </c>
      <c r="E92" s="5">
        <f t="shared" si="17"/>
        <v>1962.145</v>
      </c>
      <c r="F92" s="5">
        <f t="shared" si="18"/>
        <v>2847.145</v>
      </c>
      <c r="H92" s="6"/>
      <c r="I92" s="11">
        <v>42616</v>
      </c>
      <c r="J92" s="9">
        <v>376.35</v>
      </c>
      <c r="K92" s="9">
        <v>803.7</v>
      </c>
      <c r="O92" s="11">
        <v>42987</v>
      </c>
      <c r="P92" s="9">
        <v>0</v>
      </c>
      <c r="Q92" s="9">
        <v>7763</v>
      </c>
      <c r="R92" s="9">
        <v>8670</v>
      </c>
      <c r="S92" s="9">
        <v>9270</v>
      </c>
      <c r="T92" s="31">
        <v>10016</v>
      </c>
      <c r="W92" s="16">
        <f t="shared" si="19"/>
        <v>42616</v>
      </c>
      <c r="X92" s="9">
        <f t="shared" si="20"/>
        <v>376.35</v>
      </c>
      <c r="Y92" s="9">
        <f t="shared" si="21"/>
        <v>803.7</v>
      </c>
      <c r="AA92" s="16">
        <f t="shared" si="22"/>
        <v>42987</v>
      </c>
      <c r="AB92" s="21">
        <v>5254</v>
      </c>
      <c r="AC92" s="21">
        <f t="shared" si="23"/>
        <v>7763</v>
      </c>
      <c r="AD92" s="21">
        <f t="shared" si="24"/>
        <v>8670</v>
      </c>
      <c r="AE92" s="21">
        <f t="shared" si="25"/>
        <v>9270</v>
      </c>
      <c r="AF92" s="21">
        <f t="shared" si="26"/>
        <v>10016</v>
      </c>
      <c r="AK92" s="16"/>
      <c r="AL92" s="17"/>
      <c r="AN92" s="16"/>
    </row>
    <row r="93" spans="2:40" x14ac:dyDescent="0.4">
      <c r="B93" s="6">
        <f t="shared" si="14"/>
        <v>42987</v>
      </c>
      <c r="C93" s="8">
        <f t="shared" si="15"/>
        <v>348.20600000000002</v>
      </c>
      <c r="D93" s="5">
        <f t="shared" si="16"/>
        <v>1577.2249999999999</v>
      </c>
      <c r="E93" s="5">
        <f t="shared" si="17"/>
        <v>2177.2249999999999</v>
      </c>
      <c r="F93" s="5">
        <f t="shared" si="18"/>
        <v>2923.2249999999999</v>
      </c>
      <c r="H93" s="6"/>
      <c r="I93" s="11">
        <v>42623</v>
      </c>
      <c r="J93" s="9">
        <v>389.952</v>
      </c>
      <c r="K93" s="9">
        <v>808.06399999999996</v>
      </c>
      <c r="O93" s="11">
        <v>42994</v>
      </c>
      <c r="P93" s="9">
        <v>0</v>
      </c>
      <c r="Q93" s="9">
        <v>7516.5</v>
      </c>
      <c r="R93" s="9">
        <v>8720</v>
      </c>
      <c r="S93" s="9">
        <v>9350</v>
      </c>
      <c r="T93" s="31">
        <v>10112</v>
      </c>
      <c r="W93" s="16">
        <f t="shared" si="19"/>
        <v>42623</v>
      </c>
      <c r="X93" s="9">
        <f t="shared" si="20"/>
        <v>389.952</v>
      </c>
      <c r="Y93" s="9">
        <f t="shared" si="21"/>
        <v>808.06399999999996</v>
      </c>
      <c r="AA93" s="16">
        <f t="shared" si="22"/>
        <v>42994</v>
      </c>
      <c r="AB93" s="21">
        <v>5177</v>
      </c>
      <c r="AC93" s="21">
        <f t="shared" si="23"/>
        <v>7516.5</v>
      </c>
      <c r="AD93" s="21">
        <f t="shared" si="24"/>
        <v>8720</v>
      </c>
      <c r="AE93" s="21">
        <f t="shared" si="25"/>
        <v>9350</v>
      </c>
      <c r="AF93" s="21">
        <f t="shared" si="26"/>
        <v>10112</v>
      </c>
      <c r="AK93" s="16"/>
      <c r="AL93" s="17"/>
      <c r="AN93" s="16"/>
    </row>
    <row r="94" spans="2:40" x14ac:dyDescent="0.4">
      <c r="B94" s="6">
        <f t="shared" si="14"/>
        <v>42994</v>
      </c>
      <c r="C94" s="8">
        <f t="shared" si="15"/>
        <v>337.25799999999998</v>
      </c>
      <c r="D94" s="5">
        <f t="shared" si="16"/>
        <v>1775.6374999999998</v>
      </c>
      <c r="E94" s="5">
        <f t="shared" si="17"/>
        <v>2405.6374999999998</v>
      </c>
      <c r="F94" s="5">
        <f t="shared" si="18"/>
        <v>3167.6374999999998</v>
      </c>
      <c r="H94" s="6"/>
      <c r="I94" s="11">
        <v>42630</v>
      </c>
      <c r="J94" s="9">
        <v>381.4375</v>
      </c>
      <c r="K94" s="9">
        <v>790.83500000000004</v>
      </c>
      <c r="O94" s="11">
        <v>43001</v>
      </c>
      <c r="P94" s="9">
        <v>0</v>
      </c>
      <c r="Q94" s="9">
        <v>7450</v>
      </c>
      <c r="R94" s="9">
        <v>8700</v>
      </c>
      <c r="S94" s="9">
        <v>9340</v>
      </c>
      <c r="T94" s="31">
        <v>10250</v>
      </c>
      <c r="W94" s="16">
        <f t="shared" si="19"/>
        <v>42630</v>
      </c>
      <c r="X94" s="9">
        <f t="shared" si="20"/>
        <v>381.4375</v>
      </c>
      <c r="Y94" s="9">
        <f t="shared" si="21"/>
        <v>790.83500000000004</v>
      </c>
      <c r="AA94" s="16">
        <f t="shared" si="22"/>
        <v>43001</v>
      </c>
      <c r="AB94" s="21">
        <v>5235</v>
      </c>
      <c r="AC94" s="21">
        <f t="shared" si="23"/>
        <v>7450</v>
      </c>
      <c r="AD94" s="21">
        <f t="shared" si="24"/>
        <v>8700</v>
      </c>
      <c r="AE94" s="21">
        <f t="shared" si="25"/>
        <v>9340</v>
      </c>
      <c r="AF94" s="21">
        <f t="shared" si="26"/>
        <v>10250</v>
      </c>
      <c r="AK94" s="16"/>
      <c r="AL94" s="17"/>
      <c r="AN94" s="16"/>
    </row>
    <row r="95" spans="2:40" x14ac:dyDescent="0.4">
      <c r="B95" s="6">
        <f t="shared" si="14"/>
        <v>43001</v>
      </c>
      <c r="C95" s="8">
        <f t="shared" si="15"/>
        <v>331.64400000000001</v>
      </c>
      <c r="D95" s="5">
        <f t="shared" si="16"/>
        <v>1728.3249999999998</v>
      </c>
      <c r="E95" s="5">
        <f t="shared" si="17"/>
        <v>2368.3249999999998</v>
      </c>
      <c r="F95" s="5">
        <f t="shared" si="18"/>
        <v>3278.3249999999998</v>
      </c>
      <c r="H95" s="6"/>
      <c r="I95" s="11">
        <v>42637</v>
      </c>
      <c r="J95" s="9">
        <v>397.05200000000002</v>
      </c>
      <c r="K95" s="9">
        <v>792.83399999999995</v>
      </c>
      <c r="O95" s="11">
        <v>43008</v>
      </c>
      <c r="P95" s="9">
        <v>0</v>
      </c>
      <c r="Q95" s="9">
        <v>7234.166666666667</v>
      </c>
      <c r="R95" s="9">
        <v>8487.5</v>
      </c>
      <c r="S95" s="9">
        <v>9150</v>
      </c>
      <c r="T95" s="31">
        <v>10250</v>
      </c>
      <c r="W95" s="16">
        <f t="shared" si="19"/>
        <v>42637</v>
      </c>
      <c r="X95" s="9">
        <f t="shared" si="20"/>
        <v>397.05200000000002</v>
      </c>
      <c r="Y95" s="9">
        <f t="shared" si="21"/>
        <v>792.83399999999995</v>
      </c>
      <c r="AA95" s="16">
        <f t="shared" si="22"/>
        <v>43008</v>
      </c>
      <c r="AB95" s="21">
        <v>5228.333333333333</v>
      </c>
      <c r="AC95" s="21">
        <f t="shared" si="23"/>
        <v>7234.166666666667</v>
      </c>
      <c r="AD95" s="21">
        <f t="shared" si="24"/>
        <v>8487.5</v>
      </c>
      <c r="AE95" s="21">
        <f t="shared" si="25"/>
        <v>9150</v>
      </c>
      <c r="AF95" s="21">
        <f t="shared" si="26"/>
        <v>10250</v>
      </c>
      <c r="AK95" s="16"/>
      <c r="AL95" s="17"/>
      <c r="AN95" s="16"/>
    </row>
    <row r="96" spans="2:40" x14ac:dyDescent="0.4">
      <c r="B96" s="6">
        <f t="shared" si="14"/>
        <v>43008</v>
      </c>
      <c r="C96" s="8">
        <f t="shared" si="15"/>
        <v>316.13599999999997</v>
      </c>
      <c r="D96" s="5">
        <f t="shared" si="16"/>
        <v>1593.8291666666669</v>
      </c>
      <c r="E96" s="5">
        <f t="shared" si="17"/>
        <v>2256.3291666666669</v>
      </c>
      <c r="F96" s="5">
        <f t="shared" si="18"/>
        <v>3356.3291666666669</v>
      </c>
      <c r="H96" s="6"/>
      <c r="I96" s="11">
        <v>42644</v>
      </c>
      <c r="J96" s="9">
        <v>400.10399999999998</v>
      </c>
      <c r="K96" s="9">
        <v>789.13400000000001</v>
      </c>
      <c r="O96" s="11">
        <v>43022</v>
      </c>
      <c r="P96" s="9">
        <v>0</v>
      </c>
      <c r="Q96" s="9">
        <v>7130.5</v>
      </c>
      <c r="R96" s="9">
        <v>8400</v>
      </c>
      <c r="S96" s="9">
        <v>9010</v>
      </c>
      <c r="T96" s="31">
        <v>10160</v>
      </c>
      <c r="W96" s="16">
        <f t="shared" si="19"/>
        <v>42644</v>
      </c>
      <c r="X96" s="9">
        <f t="shared" si="20"/>
        <v>400.10399999999998</v>
      </c>
      <c r="Y96" s="9">
        <f t="shared" si="21"/>
        <v>789.13400000000001</v>
      </c>
      <c r="AA96" s="16">
        <f t="shared" si="22"/>
        <v>43022</v>
      </c>
      <c r="AB96" s="21">
        <v>5139</v>
      </c>
      <c r="AC96" s="21">
        <f t="shared" si="23"/>
        <v>7130.5</v>
      </c>
      <c r="AD96" s="21">
        <f t="shared" si="24"/>
        <v>8400</v>
      </c>
      <c r="AE96" s="21">
        <f t="shared" si="25"/>
        <v>9010</v>
      </c>
      <c r="AF96" s="21">
        <f t="shared" si="26"/>
        <v>10160</v>
      </c>
      <c r="AK96" s="16"/>
      <c r="AL96" s="17"/>
      <c r="AN96" s="16"/>
    </row>
    <row r="97" spans="2:40" x14ac:dyDescent="0.4">
      <c r="B97" s="6">
        <f t="shared" si="14"/>
        <v>43015</v>
      </c>
      <c r="C97" s="8">
        <f t="shared" si="15"/>
        <v>329.89</v>
      </c>
      <c r="D97" s="5">
        <f t="shared" si="16"/>
        <v>1593.8291666666669</v>
      </c>
      <c r="E97" s="5">
        <f t="shared" si="17"/>
        <v>2256.3291666666669</v>
      </c>
      <c r="F97" s="5">
        <f t="shared" si="18"/>
        <v>3356.3291666666669</v>
      </c>
      <c r="H97" s="6"/>
      <c r="I97" s="11">
        <v>42651</v>
      </c>
      <c r="J97" s="9">
        <v>424.90199999999999</v>
      </c>
      <c r="K97" s="9">
        <v>796.43600000000004</v>
      </c>
      <c r="O97" s="11">
        <v>43029</v>
      </c>
      <c r="P97" s="9">
        <v>0</v>
      </c>
      <c r="Q97" s="9">
        <v>7436</v>
      </c>
      <c r="R97" s="9">
        <v>8600</v>
      </c>
      <c r="S97" s="9">
        <v>9060</v>
      </c>
      <c r="T97" s="31">
        <v>10150</v>
      </c>
      <c r="W97" s="16">
        <f t="shared" si="19"/>
        <v>42651</v>
      </c>
      <c r="X97" s="9">
        <f t="shared" si="20"/>
        <v>424.90199999999999</v>
      </c>
      <c r="Y97" s="9">
        <f t="shared" si="21"/>
        <v>796.43600000000004</v>
      </c>
      <c r="AA97" s="16">
        <f t="shared" si="22"/>
        <v>43029</v>
      </c>
      <c r="AB97" s="21">
        <v>5156.6000000000004</v>
      </c>
      <c r="AC97" s="21">
        <f t="shared" si="23"/>
        <v>7436</v>
      </c>
      <c r="AD97" s="21">
        <f t="shared" si="24"/>
        <v>8600</v>
      </c>
      <c r="AE97" s="21">
        <f t="shared" si="25"/>
        <v>9060</v>
      </c>
      <c r="AF97" s="21">
        <f t="shared" si="26"/>
        <v>10150</v>
      </c>
      <c r="AK97" s="16"/>
      <c r="AL97" s="17"/>
      <c r="AN97" s="16"/>
    </row>
    <row r="98" spans="2:40" x14ac:dyDescent="0.4">
      <c r="B98" s="6">
        <f t="shared" si="14"/>
        <v>43022</v>
      </c>
      <c r="C98" s="8">
        <f t="shared" si="15"/>
        <v>323.89999999999998</v>
      </c>
      <c r="D98" s="5">
        <f t="shared" si="16"/>
        <v>1617.4374999999995</v>
      </c>
      <c r="E98" s="5">
        <f t="shared" si="17"/>
        <v>2227.4374999999995</v>
      </c>
      <c r="F98" s="5">
        <f t="shared" si="18"/>
        <v>3377.4374999999995</v>
      </c>
      <c r="H98" s="6"/>
      <c r="I98" s="11">
        <v>42658</v>
      </c>
      <c r="J98" s="9">
        <v>431.07600000000002</v>
      </c>
      <c r="K98" s="9">
        <v>801.53200000000004</v>
      </c>
      <c r="O98" s="11">
        <v>43036</v>
      </c>
      <c r="P98" s="9">
        <v>0</v>
      </c>
      <c r="Q98" s="9">
        <v>7589</v>
      </c>
      <c r="R98" s="9">
        <v>8680</v>
      </c>
      <c r="S98" s="9">
        <v>9120</v>
      </c>
      <c r="T98" s="31">
        <v>10230</v>
      </c>
      <c r="W98" s="16">
        <f t="shared" si="19"/>
        <v>42658</v>
      </c>
      <c r="X98" s="9">
        <f t="shared" si="20"/>
        <v>431.07600000000002</v>
      </c>
      <c r="Y98" s="9">
        <f t="shared" si="21"/>
        <v>801.53200000000004</v>
      </c>
      <c r="AA98" s="16">
        <f t="shared" si="22"/>
        <v>43036</v>
      </c>
      <c r="AB98" s="21">
        <v>5174.6000000000004</v>
      </c>
      <c r="AC98" s="21">
        <f t="shared" si="23"/>
        <v>7589</v>
      </c>
      <c r="AD98" s="21">
        <f t="shared" si="24"/>
        <v>8680</v>
      </c>
      <c r="AE98" s="21">
        <f t="shared" si="25"/>
        <v>9120</v>
      </c>
      <c r="AF98" s="21">
        <f t="shared" si="26"/>
        <v>10230</v>
      </c>
      <c r="AK98" s="16"/>
      <c r="AL98" s="17"/>
      <c r="AN98" s="16"/>
    </row>
    <row r="99" spans="2:40" x14ac:dyDescent="0.4">
      <c r="B99" s="6">
        <f t="shared" si="14"/>
        <v>43029</v>
      </c>
      <c r="C99" s="8">
        <f t="shared" si="15"/>
        <v>321.29349999999999</v>
      </c>
      <c r="D99" s="5">
        <f t="shared" si="16"/>
        <v>1700.047</v>
      </c>
      <c r="E99" s="5">
        <f t="shared" si="17"/>
        <v>2160.047</v>
      </c>
      <c r="F99" s="5">
        <f t="shared" si="18"/>
        <v>3250.047</v>
      </c>
      <c r="H99" s="6"/>
      <c r="I99" s="11">
        <v>42665</v>
      </c>
      <c r="J99" s="9">
        <v>443.10199999999998</v>
      </c>
      <c r="K99" s="9">
        <v>804.8</v>
      </c>
      <c r="O99" s="11">
        <v>43043</v>
      </c>
      <c r="P99" s="9">
        <v>0</v>
      </c>
      <c r="Q99" s="9">
        <v>7390</v>
      </c>
      <c r="R99" s="9">
        <v>8820</v>
      </c>
      <c r="S99" s="9">
        <v>9235</v>
      </c>
      <c r="T99" s="31">
        <v>10325</v>
      </c>
      <c r="W99" s="16">
        <f t="shared" si="19"/>
        <v>42665</v>
      </c>
      <c r="X99" s="9">
        <f t="shared" si="20"/>
        <v>443.10199999999998</v>
      </c>
      <c r="Y99" s="9">
        <f t="shared" si="21"/>
        <v>804.8</v>
      </c>
      <c r="AA99" s="16">
        <f t="shared" si="22"/>
        <v>43043</v>
      </c>
      <c r="AB99" s="21">
        <v>5176.6000000000004</v>
      </c>
      <c r="AC99" s="21">
        <f t="shared" si="23"/>
        <v>7390</v>
      </c>
      <c r="AD99" s="21">
        <f t="shared" si="24"/>
        <v>8820</v>
      </c>
      <c r="AE99" s="21">
        <f t="shared" si="25"/>
        <v>9235</v>
      </c>
      <c r="AF99" s="21">
        <f t="shared" si="26"/>
        <v>10325</v>
      </c>
      <c r="AK99" s="16"/>
      <c r="AL99" s="17"/>
      <c r="AN99" s="16"/>
    </row>
    <row r="100" spans="2:40" x14ac:dyDescent="0.4">
      <c r="B100" s="6">
        <f t="shared" si="14"/>
        <v>43036</v>
      </c>
      <c r="C100" s="8">
        <f t="shared" si="15"/>
        <v>302.79999999999995</v>
      </c>
      <c r="D100" s="5">
        <f t="shared" si="16"/>
        <v>1713.4019999999996</v>
      </c>
      <c r="E100" s="5">
        <f t="shared" si="17"/>
        <v>2153.4019999999996</v>
      </c>
      <c r="F100" s="5">
        <f t="shared" si="18"/>
        <v>3263.4019999999996</v>
      </c>
      <c r="H100" s="6"/>
      <c r="I100" s="11">
        <v>42672</v>
      </c>
      <c r="J100" s="9">
        <v>450.40199999999999</v>
      </c>
      <c r="K100" s="9">
        <v>804.2</v>
      </c>
      <c r="O100" s="11">
        <v>43050</v>
      </c>
      <c r="P100" s="9">
        <v>0</v>
      </c>
      <c r="Q100" s="9">
        <v>7470</v>
      </c>
      <c r="R100" s="9">
        <v>8990</v>
      </c>
      <c r="S100" s="9">
        <v>9420</v>
      </c>
      <c r="T100" s="31">
        <v>10480</v>
      </c>
      <c r="W100" s="16">
        <f t="shared" si="19"/>
        <v>42672</v>
      </c>
      <c r="X100" s="9">
        <f t="shared" si="20"/>
        <v>450.40199999999999</v>
      </c>
      <c r="Y100" s="9">
        <f t="shared" si="21"/>
        <v>804.2</v>
      </c>
      <c r="AA100" s="16">
        <f t="shared" si="22"/>
        <v>43050</v>
      </c>
      <c r="AB100" s="21">
        <v>5280.6</v>
      </c>
      <c r="AC100" s="21">
        <f t="shared" si="23"/>
        <v>7470</v>
      </c>
      <c r="AD100" s="21">
        <f t="shared" si="24"/>
        <v>8990</v>
      </c>
      <c r="AE100" s="21">
        <f t="shared" si="25"/>
        <v>9420</v>
      </c>
      <c r="AF100" s="21">
        <f t="shared" si="26"/>
        <v>10480</v>
      </c>
      <c r="AK100" s="16"/>
      <c r="AL100" s="17"/>
      <c r="AN100" s="16"/>
    </row>
    <row r="101" spans="2:40" x14ac:dyDescent="0.4">
      <c r="B101" s="6">
        <f t="shared" si="14"/>
        <v>43043</v>
      </c>
      <c r="C101" s="8">
        <f t="shared" si="15"/>
        <v>294.98199999999997</v>
      </c>
      <c r="D101" s="5">
        <f t="shared" si="16"/>
        <v>1918.3569999999995</v>
      </c>
      <c r="E101" s="5">
        <f t="shared" si="17"/>
        <v>2333.3569999999995</v>
      </c>
      <c r="F101" s="5">
        <f t="shared" si="18"/>
        <v>3423.3569999999995</v>
      </c>
      <c r="H101" s="6"/>
      <c r="I101" s="11">
        <v>42679</v>
      </c>
      <c r="J101" s="9">
        <v>436.57799999999997</v>
      </c>
      <c r="K101" s="9">
        <v>796.83199999999999</v>
      </c>
      <c r="O101" s="11">
        <v>43057</v>
      </c>
      <c r="P101" s="9">
        <v>0</v>
      </c>
      <c r="Q101" s="9">
        <v>7320.5</v>
      </c>
      <c r="R101" s="9">
        <v>9080</v>
      </c>
      <c r="S101" s="9">
        <v>9490</v>
      </c>
      <c r="T101" s="31">
        <v>10570</v>
      </c>
      <c r="W101" s="16">
        <f t="shared" si="19"/>
        <v>42679</v>
      </c>
      <c r="X101" s="9">
        <f t="shared" si="20"/>
        <v>436.57799999999997</v>
      </c>
      <c r="Y101" s="9">
        <f t="shared" si="21"/>
        <v>796.83199999999999</v>
      </c>
      <c r="AA101" s="16">
        <f t="shared" si="22"/>
        <v>43057</v>
      </c>
      <c r="AB101" s="21">
        <v>5523.6</v>
      </c>
      <c r="AC101" s="21">
        <f t="shared" si="23"/>
        <v>7320.5</v>
      </c>
      <c r="AD101" s="21">
        <f t="shared" si="24"/>
        <v>9080</v>
      </c>
      <c r="AE101" s="21">
        <f t="shared" si="25"/>
        <v>9490</v>
      </c>
      <c r="AF101" s="21">
        <f t="shared" si="26"/>
        <v>10570</v>
      </c>
      <c r="AK101" s="16"/>
      <c r="AL101" s="17"/>
      <c r="AN101" s="16"/>
    </row>
    <row r="102" spans="2:40" x14ac:dyDescent="0.4">
      <c r="B102" s="6">
        <f t="shared" si="14"/>
        <v>43050</v>
      </c>
      <c r="C102" s="8">
        <f t="shared" si="15"/>
        <v>294.09000000000003</v>
      </c>
      <c r="D102" s="5">
        <f t="shared" si="16"/>
        <v>1972.6369999999993</v>
      </c>
      <c r="E102" s="5">
        <f t="shared" si="17"/>
        <v>2402.6369999999993</v>
      </c>
      <c r="F102" s="5">
        <f t="shared" si="18"/>
        <v>3462.6369999999993</v>
      </c>
      <c r="H102" s="6"/>
      <c r="I102" s="11">
        <v>42686</v>
      </c>
      <c r="J102" s="9">
        <v>424.92599999999999</v>
      </c>
      <c r="K102" s="9">
        <v>796.86599999999999</v>
      </c>
      <c r="O102" s="11">
        <v>43064</v>
      </c>
      <c r="P102" s="9">
        <v>0</v>
      </c>
      <c r="Q102" s="9">
        <v>7302.5</v>
      </c>
      <c r="R102" s="9">
        <v>9085</v>
      </c>
      <c r="S102" s="9">
        <v>9455</v>
      </c>
      <c r="T102" s="31">
        <v>10600</v>
      </c>
      <c r="W102" s="16">
        <f t="shared" si="19"/>
        <v>42686</v>
      </c>
      <c r="X102" s="9">
        <f t="shared" si="20"/>
        <v>424.92599999999999</v>
      </c>
      <c r="Y102" s="9">
        <f t="shared" si="21"/>
        <v>796.86599999999999</v>
      </c>
      <c r="AA102" s="16">
        <f t="shared" si="22"/>
        <v>43064</v>
      </c>
      <c r="AB102" s="21">
        <v>5502</v>
      </c>
      <c r="AC102" s="21">
        <f t="shared" si="23"/>
        <v>7302.5</v>
      </c>
      <c r="AD102" s="21">
        <f t="shared" si="24"/>
        <v>9085</v>
      </c>
      <c r="AE102" s="21">
        <f t="shared" si="25"/>
        <v>9455</v>
      </c>
      <c r="AF102" s="21">
        <f t="shared" si="26"/>
        <v>10600</v>
      </c>
      <c r="AK102" s="16"/>
      <c r="AL102" s="17"/>
      <c r="AN102" s="16"/>
    </row>
    <row r="103" spans="2:40" x14ac:dyDescent="0.4">
      <c r="B103" s="6">
        <f t="shared" si="14"/>
        <v>43057</v>
      </c>
      <c r="C103" s="8">
        <f t="shared" si="15"/>
        <v>303.51</v>
      </c>
      <c r="D103" s="5">
        <f t="shared" si="16"/>
        <v>1904.9544999999998</v>
      </c>
      <c r="E103" s="5">
        <f t="shared" si="17"/>
        <v>2314.9544999999998</v>
      </c>
      <c r="F103" s="5">
        <f t="shared" si="18"/>
        <v>3394.9544999999998</v>
      </c>
      <c r="H103" s="6"/>
      <c r="I103" s="11">
        <v>42693</v>
      </c>
      <c r="J103" s="9">
        <v>425.82600000000002</v>
      </c>
      <c r="K103" s="9">
        <v>793</v>
      </c>
      <c r="O103" s="11">
        <v>43071</v>
      </c>
      <c r="P103" s="9">
        <v>0</v>
      </c>
      <c r="Q103" s="9">
        <v>7384</v>
      </c>
      <c r="R103" s="9">
        <v>8920</v>
      </c>
      <c r="S103" s="9">
        <v>9110</v>
      </c>
      <c r="T103" s="31">
        <v>10470</v>
      </c>
      <c r="W103" s="16">
        <f t="shared" si="19"/>
        <v>42693</v>
      </c>
      <c r="X103" s="9">
        <f t="shared" si="20"/>
        <v>425.82600000000002</v>
      </c>
      <c r="Y103" s="9">
        <f t="shared" si="21"/>
        <v>793</v>
      </c>
      <c r="AA103" s="16">
        <f t="shared" si="22"/>
        <v>43071</v>
      </c>
      <c r="AB103" s="21">
        <v>5424.6</v>
      </c>
      <c r="AC103" s="21">
        <f t="shared" si="23"/>
        <v>7384</v>
      </c>
      <c r="AD103" s="21">
        <f t="shared" si="24"/>
        <v>8920</v>
      </c>
      <c r="AE103" s="21">
        <f t="shared" si="25"/>
        <v>9110</v>
      </c>
      <c r="AF103" s="21">
        <f t="shared" si="26"/>
        <v>10470</v>
      </c>
      <c r="AK103" s="16"/>
      <c r="AL103" s="17"/>
      <c r="AN103" s="16"/>
    </row>
    <row r="104" spans="2:40" x14ac:dyDescent="0.4">
      <c r="B104" s="6">
        <f t="shared" si="14"/>
        <v>43064</v>
      </c>
      <c r="C104" s="8">
        <f t="shared" si="15"/>
        <v>308.72000000000003</v>
      </c>
      <c r="D104" s="5">
        <f t="shared" si="16"/>
        <v>1934.4524999999999</v>
      </c>
      <c r="E104" s="5">
        <f t="shared" si="17"/>
        <v>2304.4524999999999</v>
      </c>
      <c r="F104" s="5">
        <f t="shared" si="18"/>
        <v>3449.4524999999999</v>
      </c>
      <c r="H104" s="6"/>
      <c r="I104" s="11">
        <v>42700</v>
      </c>
      <c r="J104" s="9">
        <v>442.87599999999998</v>
      </c>
      <c r="K104" s="9">
        <v>802.76599999999996</v>
      </c>
      <c r="O104" s="11">
        <v>43078</v>
      </c>
      <c r="P104" s="9">
        <v>0</v>
      </c>
      <c r="Q104" s="9">
        <v>7460</v>
      </c>
      <c r="R104" s="9">
        <v>8915</v>
      </c>
      <c r="S104" s="9">
        <v>9070</v>
      </c>
      <c r="T104" s="31">
        <v>10370</v>
      </c>
      <c r="W104" s="16">
        <f t="shared" si="19"/>
        <v>42700</v>
      </c>
      <c r="X104" s="9">
        <f t="shared" si="20"/>
        <v>442.87599999999998</v>
      </c>
      <c r="Y104" s="9">
        <f t="shared" si="21"/>
        <v>802.76599999999996</v>
      </c>
      <c r="AA104" s="16">
        <f t="shared" si="22"/>
        <v>43078</v>
      </c>
      <c r="AB104" s="21">
        <v>5714.6</v>
      </c>
      <c r="AC104" s="21">
        <f t="shared" si="23"/>
        <v>7460</v>
      </c>
      <c r="AD104" s="21">
        <f t="shared" si="24"/>
        <v>8915</v>
      </c>
      <c r="AE104" s="21">
        <f t="shared" si="25"/>
        <v>9070</v>
      </c>
      <c r="AF104" s="21">
        <f t="shared" si="26"/>
        <v>10370</v>
      </c>
      <c r="AK104" s="16"/>
      <c r="AL104" s="17"/>
      <c r="AN104" s="16"/>
    </row>
    <row r="105" spans="2:40" x14ac:dyDescent="0.4">
      <c r="B105" s="6">
        <f t="shared" si="14"/>
        <v>43071</v>
      </c>
      <c r="C105" s="8">
        <f t="shared" si="15"/>
        <v>301.20600000000002</v>
      </c>
      <c r="D105" s="5">
        <f t="shared" si="16"/>
        <v>1808.3269999999993</v>
      </c>
      <c r="E105" s="5">
        <f t="shared" si="17"/>
        <v>1998.3269999999993</v>
      </c>
      <c r="F105" s="5">
        <f t="shared" si="18"/>
        <v>3358.3269999999993</v>
      </c>
      <c r="H105" s="6"/>
      <c r="I105" s="11">
        <v>42707</v>
      </c>
      <c r="J105" s="9">
        <v>441.6</v>
      </c>
      <c r="K105" s="9">
        <v>807.96600000000001</v>
      </c>
      <c r="O105" s="11">
        <v>43085</v>
      </c>
      <c r="P105" s="9">
        <v>0</v>
      </c>
      <c r="Q105" s="9">
        <v>7368</v>
      </c>
      <c r="R105" s="9">
        <v>8730</v>
      </c>
      <c r="S105" s="9">
        <v>8905</v>
      </c>
      <c r="T105" s="31">
        <v>10110</v>
      </c>
      <c r="W105" s="16">
        <f t="shared" si="19"/>
        <v>42707</v>
      </c>
      <c r="X105" s="9">
        <f t="shared" si="20"/>
        <v>441.6</v>
      </c>
      <c r="Y105" s="9">
        <f t="shared" si="21"/>
        <v>807.96600000000001</v>
      </c>
      <c r="AA105" s="16">
        <f t="shared" si="22"/>
        <v>43085</v>
      </c>
      <c r="AB105" s="21">
        <v>5701</v>
      </c>
      <c r="AC105" s="21">
        <f t="shared" si="23"/>
        <v>7368</v>
      </c>
      <c r="AD105" s="21">
        <f t="shared" si="24"/>
        <v>8730</v>
      </c>
      <c r="AE105" s="21">
        <f t="shared" si="25"/>
        <v>8905</v>
      </c>
      <c r="AF105" s="21">
        <f t="shared" si="26"/>
        <v>10110</v>
      </c>
      <c r="AK105" s="16"/>
      <c r="AL105" s="17"/>
      <c r="AN105" s="16"/>
    </row>
    <row r="106" spans="2:40" x14ac:dyDescent="0.4">
      <c r="B106" s="6">
        <f t="shared" si="14"/>
        <v>43078</v>
      </c>
      <c r="C106" s="8">
        <f t="shared" si="15"/>
        <v>311.75200000000007</v>
      </c>
      <c r="D106" s="5">
        <f t="shared" si="16"/>
        <v>1529.9169999999995</v>
      </c>
      <c r="E106" s="5">
        <f t="shared" si="17"/>
        <v>1684.9169999999995</v>
      </c>
      <c r="F106" s="5">
        <f t="shared" si="18"/>
        <v>2984.9169999999995</v>
      </c>
      <c r="H106" s="6"/>
      <c r="I106" s="11">
        <v>42714</v>
      </c>
      <c r="J106" s="9">
        <v>461.52600000000001</v>
      </c>
      <c r="K106" s="9">
        <v>822.33</v>
      </c>
      <c r="O106" s="11">
        <v>43092</v>
      </c>
      <c r="P106" s="9">
        <v>0</v>
      </c>
      <c r="Q106" s="9">
        <v>7499</v>
      </c>
      <c r="R106" s="9">
        <v>8665</v>
      </c>
      <c r="S106" s="9">
        <v>9005</v>
      </c>
      <c r="T106" s="31">
        <v>10125</v>
      </c>
      <c r="W106" s="16">
        <f t="shared" si="19"/>
        <v>42714</v>
      </c>
      <c r="X106" s="9">
        <f t="shared" si="20"/>
        <v>461.52600000000001</v>
      </c>
      <c r="Y106" s="9">
        <f t="shared" si="21"/>
        <v>822.33</v>
      </c>
      <c r="AA106" s="16">
        <f t="shared" si="22"/>
        <v>43092</v>
      </c>
      <c r="AB106" s="21">
        <v>5678</v>
      </c>
      <c r="AC106" s="21">
        <f t="shared" si="23"/>
        <v>7499</v>
      </c>
      <c r="AD106" s="21">
        <f t="shared" si="24"/>
        <v>8665</v>
      </c>
      <c r="AE106" s="21">
        <f t="shared" si="25"/>
        <v>9005</v>
      </c>
      <c r="AF106" s="21">
        <f t="shared" si="26"/>
        <v>10125</v>
      </c>
      <c r="AK106" s="16"/>
      <c r="AL106" s="17"/>
      <c r="AN106" s="16"/>
    </row>
    <row r="107" spans="2:40" x14ac:dyDescent="0.4">
      <c r="B107" s="6">
        <f t="shared" si="14"/>
        <v>43085</v>
      </c>
      <c r="C107" s="8">
        <f t="shared" si="15"/>
        <v>298.14400000000001</v>
      </c>
      <c r="D107" s="5">
        <f t="shared" si="16"/>
        <v>1387.3650000000002</v>
      </c>
      <c r="E107" s="5">
        <f t="shared" si="17"/>
        <v>1562.3650000000002</v>
      </c>
      <c r="F107" s="5">
        <f t="shared" si="18"/>
        <v>2767.3650000000002</v>
      </c>
      <c r="H107" s="6"/>
      <c r="I107" s="11">
        <v>42721</v>
      </c>
      <c r="J107" s="9">
        <v>471.27800000000002</v>
      </c>
      <c r="K107" s="9">
        <v>850.43399999999997</v>
      </c>
      <c r="O107" s="11">
        <v>43099</v>
      </c>
      <c r="P107" s="9">
        <v>0</v>
      </c>
      <c r="Q107" s="9">
        <v>7557</v>
      </c>
      <c r="R107" s="9">
        <v>8720</v>
      </c>
      <c r="S107" s="9">
        <v>9085</v>
      </c>
      <c r="T107" s="31">
        <v>10125</v>
      </c>
      <c r="W107" s="16">
        <f t="shared" si="19"/>
        <v>42721</v>
      </c>
      <c r="X107" s="9">
        <f t="shared" si="20"/>
        <v>471.27800000000002</v>
      </c>
      <c r="Y107" s="9">
        <f t="shared" si="21"/>
        <v>850.43399999999997</v>
      </c>
      <c r="AA107" s="16">
        <f t="shared" si="22"/>
        <v>43099</v>
      </c>
      <c r="AB107" s="21">
        <v>5653.6</v>
      </c>
      <c r="AC107" s="21">
        <f t="shared" si="23"/>
        <v>7557</v>
      </c>
      <c r="AD107" s="21">
        <f t="shared" si="24"/>
        <v>8720</v>
      </c>
      <c r="AE107" s="21">
        <f t="shared" si="25"/>
        <v>9085</v>
      </c>
      <c r="AF107" s="21">
        <f t="shared" si="26"/>
        <v>10125</v>
      </c>
      <c r="AK107" s="16"/>
      <c r="AL107" s="17"/>
      <c r="AN107" s="16"/>
    </row>
    <row r="108" spans="2:40" x14ac:dyDescent="0.4">
      <c r="B108" s="6">
        <f t="shared" si="14"/>
        <v>43092</v>
      </c>
      <c r="C108" s="8">
        <f t="shared" si="15"/>
        <v>308.16800000000001</v>
      </c>
      <c r="D108" s="5">
        <f t="shared" si="16"/>
        <v>1298.1450000000004</v>
      </c>
      <c r="E108" s="5">
        <f t="shared" si="17"/>
        <v>1638.1450000000004</v>
      </c>
      <c r="F108" s="5">
        <f t="shared" si="18"/>
        <v>2758.1450000000004</v>
      </c>
      <c r="H108" s="6"/>
      <c r="I108" s="11">
        <v>42728</v>
      </c>
      <c r="J108" s="9">
        <v>479.6</v>
      </c>
      <c r="K108" s="9">
        <v>856.8</v>
      </c>
      <c r="O108" s="11">
        <v>43106</v>
      </c>
      <c r="P108" s="9">
        <v>0</v>
      </c>
      <c r="Q108" s="9">
        <v>7820</v>
      </c>
      <c r="R108" s="9">
        <v>8850</v>
      </c>
      <c r="S108" s="9">
        <v>9162.5</v>
      </c>
      <c r="T108" s="31">
        <v>10212.5</v>
      </c>
      <c r="W108" s="16">
        <f t="shared" si="19"/>
        <v>42728</v>
      </c>
      <c r="X108" s="9">
        <f t="shared" si="20"/>
        <v>479.6</v>
      </c>
      <c r="Y108" s="9">
        <f t="shared" si="21"/>
        <v>856.8</v>
      </c>
      <c r="AA108" s="16">
        <f t="shared" si="22"/>
        <v>43106</v>
      </c>
      <c r="AB108" s="21">
        <v>5798</v>
      </c>
      <c r="AC108" s="21">
        <f t="shared" si="23"/>
        <v>7820</v>
      </c>
      <c r="AD108" s="21">
        <f t="shared" si="24"/>
        <v>8850</v>
      </c>
      <c r="AE108" s="21">
        <f t="shared" si="25"/>
        <v>9162.5</v>
      </c>
      <c r="AF108" s="21">
        <f t="shared" si="26"/>
        <v>10212.5</v>
      </c>
      <c r="AK108" s="16"/>
      <c r="AL108" s="17"/>
      <c r="AN108" s="16"/>
    </row>
    <row r="109" spans="2:40" x14ac:dyDescent="0.4">
      <c r="B109" s="6">
        <f t="shared" si="14"/>
        <v>43099</v>
      </c>
      <c r="C109" s="8">
        <f t="shared" si="15"/>
        <v>303.72749999999996</v>
      </c>
      <c r="D109" s="5">
        <f t="shared" si="16"/>
        <v>1354.5769999999993</v>
      </c>
      <c r="E109" s="5">
        <f t="shared" si="17"/>
        <v>1719.5769999999993</v>
      </c>
      <c r="F109" s="5">
        <f t="shared" si="18"/>
        <v>2759.5769999999993</v>
      </c>
      <c r="H109" s="6"/>
      <c r="I109" s="11">
        <v>42735</v>
      </c>
      <c r="J109" s="9">
        <v>492.5</v>
      </c>
      <c r="K109" s="9">
        <v>864.25</v>
      </c>
      <c r="O109" s="11">
        <v>43113</v>
      </c>
      <c r="P109" s="9">
        <v>0</v>
      </c>
      <c r="Q109" s="9">
        <v>8133.5</v>
      </c>
      <c r="R109" s="9">
        <v>9040</v>
      </c>
      <c r="S109" s="9">
        <v>9440</v>
      </c>
      <c r="T109" s="31">
        <v>10380</v>
      </c>
      <c r="W109" s="16">
        <f t="shared" si="19"/>
        <v>42735</v>
      </c>
      <c r="X109" s="9">
        <f t="shared" si="20"/>
        <v>492.5</v>
      </c>
      <c r="Y109" s="9">
        <f t="shared" si="21"/>
        <v>864.25</v>
      </c>
      <c r="AA109" s="16">
        <f t="shared" si="22"/>
        <v>43113</v>
      </c>
      <c r="AB109" s="21">
        <v>5856.2</v>
      </c>
      <c r="AC109" s="21">
        <f t="shared" si="23"/>
        <v>8133.5</v>
      </c>
      <c r="AD109" s="21">
        <f t="shared" si="24"/>
        <v>9040</v>
      </c>
      <c r="AE109" s="21">
        <f t="shared" si="25"/>
        <v>9440</v>
      </c>
      <c r="AF109" s="21">
        <f t="shared" si="26"/>
        <v>10380</v>
      </c>
      <c r="AK109" s="16"/>
      <c r="AL109" s="17"/>
      <c r="AN109" s="16"/>
    </row>
    <row r="110" spans="2:40" x14ac:dyDescent="0.4">
      <c r="B110" s="6">
        <f t="shared" si="14"/>
        <v>43106</v>
      </c>
      <c r="C110" s="8">
        <f t="shared" si="15"/>
        <v>324.36249999999995</v>
      </c>
      <c r="D110" s="5">
        <f t="shared" si="16"/>
        <v>1273.0099999999998</v>
      </c>
      <c r="E110" s="5">
        <f t="shared" si="17"/>
        <v>1585.5099999999998</v>
      </c>
      <c r="F110" s="5">
        <f t="shared" si="18"/>
        <v>2635.5099999999998</v>
      </c>
      <c r="H110" s="6"/>
      <c r="I110" s="11">
        <v>42742</v>
      </c>
      <c r="J110" s="9">
        <v>502.3125</v>
      </c>
      <c r="K110" s="9">
        <v>872</v>
      </c>
      <c r="O110" s="11">
        <v>43120</v>
      </c>
      <c r="P110" s="9">
        <v>0</v>
      </c>
      <c r="Q110" s="9">
        <v>8116</v>
      </c>
      <c r="R110" s="9">
        <v>9060</v>
      </c>
      <c r="S110" s="9">
        <v>9500</v>
      </c>
      <c r="T110" s="31">
        <v>10400</v>
      </c>
      <c r="W110" s="16">
        <f t="shared" si="19"/>
        <v>42742</v>
      </c>
      <c r="X110" s="9">
        <f t="shared" si="20"/>
        <v>502.3125</v>
      </c>
      <c r="Y110" s="9">
        <f t="shared" si="21"/>
        <v>872</v>
      </c>
      <c r="AA110" s="16">
        <f t="shared" si="22"/>
        <v>43120</v>
      </c>
      <c r="AB110" s="21">
        <v>5715</v>
      </c>
      <c r="AC110" s="21">
        <f t="shared" si="23"/>
        <v>8116</v>
      </c>
      <c r="AD110" s="21">
        <f t="shared" si="24"/>
        <v>9060</v>
      </c>
      <c r="AE110" s="21">
        <f t="shared" si="25"/>
        <v>9500</v>
      </c>
      <c r="AF110" s="21">
        <f t="shared" si="26"/>
        <v>10400</v>
      </c>
      <c r="AK110" s="16"/>
      <c r="AL110" s="17"/>
      <c r="AN110" s="16"/>
    </row>
    <row r="111" spans="2:40" x14ac:dyDescent="0.4">
      <c r="B111" s="6">
        <f t="shared" si="14"/>
        <v>43113</v>
      </c>
      <c r="C111" s="8">
        <f t="shared" si="15"/>
        <v>340.92999999999995</v>
      </c>
      <c r="D111" s="5">
        <f t="shared" si="16"/>
        <v>1308.2265000000002</v>
      </c>
      <c r="E111" s="5">
        <f t="shared" si="17"/>
        <v>1708.2265000000002</v>
      </c>
      <c r="F111" s="5">
        <f t="shared" si="18"/>
        <v>2648.2265000000002</v>
      </c>
      <c r="H111" s="6"/>
      <c r="I111" s="11">
        <v>42749</v>
      </c>
      <c r="J111" s="9">
        <v>513.23199999999997</v>
      </c>
      <c r="K111" s="9">
        <v>865.73199999999997</v>
      </c>
      <c r="O111" s="11">
        <v>43127</v>
      </c>
      <c r="P111" s="9">
        <v>0</v>
      </c>
      <c r="Q111" s="9">
        <v>7953</v>
      </c>
      <c r="R111" s="9">
        <v>8950</v>
      </c>
      <c r="S111" s="9">
        <v>9450</v>
      </c>
      <c r="T111" s="31">
        <v>10350</v>
      </c>
      <c r="W111" s="16">
        <f t="shared" si="19"/>
        <v>42749</v>
      </c>
      <c r="X111" s="9">
        <f t="shared" si="20"/>
        <v>513.23199999999997</v>
      </c>
      <c r="Y111" s="9">
        <f t="shared" si="21"/>
        <v>865.73199999999997</v>
      </c>
      <c r="AA111" s="16">
        <f t="shared" si="22"/>
        <v>43127</v>
      </c>
      <c r="AB111" s="21">
        <v>5682</v>
      </c>
      <c r="AC111" s="21">
        <f t="shared" si="23"/>
        <v>7953</v>
      </c>
      <c r="AD111" s="21">
        <f t="shared" si="24"/>
        <v>8950</v>
      </c>
      <c r="AE111" s="21">
        <f t="shared" si="25"/>
        <v>9450</v>
      </c>
      <c r="AF111" s="21">
        <f t="shared" si="26"/>
        <v>10350</v>
      </c>
      <c r="AK111" s="16"/>
      <c r="AL111" s="17"/>
      <c r="AN111" s="16"/>
    </row>
    <row r="112" spans="2:40" x14ac:dyDescent="0.4">
      <c r="B112" s="6">
        <f t="shared" si="14"/>
        <v>43120</v>
      </c>
      <c r="C112" s="8">
        <f t="shared" si="15"/>
        <v>347.35600000000011</v>
      </c>
      <c r="D112" s="5">
        <f t="shared" si="16"/>
        <v>1454.8150000000001</v>
      </c>
      <c r="E112" s="5">
        <f t="shared" si="17"/>
        <v>1894.8150000000001</v>
      </c>
      <c r="F112" s="5">
        <f t="shared" si="18"/>
        <v>2794.8150000000001</v>
      </c>
      <c r="H112" s="6"/>
      <c r="I112" s="11">
        <v>42756</v>
      </c>
      <c r="J112" s="9">
        <v>516.21</v>
      </c>
      <c r="K112" s="9">
        <v>878.202</v>
      </c>
      <c r="O112" s="11">
        <v>43134</v>
      </c>
      <c r="P112" s="9">
        <v>0</v>
      </c>
      <c r="Q112" s="9">
        <v>7874</v>
      </c>
      <c r="R112" s="9">
        <v>8785</v>
      </c>
      <c r="S112" s="9">
        <v>9255</v>
      </c>
      <c r="T112" s="31">
        <v>10200</v>
      </c>
      <c r="W112" s="16">
        <f t="shared" si="19"/>
        <v>42756</v>
      </c>
      <c r="X112" s="9">
        <f t="shared" si="20"/>
        <v>516.21</v>
      </c>
      <c r="Y112" s="9">
        <f t="shared" si="21"/>
        <v>878.202</v>
      </c>
      <c r="AA112" s="16">
        <f t="shared" si="22"/>
        <v>43134</v>
      </c>
      <c r="AB112" s="21">
        <v>5646.6</v>
      </c>
      <c r="AC112" s="21">
        <f t="shared" si="23"/>
        <v>7874</v>
      </c>
      <c r="AD112" s="21">
        <f t="shared" si="24"/>
        <v>8785</v>
      </c>
      <c r="AE112" s="21">
        <f t="shared" si="25"/>
        <v>9255</v>
      </c>
      <c r="AF112" s="21">
        <f t="shared" si="26"/>
        <v>10200</v>
      </c>
      <c r="AK112" s="16"/>
      <c r="AL112" s="17"/>
      <c r="AN112" s="16"/>
    </row>
    <row r="113" spans="2:40" x14ac:dyDescent="0.4">
      <c r="B113" s="6">
        <f t="shared" si="14"/>
        <v>43127</v>
      </c>
      <c r="C113" s="8">
        <f t="shared" si="15"/>
        <v>375.69999999999993</v>
      </c>
      <c r="D113" s="5">
        <f t="shared" si="16"/>
        <v>1427.6350000000002</v>
      </c>
      <c r="E113" s="5">
        <f t="shared" si="17"/>
        <v>1927.6350000000002</v>
      </c>
      <c r="F113" s="5">
        <f t="shared" si="18"/>
        <v>2827.6350000000002</v>
      </c>
      <c r="H113" s="6"/>
      <c r="I113" s="11">
        <v>42763</v>
      </c>
      <c r="J113" s="9">
        <v>523.23</v>
      </c>
      <c r="K113" s="9">
        <v>907.86599999999999</v>
      </c>
      <c r="O113" s="11">
        <v>43141</v>
      </c>
      <c r="P113" s="9">
        <v>0</v>
      </c>
      <c r="Q113" s="9">
        <v>7895</v>
      </c>
      <c r="R113" s="9">
        <v>8745</v>
      </c>
      <c r="S113" s="9">
        <v>9175</v>
      </c>
      <c r="T113" s="31">
        <v>10170</v>
      </c>
      <c r="W113" s="16">
        <f t="shared" si="19"/>
        <v>42763</v>
      </c>
      <c r="X113" s="9">
        <f t="shared" si="20"/>
        <v>523.23</v>
      </c>
      <c r="Y113" s="9">
        <f t="shared" si="21"/>
        <v>907.86599999999999</v>
      </c>
      <c r="AA113" s="16">
        <f t="shared" si="22"/>
        <v>43141</v>
      </c>
      <c r="AB113" s="21">
        <v>5616</v>
      </c>
      <c r="AC113" s="21">
        <f t="shared" si="23"/>
        <v>7895</v>
      </c>
      <c r="AD113" s="21">
        <f t="shared" si="24"/>
        <v>8745</v>
      </c>
      <c r="AE113" s="21">
        <f t="shared" si="25"/>
        <v>9175</v>
      </c>
      <c r="AF113" s="21">
        <f t="shared" si="26"/>
        <v>10170</v>
      </c>
      <c r="AK113" s="16"/>
      <c r="AL113" s="17"/>
      <c r="AN113" s="16"/>
    </row>
    <row r="114" spans="2:40" x14ac:dyDescent="0.4">
      <c r="B114" s="6">
        <f t="shared" si="14"/>
        <v>43134</v>
      </c>
      <c r="C114" s="8">
        <f t="shared" si="15"/>
        <v>384.51599999999996</v>
      </c>
      <c r="D114" s="5">
        <f t="shared" si="16"/>
        <v>1319.3670000000002</v>
      </c>
      <c r="E114" s="5">
        <f t="shared" si="17"/>
        <v>1789.3670000000002</v>
      </c>
      <c r="F114" s="5">
        <f t="shared" si="18"/>
        <v>2734.3670000000002</v>
      </c>
      <c r="H114" s="6"/>
      <c r="I114" s="11">
        <v>42770</v>
      </c>
      <c r="J114" s="9">
        <v>525.79250000000002</v>
      </c>
      <c r="K114" s="9">
        <v>911.74749999999995</v>
      </c>
      <c r="O114" s="11">
        <v>43155</v>
      </c>
      <c r="P114" s="9">
        <v>0</v>
      </c>
      <c r="Q114" s="9">
        <v>7985</v>
      </c>
      <c r="R114" s="9">
        <v>8766.6666666666661</v>
      </c>
      <c r="S114" s="9">
        <v>9231.6666666666661</v>
      </c>
      <c r="T114" s="31">
        <v>10175</v>
      </c>
      <c r="W114" s="16">
        <f t="shared" si="19"/>
        <v>42770</v>
      </c>
      <c r="X114" s="9">
        <f t="shared" si="20"/>
        <v>525.79250000000002</v>
      </c>
      <c r="Y114" s="9">
        <f t="shared" si="21"/>
        <v>911.74749999999995</v>
      </c>
      <c r="AA114" s="16">
        <f t="shared" si="22"/>
        <v>43155</v>
      </c>
      <c r="AB114" s="21">
        <v>5901</v>
      </c>
      <c r="AC114" s="21">
        <f t="shared" si="23"/>
        <v>7985</v>
      </c>
      <c r="AD114" s="21">
        <f t="shared" si="24"/>
        <v>8766.6666666666661</v>
      </c>
      <c r="AE114" s="21">
        <f t="shared" si="25"/>
        <v>9231.6666666666661</v>
      </c>
      <c r="AF114" s="21">
        <f t="shared" si="26"/>
        <v>10175</v>
      </c>
      <c r="AK114" s="16"/>
      <c r="AL114" s="17"/>
      <c r="AN114" s="16"/>
    </row>
    <row r="115" spans="2:40" x14ac:dyDescent="0.4">
      <c r="B115" s="6">
        <f t="shared" si="14"/>
        <v>43141</v>
      </c>
      <c r="C115" s="8">
        <f t="shared" si="15"/>
        <v>400.13</v>
      </c>
      <c r="D115" s="5">
        <f t="shared" si="16"/>
        <v>1298.4949999999994</v>
      </c>
      <c r="E115" s="5">
        <f t="shared" si="17"/>
        <v>1728.4949999999994</v>
      </c>
      <c r="F115" s="5">
        <f t="shared" si="18"/>
        <v>2723.4949999999994</v>
      </c>
      <c r="H115" s="6"/>
      <c r="I115" s="11">
        <v>42777</v>
      </c>
      <c r="J115" s="9">
        <v>526.83000000000004</v>
      </c>
      <c r="K115" s="9">
        <v>922.77</v>
      </c>
      <c r="O115" s="11">
        <v>43162</v>
      </c>
      <c r="P115" s="9">
        <v>0</v>
      </c>
      <c r="Q115" s="9">
        <v>8009</v>
      </c>
      <c r="R115" s="9">
        <v>8864</v>
      </c>
      <c r="S115" s="9">
        <v>9344</v>
      </c>
      <c r="T115" s="31">
        <v>10480</v>
      </c>
      <c r="W115" s="16">
        <f t="shared" si="19"/>
        <v>42777</v>
      </c>
      <c r="X115" s="9">
        <f t="shared" si="20"/>
        <v>526.83000000000004</v>
      </c>
      <c r="Y115" s="9">
        <f t="shared" si="21"/>
        <v>922.77</v>
      </c>
      <c r="AA115" s="16">
        <f t="shared" si="22"/>
        <v>43162</v>
      </c>
      <c r="AB115" s="21">
        <v>5949</v>
      </c>
      <c r="AC115" s="21">
        <f t="shared" si="23"/>
        <v>8009</v>
      </c>
      <c r="AD115" s="21">
        <f t="shared" si="24"/>
        <v>8864</v>
      </c>
      <c r="AE115" s="21">
        <f t="shared" si="25"/>
        <v>9344</v>
      </c>
      <c r="AF115" s="21">
        <f t="shared" si="26"/>
        <v>10480</v>
      </c>
      <c r="AK115" s="16"/>
      <c r="AL115" s="17"/>
      <c r="AN115" s="16"/>
    </row>
    <row r="116" spans="2:40" x14ac:dyDescent="0.4">
      <c r="B116" s="6">
        <f t="shared" si="14"/>
        <v>43148</v>
      </c>
      <c r="C116" s="8">
        <f t="shared" si="15"/>
        <v>406.88350000000003</v>
      </c>
      <c r="D116" s="5">
        <f t="shared" si="16"/>
        <v>1298.4949999999994</v>
      </c>
      <c r="E116" s="5">
        <f t="shared" si="17"/>
        <v>1728.4949999999994</v>
      </c>
      <c r="F116" s="5">
        <f t="shared" si="18"/>
        <v>2723.4949999999994</v>
      </c>
      <c r="H116" s="6"/>
      <c r="I116" s="11">
        <v>42784</v>
      </c>
      <c r="J116" s="9">
        <v>530.53200000000004</v>
      </c>
      <c r="K116" s="9">
        <v>917.23599999999999</v>
      </c>
      <c r="O116" s="11">
        <v>43169</v>
      </c>
      <c r="P116" s="9">
        <v>0</v>
      </c>
      <c r="Q116" s="9">
        <v>7435</v>
      </c>
      <c r="R116" s="9">
        <v>8838</v>
      </c>
      <c r="S116" s="9">
        <v>9339</v>
      </c>
      <c r="T116" s="31">
        <v>10480</v>
      </c>
      <c r="W116" s="16">
        <f t="shared" si="19"/>
        <v>42784</v>
      </c>
      <c r="X116" s="9">
        <f t="shared" si="20"/>
        <v>530.53200000000004</v>
      </c>
      <c r="Y116" s="9">
        <f t="shared" si="21"/>
        <v>917.23599999999999</v>
      </c>
      <c r="AA116" s="16">
        <f t="shared" si="22"/>
        <v>43169</v>
      </c>
      <c r="AB116" s="21">
        <v>5872</v>
      </c>
      <c r="AC116" s="21">
        <f t="shared" si="23"/>
        <v>7435</v>
      </c>
      <c r="AD116" s="21">
        <f t="shared" si="24"/>
        <v>8838</v>
      </c>
      <c r="AE116" s="21">
        <f t="shared" si="25"/>
        <v>9339</v>
      </c>
      <c r="AF116" s="21">
        <f t="shared" si="26"/>
        <v>10480</v>
      </c>
      <c r="AK116" s="16"/>
      <c r="AL116" s="17"/>
      <c r="AN116" s="16"/>
    </row>
    <row r="117" spans="2:40" x14ac:dyDescent="0.4">
      <c r="B117" s="6">
        <f t="shared" si="14"/>
        <v>43155</v>
      </c>
      <c r="C117" s="8">
        <f t="shared" si="15"/>
        <v>414.42600000000004</v>
      </c>
      <c r="D117" s="5">
        <f t="shared" si="16"/>
        <v>1046.3366666666661</v>
      </c>
      <c r="E117" s="5">
        <f t="shared" si="17"/>
        <v>1511.3366666666661</v>
      </c>
      <c r="F117" s="5">
        <f t="shared" si="18"/>
        <v>2454.67</v>
      </c>
      <c r="H117" s="6"/>
      <c r="I117" s="11">
        <v>42791</v>
      </c>
      <c r="J117" s="9">
        <v>515.38</v>
      </c>
      <c r="K117" s="9">
        <v>914.8</v>
      </c>
      <c r="O117" s="11">
        <v>43176</v>
      </c>
      <c r="P117" s="9">
        <v>0</v>
      </c>
      <c r="Q117" s="9">
        <v>6965</v>
      </c>
      <c r="R117" s="9">
        <v>8750</v>
      </c>
      <c r="S117" s="9">
        <v>9275</v>
      </c>
      <c r="T117" s="31">
        <v>10280</v>
      </c>
      <c r="W117" s="16">
        <f t="shared" si="19"/>
        <v>42791</v>
      </c>
      <c r="X117" s="9">
        <f t="shared" si="20"/>
        <v>515.38</v>
      </c>
      <c r="Y117" s="9">
        <f t="shared" si="21"/>
        <v>914.8</v>
      </c>
      <c r="AA117" s="16">
        <f t="shared" si="22"/>
        <v>43176</v>
      </c>
      <c r="AB117" s="21">
        <v>5658.6</v>
      </c>
      <c r="AC117" s="21">
        <f t="shared" si="23"/>
        <v>6965</v>
      </c>
      <c r="AD117" s="21">
        <f t="shared" si="24"/>
        <v>8750</v>
      </c>
      <c r="AE117" s="21">
        <f t="shared" si="25"/>
        <v>9275</v>
      </c>
      <c r="AF117" s="21">
        <f t="shared" si="26"/>
        <v>10280</v>
      </c>
      <c r="AK117" s="16"/>
      <c r="AL117" s="17"/>
      <c r="AN117" s="16"/>
    </row>
    <row r="118" spans="2:40" x14ac:dyDescent="0.4">
      <c r="B118" s="6">
        <f t="shared" si="14"/>
        <v>43162</v>
      </c>
      <c r="C118" s="8">
        <f t="shared" si="15"/>
        <v>410.97</v>
      </c>
      <c r="D118" s="5">
        <f t="shared" si="16"/>
        <v>1094.5900000000001</v>
      </c>
      <c r="E118" s="5">
        <f t="shared" si="17"/>
        <v>1574.5900000000001</v>
      </c>
      <c r="F118" s="5">
        <f t="shared" si="18"/>
        <v>2710.59</v>
      </c>
      <c r="H118" s="6"/>
      <c r="I118" s="11">
        <v>42798</v>
      </c>
      <c r="J118" s="9">
        <v>500.98200000000003</v>
      </c>
      <c r="K118" s="9">
        <v>911.298</v>
      </c>
      <c r="O118" s="11">
        <v>43183</v>
      </c>
      <c r="P118" s="9">
        <v>0</v>
      </c>
      <c r="Q118" s="9">
        <v>6947</v>
      </c>
      <c r="R118" s="9">
        <v>8800</v>
      </c>
      <c r="S118" s="9">
        <v>9345</v>
      </c>
      <c r="T118" s="31">
        <v>10295</v>
      </c>
      <c r="W118" s="16">
        <f t="shared" si="19"/>
        <v>42798</v>
      </c>
      <c r="X118" s="9">
        <f t="shared" si="20"/>
        <v>500.98200000000003</v>
      </c>
      <c r="Y118" s="9">
        <f t="shared" si="21"/>
        <v>911.298</v>
      </c>
      <c r="AA118" s="16">
        <f t="shared" si="22"/>
        <v>43183</v>
      </c>
      <c r="AB118" s="21">
        <v>5565</v>
      </c>
      <c r="AC118" s="21">
        <f t="shared" si="23"/>
        <v>6947</v>
      </c>
      <c r="AD118" s="21">
        <f t="shared" si="24"/>
        <v>8800</v>
      </c>
      <c r="AE118" s="21">
        <f t="shared" si="25"/>
        <v>9345</v>
      </c>
      <c r="AF118" s="21">
        <f t="shared" si="26"/>
        <v>10295</v>
      </c>
      <c r="AK118" s="16"/>
      <c r="AL118" s="17"/>
      <c r="AN118" s="16"/>
    </row>
    <row r="119" spans="2:40" x14ac:dyDescent="0.4">
      <c r="B119" s="6">
        <f t="shared" si="14"/>
        <v>43169</v>
      </c>
      <c r="C119" s="8">
        <f t="shared" si="15"/>
        <v>398.00800000000004</v>
      </c>
      <c r="D119" s="5">
        <f t="shared" si="16"/>
        <v>1326.7150000000001</v>
      </c>
      <c r="E119" s="5">
        <f t="shared" si="17"/>
        <v>1827.7150000000001</v>
      </c>
      <c r="F119" s="5">
        <f t="shared" si="18"/>
        <v>2968.7150000000001</v>
      </c>
      <c r="H119" s="6"/>
      <c r="I119" s="11">
        <v>42805</v>
      </c>
      <c r="J119" s="9">
        <v>478.65800000000002</v>
      </c>
      <c r="K119" s="9">
        <v>890.93399999999997</v>
      </c>
      <c r="O119" s="11">
        <v>43190</v>
      </c>
      <c r="P119" s="9">
        <v>0</v>
      </c>
      <c r="Q119" s="9">
        <v>7179</v>
      </c>
      <c r="R119" s="9">
        <v>8865</v>
      </c>
      <c r="S119" s="9">
        <v>9375</v>
      </c>
      <c r="T119" s="31">
        <v>10350</v>
      </c>
      <c r="W119" s="16">
        <f t="shared" si="19"/>
        <v>42805</v>
      </c>
      <c r="X119" s="9">
        <f t="shared" si="20"/>
        <v>478.65800000000002</v>
      </c>
      <c r="Y119" s="9">
        <f t="shared" si="21"/>
        <v>890.93399999999997</v>
      </c>
      <c r="AA119" s="16">
        <f t="shared" si="22"/>
        <v>43190</v>
      </c>
      <c r="AB119" s="21">
        <v>5449.6</v>
      </c>
      <c r="AC119" s="21">
        <f t="shared" si="23"/>
        <v>7179</v>
      </c>
      <c r="AD119" s="21">
        <f t="shared" si="24"/>
        <v>8865</v>
      </c>
      <c r="AE119" s="21">
        <f t="shared" si="25"/>
        <v>9375</v>
      </c>
      <c r="AF119" s="21">
        <f t="shared" si="26"/>
        <v>10350</v>
      </c>
      <c r="AK119" s="16"/>
      <c r="AL119" s="17"/>
      <c r="AN119" s="16"/>
    </row>
    <row r="120" spans="2:40" x14ac:dyDescent="0.4">
      <c r="B120" s="6">
        <f t="shared" si="14"/>
        <v>43176</v>
      </c>
      <c r="C120" s="8">
        <f t="shared" si="15"/>
        <v>381.48599999999999</v>
      </c>
      <c r="D120" s="5">
        <f t="shared" si="16"/>
        <v>1578.6219999999998</v>
      </c>
      <c r="E120" s="5">
        <f t="shared" si="17"/>
        <v>2103.6219999999998</v>
      </c>
      <c r="F120" s="5">
        <f t="shared" si="18"/>
        <v>3108.6219999999998</v>
      </c>
      <c r="H120" s="6"/>
      <c r="I120" s="11">
        <v>42812</v>
      </c>
      <c r="J120" s="9">
        <v>460.73399999999998</v>
      </c>
      <c r="K120" s="9">
        <v>866.03399999999999</v>
      </c>
      <c r="O120" s="11">
        <v>43197</v>
      </c>
      <c r="P120" s="9">
        <v>0</v>
      </c>
      <c r="Q120" s="9">
        <v>7455</v>
      </c>
      <c r="R120" s="9">
        <v>8875</v>
      </c>
      <c r="S120" s="9">
        <v>9375</v>
      </c>
      <c r="T120" s="31">
        <v>10416.666666666666</v>
      </c>
      <c r="W120" s="16">
        <f t="shared" si="19"/>
        <v>42812</v>
      </c>
      <c r="X120" s="9">
        <f t="shared" si="20"/>
        <v>460.73399999999998</v>
      </c>
      <c r="Y120" s="9">
        <f t="shared" si="21"/>
        <v>866.03399999999999</v>
      </c>
      <c r="AA120" s="16">
        <f t="shared" si="22"/>
        <v>43197</v>
      </c>
      <c r="AB120" s="21">
        <v>5465</v>
      </c>
      <c r="AC120" s="21">
        <f t="shared" si="23"/>
        <v>7455</v>
      </c>
      <c r="AD120" s="21">
        <f t="shared" si="24"/>
        <v>8875</v>
      </c>
      <c r="AE120" s="21">
        <f t="shared" si="25"/>
        <v>9375</v>
      </c>
      <c r="AF120" s="21">
        <f t="shared" si="26"/>
        <v>10416.666666666666</v>
      </c>
      <c r="AK120" s="16"/>
      <c r="AL120" s="17"/>
      <c r="AN120" s="16"/>
    </row>
    <row r="121" spans="2:40" x14ac:dyDescent="0.4">
      <c r="B121" s="6">
        <f t="shared" si="14"/>
        <v>43183</v>
      </c>
      <c r="C121" s="8">
        <f t="shared" si="15"/>
        <v>359.74400000000003</v>
      </c>
      <c r="D121" s="5">
        <f t="shared" si="16"/>
        <v>1714.6799999999998</v>
      </c>
      <c r="E121" s="5">
        <f t="shared" si="17"/>
        <v>2259.6799999999998</v>
      </c>
      <c r="F121" s="5">
        <f t="shared" si="18"/>
        <v>3209.68</v>
      </c>
      <c r="H121" s="6"/>
      <c r="I121" s="11">
        <v>42819</v>
      </c>
      <c r="J121" s="9">
        <v>457.20800000000003</v>
      </c>
      <c r="K121" s="9">
        <v>857.63599999999997</v>
      </c>
      <c r="O121" s="11">
        <v>43204</v>
      </c>
      <c r="P121" s="9">
        <v>0</v>
      </c>
      <c r="Q121" s="9">
        <v>8053.333333333333</v>
      </c>
      <c r="R121" s="9">
        <v>8970.8333333333339</v>
      </c>
      <c r="S121" s="9">
        <v>9491.6666666666661</v>
      </c>
      <c r="T121" s="31">
        <v>10525</v>
      </c>
      <c r="W121" s="16">
        <f t="shared" si="19"/>
        <v>42819</v>
      </c>
      <c r="X121" s="9">
        <f t="shared" si="20"/>
        <v>457.20800000000003</v>
      </c>
      <c r="Y121" s="9">
        <f t="shared" si="21"/>
        <v>857.63599999999997</v>
      </c>
      <c r="AA121" s="16">
        <f t="shared" si="22"/>
        <v>43204</v>
      </c>
      <c r="AB121" s="21">
        <v>5452.5</v>
      </c>
      <c r="AC121" s="21">
        <f t="shared" si="23"/>
        <v>8053.333333333333</v>
      </c>
      <c r="AD121" s="21">
        <f t="shared" si="24"/>
        <v>8970.8333333333339</v>
      </c>
      <c r="AE121" s="21">
        <f t="shared" si="25"/>
        <v>9491.6666666666661</v>
      </c>
      <c r="AF121" s="21">
        <f t="shared" si="26"/>
        <v>10525</v>
      </c>
      <c r="AK121" s="16"/>
      <c r="AL121" s="17"/>
      <c r="AN121" s="16"/>
    </row>
    <row r="122" spans="2:40" x14ac:dyDescent="0.4">
      <c r="B122" s="6">
        <f t="shared" si="14"/>
        <v>43190</v>
      </c>
      <c r="C122" s="8">
        <f t="shared" si="15"/>
        <v>333.10250000000008</v>
      </c>
      <c r="D122" s="5">
        <f t="shared" si="16"/>
        <v>1800.6269999999995</v>
      </c>
      <c r="E122" s="5">
        <f t="shared" si="17"/>
        <v>2310.6269999999995</v>
      </c>
      <c r="F122" s="5">
        <f t="shared" si="18"/>
        <v>3285.6269999999995</v>
      </c>
      <c r="H122" s="6"/>
      <c r="I122" s="11">
        <v>42826</v>
      </c>
      <c r="J122" s="9">
        <v>462.43400000000003</v>
      </c>
      <c r="K122" s="9">
        <v>834.66800000000001</v>
      </c>
      <c r="O122" s="11">
        <v>43211</v>
      </c>
      <c r="P122" s="9">
        <v>0</v>
      </c>
      <c r="Q122" s="9">
        <v>8575</v>
      </c>
      <c r="R122" s="9">
        <v>9140</v>
      </c>
      <c r="S122" s="9">
        <v>9658</v>
      </c>
      <c r="T122" s="31">
        <v>10720</v>
      </c>
      <c r="W122" s="16">
        <f t="shared" si="19"/>
        <v>42826</v>
      </c>
      <c r="X122" s="9">
        <f t="shared" si="20"/>
        <v>462.43400000000003</v>
      </c>
      <c r="Y122" s="9">
        <f t="shared" si="21"/>
        <v>834.66800000000001</v>
      </c>
      <c r="AA122" s="16">
        <f t="shared" si="22"/>
        <v>43211</v>
      </c>
      <c r="AB122" s="21">
        <v>5536</v>
      </c>
      <c r="AC122" s="21">
        <f t="shared" si="23"/>
        <v>8575</v>
      </c>
      <c r="AD122" s="21">
        <f t="shared" si="24"/>
        <v>9140</v>
      </c>
      <c r="AE122" s="21">
        <f t="shared" si="25"/>
        <v>9658</v>
      </c>
      <c r="AF122" s="21">
        <f t="shared" si="26"/>
        <v>10720</v>
      </c>
      <c r="AK122" s="16"/>
      <c r="AL122" s="17"/>
      <c r="AN122" s="16"/>
    </row>
    <row r="123" spans="2:40" x14ac:dyDescent="0.4">
      <c r="B123" s="6">
        <f t="shared" si="14"/>
        <v>43197</v>
      </c>
      <c r="C123" s="8">
        <f t="shared" si="15"/>
        <v>349.5200000000001</v>
      </c>
      <c r="D123" s="5">
        <f t="shared" si="16"/>
        <v>1705</v>
      </c>
      <c r="E123" s="5">
        <f t="shared" si="17"/>
        <v>2205</v>
      </c>
      <c r="F123" s="5">
        <f t="shared" si="18"/>
        <v>3246.6666666666661</v>
      </c>
      <c r="H123" s="6"/>
      <c r="I123" s="11">
        <v>42833</v>
      </c>
      <c r="J123" s="9">
        <v>484.608</v>
      </c>
      <c r="K123" s="9">
        <v>861.66600000000005</v>
      </c>
      <c r="O123" s="11">
        <v>43218</v>
      </c>
      <c r="P123" s="9">
        <v>0</v>
      </c>
      <c r="Q123" s="9">
        <v>8130</v>
      </c>
      <c r="R123" s="9">
        <v>9250</v>
      </c>
      <c r="S123" s="9">
        <v>9726.6666666666661</v>
      </c>
      <c r="T123" s="31">
        <v>10858.333333333334</v>
      </c>
      <c r="W123" s="16">
        <f t="shared" si="19"/>
        <v>42833</v>
      </c>
      <c r="X123" s="9">
        <f t="shared" si="20"/>
        <v>484.608</v>
      </c>
      <c r="Y123" s="9">
        <f t="shared" si="21"/>
        <v>861.66600000000005</v>
      </c>
      <c r="AA123" s="16">
        <f t="shared" si="22"/>
        <v>43218</v>
      </c>
      <c r="AB123" s="21">
        <v>5589</v>
      </c>
      <c r="AC123" s="21">
        <f t="shared" si="23"/>
        <v>8130</v>
      </c>
      <c r="AD123" s="21">
        <f t="shared" si="24"/>
        <v>9250</v>
      </c>
      <c r="AE123" s="21">
        <f t="shared" si="25"/>
        <v>9726.6666666666661</v>
      </c>
      <c r="AF123" s="21">
        <f t="shared" si="26"/>
        <v>10858.333333333334</v>
      </c>
      <c r="AK123" s="16"/>
      <c r="AL123" s="17"/>
      <c r="AN123" s="16"/>
    </row>
    <row r="124" spans="2:40" x14ac:dyDescent="0.4">
      <c r="B124" s="6">
        <f t="shared" si="14"/>
        <v>43204</v>
      </c>
      <c r="C124" s="8">
        <f t="shared" si="15"/>
        <v>341.61800000000005</v>
      </c>
      <c r="D124" s="5">
        <f t="shared" si="16"/>
        <v>1611.0791666666673</v>
      </c>
      <c r="E124" s="5">
        <f t="shared" si="17"/>
        <v>2131.9124999999995</v>
      </c>
      <c r="F124" s="5">
        <f t="shared" si="18"/>
        <v>3165.2458333333334</v>
      </c>
      <c r="H124" s="6"/>
      <c r="I124" s="11">
        <v>42840</v>
      </c>
      <c r="J124" s="9">
        <v>497.7475</v>
      </c>
      <c r="K124" s="9">
        <v>849.41750000000002</v>
      </c>
      <c r="O124" s="11">
        <v>43225</v>
      </c>
      <c r="P124" s="9">
        <v>0</v>
      </c>
      <c r="Q124" s="9">
        <v>7756.666666666667</v>
      </c>
      <c r="R124" s="9">
        <v>9250</v>
      </c>
      <c r="S124" s="9">
        <v>9730</v>
      </c>
      <c r="T124" s="31">
        <v>10875</v>
      </c>
      <c r="W124" s="16">
        <f t="shared" si="19"/>
        <v>42840</v>
      </c>
      <c r="X124" s="9">
        <f t="shared" si="20"/>
        <v>497.7475</v>
      </c>
      <c r="Y124" s="9">
        <f t="shared" si="21"/>
        <v>849.41750000000002</v>
      </c>
      <c r="AA124" s="16">
        <f t="shared" si="22"/>
        <v>43225</v>
      </c>
      <c r="AB124" s="21">
        <v>5603.333333333333</v>
      </c>
      <c r="AC124" s="21">
        <f t="shared" si="23"/>
        <v>7756.666666666667</v>
      </c>
      <c r="AD124" s="21">
        <f t="shared" si="24"/>
        <v>9250</v>
      </c>
      <c r="AE124" s="21">
        <f t="shared" si="25"/>
        <v>9730</v>
      </c>
      <c r="AF124" s="21">
        <f t="shared" si="26"/>
        <v>10875</v>
      </c>
      <c r="AK124" s="16"/>
      <c r="AL124" s="17"/>
      <c r="AN124" s="16"/>
    </row>
    <row r="125" spans="2:40" x14ac:dyDescent="0.4">
      <c r="B125" s="6">
        <f t="shared" si="14"/>
        <v>43211</v>
      </c>
      <c r="C125" s="8">
        <f t="shared" si="15"/>
        <v>347.44400000000007</v>
      </c>
      <c r="D125" s="5">
        <f t="shared" si="16"/>
        <v>1534.0950000000003</v>
      </c>
      <c r="E125" s="5">
        <f t="shared" si="17"/>
        <v>2052.0950000000003</v>
      </c>
      <c r="F125" s="5">
        <f t="shared" si="18"/>
        <v>3114.0950000000003</v>
      </c>
      <c r="H125" s="6"/>
      <c r="I125" s="11">
        <v>42847</v>
      </c>
      <c r="J125" s="9">
        <v>484.98200000000003</v>
      </c>
      <c r="K125" s="9">
        <v>838.76800000000003</v>
      </c>
      <c r="O125" s="11">
        <v>43232</v>
      </c>
      <c r="P125" s="9">
        <v>0</v>
      </c>
      <c r="Q125" s="9">
        <v>7411</v>
      </c>
      <c r="R125" s="9">
        <v>9290</v>
      </c>
      <c r="S125" s="9">
        <v>9746</v>
      </c>
      <c r="T125" s="31">
        <v>10875</v>
      </c>
      <c r="W125" s="16">
        <f t="shared" si="19"/>
        <v>42847</v>
      </c>
      <c r="X125" s="9">
        <f t="shared" si="20"/>
        <v>484.98200000000003</v>
      </c>
      <c r="Y125" s="9">
        <f t="shared" si="21"/>
        <v>838.76800000000003</v>
      </c>
      <c r="AA125" s="16">
        <f t="shared" si="22"/>
        <v>43232</v>
      </c>
      <c r="AB125" s="21">
        <v>5693</v>
      </c>
      <c r="AC125" s="21">
        <f t="shared" si="23"/>
        <v>7411</v>
      </c>
      <c r="AD125" s="21">
        <f t="shared" si="24"/>
        <v>9290</v>
      </c>
      <c r="AE125" s="21">
        <f t="shared" si="25"/>
        <v>9746</v>
      </c>
      <c r="AF125" s="21">
        <f t="shared" si="26"/>
        <v>10875</v>
      </c>
      <c r="AK125" s="16"/>
      <c r="AL125" s="17"/>
      <c r="AN125" s="16"/>
    </row>
    <row r="126" spans="2:40" x14ac:dyDescent="0.4">
      <c r="B126" s="6">
        <f t="shared" si="14"/>
        <v>43218</v>
      </c>
      <c r="C126" s="8">
        <f t="shared" si="15"/>
        <v>345.80600000000004</v>
      </c>
      <c r="D126" s="5">
        <f t="shared" si="16"/>
        <v>1747.8549999999996</v>
      </c>
      <c r="E126" s="5">
        <f t="shared" si="17"/>
        <v>2224.5216666666656</v>
      </c>
      <c r="F126" s="5">
        <f t="shared" si="18"/>
        <v>3356.1883333333335</v>
      </c>
      <c r="H126" s="6"/>
      <c r="I126" s="11">
        <v>42854</v>
      </c>
      <c r="J126" s="9">
        <v>466.05599999999998</v>
      </c>
      <c r="K126" s="9">
        <v>822.6</v>
      </c>
      <c r="O126" s="11">
        <v>43239</v>
      </c>
      <c r="P126" s="9">
        <v>0</v>
      </c>
      <c r="Q126" s="9">
        <v>7212</v>
      </c>
      <c r="R126" s="9">
        <v>9340</v>
      </c>
      <c r="S126" s="9">
        <v>9750</v>
      </c>
      <c r="T126" s="31">
        <v>10875</v>
      </c>
      <c r="W126" s="16">
        <f t="shared" si="19"/>
        <v>42854</v>
      </c>
      <c r="X126" s="9">
        <f t="shared" si="20"/>
        <v>466.05599999999998</v>
      </c>
      <c r="Y126" s="9">
        <f t="shared" si="21"/>
        <v>822.6</v>
      </c>
      <c r="AA126" s="16">
        <f t="shared" si="22"/>
        <v>43239</v>
      </c>
      <c r="AB126" s="21">
        <v>5833.4</v>
      </c>
      <c r="AC126" s="21">
        <f t="shared" si="23"/>
        <v>7212</v>
      </c>
      <c r="AD126" s="21">
        <f t="shared" si="24"/>
        <v>9340</v>
      </c>
      <c r="AE126" s="21">
        <f t="shared" si="25"/>
        <v>9750</v>
      </c>
      <c r="AF126" s="21">
        <f t="shared" si="26"/>
        <v>10875</v>
      </c>
      <c r="AK126" s="16"/>
      <c r="AL126" s="17"/>
      <c r="AN126" s="16"/>
    </row>
    <row r="127" spans="2:40" x14ac:dyDescent="0.4">
      <c r="B127" s="6">
        <f t="shared" si="14"/>
        <v>43225</v>
      </c>
      <c r="C127" s="8">
        <f t="shared" si="15"/>
        <v>338.23799999999994</v>
      </c>
      <c r="D127" s="5">
        <f t="shared" si="16"/>
        <v>1860.666666666667</v>
      </c>
      <c r="E127" s="5">
        <f t="shared" si="17"/>
        <v>2340.666666666667</v>
      </c>
      <c r="F127" s="5">
        <f t="shared" si="18"/>
        <v>3485.666666666667</v>
      </c>
      <c r="H127" s="6"/>
      <c r="I127" s="11">
        <v>42861</v>
      </c>
      <c r="J127" s="9">
        <v>442.26499999999999</v>
      </c>
      <c r="K127" s="9">
        <v>812.08</v>
      </c>
      <c r="O127" s="11">
        <v>43246</v>
      </c>
      <c r="P127" s="9">
        <v>0</v>
      </c>
      <c r="Q127" s="9">
        <v>7070</v>
      </c>
      <c r="R127" s="9">
        <v>9210</v>
      </c>
      <c r="S127" s="9">
        <v>9692</v>
      </c>
      <c r="T127" s="31">
        <v>10815</v>
      </c>
      <c r="W127" s="16">
        <f t="shared" si="19"/>
        <v>42861</v>
      </c>
      <c r="X127" s="9">
        <f t="shared" si="20"/>
        <v>442.26499999999999</v>
      </c>
      <c r="Y127" s="9">
        <f t="shared" si="21"/>
        <v>812.08</v>
      </c>
      <c r="AA127" s="16">
        <f t="shared" si="22"/>
        <v>43246</v>
      </c>
      <c r="AB127" s="21">
        <v>5793</v>
      </c>
      <c r="AC127" s="21">
        <f t="shared" si="23"/>
        <v>7070</v>
      </c>
      <c r="AD127" s="21">
        <f t="shared" si="24"/>
        <v>9210</v>
      </c>
      <c r="AE127" s="21">
        <f t="shared" si="25"/>
        <v>9692</v>
      </c>
      <c r="AF127" s="21">
        <f t="shared" si="26"/>
        <v>10815</v>
      </c>
      <c r="AK127" s="16"/>
      <c r="AL127" s="17"/>
      <c r="AN127" s="16"/>
    </row>
    <row r="128" spans="2:40" x14ac:dyDescent="0.4">
      <c r="B128" s="6">
        <f t="shared" si="14"/>
        <v>43232</v>
      </c>
      <c r="C128" s="8">
        <f t="shared" si="15"/>
        <v>331.73400000000004</v>
      </c>
      <c r="D128" s="5">
        <f t="shared" si="16"/>
        <v>1939.7999999999997</v>
      </c>
      <c r="E128" s="5">
        <f t="shared" si="17"/>
        <v>2395.7999999999997</v>
      </c>
      <c r="F128" s="5">
        <f t="shared" si="18"/>
        <v>3524.7999999999997</v>
      </c>
      <c r="H128" s="6"/>
      <c r="I128" s="11">
        <v>42868</v>
      </c>
      <c r="J128" s="9">
        <v>442.29250000000002</v>
      </c>
      <c r="K128" s="9">
        <v>800.5</v>
      </c>
      <c r="O128" s="11">
        <v>43253</v>
      </c>
      <c r="P128" s="9">
        <v>0</v>
      </c>
      <c r="Q128" s="9">
        <v>6874</v>
      </c>
      <c r="R128" s="9">
        <v>9020</v>
      </c>
      <c r="S128" s="9">
        <v>9540</v>
      </c>
      <c r="T128" s="31">
        <v>10720</v>
      </c>
      <c r="W128" s="16">
        <f t="shared" si="19"/>
        <v>42868</v>
      </c>
      <c r="X128" s="9">
        <f t="shared" si="20"/>
        <v>442.29250000000002</v>
      </c>
      <c r="Y128" s="9">
        <f t="shared" si="21"/>
        <v>800.5</v>
      </c>
      <c r="AA128" s="16">
        <f t="shared" si="22"/>
        <v>43253</v>
      </c>
      <c r="AB128" s="21">
        <v>5698.2</v>
      </c>
      <c r="AC128" s="21">
        <f t="shared" si="23"/>
        <v>6874</v>
      </c>
      <c r="AD128" s="21">
        <f t="shared" si="24"/>
        <v>9020</v>
      </c>
      <c r="AE128" s="21">
        <f t="shared" si="25"/>
        <v>9540</v>
      </c>
      <c r="AF128" s="21">
        <f t="shared" si="26"/>
        <v>10720</v>
      </c>
      <c r="AK128" s="16"/>
      <c r="AL128" s="17"/>
      <c r="AN128" s="16"/>
    </row>
    <row r="129" spans="2:40" x14ac:dyDescent="0.4">
      <c r="B129" s="6">
        <f t="shared" si="14"/>
        <v>43239</v>
      </c>
      <c r="C129" s="8">
        <f t="shared" si="15"/>
        <v>329.11200000000008</v>
      </c>
      <c r="D129" s="5">
        <f t="shared" si="16"/>
        <v>1936.4230000000002</v>
      </c>
      <c r="E129" s="5">
        <f t="shared" si="17"/>
        <v>2346.4230000000002</v>
      </c>
      <c r="F129" s="5">
        <f t="shared" si="18"/>
        <v>3471.4230000000002</v>
      </c>
      <c r="H129" s="6"/>
      <c r="I129" s="11">
        <v>42875</v>
      </c>
      <c r="J129" s="9">
        <v>453.40600000000001</v>
      </c>
      <c r="K129" s="9">
        <v>829.2</v>
      </c>
      <c r="O129" s="11">
        <v>43260</v>
      </c>
      <c r="P129" s="9">
        <v>0</v>
      </c>
      <c r="Q129" s="9">
        <v>6998</v>
      </c>
      <c r="R129" s="9">
        <v>9010</v>
      </c>
      <c r="S129" s="9">
        <v>9450</v>
      </c>
      <c r="T129" s="31">
        <v>10650</v>
      </c>
      <c r="W129" s="16">
        <f t="shared" si="19"/>
        <v>42875</v>
      </c>
      <c r="X129" s="9">
        <f t="shared" si="20"/>
        <v>453.40600000000001</v>
      </c>
      <c r="Y129" s="9">
        <f t="shared" si="21"/>
        <v>829.2</v>
      </c>
      <c r="AA129" s="16">
        <f t="shared" si="22"/>
        <v>43260</v>
      </c>
      <c r="AB129" s="21">
        <v>5754</v>
      </c>
      <c r="AC129" s="21">
        <f t="shared" si="23"/>
        <v>6998</v>
      </c>
      <c r="AD129" s="21">
        <f t="shared" si="24"/>
        <v>9010</v>
      </c>
      <c r="AE129" s="21">
        <f t="shared" si="25"/>
        <v>9450</v>
      </c>
      <c r="AF129" s="21">
        <f t="shared" si="26"/>
        <v>10650</v>
      </c>
      <c r="AK129" s="16"/>
      <c r="AL129" s="17"/>
      <c r="AN129" s="16"/>
    </row>
    <row r="130" spans="2:40" x14ac:dyDescent="0.4">
      <c r="B130" s="6">
        <f t="shared" si="14"/>
        <v>43246</v>
      </c>
      <c r="C130" s="8">
        <f t="shared" si="15"/>
        <v>309.21199999999999</v>
      </c>
      <c r="D130" s="5">
        <f t="shared" si="16"/>
        <v>1888.5349999999994</v>
      </c>
      <c r="E130" s="5">
        <f t="shared" si="17"/>
        <v>2370.5349999999994</v>
      </c>
      <c r="F130" s="5">
        <f t="shared" si="18"/>
        <v>3493.5349999999994</v>
      </c>
      <c r="H130" s="6"/>
      <c r="I130" s="11">
        <v>42882</v>
      </c>
      <c r="J130" s="9">
        <v>459.20600000000002</v>
      </c>
      <c r="K130" s="9">
        <v>825.66600000000005</v>
      </c>
      <c r="O130" s="11">
        <v>43267</v>
      </c>
      <c r="P130" s="9">
        <v>0</v>
      </c>
      <c r="Q130" s="9">
        <v>7044</v>
      </c>
      <c r="R130" s="9">
        <v>9065</v>
      </c>
      <c r="S130" s="9">
        <v>9480</v>
      </c>
      <c r="T130" s="31">
        <v>10665</v>
      </c>
      <c r="W130" s="16">
        <f t="shared" si="19"/>
        <v>42882</v>
      </c>
      <c r="X130" s="9">
        <f t="shared" si="20"/>
        <v>459.20600000000002</v>
      </c>
      <c r="Y130" s="9">
        <f t="shared" si="21"/>
        <v>825.66600000000005</v>
      </c>
      <c r="AA130" s="16">
        <f t="shared" si="22"/>
        <v>43267</v>
      </c>
      <c r="AB130" s="21">
        <v>5746</v>
      </c>
      <c r="AC130" s="21">
        <f t="shared" si="23"/>
        <v>7044</v>
      </c>
      <c r="AD130" s="21">
        <f t="shared" si="24"/>
        <v>9065</v>
      </c>
      <c r="AE130" s="21">
        <f t="shared" si="25"/>
        <v>9480</v>
      </c>
      <c r="AF130" s="21">
        <f t="shared" si="26"/>
        <v>10665</v>
      </c>
      <c r="AK130" s="16"/>
      <c r="AL130" s="17"/>
      <c r="AN130" s="16"/>
    </row>
    <row r="131" spans="2:40" x14ac:dyDescent="0.4">
      <c r="B131" s="6">
        <f t="shared" si="14"/>
        <v>43253</v>
      </c>
      <c r="C131" s="8">
        <f t="shared" si="15"/>
        <v>313.63200000000006</v>
      </c>
      <c r="D131" s="5">
        <f t="shared" si="16"/>
        <v>1845.2490000000007</v>
      </c>
      <c r="E131" s="5">
        <f t="shared" si="17"/>
        <v>2365.2490000000007</v>
      </c>
      <c r="F131" s="5">
        <f t="shared" si="18"/>
        <v>3545.2490000000007</v>
      </c>
      <c r="H131" s="6"/>
      <c r="I131" s="11">
        <v>42889</v>
      </c>
      <c r="J131" s="9">
        <v>443.01</v>
      </c>
      <c r="K131" s="9">
        <v>800.53</v>
      </c>
      <c r="O131" s="11">
        <v>43274</v>
      </c>
      <c r="P131" s="9">
        <v>0</v>
      </c>
      <c r="Q131" s="9">
        <v>6790</v>
      </c>
      <c r="R131" s="9">
        <v>9056.25</v>
      </c>
      <c r="S131" s="9">
        <v>9487.5</v>
      </c>
      <c r="T131" s="31">
        <v>10668.75</v>
      </c>
      <c r="W131" s="16">
        <f t="shared" si="19"/>
        <v>42889</v>
      </c>
      <c r="X131" s="9">
        <f t="shared" si="20"/>
        <v>443.01</v>
      </c>
      <c r="Y131" s="9">
        <f t="shared" si="21"/>
        <v>800.53</v>
      </c>
      <c r="AA131" s="16">
        <f t="shared" si="22"/>
        <v>43274</v>
      </c>
      <c r="AB131" s="21">
        <v>5656</v>
      </c>
      <c r="AC131" s="21">
        <f t="shared" si="23"/>
        <v>6790</v>
      </c>
      <c r="AD131" s="21">
        <f t="shared" si="24"/>
        <v>9056.25</v>
      </c>
      <c r="AE131" s="21">
        <f t="shared" si="25"/>
        <v>9487.5</v>
      </c>
      <c r="AF131" s="21">
        <f t="shared" si="26"/>
        <v>10668.75</v>
      </c>
      <c r="AK131" s="16"/>
      <c r="AL131" s="17"/>
      <c r="AN131" s="16"/>
    </row>
    <row r="132" spans="2:40" x14ac:dyDescent="0.4">
      <c r="B132" s="6">
        <f t="shared" si="14"/>
        <v>43260</v>
      </c>
      <c r="C132" s="8">
        <f t="shared" si="15"/>
        <v>326.66600000000005</v>
      </c>
      <c r="D132" s="5">
        <f t="shared" si="16"/>
        <v>1746</v>
      </c>
      <c r="E132" s="5">
        <f t="shared" si="17"/>
        <v>2186</v>
      </c>
      <c r="F132" s="5">
        <f t="shared" si="18"/>
        <v>3386</v>
      </c>
      <c r="H132" s="6"/>
      <c r="I132" s="11">
        <v>42896</v>
      </c>
      <c r="J132" s="9">
        <v>423.13200000000001</v>
      </c>
      <c r="K132" s="9">
        <v>795.73199999999997</v>
      </c>
      <c r="O132" s="11">
        <v>43281</v>
      </c>
      <c r="P132" s="9">
        <v>0</v>
      </c>
      <c r="Q132" s="9">
        <v>6978</v>
      </c>
      <c r="R132" s="9">
        <v>9050</v>
      </c>
      <c r="S132" s="9">
        <v>9470</v>
      </c>
      <c r="T132" s="31">
        <v>10680</v>
      </c>
      <c r="W132" s="16">
        <f t="shared" si="19"/>
        <v>42896</v>
      </c>
      <c r="X132" s="9">
        <f t="shared" si="20"/>
        <v>423.13200000000001</v>
      </c>
      <c r="Y132" s="9">
        <f t="shared" si="21"/>
        <v>795.73199999999997</v>
      </c>
      <c r="AA132" s="16">
        <f t="shared" si="22"/>
        <v>43281</v>
      </c>
      <c r="AB132" s="21">
        <v>5790.4</v>
      </c>
      <c r="AC132" s="21">
        <f t="shared" si="23"/>
        <v>6978</v>
      </c>
      <c r="AD132" s="21">
        <f t="shared" si="24"/>
        <v>9050</v>
      </c>
      <c r="AE132" s="21">
        <f t="shared" si="25"/>
        <v>9470</v>
      </c>
      <c r="AF132" s="21">
        <f t="shared" si="26"/>
        <v>10680</v>
      </c>
      <c r="AK132" s="16"/>
      <c r="AL132" s="17"/>
      <c r="AN132" s="16"/>
    </row>
    <row r="133" spans="2:40" x14ac:dyDescent="0.4">
      <c r="B133" s="6">
        <f t="shared" si="14"/>
        <v>43267</v>
      </c>
      <c r="C133" s="8">
        <f t="shared" si="15"/>
        <v>329.42149999999992</v>
      </c>
      <c r="D133" s="5">
        <f t="shared" si="16"/>
        <v>1792.4299999999998</v>
      </c>
      <c r="E133" s="5">
        <f t="shared" si="17"/>
        <v>2207.4299999999998</v>
      </c>
      <c r="F133" s="5">
        <f t="shared" si="18"/>
        <v>3392.43</v>
      </c>
      <c r="H133" s="6"/>
      <c r="I133" s="11">
        <v>42903</v>
      </c>
      <c r="J133" s="9">
        <v>415.85599999999999</v>
      </c>
      <c r="K133" s="9">
        <v>797.66600000000005</v>
      </c>
      <c r="O133" s="11">
        <v>43288</v>
      </c>
      <c r="P133" s="9">
        <v>0</v>
      </c>
      <c r="Q133" s="9">
        <v>7131</v>
      </c>
      <c r="R133" s="9">
        <v>9220</v>
      </c>
      <c r="S133" s="9">
        <v>9540</v>
      </c>
      <c r="T133" s="31">
        <v>10790</v>
      </c>
      <c r="W133" s="16">
        <f t="shared" si="19"/>
        <v>42903</v>
      </c>
      <c r="X133" s="9">
        <f t="shared" si="20"/>
        <v>415.85599999999999</v>
      </c>
      <c r="Y133" s="9">
        <f t="shared" si="21"/>
        <v>797.66600000000005</v>
      </c>
      <c r="AA133" s="16">
        <f t="shared" si="22"/>
        <v>43288</v>
      </c>
      <c r="AB133" s="21">
        <v>5943</v>
      </c>
      <c r="AC133" s="21">
        <f t="shared" si="23"/>
        <v>7131</v>
      </c>
      <c r="AD133" s="21">
        <f t="shared" si="24"/>
        <v>9220</v>
      </c>
      <c r="AE133" s="21">
        <f t="shared" si="25"/>
        <v>9540</v>
      </c>
      <c r="AF133" s="21">
        <f t="shared" si="26"/>
        <v>10790</v>
      </c>
      <c r="AK133" s="16"/>
      <c r="AL133" s="17"/>
      <c r="AN133" s="16"/>
    </row>
    <row r="134" spans="2:40" x14ac:dyDescent="0.4">
      <c r="B134" s="6">
        <f t="shared" ref="B134:B197" si="27">I186</f>
        <v>43274</v>
      </c>
      <c r="C134" s="8">
        <f t="shared" ref="C134:C197" si="28">Y186-X186</f>
        <v>322.77599999999995</v>
      </c>
      <c r="D134" s="5">
        <f t="shared" ref="D134:D197" si="29">IFERROR(VLOOKUP(B134,$AA:$AF,4,1)-0.855*VLOOKUP(B134,$AA:$AF,2,1)-0.335*VLOOKUP(B134,$AA:$AF,3,1),D133)</f>
        <v>1945.7199999999998</v>
      </c>
      <c r="E134" s="5">
        <f t="shared" ref="E134:E197" si="30">IFERROR(VLOOKUP(B134,$AA:$AF,5,1)-0.855*VLOOKUP(B134,$AA:$AF,2,1)-0.335*VLOOKUP(B134,$AA:$AF,3,1),E133)</f>
        <v>2376.9699999999998</v>
      </c>
      <c r="F134" s="5">
        <f t="shared" ref="F134:F197" si="31">IFERROR(VLOOKUP(B134,$AA:$AF,6,1)-0.855*VLOOKUP(B134,$AA:$AF,2,1)-0.335*VLOOKUP(B134,$AA:$AF,3,1),F133)</f>
        <v>3558.22</v>
      </c>
      <c r="H134" s="6"/>
      <c r="I134" s="11">
        <v>42910</v>
      </c>
      <c r="J134" s="9">
        <v>403.06</v>
      </c>
      <c r="K134" s="9">
        <v>780.06600000000003</v>
      </c>
      <c r="O134" s="11">
        <v>43295</v>
      </c>
      <c r="P134" s="9">
        <v>0</v>
      </c>
      <c r="Q134" s="9">
        <v>7164</v>
      </c>
      <c r="R134" s="9">
        <v>9350</v>
      </c>
      <c r="S134" s="9">
        <v>9560</v>
      </c>
      <c r="T134" s="31">
        <v>10800</v>
      </c>
      <c r="W134" s="16">
        <f t="shared" ref="W134:W197" si="32">I134</f>
        <v>42910</v>
      </c>
      <c r="X134" s="9">
        <f t="shared" ref="X134:X197" si="33">IFERROR(IF(J134&lt;&gt;0,J134,X133),X133)</f>
        <v>403.06</v>
      </c>
      <c r="Y134" s="9">
        <f t="shared" ref="Y134:Y197" si="34">IFERROR(IF(K134&lt;&gt;0,K134,Y133),Y133)</f>
        <v>780.06600000000003</v>
      </c>
      <c r="AA134" s="16">
        <f t="shared" ref="AA134:AA197" si="35">O134</f>
        <v>43295</v>
      </c>
      <c r="AB134" s="21">
        <v>5996.6</v>
      </c>
      <c r="AC134" s="21">
        <f t="shared" ref="AC134:AC197" si="36">IFERROR(IF(Q134&lt;&gt;0,Q134,AC133),AC133)</f>
        <v>7164</v>
      </c>
      <c r="AD134" s="21">
        <f t="shared" ref="AD134:AD197" si="37">IFERROR(IF(R134&lt;&gt;0,R134,AD133),AD133)</f>
        <v>9350</v>
      </c>
      <c r="AE134" s="21">
        <f t="shared" ref="AE134:AE197" si="38">IFERROR(IF(S134&lt;&gt;0,S134,AE133),AE133)</f>
        <v>9560</v>
      </c>
      <c r="AF134" s="21">
        <f t="shared" ref="AF134:AF197" si="39">IFERROR(IF(T134&lt;&gt;0,T134,AF133),AF133)</f>
        <v>10800</v>
      </c>
      <c r="AK134" s="16"/>
      <c r="AL134" s="17"/>
      <c r="AN134" s="16"/>
    </row>
    <row r="135" spans="2:40" x14ac:dyDescent="0.4">
      <c r="B135" s="6">
        <f t="shared" si="27"/>
        <v>43281</v>
      </c>
      <c r="C135" s="8">
        <f t="shared" si="28"/>
        <v>326.1880000000001</v>
      </c>
      <c r="D135" s="5">
        <f t="shared" si="29"/>
        <v>1761.5780000000004</v>
      </c>
      <c r="E135" s="5">
        <f t="shared" si="30"/>
        <v>2181.5780000000004</v>
      </c>
      <c r="F135" s="5">
        <f t="shared" si="31"/>
        <v>3391.5780000000004</v>
      </c>
      <c r="H135" s="6"/>
      <c r="I135" s="11">
        <v>42917</v>
      </c>
      <c r="J135" s="9">
        <v>405.76249999999999</v>
      </c>
      <c r="K135" s="9">
        <v>784.92</v>
      </c>
      <c r="O135" s="11">
        <v>43302</v>
      </c>
      <c r="P135" s="9">
        <v>0</v>
      </c>
      <c r="Q135" s="9">
        <v>7256</v>
      </c>
      <c r="R135" s="9">
        <v>9490</v>
      </c>
      <c r="S135" s="9">
        <v>9620</v>
      </c>
      <c r="T135" s="31">
        <v>10810</v>
      </c>
      <c r="W135" s="16">
        <f t="shared" si="32"/>
        <v>42917</v>
      </c>
      <c r="X135" s="9">
        <f t="shared" si="33"/>
        <v>405.76249999999999</v>
      </c>
      <c r="Y135" s="9">
        <f t="shared" si="34"/>
        <v>784.92</v>
      </c>
      <c r="AA135" s="16">
        <f t="shared" si="35"/>
        <v>43302</v>
      </c>
      <c r="AB135" s="21">
        <v>6003.4</v>
      </c>
      <c r="AC135" s="21">
        <f t="shared" si="36"/>
        <v>7256</v>
      </c>
      <c r="AD135" s="21">
        <f t="shared" si="37"/>
        <v>9490</v>
      </c>
      <c r="AE135" s="21">
        <f t="shared" si="38"/>
        <v>9620</v>
      </c>
      <c r="AF135" s="21">
        <f t="shared" si="39"/>
        <v>10810</v>
      </c>
      <c r="AK135" s="16"/>
      <c r="AL135" s="17"/>
      <c r="AN135" s="16"/>
    </row>
    <row r="136" spans="2:40" x14ac:dyDescent="0.4">
      <c r="B136" s="6">
        <f t="shared" si="27"/>
        <v>43288</v>
      </c>
      <c r="C136" s="8">
        <f t="shared" si="28"/>
        <v>335.9</v>
      </c>
      <c r="D136" s="5">
        <f t="shared" si="29"/>
        <v>1749.8499999999995</v>
      </c>
      <c r="E136" s="5">
        <f t="shared" si="30"/>
        <v>2069.8499999999995</v>
      </c>
      <c r="F136" s="5">
        <f t="shared" si="31"/>
        <v>3319.8499999999995</v>
      </c>
      <c r="H136" s="6"/>
      <c r="I136" s="11">
        <v>42924</v>
      </c>
      <c r="J136" s="9">
        <v>416.80599999999998</v>
      </c>
      <c r="K136" s="9">
        <v>786.66399999999999</v>
      </c>
      <c r="O136" s="11">
        <v>43309</v>
      </c>
      <c r="P136" s="9">
        <v>0</v>
      </c>
      <c r="Q136" s="9">
        <v>7494</v>
      </c>
      <c r="R136" s="9">
        <v>9725</v>
      </c>
      <c r="S136" s="9">
        <v>9885</v>
      </c>
      <c r="T136" s="31">
        <v>10965</v>
      </c>
      <c r="W136" s="16">
        <f t="shared" si="32"/>
        <v>42924</v>
      </c>
      <c r="X136" s="9">
        <f t="shared" si="33"/>
        <v>416.80599999999998</v>
      </c>
      <c r="Y136" s="9">
        <f t="shared" si="34"/>
        <v>786.66399999999999</v>
      </c>
      <c r="AA136" s="16">
        <f t="shared" si="35"/>
        <v>43309</v>
      </c>
      <c r="AB136" s="21">
        <v>6201</v>
      </c>
      <c r="AC136" s="21">
        <f t="shared" si="36"/>
        <v>7494</v>
      </c>
      <c r="AD136" s="21">
        <f t="shared" si="37"/>
        <v>9725</v>
      </c>
      <c r="AE136" s="21">
        <f t="shared" si="38"/>
        <v>9885</v>
      </c>
      <c r="AF136" s="21">
        <f t="shared" si="39"/>
        <v>10965</v>
      </c>
      <c r="AK136" s="16"/>
      <c r="AL136" s="17"/>
      <c r="AN136" s="16"/>
    </row>
    <row r="137" spans="2:40" x14ac:dyDescent="0.4">
      <c r="B137" s="6">
        <f t="shared" si="27"/>
        <v>43295</v>
      </c>
      <c r="C137" s="8">
        <f t="shared" si="28"/>
        <v>341.43400000000008</v>
      </c>
      <c r="D137" s="5">
        <f t="shared" si="29"/>
        <v>1822.9670000000001</v>
      </c>
      <c r="E137" s="5">
        <f t="shared" si="30"/>
        <v>2032.9670000000001</v>
      </c>
      <c r="F137" s="5">
        <f t="shared" si="31"/>
        <v>3272.9670000000001</v>
      </c>
      <c r="H137" s="6"/>
      <c r="I137" s="11">
        <v>42931</v>
      </c>
      <c r="J137" s="9">
        <v>406.88</v>
      </c>
      <c r="K137" s="9">
        <v>788.33399999999995</v>
      </c>
      <c r="O137" s="11">
        <v>43316</v>
      </c>
      <c r="P137" s="9">
        <v>0</v>
      </c>
      <c r="Q137" s="9">
        <v>7799</v>
      </c>
      <c r="R137" s="9">
        <v>10010</v>
      </c>
      <c r="S137" s="9">
        <v>10000</v>
      </c>
      <c r="T137" s="31">
        <v>11300</v>
      </c>
      <c r="W137" s="16">
        <f t="shared" si="32"/>
        <v>42931</v>
      </c>
      <c r="X137" s="9">
        <f t="shared" si="33"/>
        <v>406.88</v>
      </c>
      <c r="Y137" s="9">
        <f t="shared" si="34"/>
        <v>788.33399999999995</v>
      </c>
      <c r="AA137" s="16">
        <f t="shared" si="35"/>
        <v>43316</v>
      </c>
      <c r="AB137" s="21">
        <v>6721.6</v>
      </c>
      <c r="AC137" s="21">
        <f t="shared" si="36"/>
        <v>7799</v>
      </c>
      <c r="AD137" s="21">
        <f t="shared" si="37"/>
        <v>10010</v>
      </c>
      <c r="AE137" s="21">
        <f t="shared" si="38"/>
        <v>10000</v>
      </c>
      <c r="AF137" s="21">
        <f t="shared" si="39"/>
        <v>11300</v>
      </c>
      <c r="AK137" s="16"/>
      <c r="AL137" s="17"/>
      <c r="AN137" s="16"/>
    </row>
    <row r="138" spans="2:40" x14ac:dyDescent="0.4">
      <c r="B138" s="6">
        <f t="shared" si="27"/>
        <v>43302</v>
      </c>
      <c r="C138" s="8">
        <f t="shared" si="28"/>
        <v>359.06600000000003</v>
      </c>
      <c r="D138" s="5">
        <f t="shared" si="29"/>
        <v>1926.3330000000005</v>
      </c>
      <c r="E138" s="5">
        <f t="shared" si="30"/>
        <v>2056.3330000000005</v>
      </c>
      <c r="F138" s="5">
        <f t="shared" si="31"/>
        <v>3246.3330000000005</v>
      </c>
      <c r="H138" s="6"/>
      <c r="I138" s="11">
        <v>42938</v>
      </c>
      <c r="J138" s="9">
        <v>426.53199999999998</v>
      </c>
      <c r="K138" s="9">
        <v>797.26599999999996</v>
      </c>
      <c r="O138" s="11">
        <v>43323</v>
      </c>
      <c r="P138" s="9">
        <v>0</v>
      </c>
      <c r="Q138" s="9">
        <v>7810</v>
      </c>
      <c r="R138" s="9">
        <v>10550</v>
      </c>
      <c r="S138" s="9">
        <v>10490</v>
      </c>
      <c r="T138" s="31">
        <v>11820</v>
      </c>
      <c r="W138" s="16">
        <f t="shared" si="32"/>
        <v>42938</v>
      </c>
      <c r="X138" s="9">
        <f t="shared" si="33"/>
        <v>426.53199999999998</v>
      </c>
      <c r="Y138" s="9">
        <f t="shared" si="34"/>
        <v>797.26599999999996</v>
      </c>
      <c r="AA138" s="16">
        <f t="shared" si="35"/>
        <v>43323</v>
      </c>
      <c r="AB138" s="21">
        <v>7283.8</v>
      </c>
      <c r="AC138" s="21">
        <f t="shared" si="36"/>
        <v>7810</v>
      </c>
      <c r="AD138" s="21">
        <f t="shared" si="37"/>
        <v>10550</v>
      </c>
      <c r="AE138" s="21">
        <f t="shared" si="38"/>
        <v>10490</v>
      </c>
      <c r="AF138" s="21">
        <f t="shared" si="39"/>
        <v>11820</v>
      </c>
      <c r="AK138" s="16"/>
      <c r="AL138" s="17"/>
      <c r="AN138" s="16"/>
    </row>
    <row r="139" spans="2:40" x14ac:dyDescent="0.4">
      <c r="B139" s="6">
        <f t="shared" si="27"/>
        <v>43309</v>
      </c>
      <c r="C139" s="8">
        <f t="shared" si="28"/>
        <v>359.9799999999999</v>
      </c>
      <c r="D139" s="5">
        <f t="shared" si="29"/>
        <v>1912.6550000000002</v>
      </c>
      <c r="E139" s="5">
        <f t="shared" si="30"/>
        <v>2072.6550000000002</v>
      </c>
      <c r="F139" s="5">
        <f t="shared" si="31"/>
        <v>3152.6550000000002</v>
      </c>
      <c r="H139" s="6"/>
      <c r="I139" s="11">
        <v>42945</v>
      </c>
      <c r="J139" s="9">
        <v>436.88200000000001</v>
      </c>
      <c r="K139" s="9">
        <v>816.27</v>
      </c>
      <c r="O139" s="11">
        <v>43330</v>
      </c>
      <c r="P139" s="9">
        <v>0</v>
      </c>
      <c r="Q139" s="9">
        <v>7556</v>
      </c>
      <c r="R139" s="9">
        <v>10930</v>
      </c>
      <c r="S139" s="9">
        <v>10760</v>
      </c>
      <c r="T139" s="31">
        <v>12220</v>
      </c>
      <c r="W139" s="16">
        <f t="shared" si="32"/>
        <v>42945</v>
      </c>
      <c r="X139" s="9">
        <f t="shared" si="33"/>
        <v>436.88200000000001</v>
      </c>
      <c r="Y139" s="9">
        <f t="shared" si="34"/>
        <v>816.27</v>
      </c>
      <c r="AA139" s="16">
        <f t="shared" si="35"/>
        <v>43330</v>
      </c>
      <c r="AB139" s="21">
        <v>7900</v>
      </c>
      <c r="AC139" s="21">
        <f t="shared" si="36"/>
        <v>7556</v>
      </c>
      <c r="AD139" s="21">
        <f t="shared" si="37"/>
        <v>10930</v>
      </c>
      <c r="AE139" s="21">
        <f t="shared" si="38"/>
        <v>10760</v>
      </c>
      <c r="AF139" s="21">
        <f t="shared" si="39"/>
        <v>12220</v>
      </c>
      <c r="AK139" s="16"/>
      <c r="AL139" s="17"/>
      <c r="AN139" s="16"/>
    </row>
    <row r="140" spans="2:40" x14ac:dyDescent="0.4">
      <c r="B140" s="6">
        <f t="shared" si="27"/>
        <v>43316</v>
      </c>
      <c r="C140" s="8">
        <f t="shared" si="28"/>
        <v>417.86199999999997</v>
      </c>
      <c r="D140" s="5">
        <f t="shared" si="29"/>
        <v>1650.3670000000002</v>
      </c>
      <c r="E140" s="5">
        <f t="shared" si="30"/>
        <v>1640.3670000000002</v>
      </c>
      <c r="F140" s="5">
        <f t="shared" si="31"/>
        <v>2940.3670000000002</v>
      </c>
      <c r="H140" s="6"/>
      <c r="I140" s="11">
        <v>42952</v>
      </c>
      <c r="J140" s="9">
        <v>466.93200000000002</v>
      </c>
      <c r="K140" s="9">
        <v>837.13400000000001</v>
      </c>
      <c r="O140" s="11">
        <v>43337</v>
      </c>
      <c r="P140" s="9">
        <v>0</v>
      </c>
      <c r="Q140" s="9">
        <v>7794</v>
      </c>
      <c r="R140" s="9">
        <v>11520</v>
      </c>
      <c r="S140" s="9">
        <v>11350</v>
      </c>
      <c r="T140" s="31">
        <v>12830</v>
      </c>
      <c r="W140" s="16">
        <f t="shared" si="32"/>
        <v>42952</v>
      </c>
      <c r="X140" s="9">
        <f t="shared" si="33"/>
        <v>466.93200000000002</v>
      </c>
      <c r="Y140" s="9">
        <f t="shared" si="34"/>
        <v>837.13400000000001</v>
      </c>
      <c r="AA140" s="16">
        <f t="shared" si="35"/>
        <v>43337</v>
      </c>
      <c r="AB140" s="21">
        <v>8726</v>
      </c>
      <c r="AC140" s="21">
        <f t="shared" si="36"/>
        <v>7794</v>
      </c>
      <c r="AD140" s="21">
        <f t="shared" si="37"/>
        <v>11520</v>
      </c>
      <c r="AE140" s="21">
        <f t="shared" si="38"/>
        <v>11350</v>
      </c>
      <c r="AF140" s="21">
        <f t="shared" si="39"/>
        <v>12830</v>
      </c>
      <c r="AK140" s="16"/>
      <c r="AL140" s="17"/>
      <c r="AN140" s="16"/>
    </row>
    <row r="141" spans="2:40" x14ac:dyDescent="0.4">
      <c r="B141" s="6">
        <f t="shared" si="27"/>
        <v>43323</v>
      </c>
      <c r="C141" s="8">
        <f t="shared" si="28"/>
        <v>466.27499999999998</v>
      </c>
      <c r="D141" s="5">
        <f t="shared" si="29"/>
        <v>1706.0009999999993</v>
      </c>
      <c r="E141" s="5">
        <f t="shared" si="30"/>
        <v>1646.0009999999993</v>
      </c>
      <c r="F141" s="5">
        <f t="shared" si="31"/>
        <v>2976.0009999999993</v>
      </c>
      <c r="H141" s="6"/>
      <c r="I141" s="11">
        <v>42959</v>
      </c>
      <c r="J141" s="9">
        <v>466.2</v>
      </c>
      <c r="K141" s="9">
        <v>832.50250000000005</v>
      </c>
      <c r="O141" s="11">
        <v>43344</v>
      </c>
      <c r="P141" s="9">
        <v>0</v>
      </c>
      <c r="Q141" s="9">
        <v>7842</v>
      </c>
      <c r="R141" s="9">
        <v>12050</v>
      </c>
      <c r="S141" s="9">
        <v>11920</v>
      </c>
      <c r="T141" s="31">
        <v>13300</v>
      </c>
      <c r="W141" s="16">
        <f t="shared" si="32"/>
        <v>42959</v>
      </c>
      <c r="X141" s="9">
        <f t="shared" si="33"/>
        <v>466.2</v>
      </c>
      <c r="Y141" s="9">
        <f t="shared" si="34"/>
        <v>832.50250000000005</v>
      </c>
      <c r="AA141" s="16">
        <f t="shared" si="35"/>
        <v>43344</v>
      </c>
      <c r="AB141" s="21">
        <v>9194</v>
      </c>
      <c r="AC141" s="21">
        <f t="shared" si="36"/>
        <v>7842</v>
      </c>
      <c r="AD141" s="21">
        <f t="shared" si="37"/>
        <v>12050</v>
      </c>
      <c r="AE141" s="21">
        <f t="shared" si="38"/>
        <v>11920</v>
      </c>
      <c r="AF141" s="21">
        <f t="shared" si="39"/>
        <v>13300</v>
      </c>
      <c r="AK141" s="16"/>
      <c r="AL141" s="17"/>
      <c r="AN141" s="16"/>
    </row>
    <row r="142" spans="2:40" x14ac:dyDescent="0.4">
      <c r="B142" s="6">
        <f t="shared" si="27"/>
        <v>43330</v>
      </c>
      <c r="C142" s="8">
        <f t="shared" si="28"/>
        <v>521.00600000000009</v>
      </c>
      <c r="D142" s="5">
        <f t="shared" si="29"/>
        <v>1644.2399999999998</v>
      </c>
      <c r="E142" s="5">
        <f t="shared" si="30"/>
        <v>1474.2399999999998</v>
      </c>
      <c r="F142" s="5">
        <f t="shared" si="31"/>
        <v>2934.24</v>
      </c>
      <c r="H142" s="6"/>
      <c r="I142" s="11">
        <v>42966</v>
      </c>
      <c r="J142" s="9">
        <v>460.78</v>
      </c>
      <c r="K142" s="9">
        <v>819</v>
      </c>
      <c r="O142" s="11">
        <v>43351</v>
      </c>
      <c r="P142" s="9">
        <v>0</v>
      </c>
      <c r="Q142" s="9">
        <v>8164</v>
      </c>
      <c r="R142" s="9">
        <v>12280</v>
      </c>
      <c r="S142" s="9">
        <v>12180</v>
      </c>
      <c r="T142" s="31">
        <v>13490</v>
      </c>
      <c r="W142" s="16">
        <f t="shared" si="32"/>
        <v>42966</v>
      </c>
      <c r="X142" s="9">
        <f t="shared" si="33"/>
        <v>460.78</v>
      </c>
      <c r="Y142" s="9">
        <f t="shared" si="34"/>
        <v>819</v>
      </c>
      <c r="AA142" s="16">
        <f t="shared" si="35"/>
        <v>43351</v>
      </c>
      <c r="AB142" s="21">
        <v>9295</v>
      </c>
      <c r="AC142" s="21">
        <f t="shared" si="36"/>
        <v>8164</v>
      </c>
      <c r="AD142" s="21">
        <f t="shared" si="37"/>
        <v>12280</v>
      </c>
      <c r="AE142" s="21">
        <f t="shared" si="38"/>
        <v>12180</v>
      </c>
      <c r="AF142" s="21">
        <f t="shared" si="39"/>
        <v>13490</v>
      </c>
      <c r="AK142" s="16"/>
      <c r="AL142" s="17"/>
      <c r="AN142" s="16"/>
    </row>
    <row r="143" spans="2:40" x14ac:dyDescent="0.4">
      <c r="B143" s="6">
        <f t="shared" si="27"/>
        <v>43337</v>
      </c>
      <c r="C143" s="8">
        <f t="shared" si="28"/>
        <v>579.14049999999997</v>
      </c>
      <c r="D143" s="5">
        <f t="shared" si="29"/>
        <v>1448.2800000000002</v>
      </c>
      <c r="E143" s="5">
        <f t="shared" si="30"/>
        <v>1278.2800000000002</v>
      </c>
      <c r="F143" s="5">
        <f t="shared" si="31"/>
        <v>2758.28</v>
      </c>
      <c r="H143" s="6"/>
      <c r="I143" s="11">
        <v>42973</v>
      </c>
      <c r="J143" s="9">
        <v>468.38200000000001</v>
      </c>
      <c r="K143" s="9">
        <v>824.10199999999998</v>
      </c>
      <c r="O143" s="11">
        <v>43358</v>
      </c>
      <c r="P143" s="9">
        <v>0</v>
      </c>
      <c r="Q143" s="9">
        <v>7636</v>
      </c>
      <c r="R143" s="9">
        <v>12260</v>
      </c>
      <c r="S143" s="9">
        <v>12180</v>
      </c>
      <c r="T143" s="31">
        <v>13480</v>
      </c>
      <c r="W143" s="16">
        <f t="shared" si="32"/>
        <v>42973</v>
      </c>
      <c r="X143" s="9">
        <f t="shared" si="33"/>
        <v>468.38200000000001</v>
      </c>
      <c r="Y143" s="9">
        <f t="shared" si="34"/>
        <v>824.10199999999998</v>
      </c>
      <c r="AA143" s="16">
        <f t="shared" si="35"/>
        <v>43358</v>
      </c>
      <c r="AB143" s="21">
        <v>9246</v>
      </c>
      <c r="AC143" s="21">
        <f t="shared" si="36"/>
        <v>7636</v>
      </c>
      <c r="AD143" s="21">
        <f t="shared" si="37"/>
        <v>12260</v>
      </c>
      <c r="AE143" s="21">
        <f t="shared" si="38"/>
        <v>12180</v>
      </c>
      <c r="AF143" s="21">
        <f t="shared" si="39"/>
        <v>13480</v>
      </c>
      <c r="AK143" s="16"/>
      <c r="AL143" s="17"/>
      <c r="AN143" s="16"/>
    </row>
    <row r="144" spans="2:40" x14ac:dyDescent="0.4">
      <c r="B144" s="6">
        <f t="shared" si="27"/>
        <v>43344</v>
      </c>
      <c r="C144" s="8">
        <f t="shared" si="28"/>
        <v>663.09600000000012</v>
      </c>
      <c r="D144" s="5">
        <f t="shared" si="29"/>
        <v>1562.06</v>
      </c>
      <c r="E144" s="5">
        <f t="shared" si="30"/>
        <v>1432.06</v>
      </c>
      <c r="F144" s="5">
        <f t="shared" si="31"/>
        <v>2812.06</v>
      </c>
      <c r="H144" s="6"/>
      <c r="I144" s="11">
        <v>42980</v>
      </c>
      <c r="J144" s="9">
        <v>476.51499999999999</v>
      </c>
      <c r="K144" s="9">
        <v>830.77</v>
      </c>
      <c r="O144" s="11">
        <v>43365</v>
      </c>
      <c r="P144" s="9">
        <v>0</v>
      </c>
      <c r="Q144" s="9">
        <v>7233</v>
      </c>
      <c r="R144" s="9">
        <v>11660</v>
      </c>
      <c r="S144" s="9">
        <v>11690</v>
      </c>
      <c r="T144" s="31">
        <v>12990</v>
      </c>
      <c r="W144" s="16">
        <f t="shared" si="32"/>
        <v>42980</v>
      </c>
      <c r="X144" s="9">
        <f t="shared" si="33"/>
        <v>476.51499999999999</v>
      </c>
      <c r="Y144" s="9">
        <f t="shared" si="34"/>
        <v>830.77</v>
      </c>
      <c r="AA144" s="16">
        <f t="shared" si="35"/>
        <v>43365</v>
      </c>
      <c r="AB144" s="21">
        <v>8016.6</v>
      </c>
      <c r="AC144" s="21">
        <f t="shared" si="36"/>
        <v>7233</v>
      </c>
      <c r="AD144" s="21">
        <f t="shared" si="37"/>
        <v>11660</v>
      </c>
      <c r="AE144" s="21">
        <f t="shared" si="38"/>
        <v>11690</v>
      </c>
      <c r="AF144" s="21">
        <f t="shared" si="39"/>
        <v>12990</v>
      </c>
      <c r="AK144" s="16"/>
      <c r="AL144" s="17"/>
      <c r="AN144" s="16"/>
    </row>
    <row r="145" spans="2:40" x14ac:dyDescent="0.4">
      <c r="B145" s="6">
        <f t="shared" si="27"/>
        <v>43351</v>
      </c>
      <c r="C145" s="8">
        <f t="shared" si="28"/>
        <v>663.50599999999997</v>
      </c>
      <c r="D145" s="5">
        <f t="shared" si="29"/>
        <v>1597.8350000000005</v>
      </c>
      <c r="E145" s="5">
        <f t="shared" si="30"/>
        <v>1497.8350000000005</v>
      </c>
      <c r="F145" s="5">
        <f t="shared" si="31"/>
        <v>2807.8350000000005</v>
      </c>
      <c r="H145" s="6"/>
      <c r="I145" s="11">
        <v>42987</v>
      </c>
      <c r="J145" s="9">
        <v>496.26</v>
      </c>
      <c r="K145" s="9">
        <v>844.46600000000001</v>
      </c>
      <c r="O145" s="11">
        <v>43372</v>
      </c>
      <c r="P145" s="9">
        <v>0</v>
      </c>
      <c r="Q145" s="9">
        <v>7257</v>
      </c>
      <c r="R145" s="9">
        <v>11120</v>
      </c>
      <c r="S145" s="9">
        <v>11260</v>
      </c>
      <c r="T145" s="31">
        <v>12650</v>
      </c>
      <c r="W145" s="16">
        <f t="shared" si="32"/>
        <v>42987</v>
      </c>
      <c r="X145" s="9">
        <f t="shared" si="33"/>
        <v>496.26</v>
      </c>
      <c r="Y145" s="9">
        <f t="shared" si="34"/>
        <v>844.46600000000001</v>
      </c>
      <c r="AA145" s="16">
        <f t="shared" si="35"/>
        <v>43372</v>
      </c>
      <c r="AB145" s="21">
        <v>7811.8</v>
      </c>
      <c r="AC145" s="21">
        <f t="shared" si="36"/>
        <v>7257</v>
      </c>
      <c r="AD145" s="21">
        <f t="shared" si="37"/>
        <v>11120</v>
      </c>
      <c r="AE145" s="21">
        <f t="shared" si="38"/>
        <v>11260</v>
      </c>
      <c r="AF145" s="21">
        <f t="shared" si="39"/>
        <v>12650</v>
      </c>
      <c r="AK145" s="16"/>
      <c r="AL145" s="17"/>
      <c r="AN145" s="16"/>
    </row>
    <row r="146" spans="2:40" x14ac:dyDescent="0.4">
      <c r="B146" s="6">
        <f t="shared" si="27"/>
        <v>43358</v>
      </c>
      <c r="C146" s="8">
        <f t="shared" si="28"/>
        <v>661.43999999999994</v>
      </c>
      <c r="D146" s="5">
        <f t="shared" si="29"/>
        <v>1796.6100000000001</v>
      </c>
      <c r="E146" s="5">
        <f t="shared" si="30"/>
        <v>1716.6100000000001</v>
      </c>
      <c r="F146" s="5">
        <f t="shared" si="31"/>
        <v>3016.61</v>
      </c>
      <c r="H146" s="6"/>
      <c r="I146" s="11">
        <v>42994</v>
      </c>
      <c r="J146" s="9">
        <v>504.81</v>
      </c>
      <c r="K146" s="9">
        <v>842.06799999999998</v>
      </c>
      <c r="O146" s="11">
        <v>43379</v>
      </c>
      <c r="P146" s="9">
        <v>0</v>
      </c>
      <c r="Q146" s="9">
        <v>7430</v>
      </c>
      <c r="R146" s="9">
        <v>11050</v>
      </c>
      <c r="S146" s="9">
        <v>11150</v>
      </c>
      <c r="T146" s="31">
        <v>12600</v>
      </c>
      <c r="W146" s="16">
        <f t="shared" si="32"/>
        <v>42994</v>
      </c>
      <c r="X146" s="9">
        <f t="shared" si="33"/>
        <v>504.81</v>
      </c>
      <c r="Y146" s="9">
        <f t="shared" si="34"/>
        <v>842.06799999999998</v>
      </c>
      <c r="AA146" s="16">
        <f t="shared" si="35"/>
        <v>43379</v>
      </c>
      <c r="AB146" s="21">
        <v>7900</v>
      </c>
      <c r="AC146" s="21">
        <f t="shared" si="36"/>
        <v>7430</v>
      </c>
      <c r="AD146" s="21">
        <f t="shared" si="37"/>
        <v>11050</v>
      </c>
      <c r="AE146" s="21">
        <f t="shared" si="38"/>
        <v>11150</v>
      </c>
      <c r="AF146" s="21">
        <f t="shared" si="39"/>
        <v>12600</v>
      </c>
      <c r="AK146" s="16"/>
      <c r="AL146" s="17"/>
      <c r="AN146" s="16"/>
    </row>
    <row r="147" spans="2:40" x14ac:dyDescent="0.4">
      <c r="B147" s="6">
        <f t="shared" si="27"/>
        <v>43365</v>
      </c>
      <c r="C147" s="8">
        <f t="shared" si="28"/>
        <v>601.4140000000001</v>
      </c>
      <c r="D147" s="5">
        <f t="shared" si="29"/>
        <v>2382.7519999999995</v>
      </c>
      <c r="E147" s="5">
        <f t="shared" si="30"/>
        <v>2412.7519999999995</v>
      </c>
      <c r="F147" s="5">
        <f t="shared" si="31"/>
        <v>3712.7519999999995</v>
      </c>
      <c r="H147" s="6"/>
      <c r="I147" s="11">
        <v>43001</v>
      </c>
      <c r="J147" s="9">
        <v>516.15599999999995</v>
      </c>
      <c r="K147" s="9">
        <v>847.8</v>
      </c>
      <c r="O147" s="11">
        <v>43386</v>
      </c>
      <c r="P147" s="9">
        <v>0</v>
      </c>
      <c r="Q147" s="9">
        <v>7385</v>
      </c>
      <c r="R147" s="9">
        <v>11200</v>
      </c>
      <c r="S147" s="9">
        <v>11300</v>
      </c>
      <c r="T147" s="31">
        <v>12690</v>
      </c>
      <c r="W147" s="16">
        <f t="shared" si="32"/>
        <v>43001</v>
      </c>
      <c r="X147" s="9">
        <f t="shared" si="33"/>
        <v>516.15599999999995</v>
      </c>
      <c r="Y147" s="9">
        <f t="shared" si="34"/>
        <v>847.8</v>
      </c>
      <c r="AA147" s="16">
        <f t="shared" si="35"/>
        <v>43386</v>
      </c>
      <c r="AB147" s="21">
        <v>7872.6</v>
      </c>
      <c r="AC147" s="21">
        <f t="shared" si="36"/>
        <v>7385</v>
      </c>
      <c r="AD147" s="21">
        <f t="shared" si="37"/>
        <v>11200</v>
      </c>
      <c r="AE147" s="21">
        <f t="shared" si="38"/>
        <v>11300</v>
      </c>
      <c r="AF147" s="21">
        <f t="shared" si="39"/>
        <v>12690</v>
      </c>
      <c r="AK147" s="16"/>
      <c r="AL147" s="17"/>
      <c r="AN147" s="16"/>
    </row>
    <row r="148" spans="2:40" x14ac:dyDescent="0.4">
      <c r="B148" s="6">
        <f t="shared" si="27"/>
        <v>43372</v>
      </c>
      <c r="C148" s="8">
        <f t="shared" si="28"/>
        <v>597.50800000000004</v>
      </c>
      <c r="D148" s="5">
        <f t="shared" si="29"/>
        <v>2009.8159999999998</v>
      </c>
      <c r="E148" s="5">
        <f t="shared" si="30"/>
        <v>2149.8159999999998</v>
      </c>
      <c r="F148" s="5">
        <f t="shared" si="31"/>
        <v>3539.8159999999998</v>
      </c>
      <c r="H148" s="6"/>
      <c r="I148" s="11">
        <v>43008</v>
      </c>
      <c r="J148" s="9">
        <v>532.63</v>
      </c>
      <c r="K148" s="9">
        <v>848.76599999999996</v>
      </c>
      <c r="O148" s="11">
        <v>43393</v>
      </c>
      <c r="P148" s="9">
        <v>0</v>
      </c>
      <c r="Q148" s="9">
        <v>7238</v>
      </c>
      <c r="R148" s="9">
        <v>11160</v>
      </c>
      <c r="S148" s="9">
        <v>11250</v>
      </c>
      <c r="T148" s="31">
        <v>12630</v>
      </c>
      <c r="W148" s="16">
        <f t="shared" si="32"/>
        <v>43008</v>
      </c>
      <c r="X148" s="9">
        <f t="shared" si="33"/>
        <v>532.63</v>
      </c>
      <c r="Y148" s="9">
        <f t="shared" si="34"/>
        <v>848.76599999999996</v>
      </c>
      <c r="AA148" s="16">
        <f t="shared" si="35"/>
        <v>43393</v>
      </c>
      <c r="AB148" s="21">
        <v>7500</v>
      </c>
      <c r="AC148" s="21">
        <f t="shared" si="36"/>
        <v>7238</v>
      </c>
      <c r="AD148" s="21">
        <f t="shared" si="37"/>
        <v>11160</v>
      </c>
      <c r="AE148" s="21">
        <f t="shared" si="38"/>
        <v>11250</v>
      </c>
      <c r="AF148" s="21">
        <f t="shared" si="39"/>
        <v>12630</v>
      </c>
      <c r="AK148" s="16"/>
      <c r="AL148" s="17"/>
      <c r="AN148" s="16"/>
    </row>
    <row r="149" spans="2:40" x14ac:dyDescent="0.4">
      <c r="B149" s="6">
        <f t="shared" si="27"/>
        <v>43379</v>
      </c>
      <c r="C149" s="8">
        <f t="shared" si="28"/>
        <v>592.94200000000001</v>
      </c>
      <c r="D149" s="5">
        <f t="shared" si="29"/>
        <v>1806.4499999999998</v>
      </c>
      <c r="E149" s="5">
        <f t="shared" si="30"/>
        <v>1906.4499999999998</v>
      </c>
      <c r="F149" s="5">
        <f t="shared" si="31"/>
        <v>3356.45</v>
      </c>
      <c r="H149" s="6"/>
      <c r="I149" s="11">
        <v>43015</v>
      </c>
      <c r="J149" s="9">
        <v>517.01</v>
      </c>
      <c r="K149" s="9">
        <v>846.9</v>
      </c>
      <c r="O149" s="11">
        <v>43400</v>
      </c>
      <c r="P149" s="9">
        <v>0</v>
      </c>
      <c r="Q149" s="9">
        <v>6997</v>
      </c>
      <c r="R149" s="9">
        <v>10560</v>
      </c>
      <c r="S149" s="9">
        <v>10690</v>
      </c>
      <c r="T149" s="31">
        <v>12250</v>
      </c>
      <c r="W149" s="16">
        <f t="shared" si="32"/>
        <v>43015</v>
      </c>
      <c r="X149" s="9">
        <f t="shared" si="33"/>
        <v>517.01</v>
      </c>
      <c r="Y149" s="9">
        <f t="shared" si="34"/>
        <v>846.9</v>
      </c>
      <c r="AA149" s="16">
        <f t="shared" si="35"/>
        <v>43400</v>
      </c>
      <c r="AB149" s="21">
        <v>7066.6</v>
      </c>
      <c r="AC149" s="21">
        <f t="shared" si="36"/>
        <v>6997</v>
      </c>
      <c r="AD149" s="21">
        <f t="shared" si="37"/>
        <v>10560</v>
      </c>
      <c r="AE149" s="21">
        <f t="shared" si="38"/>
        <v>10690</v>
      </c>
      <c r="AF149" s="21">
        <f t="shared" si="39"/>
        <v>12250</v>
      </c>
      <c r="AK149" s="16"/>
      <c r="AL149" s="17"/>
      <c r="AN149" s="16"/>
    </row>
    <row r="150" spans="2:40" x14ac:dyDescent="0.4">
      <c r="B150" s="6">
        <f t="shared" si="27"/>
        <v>43386</v>
      </c>
      <c r="C150" s="8">
        <f t="shared" si="28"/>
        <v>627.30200000000002</v>
      </c>
      <c r="D150" s="5">
        <f t="shared" si="29"/>
        <v>1994.9519999999993</v>
      </c>
      <c r="E150" s="5">
        <f t="shared" si="30"/>
        <v>2094.9519999999993</v>
      </c>
      <c r="F150" s="5">
        <f t="shared" si="31"/>
        <v>3484.9519999999993</v>
      </c>
      <c r="H150" s="6"/>
      <c r="I150" s="11">
        <v>43022</v>
      </c>
      <c r="J150" s="9">
        <v>522.83199999999999</v>
      </c>
      <c r="K150" s="9">
        <v>846.73199999999997</v>
      </c>
      <c r="O150" s="11">
        <v>43407</v>
      </c>
      <c r="P150" s="9">
        <v>0</v>
      </c>
      <c r="Q150" s="9">
        <v>6781</v>
      </c>
      <c r="R150" s="9">
        <v>9915</v>
      </c>
      <c r="S150" s="9">
        <v>10005</v>
      </c>
      <c r="T150" s="31">
        <v>11815</v>
      </c>
      <c r="W150" s="16">
        <f t="shared" si="32"/>
        <v>43022</v>
      </c>
      <c r="X150" s="9">
        <f t="shared" si="33"/>
        <v>522.83199999999999</v>
      </c>
      <c r="Y150" s="9">
        <f t="shared" si="34"/>
        <v>846.73199999999997</v>
      </c>
      <c r="AA150" s="16">
        <f t="shared" si="35"/>
        <v>43407</v>
      </c>
      <c r="AB150" s="21">
        <v>7096</v>
      </c>
      <c r="AC150" s="21">
        <f t="shared" si="36"/>
        <v>6781</v>
      </c>
      <c r="AD150" s="21">
        <f t="shared" si="37"/>
        <v>9915</v>
      </c>
      <c r="AE150" s="21">
        <f t="shared" si="38"/>
        <v>10005</v>
      </c>
      <c r="AF150" s="21">
        <f t="shared" si="39"/>
        <v>11815</v>
      </c>
      <c r="AK150" s="16"/>
      <c r="AL150" s="17"/>
      <c r="AN150" s="16"/>
    </row>
    <row r="151" spans="2:40" x14ac:dyDescent="0.4">
      <c r="B151" s="6">
        <f t="shared" si="27"/>
        <v>43393</v>
      </c>
      <c r="C151" s="8">
        <f t="shared" si="28"/>
        <v>607.77200000000016</v>
      </c>
      <c r="D151" s="5">
        <f t="shared" si="29"/>
        <v>2322.77</v>
      </c>
      <c r="E151" s="5">
        <f t="shared" si="30"/>
        <v>2412.77</v>
      </c>
      <c r="F151" s="5">
        <f t="shared" si="31"/>
        <v>3792.77</v>
      </c>
      <c r="H151" s="6"/>
      <c r="I151" s="11">
        <v>43029</v>
      </c>
      <c r="J151" s="9">
        <v>533.54250000000002</v>
      </c>
      <c r="K151" s="9">
        <v>854.83600000000001</v>
      </c>
      <c r="O151" s="11">
        <v>43414</v>
      </c>
      <c r="P151" s="9">
        <v>0</v>
      </c>
      <c r="Q151" s="9">
        <v>6403</v>
      </c>
      <c r="R151" s="9">
        <v>9343</v>
      </c>
      <c r="S151" s="9">
        <v>9576</v>
      </c>
      <c r="T151" s="31">
        <v>11276</v>
      </c>
      <c r="W151" s="16">
        <f t="shared" si="32"/>
        <v>43029</v>
      </c>
      <c r="X151" s="9">
        <f t="shared" si="33"/>
        <v>533.54250000000002</v>
      </c>
      <c r="Y151" s="9">
        <f t="shared" si="34"/>
        <v>854.83600000000001</v>
      </c>
      <c r="AA151" s="16">
        <f t="shared" si="35"/>
        <v>43414</v>
      </c>
      <c r="AB151" s="21">
        <v>6842</v>
      </c>
      <c r="AC151" s="21">
        <f t="shared" si="36"/>
        <v>6403</v>
      </c>
      <c r="AD151" s="21">
        <f t="shared" si="37"/>
        <v>9343</v>
      </c>
      <c r="AE151" s="21">
        <f t="shared" si="38"/>
        <v>9576</v>
      </c>
      <c r="AF151" s="21">
        <f t="shared" si="39"/>
        <v>11276</v>
      </c>
      <c r="AK151" s="16"/>
      <c r="AL151" s="17"/>
      <c r="AN151" s="16"/>
    </row>
    <row r="152" spans="2:40" x14ac:dyDescent="0.4">
      <c r="B152" s="6">
        <f t="shared" si="27"/>
        <v>43400</v>
      </c>
      <c r="C152" s="8">
        <f t="shared" si="28"/>
        <v>603.89599999999996</v>
      </c>
      <c r="D152" s="5">
        <f t="shared" si="29"/>
        <v>2174.0619999999994</v>
      </c>
      <c r="E152" s="5">
        <f t="shared" si="30"/>
        <v>2304.0619999999994</v>
      </c>
      <c r="F152" s="5">
        <f t="shared" si="31"/>
        <v>3864.0619999999994</v>
      </c>
      <c r="H152" s="6"/>
      <c r="I152" s="11">
        <v>43036</v>
      </c>
      <c r="J152" s="9">
        <v>548.73</v>
      </c>
      <c r="K152" s="9">
        <v>851.53</v>
      </c>
      <c r="O152" s="11">
        <v>43421</v>
      </c>
      <c r="P152" s="9">
        <v>0</v>
      </c>
      <c r="Q152" s="9">
        <v>5943</v>
      </c>
      <c r="R152" s="9">
        <v>8900</v>
      </c>
      <c r="S152" s="9">
        <v>9200</v>
      </c>
      <c r="T152" s="31">
        <v>10825</v>
      </c>
      <c r="W152" s="16">
        <f t="shared" si="32"/>
        <v>43036</v>
      </c>
      <c r="X152" s="9">
        <f t="shared" si="33"/>
        <v>548.73</v>
      </c>
      <c r="Y152" s="9">
        <f t="shared" si="34"/>
        <v>851.53</v>
      </c>
      <c r="AA152" s="16">
        <f t="shared" si="35"/>
        <v>43421</v>
      </c>
      <c r="AB152" s="21">
        <v>6740</v>
      </c>
      <c r="AC152" s="21">
        <f t="shared" si="36"/>
        <v>5943</v>
      </c>
      <c r="AD152" s="21">
        <f t="shared" si="37"/>
        <v>8900</v>
      </c>
      <c r="AE152" s="21">
        <f t="shared" si="38"/>
        <v>9200</v>
      </c>
      <c r="AF152" s="21">
        <f t="shared" si="39"/>
        <v>10825</v>
      </c>
      <c r="AK152" s="16"/>
      <c r="AL152" s="17"/>
      <c r="AN152" s="16"/>
    </row>
    <row r="153" spans="2:40" x14ac:dyDescent="0.4">
      <c r="B153" s="6">
        <f t="shared" si="27"/>
        <v>43407</v>
      </c>
      <c r="C153" s="8">
        <f t="shared" si="28"/>
        <v>601.73</v>
      </c>
      <c r="D153" s="5">
        <f t="shared" si="29"/>
        <v>1576.2849999999999</v>
      </c>
      <c r="E153" s="5">
        <f t="shared" si="30"/>
        <v>1666.2849999999999</v>
      </c>
      <c r="F153" s="5">
        <f t="shared" si="31"/>
        <v>3476.2849999999999</v>
      </c>
      <c r="H153" s="6"/>
      <c r="I153" s="11">
        <v>43043</v>
      </c>
      <c r="J153" s="9">
        <v>573.88400000000001</v>
      </c>
      <c r="K153" s="9">
        <v>868.86599999999999</v>
      </c>
      <c r="O153" s="11">
        <v>43428</v>
      </c>
      <c r="P153" s="9">
        <v>0</v>
      </c>
      <c r="Q153" s="9">
        <v>5926</v>
      </c>
      <c r="R153" s="9">
        <v>8827</v>
      </c>
      <c r="S153" s="9">
        <v>9216</v>
      </c>
      <c r="T153" s="31">
        <v>10747</v>
      </c>
      <c r="W153" s="16">
        <f t="shared" si="32"/>
        <v>43043</v>
      </c>
      <c r="X153" s="9">
        <f t="shared" si="33"/>
        <v>573.88400000000001</v>
      </c>
      <c r="Y153" s="9">
        <f t="shared" si="34"/>
        <v>868.86599999999999</v>
      </c>
      <c r="AA153" s="16">
        <f t="shared" si="35"/>
        <v>43428</v>
      </c>
      <c r="AB153" s="21">
        <v>6556.6</v>
      </c>
      <c r="AC153" s="21">
        <f t="shared" si="36"/>
        <v>5926</v>
      </c>
      <c r="AD153" s="21">
        <f t="shared" si="37"/>
        <v>8827</v>
      </c>
      <c r="AE153" s="21">
        <f t="shared" si="38"/>
        <v>9216</v>
      </c>
      <c r="AF153" s="21">
        <f t="shared" si="39"/>
        <v>10747</v>
      </c>
      <c r="AK153" s="16"/>
      <c r="AL153" s="17"/>
      <c r="AN153" s="16"/>
    </row>
    <row r="154" spans="2:40" x14ac:dyDescent="0.4">
      <c r="B154" s="6">
        <f t="shared" si="27"/>
        <v>43414</v>
      </c>
      <c r="C154" s="8">
        <f t="shared" si="28"/>
        <v>602.47299999999996</v>
      </c>
      <c r="D154" s="5">
        <f t="shared" si="29"/>
        <v>1348.085</v>
      </c>
      <c r="E154" s="5">
        <f t="shared" si="30"/>
        <v>1581.085</v>
      </c>
      <c r="F154" s="5">
        <f t="shared" si="31"/>
        <v>3281.085</v>
      </c>
      <c r="H154" s="6"/>
      <c r="I154" s="11">
        <v>43050</v>
      </c>
      <c r="J154" s="9">
        <v>605.51</v>
      </c>
      <c r="K154" s="9">
        <v>899.6</v>
      </c>
      <c r="O154" s="11">
        <v>43435</v>
      </c>
      <c r="P154" s="9">
        <v>0</v>
      </c>
      <c r="Q154" s="9">
        <v>5762</v>
      </c>
      <c r="R154" s="9">
        <v>8330</v>
      </c>
      <c r="S154" s="9">
        <v>8900</v>
      </c>
      <c r="T154" s="31">
        <v>10265</v>
      </c>
      <c r="W154" s="16">
        <f t="shared" si="32"/>
        <v>43050</v>
      </c>
      <c r="X154" s="9">
        <f t="shared" si="33"/>
        <v>605.51</v>
      </c>
      <c r="Y154" s="9">
        <f t="shared" si="34"/>
        <v>899.6</v>
      </c>
      <c r="AA154" s="16">
        <f t="shared" si="35"/>
        <v>43435</v>
      </c>
      <c r="AB154" s="21">
        <v>6134</v>
      </c>
      <c r="AC154" s="21">
        <f t="shared" si="36"/>
        <v>5762</v>
      </c>
      <c r="AD154" s="21">
        <f t="shared" si="37"/>
        <v>8330</v>
      </c>
      <c r="AE154" s="21">
        <f t="shared" si="38"/>
        <v>8900</v>
      </c>
      <c r="AF154" s="21">
        <f t="shared" si="39"/>
        <v>10265</v>
      </c>
      <c r="AK154" s="16"/>
      <c r="AL154" s="17"/>
      <c r="AN154" s="16"/>
    </row>
    <row r="155" spans="2:40" x14ac:dyDescent="0.4">
      <c r="B155" s="6">
        <f t="shared" si="27"/>
        <v>43421</v>
      </c>
      <c r="C155" s="8">
        <f t="shared" si="28"/>
        <v>596.12000000000012</v>
      </c>
      <c r="D155" s="5">
        <f t="shared" si="29"/>
        <v>1146.395</v>
      </c>
      <c r="E155" s="5">
        <f t="shared" si="30"/>
        <v>1446.395</v>
      </c>
      <c r="F155" s="5">
        <f t="shared" si="31"/>
        <v>3071.395</v>
      </c>
      <c r="H155" s="6"/>
      <c r="I155" s="11">
        <v>43057</v>
      </c>
      <c r="J155" s="9">
        <v>596.95600000000002</v>
      </c>
      <c r="K155" s="9">
        <v>900.46600000000001</v>
      </c>
      <c r="O155" s="11">
        <v>43442</v>
      </c>
      <c r="P155" s="9">
        <v>0</v>
      </c>
      <c r="Q155" s="9">
        <v>6048</v>
      </c>
      <c r="R155" s="9">
        <v>8445</v>
      </c>
      <c r="S155" s="9">
        <v>9045</v>
      </c>
      <c r="T155" s="31">
        <v>10313</v>
      </c>
      <c r="W155" s="16">
        <f t="shared" si="32"/>
        <v>43057</v>
      </c>
      <c r="X155" s="9">
        <f t="shared" si="33"/>
        <v>596.95600000000002</v>
      </c>
      <c r="Y155" s="9">
        <f t="shared" si="34"/>
        <v>900.46600000000001</v>
      </c>
      <c r="AA155" s="16">
        <f t="shared" si="35"/>
        <v>43442</v>
      </c>
      <c r="AB155" s="21">
        <v>6419.6</v>
      </c>
      <c r="AC155" s="21">
        <f t="shared" si="36"/>
        <v>6048</v>
      </c>
      <c r="AD155" s="21">
        <f t="shared" si="37"/>
        <v>8445</v>
      </c>
      <c r="AE155" s="21">
        <f t="shared" si="38"/>
        <v>9045</v>
      </c>
      <c r="AF155" s="21">
        <f t="shared" si="39"/>
        <v>10313</v>
      </c>
      <c r="AK155" s="16"/>
      <c r="AL155" s="17"/>
      <c r="AN155" s="16"/>
    </row>
    <row r="156" spans="2:40" x14ac:dyDescent="0.4">
      <c r="B156" s="6">
        <f t="shared" si="27"/>
        <v>43428</v>
      </c>
      <c r="C156" s="8">
        <f t="shared" si="28"/>
        <v>575.02800000000002</v>
      </c>
      <c r="D156" s="5">
        <f t="shared" si="29"/>
        <v>1235.8969999999999</v>
      </c>
      <c r="E156" s="5">
        <f t="shared" si="30"/>
        <v>1624.8969999999999</v>
      </c>
      <c r="F156" s="5">
        <f t="shared" si="31"/>
        <v>3155.8969999999999</v>
      </c>
      <c r="H156" s="6"/>
      <c r="I156" s="11">
        <v>43064</v>
      </c>
      <c r="J156" s="9">
        <v>599.98199999999997</v>
      </c>
      <c r="K156" s="9">
        <v>908.702</v>
      </c>
      <c r="O156" s="11">
        <v>43449</v>
      </c>
      <c r="P156" s="9">
        <v>0</v>
      </c>
      <c r="Q156" s="9">
        <v>5741</v>
      </c>
      <c r="R156" s="9">
        <v>8635</v>
      </c>
      <c r="S156" s="9">
        <v>9330</v>
      </c>
      <c r="T156" s="31">
        <v>10400</v>
      </c>
      <c r="W156" s="16">
        <f t="shared" si="32"/>
        <v>43064</v>
      </c>
      <c r="X156" s="9">
        <f t="shared" si="33"/>
        <v>599.98199999999997</v>
      </c>
      <c r="Y156" s="9">
        <f t="shared" si="34"/>
        <v>908.702</v>
      </c>
      <c r="AA156" s="16">
        <f t="shared" si="35"/>
        <v>43449</v>
      </c>
      <c r="AB156" s="21">
        <v>6634.6</v>
      </c>
      <c r="AC156" s="21">
        <f t="shared" si="36"/>
        <v>5741</v>
      </c>
      <c r="AD156" s="21">
        <f t="shared" si="37"/>
        <v>8635</v>
      </c>
      <c r="AE156" s="21">
        <f t="shared" si="38"/>
        <v>9330</v>
      </c>
      <c r="AF156" s="21">
        <f t="shared" si="39"/>
        <v>10400</v>
      </c>
      <c r="AK156" s="16"/>
      <c r="AL156" s="17"/>
      <c r="AN156" s="16"/>
    </row>
    <row r="157" spans="2:40" x14ac:dyDescent="0.4">
      <c r="B157" s="6">
        <f t="shared" si="27"/>
        <v>43435</v>
      </c>
      <c r="C157" s="8">
        <f t="shared" si="28"/>
        <v>529.80400000000009</v>
      </c>
      <c r="D157" s="5">
        <f t="shared" si="29"/>
        <v>1155.1600000000001</v>
      </c>
      <c r="E157" s="5">
        <f t="shared" si="30"/>
        <v>1725.16</v>
      </c>
      <c r="F157" s="5">
        <f t="shared" si="31"/>
        <v>3090.16</v>
      </c>
      <c r="H157" s="6"/>
      <c r="I157" s="11">
        <v>43071</v>
      </c>
      <c r="J157" s="9">
        <v>603.42999999999995</v>
      </c>
      <c r="K157" s="9">
        <v>904.63599999999997</v>
      </c>
      <c r="O157" s="11">
        <v>43456</v>
      </c>
      <c r="P157" s="9">
        <v>0</v>
      </c>
      <c r="Q157" s="9">
        <v>5731</v>
      </c>
      <c r="R157" s="9">
        <v>8725</v>
      </c>
      <c r="S157" s="9">
        <v>9450</v>
      </c>
      <c r="T157" s="31">
        <v>10475</v>
      </c>
      <c r="W157" s="16">
        <f t="shared" si="32"/>
        <v>43071</v>
      </c>
      <c r="X157" s="9">
        <f t="shared" si="33"/>
        <v>603.42999999999995</v>
      </c>
      <c r="Y157" s="9">
        <f t="shared" si="34"/>
        <v>904.63599999999997</v>
      </c>
      <c r="AA157" s="16">
        <f t="shared" si="35"/>
        <v>43456</v>
      </c>
      <c r="AB157" s="21">
        <v>6594.6</v>
      </c>
      <c r="AC157" s="21">
        <f t="shared" si="36"/>
        <v>5731</v>
      </c>
      <c r="AD157" s="21">
        <f t="shared" si="37"/>
        <v>8725</v>
      </c>
      <c r="AE157" s="21">
        <f t="shared" si="38"/>
        <v>9450</v>
      </c>
      <c r="AF157" s="21">
        <f t="shared" si="39"/>
        <v>10475</v>
      </c>
      <c r="AK157" s="16"/>
      <c r="AL157" s="17"/>
      <c r="AN157" s="16"/>
    </row>
    <row r="158" spans="2:40" x14ac:dyDescent="0.4">
      <c r="B158" s="6">
        <f t="shared" si="27"/>
        <v>43442</v>
      </c>
      <c r="C158" s="8">
        <f t="shared" si="28"/>
        <v>545.77599999999995</v>
      </c>
      <c r="D158" s="5">
        <f t="shared" si="29"/>
        <v>930.16200000000003</v>
      </c>
      <c r="E158" s="5">
        <f t="shared" si="30"/>
        <v>1530.162</v>
      </c>
      <c r="F158" s="5">
        <f t="shared" si="31"/>
        <v>2798.1620000000003</v>
      </c>
      <c r="H158" s="6"/>
      <c r="I158" s="11">
        <v>43078</v>
      </c>
      <c r="J158" s="9">
        <v>595.38199999999995</v>
      </c>
      <c r="K158" s="9">
        <v>907.13400000000001</v>
      </c>
      <c r="O158" s="11">
        <v>43463</v>
      </c>
      <c r="P158" s="9">
        <v>0</v>
      </c>
      <c r="Q158" s="9">
        <v>5272.5</v>
      </c>
      <c r="R158" s="9">
        <v>8274.1666666666661</v>
      </c>
      <c r="S158" s="9">
        <v>9250</v>
      </c>
      <c r="T158" s="31">
        <v>10229.166666666666</v>
      </c>
      <c r="W158" s="16">
        <f t="shared" si="32"/>
        <v>43078</v>
      </c>
      <c r="X158" s="9">
        <f t="shared" si="33"/>
        <v>595.38199999999995</v>
      </c>
      <c r="Y158" s="9">
        <f t="shared" si="34"/>
        <v>907.13400000000001</v>
      </c>
      <c r="AA158" s="16">
        <f t="shared" si="35"/>
        <v>43463</v>
      </c>
      <c r="AB158" s="21">
        <v>6152.5</v>
      </c>
      <c r="AC158" s="21">
        <f t="shared" si="36"/>
        <v>5272.5</v>
      </c>
      <c r="AD158" s="21">
        <f t="shared" si="37"/>
        <v>8274.1666666666661</v>
      </c>
      <c r="AE158" s="21">
        <f t="shared" si="38"/>
        <v>9250</v>
      </c>
      <c r="AF158" s="21">
        <f t="shared" si="39"/>
        <v>10229.166666666666</v>
      </c>
      <c r="AK158" s="16"/>
      <c r="AL158" s="17"/>
      <c r="AN158" s="16"/>
    </row>
    <row r="159" spans="2:40" x14ac:dyDescent="0.4">
      <c r="B159" s="6">
        <f t="shared" si="27"/>
        <v>43449</v>
      </c>
      <c r="C159" s="8">
        <f t="shared" si="28"/>
        <v>571.26199999999994</v>
      </c>
      <c r="D159" s="5">
        <f t="shared" si="29"/>
        <v>1039.1819999999993</v>
      </c>
      <c r="E159" s="5">
        <f t="shared" si="30"/>
        <v>1734.1819999999993</v>
      </c>
      <c r="F159" s="5">
        <f t="shared" si="31"/>
        <v>2804.1819999999993</v>
      </c>
      <c r="H159" s="6"/>
      <c r="I159" s="11">
        <v>43085</v>
      </c>
      <c r="J159" s="9">
        <v>606.95600000000002</v>
      </c>
      <c r="K159" s="9">
        <v>905.1</v>
      </c>
      <c r="O159" s="11">
        <v>43470</v>
      </c>
      <c r="P159" s="9">
        <v>0</v>
      </c>
      <c r="Q159" s="9">
        <v>5126.666666666667</v>
      </c>
      <c r="R159" s="9">
        <v>8100</v>
      </c>
      <c r="S159" s="9">
        <v>9100</v>
      </c>
      <c r="T159" s="31">
        <v>10100</v>
      </c>
      <c r="W159" s="16">
        <f t="shared" si="32"/>
        <v>43085</v>
      </c>
      <c r="X159" s="9">
        <f t="shared" si="33"/>
        <v>606.95600000000002</v>
      </c>
      <c r="Y159" s="9">
        <f t="shared" si="34"/>
        <v>905.1</v>
      </c>
      <c r="AA159" s="16">
        <f t="shared" si="35"/>
        <v>43470</v>
      </c>
      <c r="AB159" s="21">
        <v>6021.666666666667</v>
      </c>
      <c r="AC159" s="21">
        <f t="shared" si="36"/>
        <v>5126.666666666667</v>
      </c>
      <c r="AD159" s="21">
        <f t="shared" si="37"/>
        <v>8100</v>
      </c>
      <c r="AE159" s="21">
        <f t="shared" si="38"/>
        <v>9100</v>
      </c>
      <c r="AF159" s="21">
        <f t="shared" si="39"/>
        <v>10100</v>
      </c>
      <c r="AK159" s="16"/>
      <c r="AL159" s="17"/>
      <c r="AN159" s="16"/>
    </row>
    <row r="160" spans="2:40" x14ac:dyDescent="0.4">
      <c r="B160" s="6">
        <f t="shared" si="27"/>
        <v>43456</v>
      </c>
      <c r="C160" s="8">
        <f t="shared" si="28"/>
        <v>559.10800000000006</v>
      </c>
      <c r="D160" s="5">
        <f t="shared" si="29"/>
        <v>1166.732</v>
      </c>
      <c r="E160" s="5">
        <f t="shared" si="30"/>
        <v>1891.732</v>
      </c>
      <c r="F160" s="5">
        <f t="shared" si="31"/>
        <v>2916.732</v>
      </c>
      <c r="H160" s="6"/>
      <c r="I160" s="11">
        <v>43092</v>
      </c>
      <c r="J160" s="9">
        <v>600.03200000000004</v>
      </c>
      <c r="K160" s="9">
        <v>908.2</v>
      </c>
      <c r="O160" s="11">
        <v>43477</v>
      </c>
      <c r="P160" s="9">
        <v>0</v>
      </c>
      <c r="Q160" s="9">
        <v>5178</v>
      </c>
      <c r="R160" s="9">
        <v>8120</v>
      </c>
      <c r="S160" s="9">
        <v>9140</v>
      </c>
      <c r="T160" s="31">
        <v>10120</v>
      </c>
      <c r="W160" s="16">
        <f t="shared" si="32"/>
        <v>43092</v>
      </c>
      <c r="X160" s="9">
        <f t="shared" si="33"/>
        <v>600.03200000000004</v>
      </c>
      <c r="Y160" s="9">
        <f t="shared" si="34"/>
        <v>908.2</v>
      </c>
      <c r="AA160" s="16">
        <f t="shared" si="35"/>
        <v>43477</v>
      </c>
      <c r="AB160" s="21">
        <v>6243</v>
      </c>
      <c r="AC160" s="21">
        <f t="shared" si="36"/>
        <v>5178</v>
      </c>
      <c r="AD160" s="21">
        <f t="shared" si="37"/>
        <v>8120</v>
      </c>
      <c r="AE160" s="21">
        <f t="shared" si="38"/>
        <v>9140</v>
      </c>
      <c r="AF160" s="21">
        <f t="shared" si="39"/>
        <v>10120</v>
      </c>
      <c r="AK160" s="16"/>
      <c r="AL160" s="17"/>
      <c r="AN160" s="16"/>
    </row>
    <row r="161" spans="2:40" x14ac:dyDescent="0.4">
      <c r="B161" s="6">
        <f t="shared" si="27"/>
        <v>43463</v>
      </c>
      <c r="C161" s="8">
        <f t="shared" si="28"/>
        <v>521.17066666666665</v>
      </c>
      <c r="D161" s="5">
        <f t="shared" si="29"/>
        <v>1247.4916666666661</v>
      </c>
      <c r="E161" s="5">
        <f t="shared" si="30"/>
        <v>2223.3249999999998</v>
      </c>
      <c r="F161" s="5">
        <f t="shared" si="31"/>
        <v>3202.4916666666659</v>
      </c>
      <c r="H161" s="6"/>
      <c r="I161" s="11">
        <v>43099</v>
      </c>
      <c r="J161" s="9">
        <v>620.85500000000002</v>
      </c>
      <c r="K161" s="9">
        <v>924.58249999999998</v>
      </c>
      <c r="O161" s="11">
        <v>43484</v>
      </c>
      <c r="P161" s="9">
        <v>0</v>
      </c>
      <c r="Q161" s="9">
        <v>5111</v>
      </c>
      <c r="R161" s="9">
        <v>8150</v>
      </c>
      <c r="S161" s="9">
        <v>9200</v>
      </c>
      <c r="T161" s="31">
        <v>10150</v>
      </c>
      <c r="W161" s="16">
        <f t="shared" si="32"/>
        <v>43099</v>
      </c>
      <c r="X161" s="9">
        <f t="shared" si="33"/>
        <v>620.85500000000002</v>
      </c>
      <c r="Y161" s="9">
        <f t="shared" si="34"/>
        <v>924.58249999999998</v>
      </c>
      <c r="AA161" s="16">
        <f t="shared" si="35"/>
        <v>43484</v>
      </c>
      <c r="AB161" s="21">
        <v>6303</v>
      </c>
      <c r="AC161" s="21">
        <f t="shared" si="36"/>
        <v>5111</v>
      </c>
      <c r="AD161" s="21">
        <f t="shared" si="37"/>
        <v>8150</v>
      </c>
      <c r="AE161" s="21">
        <f t="shared" si="38"/>
        <v>9200</v>
      </c>
      <c r="AF161" s="21">
        <f t="shared" si="39"/>
        <v>10150</v>
      </c>
      <c r="AK161" s="16"/>
      <c r="AL161" s="17"/>
      <c r="AN161" s="16"/>
    </row>
    <row r="162" spans="2:40" x14ac:dyDescent="0.4">
      <c r="B162" s="6">
        <f t="shared" si="27"/>
        <v>43470</v>
      </c>
      <c r="C162" s="8">
        <f t="shared" si="28"/>
        <v>493.8966666666667</v>
      </c>
      <c r="D162" s="5">
        <f t="shared" si="29"/>
        <v>1234.0416666666658</v>
      </c>
      <c r="E162" s="5">
        <f t="shared" si="30"/>
        <v>2234.0416666666661</v>
      </c>
      <c r="F162" s="5">
        <f t="shared" si="31"/>
        <v>3234.0416666666661</v>
      </c>
      <c r="H162" s="6"/>
      <c r="I162" s="11">
        <v>43106</v>
      </c>
      <c r="J162" s="9">
        <v>617.51250000000005</v>
      </c>
      <c r="K162" s="9">
        <v>941.875</v>
      </c>
      <c r="O162" s="11">
        <v>43491</v>
      </c>
      <c r="P162" s="9">
        <v>0</v>
      </c>
      <c r="Q162" s="9">
        <v>5087</v>
      </c>
      <c r="R162" s="9">
        <v>8420</v>
      </c>
      <c r="S162" s="9">
        <v>9520</v>
      </c>
      <c r="T162" s="31">
        <v>10340</v>
      </c>
      <c r="W162" s="16">
        <f t="shared" si="32"/>
        <v>43106</v>
      </c>
      <c r="X162" s="9">
        <f t="shared" si="33"/>
        <v>617.51250000000005</v>
      </c>
      <c r="Y162" s="9">
        <f t="shared" si="34"/>
        <v>941.875</v>
      </c>
      <c r="AA162" s="16">
        <f t="shared" si="35"/>
        <v>43491</v>
      </c>
      <c r="AB162" s="21">
        <v>6510</v>
      </c>
      <c r="AC162" s="21">
        <f t="shared" si="36"/>
        <v>5087</v>
      </c>
      <c r="AD162" s="21">
        <f t="shared" si="37"/>
        <v>8420</v>
      </c>
      <c r="AE162" s="21">
        <f t="shared" si="38"/>
        <v>9520</v>
      </c>
      <c r="AF162" s="21">
        <f t="shared" si="39"/>
        <v>10340</v>
      </c>
      <c r="AK162" s="16"/>
      <c r="AL162" s="17"/>
      <c r="AN162" s="16"/>
    </row>
    <row r="163" spans="2:40" x14ac:dyDescent="0.4">
      <c r="B163" s="6">
        <f t="shared" si="27"/>
        <v>43477</v>
      </c>
      <c r="C163" s="8">
        <f t="shared" si="28"/>
        <v>549.95799999999997</v>
      </c>
      <c r="D163" s="5">
        <f t="shared" si="29"/>
        <v>1047.6049999999996</v>
      </c>
      <c r="E163" s="5">
        <f t="shared" si="30"/>
        <v>2067.6049999999996</v>
      </c>
      <c r="F163" s="5">
        <f t="shared" si="31"/>
        <v>3047.6049999999996</v>
      </c>
      <c r="H163" s="6"/>
      <c r="I163" s="11">
        <v>43113</v>
      </c>
      <c r="J163" s="9">
        <v>616.60599999999999</v>
      </c>
      <c r="K163" s="9">
        <v>957.53599999999994</v>
      </c>
      <c r="O163" s="11">
        <v>43498</v>
      </c>
      <c r="P163" s="9">
        <v>0</v>
      </c>
      <c r="Q163" s="9">
        <v>5070</v>
      </c>
      <c r="R163" s="9">
        <v>8450</v>
      </c>
      <c r="S163" s="9">
        <v>9550</v>
      </c>
      <c r="T163" s="31">
        <v>10350</v>
      </c>
      <c r="W163" s="16">
        <f t="shared" si="32"/>
        <v>43113</v>
      </c>
      <c r="X163" s="9">
        <f t="shared" si="33"/>
        <v>616.60599999999999</v>
      </c>
      <c r="Y163" s="9">
        <f t="shared" si="34"/>
        <v>957.53599999999994</v>
      </c>
      <c r="AA163" s="16">
        <f t="shared" si="35"/>
        <v>43498</v>
      </c>
      <c r="AB163" s="21">
        <v>6546.666666666667</v>
      </c>
      <c r="AC163" s="21">
        <f t="shared" si="36"/>
        <v>5070</v>
      </c>
      <c r="AD163" s="21">
        <f t="shared" si="37"/>
        <v>8450</v>
      </c>
      <c r="AE163" s="21">
        <f t="shared" si="38"/>
        <v>9550</v>
      </c>
      <c r="AF163" s="21">
        <f t="shared" si="39"/>
        <v>10350</v>
      </c>
      <c r="AK163" s="16"/>
      <c r="AL163" s="17"/>
      <c r="AN163" s="16"/>
    </row>
    <row r="164" spans="2:40" x14ac:dyDescent="0.4">
      <c r="B164" s="6">
        <f t="shared" si="27"/>
        <v>43484</v>
      </c>
      <c r="C164" s="8">
        <f t="shared" si="28"/>
        <v>573.78800000000001</v>
      </c>
      <c r="D164" s="5">
        <f t="shared" si="29"/>
        <v>1048.7500000000002</v>
      </c>
      <c r="E164" s="5">
        <f t="shared" si="30"/>
        <v>2098.75</v>
      </c>
      <c r="F164" s="5">
        <f t="shared" si="31"/>
        <v>3048.75</v>
      </c>
      <c r="H164" s="6"/>
      <c r="I164" s="11">
        <v>43120</v>
      </c>
      <c r="J164" s="9">
        <v>613.10799999999995</v>
      </c>
      <c r="K164" s="9">
        <v>960.46400000000006</v>
      </c>
      <c r="O164" s="11">
        <v>43505</v>
      </c>
      <c r="P164" s="9">
        <v>0</v>
      </c>
      <c r="Q164" s="9">
        <v>5110</v>
      </c>
      <c r="R164" s="9">
        <v>0</v>
      </c>
      <c r="S164" s="9">
        <v>0</v>
      </c>
      <c r="T164" s="31">
        <v>0</v>
      </c>
      <c r="W164" s="16">
        <f t="shared" si="32"/>
        <v>43120</v>
      </c>
      <c r="X164" s="9">
        <f t="shared" si="33"/>
        <v>613.10799999999995</v>
      </c>
      <c r="Y164" s="9">
        <f t="shared" si="34"/>
        <v>960.46400000000006</v>
      </c>
      <c r="AA164" s="16">
        <f t="shared" si="35"/>
        <v>43505</v>
      </c>
      <c r="AB164" s="21">
        <v>6655</v>
      </c>
      <c r="AC164" s="21">
        <f t="shared" si="36"/>
        <v>5110</v>
      </c>
      <c r="AD164" s="21">
        <f t="shared" si="37"/>
        <v>8450</v>
      </c>
      <c r="AE164" s="21">
        <f t="shared" si="38"/>
        <v>9550</v>
      </c>
      <c r="AF164" s="21">
        <f t="shared" si="39"/>
        <v>10350</v>
      </c>
      <c r="AK164" s="16"/>
      <c r="AL164" s="17"/>
      <c r="AN164" s="16"/>
    </row>
    <row r="165" spans="2:40" x14ac:dyDescent="0.4">
      <c r="B165" s="6">
        <f t="shared" si="27"/>
        <v>43491</v>
      </c>
      <c r="C165" s="8">
        <f t="shared" si="28"/>
        <v>585.53800000000001</v>
      </c>
      <c r="D165" s="5">
        <f t="shared" si="29"/>
        <v>1149.8049999999996</v>
      </c>
      <c r="E165" s="5">
        <f t="shared" si="30"/>
        <v>2249.8049999999994</v>
      </c>
      <c r="F165" s="5">
        <f t="shared" si="31"/>
        <v>3069.8049999999994</v>
      </c>
      <c r="H165" s="6"/>
      <c r="I165" s="11">
        <v>43127</v>
      </c>
      <c r="J165" s="9">
        <v>607.33000000000004</v>
      </c>
      <c r="K165" s="9">
        <v>983.03</v>
      </c>
      <c r="O165" s="11">
        <v>43512</v>
      </c>
      <c r="P165" s="9">
        <v>0</v>
      </c>
      <c r="Q165" s="9">
        <v>5062</v>
      </c>
      <c r="R165" s="9">
        <v>8450</v>
      </c>
      <c r="S165" s="9">
        <v>9550</v>
      </c>
      <c r="T165" s="31">
        <v>10350</v>
      </c>
      <c r="W165" s="16">
        <f t="shared" si="32"/>
        <v>43127</v>
      </c>
      <c r="X165" s="9">
        <f t="shared" si="33"/>
        <v>607.33000000000004</v>
      </c>
      <c r="Y165" s="9">
        <f t="shared" si="34"/>
        <v>983.03</v>
      </c>
      <c r="AA165" s="16">
        <f t="shared" si="35"/>
        <v>43512</v>
      </c>
      <c r="AB165" s="21">
        <v>6553</v>
      </c>
      <c r="AC165" s="21">
        <f t="shared" si="36"/>
        <v>5062</v>
      </c>
      <c r="AD165" s="21">
        <f t="shared" si="37"/>
        <v>8450</v>
      </c>
      <c r="AE165" s="21">
        <f t="shared" si="38"/>
        <v>9550</v>
      </c>
      <c r="AF165" s="21">
        <f t="shared" si="39"/>
        <v>10350</v>
      </c>
      <c r="AK165" s="16"/>
      <c r="AL165" s="17"/>
      <c r="AN165" s="16"/>
    </row>
    <row r="166" spans="2:40" x14ac:dyDescent="0.4">
      <c r="B166" s="6">
        <f t="shared" si="27"/>
        <v>43498</v>
      </c>
      <c r="C166" s="8">
        <f t="shared" si="28"/>
        <v>571.76400000000012</v>
      </c>
      <c r="D166" s="5">
        <f t="shared" si="29"/>
        <v>1154.1499999999994</v>
      </c>
      <c r="E166" s="5">
        <f t="shared" si="30"/>
        <v>2254.1499999999996</v>
      </c>
      <c r="F166" s="5">
        <f t="shared" si="31"/>
        <v>3054.1499999999996</v>
      </c>
      <c r="H166" s="6"/>
      <c r="I166" s="11">
        <v>43134</v>
      </c>
      <c r="J166" s="9">
        <v>598.18200000000002</v>
      </c>
      <c r="K166" s="9">
        <v>982.69799999999998</v>
      </c>
      <c r="O166" s="11">
        <v>43519</v>
      </c>
      <c r="P166" s="9">
        <v>0</v>
      </c>
      <c r="Q166" s="9">
        <v>4944</v>
      </c>
      <c r="R166" s="9">
        <v>8400</v>
      </c>
      <c r="S166" s="9">
        <v>9410</v>
      </c>
      <c r="T166" s="31">
        <v>10290</v>
      </c>
      <c r="W166" s="16">
        <f t="shared" si="32"/>
        <v>43134</v>
      </c>
      <c r="X166" s="9">
        <f t="shared" si="33"/>
        <v>598.18200000000002</v>
      </c>
      <c r="Y166" s="9">
        <f t="shared" si="34"/>
        <v>982.69799999999998</v>
      </c>
      <c r="AA166" s="16">
        <f t="shared" si="35"/>
        <v>43519</v>
      </c>
      <c r="AB166" s="21">
        <v>6446.4</v>
      </c>
      <c r="AC166" s="21">
        <f t="shared" si="36"/>
        <v>4944</v>
      </c>
      <c r="AD166" s="21">
        <f t="shared" si="37"/>
        <v>8400</v>
      </c>
      <c r="AE166" s="21">
        <f t="shared" si="38"/>
        <v>9410</v>
      </c>
      <c r="AF166" s="21">
        <f t="shared" si="39"/>
        <v>10290</v>
      </c>
      <c r="AK166" s="16"/>
      <c r="AL166" s="17"/>
      <c r="AN166" s="16"/>
    </row>
    <row r="167" spans="2:40" x14ac:dyDescent="0.4">
      <c r="B167" s="6">
        <f t="shared" si="27"/>
        <v>43505</v>
      </c>
      <c r="C167" s="8">
        <f t="shared" si="28"/>
        <v>587.65333333333342</v>
      </c>
      <c r="D167" s="5">
        <f t="shared" si="29"/>
        <v>1048.1250000000002</v>
      </c>
      <c r="E167" s="5">
        <f t="shared" si="30"/>
        <v>2148.125</v>
      </c>
      <c r="F167" s="5">
        <f t="shared" si="31"/>
        <v>2948.125</v>
      </c>
      <c r="H167" s="6"/>
      <c r="I167" s="11">
        <v>43141</v>
      </c>
      <c r="J167" s="9">
        <v>564.63400000000001</v>
      </c>
      <c r="K167" s="9">
        <v>964.76400000000001</v>
      </c>
      <c r="O167" s="11">
        <v>43526</v>
      </c>
      <c r="P167" s="9">
        <v>0</v>
      </c>
      <c r="Q167" s="9">
        <v>5016</v>
      </c>
      <c r="R167" s="9">
        <v>8220</v>
      </c>
      <c r="S167" s="9">
        <v>9205</v>
      </c>
      <c r="T167" s="31">
        <v>10190</v>
      </c>
      <c r="W167" s="16">
        <f t="shared" si="32"/>
        <v>43141</v>
      </c>
      <c r="X167" s="9">
        <f t="shared" si="33"/>
        <v>564.63400000000001</v>
      </c>
      <c r="Y167" s="9">
        <f t="shared" si="34"/>
        <v>964.76400000000001</v>
      </c>
      <c r="AA167" s="16">
        <f t="shared" si="35"/>
        <v>43526</v>
      </c>
      <c r="AB167" s="21">
        <v>6380</v>
      </c>
      <c r="AC167" s="21">
        <f t="shared" si="36"/>
        <v>5016</v>
      </c>
      <c r="AD167" s="21">
        <f t="shared" si="37"/>
        <v>8220</v>
      </c>
      <c r="AE167" s="21">
        <f t="shared" si="38"/>
        <v>9205</v>
      </c>
      <c r="AF167" s="21">
        <f t="shared" si="39"/>
        <v>10190</v>
      </c>
      <c r="AK167" s="16"/>
      <c r="AL167" s="17"/>
      <c r="AN167" s="16"/>
    </row>
    <row r="168" spans="2:40" x14ac:dyDescent="0.4">
      <c r="B168" s="6">
        <f t="shared" si="27"/>
        <v>43512</v>
      </c>
      <c r="C168" s="8">
        <f t="shared" si="28"/>
        <v>587.82799999999986</v>
      </c>
      <c r="D168" s="5">
        <f t="shared" si="29"/>
        <v>1151.4150000000002</v>
      </c>
      <c r="E168" s="5">
        <f t="shared" si="30"/>
        <v>2251.415</v>
      </c>
      <c r="F168" s="5">
        <f t="shared" si="31"/>
        <v>3051.415</v>
      </c>
      <c r="H168" s="6"/>
      <c r="I168" s="11">
        <v>43148</v>
      </c>
      <c r="J168" s="9">
        <v>546.45249999999999</v>
      </c>
      <c r="K168" s="9">
        <v>953.33600000000001</v>
      </c>
      <c r="O168" s="11">
        <v>43533</v>
      </c>
      <c r="P168" s="9">
        <v>0</v>
      </c>
      <c r="Q168" s="9">
        <v>5255</v>
      </c>
      <c r="R168" s="9">
        <v>8360</v>
      </c>
      <c r="S168" s="9">
        <v>9305</v>
      </c>
      <c r="T168" s="31">
        <v>10210</v>
      </c>
      <c r="W168" s="16">
        <f t="shared" si="32"/>
        <v>43148</v>
      </c>
      <c r="X168" s="9">
        <f t="shared" si="33"/>
        <v>546.45249999999999</v>
      </c>
      <c r="Y168" s="9">
        <f t="shared" si="34"/>
        <v>953.33600000000001</v>
      </c>
      <c r="AA168" s="16">
        <f t="shared" si="35"/>
        <v>43533</v>
      </c>
      <c r="AB168" s="21">
        <v>6677</v>
      </c>
      <c r="AC168" s="21">
        <f t="shared" si="36"/>
        <v>5255</v>
      </c>
      <c r="AD168" s="21">
        <f t="shared" si="37"/>
        <v>8360</v>
      </c>
      <c r="AE168" s="21">
        <f t="shared" si="38"/>
        <v>9305</v>
      </c>
      <c r="AF168" s="21">
        <f t="shared" si="39"/>
        <v>10210</v>
      </c>
      <c r="AK168" s="16"/>
      <c r="AL168" s="17"/>
      <c r="AN168" s="16"/>
    </row>
    <row r="169" spans="2:40" x14ac:dyDescent="0.4">
      <c r="B169" s="6">
        <f t="shared" si="27"/>
        <v>43519</v>
      </c>
      <c r="C169" s="8">
        <f t="shared" si="28"/>
        <v>571.85599999999999</v>
      </c>
      <c r="D169" s="5">
        <f t="shared" si="29"/>
        <v>1232.0880000000004</v>
      </c>
      <c r="E169" s="5">
        <f t="shared" si="30"/>
        <v>2242.0880000000006</v>
      </c>
      <c r="F169" s="5">
        <f t="shared" si="31"/>
        <v>3122.0880000000006</v>
      </c>
      <c r="H169" s="6"/>
      <c r="I169" s="11">
        <v>43155</v>
      </c>
      <c r="J169" s="9">
        <v>557.90599999999995</v>
      </c>
      <c r="K169" s="9">
        <v>972.33199999999999</v>
      </c>
      <c r="O169" s="11">
        <v>43540</v>
      </c>
      <c r="P169" s="9">
        <v>0</v>
      </c>
      <c r="Q169" s="9">
        <v>5191</v>
      </c>
      <c r="R169" s="9">
        <v>8500</v>
      </c>
      <c r="S169" s="9">
        <v>9365</v>
      </c>
      <c r="T169" s="31">
        <v>10265</v>
      </c>
      <c r="W169" s="16">
        <f t="shared" si="32"/>
        <v>43155</v>
      </c>
      <c r="X169" s="9">
        <f t="shared" si="33"/>
        <v>557.90599999999995</v>
      </c>
      <c r="Y169" s="9">
        <f t="shared" si="34"/>
        <v>972.33199999999999</v>
      </c>
      <c r="AA169" s="16">
        <f t="shared" si="35"/>
        <v>43540</v>
      </c>
      <c r="AB169" s="21">
        <v>6600</v>
      </c>
      <c r="AC169" s="21">
        <f t="shared" si="36"/>
        <v>5191</v>
      </c>
      <c r="AD169" s="21">
        <f t="shared" si="37"/>
        <v>8500</v>
      </c>
      <c r="AE169" s="21">
        <f t="shared" si="38"/>
        <v>9365</v>
      </c>
      <c r="AF169" s="21">
        <f t="shared" si="39"/>
        <v>10265</v>
      </c>
      <c r="AK169" s="16"/>
      <c r="AL169" s="17"/>
      <c r="AN169" s="16"/>
    </row>
    <row r="170" spans="2:40" x14ac:dyDescent="0.4">
      <c r="B170" s="6">
        <f t="shared" si="27"/>
        <v>43526</v>
      </c>
      <c r="C170" s="8">
        <f t="shared" si="28"/>
        <v>569.774</v>
      </c>
      <c r="D170" s="5">
        <f t="shared" si="29"/>
        <v>1084.7400000000002</v>
      </c>
      <c r="E170" s="5">
        <f t="shared" si="30"/>
        <v>2069.7400000000002</v>
      </c>
      <c r="F170" s="5">
        <f t="shared" si="31"/>
        <v>3054.7400000000002</v>
      </c>
      <c r="H170" s="6"/>
      <c r="I170" s="11">
        <v>43162</v>
      </c>
      <c r="J170" s="9">
        <v>571.13</v>
      </c>
      <c r="K170" s="9">
        <v>982.1</v>
      </c>
      <c r="O170" s="11">
        <v>43547</v>
      </c>
      <c r="P170" s="9">
        <v>0</v>
      </c>
      <c r="Q170" s="9">
        <v>5115</v>
      </c>
      <c r="R170" s="9">
        <v>8620</v>
      </c>
      <c r="S170" s="9">
        <v>9465</v>
      </c>
      <c r="T170" s="31">
        <v>10320</v>
      </c>
      <c r="W170" s="16">
        <f t="shared" si="32"/>
        <v>43162</v>
      </c>
      <c r="X170" s="9">
        <f t="shared" si="33"/>
        <v>571.13</v>
      </c>
      <c r="Y170" s="9">
        <f t="shared" si="34"/>
        <v>982.1</v>
      </c>
      <c r="AA170" s="16">
        <f t="shared" si="35"/>
        <v>43547</v>
      </c>
      <c r="AB170" s="21">
        <v>6460</v>
      </c>
      <c r="AC170" s="21">
        <f t="shared" si="36"/>
        <v>5115</v>
      </c>
      <c r="AD170" s="21">
        <f t="shared" si="37"/>
        <v>8620</v>
      </c>
      <c r="AE170" s="21">
        <f t="shared" si="38"/>
        <v>9465</v>
      </c>
      <c r="AF170" s="21">
        <f t="shared" si="39"/>
        <v>10320</v>
      </c>
      <c r="AK170" s="16"/>
      <c r="AL170" s="17"/>
      <c r="AN170" s="16"/>
    </row>
    <row r="171" spans="2:40" x14ac:dyDescent="0.4">
      <c r="B171" s="6">
        <f t="shared" si="27"/>
        <v>43533</v>
      </c>
      <c r="C171" s="8">
        <f t="shared" si="28"/>
        <v>582.02799999999991</v>
      </c>
      <c r="D171" s="5">
        <f t="shared" si="29"/>
        <v>890.73999999999978</v>
      </c>
      <c r="E171" s="5">
        <f t="shared" si="30"/>
        <v>1835.7399999999998</v>
      </c>
      <c r="F171" s="5">
        <f t="shared" si="31"/>
        <v>2740.74</v>
      </c>
      <c r="H171" s="6"/>
      <c r="I171" s="11">
        <v>43169</v>
      </c>
      <c r="J171" s="9">
        <v>566.65599999999995</v>
      </c>
      <c r="K171" s="9">
        <v>964.66399999999999</v>
      </c>
      <c r="O171" s="11">
        <v>43554</v>
      </c>
      <c r="P171" s="9">
        <v>0</v>
      </c>
      <c r="Q171" s="9">
        <v>4965.5</v>
      </c>
      <c r="R171" s="9">
        <v>8750</v>
      </c>
      <c r="S171" s="9">
        <v>9500</v>
      </c>
      <c r="T171" s="31">
        <v>10350</v>
      </c>
      <c r="W171" s="16">
        <f t="shared" si="32"/>
        <v>43169</v>
      </c>
      <c r="X171" s="9">
        <f t="shared" si="33"/>
        <v>566.65599999999995</v>
      </c>
      <c r="Y171" s="9">
        <f t="shared" si="34"/>
        <v>964.66399999999999</v>
      </c>
      <c r="AA171" s="16">
        <f t="shared" si="35"/>
        <v>43554</v>
      </c>
      <c r="AB171" s="21">
        <v>6538</v>
      </c>
      <c r="AC171" s="21">
        <f t="shared" si="36"/>
        <v>4965.5</v>
      </c>
      <c r="AD171" s="21">
        <f t="shared" si="37"/>
        <v>8750</v>
      </c>
      <c r="AE171" s="21">
        <f t="shared" si="38"/>
        <v>9500</v>
      </c>
      <c r="AF171" s="21">
        <f t="shared" si="39"/>
        <v>10350</v>
      </c>
      <c r="AK171" s="16"/>
      <c r="AL171" s="17"/>
      <c r="AN171" s="16"/>
    </row>
    <row r="172" spans="2:40" x14ac:dyDescent="0.4">
      <c r="B172" s="6">
        <f t="shared" si="27"/>
        <v>43540</v>
      </c>
      <c r="C172" s="8">
        <f t="shared" si="28"/>
        <v>554.80200000000002</v>
      </c>
      <c r="D172" s="5">
        <f t="shared" si="29"/>
        <v>1118.0149999999999</v>
      </c>
      <c r="E172" s="5">
        <f t="shared" si="30"/>
        <v>1983.0149999999999</v>
      </c>
      <c r="F172" s="5">
        <f t="shared" si="31"/>
        <v>2883.0149999999999</v>
      </c>
      <c r="H172" s="6"/>
      <c r="I172" s="11">
        <v>43176</v>
      </c>
      <c r="J172" s="9">
        <v>570.38</v>
      </c>
      <c r="K172" s="9">
        <v>951.86599999999999</v>
      </c>
      <c r="O172" s="11">
        <v>43561</v>
      </c>
      <c r="P172" s="9">
        <v>0</v>
      </c>
      <c r="Q172" s="9">
        <v>4777.5</v>
      </c>
      <c r="R172" s="9">
        <v>8737.5</v>
      </c>
      <c r="S172" s="9">
        <v>9475</v>
      </c>
      <c r="T172" s="31">
        <v>10337.5</v>
      </c>
      <c r="W172" s="16">
        <f t="shared" si="32"/>
        <v>43176</v>
      </c>
      <c r="X172" s="9">
        <f t="shared" si="33"/>
        <v>570.38</v>
      </c>
      <c r="Y172" s="9">
        <f t="shared" si="34"/>
        <v>951.86599999999999</v>
      </c>
      <c r="AA172" s="16">
        <f t="shared" si="35"/>
        <v>43561</v>
      </c>
      <c r="AB172" s="21">
        <v>6539.75</v>
      </c>
      <c r="AC172" s="21">
        <f t="shared" si="36"/>
        <v>4777.5</v>
      </c>
      <c r="AD172" s="21">
        <f t="shared" si="37"/>
        <v>8737.5</v>
      </c>
      <c r="AE172" s="21">
        <f t="shared" si="38"/>
        <v>9475</v>
      </c>
      <c r="AF172" s="21">
        <f t="shared" si="39"/>
        <v>10337.5</v>
      </c>
      <c r="AK172" s="16"/>
      <c r="AL172" s="17"/>
      <c r="AN172" s="16"/>
    </row>
    <row r="173" spans="2:40" x14ac:dyDescent="0.4">
      <c r="B173" s="6">
        <f t="shared" si="27"/>
        <v>43547</v>
      </c>
      <c r="C173" s="8">
        <f t="shared" si="28"/>
        <v>496.06799999999987</v>
      </c>
      <c r="D173" s="5">
        <f t="shared" si="29"/>
        <v>1383.1749999999997</v>
      </c>
      <c r="E173" s="5">
        <f t="shared" si="30"/>
        <v>2228.1749999999997</v>
      </c>
      <c r="F173" s="5">
        <f t="shared" si="31"/>
        <v>3083.1749999999997</v>
      </c>
      <c r="H173" s="6"/>
      <c r="I173" s="11">
        <v>43183</v>
      </c>
      <c r="J173" s="9">
        <v>591.25599999999997</v>
      </c>
      <c r="K173" s="9">
        <v>951</v>
      </c>
      <c r="O173" s="11">
        <v>43568</v>
      </c>
      <c r="P173" s="9">
        <v>0</v>
      </c>
      <c r="Q173" s="9">
        <v>4751</v>
      </c>
      <c r="R173" s="9">
        <v>9080</v>
      </c>
      <c r="S173" s="9">
        <v>9490</v>
      </c>
      <c r="T173" s="31">
        <v>10420</v>
      </c>
      <c r="W173" s="16">
        <f t="shared" si="32"/>
        <v>43183</v>
      </c>
      <c r="X173" s="9">
        <f t="shared" si="33"/>
        <v>591.25599999999997</v>
      </c>
      <c r="Y173" s="9">
        <f t="shared" si="34"/>
        <v>951</v>
      </c>
      <c r="AA173" s="16">
        <f t="shared" si="35"/>
        <v>43568</v>
      </c>
      <c r="AB173" s="21">
        <v>6635</v>
      </c>
      <c r="AC173" s="21">
        <f t="shared" si="36"/>
        <v>4751</v>
      </c>
      <c r="AD173" s="21">
        <f t="shared" si="37"/>
        <v>9080</v>
      </c>
      <c r="AE173" s="21">
        <f t="shared" si="38"/>
        <v>9490</v>
      </c>
      <c r="AF173" s="21">
        <f t="shared" si="39"/>
        <v>10420</v>
      </c>
      <c r="AK173" s="16"/>
      <c r="AL173" s="17"/>
      <c r="AN173" s="16"/>
    </row>
    <row r="174" spans="2:40" x14ac:dyDescent="0.4">
      <c r="B174" s="6">
        <f t="shared" si="27"/>
        <v>43554</v>
      </c>
      <c r="C174" s="8">
        <f t="shared" si="28"/>
        <v>471.52600000000007</v>
      </c>
      <c r="D174" s="5">
        <f t="shared" si="29"/>
        <v>1496.5675000000001</v>
      </c>
      <c r="E174" s="5">
        <f t="shared" si="30"/>
        <v>2246.5675000000001</v>
      </c>
      <c r="F174" s="5">
        <f t="shared" si="31"/>
        <v>3096.5675000000001</v>
      </c>
      <c r="H174" s="6"/>
      <c r="I174" s="11">
        <v>43190</v>
      </c>
      <c r="J174" s="9">
        <v>613.66999999999996</v>
      </c>
      <c r="K174" s="9">
        <v>946.77250000000004</v>
      </c>
      <c r="O174" s="11">
        <v>43575</v>
      </c>
      <c r="P174" s="9">
        <v>0</v>
      </c>
      <c r="Q174" s="9">
        <v>4641</v>
      </c>
      <c r="R174" s="9">
        <v>9115</v>
      </c>
      <c r="S174" s="9">
        <v>9470</v>
      </c>
      <c r="T174" s="31">
        <v>10430</v>
      </c>
      <c r="W174" s="16">
        <f t="shared" si="32"/>
        <v>43190</v>
      </c>
      <c r="X174" s="9">
        <f t="shared" si="33"/>
        <v>613.66999999999996</v>
      </c>
      <c r="Y174" s="9">
        <f t="shared" si="34"/>
        <v>946.77250000000004</v>
      </c>
      <c r="AA174" s="16">
        <f t="shared" si="35"/>
        <v>43575</v>
      </c>
      <c r="AB174" s="21">
        <v>6597</v>
      </c>
      <c r="AC174" s="21">
        <f t="shared" si="36"/>
        <v>4641</v>
      </c>
      <c r="AD174" s="21">
        <f t="shared" si="37"/>
        <v>9115</v>
      </c>
      <c r="AE174" s="21">
        <f t="shared" si="38"/>
        <v>9470</v>
      </c>
      <c r="AF174" s="21">
        <f t="shared" si="39"/>
        <v>10430</v>
      </c>
      <c r="AK174" s="16"/>
      <c r="AL174" s="17"/>
      <c r="AN174" s="16"/>
    </row>
    <row r="175" spans="2:40" x14ac:dyDescent="0.4">
      <c r="B175" s="6">
        <f t="shared" si="27"/>
        <v>43561</v>
      </c>
      <c r="C175" s="8">
        <f t="shared" si="28"/>
        <v>472.83200000000011</v>
      </c>
      <c r="D175" s="5">
        <f t="shared" si="29"/>
        <v>1545.55125</v>
      </c>
      <c r="E175" s="5">
        <f t="shared" si="30"/>
        <v>2283.05125</v>
      </c>
      <c r="F175" s="5">
        <f t="shared" si="31"/>
        <v>3145.55125</v>
      </c>
      <c r="H175" s="6"/>
      <c r="I175" s="11">
        <v>43197</v>
      </c>
      <c r="J175" s="9">
        <v>602.88199999999995</v>
      </c>
      <c r="K175" s="9">
        <v>952.40200000000004</v>
      </c>
      <c r="O175" s="11">
        <v>43582</v>
      </c>
      <c r="P175" s="9">
        <v>0</v>
      </c>
      <c r="Q175" s="9">
        <v>4573</v>
      </c>
      <c r="R175" s="9">
        <v>8860</v>
      </c>
      <c r="S175" s="9">
        <v>9210</v>
      </c>
      <c r="T175" s="31">
        <v>10240</v>
      </c>
      <c r="W175" s="16">
        <f t="shared" si="32"/>
        <v>43197</v>
      </c>
      <c r="X175" s="9">
        <f t="shared" si="33"/>
        <v>602.88199999999995</v>
      </c>
      <c r="Y175" s="9">
        <f t="shared" si="34"/>
        <v>952.40200000000004</v>
      </c>
      <c r="AA175" s="16">
        <f t="shared" si="35"/>
        <v>43582</v>
      </c>
      <c r="AB175" s="21">
        <v>6540</v>
      </c>
      <c r="AC175" s="21">
        <f t="shared" si="36"/>
        <v>4573</v>
      </c>
      <c r="AD175" s="21">
        <f t="shared" si="37"/>
        <v>8860</v>
      </c>
      <c r="AE175" s="21">
        <f t="shared" si="38"/>
        <v>9210</v>
      </c>
      <c r="AF175" s="21">
        <f t="shared" si="39"/>
        <v>10240</v>
      </c>
      <c r="AK175" s="16"/>
      <c r="AL175" s="17"/>
      <c r="AN175" s="16"/>
    </row>
    <row r="176" spans="2:40" x14ac:dyDescent="0.4">
      <c r="B176" s="6">
        <f t="shared" si="27"/>
        <v>43568</v>
      </c>
      <c r="C176" s="8">
        <f t="shared" si="28"/>
        <v>479.69799999999998</v>
      </c>
      <c r="D176" s="5">
        <f t="shared" si="29"/>
        <v>1815.4899999999998</v>
      </c>
      <c r="E176" s="5">
        <f t="shared" si="30"/>
        <v>2225.4899999999998</v>
      </c>
      <c r="F176" s="5">
        <f t="shared" si="31"/>
        <v>3155.49</v>
      </c>
      <c r="H176" s="6"/>
      <c r="I176" s="11">
        <v>43204</v>
      </c>
      <c r="J176" s="9">
        <v>612.28</v>
      </c>
      <c r="K176" s="9">
        <v>953.89800000000002</v>
      </c>
      <c r="O176" s="11">
        <v>43589</v>
      </c>
      <c r="P176" s="9">
        <v>0</v>
      </c>
      <c r="Q176" s="9">
        <v>4571.666666666667</v>
      </c>
      <c r="R176" s="9">
        <v>8500</v>
      </c>
      <c r="S176" s="9">
        <v>9000</v>
      </c>
      <c r="T176" s="31">
        <v>10100</v>
      </c>
      <c r="W176" s="16">
        <f t="shared" si="32"/>
        <v>43204</v>
      </c>
      <c r="X176" s="9">
        <f t="shared" si="33"/>
        <v>612.28</v>
      </c>
      <c r="Y176" s="9">
        <f t="shared" si="34"/>
        <v>953.89800000000002</v>
      </c>
      <c r="AA176" s="16">
        <f t="shared" si="35"/>
        <v>43589</v>
      </c>
      <c r="AB176" s="21">
        <v>6578.333333333333</v>
      </c>
      <c r="AC176" s="21">
        <f t="shared" si="36"/>
        <v>4571.666666666667</v>
      </c>
      <c r="AD176" s="21">
        <f t="shared" si="37"/>
        <v>8500</v>
      </c>
      <c r="AE176" s="21">
        <f t="shared" si="38"/>
        <v>9000</v>
      </c>
      <c r="AF176" s="21">
        <f t="shared" si="39"/>
        <v>10100</v>
      </c>
      <c r="AK176" s="16"/>
      <c r="AL176" s="17"/>
      <c r="AN176" s="16"/>
    </row>
    <row r="177" spans="2:40" x14ac:dyDescent="0.4">
      <c r="B177" s="6">
        <f t="shared" si="27"/>
        <v>43575</v>
      </c>
      <c r="C177" s="8">
        <f t="shared" si="28"/>
        <v>434.67250000000001</v>
      </c>
      <c r="D177" s="5">
        <f t="shared" si="29"/>
        <v>1919.8300000000004</v>
      </c>
      <c r="E177" s="5">
        <f t="shared" si="30"/>
        <v>2274.8300000000004</v>
      </c>
      <c r="F177" s="5">
        <f t="shared" si="31"/>
        <v>3234.8300000000004</v>
      </c>
      <c r="H177" s="6"/>
      <c r="I177" s="11">
        <v>43211</v>
      </c>
      <c r="J177" s="9">
        <v>616.65599999999995</v>
      </c>
      <c r="K177" s="9">
        <v>964.1</v>
      </c>
      <c r="O177" s="11">
        <v>43596</v>
      </c>
      <c r="P177" s="9">
        <v>0</v>
      </c>
      <c r="Q177" s="9">
        <v>4521.666666666667</v>
      </c>
      <c r="R177" s="9">
        <v>8416.6666666666661</v>
      </c>
      <c r="S177" s="9">
        <v>8858.3333333333339</v>
      </c>
      <c r="T177" s="31">
        <v>9987.5</v>
      </c>
      <c r="W177" s="16">
        <f t="shared" si="32"/>
        <v>43211</v>
      </c>
      <c r="X177" s="9">
        <f t="shared" si="33"/>
        <v>616.65599999999995</v>
      </c>
      <c r="Y177" s="9">
        <f t="shared" si="34"/>
        <v>964.1</v>
      </c>
      <c r="AA177" s="16">
        <f t="shared" si="35"/>
        <v>43596</v>
      </c>
      <c r="AB177" s="21">
        <v>6622.5</v>
      </c>
      <c r="AC177" s="21">
        <f t="shared" si="36"/>
        <v>4521.666666666667</v>
      </c>
      <c r="AD177" s="21">
        <f t="shared" si="37"/>
        <v>8416.6666666666661</v>
      </c>
      <c r="AE177" s="21">
        <f t="shared" si="38"/>
        <v>8858.3333333333339</v>
      </c>
      <c r="AF177" s="21">
        <f t="shared" si="39"/>
        <v>9987.5</v>
      </c>
      <c r="AK177" s="16"/>
      <c r="AL177" s="17"/>
      <c r="AN177" s="16"/>
    </row>
    <row r="178" spans="2:40" x14ac:dyDescent="0.4">
      <c r="B178" s="6">
        <f t="shared" si="27"/>
        <v>43582</v>
      </c>
      <c r="C178" s="8">
        <f t="shared" si="28"/>
        <v>348.40199999999993</v>
      </c>
      <c r="D178" s="5">
        <f t="shared" si="29"/>
        <v>1736.345</v>
      </c>
      <c r="E178" s="5">
        <f t="shared" si="30"/>
        <v>2086.3450000000003</v>
      </c>
      <c r="F178" s="5">
        <f t="shared" si="31"/>
        <v>3116.3450000000003</v>
      </c>
      <c r="H178" s="6"/>
      <c r="I178" s="11">
        <v>43218</v>
      </c>
      <c r="J178" s="9">
        <v>634.05999999999995</v>
      </c>
      <c r="K178" s="9">
        <v>979.86599999999999</v>
      </c>
      <c r="O178" s="11">
        <v>43603</v>
      </c>
      <c r="P178" s="9">
        <v>0</v>
      </c>
      <c r="Q178" s="9">
        <v>4269</v>
      </c>
      <c r="R178" s="9">
        <v>8150</v>
      </c>
      <c r="S178" s="9">
        <v>8510</v>
      </c>
      <c r="T178" s="31">
        <v>9750</v>
      </c>
      <c r="W178" s="16">
        <f t="shared" si="32"/>
        <v>43218</v>
      </c>
      <c r="X178" s="9">
        <f t="shared" si="33"/>
        <v>634.05999999999995</v>
      </c>
      <c r="Y178" s="9">
        <f t="shared" si="34"/>
        <v>979.86599999999999</v>
      </c>
      <c r="AA178" s="16">
        <f t="shared" si="35"/>
        <v>43603</v>
      </c>
      <c r="AB178" s="21">
        <v>6323</v>
      </c>
      <c r="AC178" s="21">
        <f t="shared" si="36"/>
        <v>4269</v>
      </c>
      <c r="AD178" s="21">
        <f t="shared" si="37"/>
        <v>8150</v>
      </c>
      <c r="AE178" s="21">
        <f t="shared" si="38"/>
        <v>8510</v>
      </c>
      <c r="AF178" s="21">
        <f t="shared" si="39"/>
        <v>9750</v>
      </c>
      <c r="AK178" s="16"/>
      <c r="AL178" s="17"/>
      <c r="AN178" s="16"/>
    </row>
    <row r="179" spans="2:40" x14ac:dyDescent="0.4">
      <c r="B179" s="6">
        <f t="shared" si="27"/>
        <v>43589</v>
      </c>
      <c r="C179" s="8">
        <f t="shared" si="28"/>
        <v>351.20249999999999</v>
      </c>
      <c r="D179" s="5">
        <f t="shared" si="29"/>
        <v>1344.0166666666671</v>
      </c>
      <c r="E179" s="5">
        <f t="shared" si="30"/>
        <v>1844.0166666666671</v>
      </c>
      <c r="F179" s="5">
        <f t="shared" si="31"/>
        <v>2944.0166666666673</v>
      </c>
      <c r="H179" s="6"/>
      <c r="I179" s="11">
        <v>43225</v>
      </c>
      <c r="J179" s="9">
        <v>642.23</v>
      </c>
      <c r="K179" s="9">
        <v>980.46799999999996</v>
      </c>
      <c r="O179" s="11">
        <v>43610</v>
      </c>
      <c r="P179" s="9">
        <v>0</v>
      </c>
      <c r="Q179" s="9">
        <v>4257</v>
      </c>
      <c r="R179" s="9">
        <v>7650</v>
      </c>
      <c r="S179" s="9">
        <v>8110</v>
      </c>
      <c r="T179" s="31">
        <v>9480</v>
      </c>
      <c r="W179" s="16">
        <f t="shared" si="32"/>
        <v>43225</v>
      </c>
      <c r="X179" s="9">
        <f t="shared" si="33"/>
        <v>642.23</v>
      </c>
      <c r="Y179" s="9">
        <f t="shared" si="34"/>
        <v>980.46799999999996</v>
      </c>
      <c r="AA179" s="16">
        <f t="shared" si="35"/>
        <v>43610</v>
      </c>
      <c r="AB179" s="21">
        <v>5819</v>
      </c>
      <c r="AC179" s="21">
        <f t="shared" si="36"/>
        <v>4257</v>
      </c>
      <c r="AD179" s="21">
        <f t="shared" si="37"/>
        <v>7650</v>
      </c>
      <c r="AE179" s="21">
        <f t="shared" si="38"/>
        <v>8110</v>
      </c>
      <c r="AF179" s="21">
        <f t="shared" si="39"/>
        <v>9480</v>
      </c>
      <c r="AK179" s="16"/>
      <c r="AL179" s="17"/>
      <c r="AN179" s="16"/>
    </row>
    <row r="180" spans="2:40" x14ac:dyDescent="0.4">
      <c r="B180" s="6">
        <f t="shared" si="27"/>
        <v>43596</v>
      </c>
      <c r="C180" s="8">
        <f t="shared" si="28"/>
        <v>335.01400000000001</v>
      </c>
      <c r="D180" s="5">
        <f t="shared" si="29"/>
        <v>1239.6708333333324</v>
      </c>
      <c r="E180" s="5">
        <f t="shared" si="30"/>
        <v>1681.3375000000003</v>
      </c>
      <c r="F180" s="5">
        <f t="shared" si="31"/>
        <v>2810.5041666666666</v>
      </c>
      <c r="H180" s="6"/>
      <c r="I180" s="11">
        <v>43232</v>
      </c>
      <c r="J180" s="9">
        <v>680.93399999999997</v>
      </c>
      <c r="K180" s="9">
        <v>1012.668</v>
      </c>
      <c r="O180" s="11">
        <v>43617</v>
      </c>
      <c r="P180" s="9">
        <v>0</v>
      </c>
      <c r="Q180" s="9">
        <v>4335</v>
      </c>
      <c r="R180" s="9">
        <v>7470</v>
      </c>
      <c r="S180" s="9">
        <v>7940</v>
      </c>
      <c r="T180" s="31">
        <v>9180</v>
      </c>
      <c r="W180" s="16">
        <f t="shared" si="32"/>
        <v>43232</v>
      </c>
      <c r="X180" s="9">
        <f t="shared" si="33"/>
        <v>680.93399999999997</v>
      </c>
      <c r="Y180" s="9">
        <f t="shared" si="34"/>
        <v>1012.668</v>
      </c>
      <c r="AA180" s="16">
        <f t="shared" si="35"/>
        <v>43617</v>
      </c>
      <c r="AB180" s="21">
        <v>5636</v>
      </c>
      <c r="AC180" s="21">
        <f t="shared" si="36"/>
        <v>4335</v>
      </c>
      <c r="AD180" s="21">
        <f t="shared" si="37"/>
        <v>7470</v>
      </c>
      <c r="AE180" s="21">
        <f t="shared" si="38"/>
        <v>7940</v>
      </c>
      <c r="AF180" s="21">
        <f t="shared" si="39"/>
        <v>9180</v>
      </c>
      <c r="AK180" s="16"/>
      <c r="AL180" s="17"/>
      <c r="AN180" s="16"/>
    </row>
    <row r="181" spans="2:40" x14ac:dyDescent="0.4">
      <c r="B181" s="6">
        <f t="shared" si="27"/>
        <v>43603</v>
      </c>
      <c r="C181" s="8">
        <f t="shared" si="28"/>
        <v>300.63200000000006</v>
      </c>
      <c r="D181" s="5">
        <f t="shared" si="29"/>
        <v>1313.72</v>
      </c>
      <c r="E181" s="5">
        <f t="shared" si="30"/>
        <v>1673.72</v>
      </c>
      <c r="F181" s="5">
        <f t="shared" si="31"/>
        <v>2913.7200000000003</v>
      </c>
      <c r="H181" s="6"/>
      <c r="I181" s="11">
        <v>43239</v>
      </c>
      <c r="J181" s="9">
        <v>698.65599999999995</v>
      </c>
      <c r="K181" s="9">
        <v>1027.768</v>
      </c>
      <c r="O181" s="11">
        <v>43624</v>
      </c>
      <c r="P181" s="9">
        <v>0</v>
      </c>
      <c r="Q181" s="9">
        <v>4270</v>
      </c>
      <c r="R181" s="9">
        <v>7462.5</v>
      </c>
      <c r="S181" s="9">
        <v>7812.5</v>
      </c>
      <c r="T181" s="31">
        <v>9037.5</v>
      </c>
      <c r="W181" s="16">
        <f t="shared" si="32"/>
        <v>43239</v>
      </c>
      <c r="X181" s="9">
        <f t="shared" si="33"/>
        <v>698.65599999999995</v>
      </c>
      <c r="Y181" s="9">
        <f t="shared" si="34"/>
        <v>1027.768</v>
      </c>
      <c r="AA181" s="16">
        <f t="shared" si="35"/>
        <v>43624</v>
      </c>
      <c r="AB181" s="21">
        <v>5452.5</v>
      </c>
      <c r="AC181" s="21">
        <f t="shared" si="36"/>
        <v>4270</v>
      </c>
      <c r="AD181" s="21">
        <f t="shared" si="37"/>
        <v>7462.5</v>
      </c>
      <c r="AE181" s="21">
        <f t="shared" si="38"/>
        <v>7812.5</v>
      </c>
      <c r="AF181" s="21">
        <f t="shared" si="39"/>
        <v>9037.5</v>
      </c>
      <c r="AK181" s="16"/>
      <c r="AL181" s="17"/>
      <c r="AN181" s="16"/>
    </row>
    <row r="182" spans="2:40" x14ac:dyDescent="0.4">
      <c r="B182" s="6">
        <f t="shared" si="27"/>
        <v>43610</v>
      </c>
      <c r="C182" s="8">
        <f t="shared" si="28"/>
        <v>315.84750000000008</v>
      </c>
      <c r="D182" s="5">
        <f t="shared" si="29"/>
        <v>1248.6600000000001</v>
      </c>
      <c r="E182" s="5">
        <f t="shared" si="30"/>
        <v>1708.66</v>
      </c>
      <c r="F182" s="5">
        <f t="shared" si="31"/>
        <v>3078.66</v>
      </c>
      <c r="H182" s="6"/>
      <c r="I182" s="11">
        <v>43246</v>
      </c>
      <c r="J182" s="9">
        <v>711.55799999999999</v>
      </c>
      <c r="K182" s="9">
        <v>1020.77</v>
      </c>
      <c r="O182" s="11">
        <v>43631</v>
      </c>
      <c r="P182" s="9">
        <v>0</v>
      </c>
      <c r="Q182" s="9">
        <v>4287</v>
      </c>
      <c r="R182" s="9">
        <v>7580</v>
      </c>
      <c r="S182" s="9">
        <v>7970</v>
      </c>
      <c r="T182" s="31">
        <v>9020</v>
      </c>
      <c r="W182" s="16">
        <f t="shared" si="32"/>
        <v>43246</v>
      </c>
      <c r="X182" s="9">
        <f t="shared" si="33"/>
        <v>711.55799999999999</v>
      </c>
      <c r="Y182" s="9">
        <f t="shared" si="34"/>
        <v>1020.77</v>
      </c>
      <c r="AA182" s="16">
        <f t="shared" si="35"/>
        <v>43631</v>
      </c>
      <c r="AB182" s="21">
        <v>5548.6</v>
      </c>
      <c r="AC182" s="21">
        <f t="shared" si="36"/>
        <v>4287</v>
      </c>
      <c r="AD182" s="21">
        <f t="shared" si="37"/>
        <v>7580</v>
      </c>
      <c r="AE182" s="21">
        <f t="shared" si="38"/>
        <v>7970</v>
      </c>
      <c r="AF182" s="21">
        <f t="shared" si="39"/>
        <v>9020</v>
      </c>
      <c r="AK182" s="16"/>
      <c r="AL182" s="17"/>
      <c r="AN182" s="16"/>
    </row>
    <row r="183" spans="2:40" x14ac:dyDescent="0.4">
      <c r="B183" s="6">
        <f t="shared" si="27"/>
        <v>43617</v>
      </c>
      <c r="C183" s="8">
        <f t="shared" si="28"/>
        <v>352.16999999999996</v>
      </c>
      <c r="D183" s="5">
        <f t="shared" si="29"/>
        <v>1198.9950000000001</v>
      </c>
      <c r="E183" s="5">
        <f t="shared" si="30"/>
        <v>1668.9950000000001</v>
      </c>
      <c r="F183" s="5">
        <f t="shared" si="31"/>
        <v>2908.9949999999999</v>
      </c>
      <c r="H183" s="6"/>
      <c r="I183" s="11">
        <v>43253</v>
      </c>
      <c r="J183" s="9">
        <v>680.17</v>
      </c>
      <c r="K183" s="9">
        <v>993.80200000000002</v>
      </c>
      <c r="O183" s="11">
        <v>43638</v>
      </c>
      <c r="P183" s="9">
        <v>0</v>
      </c>
      <c r="Q183" s="9">
        <v>4357</v>
      </c>
      <c r="R183" s="9">
        <v>7825</v>
      </c>
      <c r="S183" s="9">
        <v>8140</v>
      </c>
      <c r="T183" s="31">
        <v>9180</v>
      </c>
      <c r="W183" s="16">
        <f t="shared" si="32"/>
        <v>43253</v>
      </c>
      <c r="X183" s="9">
        <f t="shared" si="33"/>
        <v>680.17</v>
      </c>
      <c r="Y183" s="9">
        <f t="shared" si="34"/>
        <v>993.80200000000002</v>
      </c>
      <c r="AA183" s="16">
        <f t="shared" si="35"/>
        <v>43638</v>
      </c>
      <c r="AB183" s="21">
        <v>5794</v>
      </c>
      <c r="AC183" s="21">
        <f t="shared" si="36"/>
        <v>4357</v>
      </c>
      <c r="AD183" s="21">
        <f t="shared" si="37"/>
        <v>7825</v>
      </c>
      <c r="AE183" s="21">
        <f t="shared" si="38"/>
        <v>8140</v>
      </c>
      <c r="AF183" s="21">
        <f t="shared" si="39"/>
        <v>9180</v>
      </c>
      <c r="AK183" s="16"/>
      <c r="AL183" s="17"/>
      <c r="AN183" s="16"/>
    </row>
    <row r="184" spans="2:40" x14ac:dyDescent="0.4">
      <c r="B184" s="6">
        <f t="shared" si="27"/>
        <v>43624</v>
      </c>
      <c r="C184" s="8">
        <f t="shared" si="28"/>
        <v>367.48250000000002</v>
      </c>
      <c r="D184" s="5">
        <f t="shared" si="29"/>
        <v>1370.1625000000001</v>
      </c>
      <c r="E184" s="5">
        <f t="shared" si="30"/>
        <v>1720.1625000000001</v>
      </c>
      <c r="F184" s="5">
        <f t="shared" si="31"/>
        <v>2945.1625000000004</v>
      </c>
      <c r="H184" s="6"/>
      <c r="I184" s="11">
        <v>43260</v>
      </c>
      <c r="J184" s="9">
        <v>662.43399999999997</v>
      </c>
      <c r="K184" s="9">
        <v>989.1</v>
      </c>
      <c r="O184" s="11">
        <v>43645</v>
      </c>
      <c r="P184" s="9">
        <v>0</v>
      </c>
      <c r="Q184" s="9">
        <v>4445</v>
      </c>
      <c r="R184" s="9">
        <v>8170</v>
      </c>
      <c r="S184" s="9">
        <v>8475</v>
      </c>
      <c r="T184" s="31">
        <v>9515</v>
      </c>
      <c r="W184" s="16">
        <f t="shared" si="32"/>
        <v>43260</v>
      </c>
      <c r="X184" s="9">
        <f t="shared" si="33"/>
        <v>662.43399999999997</v>
      </c>
      <c r="Y184" s="9">
        <f t="shared" si="34"/>
        <v>989.1</v>
      </c>
      <c r="AA184" s="16">
        <f t="shared" si="35"/>
        <v>43645</v>
      </c>
      <c r="AB184" s="21">
        <v>6130</v>
      </c>
      <c r="AC184" s="21">
        <f t="shared" si="36"/>
        <v>4445</v>
      </c>
      <c r="AD184" s="21">
        <f t="shared" si="37"/>
        <v>8170</v>
      </c>
      <c r="AE184" s="21">
        <f t="shared" si="38"/>
        <v>8475</v>
      </c>
      <c r="AF184" s="21">
        <f t="shared" si="39"/>
        <v>9515</v>
      </c>
      <c r="AK184" s="16"/>
      <c r="AL184" s="17"/>
      <c r="AN184" s="16"/>
    </row>
    <row r="185" spans="2:40" x14ac:dyDescent="0.4">
      <c r="B185" s="6">
        <f t="shared" si="27"/>
        <v>43631</v>
      </c>
      <c r="C185" s="8">
        <f t="shared" si="28"/>
        <v>390.89199999999994</v>
      </c>
      <c r="D185" s="5">
        <f t="shared" si="29"/>
        <v>1399.8020000000001</v>
      </c>
      <c r="E185" s="5">
        <f t="shared" si="30"/>
        <v>1789.8020000000001</v>
      </c>
      <c r="F185" s="5">
        <f t="shared" si="31"/>
        <v>2839.8020000000001</v>
      </c>
      <c r="H185" s="6"/>
      <c r="I185" s="11">
        <v>43267</v>
      </c>
      <c r="J185" s="9">
        <v>658.51250000000005</v>
      </c>
      <c r="K185" s="9">
        <v>987.93399999999997</v>
      </c>
      <c r="O185" s="11">
        <v>43652</v>
      </c>
      <c r="P185" s="9">
        <v>0</v>
      </c>
      <c r="Q185" s="9">
        <v>4404</v>
      </c>
      <c r="R185" s="9">
        <v>8860</v>
      </c>
      <c r="S185" s="9">
        <v>9050</v>
      </c>
      <c r="T185" s="31">
        <v>10170</v>
      </c>
      <c r="W185" s="16">
        <f t="shared" si="32"/>
        <v>43267</v>
      </c>
      <c r="X185" s="9">
        <f t="shared" si="33"/>
        <v>658.51250000000005</v>
      </c>
      <c r="Y185" s="9">
        <f t="shared" si="34"/>
        <v>987.93399999999997</v>
      </c>
      <c r="AA185" s="16">
        <f t="shared" si="35"/>
        <v>43652</v>
      </c>
      <c r="AB185" s="21">
        <v>6753</v>
      </c>
      <c r="AC185" s="21">
        <f t="shared" si="36"/>
        <v>4404</v>
      </c>
      <c r="AD185" s="21">
        <f t="shared" si="37"/>
        <v>8860</v>
      </c>
      <c r="AE185" s="21">
        <f t="shared" si="38"/>
        <v>9050</v>
      </c>
      <c r="AF185" s="21">
        <f t="shared" si="39"/>
        <v>10170</v>
      </c>
      <c r="AK185" s="16"/>
      <c r="AL185" s="17"/>
      <c r="AN185" s="16"/>
    </row>
    <row r="186" spans="2:40" x14ac:dyDescent="0.4">
      <c r="B186" s="6">
        <f t="shared" si="27"/>
        <v>43638</v>
      </c>
      <c r="C186" s="8">
        <f t="shared" si="28"/>
        <v>327.90199999999999</v>
      </c>
      <c r="D186" s="5">
        <f t="shared" si="29"/>
        <v>1411.5350000000001</v>
      </c>
      <c r="E186" s="5">
        <f t="shared" si="30"/>
        <v>1726.5350000000001</v>
      </c>
      <c r="F186" s="5">
        <f t="shared" si="31"/>
        <v>2766.5349999999999</v>
      </c>
      <c r="H186" s="6"/>
      <c r="I186" s="11">
        <v>43274</v>
      </c>
      <c r="J186" s="9">
        <v>631.55799999999999</v>
      </c>
      <c r="K186" s="9">
        <v>954.33399999999995</v>
      </c>
      <c r="O186" s="11">
        <v>43659</v>
      </c>
      <c r="P186" s="9">
        <v>0</v>
      </c>
      <c r="Q186" s="9">
        <v>4267</v>
      </c>
      <c r="R186" s="9">
        <v>8550</v>
      </c>
      <c r="S186" s="9">
        <v>8690</v>
      </c>
      <c r="T186" s="31">
        <v>9880</v>
      </c>
      <c r="W186" s="16">
        <f t="shared" si="32"/>
        <v>43274</v>
      </c>
      <c r="X186" s="9">
        <f t="shared" si="33"/>
        <v>631.55799999999999</v>
      </c>
      <c r="Y186" s="9">
        <f t="shared" si="34"/>
        <v>954.33399999999995</v>
      </c>
      <c r="AA186" s="16">
        <f t="shared" si="35"/>
        <v>43659</v>
      </c>
      <c r="AB186" s="21">
        <v>6509.8</v>
      </c>
      <c r="AC186" s="21">
        <f t="shared" si="36"/>
        <v>4267</v>
      </c>
      <c r="AD186" s="21">
        <f t="shared" si="37"/>
        <v>8550</v>
      </c>
      <c r="AE186" s="21">
        <f t="shared" si="38"/>
        <v>8690</v>
      </c>
      <c r="AF186" s="21">
        <f t="shared" si="39"/>
        <v>9880</v>
      </c>
      <c r="AK186" s="16"/>
      <c r="AL186" s="17"/>
      <c r="AN186" s="16"/>
    </row>
    <row r="187" spans="2:40" x14ac:dyDescent="0.4">
      <c r="B187" s="6">
        <f t="shared" si="27"/>
        <v>43645</v>
      </c>
      <c r="C187" s="8">
        <f t="shared" si="28"/>
        <v>324.60199999999998</v>
      </c>
      <c r="D187" s="5">
        <f t="shared" si="29"/>
        <v>1439.7750000000003</v>
      </c>
      <c r="E187" s="5">
        <f t="shared" si="30"/>
        <v>1744.7750000000003</v>
      </c>
      <c r="F187" s="5">
        <f t="shared" si="31"/>
        <v>2784.7750000000005</v>
      </c>
      <c r="H187" s="6"/>
      <c r="I187" s="11">
        <v>43281</v>
      </c>
      <c r="J187" s="9">
        <v>649.38199999999995</v>
      </c>
      <c r="K187" s="9">
        <v>975.57</v>
      </c>
      <c r="O187" s="11">
        <v>43666</v>
      </c>
      <c r="P187" s="9">
        <v>0</v>
      </c>
      <c r="Q187" s="9">
        <v>4355</v>
      </c>
      <c r="R187" s="9">
        <v>8265</v>
      </c>
      <c r="S187" s="9">
        <v>8320</v>
      </c>
      <c r="T187" s="31">
        <v>9590</v>
      </c>
      <c r="W187" s="16">
        <f t="shared" si="32"/>
        <v>43281</v>
      </c>
      <c r="X187" s="9">
        <f t="shared" si="33"/>
        <v>649.38199999999995</v>
      </c>
      <c r="Y187" s="9">
        <f t="shared" si="34"/>
        <v>975.57</v>
      </c>
      <c r="AA187" s="16">
        <f t="shared" si="35"/>
        <v>43666</v>
      </c>
      <c r="AB187" s="21">
        <v>6323</v>
      </c>
      <c r="AC187" s="21">
        <f t="shared" si="36"/>
        <v>4355</v>
      </c>
      <c r="AD187" s="21">
        <f t="shared" si="37"/>
        <v>8265</v>
      </c>
      <c r="AE187" s="21">
        <f t="shared" si="38"/>
        <v>8320</v>
      </c>
      <c r="AF187" s="21">
        <f t="shared" si="39"/>
        <v>9590</v>
      </c>
      <c r="AK187" s="16"/>
      <c r="AL187" s="17"/>
      <c r="AN187" s="16"/>
    </row>
    <row r="188" spans="2:40" x14ac:dyDescent="0.4">
      <c r="B188" s="6">
        <f t="shared" si="27"/>
        <v>43652</v>
      </c>
      <c r="C188" s="8">
        <f t="shared" si="28"/>
        <v>337.18199999999996</v>
      </c>
      <c r="D188" s="5">
        <f t="shared" si="29"/>
        <v>1610.8450000000003</v>
      </c>
      <c r="E188" s="5">
        <f t="shared" si="30"/>
        <v>1800.8450000000003</v>
      </c>
      <c r="F188" s="5">
        <f t="shared" si="31"/>
        <v>2920.8450000000003</v>
      </c>
      <c r="H188" s="6"/>
      <c r="I188" s="11">
        <v>43288</v>
      </c>
      <c r="J188" s="9">
        <v>669.43200000000002</v>
      </c>
      <c r="K188" s="9">
        <v>1005.332</v>
      </c>
      <c r="O188" s="11">
        <v>43673</v>
      </c>
      <c r="P188" s="9">
        <v>0</v>
      </c>
      <c r="Q188" s="9">
        <v>4427</v>
      </c>
      <c r="R188" s="9">
        <v>7975</v>
      </c>
      <c r="S188" s="9">
        <v>7910</v>
      </c>
      <c r="T188" s="31">
        <v>9245</v>
      </c>
      <c r="W188" s="16">
        <f t="shared" si="32"/>
        <v>43288</v>
      </c>
      <c r="X188" s="9">
        <f t="shared" si="33"/>
        <v>669.43200000000002</v>
      </c>
      <c r="Y188" s="9">
        <f t="shared" si="34"/>
        <v>1005.332</v>
      </c>
      <c r="AA188" s="16">
        <f t="shared" si="35"/>
        <v>43673</v>
      </c>
      <c r="AB188" s="21">
        <v>5854</v>
      </c>
      <c r="AC188" s="21">
        <f t="shared" si="36"/>
        <v>4427</v>
      </c>
      <c r="AD188" s="21">
        <f t="shared" si="37"/>
        <v>7975</v>
      </c>
      <c r="AE188" s="21">
        <f t="shared" si="38"/>
        <v>7910</v>
      </c>
      <c r="AF188" s="21">
        <f t="shared" si="39"/>
        <v>9245</v>
      </c>
      <c r="AK188" s="16"/>
      <c r="AL188" s="17"/>
      <c r="AN188" s="16"/>
    </row>
    <row r="189" spans="2:40" x14ac:dyDescent="0.4">
      <c r="B189" s="6">
        <f t="shared" si="27"/>
        <v>43659</v>
      </c>
      <c r="C189" s="8">
        <f t="shared" si="28"/>
        <v>342.98400000000004</v>
      </c>
      <c r="D189" s="5">
        <f t="shared" si="29"/>
        <v>1554.6759999999999</v>
      </c>
      <c r="E189" s="5">
        <f t="shared" si="30"/>
        <v>1694.6759999999999</v>
      </c>
      <c r="F189" s="5">
        <f t="shared" si="31"/>
        <v>2884.6759999999999</v>
      </c>
      <c r="H189" s="6"/>
      <c r="I189" s="11">
        <v>43295</v>
      </c>
      <c r="J189" s="9">
        <v>667.63199999999995</v>
      </c>
      <c r="K189" s="9">
        <v>1009.066</v>
      </c>
      <c r="O189" s="11">
        <v>43680</v>
      </c>
      <c r="P189" s="9">
        <v>0</v>
      </c>
      <c r="Q189" s="9">
        <v>4468</v>
      </c>
      <c r="R189" s="9">
        <v>7836</v>
      </c>
      <c r="S189" s="9">
        <v>7810</v>
      </c>
      <c r="T189" s="31">
        <v>9100</v>
      </c>
      <c r="W189" s="16">
        <f t="shared" si="32"/>
        <v>43295</v>
      </c>
      <c r="X189" s="9">
        <f t="shared" si="33"/>
        <v>667.63199999999995</v>
      </c>
      <c r="Y189" s="9">
        <f t="shared" si="34"/>
        <v>1009.066</v>
      </c>
      <c r="AA189" s="16">
        <f t="shared" si="35"/>
        <v>43680</v>
      </c>
      <c r="AB189" s="21">
        <v>5428</v>
      </c>
      <c r="AC189" s="21">
        <f t="shared" si="36"/>
        <v>4468</v>
      </c>
      <c r="AD189" s="21">
        <f t="shared" si="37"/>
        <v>7836</v>
      </c>
      <c r="AE189" s="21">
        <f t="shared" si="38"/>
        <v>7810</v>
      </c>
      <c r="AF189" s="21">
        <f t="shared" si="39"/>
        <v>9100</v>
      </c>
      <c r="AK189" s="16"/>
      <c r="AL189" s="17"/>
      <c r="AN189" s="16"/>
    </row>
    <row r="190" spans="2:40" x14ac:dyDescent="0.4">
      <c r="B190" s="6">
        <f t="shared" si="27"/>
        <v>43666</v>
      </c>
      <c r="C190" s="8">
        <f t="shared" si="28"/>
        <v>333.64400000000001</v>
      </c>
      <c r="D190" s="5">
        <f t="shared" si="29"/>
        <v>1399.9099999999999</v>
      </c>
      <c r="E190" s="5">
        <f t="shared" si="30"/>
        <v>1454.9099999999999</v>
      </c>
      <c r="F190" s="5">
        <f t="shared" si="31"/>
        <v>2724.91</v>
      </c>
      <c r="H190" s="6"/>
      <c r="I190" s="11">
        <v>43302</v>
      </c>
      <c r="J190" s="9">
        <v>643.33399999999995</v>
      </c>
      <c r="K190" s="9">
        <v>1002.4</v>
      </c>
      <c r="O190" s="11">
        <v>43687</v>
      </c>
      <c r="P190" s="9">
        <v>0</v>
      </c>
      <c r="Q190" s="9">
        <v>4343</v>
      </c>
      <c r="R190" s="9">
        <v>7690</v>
      </c>
      <c r="S190" s="9">
        <v>7700</v>
      </c>
      <c r="T190" s="31">
        <v>8965</v>
      </c>
      <c r="W190" s="16">
        <f t="shared" si="32"/>
        <v>43302</v>
      </c>
      <c r="X190" s="9">
        <f t="shared" si="33"/>
        <v>643.33399999999995</v>
      </c>
      <c r="Y190" s="9">
        <f t="shared" si="34"/>
        <v>1002.4</v>
      </c>
      <c r="AA190" s="16">
        <f t="shared" si="35"/>
        <v>43687</v>
      </c>
      <c r="AB190" s="21">
        <v>5144</v>
      </c>
      <c r="AC190" s="21">
        <f t="shared" si="36"/>
        <v>4343</v>
      </c>
      <c r="AD190" s="21">
        <f t="shared" si="37"/>
        <v>7690</v>
      </c>
      <c r="AE190" s="21">
        <f t="shared" si="38"/>
        <v>7700</v>
      </c>
      <c r="AF190" s="21">
        <f t="shared" si="39"/>
        <v>8965</v>
      </c>
      <c r="AK190" s="16"/>
      <c r="AL190" s="17"/>
      <c r="AN190" s="16"/>
    </row>
    <row r="191" spans="2:40" x14ac:dyDescent="0.4">
      <c r="B191" s="6">
        <f t="shared" si="27"/>
        <v>43673</v>
      </c>
      <c r="C191" s="8">
        <f t="shared" si="28"/>
        <v>333.61999999999995</v>
      </c>
      <c r="D191" s="5">
        <f t="shared" si="29"/>
        <v>1486.7849999999999</v>
      </c>
      <c r="E191" s="5">
        <f t="shared" si="30"/>
        <v>1421.7849999999999</v>
      </c>
      <c r="F191" s="5">
        <f t="shared" si="31"/>
        <v>2756.7849999999999</v>
      </c>
      <c r="H191" s="6"/>
      <c r="I191" s="11">
        <v>43309</v>
      </c>
      <c r="J191" s="9">
        <v>671.28399999999999</v>
      </c>
      <c r="K191" s="9">
        <v>1031.2639999999999</v>
      </c>
      <c r="O191" s="11">
        <v>43694</v>
      </c>
      <c r="P191" s="9">
        <v>0</v>
      </c>
      <c r="Q191" s="9">
        <v>4449</v>
      </c>
      <c r="R191" s="9">
        <v>7645</v>
      </c>
      <c r="S191" s="9">
        <v>7720</v>
      </c>
      <c r="T191" s="31">
        <v>8980</v>
      </c>
      <c r="W191" s="16">
        <f t="shared" si="32"/>
        <v>43309</v>
      </c>
      <c r="X191" s="9">
        <f t="shared" si="33"/>
        <v>671.28399999999999</v>
      </c>
      <c r="Y191" s="9">
        <f t="shared" si="34"/>
        <v>1031.2639999999999</v>
      </c>
      <c r="AA191" s="16">
        <f t="shared" si="35"/>
        <v>43694</v>
      </c>
      <c r="AB191" s="21">
        <v>5251</v>
      </c>
      <c r="AC191" s="21">
        <f t="shared" si="36"/>
        <v>4449</v>
      </c>
      <c r="AD191" s="21">
        <f t="shared" si="37"/>
        <v>7645</v>
      </c>
      <c r="AE191" s="21">
        <f t="shared" si="38"/>
        <v>7720</v>
      </c>
      <c r="AF191" s="21">
        <f t="shared" si="39"/>
        <v>8980</v>
      </c>
      <c r="AK191" s="16"/>
      <c r="AL191" s="17"/>
      <c r="AN191" s="16"/>
    </row>
    <row r="192" spans="2:40" x14ac:dyDescent="0.4">
      <c r="B192" s="6">
        <f t="shared" si="27"/>
        <v>43680</v>
      </c>
      <c r="C192" s="8">
        <f t="shared" si="28"/>
        <v>324.04200000000003</v>
      </c>
      <c r="D192" s="5">
        <f t="shared" si="29"/>
        <v>1698.2800000000002</v>
      </c>
      <c r="E192" s="5">
        <f t="shared" si="30"/>
        <v>1672.2800000000002</v>
      </c>
      <c r="F192" s="5">
        <f t="shared" si="31"/>
        <v>2962.28</v>
      </c>
      <c r="H192" s="6"/>
      <c r="I192" s="11">
        <v>43316</v>
      </c>
      <c r="J192" s="9">
        <v>675.93799999999999</v>
      </c>
      <c r="K192" s="9">
        <v>1093.8</v>
      </c>
      <c r="O192" s="11">
        <v>43701</v>
      </c>
      <c r="P192" s="9">
        <v>0</v>
      </c>
      <c r="Q192" s="9">
        <v>4523</v>
      </c>
      <c r="R192" s="9">
        <v>7745</v>
      </c>
      <c r="S192" s="9">
        <v>7840</v>
      </c>
      <c r="T192" s="31">
        <v>9065</v>
      </c>
      <c r="W192" s="16">
        <f t="shared" si="32"/>
        <v>43316</v>
      </c>
      <c r="X192" s="9">
        <f t="shared" si="33"/>
        <v>675.93799999999999</v>
      </c>
      <c r="Y192" s="9">
        <f t="shared" si="34"/>
        <v>1093.8</v>
      </c>
      <c r="AA192" s="16">
        <f t="shared" si="35"/>
        <v>43701</v>
      </c>
      <c r="AB192" s="21">
        <v>5201.6000000000004</v>
      </c>
      <c r="AC192" s="21">
        <f t="shared" si="36"/>
        <v>4523</v>
      </c>
      <c r="AD192" s="21">
        <f t="shared" si="37"/>
        <v>7745</v>
      </c>
      <c r="AE192" s="21">
        <f t="shared" si="38"/>
        <v>7840</v>
      </c>
      <c r="AF192" s="21">
        <f t="shared" si="39"/>
        <v>9065</v>
      </c>
      <c r="AK192" s="16"/>
      <c r="AL192" s="17"/>
      <c r="AN192" s="16"/>
    </row>
    <row r="193" spans="2:40" x14ac:dyDescent="0.4">
      <c r="B193" s="6">
        <f t="shared" si="27"/>
        <v>43687</v>
      </c>
      <c r="C193" s="8">
        <f t="shared" si="28"/>
        <v>325.60499999999996</v>
      </c>
      <c r="D193" s="5">
        <f t="shared" si="29"/>
        <v>1836.9749999999999</v>
      </c>
      <c r="E193" s="5">
        <f t="shared" si="30"/>
        <v>1846.9749999999999</v>
      </c>
      <c r="F193" s="5">
        <f t="shared" si="31"/>
        <v>3111.9749999999999</v>
      </c>
      <c r="H193" s="6"/>
      <c r="I193" s="11">
        <v>43323</v>
      </c>
      <c r="J193" s="9">
        <v>659.995</v>
      </c>
      <c r="K193" s="9">
        <v>1126.27</v>
      </c>
      <c r="O193" s="11">
        <v>43708</v>
      </c>
      <c r="P193" s="9">
        <v>0</v>
      </c>
      <c r="Q193" s="9">
        <v>4594</v>
      </c>
      <c r="R193" s="9">
        <v>7725</v>
      </c>
      <c r="S193" s="9">
        <v>7850</v>
      </c>
      <c r="T193" s="31">
        <v>9050</v>
      </c>
      <c r="W193" s="16">
        <f t="shared" si="32"/>
        <v>43323</v>
      </c>
      <c r="X193" s="9">
        <f t="shared" si="33"/>
        <v>659.995</v>
      </c>
      <c r="Y193" s="9">
        <f t="shared" si="34"/>
        <v>1126.27</v>
      </c>
      <c r="AA193" s="16">
        <f t="shared" si="35"/>
        <v>43708</v>
      </c>
      <c r="AB193" s="21">
        <v>5139</v>
      </c>
      <c r="AC193" s="21">
        <f t="shared" si="36"/>
        <v>4594</v>
      </c>
      <c r="AD193" s="21">
        <f t="shared" si="37"/>
        <v>7725</v>
      </c>
      <c r="AE193" s="21">
        <f t="shared" si="38"/>
        <v>7850</v>
      </c>
      <c r="AF193" s="21">
        <f t="shared" si="39"/>
        <v>9050</v>
      </c>
      <c r="AK193" s="16"/>
      <c r="AL193" s="17"/>
      <c r="AN193" s="16"/>
    </row>
    <row r="194" spans="2:40" x14ac:dyDescent="0.4">
      <c r="B194" s="6">
        <f t="shared" si="27"/>
        <v>43694</v>
      </c>
      <c r="C194" s="8">
        <f t="shared" si="28"/>
        <v>332.77750000000003</v>
      </c>
      <c r="D194" s="5">
        <f t="shared" si="29"/>
        <v>1664.9800000000002</v>
      </c>
      <c r="E194" s="5">
        <f t="shared" si="30"/>
        <v>1739.9800000000002</v>
      </c>
      <c r="F194" s="5">
        <f t="shared" si="31"/>
        <v>2999.9800000000005</v>
      </c>
      <c r="H194" s="6"/>
      <c r="I194" s="11">
        <v>43330</v>
      </c>
      <c r="J194" s="9">
        <v>644.62599999999998</v>
      </c>
      <c r="K194" s="9">
        <v>1165.6320000000001</v>
      </c>
      <c r="O194" s="11">
        <v>43715</v>
      </c>
      <c r="P194" s="9">
        <v>0</v>
      </c>
      <c r="Q194" s="9">
        <v>4653</v>
      </c>
      <c r="R194" s="9">
        <v>7710</v>
      </c>
      <c r="S194" s="9">
        <v>7720</v>
      </c>
      <c r="T194" s="31">
        <v>9060</v>
      </c>
      <c r="W194" s="16">
        <f t="shared" si="32"/>
        <v>43330</v>
      </c>
      <c r="X194" s="9">
        <f t="shared" si="33"/>
        <v>644.62599999999998</v>
      </c>
      <c r="Y194" s="9">
        <f t="shared" si="34"/>
        <v>1165.6320000000001</v>
      </c>
      <c r="AA194" s="16">
        <f t="shared" si="35"/>
        <v>43715</v>
      </c>
      <c r="AB194" s="21">
        <v>5176</v>
      </c>
      <c r="AC194" s="21">
        <f t="shared" si="36"/>
        <v>4653</v>
      </c>
      <c r="AD194" s="21">
        <f t="shared" si="37"/>
        <v>7710</v>
      </c>
      <c r="AE194" s="21">
        <f t="shared" si="38"/>
        <v>7720</v>
      </c>
      <c r="AF194" s="21">
        <f t="shared" si="39"/>
        <v>9060</v>
      </c>
      <c r="AK194" s="16"/>
      <c r="AL194" s="17"/>
      <c r="AN194" s="16"/>
    </row>
    <row r="195" spans="2:40" x14ac:dyDescent="0.4">
      <c r="B195" s="6">
        <f t="shared" si="27"/>
        <v>43701</v>
      </c>
      <c r="C195" s="8">
        <f t="shared" si="28"/>
        <v>319.12399999999997</v>
      </c>
      <c r="D195" s="5">
        <f t="shared" si="29"/>
        <v>1782.4269999999995</v>
      </c>
      <c r="E195" s="5">
        <f t="shared" si="30"/>
        <v>1877.4269999999995</v>
      </c>
      <c r="F195" s="5">
        <f t="shared" si="31"/>
        <v>3102.4269999999997</v>
      </c>
      <c r="H195" s="6"/>
      <c r="I195" s="11">
        <v>43337</v>
      </c>
      <c r="J195" s="9">
        <v>650.92750000000001</v>
      </c>
      <c r="K195" s="9">
        <v>1230.068</v>
      </c>
      <c r="O195" s="11">
        <v>43722</v>
      </c>
      <c r="P195" s="9">
        <v>0</v>
      </c>
      <c r="Q195" s="9">
        <v>4852.5</v>
      </c>
      <c r="R195" s="9">
        <v>7693.75</v>
      </c>
      <c r="S195" s="9">
        <v>7725</v>
      </c>
      <c r="T195" s="31">
        <v>9087.5</v>
      </c>
      <c r="W195" s="16">
        <f t="shared" si="32"/>
        <v>43337</v>
      </c>
      <c r="X195" s="9">
        <f t="shared" si="33"/>
        <v>650.92750000000001</v>
      </c>
      <c r="Y195" s="9">
        <f t="shared" si="34"/>
        <v>1230.068</v>
      </c>
      <c r="AA195" s="16">
        <f t="shared" si="35"/>
        <v>43722</v>
      </c>
      <c r="AB195" s="21">
        <v>5177.5</v>
      </c>
      <c r="AC195" s="21">
        <f t="shared" si="36"/>
        <v>4852.5</v>
      </c>
      <c r="AD195" s="21">
        <f t="shared" si="37"/>
        <v>7693.75</v>
      </c>
      <c r="AE195" s="21">
        <f t="shared" si="38"/>
        <v>7725</v>
      </c>
      <c r="AF195" s="21">
        <f t="shared" si="39"/>
        <v>9087.5</v>
      </c>
      <c r="AK195" s="16"/>
      <c r="AL195" s="17"/>
      <c r="AN195" s="16"/>
    </row>
    <row r="196" spans="2:40" x14ac:dyDescent="0.4">
      <c r="B196" s="6">
        <f t="shared" si="27"/>
        <v>43708</v>
      </c>
      <c r="C196" s="8">
        <f t="shared" si="28"/>
        <v>322.57599999999996</v>
      </c>
      <c r="D196" s="5">
        <f t="shared" si="29"/>
        <v>1792.1649999999997</v>
      </c>
      <c r="E196" s="5">
        <f t="shared" si="30"/>
        <v>1917.1649999999997</v>
      </c>
      <c r="F196" s="5">
        <f t="shared" si="31"/>
        <v>3117.165</v>
      </c>
      <c r="H196" s="6"/>
      <c r="I196" s="11">
        <v>43344</v>
      </c>
      <c r="J196" s="9">
        <v>671.30399999999997</v>
      </c>
      <c r="K196" s="9">
        <v>1334.4</v>
      </c>
      <c r="O196" s="11">
        <v>43729</v>
      </c>
      <c r="P196" s="9">
        <v>0</v>
      </c>
      <c r="Q196" s="9">
        <v>5197</v>
      </c>
      <c r="R196" s="9">
        <v>7905</v>
      </c>
      <c r="S196" s="9">
        <v>7980</v>
      </c>
      <c r="T196" s="31">
        <v>9280</v>
      </c>
      <c r="W196" s="16">
        <f t="shared" si="32"/>
        <v>43344</v>
      </c>
      <c r="X196" s="9">
        <f t="shared" si="33"/>
        <v>671.30399999999997</v>
      </c>
      <c r="Y196" s="9">
        <f t="shared" si="34"/>
        <v>1334.4</v>
      </c>
      <c r="AA196" s="16">
        <f t="shared" si="35"/>
        <v>43729</v>
      </c>
      <c r="AB196" s="21">
        <v>5200</v>
      </c>
      <c r="AC196" s="21">
        <f t="shared" si="36"/>
        <v>5197</v>
      </c>
      <c r="AD196" s="21">
        <f t="shared" si="37"/>
        <v>7905</v>
      </c>
      <c r="AE196" s="21">
        <f t="shared" si="38"/>
        <v>7980</v>
      </c>
      <c r="AF196" s="21">
        <f t="shared" si="39"/>
        <v>9280</v>
      </c>
      <c r="AK196" s="16"/>
      <c r="AL196" s="17"/>
      <c r="AN196" s="16"/>
    </row>
    <row r="197" spans="2:40" x14ac:dyDescent="0.4">
      <c r="B197" s="6">
        <f t="shared" si="27"/>
        <v>43715</v>
      </c>
      <c r="C197" s="8">
        <f t="shared" si="28"/>
        <v>319.37</v>
      </c>
      <c r="D197" s="5">
        <f t="shared" si="29"/>
        <v>1725.7650000000003</v>
      </c>
      <c r="E197" s="5">
        <f t="shared" si="30"/>
        <v>1735.7650000000003</v>
      </c>
      <c r="F197" s="5">
        <f t="shared" si="31"/>
        <v>3075.7650000000003</v>
      </c>
      <c r="H197" s="6"/>
      <c r="I197" s="11">
        <v>43351</v>
      </c>
      <c r="J197" s="9">
        <v>679.49400000000003</v>
      </c>
      <c r="K197" s="9">
        <v>1343</v>
      </c>
      <c r="O197" s="11">
        <v>43736</v>
      </c>
      <c r="P197" s="9">
        <v>0</v>
      </c>
      <c r="Q197" s="9">
        <v>5183</v>
      </c>
      <c r="R197" s="9">
        <v>7765</v>
      </c>
      <c r="S197" s="9">
        <v>7730</v>
      </c>
      <c r="T197" s="31">
        <v>9140</v>
      </c>
      <c r="W197" s="16">
        <f t="shared" si="32"/>
        <v>43351</v>
      </c>
      <c r="X197" s="9">
        <f t="shared" si="33"/>
        <v>679.49400000000003</v>
      </c>
      <c r="Y197" s="9">
        <f t="shared" si="34"/>
        <v>1343</v>
      </c>
      <c r="AA197" s="16">
        <f t="shared" si="35"/>
        <v>43736</v>
      </c>
      <c r="AB197" s="21">
        <v>5083</v>
      </c>
      <c r="AC197" s="21">
        <f t="shared" si="36"/>
        <v>5183</v>
      </c>
      <c r="AD197" s="21">
        <f t="shared" si="37"/>
        <v>7765</v>
      </c>
      <c r="AE197" s="21">
        <f t="shared" si="38"/>
        <v>7730</v>
      </c>
      <c r="AF197" s="21">
        <f t="shared" si="39"/>
        <v>9140</v>
      </c>
      <c r="AK197" s="16"/>
      <c r="AL197" s="17"/>
      <c r="AN197" s="16"/>
    </row>
    <row r="198" spans="2:40" x14ac:dyDescent="0.4">
      <c r="B198" s="6">
        <f t="shared" ref="B198:B261" si="40">I250</f>
        <v>43722</v>
      </c>
      <c r="C198" s="8">
        <f t="shared" ref="C198:C261" si="41">Y250-X250</f>
        <v>303.08399999999995</v>
      </c>
      <c r="D198" s="5">
        <f t="shared" ref="D198:D261" si="42">IFERROR(VLOOKUP(B198,$AA:$AF,4,1)-0.855*VLOOKUP(B198,$AA:$AF,2,1)-0.335*VLOOKUP(B198,$AA:$AF,3,1),D197)</f>
        <v>1641.4</v>
      </c>
      <c r="E198" s="5">
        <f t="shared" ref="E198:E261" si="43">IFERROR(VLOOKUP(B198,$AA:$AF,5,1)-0.855*VLOOKUP(B198,$AA:$AF,2,1)-0.335*VLOOKUP(B198,$AA:$AF,3,1),E197)</f>
        <v>1672.65</v>
      </c>
      <c r="F198" s="5">
        <f t="shared" ref="F198:F261" si="44">IFERROR(VLOOKUP(B198,$AA:$AF,6,1)-0.855*VLOOKUP(B198,$AA:$AF,2,1)-0.335*VLOOKUP(B198,$AA:$AF,3,1),F197)</f>
        <v>3035.15</v>
      </c>
      <c r="H198" s="6"/>
      <c r="I198" s="11">
        <v>43358</v>
      </c>
      <c r="J198" s="9">
        <v>680.726</v>
      </c>
      <c r="K198" s="9">
        <v>1342.1659999999999</v>
      </c>
      <c r="O198" s="11">
        <v>43743</v>
      </c>
      <c r="P198" s="9">
        <v>0</v>
      </c>
      <c r="Q198" s="9">
        <v>5160</v>
      </c>
      <c r="R198" s="9">
        <v>7625</v>
      </c>
      <c r="S198" s="9">
        <v>7600</v>
      </c>
      <c r="T198" s="31">
        <v>9100</v>
      </c>
      <c r="W198" s="16">
        <f t="shared" ref="W198:W261" si="45">I198</f>
        <v>43358</v>
      </c>
      <c r="X198" s="9">
        <f t="shared" ref="X198:X261" si="46">IFERROR(IF(J198&lt;&gt;0,J198,X197),X197)</f>
        <v>680.726</v>
      </c>
      <c r="Y198" s="9">
        <f t="shared" ref="Y198:Y261" si="47">IFERROR(IF(K198&lt;&gt;0,K198,Y197),Y197)</f>
        <v>1342.1659999999999</v>
      </c>
      <c r="AA198" s="16">
        <f t="shared" ref="AA198:AA261" si="48">O198</f>
        <v>43743</v>
      </c>
      <c r="AB198" s="21">
        <v>5087.5</v>
      </c>
      <c r="AC198" s="21">
        <f t="shared" ref="AC198:AC261" si="49">IFERROR(IF(Q198&lt;&gt;0,Q198,AC197),AC197)</f>
        <v>5160</v>
      </c>
      <c r="AD198" s="21">
        <f t="shared" ref="AD198:AD261" si="50">IFERROR(IF(R198&lt;&gt;0,R198,AD197),AD197)</f>
        <v>7625</v>
      </c>
      <c r="AE198" s="21">
        <f t="shared" ref="AE198:AE261" si="51">IFERROR(IF(S198&lt;&gt;0,S198,AE197),AE197)</f>
        <v>7600</v>
      </c>
      <c r="AF198" s="21">
        <f t="shared" ref="AF198:AF261" si="52">IFERROR(IF(T198&lt;&gt;0,T198,AF197),AF197)</f>
        <v>9100</v>
      </c>
      <c r="AK198" s="16"/>
      <c r="AL198" s="17"/>
      <c r="AN198" s="16"/>
    </row>
    <row r="199" spans="2:40" x14ac:dyDescent="0.4">
      <c r="B199" s="6">
        <f t="shared" si="40"/>
        <v>43729</v>
      </c>
      <c r="C199" s="8">
        <f t="shared" si="41"/>
        <v>277.86400000000003</v>
      </c>
      <c r="D199" s="5">
        <f t="shared" si="42"/>
        <v>1718.0049999999999</v>
      </c>
      <c r="E199" s="5">
        <f t="shared" si="43"/>
        <v>1793.0049999999999</v>
      </c>
      <c r="F199" s="5">
        <f t="shared" si="44"/>
        <v>3093.0050000000001</v>
      </c>
      <c r="H199" s="6"/>
      <c r="I199" s="11">
        <v>43365</v>
      </c>
      <c r="J199" s="9">
        <v>687.05399999999997</v>
      </c>
      <c r="K199" s="9">
        <v>1288.4680000000001</v>
      </c>
      <c r="O199" s="11">
        <v>43750</v>
      </c>
      <c r="P199" s="9">
        <v>0</v>
      </c>
      <c r="Q199" s="9">
        <v>5090</v>
      </c>
      <c r="R199" s="9">
        <v>7475</v>
      </c>
      <c r="S199" s="9">
        <v>7475</v>
      </c>
      <c r="T199" s="31">
        <v>9035</v>
      </c>
      <c r="W199" s="16">
        <f t="shared" si="45"/>
        <v>43365</v>
      </c>
      <c r="X199" s="9">
        <f t="shared" si="46"/>
        <v>687.05399999999997</v>
      </c>
      <c r="Y199" s="9">
        <f t="shared" si="47"/>
        <v>1288.4680000000001</v>
      </c>
      <c r="AA199" s="16">
        <f t="shared" si="48"/>
        <v>43750</v>
      </c>
      <c r="AB199" s="21">
        <v>5145</v>
      </c>
      <c r="AC199" s="21">
        <f t="shared" si="49"/>
        <v>5090</v>
      </c>
      <c r="AD199" s="21">
        <f t="shared" si="50"/>
        <v>7475</v>
      </c>
      <c r="AE199" s="21">
        <f t="shared" si="51"/>
        <v>7475</v>
      </c>
      <c r="AF199" s="21">
        <f t="shared" si="52"/>
        <v>9035</v>
      </c>
      <c r="AK199" s="16"/>
      <c r="AL199" s="17"/>
      <c r="AN199" s="16"/>
    </row>
    <row r="200" spans="2:40" x14ac:dyDescent="0.4">
      <c r="B200" s="6">
        <f t="shared" si="40"/>
        <v>43736</v>
      </c>
      <c r="C200" s="8">
        <f t="shared" si="41"/>
        <v>280.77599999999995</v>
      </c>
      <c r="D200" s="5">
        <f t="shared" si="42"/>
        <v>1682.7299999999998</v>
      </c>
      <c r="E200" s="5">
        <f t="shared" si="43"/>
        <v>1647.7299999999998</v>
      </c>
      <c r="F200" s="5">
        <f t="shared" si="44"/>
        <v>3057.7299999999996</v>
      </c>
      <c r="H200" s="6"/>
      <c r="I200" s="11">
        <v>43372</v>
      </c>
      <c r="J200" s="9">
        <v>711.56</v>
      </c>
      <c r="K200" s="9">
        <v>1309.068</v>
      </c>
      <c r="O200" s="11">
        <v>43757</v>
      </c>
      <c r="P200" s="9">
        <v>0</v>
      </c>
      <c r="Q200" s="9">
        <v>4703</v>
      </c>
      <c r="R200" s="9">
        <v>7360</v>
      </c>
      <c r="S200" s="9">
        <v>7370</v>
      </c>
      <c r="T200" s="31">
        <v>8950</v>
      </c>
      <c r="W200" s="16">
        <f t="shared" si="45"/>
        <v>43372</v>
      </c>
      <c r="X200" s="9">
        <f t="shared" si="46"/>
        <v>711.56</v>
      </c>
      <c r="Y200" s="9">
        <f t="shared" si="47"/>
        <v>1309.068</v>
      </c>
      <c r="AA200" s="16">
        <f t="shared" si="48"/>
        <v>43757</v>
      </c>
      <c r="AB200" s="21">
        <v>5037</v>
      </c>
      <c r="AC200" s="21">
        <f t="shared" si="49"/>
        <v>4703</v>
      </c>
      <c r="AD200" s="21">
        <f t="shared" si="50"/>
        <v>7360</v>
      </c>
      <c r="AE200" s="21">
        <f t="shared" si="51"/>
        <v>7370</v>
      </c>
      <c r="AF200" s="21">
        <f t="shared" si="52"/>
        <v>8950</v>
      </c>
      <c r="AK200" s="16"/>
      <c r="AL200" s="17"/>
      <c r="AN200" s="16"/>
    </row>
    <row r="201" spans="2:40" x14ac:dyDescent="0.4">
      <c r="B201" s="6">
        <f t="shared" si="40"/>
        <v>43743</v>
      </c>
      <c r="C201" s="8">
        <f t="shared" si="41"/>
        <v>279.65199999999999</v>
      </c>
      <c r="D201" s="5">
        <f t="shared" si="42"/>
        <v>1546.5874999999999</v>
      </c>
      <c r="E201" s="5">
        <f t="shared" si="43"/>
        <v>1521.5874999999999</v>
      </c>
      <c r="F201" s="5">
        <f t="shared" si="44"/>
        <v>3021.5874999999996</v>
      </c>
      <c r="H201" s="6"/>
      <c r="I201" s="11">
        <v>43379</v>
      </c>
      <c r="J201" s="9">
        <v>736.55799999999999</v>
      </c>
      <c r="K201" s="9">
        <v>1329.5</v>
      </c>
      <c r="O201" s="11">
        <v>43764</v>
      </c>
      <c r="P201" s="9">
        <v>0</v>
      </c>
      <c r="Q201" s="9">
        <v>4619</v>
      </c>
      <c r="R201" s="9">
        <v>7095</v>
      </c>
      <c r="S201" s="9">
        <v>7225</v>
      </c>
      <c r="T201" s="31">
        <v>8700</v>
      </c>
      <c r="W201" s="16">
        <f t="shared" si="45"/>
        <v>43379</v>
      </c>
      <c r="X201" s="9">
        <f t="shared" si="46"/>
        <v>736.55799999999999</v>
      </c>
      <c r="Y201" s="9">
        <f t="shared" si="47"/>
        <v>1329.5</v>
      </c>
      <c r="AA201" s="16">
        <f t="shared" si="48"/>
        <v>43764</v>
      </c>
      <c r="AB201" s="21">
        <v>4909</v>
      </c>
      <c r="AC201" s="21">
        <f t="shared" si="49"/>
        <v>4619</v>
      </c>
      <c r="AD201" s="21">
        <f t="shared" si="50"/>
        <v>7095</v>
      </c>
      <c r="AE201" s="21">
        <f t="shared" si="51"/>
        <v>7225</v>
      </c>
      <c r="AF201" s="21">
        <f t="shared" si="52"/>
        <v>8700</v>
      </c>
      <c r="AK201" s="16"/>
      <c r="AL201" s="17"/>
      <c r="AN201" s="16"/>
    </row>
    <row r="202" spans="2:40" x14ac:dyDescent="0.4">
      <c r="B202" s="6">
        <f t="shared" si="40"/>
        <v>43750</v>
      </c>
      <c r="C202" s="8">
        <f t="shared" si="41"/>
        <v>274.36800000000005</v>
      </c>
      <c r="D202" s="5">
        <f t="shared" si="42"/>
        <v>1370.8750000000005</v>
      </c>
      <c r="E202" s="5">
        <f t="shared" si="43"/>
        <v>1370.8750000000005</v>
      </c>
      <c r="F202" s="5">
        <f t="shared" si="44"/>
        <v>2930.8750000000005</v>
      </c>
      <c r="H202" s="6"/>
      <c r="I202" s="11">
        <v>43386</v>
      </c>
      <c r="J202" s="9">
        <v>704.46600000000001</v>
      </c>
      <c r="K202" s="9">
        <v>1331.768</v>
      </c>
      <c r="O202" s="11">
        <v>43771</v>
      </c>
      <c r="P202" s="9">
        <v>0</v>
      </c>
      <c r="Q202" s="9">
        <v>4627</v>
      </c>
      <c r="R202" s="9">
        <v>6975</v>
      </c>
      <c r="S202" s="9">
        <v>7195</v>
      </c>
      <c r="T202" s="31">
        <v>8620</v>
      </c>
      <c r="W202" s="16">
        <f t="shared" si="45"/>
        <v>43386</v>
      </c>
      <c r="X202" s="9">
        <f t="shared" si="46"/>
        <v>704.46600000000001</v>
      </c>
      <c r="Y202" s="9">
        <f t="shared" si="47"/>
        <v>1331.768</v>
      </c>
      <c r="AA202" s="16">
        <f t="shared" si="48"/>
        <v>43771</v>
      </c>
      <c r="AB202" s="21">
        <v>4851</v>
      </c>
      <c r="AC202" s="21">
        <f t="shared" si="49"/>
        <v>4627</v>
      </c>
      <c r="AD202" s="21">
        <f t="shared" si="50"/>
        <v>6975</v>
      </c>
      <c r="AE202" s="21">
        <f t="shared" si="51"/>
        <v>7195</v>
      </c>
      <c r="AF202" s="21">
        <f t="shared" si="52"/>
        <v>8620</v>
      </c>
      <c r="AK202" s="16"/>
      <c r="AL202" s="17"/>
      <c r="AN202" s="16"/>
    </row>
    <row r="203" spans="2:40" x14ac:dyDescent="0.4">
      <c r="B203" s="6">
        <f t="shared" si="40"/>
        <v>43757</v>
      </c>
      <c r="C203" s="8">
        <f t="shared" si="41"/>
        <v>242.16800000000001</v>
      </c>
      <c r="D203" s="5">
        <f t="shared" si="42"/>
        <v>1477.8599999999997</v>
      </c>
      <c r="E203" s="5">
        <f t="shared" si="43"/>
        <v>1487.8599999999997</v>
      </c>
      <c r="F203" s="5">
        <f t="shared" si="44"/>
        <v>3067.8599999999997</v>
      </c>
      <c r="H203" s="6"/>
      <c r="I203" s="11">
        <v>43393</v>
      </c>
      <c r="J203" s="9">
        <v>678.51199999999994</v>
      </c>
      <c r="K203" s="9">
        <v>1286.2840000000001</v>
      </c>
      <c r="O203" s="11">
        <v>43778</v>
      </c>
      <c r="P203" s="9">
        <v>0</v>
      </c>
      <c r="Q203" s="9">
        <v>4542</v>
      </c>
      <c r="R203" s="9">
        <v>6905</v>
      </c>
      <c r="S203" s="9">
        <v>7070</v>
      </c>
      <c r="T203" s="31">
        <v>8500</v>
      </c>
      <c r="W203" s="16">
        <f t="shared" si="45"/>
        <v>43393</v>
      </c>
      <c r="X203" s="9">
        <f t="shared" si="46"/>
        <v>678.51199999999994</v>
      </c>
      <c r="Y203" s="9">
        <f t="shared" si="47"/>
        <v>1286.2840000000001</v>
      </c>
      <c r="AA203" s="16">
        <f t="shared" si="48"/>
        <v>43778</v>
      </c>
      <c r="AB203" s="21">
        <v>4822</v>
      </c>
      <c r="AC203" s="21">
        <f t="shared" si="49"/>
        <v>4542</v>
      </c>
      <c r="AD203" s="21">
        <f t="shared" si="50"/>
        <v>6905</v>
      </c>
      <c r="AE203" s="21">
        <f t="shared" si="51"/>
        <v>7070</v>
      </c>
      <c r="AF203" s="21">
        <f t="shared" si="52"/>
        <v>8500</v>
      </c>
      <c r="AK203" s="16"/>
      <c r="AL203" s="17"/>
      <c r="AN203" s="16"/>
    </row>
    <row r="204" spans="2:40" x14ac:dyDescent="0.4">
      <c r="B204" s="6">
        <f t="shared" si="40"/>
        <v>43764</v>
      </c>
      <c r="C204" s="8">
        <f t="shared" si="41"/>
        <v>239.75</v>
      </c>
      <c r="D204" s="5">
        <f t="shared" si="42"/>
        <v>1350.4400000000003</v>
      </c>
      <c r="E204" s="5">
        <f t="shared" si="43"/>
        <v>1480.4400000000003</v>
      </c>
      <c r="F204" s="5">
        <f t="shared" si="44"/>
        <v>2955.4400000000005</v>
      </c>
      <c r="H204" s="6"/>
      <c r="I204" s="11">
        <v>43400</v>
      </c>
      <c r="J204" s="9">
        <v>643.65200000000004</v>
      </c>
      <c r="K204" s="9">
        <v>1247.548</v>
      </c>
      <c r="O204" s="11">
        <v>43785</v>
      </c>
      <c r="P204" s="9">
        <v>0</v>
      </c>
      <c r="Q204" s="9">
        <v>4625</v>
      </c>
      <c r="R204" s="9">
        <v>6830</v>
      </c>
      <c r="S204" s="9">
        <v>6930</v>
      </c>
      <c r="T204" s="31">
        <v>8460</v>
      </c>
      <c r="W204" s="16">
        <f t="shared" si="45"/>
        <v>43400</v>
      </c>
      <c r="X204" s="9">
        <f t="shared" si="46"/>
        <v>643.65200000000004</v>
      </c>
      <c r="Y204" s="9">
        <f t="shared" si="47"/>
        <v>1247.548</v>
      </c>
      <c r="AA204" s="16">
        <f t="shared" si="48"/>
        <v>43785</v>
      </c>
      <c r="AB204" s="21">
        <v>4717</v>
      </c>
      <c r="AC204" s="21">
        <f t="shared" si="49"/>
        <v>4625</v>
      </c>
      <c r="AD204" s="21">
        <f t="shared" si="50"/>
        <v>6830</v>
      </c>
      <c r="AE204" s="21">
        <f t="shared" si="51"/>
        <v>6930</v>
      </c>
      <c r="AF204" s="21">
        <f t="shared" si="52"/>
        <v>8460</v>
      </c>
      <c r="AK204" s="16"/>
      <c r="AL204" s="17"/>
      <c r="AN204" s="16"/>
    </row>
    <row r="205" spans="2:40" x14ac:dyDescent="0.4">
      <c r="B205" s="6">
        <f t="shared" si="40"/>
        <v>43771</v>
      </c>
      <c r="C205" s="8">
        <f t="shared" si="41"/>
        <v>242.46500000000003</v>
      </c>
      <c r="D205" s="5">
        <f t="shared" si="42"/>
        <v>1277.3500000000004</v>
      </c>
      <c r="E205" s="5">
        <f t="shared" si="43"/>
        <v>1497.3500000000004</v>
      </c>
      <c r="F205" s="5">
        <f t="shared" si="44"/>
        <v>2922.3500000000004</v>
      </c>
      <c r="H205" s="6"/>
      <c r="I205" s="11">
        <v>43407</v>
      </c>
      <c r="J205" s="9">
        <v>619.33600000000001</v>
      </c>
      <c r="K205" s="9">
        <v>1221.066</v>
      </c>
      <c r="O205" s="11">
        <v>43792</v>
      </c>
      <c r="P205" s="9">
        <v>0</v>
      </c>
      <c r="Q205" s="9">
        <v>4693.5</v>
      </c>
      <c r="R205" s="9">
        <v>6885</v>
      </c>
      <c r="S205" s="9">
        <v>6990</v>
      </c>
      <c r="T205" s="31">
        <v>8470</v>
      </c>
      <c r="W205" s="16">
        <f t="shared" si="45"/>
        <v>43407</v>
      </c>
      <c r="X205" s="9">
        <f t="shared" si="46"/>
        <v>619.33600000000001</v>
      </c>
      <c r="Y205" s="9">
        <f t="shared" si="47"/>
        <v>1221.066</v>
      </c>
      <c r="AA205" s="16">
        <f t="shared" si="48"/>
        <v>43792</v>
      </c>
      <c r="AB205" s="21">
        <v>4783</v>
      </c>
      <c r="AC205" s="21">
        <f t="shared" si="49"/>
        <v>4693.5</v>
      </c>
      <c r="AD205" s="21">
        <f t="shared" si="50"/>
        <v>6885</v>
      </c>
      <c r="AE205" s="21">
        <f t="shared" si="51"/>
        <v>6990</v>
      </c>
      <c r="AF205" s="21">
        <f t="shared" si="52"/>
        <v>8470</v>
      </c>
      <c r="AK205" s="16"/>
      <c r="AL205" s="17"/>
      <c r="AN205" s="16"/>
    </row>
    <row r="206" spans="2:40" x14ac:dyDescent="0.4">
      <c r="B206" s="6">
        <f t="shared" si="40"/>
        <v>43778</v>
      </c>
      <c r="C206" s="8">
        <f t="shared" si="41"/>
        <v>243.87400000000002</v>
      </c>
      <c r="D206" s="5">
        <f t="shared" si="42"/>
        <v>1260.6200000000003</v>
      </c>
      <c r="E206" s="5">
        <f t="shared" si="43"/>
        <v>1425.6200000000003</v>
      </c>
      <c r="F206" s="5">
        <f t="shared" si="44"/>
        <v>2855.6200000000003</v>
      </c>
      <c r="H206" s="6"/>
      <c r="I206" s="11">
        <v>43414</v>
      </c>
      <c r="J206" s="9">
        <v>559.89499999999998</v>
      </c>
      <c r="K206" s="9">
        <v>1162.3679999999999</v>
      </c>
      <c r="O206" s="11">
        <v>43799</v>
      </c>
      <c r="P206" s="9">
        <v>0</v>
      </c>
      <c r="Q206" s="9">
        <v>4638</v>
      </c>
      <c r="R206" s="9">
        <v>6920</v>
      </c>
      <c r="S206" s="9">
        <v>7045</v>
      </c>
      <c r="T206" s="31">
        <v>8500</v>
      </c>
      <c r="W206" s="16">
        <f t="shared" si="45"/>
        <v>43414</v>
      </c>
      <c r="X206" s="9">
        <f t="shared" si="46"/>
        <v>559.89499999999998</v>
      </c>
      <c r="Y206" s="9">
        <f t="shared" si="47"/>
        <v>1162.3679999999999</v>
      </c>
      <c r="AA206" s="16">
        <f t="shared" si="48"/>
        <v>43799</v>
      </c>
      <c r="AB206" s="21">
        <v>4779</v>
      </c>
      <c r="AC206" s="21">
        <f t="shared" si="49"/>
        <v>4638</v>
      </c>
      <c r="AD206" s="21">
        <f t="shared" si="50"/>
        <v>6920</v>
      </c>
      <c r="AE206" s="21">
        <f t="shared" si="51"/>
        <v>7045</v>
      </c>
      <c r="AF206" s="21">
        <f t="shared" si="52"/>
        <v>8500</v>
      </c>
      <c r="AK206" s="16"/>
      <c r="AL206" s="17"/>
      <c r="AN206" s="16"/>
    </row>
    <row r="207" spans="2:40" x14ac:dyDescent="0.4">
      <c r="B207" s="6">
        <f t="shared" si="40"/>
        <v>43785</v>
      </c>
      <c r="C207" s="8">
        <f t="shared" si="41"/>
        <v>237.78999999999996</v>
      </c>
      <c r="D207" s="5">
        <f t="shared" si="42"/>
        <v>1247.5900000000001</v>
      </c>
      <c r="E207" s="5">
        <f t="shared" si="43"/>
        <v>1347.5900000000001</v>
      </c>
      <c r="F207" s="5">
        <f t="shared" si="44"/>
        <v>2877.59</v>
      </c>
      <c r="H207" s="6"/>
      <c r="I207" s="11">
        <v>43421</v>
      </c>
      <c r="J207" s="9">
        <v>526.80999999999995</v>
      </c>
      <c r="K207" s="9">
        <v>1122.93</v>
      </c>
      <c r="O207" s="11">
        <v>43806</v>
      </c>
      <c r="P207" s="9">
        <v>0</v>
      </c>
      <c r="Q207" s="9">
        <v>4764</v>
      </c>
      <c r="R207" s="9">
        <v>6865</v>
      </c>
      <c r="S207" s="9">
        <v>7040</v>
      </c>
      <c r="T207" s="31">
        <v>8500</v>
      </c>
      <c r="W207" s="16">
        <f t="shared" si="45"/>
        <v>43421</v>
      </c>
      <c r="X207" s="9">
        <f t="shared" si="46"/>
        <v>526.80999999999995</v>
      </c>
      <c r="Y207" s="9">
        <f t="shared" si="47"/>
        <v>1122.93</v>
      </c>
      <c r="AA207" s="16">
        <f t="shared" si="48"/>
        <v>43806</v>
      </c>
      <c r="AB207" s="21">
        <v>4765</v>
      </c>
      <c r="AC207" s="21">
        <f t="shared" si="49"/>
        <v>4764</v>
      </c>
      <c r="AD207" s="21">
        <f t="shared" si="50"/>
        <v>6865</v>
      </c>
      <c r="AE207" s="21">
        <f t="shared" si="51"/>
        <v>7040</v>
      </c>
      <c r="AF207" s="21">
        <f t="shared" si="52"/>
        <v>8500</v>
      </c>
      <c r="AK207" s="16"/>
      <c r="AL207" s="17"/>
      <c r="AN207" s="16"/>
    </row>
    <row r="208" spans="2:40" x14ac:dyDescent="0.4">
      <c r="B208" s="6">
        <f t="shared" si="40"/>
        <v>43792</v>
      </c>
      <c r="C208" s="8">
        <f t="shared" si="41"/>
        <v>229.81000000000006</v>
      </c>
      <c r="D208" s="5">
        <f t="shared" si="42"/>
        <v>1223.2125000000003</v>
      </c>
      <c r="E208" s="5">
        <f t="shared" si="43"/>
        <v>1328.2125000000003</v>
      </c>
      <c r="F208" s="5">
        <f t="shared" si="44"/>
        <v>2808.2124999999996</v>
      </c>
      <c r="H208" s="6"/>
      <c r="I208" s="11">
        <v>43428</v>
      </c>
      <c r="J208" s="9">
        <v>508.50799999999998</v>
      </c>
      <c r="K208" s="9">
        <v>1083.5360000000001</v>
      </c>
      <c r="O208" s="11">
        <v>43813</v>
      </c>
      <c r="P208" s="9">
        <v>0</v>
      </c>
      <c r="Q208" s="9">
        <v>5227</v>
      </c>
      <c r="R208" s="9">
        <v>6880</v>
      </c>
      <c r="S208" s="9">
        <v>7100</v>
      </c>
      <c r="T208" s="31">
        <v>8505</v>
      </c>
      <c r="W208" s="16">
        <f t="shared" si="45"/>
        <v>43428</v>
      </c>
      <c r="X208" s="9">
        <f t="shared" si="46"/>
        <v>508.50799999999998</v>
      </c>
      <c r="Y208" s="9">
        <f t="shared" si="47"/>
        <v>1083.5360000000001</v>
      </c>
      <c r="AA208" s="16">
        <f t="shared" si="48"/>
        <v>43813</v>
      </c>
      <c r="AB208" s="21">
        <v>4809</v>
      </c>
      <c r="AC208" s="21">
        <f t="shared" si="49"/>
        <v>5227</v>
      </c>
      <c r="AD208" s="21">
        <f t="shared" si="50"/>
        <v>6880</v>
      </c>
      <c r="AE208" s="21">
        <f t="shared" si="51"/>
        <v>7100</v>
      </c>
      <c r="AF208" s="21">
        <f t="shared" si="52"/>
        <v>8505</v>
      </c>
      <c r="AK208" s="16"/>
      <c r="AL208" s="17"/>
      <c r="AN208" s="16"/>
    </row>
    <row r="209" spans="2:40" x14ac:dyDescent="0.4">
      <c r="B209" s="6">
        <f t="shared" si="40"/>
        <v>43799</v>
      </c>
      <c r="C209" s="8">
        <f t="shared" si="41"/>
        <v>200.38000000000011</v>
      </c>
      <c r="D209" s="5">
        <f t="shared" si="42"/>
        <v>1280.2249999999999</v>
      </c>
      <c r="E209" s="5">
        <f t="shared" si="43"/>
        <v>1405.2249999999999</v>
      </c>
      <c r="F209" s="5">
        <f t="shared" si="44"/>
        <v>2860.2249999999999</v>
      </c>
      <c r="H209" s="6"/>
      <c r="I209" s="11">
        <v>43435</v>
      </c>
      <c r="J209" s="9">
        <v>474.72800000000001</v>
      </c>
      <c r="K209" s="9">
        <v>1004.532</v>
      </c>
      <c r="O209" s="11">
        <v>43820</v>
      </c>
      <c r="P209" s="9">
        <v>0</v>
      </c>
      <c r="Q209" s="9">
        <v>5499</v>
      </c>
      <c r="R209" s="9">
        <v>7015</v>
      </c>
      <c r="S209" s="9">
        <v>7320</v>
      </c>
      <c r="T209" s="31">
        <v>8605</v>
      </c>
      <c r="W209" s="16">
        <f t="shared" si="45"/>
        <v>43435</v>
      </c>
      <c r="X209" s="9">
        <f t="shared" si="46"/>
        <v>474.72800000000001</v>
      </c>
      <c r="Y209" s="9">
        <f t="shared" si="47"/>
        <v>1004.532</v>
      </c>
      <c r="AA209" s="16">
        <f t="shared" si="48"/>
        <v>43820</v>
      </c>
      <c r="AB209" s="21">
        <v>4855</v>
      </c>
      <c r="AC209" s="21">
        <f t="shared" si="49"/>
        <v>5499</v>
      </c>
      <c r="AD209" s="21">
        <f t="shared" si="50"/>
        <v>7015</v>
      </c>
      <c r="AE209" s="21">
        <f t="shared" si="51"/>
        <v>7320</v>
      </c>
      <c r="AF209" s="21">
        <f t="shared" si="52"/>
        <v>8605</v>
      </c>
      <c r="AK209" s="16"/>
      <c r="AL209" s="17"/>
      <c r="AN209" s="16"/>
    </row>
    <row r="210" spans="2:40" x14ac:dyDescent="0.4">
      <c r="B210" s="6">
        <f t="shared" si="40"/>
        <v>43806</v>
      </c>
      <c r="C210" s="8">
        <f t="shared" si="41"/>
        <v>217.63400000000001</v>
      </c>
      <c r="D210" s="5">
        <f t="shared" si="42"/>
        <v>1194.9850000000001</v>
      </c>
      <c r="E210" s="5">
        <f t="shared" si="43"/>
        <v>1369.9850000000001</v>
      </c>
      <c r="F210" s="5">
        <f t="shared" si="44"/>
        <v>2829.9850000000001</v>
      </c>
      <c r="H210" s="6"/>
      <c r="I210" s="11">
        <v>43442</v>
      </c>
      <c r="J210" s="9">
        <v>494.95600000000002</v>
      </c>
      <c r="K210" s="9">
        <v>1040.732</v>
      </c>
      <c r="O210" s="11">
        <v>43827</v>
      </c>
      <c r="P210" s="9">
        <v>0</v>
      </c>
      <c r="Q210" s="9">
        <v>5063</v>
      </c>
      <c r="R210" s="9">
        <v>7065</v>
      </c>
      <c r="S210" s="9">
        <v>7390</v>
      </c>
      <c r="T210" s="31">
        <v>8650</v>
      </c>
      <c r="W210" s="16">
        <f t="shared" si="45"/>
        <v>43442</v>
      </c>
      <c r="X210" s="9">
        <f t="shared" si="46"/>
        <v>494.95600000000002</v>
      </c>
      <c r="Y210" s="9">
        <f t="shared" si="47"/>
        <v>1040.732</v>
      </c>
      <c r="AA210" s="16">
        <f t="shared" si="48"/>
        <v>43827</v>
      </c>
      <c r="AB210" s="21">
        <v>4838</v>
      </c>
      <c r="AC210" s="21">
        <f t="shared" si="49"/>
        <v>5063</v>
      </c>
      <c r="AD210" s="21">
        <f t="shared" si="50"/>
        <v>7065</v>
      </c>
      <c r="AE210" s="21">
        <f t="shared" si="51"/>
        <v>7390</v>
      </c>
      <c r="AF210" s="21">
        <f t="shared" si="52"/>
        <v>8650</v>
      </c>
      <c r="AK210" s="16"/>
      <c r="AL210" s="17"/>
      <c r="AN210" s="16"/>
    </row>
    <row r="211" spans="2:40" x14ac:dyDescent="0.4">
      <c r="B211" s="6">
        <f t="shared" si="40"/>
        <v>43813</v>
      </c>
      <c r="C211" s="8">
        <f t="shared" si="41"/>
        <v>194.66399999999999</v>
      </c>
      <c r="D211" s="5">
        <f t="shared" si="42"/>
        <v>1017.2600000000002</v>
      </c>
      <c r="E211" s="5">
        <f t="shared" si="43"/>
        <v>1237.2600000000002</v>
      </c>
      <c r="F211" s="5">
        <f t="shared" si="44"/>
        <v>2642.26</v>
      </c>
      <c r="H211" s="6"/>
      <c r="I211" s="11">
        <v>43449</v>
      </c>
      <c r="J211" s="9">
        <v>493.60399999999998</v>
      </c>
      <c r="K211" s="9">
        <v>1064.866</v>
      </c>
      <c r="O211" s="11">
        <v>43834</v>
      </c>
      <c r="P211" s="9">
        <v>0</v>
      </c>
      <c r="Q211" s="9">
        <v>5056.25</v>
      </c>
      <c r="R211" s="9">
        <v>7075</v>
      </c>
      <c r="S211" s="9">
        <v>7400</v>
      </c>
      <c r="T211" s="31">
        <v>8650</v>
      </c>
      <c r="W211" s="16">
        <f t="shared" si="45"/>
        <v>43449</v>
      </c>
      <c r="X211" s="9">
        <f t="shared" si="46"/>
        <v>493.60399999999998</v>
      </c>
      <c r="Y211" s="9">
        <f t="shared" si="47"/>
        <v>1064.866</v>
      </c>
      <c r="AA211" s="16">
        <f t="shared" si="48"/>
        <v>43834</v>
      </c>
      <c r="AB211" s="21">
        <v>4865</v>
      </c>
      <c r="AC211" s="21">
        <f t="shared" si="49"/>
        <v>5056.25</v>
      </c>
      <c r="AD211" s="21">
        <f t="shared" si="50"/>
        <v>7075</v>
      </c>
      <c r="AE211" s="21">
        <f t="shared" si="51"/>
        <v>7400</v>
      </c>
      <c r="AF211" s="21">
        <f t="shared" si="52"/>
        <v>8650</v>
      </c>
      <c r="AK211" s="16"/>
      <c r="AL211" s="17"/>
      <c r="AN211" s="16"/>
    </row>
    <row r="212" spans="2:40" x14ac:dyDescent="0.4">
      <c r="B212" s="6">
        <f t="shared" si="40"/>
        <v>43820</v>
      </c>
      <c r="C212" s="8">
        <f t="shared" si="41"/>
        <v>220.976</v>
      </c>
      <c r="D212" s="5">
        <f t="shared" si="42"/>
        <v>1021.8100000000002</v>
      </c>
      <c r="E212" s="5">
        <f t="shared" si="43"/>
        <v>1326.8100000000002</v>
      </c>
      <c r="F212" s="5">
        <f t="shared" si="44"/>
        <v>2611.8100000000004</v>
      </c>
      <c r="H212" s="6"/>
      <c r="I212" s="11">
        <v>43456</v>
      </c>
      <c r="J212" s="9">
        <v>480.90800000000002</v>
      </c>
      <c r="K212" s="9">
        <v>1040.0160000000001</v>
      </c>
      <c r="O212" s="11">
        <v>43841</v>
      </c>
      <c r="P212" s="9">
        <v>0</v>
      </c>
      <c r="Q212" s="9">
        <v>5333</v>
      </c>
      <c r="R212" s="9">
        <v>7180</v>
      </c>
      <c r="S212" s="9">
        <v>7480</v>
      </c>
      <c r="T212" s="31">
        <v>8730</v>
      </c>
      <c r="W212" s="16">
        <f t="shared" si="45"/>
        <v>43456</v>
      </c>
      <c r="X212" s="9">
        <f t="shared" si="46"/>
        <v>480.90800000000002</v>
      </c>
      <c r="Y212" s="9">
        <f t="shared" si="47"/>
        <v>1040.0160000000001</v>
      </c>
      <c r="AA212" s="16">
        <f t="shared" si="48"/>
        <v>43841</v>
      </c>
      <c r="AB212" s="21">
        <v>4886</v>
      </c>
      <c r="AC212" s="21">
        <f t="shared" si="49"/>
        <v>5333</v>
      </c>
      <c r="AD212" s="21">
        <f t="shared" si="50"/>
        <v>7180</v>
      </c>
      <c r="AE212" s="21">
        <f t="shared" si="51"/>
        <v>7480</v>
      </c>
      <c r="AF212" s="21">
        <f t="shared" si="52"/>
        <v>8730</v>
      </c>
      <c r="AK212" s="16"/>
      <c r="AL212" s="17"/>
      <c r="AN212" s="16"/>
    </row>
    <row r="213" spans="2:40" x14ac:dyDescent="0.4">
      <c r="B213" s="6">
        <f t="shared" si="40"/>
        <v>43827</v>
      </c>
      <c r="C213" s="8">
        <f t="shared" si="41"/>
        <v>238.9425</v>
      </c>
      <c r="D213" s="5">
        <f t="shared" si="42"/>
        <v>1232.4050000000002</v>
      </c>
      <c r="E213" s="5">
        <f t="shared" si="43"/>
        <v>1557.4050000000002</v>
      </c>
      <c r="F213" s="5">
        <f t="shared" si="44"/>
        <v>2817.4050000000002</v>
      </c>
      <c r="H213" s="6"/>
      <c r="I213" s="11">
        <v>43463</v>
      </c>
      <c r="J213" s="9">
        <v>457.11333333333334</v>
      </c>
      <c r="K213" s="9">
        <v>978.28399999999999</v>
      </c>
      <c r="O213" s="11">
        <v>43848</v>
      </c>
      <c r="P213" s="9">
        <v>0</v>
      </c>
      <c r="Q213" s="9">
        <v>5330</v>
      </c>
      <c r="R213" s="9">
        <v>7200</v>
      </c>
      <c r="S213" s="9">
        <v>7500</v>
      </c>
      <c r="T213" s="31">
        <v>8750</v>
      </c>
      <c r="W213" s="16">
        <f t="shared" si="45"/>
        <v>43463</v>
      </c>
      <c r="X213" s="9">
        <f t="shared" si="46"/>
        <v>457.11333333333334</v>
      </c>
      <c r="Y213" s="9">
        <f t="shared" si="47"/>
        <v>978.28399999999999</v>
      </c>
      <c r="AA213" s="16">
        <f t="shared" si="48"/>
        <v>43848</v>
      </c>
      <c r="AB213" s="21">
        <v>4834</v>
      </c>
      <c r="AC213" s="21">
        <f t="shared" si="49"/>
        <v>5330</v>
      </c>
      <c r="AD213" s="21">
        <f t="shared" si="50"/>
        <v>7200</v>
      </c>
      <c r="AE213" s="21">
        <f t="shared" si="51"/>
        <v>7500</v>
      </c>
      <c r="AF213" s="21">
        <f t="shared" si="52"/>
        <v>8750</v>
      </c>
      <c r="AK213" s="16"/>
      <c r="AL213" s="17"/>
      <c r="AN213" s="16"/>
    </row>
    <row r="214" spans="2:40" x14ac:dyDescent="0.4">
      <c r="B214" s="6">
        <f t="shared" si="40"/>
        <v>43834</v>
      </c>
      <c r="C214" s="8">
        <f t="shared" si="41"/>
        <v>251.83500000000004</v>
      </c>
      <c r="D214" s="5">
        <f t="shared" si="42"/>
        <v>1221.5812500000002</v>
      </c>
      <c r="E214" s="5">
        <f t="shared" si="43"/>
        <v>1546.5812500000002</v>
      </c>
      <c r="F214" s="5">
        <f t="shared" si="44"/>
        <v>2796.5812500000002</v>
      </c>
      <c r="H214" s="6"/>
      <c r="I214" s="11">
        <v>43470</v>
      </c>
      <c r="J214" s="9">
        <v>453.43666666666667</v>
      </c>
      <c r="K214" s="9">
        <v>947.33333333333337</v>
      </c>
      <c r="O214" s="11">
        <v>43855</v>
      </c>
      <c r="P214" s="9">
        <v>0</v>
      </c>
      <c r="Q214" s="9">
        <v>5121</v>
      </c>
      <c r="R214" s="9">
        <v>7175</v>
      </c>
      <c r="S214" s="9">
        <v>7475</v>
      </c>
      <c r="T214" s="31">
        <v>8750</v>
      </c>
      <c r="W214" s="16">
        <f t="shared" si="45"/>
        <v>43470</v>
      </c>
      <c r="X214" s="9">
        <f t="shared" si="46"/>
        <v>453.43666666666667</v>
      </c>
      <c r="Y214" s="9">
        <f t="shared" si="47"/>
        <v>947.33333333333337</v>
      </c>
      <c r="AA214" s="16">
        <f t="shared" si="48"/>
        <v>43855</v>
      </c>
      <c r="AB214" s="21">
        <v>4809</v>
      </c>
      <c r="AC214" s="21">
        <f t="shared" si="49"/>
        <v>5121</v>
      </c>
      <c r="AD214" s="21">
        <f t="shared" si="50"/>
        <v>7175</v>
      </c>
      <c r="AE214" s="21">
        <f t="shared" si="51"/>
        <v>7475</v>
      </c>
      <c r="AF214" s="21">
        <f t="shared" si="52"/>
        <v>8750</v>
      </c>
      <c r="AK214" s="16"/>
      <c r="AL214" s="17"/>
      <c r="AN214" s="16"/>
    </row>
    <row r="215" spans="2:40" x14ac:dyDescent="0.4">
      <c r="B215" s="6">
        <f t="shared" si="40"/>
        <v>43841</v>
      </c>
      <c r="C215" s="8">
        <f t="shared" si="41"/>
        <v>243.73800000000006</v>
      </c>
      <c r="D215" s="5">
        <f t="shared" si="42"/>
        <v>1215.9150000000002</v>
      </c>
      <c r="E215" s="5">
        <f t="shared" si="43"/>
        <v>1515.9150000000002</v>
      </c>
      <c r="F215" s="5">
        <f t="shared" si="44"/>
        <v>2765.915</v>
      </c>
      <c r="H215" s="6"/>
      <c r="I215" s="11">
        <v>43477</v>
      </c>
      <c r="J215" s="9">
        <v>483.54399999999998</v>
      </c>
      <c r="K215" s="9">
        <v>1033.502</v>
      </c>
      <c r="O215" s="11">
        <v>43869</v>
      </c>
      <c r="P215" s="9">
        <v>0</v>
      </c>
      <c r="Q215" s="9">
        <v>4372.5</v>
      </c>
      <c r="R215" s="9">
        <v>0</v>
      </c>
      <c r="S215" s="9">
        <v>0</v>
      </c>
      <c r="T215" s="31">
        <v>0</v>
      </c>
      <c r="W215" s="16">
        <f t="shared" si="45"/>
        <v>43477</v>
      </c>
      <c r="X215" s="9">
        <f t="shared" si="46"/>
        <v>483.54399999999998</v>
      </c>
      <c r="Y215" s="9">
        <f t="shared" si="47"/>
        <v>1033.502</v>
      </c>
      <c r="AA215" s="16">
        <f t="shared" si="48"/>
        <v>43869</v>
      </c>
      <c r="AB215" s="21">
        <v>4277.5</v>
      </c>
      <c r="AC215" s="21">
        <f t="shared" si="49"/>
        <v>4372.5</v>
      </c>
      <c r="AD215" s="21">
        <f t="shared" si="50"/>
        <v>7175</v>
      </c>
      <c r="AE215" s="21">
        <f t="shared" si="51"/>
        <v>7475</v>
      </c>
      <c r="AF215" s="21">
        <f t="shared" si="52"/>
        <v>8750</v>
      </c>
      <c r="AK215" s="16"/>
      <c r="AL215" s="17"/>
      <c r="AN215" s="16"/>
    </row>
    <row r="216" spans="2:40" x14ac:dyDescent="0.4">
      <c r="B216" s="6">
        <f t="shared" si="40"/>
        <v>43848</v>
      </c>
      <c r="C216" s="8">
        <f t="shared" si="41"/>
        <v>231.56000000000006</v>
      </c>
      <c r="D216" s="5">
        <f t="shared" si="42"/>
        <v>1281.3800000000001</v>
      </c>
      <c r="E216" s="5">
        <f t="shared" si="43"/>
        <v>1581.38</v>
      </c>
      <c r="F216" s="5">
        <f t="shared" si="44"/>
        <v>2831.38</v>
      </c>
      <c r="H216" s="6"/>
      <c r="I216" s="11">
        <v>43484</v>
      </c>
      <c r="J216" s="9">
        <v>495.03</v>
      </c>
      <c r="K216" s="9">
        <v>1068.818</v>
      </c>
      <c r="O216" s="11">
        <v>43876</v>
      </c>
      <c r="P216" s="9">
        <v>0</v>
      </c>
      <c r="Q216" s="9">
        <v>4352</v>
      </c>
      <c r="R216" s="9">
        <v>7150</v>
      </c>
      <c r="S216" s="9">
        <v>7450</v>
      </c>
      <c r="T216" s="31">
        <v>8750</v>
      </c>
      <c r="W216" s="16">
        <f t="shared" si="45"/>
        <v>43484</v>
      </c>
      <c r="X216" s="9">
        <f t="shared" si="46"/>
        <v>495.03</v>
      </c>
      <c r="Y216" s="9">
        <f t="shared" si="47"/>
        <v>1068.818</v>
      </c>
      <c r="AA216" s="16">
        <f t="shared" si="48"/>
        <v>43876</v>
      </c>
      <c r="AB216" s="21">
        <v>4298</v>
      </c>
      <c r="AC216" s="21">
        <f t="shared" si="49"/>
        <v>4352</v>
      </c>
      <c r="AD216" s="21">
        <f t="shared" si="50"/>
        <v>7150</v>
      </c>
      <c r="AE216" s="21">
        <f t="shared" si="51"/>
        <v>7450</v>
      </c>
      <c r="AF216" s="21">
        <f t="shared" si="52"/>
        <v>8750</v>
      </c>
      <c r="AK216" s="16"/>
      <c r="AL216" s="17"/>
      <c r="AN216" s="16"/>
    </row>
    <row r="217" spans="2:40" x14ac:dyDescent="0.4">
      <c r="B217" s="6">
        <f t="shared" si="40"/>
        <v>43855</v>
      </c>
      <c r="C217" s="8">
        <f t="shared" si="41"/>
        <v>234.08600000000001</v>
      </c>
      <c r="D217" s="5">
        <f t="shared" si="42"/>
        <v>1347.7700000000002</v>
      </c>
      <c r="E217" s="5">
        <f t="shared" si="43"/>
        <v>1647.7700000000002</v>
      </c>
      <c r="F217" s="5">
        <f t="shared" si="44"/>
        <v>2922.7700000000004</v>
      </c>
      <c r="H217" s="6"/>
      <c r="I217" s="11">
        <v>43491</v>
      </c>
      <c r="J217" s="9">
        <v>491.16199999999998</v>
      </c>
      <c r="K217" s="9">
        <v>1076.7</v>
      </c>
      <c r="O217" s="11">
        <v>43883</v>
      </c>
      <c r="P217" s="9">
        <v>0</v>
      </c>
      <c r="Q217" s="9">
        <v>4385.3999999999996</v>
      </c>
      <c r="R217" s="9">
        <v>7115</v>
      </c>
      <c r="S217" s="9">
        <v>7390</v>
      </c>
      <c r="T217" s="31">
        <v>8675</v>
      </c>
      <c r="W217" s="16">
        <f t="shared" si="45"/>
        <v>43491</v>
      </c>
      <c r="X217" s="9">
        <f t="shared" si="46"/>
        <v>491.16199999999998</v>
      </c>
      <c r="Y217" s="9">
        <f t="shared" si="47"/>
        <v>1076.7</v>
      </c>
      <c r="AA217" s="16">
        <f t="shared" si="48"/>
        <v>43883</v>
      </c>
      <c r="AB217" s="21">
        <v>4342</v>
      </c>
      <c r="AC217" s="21">
        <f t="shared" si="49"/>
        <v>4385.3999999999996</v>
      </c>
      <c r="AD217" s="21">
        <f t="shared" si="50"/>
        <v>7115</v>
      </c>
      <c r="AE217" s="21">
        <f t="shared" si="51"/>
        <v>7390</v>
      </c>
      <c r="AF217" s="21">
        <f t="shared" si="52"/>
        <v>8675</v>
      </c>
      <c r="AK217" s="16"/>
      <c r="AL217" s="17"/>
      <c r="AN217" s="16"/>
    </row>
    <row r="218" spans="2:40" x14ac:dyDescent="0.4">
      <c r="B218" s="6">
        <f t="shared" si="40"/>
        <v>43862</v>
      </c>
      <c r="C218" s="8">
        <f t="shared" si="41"/>
        <v>228.10500000000002</v>
      </c>
      <c r="D218" s="5">
        <f t="shared" si="42"/>
        <v>1347.7700000000002</v>
      </c>
      <c r="E218" s="5">
        <f t="shared" si="43"/>
        <v>1647.7700000000002</v>
      </c>
      <c r="F218" s="5">
        <f t="shared" si="44"/>
        <v>2922.7700000000004</v>
      </c>
      <c r="H218" s="6"/>
      <c r="I218" s="11">
        <v>43498</v>
      </c>
      <c r="J218" s="9">
        <v>501.57</v>
      </c>
      <c r="K218" s="9">
        <v>1073.3340000000001</v>
      </c>
      <c r="O218" s="11">
        <v>43890</v>
      </c>
      <c r="P218" s="9">
        <v>0</v>
      </c>
      <c r="Q218" s="9">
        <v>4336.5</v>
      </c>
      <c r="R218" s="9">
        <v>6920</v>
      </c>
      <c r="S218" s="9">
        <v>7215</v>
      </c>
      <c r="T218" s="31">
        <v>8520</v>
      </c>
      <c r="W218" s="16">
        <f t="shared" si="45"/>
        <v>43498</v>
      </c>
      <c r="X218" s="9">
        <f t="shared" si="46"/>
        <v>501.57</v>
      </c>
      <c r="Y218" s="9">
        <f t="shared" si="47"/>
        <v>1073.3340000000001</v>
      </c>
      <c r="AA218" s="16">
        <f t="shared" si="48"/>
        <v>43890</v>
      </c>
      <c r="AB218" s="21">
        <v>4243</v>
      </c>
      <c r="AC218" s="21">
        <f t="shared" si="49"/>
        <v>4336.5</v>
      </c>
      <c r="AD218" s="21">
        <f t="shared" si="50"/>
        <v>6920</v>
      </c>
      <c r="AE218" s="21">
        <f t="shared" si="51"/>
        <v>7215</v>
      </c>
      <c r="AF218" s="21">
        <f t="shared" si="52"/>
        <v>8520</v>
      </c>
      <c r="AK218" s="16"/>
      <c r="AL218" s="17"/>
      <c r="AN218" s="16"/>
    </row>
    <row r="219" spans="2:40" x14ac:dyDescent="0.4">
      <c r="B219" s="6">
        <f t="shared" si="40"/>
        <v>43869</v>
      </c>
      <c r="C219" s="8">
        <f t="shared" si="41"/>
        <v>230.61</v>
      </c>
      <c r="D219" s="5">
        <f t="shared" si="42"/>
        <v>2052.9499999999998</v>
      </c>
      <c r="E219" s="5">
        <f t="shared" si="43"/>
        <v>2352.9499999999998</v>
      </c>
      <c r="F219" s="5">
        <f t="shared" si="44"/>
        <v>3627.95</v>
      </c>
      <c r="H219" s="6"/>
      <c r="I219" s="11">
        <v>43505</v>
      </c>
      <c r="J219" s="9">
        <v>506.54666666666668</v>
      </c>
      <c r="K219" s="9">
        <v>1094.2</v>
      </c>
      <c r="O219" s="11">
        <v>43897</v>
      </c>
      <c r="P219" s="9">
        <v>0</v>
      </c>
      <c r="Q219" s="9">
        <v>4259.5</v>
      </c>
      <c r="R219" s="9">
        <v>6615</v>
      </c>
      <c r="S219" s="9">
        <v>6930</v>
      </c>
      <c r="T219" s="31">
        <v>8315</v>
      </c>
      <c r="W219" s="16">
        <f t="shared" si="45"/>
        <v>43505</v>
      </c>
      <c r="X219" s="9">
        <f t="shared" si="46"/>
        <v>506.54666666666668</v>
      </c>
      <c r="Y219" s="9">
        <f t="shared" si="47"/>
        <v>1094.2</v>
      </c>
      <c r="AA219" s="16">
        <f t="shared" si="48"/>
        <v>43897</v>
      </c>
      <c r="AB219" s="21">
        <v>4195</v>
      </c>
      <c r="AC219" s="21">
        <f t="shared" si="49"/>
        <v>4259.5</v>
      </c>
      <c r="AD219" s="21">
        <f t="shared" si="50"/>
        <v>6615</v>
      </c>
      <c r="AE219" s="21">
        <f t="shared" si="51"/>
        <v>6930</v>
      </c>
      <c r="AF219" s="21">
        <f t="shared" si="52"/>
        <v>8315</v>
      </c>
      <c r="AK219" s="16"/>
      <c r="AL219" s="17"/>
      <c r="AN219" s="16"/>
    </row>
    <row r="220" spans="2:40" x14ac:dyDescent="0.4">
      <c r="B220" s="6">
        <f t="shared" si="40"/>
        <v>43876</v>
      </c>
      <c r="C220" s="8">
        <f t="shared" si="41"/>
        <v>224.84000000000003</v>
      </c>
      <c r="D220" s="5">
        <f t="shared" si="42"/>
        <v>2017.29</v>
      </c>
      <c r="E220" s="5">
        <f t="shared" si="43"/>
        <v>2317.29</v>
      </c>
      <c r="F220" s="5">
        <f t="shared" si="44"/>
        <v>3617.29</v>
      </c>
      <c r="H220" s="6"/>
      <c r="I220" s="11">
        <v>43512</v>
      </c>
      <c r="J220" s="9">
        <v>515.27200000000005</v>
      </c>
      <c r="K220" s="9">
        <v>1103.0999999999999</v>
      </c>
      <c r="O220" s="11">
        <v>43904</v>
      </c>
      <c r="P220" s="9">
        <v>0</v>
      </c>
      <c r="Q220" s="9">
        <v>3921</v>
      </c>
      <c r="R220" s="9">
        <v>6305</v>
      </c>
      <c r="S220" s="9">
        <v>6725</v>
      </c>
      <c r="T220" s="31">
        <v>8130</v>
      </c>
      <c r="W220" s="16">
        <f t="shared" si="45"/>
        <v>43512</v>
      </c>
      <c r="X220" s="9">
        <f t="shared" si="46"/>
        <v>515.27200000000005</v>
      </c>
      <c r="Y220" s="9">
        <f t="shared" si="47"/>
        <v>1103.0999999999999</v>
      </c>
      <c r="AA220" s="16">
        <f t="shared" si="48"/>
        <v>43904</v>
      </c>
      <c r="AB220" s="21">
        <v>3778.6</v>
      </c>
      <c r="AC220" s="21">
        <f t="shared" si="49"/>
        <v>3921</v>
      </c>
      <c r="AD220" s="21">
        <f t="shared" si="50"/>
        <v>6305</v>
      </c>
      <c r="AE220" s="21">
        <f t="shared" si="51"/>
        <v>6725</v>
      </c>
      <c r="AF220" s="21">
        <f t="shared" si="52"/>
        <v>8130</v>
      </c>
      <c r="AK220" s="16"/>
      <c r="AL220" s="17"/>
      <c r="AN220" s="16"/>
    </row>
    <row r="221" spans="2:40" x14ac:dyDescent="0.4">
      <c r="B221" s="6">
        <f t="shared" si="40"/>
        <v>43883</v>
      </c>
      <c r="C221" s="8">
        <f t="shared" si="41"/>
        <v>245.7</v>
      </c>
      <c r="D221" s="5">
        <f t="shared" si="42"/>
        <v>1933.4810000000002</v>
      </c>
      <c r="E221" s="5">
        <f t="shared" si="43"/>
        <v>2208.4810000000002</v>
      </c>
      <c r="F221" s="5">
        <f t="shared" si="44"/>
        <v>3493.4810000000002</v>
      </c>
      <c r="H221" s="6"/>
      <c r="I221" s="11">
        <v>43519</v>
      </c>
      <c r="J221" s="9">
        <v>543.07799999999997</v>
      </c>
      <c r="K221" s="9">
        <v>1114.934</v>
      </c>
      <c r="O221" s="11">
        <v>43911</v>
      </c>
      <c r="P221" s="9">
        <v>0</v>
      </c>
      <c r="Q221" s="9">
        <v>3675.5</v>
      </c>
      <c r="R221" s="9">
        <v>6035</v>
      </c>
      <c r="S221" s="9">
        <v>6420</v>
      </c>
      <c r="T221" s="31">
        <v>7875</v>
      </c>
      <c r="W221" s="16">
        <f t="shared" si="45"/>
        <v>43519</v>
      </c>
      <c r="X221" s="9">
        <f t="shared" si="46"/>
        <v>543.07799999999997</v>
      </c>
      <c r="Y221" s="9">
        <f t="shared" si="47"/>
        <v>1114.934</v>
      </c>
      <c r="AA221" s="16">
        <f t="shared" si="48"/>
        <v>43911</v>
      </c>
      <c r="AB221" s="21">
        <v>3520</v>
      </c>
      <c r="AC221" s="21">
        <f t="shared" si="49"/>
        <v>3675.5</v>
      </c>
      <c r="AD221" s="21">
        <f t="shared" si="50"/>
        <v>6035</v>
      </c>
      <c r="AE221" s="21">
        <f t="shared" si="51"/>
        <v>6420</v>
      </c>
      <c r="AF221" s="21">
        <f t="shared" si="52"/>
        <v>7875</v>
      </c>
      <c r="AK221" s="16"/>
      <c r="AL221" s="17"/>
      <c r="AN221" s="16"/>
    </row>
    <row r="222" spans="2:40" x14ac:dyDescent="0.4">
      <c r="B222" s="6">
        <f t="shared" si="40"/>
        <v>43890</v>
      </c>
      <c r="C222" s="8">
        <f t="shared" si="41"/>
        <v>252.65800000000002</v>
      </c>
      <c r="D222" s="5">
        <f t="shared" si="42"/>
        <v>1839.5074999999999</v>
      </c>
      <c r="E222" s="5">
        <f t="shared" si="43"/>
        <v>2134.5074999999997</v>
      </c>
      <c r="F222" s="5">
        <f t="shared" si="44"/>
        <v>3439.5075000000006</v>
      </c>
      <c r="H222" s="6"/>
      <c r="I222" s="11">
        <v>43526</v>
      </c>
      <c r="J222" s="9">
        <v>541.92600000000004</v>
      </c>
      <c r="K222" s="9">
        <v>1111.7</v>
      </c>
      <c r="O222" s="11">
        <v>43918</v>
      </c>
      <c r="P222" s="9">
        <v>0</v>
      </c>
      <c r="Q222" s="9">
        <v>3274</v>
      </c>
      <c r="R222" s="9">
        <v>5350</v>
      </c>
      <c r="S222" s="9">
        <v>5625</v>
      </c>
      <c r="T222" s="31">
        <v>7245</v>
      </c>
      <c r="W222" s="16">
        <f t="shared" si="45"/>
        <v>43526</v>
      </c>
      <c r="X222" s="9">
        <f t="shared" si="46"/>
        <v>541.92600000000004</v>
      </c>
      <c r="Y222" s="9">
        <f t="shared" si="47"/>
        <v>1111.7</v>
      </c>
      <c r="AA222" s="16">
        <f t="shared" si="48"/>
        <v>43918</v>
      </c>
      <c r="AB222" s="21">
        <v>3262.2</v>
      </c>
      <c r="AC222" s="21">
        <f t="shared" si="49"/>
        <v>3274</v>
      </c>
      <c r="AD222" s="21">
        <f t="shared" si="50"/>
        <v>5350</v>
      </c>
      <c r="AE222" s="21">
        <f t="shared" si="51"/>
        <v>5625</v>
      </c>
      <c r="AF222" s="21">
        <f t="shared" si="52"/>
        <v>7245</v>
      </c>
      <c r="AK222" s="16"/>
      <c r="AL222" s="17"/>
      <c r="AN222" s="16"/>
    </row>
    <row r="223" spans="2:40" x14ac:dyDescent="0.4">
      <c r="B223" s="6">
        <f t="shared" si="40"/>
        <v>43897</v>
      </c>
      <c r="C223" s="8">
        <f t="shared" si="41"/>
        <v>256.04599999999999</v>
      </c>
      <c r="D223" s="5">
        <f t="shared" si="42"/>
        <v>1601.3425</v>
      </c>
      <c r="E223" s="5">
        <f t="shared" si="43"/>
        <v>1916.3425</v>
      </c>
      <c r="F223" s="5">
        <f t="shared" si="44"/>
        <v>3301.3424999999997</v>
      </c>
      <c r="H223" s="6"/>
      <c r="I223" s="11">
        <v>43533</v>
      </c>
      <c r="J223" s="9">
        <v>541.68799999999999</v>
      </c>
      <c r="K223" s="9">
        <v>1123.7159999999999</v>
      </c>
      <c r="O223" s="11">
        <v>43925</v>
      </c>
      <c r="P223" s="9">
        <v>0</v>
      </c>
      <c r="Q223" s="9">
        <v>3140</v>
      </c>
      <c r="R223" s="9">
        <v>4745</v>
      </c>
      <c r="S223" s="9">
        <v>5080</v>
      </c>
      <c r="T223" s="31">
        <v>6540</v>
      </c>
      <c r="W223" s="16">
        <f t="shared" si="45"/>
        <v>43533</v>
      </c>
      <c r="X223" s="9">
        <f t="shared" si="46"/>
        <v>541.68799999999999</v>
      </c>
      <c r="Y223" s="9">
        <f t="shared" si="47"/>
        <v>1123.7159999999999</v>
      </c>
      <c r="AA223" s="16">
        <f t="shared" si="48"/>
        <v>43925</v>
      </c>
      <c r="AB223" s="21">
        <v>3129</v>
      </c>
      <c r="AC223" s="21">
        <f t="shared" si="49"/>
        <v>3140</v>
      </c>
      <c r="AD223" s="21">
        <f t="shared" si="50"/>
        <v>4745</v>
      </c>
      <c r="AE223" s="21">
        <f t="shared" si="51"/>
        <v>5080</v>
      </c>
      <c r="AF223" s="21">
        <f t="shared" si="52"/>
        <v>6540</v>
      </c>
      <c r="AK223" s="16"/>
      <c r="AL223" s="17"/>
      <c r="AN223" s="16"/>
    </row>
    <row r="224" spans="2:40" x14ac:dyDescent="0.4">
      <c r="B224" s="6">
        <f t="shared" si="40"/>
        <v>43904</v>
      </c>
      <c r="C224" s="8">
        <f t="shared" si="41"/>
        <v>288.28600000000006</v>
      </c>
      <c r="D224" s="5">
        <f t="shared" si="42"/>
        <v>1760.7619999999999</v>
      </c>
      <c r="E224" s="5">
        <f t="shared" si="43"/>
        <v>2180.7619999999997</v>
      </c>
      <c r="F224" s="5">
        <f t="shared" si="44"/>
        <v>3585.7620000000006</v>
      </c>
      <c r="H224" s="6"/>
      <c r="I224" s="11">
        <v>43540</v>
      </c>
      <c r="J224" s="9">
        <v>557.33199999999999</v>
      </c>
      <c r="K224" s="9">
        <v>1112.134</v>
      </c>
      <c r="O224" s="11">
        <v>43932</v>
      </c>
      <c r="P224" s="9">
        <v>0</v>
      </c>
      <c r="Q224" s="9">
        <v>3371.25</v>
      </c>
      <c r="R224" s="9">
        <v>5343.75</v>
      </c>
      <c r="S224" s="9">
        <v>5750</v>
      </c>
      <c r="T224" s="31">
        <v>6943.75</v>
      </c>
      <c r="W224" s="16">
        <f t="shared" si="45"/>
        <v>43540</v>
      </c>
      <c r="X224" s="9">
        <f t="shared" si="46"/>
        <v>557.33199999999999</v>
      </c>
      <c r="Y224" s="9">
        <f t="shared" si="47"/>
        <v>1112.134</v>
      </c>
      <c r="AA224" s="16">
        <f t="shared" si="48"/>
        <v>43932</v>
      </c>
      <c r="AB224" s="21">
        <v>3330.5</v>
      </c>
      <c r="AC224" s="21">
        <f t="shared" si="49"/>
        <v>3371.25</v>
      </c>
      <c r="AD224" s="21">
        <f t="shared" si="50"/>
        <v>5343.75</v>
      </c>
      <c r="AE224" s="21">
        <f t="shared" si="51"/>
        <v>5750</v>
      </c>
      <c r="AF224" s="21">
        <f t="shared" si="52"/>
        <v>6943.75</v>
      </c>
      <c r="AK224" s="16"/>
      <c r="AL224" s="17"/>
      <c r="AN224" s="16"/>
    </row>
    <row r="225" spans="2:40" x14ac:dyDescent="0.4">
      <c r="B225" s="6">
        <f t="shared" si="40"/>
        <v>43911</v>
      </c>
      <c r="C225" s="8">
        <f t="shared" si="41"/>
        <v>295.36400000000003</v>
      </c>
      <c r="D225" s="5">
        <f t="shared" si="42"/>
        <v>1794.1075000000001</v>
      </c>
      <c r="E225" s="5">
        <f t="shared" si="43"/>
        <v>2179.1075000000001</v>
      </c>
      <c r="F225" s="5">
        <f t="shared" si="44"/>
        <v>3634.1074999999996</v>
      </c>
      <c r="H225" s="6"/>
      <c r="I225" s="11">
        <v>43547</v>
      </c>
      <c r="J225" s="9">
        <v>569.23400000000004</v>
      </c>
      <c r="K225" s="9">
        <v>1065.3019999999999</v>
      </c>
      <c r="O225" s="11">
        <v>43939</v>
      </c>
      <c r="P225" s="9">
        <v>0</v>
      </c>
      <c r="Q225" s="9">
        <v>3358</v>
      </c>
      <c r="R225" s="9">
        <v>5100</v>
      </c>
      <c r="S225" s="9">
        <v>5465</v>
      </c>
      <c r="T225" s="31">
        <v>6715</v>
      </c>
      <c r="W225" s="16">
        <f t="shared" si="45"/>
        <v>43547</v>
      </c>
      <c r="X225" s="9">
        <f t="shared" si="46"/>
        <v>569.23400000000004</v>
      </c>
      <c r="Y225" s="9">
        <f t="shared" si="47"/>
        <v>1065.3019999999999</v>
      </c>
      <c r="AA225" s="16">
        <f t="shared" si="48"/>
        <v>43939</v>
      </c>
      <c r="AB225" s="21">
        <v>3285.2</v>
      </c>
      <c r="AC225" s="21">
        <f t="shared" si="49"/>
        <v>3358</v>
      </c>
      <c r="AD225" s="21">
        <f t="shared" si="50"/>
        <v>5100</v>
      </c>
      <c r="AE225" s="21">
        <f t="shared" si="51"/>
        <v>5465</v>
      </c>
      <c r="AF225" s="21">
        <f t="shared" si="52"/>
        <v>6715</v>
      </c>
      <c r="AK225" s="16"/>
      <c r="AL225" s="17"/>
      <c r="AN225" s="16"/>
    </row>
    <row r="226" spans="2:40" x14ac:dyDescent="0.4">
      <c r="B226" s="6">
        <f t="shared" si="40"/>
        <v>43918</v>
      </c>
      <c r="C226" s="8">
        <f t="shared" si="41"/>
        <v>288.892</v>
      </c>
      <c r="D226" s="5">
        <f t="shared" si="42"/>
        <v>1464.0290000000005</v>
      </c>
      <c r="E226" s="5">
        <f t="shared" si="43"/>
        <v>1739.0290000000005</v>
      </c>
      <c r="F226" s="5">
        <f t="shared" si="44"/>
        <v>3359.0290000000005</v>
      </c>
      <c r="H226" s="6"/>
      <c r="I226" s="11">
        <v>43554</v>
      </c>
      <c r="J226" s="9">
        <v>568.12599999999998</v>
      </c>
      <c r="K226" s="9">
        <v>1039.652</v>
      </c>
      <c r="O226" s="11">
        <v>43946</v>
      </c>
      <c r="P226" s="9">
        <v>0</v>
      </c>
      <c r="Q226" s="9">
        <v>3294</v>
      </c>
      <c r="R226" s="9">
        <v>4815</v>
      </c>
      <c r="S226" s="9">
        <v>5240</v>
      </c>
      <c r="T226" s="31">
        <v>6390</v>
      </c>
      <c r="W226" s="16">
        <f t="shared" si="45"/>
        <v>43554</v>
      </c>
      <c r="X226" s="9">
        <f t="shared" si="46"/>
        <v>568.12599999999998</v>
      </c>
      <c r="Y226" s="9">
        <f t="shared" si="47"/>
        <v>1039.652</v>
      </c>
      <c r="AA226" s="16">
        <f t="shared" si="48"/>
        <v>43946</v>
      </c>
      <c r="AB226" s="21">
        <v>3102</v>
      </c>
      <c r="AC226" s="21">
        <f t="shared" si="49"/>
        <v>3294</v>
      </c>
      <c r="AD226" s="21">
        <f t="shared" si="50"/>
        <v>4815</v>
      </c>
      <c r="AE226" s="21">
        <f t="shared" si="51"/>
        <v>5240</v>
      </c>
      <c r="AF226" s="21">
        <f t="shared" si="52"/>
        <v>6390</v>
      </c>
      <c r="AK226" s="16"/>
      <c r="AL226" s="17"/>
      <c r="AN226" s="16"/>
    </row>
    <row r="227" spans="2:40" x14ac:dyDescent="0.4">
      <c r="B227" s="6">
        <f t="shared" si="40"/>
        <v>43925</v>
      </c>
      <c r="C227" s="8">
        <f t="shared" si="41"/>
        <v>278.64999999999998</v>
      </c>
      <c r="D227" s="5">
        <f t="shared" si="42"/>
        <v>1017.8049999999998</v>
      </c>
      <c r="E227" s="5">
        <f t="shared" si="43"/>
        <v>1352.8049999999998</v>
      </c>
      <c r="F227" s="5">
        <f t="shared" si="44"/>
        <v>2812.8049999999998</v>
      </c>
      <c r="H227" s="6"/>
      <c r="I227" s="11">
        <v>43561</v>
      </c>
      <c r="J227" s="9">
        <v>567.048</v>
      </c>
      <c r="K227" s="9">
        <v>1039.8800000000001</v>
      </c>
      <c r="O227" s="11">
        <v>43953</v>
      </c>
      <c r="P227" s="9">
        <v>0</v>
      </c>
      <c r="Q227" s="9">
        <v>3339</v>
      </c>
      <c r="R227" s="9">
        <v>4835</v>
      </c>
      <c r="S227" s="9">
        <v>5350</v>
      </c>
      <c r="T227" s="31">
        <v>6420</v>
      </c>
      <c r="W227" s="16">
        <f t="shared" si="45"/>
        <v>43561</v>
      </c>
      <c r="X227" s="9">
        <f t="shared" si="46"/>
        <v>567.048</v>
      </c>
      <c r="Y227" s="9">
        <f t="shared" si="47"/>
        <v>1039.8800000000001</v>
      </c>
      <c r="AA227" s="16">
        <f t="shared" si="48"/>
        <v>43953</v>
      </c>
      <c r="AB227" s="21">
        <v>3136</v>
      </c>
      <c r="AC227" s="21">
        <f t="shared" si="49"/>
        <v>3339</v>
      </c>
      <c r="AD227" s="21">
        <f t="shared" si="50"/>
        <v>4835</v>
      </c>
      <c r="AE227" s="21">
        <f t="shared" si="51"/>
        <v>5350</v>
      </c>
      <c r="AF227" s="21">
        <f t="shared" si="52"/>
        <v>6420</v>
      </c>
      <c r="AK227" s="16"/>
      <c r="AL227" s="17"/>
      <c r="AN227" s="16"/>
    </row>
    <row r="228" spans="2:40" x14ac:dyDescent="0.4">
      <c r="B228" s="6">
        <f t="shared" si="40"/>
        <v>43932</v>
      </c>
      <c r="C228" s="8">
        <f t="shared" si="41"/>
        <v>303.53999999999996</v>
      </c>
      <c r="D228" s="5">
        <f t="shared" si="42"/>
        <v>1366.80375</v>
      </c>
      <c r="E228" s="5">
        <f t="shared" si="43"/>
        <v>1773.05375</v>
      </c>
      <c r="F228" s="5">
        <f t="shared" si="44"/>
        <v>2966.8037500000005</v>
      </c>
      <c r="H228" s="6"/>
      <c r="I228" s="11">
        <v>43568</v>
      </c>
      <c r="J228" s="9">
        <v>580.30200000000002</v>
      </c>
      <c r="K228" s="9">
        <v>1060</v>
      </c>
      <c r="O228" s="11">
        <v>43960</v>
      </c>
      <c r="P228" s="9">
        <v>0</v>
      </c>
      <c r="Q228" s="9">
        <v>3500</v>
      </c>
      <c r="R228" s="9">
        <v>5356.25</v>
      </c>
      <c r="S228" s="9">
        <v>5925</v>
      </c>
      <c r="T228" s="31">
        <v>6950</v>
      </c>
      <c r="W228" s="16">
        <f t="shared" si="45"/>
        <v>43568</v>
      </c>
      <c r="X228" s="9">
        <f t="shared" si="46"/>
        <v>580.30200000000002</v>
      </c>
      <c r="Y228" s="9">
        <f t="shared" si="47"/>
        <v>1060</v>
      </c>
      <c r="AA228" s="16">
        <f t="shared" si="48"/>
        <v>43960</v>
      </c>
      <c r="AB228" s="21">
        <v>3320</v>
      </c>
      <c r="AC228" s="21">
        <f t="shared" si="49"/>
        <v>3500</v>
      </c>
      <c r="AD228" s="21">
        <f t="shared" si="50"/>
        <v>5356.25</v>
      </c>
      <c r="AE228" s="21">
        <f t="shared" si="51"/>
        <v>5925</v>
      </c>
      <c r="AF228" s="21">
        <f t="shared" si="52"/>
        <v>6950</v>
      </c>
      <c r="AK228" s="16"/>
      <c r="AL228" s="17"/>
      <c r="AN228" s="16"/>
    </row>
    <row r="229" spans="2:40" x14ac:dyDescent="0.4">
      <c r="B229" s="6">
        <f t="shared" si="40"/>
        <v>43939</v>
      </c>
      <c r="C229" s="8">
        <f t="shared" si="41"/>
        <v>295.46199999999999</v>
      </c>
      <c r="D229" s="5">
        <f t="shared" si="42"/>
        <v>1166.2239999999999</v>
      </c>
      <c r="E229" s="5">
        <f t="shared" si="43"/>
        <v>1531.2239999999999</v>
      </c>
      <c r="F229" s="5">
        <f t="shared" si="44"/>
        <v>2781.2240000000002</v>
      </c>
      <c r="H229" s="6"/>
      <c r="I229" s="11">
        <v>43575</v>
      </c>
      <c r="J229" s="9">
        <v>583.5575</v>
      </c>
      <c r="K229" s="9">
        <v>1018.23</v>
      </c>
      <c r="O229" s="11">
        <v>43967</v>
      </c>
      <c r="P229" s="9">
        <v>0</v>
      </c>
      <c r="Q229" s="9">
        <v>3467</v>
      </c>
      <c r="R229" s="9">
        <v>5200</v>
      </c>
      <c r="S229" s="9">
        <v>5780</v>
      </c>
      <c r="T229" s="31">
        <v>6810</v>
      </c>
      <c r="W229" s="16">
        <f t="shared" si="45"/>
        <v>43575</v>
      </c>
      <c r="X229" s="9">
        <f t="shared" si="46"/>
        <v>583.5575</v>
      </c>
      <c r="Y229" s="9">
        <f t="shared" si="47"/>
        <v>1018.23</v>
      </c>
      <c r="AA229" s="16">
        <f t="shared" si="48"/>
        <v>43967</v>
      </c>
      <c r="AB229" s="21">
        <v>3313</v>
      </c>
      <c r="AC229" s="21">
        <f t="shared" si="49"/>
        <v>3467</v>
      </c>
      <c r="AD229" s="21">
        <f t="shared" si="50"/>
        <v>5200</v>
      </c>
      <c r="AE229" s="21">
        <f t="shared" si="51"/>
        <v>5780</v>
      </c>
      <c r="AF229" s="21">
        <f t="shared" si="52"/>
        <v>6810</v>
      </c>
      <c r="AK229" s="16"/>
      <c r="AL229" s="17"/>
      <c r="AN229" s="16"/>
    </row>
    <row r="230" spans="2:40" x14ac:dyDescent="0.4">
      <c r="B230" s="6">
        <f t="shared" si="40"/>
        <v>43946</v>
      </c>
      <c r="C230" s="8">
        <f t="shared" si="41"/>
        <v>265.31899999999996</v>
      </c>
      <c r="D230" s="5">
        <f t="shared" si="42"/>
        <v>1059.3</v>
      </c>
      <c r="E230" s="5">
        <f t="shared" si="43"/>
        <v>1484.3</v>
      </c>
      <c r="F230" s="5">
        <f t="shared" si="44"/>
        <v>2634.3</v>
      </c>
      <c r="H230" s="6"/>
      <c r="I230" s="11">
        <v>43582</v>
      </c>
      <c r="J230" s="9">
        <v>613.99800000000005</v>
      </c>
      <c r="K230" s="9">
        <v>962.4</v>
      </c>
      <c r="O230" s="11">
        <v>43974</v>
      </c>
      <c r="P230" s="9">
        <v>0</v>
      </c>
      <c r="Q230" s="9">
        <v>3555</v>
      </c>
      <c r="R230" s="9">
        <v>5380</v>
      </c>
      <c r="S230" s="9">
        <v>6060</v>
      </c>
      <c r="T230" s="31">
        <v>6905</v>
      </c>
      <c r="W230" s="16">
        <f t="shared" si="45"/>
        <v>43582</v>
      </c>
      <c r="X230" s="9">
        <f t="shared" si="46"/>
        <v>613.99800000000005</v>
      </c>
      <c r="Y230" s="9">
        <f t="shared" si="47"/>
        <v>962.4</v>
      </c>
      <c r="AA230" s="16">
        <f t="shared" si="48"/>
        <v>43974</v>
      </c>
      <c r="AB230" s="21">
        <v>3513</v>
      </c>
      <c r="AC230" s="21">
        <f t="shared" si="49"/>
        <v>3555</v>
      </c>
      <c r="AD230" s="21">
        <f t="shared" si="50"/>
        <v>5380</v>
      </c>
      <c r="AE230" s="21">
        <f t="shared" si="51"/>
        <v>6060</v>
      </c>
      <c r="AF230" s="21">
        <f t="shared" si="52"/>
        <v>6905</v>
      </c>
      <c r="AK230" s="16"/>
      <c r="AL230" s="17"/>
      <c r="AN230" s="16"/>
    </row>
    <row r="231" spans="2:40" x14ac:dyDescent="0.4">
      <c r="B231" s="6">
        <f t="shared" si="40"/>
        <v>43953</v>
      </c>
      <c r="C231" s="8">
        <f t="shared" si="41"/>
        <v>260.93</v>
      </c>
      <c r="D231" s="5">
        <f t="shared" si="42"/>
        <v>1035.1550000000002</v>
      </c>
      <c r="E231" s="5">
        <f t="shared" si="43"/>
        <v>1550.1550000000002</v>
      </c>
      <c r="F231" s="5">
        <f t="shared" si="44"/>
        <v>2620.1550000000002</v>
      </c>
      <c r="H231" s="6"/>
      <c r="I231" s="11">
        <v>43589</v>
      </c>
      <c r="J231" s="9">
        <v>582.04499999999996</v>
      </c>
      <c r="K231" s="9">
        <v>933.24749999999995</v>
      </c>
      <c r="O231" s="11">
        <v>43981</v>
      </c>
      <c r="P231" s="9">
        <v>0</v>
      </c>
      <c r="Q231" s="9">
        <v>3577</v>
      </c>
      <c r="R231" s="9">
        <v>5445</v>
      </c>
      <c r="S231" s="9">
        <v>6120</v>
      </c>
      <c r="T231" s="31">
        <v>6950</v>
      </c>
      <c r="W231" s="16">
        <f t="shared" si="45"/>
        <v>43589</v>
      </c>
      <c r="X231" s="9">
        <f t="shared" si="46"/>
        <v>582.04499999999996</v>
      </c>
      <c r="Y231" s="9">
        <f t="shared" si="47"/>
        <v>933.24749999999995</v>
      </c>
      <c r="AA231" s="16">
        <f t="shared" si="48"/>
        <v>43981</v>
      </c>
      <c r="AB231" s="21">
        <v>3494</v>
      </c>
      <c r="AC231" s="21">
        <f t="shared" si="49"/>
        <v>3577</v>
      </c>
      <c r="AD231" s="21">
        <f t="shared" si="50"/>
        <v>5445</v>
      </c>
      <c r="AE231" s="21">
        <f t="shared" si="51"/>
        <v>6120</v>
      </c>
      <c r="AF231" s="21">
        <f t="shared" si="52"/>
        <v>6950</v>
      </c>
      <c r="AK231" s="16"/>
      <c r="AL231" s="17"/>
      <c r="AN231" s="16"/>
    </row>
    <row r="232" spans="2:40" x14ac:dyDescent="0.4">
      <c r="B232" s="6">
        <f t="shared" si="40"/>
        <v>43960</v>
      </c>
      <c r="C232" s="8">
        <f t="shared" si="41"/>
        <v>243.42250000000001</v>
      </c>
      <c r="D232" s="5">
        <f t="shared" si="42"/>
        <v>1345.15</v>
      </c>
      <c r="E232" s="5">
        <f t="shared" si="43"/>
        <v>1913.9</v>
      </c>
      <c r="F232" s="5">
        <f t="shared" si="44"/>
        <v>2938.8999999999996</v>
      </c>
      <c r="H232" s="6"/>
      <c r="I232" s="11">
        <v>43596</v>
      </c>
      <c r="J232" s="9">
        <v>569.50400000000002</v>
      </c>
      <c r="K232" s="9">
        <v>904.51800000000003</v>
      </c>
      <c r="O232" s="11">
        <v>43988</v>
      </c>
      <c r="P232" s="9">
        <v>0</v>
      </c>
      <c r="Q232" s="9">
        <v>3643</v>
      </c>
      <c r="R232" s="9">
        <v>5525</v>
      </c>
      <c r="S232" s="9">
        <v>6105</v>
      </c>
      <c r="T232" s="31">
        <v>6970</v>
      </c>
      <c r="W232" s="16">
        <f t="shared" si="45"/>
        <v>43596</v>
      </c>
      <c r="X232" s="9">
        <f t="shared" si="46"/>
        <v>569.50400000000002</v>
      </c>
      <c r="Y232" s="9">
        <f t="shared" si="47"/>
        <v>904.51800000000003</v>
      </c>
      <c r="AA232" s="16">
        <f t="shared" si="48"/>
        <v>43988</v>
      </c>
      <c r="AB232" s="21">
        <v>3587</v>
      </c>
      <c r="AC232" s="21">
        <f t="shared" si="49"/>
        <v>3643</v>
      </c>
      <c r="AD232" s="21">
        <f t="shared" si="50"/>
        <v>5525</v>
      </c>
      <c r="AE232" s="21">
        <f t="shared" si="51"/>
        <v>6105</v>
      </c>
      <c r="AF232" s="21">
        <f t="shared" si="52"/>
        <v>6970</v>
      </c>
      <c r="AK232" s="16"/>
      <c r="AL232" s="17"/>
      <c r="AN232" s="16"/>
    </row>
    <row r="233" spans="2:40" x14ac:dyDescent="0.4">
      <c r="B233" s="6">
        <f t="shared" si="40"/>
        <v>43967</v>
      </c>
      <c r="C233" s="8">
        <f t="shared" si="41"/>
        <v>237.23599999999999</v>
      </c>
      <c r="D233" s="5">
        <f t="shared" si="42"/>
        <v>1205.94</v>
      </c>
      <c r="E233" s="5">
        <f t="shared" si="43"/>
        <v>1785.94</v>
      </c>
      <c r="F233" s="5">
        <f t="shared" si="44"/>
        <v>2815.94</v>
      </c>
      <c r="H233" s="6"/>
      <c r="I233" s="11">
        <v>43603</v>
      </c>
      <c r="J233" s="9">
        <v>571.04999999999995</v>
      </c>
      <c r="K233" s="9">
        <v>871.68200000000002</v>
      </c>
      <c r="O233" s="11">
        <v>43995</v>
      </c>
      <c r="P233" s="9">
        <v>0</v>
      </c>
      <c r="Q233" s="9">
        <v>3576</v>
      </c>
      <c r="R233" s="9">
        <v>5740</v>
      </c>
      <c r="S233" s="9">
        <v>6340</v>
      </c>
      <c r="T233" s="31">
        <v>7165</v>
      </c>
      <c r="W233" s="16">
        <f t="shared" si="45"/>
        <v>43603</v>
      </c>
      <c r="X233" s="9">
        <f t="shared" si="46"/>
        <v>571.04999999999995</v>
      </c>
      <c r="Y233" s="9">
        <f t="shared" si="47"/>
        <v>871.68200000000002</v>
      </c>
      <c r="AA233" s="16">
        <f t="shared" si="48"/>
        <v>43995</v>
      </c>
      <c r="AB233" s="21">
        <v>3585</v>
      </c>
      <c r="AC233" s="21">
        <f t="shared" si="49"/>
        <v>3576</v>
      </c>
      <c r="AD233" s="21">
        <f t="shared" si="50"/>
        <v>5740</v>
      </c>
      <c r="AE233" s="21">
        <f t="shared" si="51"/>
        <v>6340</v>
      </c>
      <c r="AF233" s="21">
        <f t="shared" si="52"/>
        <v>7165</v>
      </c>
      <c r="AK233" s="16"/>
      <c r="AL233" s="17"/>
      <c r="AN233" s="16"/>
    </row>
    <row r="234" spans="2:40" x14ac:dyDescent="0.4">
      <c r="B234" s="6">
        <f t="shared" si="40"/>
        <v>43974</v>
      </c>
      <c r="C234" s="8">
        <f t="shared" si="41"/>
        <v>208.94</v>
      </c>
      <c r="D234" s="5">
        <f t="shared" si="42"/>
        <v>1185.46</v>
      </c>
      <c r="E234" s="5">
        <f t="shared" si="43"/>
        <v>1865.46</v>
      </c>
      <c r="F234" s="5">
        <f t="shared" si="44"/>
        <v>2710.46</v>
      </c>
      <c r="H234" s="6"/>
      <c r="I234" s="11">
        <v>43610</v>
      </c>
      <c r="J234" s="9">
        <v>547.42499999999995</v>
      </c>
      <c r="K234" s="9">
        <v>863.27250000000004</v>
      </c>
      <c r="O234" s="11">
        <v>44002</v>
      </c>
      <c r="P234" s="9">
        <v>0</v>
      </c>
      <c r="Q234" s="9">
        <v>3518</v>
      </c>
      <c r="R234" s="9">
        <v>5655</v>
      </c>
      <c r="S234" s="9">
        <v>6160</v>
      </c>
      <c r="T234" s="31">
        <v>7080</v>
      </c>
      <c r="W234" s="16">
        <f t="shared" si="45"/>
        <v>43610</v>
      </c>
      <c r="X234" s="9">
        <f t="shared" si="46"/>
        <v>547.42499999999995</v>
      </c>
      <c r="Y234" s="9">
        <f t="shared" si="47"/>
        <v>863.27250000000004</v>
      </c>
      <c r="AA234" s="16">
        <f t="shared" si="48"/>
        <v>44002</v>
      </c>
      <c r="AB234" s="21">
        <v>3598</v>
      </c>
      <c r="AC234" s="21">
        <f t="shared" si="49"/>
        <v>3518</v>
      </c>
      <c r="AD234" s="21">
        <f t="shared" si="50"/>
        <v>5655</v>
      </c>
      <c r="AE234" s="21">
        <f t="shared" si="51"/>
        <v>6160</v>
      </c>
      <c r="AF234" s="21">
        <f t="shared" si="52"/>
        <v>7080</v>
      </c>
      <c r="AK234" s="16"/>
      <c r="AL234" s="17"/>
      <c r="AN234" s="16"/>
    </row>
    <row r="235" spans="2:40" x14ac:dyDescent="0.4">
      <c r="B235" s="6">
        <f t="shared" si="40"/>
        <v>43981</v>
      </c>
      <c r="C235" s="8">
        <f t="shared" si="41"/>
        <v>171.15499999999997</v>
      </c>
      <c r="D235" s="5">
        <f t="shared" si="42"/>
        <v>1259.335</v>
      </c>
      <c r="E235" s="5">
        <f t="shared" si="43"/>
        <v>1934.335</v>
      </c>
      <c r="F235" s="5">
        <f t="shared" si="44"/>
        <v>2764.335</v>
      </c>
      <c r="H235" s="6"/>
      <c r="I235" s="11">
        <v>43617</v>
      </c>
      <c r="J235" s="9">
        <v>526.346</v>
      </c>
      <c r="K235" s="9">
        <v>878.51599999999996</v>
      </c>
      <c r="O235" s="11">
        <v>44009</v>
      </c>
      <c r="P235" s="9">
        <v>0</v>
      </c>
      <c r="Q235" s="9">
        <v>3552.5</v>
      </c>
      <c r="R235" s="9">
        <v>5550</v>
      </c>
      <c r="S235" s="9">
        <v>6008.333333333333</v>
      </c>
      <c r="T235" s="31">
        <v>6983.333333333333</v>
      </c>
      <c r="W235" s="16">
        <f t="shared" si="45"/>
        <v>43617</v>
      </c>
      <c r="X235" s="9">
        <f t="shared" si="46"/>
        <v>526.346</v>
      </c>
      <c r="Y235" s="9">
        <f t="shared" si="47"/>
        <v>878.51599999999996</v>
      </c>
      <c r="AA235" s="16">
        <f t="shared" si="48"/>
        <v>44009</v>
      </c>
      <c r="AB235" s="21">
        <v>3618.3333333333335</v>
      </c>
      <c r="AC235" s="21">
        <f t="shared" si="49"/>
        <v>3552.5</v>
      </c>
      <c r="AD235" s="21">
        <f t="shared" si="50"/>
        <v>5550</v>
      </c>
      <c r="AE235" s="21">
        <f t="shared" si="51"/>
        <v>6008.333333333333</v>
      </c>
      <c r="AF235" s="21">
        <f t="shared" si="52"/>
        <v>6983.333333333333</v>
      </c>
      <c r="AK235" s="16"/>
      <c r="AL235" s="17"/>
      <c r="AN235" s="16"/>
    </row>
    <row r="236" spans="2:40" x14ac:dyDescent="0.4">
      <c r="B236" s="6">
        <f t="shared" si="40"/>
        <v>43988</v>
      </c>
      <c r="C236" s="8">
        <f t="shared" si="41"/>
        <v>160.72199999999998</v>
      </c>
      <c r="D236" s="5">
        <f t="shared" si="42"/>
        <v>1237.7100000000003</v>
      </c>
      <c r="E236" s="5">
        <f t="shared" si="43"/>
        <v>1817.7100000000003</v>
      </c>
      <c r="F236" s="5">
        <f t="shared" si="44"/>
        <v>2682.71</v>
      </c>
      <c r="H236" s="6"/>
      <c r="I236" s="11">
        <v>43624</v>
      </c>
      <c r="J236" s="9">
        <v>456.06</v>
      </c>
      <c r="K236" s="9">
        <v>823.54250000000002</v>
      </c>
      <c r="O236" s="11">
        <v>44016</v>
      </c>
      <c r="P236" s="9">
        <v>0</v>
      </c>
      <c r="Q236" s="9">
        <v>3490.8333333333335</v>
      </c>
      <c r="R236" s="9">
        <v>5341.666666666667</v>
      </c>
      <c r="S236" s="9">
        <v>5716.666666666667</v>
      </c>
      <c r="T236" s="31">
        <v>6716.666666666667</v>
      </c>
      <c r="W236" s="16">
        <f t="shared" si="45"/>
        <v>43624</v>
      </c>
      <c r="X236" s="9">
        <f t="shared" si="46"/>
        <v>456.06</v>
      </c>
      <c r="Y236" s="9">
        <f t="shared" si="47"/>
        <v>823.54250000000002</v>
      </c>
      <c r="AA236" s="16">
        <f t="shared" si="48"/>
        <v>44016</v>
      </c>
      <c r="AB236" s="21">
        <v>3566.6666666666665</v>
      </c>
      <c r="AC236" s="21">
        <f t="shared" si="49"/>
        <v>3490.8333333333335</v>
      </c>
      <c r="AD236" s="21">
        <f t="shared" si="50"/>
        <v>5341.666666666667</v>
      </c>
      <c r="AE236" s="21">
        <f t="shared" si="51"/>
        <v>5716.666666666667</v>
      </c>
      <c r="AF236" s="21">
        <f t="shared" si="52"/>
        <v>6716.666666666667</v>
      </c>
      <c r="AK236" s="16"/>
      <c r="AL236" s="17"/>
      <c r="AN236" s="16"/>
    </row>
    <row r="237" spans="2:40" x14ac:dyDescent="0.4">
      <c r="B237" s="6">
        <f t="shared" si="40"/>
        <v>43995</v>
      </c>
      <c r="C237" s="8">
        <f t="shared" si="41"/>
        <v>169.47200000000004</v>
      </c>
      <c r="D237" s="5">
        <f t="shared" si="42"/>
        <v>1476.8650000000002</v>
      </c>
      <c r="E237" s="5">
        <f t="shared" si="43"/>
        <v>2076.8650000000002</v>
      </c>
      <c r="F237" s="5">
        <f t="shared" si="44"/>
        <v>2901.8650000000007</v>
      </c>
      <c r="H237" s="6"/>
      <c r="I237" s="11">
        <v>43631</v>
      </c>
      <c r="J237" s="9">
        <v>458.44200000000001</v>
      </c>
      <c r="K237" s="9">
        <v>849.33399999999995</v>
      </c>
      <c r="O237" s="11">
        <v>44023</v>
      </c>
      <c r="P237" s="9">
        <v>0</v>
      </c>
      <c r="Q237" s="9">
        <v>3453</v>
      </c>
      <c r="R237" s="9">
        <v>5060</v>
      </c>
      <c r="S237" s="9">
        <v>5335</v>
      </c>
      <c r="T237" s="31">
        <v>6540</v>
      </c>
      <c r="W237" s="16">
        <f t="shared" si="45"/>
        <v>43631</v>
      </c>
      <c r="X237" s="9">
        <f t="shared" si="46"/>
        <v>458.44200000000001</v>
      </c>
      <c r="Y237" s="9">
        <f t="shared" si="47"/>
        <v>849.33399999999995</v>
      </c>
      <c r="AA237" s="16">
        <f t="shared" si="48"/>
        <v>44023</v>
      </c>
      <c r="AB237" s="21">
        <v>3554</v>
      </c>
      <c r="AC237" s="21">
        <f t="shared" si="49"/>
        <v>3453</v>
      </c>
      <c r="AD237" s="21">
        <f t="shared" si="50"/>
        <v>5060</v>
      </c>
      <c r="AE237" s="21">
        <f t="shared" si="51"/>
        <v>5335</v>
      </c>
      <c r="AF237" s="21">
        <f t="shared" si="52"/>
        <v>6540</v>
      </c>
      <c r="AK237" s="16"/>
      <c r="AL237" s="17"/>
      <c r="AN237" s="16"/>
    </row>
    <row r="238" spans="2:40" x14ac:dyDescent="0.4">
      <c r="B238" s="6">
        <f t="shared" si="40"/>
        <v>44002</v>
      </c>
      <c r="C238" s="8">
        <f t="shared" si="41"/>
        <v>180.55399999999997</v>
      </c>
      <c r="D238" s="5">
        <f t="shared" si="42"/>
        <v>1400.18</v>
      </c>
      <c r="E238" s="5">
        <f t="shared" si="43"/>
        <v>1905.18</v>
      </c>
      <c r="F238" s="5">
        <f t="shared" si="44"/>
        <v>2825.1800000000003</v>
      </c>
      <c r="H238" s="6"/>
      <c r="I238" s="11">
        <v>43638</v>
      </c>
      <c r="J238" s="9">
        <v>482.76600000000002</v>
      </c>
      <c r="K238" s="9">
        <v>810.66800000000001</v>
      </c>
      <c r="O238" s="11">
        <v>44030</v>
      </c>
      <c r="P238" s="9">
        <v>0</v>
      </c>
      <c r="Q238" s="9">
        <v>3460.6</v>
      </c>
      <c r="R238" s="9">
        <v>4885</v>
      </c>
      <c r="S238" s="9">
        <v>5330</v>
      </c>
      <c r="T238" s="31">
        <v>6430</v>
      </c>
      <c r="W238" s="16">
        <f t="shared" si="45"/>
        <v>43638</v>
      </c>
      <c r="X238" s="9">
        <f t="shared" si="46"/>
        <v>482.76600000000002</v>
      </c>
      <c r="Y238" s="9">
        <f t="shared" si="47"/>
        <v>810.66800000000001</v>
      </c>
      <c r="AA238" s="16">
        <f t="shared" si="48"/>
        <v>44030</v>
      </c>
      <c r="AB238" s="21">
        <v>3510.6</v>
      </c>
      <c r="AC238" s="21">
        <f t="shared" si="49"/>
        <v>3460.6</v>
      </c>
      <c r="AD238" s="21">
        <f t="shared" si="50"/>
        <v>4885</v>
      </c>
      <c r="AE238" s="21">
        <f t="shared" si="51"/>
        <v>5330</v>
      </c>
      <c r="AF238" s="21">
        <f t="shared" si="52"/>
        <v>6430</v>
      </c>
      <c r="AK238" s="16"/>
      <c r="AL238" s="17"/>
      <c r="AN238" s="16"/>
    </row>
    <row r="239" spans="2:40" x14ac:dyDescent="0.4">
      <c r="B239" s="6">
        <f t="shared" si="40"/>
        <v>44009</v>
      </c>
      <c r="C239" s="8">
        <f t="shared" si="41"/>
        <v>170.69399999999996</v>
      </c>
      <c r="D239" s="5">
        <f t="shared" si="42"/>
        <v>1266.2374999999997</v>
      </c>
      <c r="E239" s="5">
        <f t="shared" si="43"/>
        <v>1724.5708333333328</v>
      </c>
      <c r="F239" s="5">
        <f t="shared" si="44"/>
        <v>2699.5708333333328</v>
      </c>
      <c r="H239" s="6"/>
      <c r="I239" s="11">
        <v>43645</v>
      </c>
      <c r="J239" s="9">
        <v>514.66600000000005</v>
      </c>
      <c r="K239" s="9">
        <v>839.26800000000003</v>
      </c>
      <c r="O239" s="11">
        <v>44037</v>
      </c>
      <c r="P239" s="9">
        <v>0</v>
      </c>
      <c r="Q239" s="9">
        <v>3550</v>
      </c>
      <c r="R239" s="9">
        <v>4825</v>
      </c>
      <c r="S239" s="9">
        <v>5405</v>
      </c>
      <c r="T239" s="31">
        <v>6370</v>
      </c>
      <c r="W239" s="16">
        <f t="shared" si="45"/>
        <v>43645</v>
      </c>
      <c r="X239" s="9">
        <f t="shared" si="46"/>
        <v>514.66600000000005</v>
      </c>
      <c r="Y239" s="9">
        <f t="shared" si="47"/>
        <v>839.26800000000003</v>
      </c>
      <c r="AA239" s="16">
        <f t="shared" si="48"/>
        <v>44037</v>
      </c>
      <c r="AB239" s="21">
        <v>3480</v>
      </c>
      <c r="AC239" s="21">
        <f t="shared" si="49"/>
        <v>3550</v>
      </c>
      <c r="AD239" s="21">
        <f t="shared" si="50"/>
        <v>4825</v>
      </c>
      <c r="AE239" s="21">
        <f t="shared" si="51"/>
        <v>5405</v>
      </c>
      <c r="AF239" s="21">
        <f t="shared" si="52"/>
        <v>6370</v>
      </c>
      <c r="AK239" s="16"/>
      <c r="AL239" s="17"/>
      <c r="AN239" s="16"/>
    </row>
    <row r="240" spans="2:40" x14ac:dyDescent="0.4">
      <c r="B240" s="6">
        <f t="shared" si="40"/>
        <v>44016</v>
      </c>
      <c r="C240" s="8">
        <f t="shared" si="41"/>
        <v>138.964</v>
      </c>
      <c r="D240" s="5">
        <f t="shared" si="42"/>
        <v>1122.7375000000002</v>
      </c>
      <c r="E240" s="5">
        <f t="shared" si="43"/>
        <v>1497.7375000000002</v>
      </c>
      <c r="F240" s="5">
        <f t="shared" si="44"/>
        <v>2497.7375000000002</v>
      </c>
      <c r="H240" s="6"/>
      <c r="I240" s="11">
        <v>43652</v>
      </c>
      <c r="J240" s="9">
        <v>510.00200000000001</v>
      </c>
      <c r="K240" s="9">
        <v>847.18399999999997</v>
      </c>
      <c r="O240" s="11">
        <v>44044</v>
      </c>
      <c r="P240" s="9">
        <v>0</v>
      </c>
      <c r="Q240" s="9">
        <v>3651.2</v>
      </c>
      <c r="R240" s="9">
        <v>4950</v>
      </c>
      <c r="S240" s="9">
        <v>5560</v>
      </c>
      <c r="T240" s="31">
        <v>6375</v>
      </c>
      <c r="W240" s="16">
        <f t="shared" si="45"/>
        <v>43652</v>
      </c>
      <c r="X240" s="9">
        <f t="shared" si="46"/>
        <v>510.00200000000001</v>
      </c>
      <c r="Y240" s="9">
        <f t="shared" si="47"/>
        <v>847.18399999999997</v>
      </c>
      <c r="AA240" s="16">
        <f t="shared" si="48"/>
        <v>44044</v>
      </c>
      <c r="AB240" s="21">
        <v>3527</v>
      </c>
      <c r="AC240" s="21">
        <f t="shared" si="49"/>
        <v>3651.2</v>
      </c>
      <c r="AD240" s="21">
        <f t="shared" si="50"/>
        <v>4950</v>
      </c>
      <c r="AE240" s="21">
        <f t="shared" si="51"/>
        <v>5560</v>
      </c>
      <c r="AF240" s="21">
        <f t="shared" si="52"/>
        <v>6375</v>
      </c>
      <c r="AK240" s="16"/>
      <c r="AL240" s="17"/>
      <c r="AN240" s="16"/>
    </row>
    <row r="241" spans="2:40" x14ac:dyDescent="0.4">
      <c r="B241" s="6">
        <f t="shared" si="40"/>
        <v>44023</v>
      </c>
      <c r="C241" s="8">
        <f t="shared" si="41"/>
        <v>118.36000000000001</v>
      </c>
      <c r="D241" s="5">
        <f t="shared" si="42"/>
        <v>864.57499999999982</v>
      </c>
      <c r="E241" s="5">
        <f t="shared" si="43"/>
        <v>1139.5749999999998</v>
      </c>
      <c r="F241" s="5">
        <f t="shared" si="44"/>
        <v>2344.5749999999998</v>
      </c>
      <c r="H241" s="6"/>
      <c r="I241" s="11">
        <v>43659</v>
      </c>
      <c r="J241" s="9">
        <v>528.68200000000002</v>
      </c>
      <c r="K241" s="9">
        <v>871.66600000000005</v>
      </c>
      <c r="O241" s="11">
        <v>44051</v>
      </c>
      <c r="P241" s="9">
        <v>0</v>
      </c>
      <c r="Q241" s="9">
        <v>3703.5</v>
      </c>
      <c r="R241" s="9">
        <v>5165</v>
      </c>
      <c r="S241" s="9">
        <v>5695</v>
      </c>
      <c r="T241" s="31">
        <v>6460</v>
      </c>
      <c r="W241" s="16">
        <f t="shared" si="45"/>
        <v>43659</v>
      </c>
      <c r="X241" s="9">
        <f t="shared" si="46"/>
        <v>528.68200000000002</v>
      </c>
      <c r="Y241" s="9">
        <f t="shared" si="47"/>
        <v>871.66600000000005</v>
      </c>
      <c r="AA241" s="16">
        <f t="shared" si="48"/>
        <v>44051</v>
      </c>
      <c r="AB241" s="21">
        <v>3580</v>
      </c>
      <c r="AC241" s="21">
        <f t="shared" si="49"/>
        <v>3703.5</v>
      </c>
      <c r="AD241" s="21">
        <f t="shared" si="50"/>
        <v>5165</v>
      </c>
      <c r="AE241" s="21">
        <f t="shared" si="51"/>
        <v>5695</v>
      </c>
      <c r="AF241" s="21">
        <f t="shared" si="52"/>
        <v>6460</v>
      </c>
      <c r="AK241" s="16"/>
      <c r="AL241" s="17"/>
      <c r="AN241" s="16"/>
    </row>
    <row r="242" spans="2:40" x14ac:dyDescent="0.4">
      <c r="B242" s="6">
        <f t="shared" si="40"/>
        <v>44030</v>
      </c>
      <c r="C242" s="8">
        <f t="shared" si="41"/>
        <v>140.64799999999997</v>
      </c>
      <c r="D242" s="5">
        <f t="shared" si="42"/>
        <v>724.13600000000042</v>
      </c>
      <c r="E242" s="5">
        <f t="shared" si="43"/>
        <v>1169.1360000000004</v>
      </c>
      <c r="F242" s="5">
        <f t="shared" si="44"/>
        <v>2269.1360000000004</v>
      </c>
      <c r="H242" s="6"/>
      <c r="I242" s="11">
        <v>43666</v>
      </c>
      <c r="J242" s="9">
        <v>514.37199999999996</v>
      </c>
      <c r="K242" s="9">
        <v>848.01599999999996</v>
      </c>
      <c r="O242" s="11">
        <v>44058</v>
      </c>
      <c r="P242" s="9">
        <v>0</v>
      </c>
      <c r="Q242" s="9">
        <v>3696.6</v>
      </c>
      <c r="R242" s="9">
        <v>5365</v>
      </c>
      <c r="S242" s="9">
        <v>5865</v>
      </c>
      <c r="T242" s="31">
        <v>6590</v>
      </c>
      <c r="W242" s="16">
        <f t="shared" si="45"/>
        <v>43666</v>
      </c>
      <c r="X242" s="9">
        <f t="shared" si="46"/>
        <v>514.37199999999996</v>
      </c>
      <c r="Y242" s="9">
        <f t="shared" si="47"/>
        <v>848.01599999999996</v>
      </c>
      <c r="AA242" s="16">
        <f t="shared" si="48"/>
        <v>44058</v>
      </c>
      <c r="AB242" s="21">
        <v>3606</v>
      </c>
      <c r="AC242" s="21">
        <f t="shared" si="49"/>
        <v>3696.6</v>
      </c>
      <c r="AD242" s="21">
        <f t="shared" si="50"/>
        <v>5365</v>
      </c>
      <c r="AE242" s="21">
        <f t="shared" si="51"/>
        <v>5865</v>
      </c>
      <c r="AF242" s="21">
        <f t="shared" si="52"/>
        <v>6590</v>
      </c>
      <c r="AK242" s="16"/>
      <c r="AL242" s="17"/>
      <c r="AN242" s="16"/>
    </row>
    <row r="243" spans="2:40" x14ac:dyDescent="0.4">
      <c r="B243" s="6">
        <f t="shared" si="40"/>
        <v>44037</v>
      </c>
      <c r="C243" s="8">
        <f t="shared" si="41"/>
        <v>140.61600000000004</v>
      </c>
      <c r="D243" s="5">
        <f t="shared" si="42"/>
        <v>660.34999999999991</v>
      </c>
      <c r="E243" s="5">
        <f t="shared" si="43"/>
        <v>1240.3499999999999</v>
      </c>
      <c r="F243" s="5">
        <f t="shared" si="44"/>
        <v>2205.35</v>
      </c>
      <c r="H243" s="6"/>
      <c r="I243" s="11">
        <v>43673</v>
      </c>
      <c r="J243" s="9">
        <v>505.34800000000001</v>
      </c>
      <c r="K243" s="9">
        <v>838.96799999999996</v>
      </c>
      <c r="O243" s="11">
        <v>44065</v>
      </c>
      <c r="P243" s="9">
        <v>0</v>
      </c>
      <c r="Q243" s="9">
        <v>3729.6</v>
      </c>
      <c r="R243" s="9">
        <v>5265</v>
      </c>
      <c r="S243" s="9">
        <v>5785</v>
      </c>
      <c r="T243" s="31">
        <v>6600</v>
      </c>
      <c r="W243" s="16">
        <f t="shared" si="45"/>
        <v>43673</v>
      </c>
      <c r="X243" s="9">
        <f t="shared" si="46"/>
        <v>505.34800000000001</v>
      </c>
      <c r="Y243" s="9">
        <f t="shared" si="47"/>
        <v>838.96799999999996</v>
      </c>
      <c r="AA243" s="16">
        <f t="shared" si="48"/>
        <v>44065</v>
      </c>
      <c r="AB243" s="21">
        <v>3555</v>
      </c>
      <c r="AC243" s="21">
        <f t="shared" si="49"/>
        <v>3729.6</v>
      </c>
      <c r="AD243" s="21">
        <f t="shared" si="50"/>
        <v>5265</v>
      </c>
      <c r="AE243" s="21">
        <f t="shared" si="51"/>
        <v>5785</v>
      </c>
      <c r="AF243" s="21">
        <f t="shared" si="52"/>
        <v>6600</v>
      </c>
      <c r="AK243" s="16"/>
      <c r="AL243" s="17"/>
      <c r="AN243" s="16"/>
    </row>
    <row r="244" spans="2:40" x14ac:dyDescent="0.4">
      <c r="B244" s="6">
        <f t="shared" si="40"/>
        <v>44044</v>
      </c>
      <c r="C244" s="8">
        <f t="shared" si="41"/>
        <v>145.48499999999996</v>
      </c>
      <c r="D244" s="5">
        <f t="shared" si="42"/>
        <v>711.26299999999992</v>
      </c>
      <c r="E244" s="5">
        <f t="shared" si="43"/>
        <v>1321.2629999999999</v>
      </c>
      <c r="F244" s="5">
        <f t="shared" si="44"/>
        <v>2136.2629999999999</v>
      </c>
      <c r="H244" s="6"/>
      <c r="I244" s="11">
        <v>43680</v>
      </c>
      <c r="J244" s="9">
        <v>507.976</v>
      </c>
      <c r="K244" s="9">
        <v>832.01800000000003</v>
      </c>
      <c r="O244" s="11">
        <v>44072</v>
      </c>
      <c r="P244" s="9">
        <v>0</v>
      </c>
      <c r="Q244" s="9">
        <v>3738.8</v>
      </c>
      <c r="R244" s="9">
        <v>5145</v>
      </c>
      <c r="S244" s="9">
        <v>5640</v>
      </c>
      <c r="T244" s="31">
        <v>6560</v>
      </c>
      <c r="W244" s="16">
        <f t="shared" si="45"/>
        <v>43680</v>
      </c>
      <c r="X244" s="9">
        <f t="shared" si="46"/>
        <v>507.976</v>
      </c>
      <c r="Y244" s="9">
        <f t="shared" si="47"/>
        <v>832.01800000000003</v>
      </c>
      <c r="AA244" s="16">
        <f t="shared" si="48"/>
        <v>44072</v>
      </c>
      <c r="AB244" s="21">
        <v>3540.2</v>
      </c>
      <c r="AC244" s="21">
        <f t="shared" si="49"/>
        <v>3738.8</v>
      </c>
      <c r="AD244" s="21">
        <f t="shared" si="50"/>
        <v>5145</v>
      </c>
      <c r="AE244" s="21">
        <f t="shared" si="51"/>
        <v>5640</v>
      </c>
      <c r="AF244" s="21">
        <f t="shared" si="52"/>
        <v>6560</v>
      </c>
      <c r="AK244" s="16"/>
      <c r="AL244" s="17"/>
      <c r="AN244" s="16"/>
    </row>
    <row r="245" spans="2:40" x14ac:dyDescent="0.4">
      <c r="B245" s="6">
        <f t="shared" si="40"/>
        <v>44051</v>
      </c>
      <c r="C245" s="8">
        <f t="shared" si="41"/>
        <v>153.714</v>
      </c>
      <c r="D245" s="5">
        <f t="shared" si="42"/>
        <v>863.42749999999978</v>
      </c>
      <c r="E245" s="5">
        <f t="shared" si="43"/>
        <v>1393.4274999999998</v>
      </c>
      <c r="F245" s="5">
        <f t="shared" si="44"/>
        <v>2158.4274999999998</v>
      </c>
      <c r="H245" s="6"/>
      <c r="I245" s="11">
        <v>43687</v>
      </c>
      <c r="J245" s="9">
        <v>467.10250000000002</v>
      </c>
      <c r="K245" s="9">
        <v>792.70749999999998</v>
      </c>
      <c r="O245" s="11">
        <v>44079</v>
      </c>
      <c r="P245" s="9">
        <v>0</v>
      </c>
      <c r="Q245" s="9">
        <v>3893.8</v>
      </c>
      <c r="R245" s="9">
        <v>5110</v>
      </c>
      <c r="S245" s="9">
        <v>5540</v>
      </c>
      <c r="T245" s="31">
        <v>6480</v>
      </c>
      <c r="W245" s="16">
        <f t="shared" si="45"/>
        <v>43687</v>
      </c>
      <c r="X245" s="9">
        <f t="shared" si="46"/>
        <v>467.10250000000002</v>
      </c>
      <c r="Y245" s="9">
        <f t="shared" si="47"/>
        <v>792.70749999999998</v>
      </c>
      <c r="AA245" s="16">
        <f t="shared" si="48"/>
        <v>44079</v>
      </c>
      <c r="AB245" s="21">
        <v>3537</v>
      </c>
      <c r="AC245" s="21">
        <f t="shared" si="49"/>
        <v>3893.8</v>
      </c>
      <c r="AD245" s="21">
        <f t="shared" si="50"/>
        <v>5110</v>
      </c>
      <c r="AE245" s="21">
        <f t="shared" si="51"/>
        <v>5540</v>
      </c>
      <c r="AF245" s="21">
        <f t="shared" si="52"/>
        <v>6480</v>
      </c>
      <c r="AK245" s="16"/>
      <c r="AL245" s="17"/>
      <c r="AN245" s="16"/>
    </row>
    <row r="246" spans="2:40" x14ac:dyDescent="0.4">
      <c r="B246" s="6">
        <f t="shared" si="40"/>
        <v>44058</v>
      </c>
      <c r="C246" s="8">
        <f t="shared" si="41"/>
        <v>159.69249999999994</v>
      </c>
      <c r="D246" s="5">
        <f t="shared" si="42"/>
        <v>1043.5089999999998</v>
      </c>
      <c r="E246" s="5">
        <f t="shared" si="43"/>
        <v>1543.5089999999998</v>
      </c>
      <c r="F246" s="5">
        <f t="shared" si="44"/>
        <v>2268.509</v>
      </c>
      <c r="H246" s="6"/>
      <c r="I246" s="11">
        <v>43694</v>
      </c>
      <c r="J246" s="9">
        <v>462.97500000000002</v>
      </c>
      <c r="K246" s="9">
        <v>795.75250000000005</v>
      </c>
      <c r="O246" s="11">
        <v>44086</v>
      </c>
      <c r="P246" s="9">
        <v>0</v>
      </c>
      <c r="Q246" s="9">
        <v>3880.4</v>
      </c>
      <c r="R246" s="9">
        <v>5055</v>
      </c>
      <c r="S246" s="9">
        <v>5470</v>
      </c>
      <c r="T246" s="31">
        <v>6475</v>
      </c>
      <c r="W246" s="16">
        <f t="shared" si="45"/>
        <v>43694</v>
      </c>
      <c r="X246" s="9">
        <f t="shared" si="46"/>
        <v>462.97500000000002</v>
      </c>
      <c r="Y246" s="9">
        <f t="shared" si="47"/>
        <v>795.75250000000005</v>
      </c>
      <c r="AA246" s="16">
        <f t="shared" si="48"/>
        <v>44086</v>
      </c>
      <c r="AB246" s="21">
        <v>3477</v>
      </c>
      <c r="AC246" s="21">
        <f t="shared" si="49"/>
        <v>3880.4</v>
      </c>
      <c r="AD246" s="21">
        <f t="shared" si="50"/>
        <v>5055</v>
      </c>
      <c r="AE246" s="21">
        <f t="shared" si="51"/>
        <v>5470</v>
      </c>
      <c r="AF246" s="21">
        <f t="shared" si="52"/>
        <v>6475</v>
      </c>
      <c r="AK246" s="16"/>
      <c r="AL246" s="17"/>
      <c r="AN246" s="16"/>
    </row>
    <row r="247" spans="2:40" x14ac:dyDescent="0.4">
      <c r="B247" s="6">
        <f t="shared" si="40"/>
        <v>44065</v>
      </c>
      <c r="C247" s="8">
        <f t="shared" si="41"/>
        <v>158.68400000000003</v>
      </c>
      <c r="D247" s="5">
        <f t="shared" si="42"/>
        <v>976.05899999999997</v>
      </c>
      <c r="E247" s="5">
        <f t="shared" si="43"/>
        <v>1496.059</v>
      </c>
      <c r="F247" s="5">
        <f t="shared" si="44"/>
        <v>2311.0590000000002</v>
      </c>
      <c r="H247" s="6"/>
      <c r="I247" s="11">
        <v>43701</v>
      </c>
      <c r="J247" s="9">
        <v>468.67599999999999</v>
      </c>
      <c r="K247" s="9">
        <v>787.8</v>
      </c>
      <c r="O247" s="11">
        <v>44093</v>
      </c>
      <c r="P247" s="9">
        <v>0</v>
      </c>
      <c r="Q247" s="9">
        <v>3872</v>
      </c>
      <c r="R247" s="9">
        <v>5005</v>
      </c>
      <c r="S247" s="9">
        <v>5360</v>
      </c>
      <c r="T247" s="31">
        <v>6415</v>
      </c>
      <c r="W247" s="16">
        <f t="shared" si="45"/>
        <v>43701</v>
      </c>
      <c r="X247" s="9">
        <f t="shared" si="46"/>
        <v>468.67599999999999</v>
      </c>
      <c r="Y247" s="9">
        <f t="shared" si="47"/>
        <v>787.8</v>
      </c>
      <c r="AA247" s="16">
        <f t="shared" si="48"/>
        <v>44093</v>
      </c>
      <c r="AB247" s="21">
        <v>3444</v>
      </c>
      <c r="AC247" s="21">
        <f t="shared" si="49"/>
        <v>3872</v>
      </c>
      <c r="AD247" s="21">
        <f t="shared" si="50"/>
        <v>5005</v>
      </c>
      <c r="AE247" s="21">
        <f t="shared" si="51"/>
        <v>5360</v>
      </c>
      <c r="AF247" s="21">
        <f t="shared" si="52"/>
        <v>6415</v>
      </c>
      <c r="AK247" s="16"/>
      <c r="AL247" s="17"/>
      <c r="AN247" s="16"/>
    </row>
    <row r="248" spans="2:40" x14ac:dyDescent="0.4">
      <c r="B248" s="6">
        <f t="shared" si="40"/>
        <v>44072</v>
      </c>
      <c r="C248" s="8">
        <f t="shared" si="41"/>
        <v>136.92399999999998</v>
      </c>
      <c r="D248" s="5">
        <f t="shared" si="42"/>
        <v>865.63100000000031</v>
      </c>
      <c r="E248" s="5">
        <f t="shared" si="43"/>
        <v>1360.6310000000003</v>
      </c>
      <c r="F248" s="5">
        <f t="shared" si="44"/>
        <v>2280.6310000000003</v>
      </c>
      <c r="H248" s="6"/>
      <c r="I248" s="11">
        <v>43708</v>
      </c>
      <c r="J248" s="9">
        <v>460.79</v>
      </c>
      <c r="K248" s="9">
        <v>783.36599999999999</v>
      </c>
      <c r="O248" s="11">
        <v>44100</v>
      </c>
      <c r="P248" s="9">
        <v>0</v>
      </c>
      <c r="Q248" s="9">
        <v>3692</v>
      </c>
      <c r="R248" s="9">
        <v>4935</v>
      </c>
      <c r="S248" s="9">
        <v>5315</v>
      </c>
      <c r="T248" s="31">
        <v>6375</v>
      </c>
      <c r="W248" s="16">
        <f t="shared" si="45"/>
        <v>43708</v>
      </c>
      <c r="X248" s="9">
        <f t="shared" si="46"/>
        <v>460.79</v>
      </c>
      <c r="Y248" s="9">
        <f t="shared" si="47"/>
        <v>783.36599999999999</v>
      </c>
      <c r="AA248" s="16">
        <f t="shared" si="48"/>
        <v>44100</v>
      </c>
      <c r="AB248" s="21">
        <v>3378</v>
      </c>
      <c r="AC248" s="21">
        <f t="shared" si="49"/>
        <v>3692</v>
      </c>
      <c r="AD248" s="21">
        <f t="shared" si="50"/>
        <v>4935</v>
      </c>
      <c r="AE248" s="21">
        <f t="shared" si="51"/>
        <v>5315</v>
      </c>
      <c r="AF248" s="21">
        <f t="shared" si="52"/>
        <v>6375</v>
      </c>
      <c r="AK248" s="16"/>
      <c r="AL248" s="17"/>
      <c r="AN248" s="16"/>
    </row>
    <row r="249" spans="2:40" x14ac:dyDescent="0.4">
      <c r="B249" s="6">
        <f t="shared" si="40"/>
        <v>44079</v>
      </c>
      <c r="C249" s="8">
        <f t="shared" si="41"/>
        <v>138.59199999999998</v>
      </c>
      <c r="D249" s="5">
        <f t="shared" si="42"/>
        <v>781.44200000000001</v>
      </c>
      <c r="E249" s="5">
        <f t="shared" si="43"/>
        <v>1211.442</v>
      </c>
      <c r="F249" s="5">
        <f t="shared" si="44"/>
        <v>2151.442</v>
      </c>
      <c r="H249" s="6"/>
      <c r="I249" s="11">
        <v>43715</v>
      </c>
      <c r="J249" s="9">
        <v>459.596</v>
      </c>
      <c r="K249" s="9">
        <v>778.96600000000001</v>
      </c>
      <c r="O249" s="11">
        <v>44107</v>
      </c>
      <c r="P249" s="9">
        <v>0</v>
      </c>
      <c r="Q249" s="9">
        <v>3632.5</v>
      </c>
      <c r="R249" s="9">
        <v>5012.5</v>
      </c>
      <c r="S249" s="9">
        <v>5368.75</v>
      </c>
      <c r="T249" s="31">
        <v>6393.75</v>
      </c>
      <c r="W249" s="16">
        <f t="shared" si="45"/>
        <v>43715</v>
      </c>
      <c r="X249" s="9">
        <f t="shared" si="46"/>
        <v>459.596</v>
      </c>
      <c r="Y249" s="9">
        <f t="shared" si="47"/>
        <v>778.96600000000001</v>
      </c>
      <c r="AA249" s="16">
        <f t="shared" si="48"/>
        <v>44107</v>
      </c>
      <c r="AB249" s="21">
        <v>3271.25</v>
      </c>
      <c r="AC249" s="21">
        <f t="shared" si="49"/>
        <v>3632.5</v>
      </c>
      <c r="AD249" s="21">
        <f t="shared" si="50"/>
        <v>5012.5</v>
      </c>
      <c r="AE249" s="21">
        <f t="shared" si="51"/>
        <v>5368.75</v>
      </c>
      <c r="AF249" s="21">
        <f t="shared" si="52"/>
        <v>6393.75</v>
      </c>
      <c r="AK249" s="16"/>
      <c r="AL249" s="17"/>
      <c r="AN249" s="16"/>
    </row>
    <row r="250" spans="2:40" x14ac:dyDescent="0.4">
      <c r="B250" s="6">
        <f t="shared" si="40"/>
        <v>44086</v>
      </c>
      <c r="C250" s="8">
        <f t="shared" si="41"/>
        <v>156.65800000000002</v>
      </c>
      <c r="D250" s="5">
        <f t="shared" si="42"/>
        <v>782.23099999999977</v>
      </c>
      <c r="E250" s="5">
        <f t="shared" si="43"/>
        <v>1197.2309999999998</v>
      </c>
      <c r="F250" s="5">
        <f t="shared" si="44"/>
        <v>2202.2309999999998</v>
      </c>
      <c r="H250" s="6"/>
      <c r="I250" s="11">
        <v>43722</v>
      </c>
      <c r="J250" s="9">
        <v>484.1</v>
      </c>
      <c r="K250" s="9">
        <v>787.18399999999997</v>
      </c>
      <c r="O250" s="11">
        <v>44114</v>
      </c>
      <c r="P250" s="9">
        <v>0</v>
      </c>
      <c r="Q250" s="9">
        <v>3705</v>
      </c>
      <c r="R250" s="9">
        <v>5237.5</v>
      </c>
      <c r="S250" s="9">
        <v>5550</v>
      </c>
      <c r="T250" s="31">
        <v>6650</v>
      </c>
      <c r="W250" s="16">
        <f t="shared" si="45"/>
        <v>43722</v>
      </c>
      <c r="X250" s="9">
        <f t="shared" si="46"/>
        <v>484.1</v>
      </c>
      <c r="Y250" s="9">
        <f t="shared" si="47"/>
        <v>787.18399999999997</v>
      </c>
      <c r="AA250" s="16">
        <f t="shared" si="48"/>
        <v>44114</v>
      </c>
      <c r="AB250" s="21">
        <v>3282.5</v>
      </c>
      <c r="AC250" s="21">
        <f t="shared" si="49"/>
        <v>3705</v>
      </c>
      <c r="AD250" s="21">
        <f t="shared" si="50"/>
        <v>5237.5</v>
      </c>
      <c r="AE250" s="21">
        <f t="shared" si="51"/>
        <v>5550</v>
      </c>
      <c r="AF250" s="21">
        <f t="shared" si="52"/>
        <v>6650</v>
      </c>
      <c r="AK250" s="16"/>
      <c r="AL250" s="17"/>
      <c r="AN250" s="16"/>
    </row>
    <row r="251" spans="2:40" x14ac:dyDescent="0.4">
      <c r="B251" s="6">
        <f t="shared" si="40"/>
        <v>44093</v>
      </c>
      <c r="C251" s="8">
        <f t="shared" si="41"/>
        <v>156.13000000000005</v>
      </c>
      <c r="D251" s="5">
        <f t="shared" si="42"/>
        <v>763.26</v>
      </c>
      <c r="E251" s="5">
        <f t="shared" si="43"/>
        <v>1118.26</v>
      </c>
      <c r="F251" s="5">
        <f t="shared" si="44"/>
        <v>2173.2600000000002</v>
      </c>
      <c r="H251" s="6"/>
      <c r="I251" s="11">
        <v>43729</v>
      </c>
      <c r="J251" s="9">
        <v>543.41999999999996</v>
      </c>
      <c r="K251" s="9">
        <v>821.28399999999999</v>
      </c>
      <c r="O251" s="11">
        <v>44121</v>
      </c>
      <c r="P251" s="9">
        <v>0</v>
      </c>
      <c r="Q251" s="9">
        <v>3824</v>
      </c>
      <c r="R251" s="9">
        <v>5375</v>
      </c>
      <c r="S251" s="9">
        <v>5670</v>
      </c>
      <c r="T251" s="31">
        <v>6815</v>
      </c>
      <c r="W251" s="16">
        <f t="shared" si="45"/>
        <v>43729</v>
      </c>
      <c r="X251" s="9">
        <f t="shared" si="46"/>
        <v>543.41999999999996</v>
      </c>
      <c r="Y251" s="9">
        <f t="shared" si="47"/>
        <v>821.28399999999999</v>
      </c>
      <c r="AA251" s="16">
        <f t="shared" si="48"/>
        <v>44121</v>
      </c>
      <c r="AB251" s="21">
        <v>3344</v>
      </c>
      <c r="AC251" s="21">
        <f t="shared" si="49"/>
        <v>3824</v>
      </c>
      <c r="AD251" s="21">
        <f t="shared" si="50"/>
        <v>5375</v>
      </c>
      <c r="AE251" s="21">
        <f t="shared" si="51"/>
        <v>5670</v>
      </c>
      <c r="AF251" s="21">
        <f t="shared" si="52"/>
        <v>6815</v>
      </c>
      <c r="AK251" s="16"/>
      <c r="AL251" s="17"/>
      <c r="AN251" s="16"/>
    </row>
    <row r="252" spans="2:40" x14ac:dyDescent="0.4">
      <c r="B252" s="6">
        <f t="shared" si="40"/>
        <v>44100</v>
      </c>
      <c r="C252" s="8">
        <f t="shared" si="41"/>
        <v>139.95799999999997</v>
      </c>
      <c r="D252" s="5">
        <f t="shared" si="42"/>
        <v>809.98999999999978</v>
      </c>
      <c r="E252" s="5">
        <f t="shared" si="43"/>
        <v>1189.9899999999998</v>
      </c>
      <c r="F252" s="5">
        <f t="shared" si="44"/>
        <v>2249.9899999999998</v>
      </c>
      <c r="H252" s="6"/>
      <c r="I252" s="11">
        <v>43736</v>
      </c>
      <c r="J252" s="9">
        <v>520.69000000000005</v>
      </c>
      <c r="K252" s="9">
        <v>801.46600000000001</v>
      </c>
      <c r="O252" s="11">
        <v>44128</v>
      </c>
      <c r="P252" s="9">
        <v>0</v>
      </c>
      <c r="Q252" s="9">
        <v>3858</v>
      </c>
      <c r="R252" s="9">
        <v>5435</v>
      </c>
      <c r="S252" s="9">
        <v>5685</v>
      </c>
      <c r="T252" s="31">
        <v>6970</v>
      </c>
      <c r="W252" s="16">
        <f t="shared" si="45"/>
        <v>43736</v>
      </c>
      <c r="X252" s="9">
        <f t="shared" si="46"/>
        <v>520.69000000000005</v>
      </c>
      <c r="Y252" s="9">
        <f t="shared" si="47"/>
        <v>801.46600000000001</v>
      </c>
      <c r="AA252" s="16">
        <f t="shared" si="48"/>
        <v>44128</v>
      </c>
      <c r="AB252" s="21">
        <v>3418</v>
      </c>
      <c r="AC252" s="21">
        <f t="shared" si="49"/>
        <v>3858</v>
      </c>
      <c r="AD252" s="21">
        <f t="shared" si="50"/>
        <v>5435</v>
      </c>
      <c r="AE252" s="21">
        <f t="shared" si="51"/>
        <v>5685</v>
      </c>
      <c r="AF252" s="21">
        <f t="shared" si="52"/>
        <v>6970</v>
      </c>
      <c r="AK252" s="16"/>
      <c r="AL252" s="17"/>
      <c r="AN252" s="16"/>
    </row>
    <row r="253" spans="2:40" x14ac:dyDescent="0.4">
      <c r="B253" s="6">
        <f t="shared" si="40"/>
        <v>44107</v>
      </c>
      <c r="C253" s="8">
        <f t="shared" si="41"/>
        <v>127.25399999999996</v>
      </c>
      <c r="D253" s="5">
        <f t="shared" si="42"/>
        <v>998.69375000000014</v>
      </c>
      <c r="E253" s="5">
        <f t="shared" si="43"/>
        <v>1354.9437500000001</v>
      </c>
      <c r="F253" s="5">
        <f t="shared" si="44"/>
        <v>2379.9437500000004</v>
      </c>
      <c r="H253" s="6"/>
      <c r="I253" s="11">
        <v>43743</v>
      </c>
      <c r="J253" s="9">
        <v>508.86399999999998</v>
      </c>
      <c r="K253" s="9">
        <v>788.51599999999996</v>
      </c>
      <c r="O253" s="11">
        <v>44135</v>
      </c>
      <c r="P253" s="9">
        <v>0</v>
      </c>
      <c r="Q253" s="9">
        <v>3753</v>
      </c>
      <c r="R253" s="9">
        <v>5365</v>
      </c>
      <c r="S253" s="9">
        <v>5565</v>
      </c>
      <c r="T253" s="31">
        <v>6955</v>
      </c>
      <c r="W253" s="16">
        <f t="shared" si="45"/>
        <v>43743</v>
      </c>
      <c r="X253" s="9">
        <f t="shared" si="46"/>
        <v>508.86399999999998</v>
      </c>
      <c r="Y253" s="9">
        <f t="shared" si="47"/>
        <v>788.51599999999996</v>
      </c>
      <c r="AA253" s="16">
        <f t="shared" si="48"/>
        <v>44135</v>
      </c>
      <c r="AB253" s="21">
        <v>3258</v>
      </c>
      <c r="AC253" s="21">
        <f t="shared" si="49"/>
        <v>3753</v>
      </c>
      <c r="AD253" s="21">
        <f t="shared" si="50"/>
        <v>5365</v>
      </c>
      <c r="AE253" s="21">
        <f t="shared" si="51"/>
        <v>5565</v>
      </c>
      <c r="AF253" s="21">
        <f t="shared" si="52"/>
        <v>6955</v>
      </c>
      <c r="AK253" s="16"/>
      <c r="AL253" s="17"/>
      <c r="AN253" s="16"/>
    </row>
    <row r="254" spans="2:40" x14ac:dyDescent="0.4">
      <c r="B254" s="6">
        <f t="shared" si="40"/>
        <v>44114</v>
      </c>
      <c r="C254" s="8">
        <f t="shared" si="41"/>
        <v>128.24000000000007</v>
      </c>
      <c r="D254" s="5">
        <f t="shared" si="42"/>
        <v>1189.7874999999999</v>
      </c>
      <c r="E254" s="5">
        <f t="shared" si="43"/>
        <v>1502.2874999999999</v>
      </c>
      <c r="F254" s="5">
        <f t="shared" si="44"/>
        <v>2602.2874999999999</v>
      </c>
      <c r="H254" s="6"/>
      <c r="I254" s="11">
        <v>43750</v>
      </c>
      <c r="J254" s="9">
        <v>529.16399999999999</v>
      </c>
      <c r="K254" s="9">
        <v>803.53200000000004</v>
      </c>
      <c r="O254" s="11">
        <v>44142</v>
      </c>
      <c r="P254" s="9">
        <v>0</v>
      </c>
      <c r="Q254" s="9">
        <v>3730</v>
      </c>
      <c r="R254" s="9">
        <v>5245</v>
      </c>
      <c r="S254" s="9">
        <v>5310</v>
      </c>
      <c r="T254" s="31">
        <v>6950</v>
      </c>
      <c r="W254" s="16">
        <f t="shared" si="45"/>
        <v>43750</v>
      </c>
      <c r="X254" s="9">
        <f t="shared" si="46"/>
        <v>529.16399999999999</v>
      </c>
      <c r="Y254" s="9">
        <f t="shared" si="47"/>
        <v>803.53200000000004</v>
      </c>
      <c r="AA254" s="16">
        <f t="shared" si="48"/>
        <v>44142</v>
      </c>
      <c r="AB254" s="21">
        <v>3118</v>
      </c>
      <c r="AC254" s="21">
        <f t="shared" si="49"/>
        <v>3730</v>
      </c>
      <c r="AD254" s="21">
        <f t="shared" si="50"/>
        <v>5245</v>
      </c>
      <c r="AE254" s="21">
        <f t="shared" si="51"/>
        <v>5310</v>
      </c>
      <c r="AF254" s="21">
        <f t="shared" si="52"/>
        <v>6950</v>
      </c>
      <c r="AK254" s="16"/>
      <c r="AL254" s="17"/>
      <c r="AN254" s="16"/>
    </row>
    <row r="255" spans="2:40" x14ac:dyDescent="0.4">
      <c r="B255" s="6">
        <f t="shared" si="40"/>
        <v>44121</v>
      </c>
      <c r="C255" s="8">
        <f t="shared" si="41"/>
        <v>139</v>
      </c>
      <c r="D255" s="5">
        <f t="shared" si="42"/>
        <v>1234.8400000000001</v>
      </c>
      <c r="E255" s="5">
        <f t="shared" si="43"/>
        <v>1529.8400000000001</v>
      </c>
      <c r="F255" s="5">
        <f t="shared" si="44"/>
        <v>2674.84</v>
      </c>
      <c r="H255" s="6"/>
      <c r="I255" s="11">
        <v>43757</v>
      </c>
      <c r="J255" s="9">
        <v>554.26599999999996</v>
      </c>
      <c r="K255" s="9">
        <v>796.43399999999997</v>
      </c>
      <c r="O255" s="11">
        <v>44149</v>
      </c>
      <c r="P255" s="9">
        <v>0</v>
      </c>
      <c r="Q255" s="9">
        <v>3676</v>
      </c>
      <c r="R255" s="9">
        <v>5145</v>
      </c>
      <c r="S255" s="9">
        <v>5355</v>
      </c>
      <c r="T255" s="31">
        <v>6815</v>
      </c>
      <c r="W255" s="16">
        <f t="shared" si="45"/>
        <v>43757</v>
      </c>
      <c r="X255" s="9">
        <f t="shared" si="46"/>
        <v>554.26599999999996</v>
      </c>
      <c r="Y255" s="9">
        <f t="shared" si="47"/>
        <v>796.43399999999997</v>
      </c>
      <c r="AA255" s="16">
        <f t="shared" si="48"/>
        <v>44149</v>
      </c>
      <c r="AB255" s="21">
        <v>3119</v>
      </c>
      <c r="AC255" s="21">
        <f t="shared" si="49"/>
        <v>3676</v>
      </c>
      <c r="AD255" s="21">
        <f t="shared" si="50"/>
        <v>5145</v>
      </c>
      <c r="AE255" s="21">
        <f t="shared" si="51"/>
        <v>5355</v>
      </c>
      <c r="AF255" s="21">
        <f t="shared" si="52"/>
        <v>6815</v>
      </c>
      <c r="AK255" s="16"/>
      <c r="AL255" s="17"/>
      <c r="AN255" s="16"/>
    </row>
    <row r="256" spans="2:40" x14ac:dyDescent="0.4">
      <c r="B256" s="6">
        <f t="shared" si="40"/>
        <v>44128</v>
      </c>
      <c r="C256" s="8">
        <f t="shared" si="41"/>
        <v>171.42000000000002</v>
      </c>
      <c r="D256" s="5">
        <f t="shared" si="42"/>
        <v>1220.18</v>
      </c>
      <c r="E256" s="5">
        <f t="shared" si="43"/>
        <v>1470.18</v>
      </c>
      <c r="F256" s="5">
        <f t="shared" si="44"/>
        <v>2755.1800000000003</v>
      </c>
      <c r="H256" s="6"/>
      <c r="I256" s="11">
        <v>43764</v>
      </c>
      <c r="J256" s="9">
        <v>547.88400000000001</v>
      </c>
      <c r="K256" s="9">
        <v>787.63400000000001</v>
      </c>
      <c r="O256" s="11">
        <v>44156</v>
      </c>
      <c r="P256" s="9">
        <v>0</v>
      </c>
      <c r="Q256" s="9">
        <v>3690</v>
      </c>
      <c r="R256" s="9">
        <v>5090</v>
      </c>
      <c r="S256" s="9">
        <v>5270</v>
      </c>
      <c r="T256" s="31">
        <v>6825</v>
      </c>
      <c r="W256" s="16">
        <f t="shared" si="45"/>
        <v>43764</v>
      </c>
      <c r="X256" s="9">
        <f t="shared" si="46"/>
        <v>547.88400000000001</v>
      </c>
      <c r="Y256" s="9">
        <f t="shared" si="47"/>
        <v>787.63400000000001</v>
      </c>
      <c r="AA256" s="16">
        <f t="shared" si="48"/>
        <v>44156</v>
      </c>
      <c r="AB256" s="21">
        <v>3207</v>
      </c>
      <c r="AC256" s="21">
        <f t="shared" si="49"/>
        <v>3690</v>
      </c>
      <c r="AD256" s="21">
        <f t="shared" si="50"/>
        <v>5090</v>
      </c>
      <c r="AE256" s="21">
        <f t="shared" si="51"/>
        <v>5270</v>
      </c>
      <c r="AF256" s="21">
        <f t="shared" si="52"/>
        <v>6825</v>
      </c>
      <c r="AK256" s="16"/>
      <c r="AL256" s="17"/>
      <c r="AN256" s="16"/>
    </row>
    <row r="257" spans="2:40" x14ac:dyDescent="0.4">
      <c r="B257" s="6">
        <f t="shared" si="40"/>
        <v>44135</v>
      </c>
      <c r="C257" s="8">
        <f t="shared" si="41"/>
        <v>170.31200000000001</v>
      </c>
      <c r="D257" s="5">
        <f t="shared" si="42"/>
        <v>1322.1549999999997</v>
      </c>
      <c r="E257" s="5">
        <f t="shared" si="43"/>
        <v>1522.1549999999997</v>
      </c>
      <c r="F257" s="5">
        <f t="shared" si="44"/>
        <v>2912.1549999999997</v>
      </c>
      <c r="H257" s="6"/>
      <c r="I257" s="11">
        <v>43771</v>
      </c>
      <c r="J257" s="9">
        <v>549.53499999999997</v>
      </c>
      <c r="K257" s="9">
        <v>792</v>
      </c>
      <c r="O257" s="11">
        <v>44163</v>
      </c>
      <c r="P257" s="9">
        <v>0</v>
      </c>
      <c r="Q257" s="9">
        <v>3796</v>
      </c>
      <c r="R257" s="9">
        <v>5050</v>
      </c>
      <c r="S257" s="9">
        <v>5246</v>
      </c>
      <c r="T257" s="31">
        <v>6785</v>
      </c>
      <c r="W257" s="16">
        <f t="shared" si="45"/>
        <v>43771</v>
      </c>
      <c r="X257" s="9">
        <f t="shared" si="46"/>
        <v>549.53499999999997</v>
      </c>
      <c r="Y257" s="9">
        <f t="shared" si="47"/>
        <v>792</v>
      </c>
      <c r="AA257" s="16">
        <f t="shared" si="48"/>
        <v>44163</v>
      </c>
      <c r="AB257" s="21">
        <v>3295</v>
      </c>
      <c r="AC257" s="21">
        <f t="shared" si="49"/>
        <v>3796</v>
      </c>
      <c r="AD257" s="21">
        <f t="shared" si="50"/>
        <v>5050</v>
      </c>
      <c r="AE257" s="21">
        <f t="shared" si="51"/>
        <v>5246</v>
      </c>
      <c r="AF257" s="21">
        <f t="shared" si="52"/>
        <v>6785</v>
      </c>
      <c r="AK257" s="16"/>
      <c r="AL257" s="17"/>
      <c r="AN257" s="16"/>
    </row>
    <row r="258" spans="2:40" x14ac:dyDescent="0.4">
      <c r="B258" s="6">
        <f t="shared" si="40"/>
        <v>44142</v>
      </c>
      <c r="C258" s="8">
        <f t="shared" si="41"/>
        <v>154.60399999999998</v>
      </c>
      <c r="D258" s="5">
        <f t="shared" si="42"/>
        <v>1329.56</v>
      </c>
      <c r="E258" s="5">
        <f t="shared" si="43"/>
        <v>1394.56</v>
      </c>
      <c r="F258" s="5">
        <f t="shared" si="44"/>
        <v>3034.5600000000004</v>
      </c>
      <c r="H258" s="6"/>
      <c r="I258" s="11">
        <v>43778</v>
      </c>
      <c r="J258" s="9">
        <v>548.62599999999998</v>
      </c>
      <c r="K258" s="9">
        <v>792.5</v>
      </c>
      <c r="O258" s="11">
        <v>44170</v>
      </c>
      <c r="P258" s="9">
        <v>0</v>
      </c>
      <c r="Q258" s="9">
        <v>3781</v>
      </c>
      <c r="R258" s="9">
        <v>5125</v>
      </c>
      <c r="S258" s="9">
        <v>5310</v>
      </c>
      <c r="T258" s="31">
        <v>6802</v>
      </c>
      <c r="W258" s="16">
        <f t="shared" si="45"/>
        <v>43778</v>
      </c>
      <c r="X258" s="9">
        <f t="shared" si="46"/>
        <v>548.62599999999998</v>
      </c>
      <c r="Y258" s="9">
        <f t="shared" si="47"/>
        <v>792.5</v>
      </c>
      <c r="AA258" s="16">
        <f t="shared" si="48"/>
        <v>44170</v>
      </c>
      <c r="AB258" s="21">
        <v>3301</v>
      </c>
      <c r="AC258" s="21">
        <f t="shared" si="49"/>
        <v>3781</v>
      </c>
      <c r="AD258" s="21">
        <f t="shared" si="50"/>
        <v>5125</v>
      </c>
      <c r="AE258" s="21">
        <f t="shared" si="51"/>
        <v>5310</v>
      </c>
      <c r="AF258" s="21">
        <f t="shared" si="52"/>
        <v>6802</v>
      </c>
      <c r="AK258" s="16"/>
      <c r="AL258" s="17"/>
      <c r="AN258" s="16"/>
    </row>
    <row r="259" spans="2:40" x14ac:dyDescent="0.4">
      <c r="B259" s="6">
        <f t="shared" si="40"/>
        <v>44149</v>
      </c>
      <c r="C259" s="8">
        <f t="shared" si="41"/>
        <v>158.60199999999998</v>
      </c>
      <c r="D259" s="5">
        <f t="shared" si="42"/>
        <v>1246.7950000000001</v>
      </c>
      <c r="E259" s="5">
        <f t="shared" si="43"/>
        <v>1456.7950000000001</v>
      </c>
      <c r="F259" s="5">
        <f t="shared" si="44"/>
        <v>2916.7950000000001</v>
      </c>
      <c r="H259" s="6"/>
      <c r="I259" s="11">
        <v>43785</v>
      </c>
      <c r="J259" s="9">
        <v>549.16200000000003</v>
      </c>
      <c r="K259" s="9">
        <v>786.952</v>
      </c>
      <c r="O259" s="11">
        <v>44177</v>
      </c>
      <c r="P259" s="9">
        <v>0</v>
      </c>
      <c r="Q259" s="9">
        <v>3858</v>
      </c>
      <c r="R259" s="9">
        <v>5350</v>
      </c>
      <c r="S259" s="9">
        <v>5550</v>
      </c>
      <c r="T259" s="31">
        <v>7030</v>
      </c>
      <c r="W259" s="16">
        <f t="shared" si="45"/>
        <v>43785</v>
      </c>
      <c r="X259" s="9">
        <f t="shared" si="46"/>
        <v>549.16200000000003</v>
      </c>
      <c r="Y259" s="9">
        <f t="shared" si="47"/>
        <v>786.952</v>
      </c>
      <c r="AA259" s="16">
        <f t="shared" si="48"/>
        <v>44177</v>
      </c>
      <c r="AB259" s="21">
        <v>3477</v>
      </c>
      <c r="AC259" s="21">
        <f t="shared" si="49"/>
        <v>3858</v>
      </c>
      <c r="AD259" s="21">
        <f t="shared" si="50"/>
        <v>5350</v>
      </c>
      <c r="AE259" s="21">
        <f t="shared" si="51"/>
        <v>5550</v>
      </c>
      <c r="AF259" s="21">
        <f t="shared" si="52"/>
        <v>7030</v>
      </c>
      <c r="AK259" s="16"/>
      <c r="AL259" s="17"/>
      <c r="AN259" s="16"/>
    </row>
    <row r="260" spans="2:40" x14ac:dyDescent="0.4">
      <c r="B260" s="6">
        <f t="shared" si="40"/>
        <v>44156</v>
      </c>
      <c r="C260" s="8">
        <f t="shared" si="41"/>
        <v>162.90200000000004</v>
      </c>
      <c r="D260" s="5">
        <f t="shared" si="42"/>
        <v>1111.8649999999998</v>
      </c>
      <c r="E260" s="5">
        <f t="shared" si="43"/>
        <v>1291.8649999999998</v>
      </c>
      <c r="F260" s="5">
        <f t="shared" si="44"/>
        <v>2846.8649999999998</v>
      </c>
      <c r="H260" s="6"/>
      <c r="I260" s="11">
        <v>43792</v>
      </c>
      <c r="J260" s="9">
        <v>558.89</v>
      </c>
      <c r="K260" s="9">
        <v>788.7</v>
      </c>
      <c r="O260" s="11">
        <v>44184</v>
      </c>
      <c r="P260" s="9">
        <v>0</v>
      </c>
      <c r="Q260" s="9">
        <v>3970</v>
      </c>
      <c r="R260" s="9">
        <v>5690</v>
      </c>
      <c r="S260" s="9">
        <v>5845</v>
      </c>
      <c r="T260" s="31">
        <v>7450</v>
      </c>
      <c r="W260" s="16">
        <f t="shared" si="45"/>
        <v>43792</v>
      </c>
      <c r="X260" s="9">
        <f t="shared" si="46"/>
        <v>558.89</v>
      </c>
      <c r="Y260" s="9">
        <f t="shared" si="47"/>
        <v>788.7</v>
      </c>
      <c r="AA260" s="16">
        <f t="shared" si="48"/>
        <v>44184</v>
      </c>
      <c r="AB260" s="21">
        <v>3602</v>
      </c>
      <c r="AC260" s="21">
        <f t="shared" si="49"/>
        <v>3970</v>
      </c>
      <c r="AD260" s="21">
        <f t="shared" si="50"/>
        <v>5690</v>
      </c>
      <c r="AE260" s="21">
        <f t="shared" si="51"/>
        <v>5845</v>
      </c>
      <c r="AF260" s="21">
        <f t="shared" si="52"/>
        <v>7450</v>
      </c>
      <c r="AK260" s="16"/>
      <c r="AL260" s="17"/>
      <c r="AN260" s="16"/>
    </row>
    <row r="261" spans="2:40" x14ac:dyDescent="0.4">
      <c r="B261" s="6">
        <f t="shared" si="40"/>
        <v>44163</v>
      </c>
      <c r="C261" s="8">
        <f t="shared" si="41"/>
        <v>165.3</v>
      </c>
      <c r="D261" s="5">
        <f t="shared" si="42"/>
        <v>961.11500000000001</v>
      </c>
      <c r="E261" s="5">
        <f t="shared" si="43"/>
        <v>1157.115</v>
      </c>
      <c r="F261" s="5">
        <f t="shared" si="44"/>
        <v>2696.1149999999998</v>
      </c>
      <c r="H261" s="6"/>
      <c r="I261" s="11">
        <v>43799</v>
      </c>
      <c r="J261" s="9">
        <v>594.03599999999994</v>
      </c>
      <c r="K261" s="9">
        <v>794.41600000000005</v>
      </c>
      <c r="O261" s="11">
        <v>44191</v>
      </c>
      <c r="P261" s="9">
        <v>0</v>
      </c>
      <c r="Q261" s="9">
        <v>4064</v>
      </c>
      <c r="R261" s="9">
        <v>5770</v>
      </c>
      <c r="S261" s="9">
        <v>5880</v>
      </c>
      <c r="T261" s="31">
        <v>7530</v>
      </c>
      <c r="W261" s="16">
        <f t="shared" si="45"/>
        <v>43799</v>
      </c>
      <c r="X261" s="9">
        <f t="shared" si="46"/>
        <v>594.03599999999994</v>
      </c>
      <c r="Y261" s="9">
        <f t="shared" si="47"/>
        <v>794.41600000000005</v>
      </c>
      <c r="AA261" s="16">
        <f t="shared" si="48"/>
        <v>44191</v>
      </c>
      <c r="AB261" s="21">
        <v>3583</v>
      </c>
      <c r="AC261" s="21">
        <f t="shared" si="49"/>
        <v>4064</v>
      </c>
      <c r="AD261" s="21">
        <f t="shared" si="50"/>
        <v>5770</v>
      </c>
      <c r="AE261" s="21">
        <f t="shared" si="51"/>
        <v>5880</v>
      </c>
      <c r="AF261" s="21">
        <f t="shared" si="52"/>
        <v>7530</v>
      </c>
      <c r="AK261" s="16"/>
      <c r="AL261" s="17"/>
      <c r="AN261" s="16"/>
    </row>
    <row r="262" spans="2:40" x14ac:dyDescent="0.4">
      <c r="B262" s="6">
        <f t="shared" ref="B262:B325" si="53">I314</f>
        <v>44170</v>
      </c>
      <c r="C262" s="8">
        <f t="shared" ref="C262:C325" si="54">Y314-X314</f>
        <v>161.74599999999998</v>
      </c>
      <c r="D262" s="5">
        <f t="shared" ref="D262:D325" si="55">IFERROR(VLOOKUP(B262,$AA:$AF,4,1)-0.855*VLOOKUP(B262,$AA:$AF,2,1)-0.335*VLOOKUP(B262,$AA:$AF,3,1),D261)</f>
        <v>1036.01</v>
      </c>
      <c r="E262" s="5">
        <f t="shared" ref="E262:E325" si="56">IFERROR(VLOOKUP(B262,$AA:$AF,5,1)-0.855*VLOOKUP(B262,$AA:$AF,2,1)-0.335*VLOOKUP(B262,$AA:$AF,3,1),E261)</f>
        <v>1221.01</v>
      </c>
      <c r="F262" s="5">
        <f t="shared" ref="F262:F325" si="57">IFERROR(VLOOKUP(B262,$AA:$AF,6,1)-0.855*VLOOKUP(B262,$AA:$AF,2,1)-0.335*VLOOKUP(B262,$AA:$AF,3,1),F261)</f>
        <v>2713.01</v>
      </c>
      <c r="H262" s="6"/>
      <c r="I262" s="11">
        <v>43806</v>
      </c>
      <c r="J262" s="9">
        <v>582.16800000000001</v>
      </c>
      <c r="K262" s="9">
        <v>799.80200000000002</v>
      </c>
      <c r="O262" s="11">
        <v>44198</v>
      </c>
      <c r="P262" s="9">
        <v>0</v>
      </c>
      <c r="Q262" s="9">
        <v>4133.75</v>
      </c>
      <c r="R262" s="9">
        <v>5843.75</v>
      </c>
      <c r="S262" s="9">
        <v>5875</v>
      </c>
      <c r="T262" s="31">
        <v>7562.5</v>
      </c>
      <c r="W262" s="16">
        <f t="shared" ref="W262:W325" si="58">I262</f>
        <v>43806</v>
      </c>
      <c r="X262" s="9">
        <f t="shared" ref="X262:X325" si="59">IFERROR(IF(J262&lt;&gt;0,J262,X261),X261)</f>
        <v>582.16800000000001</v>
      </c>
      <c r="Y262" s="9">
        <f t="shared" ref="Y262:Y325" si="60">IFERROR(IF(K262&lt;&gt;0,K262,Y261),Y261)</f>
        <v>799.80200000000002</v>
      </c>
      <c r="AA262" s="16">
        <f t="shared" ref="AA262:AA325" si="61">O262</f>
        <v>44198</v>
      </c>
      <c r="AB262" s="21">
        <v>3578.75</v>
      </c>
      <c r="AC262" s="21">
        <f t="shared" ref="AC262:AC325" si="62">IFERROR(IF(Q262&lt;&gt;0,Q262,AC261),AC261)</f>
        <v>4133.75</v>
      </c>
      <c r="AD262" s="21">
        <f t="shared" ref="AD262:AD325" si="63">IFERROR(IF(R262&lt;&gt;0,R262,AD261),AD261)</f>
        <v>5843.75</v>
      </c>
      <c r="AE262" s="21">
        <f t="shared" ref="AE262:AE325" si="64">IFERROR(IF(S262&lt;&gt;0,S262,AE261),AE261)</f>
        <v>5875</v>
      </c>
      <c r="AF262" s="21">
        <f t="shared" ref="AF262:AF325" si="65">IFERROR(IF(T262&lt;&gt;0,T262,AF261),AF261)</f>
        <v>7562.5</v>
      </c>
      <c r="AK262" s="16"/>
      <c r="AL262" s="17"/>
      <c r="AN262" s="16"/>
    </row>
    <row r="263" spans="2:40" x14ac:dyDescent="0.4">
      <c r="B263" s="6">
        <f t="shared" si="53"/>
        <v>44177</v>
      </c>
      <c r="C263" s="8">
        <f t="shared" si="54"/>
        <v>151.48599999999999</v>
      </c>
      <c r="D263" s="5">
        <f t="shared" si="55"/>
        <v>1084.7349999999999</v>
      </c>
      <c r="E263" s="5">
        <f t="shared" si="56"/>
        <v>1284.7349999999999</v>
      </c>
      <c r="F263" s="5">
        <f t="shared" si="57"/>
        <v>2764.7349999999997</v>
      </c>
      <c r="H263" s="6"/>
      <c r="I263" s="11">
        <v>43813</v>
      </c>
      <c r="J263" s="9">
        <v>613.702</v>
      </c>
      <c r="K263" s="9">
        <v>808.36599999999999</v>
      </c>
      <c r="O263" s="11">
        <v>44205</v>
      </c>
      <c r="P263" s="9">
        <v>0</v>
      </c>
      <c r="Q263" s="9">
        <v>4431</v>
      </c>
      <c r="R263" s="9">
        <v>6035</v>
      </c>
      <c r="S263" s="9">
        <v>6020</v>
      </c>
      <c r="T263" s="31">
        <v>7770</v>
      </c>
      <c r="W263" s="16">
        <f t="shared" si="58"/>
        <v>43813</v>
      </c>
      <c r="X263" s="9">
        <f t="shared" si="59"/>
        <v>613.702</v>
      </c>
      <c r="Y263" s="9">
        <f t="shared" si="60"/>
        <v>808.36599999999999</v>
      </c>
      <c r="AA263" s="16">
        <f t="shared" si="61"/>
        <v>44205</v>
      </c>
      <c r="AB263" s="21">
        <v>3750</v>
      </c>
      <c r="AC263" s="21">
        <f t="shared" si="62"/>
        <v>4431</v>
      </c>
      <c r="AD263" s="21">
        <f t="shared" si="63"/>
        <v>6035</v>
      </c>
      <c r="AE263" s="21">
        <f t="shared" si="64"/>
        <v>6020</v>
      </c>
      <c r="AF263" s="21">
        <f t="shared" si="65"/>
        <v>7770</v>
      </c>
      <c r="AK263" s="16"/>
      <c r="AL263" s="17"/>
      <c r="AN263" s="16"/>
    </row>
    <row r="264" spans="2:40" x14ac:dyDescent="0.4">
      <c r="B264" s="6">
        <f t="shared" si="53"/>
        <v>44184</v>
      </c>
      <c r="C264" s="8">
        <f t="shared" si="54"/>
        <v>149.22600000000006</v>
      </c>
      <c r="D264" s="5">
        <f t="shared" si="55"/>
        <v>1280.3399999999999</v>
      </c>
      <c r="E264" s="5">
        <f t="shared" si="56"/>
        <v>1435.34</v>
      </c>
      <c r="F264" s="5">
        <f t="shared" si="57"/>
        <v>3040.34</v>
      </c>
      <c r="H264" s="6"/>
      <c r="I264" s="11">
        <v>43820</v>
      </c>
      <c r="J264" s="9">
        <v>601.89</v>
      </c>
      <c r="K264" s="9">
        <v>822.86599999999999</v>
      </c>
      <c r="O264" s="11">
        <v>44212</v>
      </c>
      <c r="P264" s="9">
        <v>0</v>
      </c>
      <c r="Q264" s="9">
        <v>4533</v>
      </c>
      <c r="R264" s="9">
        <v>6190</v>
      </c>
      <c r="S264" s="9">
        <v>6145</v>
      </c>
      <c r="T264" s="31">
        <v>7940</v>
      </c>
      <c r="W264" s="16">
        <f t="shared" si="58"/>
        <v>43820</v>
      </c>
      <c r="X264" s="9">
        <f t="shared" si="59"/>
        <v>601.89</v>
      </c>
      <c r="Y264" s="9">
        <f t="shared" si="60"/>
        <v>822.86599999999999</v>
      </c>
      <c r="AA264" s="16">
        <f t="shared" si="61"/>
        <v>44212</v>
      </c>
      <c r="AB264" s="21">
        <v>3792</v>
      </c>
      <c r="AC264" s="21">
        <f t="shared" si="62"/>
        <v>4533</v>
      </c>
      <c r="AD264" s="21">
        <f t="shared" si="63"/>
        <v>6190</v>
      </c>
      <c r="AE264" s="21">
        <f t="shared" si="64"/>
        <v>6145</v>
      </c>
      <c r="AF264" s="21">
        <f t="shared" si="65"/>
        <v>7940</v>
      </c>
      <c r="AK264" s="16"/>
      <c r="AL264" s="17"/>
      <c r="AN264" s="16"/>
    </row>
    <row r="265" spans="2:40" x14ac:dyDescent="0.4">
      <c r="B265" s="6">
        <f t="shared" si="53"/>
        <v>44191</v>
      </c>
      <c r="C265" s="8">
        <f t="shared" si="54"/>
        <v>137.91250000000002</v>
      </c>
      <c r="D265" s="5">
        <f t="shared" si="55"/>
        <v>1345.0949999999998</v>
      </c>
      <c r="E265" s="5">
        <f t="shared" si="56"/>
        <v>1455.0949999999998</v>
      </c>
      <c r="F265" s="5">
        <f t="shared" si="57"/>
        <v>3105.0949999999998</v>
      </c>
      <c r="H265" s="6"/>
      <c r="I265" s="11">
        <v>43827</v>
      </c>
      <c r="J265" s="9">
        <v>599.88750000000005</v>
      </c>
      <c r="K265" s="9">
        <v>838.83</v>
      </c>
      <c r="O265" s="11">
        <v>44219</v>
      </c>
      <c r="P265" s="9">
        <v>0</v>
      </c>
      <c r="Q265" s="9">
        <v>4564</v>
      </c>
      <c r="R265" s="9">
        <v>6087</v>
      </c>
      <c r="S265" s="9">
        <v>6090</v>
      </c>
      <c r="T265" s="31">
        <v>7955</v>
      </c>
      <c r="W265" s="16">
        <f t="shared" si="58"/>
        <v>43827</v>
      </c>
      <c r="X265" s="9">
        <f t="shared" si="59"/>
        <v>599.88750000000005</v>
      </c>
      <c r="Y265" s="9">
        <f t="shared" si="60"/>
        <v>838.83</v>
      </c>
      <c r="AA265" s="16">
        <f t="shared" si="61"/>
        <v>44219</v>
      </c>
      <c r="AB265" s="21">
        <v>3770</v>
      </c>
      <c r="AC265" s="21">
        <f t="shared" si="62"/>
        <v>4564</v>
      </c>
      <c r="AD265" s="21">
        <f t="shared" si="63"/>
        <v>6087</v>
      </c>
      <c r="AE265" s="21">
        <f t="shared" si="64"/>
        <v>6090</v>
      </c>
      <c r="AF265" s="21">
        <f t="shared" si="65"/>
        <v>7955</v>
      </c>
      <c r="AK265" s="16"/>
      <c r="AL265" s="17"/>
      <c r="AN265" s="16"/>
    </row>
    <row r="266" spans="2:40" x14ac:dyDescent="0.4">
      <c r="B266" s="6">
        <f t="shared" si="53"/>
        <v>44198</v>
      </c>
      <c r="C266" s="8">
        <f t="shared" si="54"/>
        <v>134.45750000000004</v>
      </c>
      <c r="D266" s="5">
        <f t="shared" si="55"/>
        <v>1399.1125000000002</v>
      </c>
      <c r="E266" s="5">
        <f t="shared" si="56"/>
        <v>1430.3625000000002</v>
      </c>
      <c r="F266" s="5">
        <f t="shared" si="57"/>
        <v>3117.8625000000006</v>
      </c>
      <c r="H266" s="6"/>
      <c r="I266" s="11">
        <v>43834</v>
      </c>
      <c r="J266" s="9">
        <v>591.95749999999998</v>
      </c>
      <c r="K266" s="9">
        <v>843.79250000000002</v>
      </c>
      <c r="O266" s="11">
        <v>44226</v>
      </c>
      <c r="P266" s="9">
        <v>0</v>
      </c>
      <c r="Q266" s="9">
        <v>4581</v>
      </c>
      <c r="R266" s="9">
        <v>5962</v>
      </c>
      <c r="S266" s="9">
        <v>5970</v>
      </c>
      <c r="T266" s="31">
        <v>7885</v>
      </c>
      <c r="W266" s="16">
        <f t="shared" si="58"/>
        <v>43834</v>
      </c>
      <c r="X266" s="9">
        <f t="shared" si="59"/>
        <v>591.95749999999998</v>
      </c>
      <c r="Y266" s="9">
        <f t="shared" si="60"/>
        <v>843.79250000000002</v>
      </c>
      <c r="AA266" s="16">
        <f t="shared" si="61"/>
        <v>44226</v>
      </c>
      <c r="AB266" s="21">
        <v>3744</v>
      </c>
      <c r="AC266" s="21">
        <f t="shared" si="62"/>
        <v>4581</v>
      </c>
      <c r="AD266" s="21">
        <f t="shared" si="63"/>
        <v>5962</v>
      </c>
      <c r="AE266" s="21">
        <f t="shared" si="64"/>
        <v>5970</v>
      </c>
      <c r="AF266" s="21">
        <f t="shared" si="65"/>
        <v>7885</v>
      </c>
      <c r="AK266" s="16"/>
      <c r="AL266" s="17"/>
      <c r="AN266" s="16"/>
    </row>
    <row r="267" spans="2:40" x14ac:dyDescent="0.4">
      <c r="B267" s="6">
        <f t="shared" si="53"/>
        <v>44205</v>
      </c>
      <c r="C267" s="8">
        <f t="shared" si="54"/>
        <v>167.976</v>
      </c>
      <c r="D267" s="5">
        <f t="shared" si="55"/>
        <v>1344.365</v>
      </c>
      <c r="E267" s="5">
        <f t="shared" si="56"/>
        <v>1329.365</v>
      </c>
      <c r="F267" s="5">
        <f t="shared" si="57"/>
        <v>3079.3649999999998</v>
      </c>
      <c r="H267" s="6"/>
      <c r="I267" s="11">
        <v>43841</v>
      </c>
      <c r="J267" s="9">
        <v>591.19799999999998</v>
      </c>
      <c r="K267" s="9">
        <v>834.93600000000004</v>
      </c>
      <c r="O267" s="11">
        <v>44233</v>
      </c>
      <c r="P267" s="9">
        <v>0</v>
      </c>
      <c r="Q267" s="9">
        <v>4848</v>
      </c>
      <c r="R267" s="9">
        <v>6260</v>
      </c>
      <c r="S267" s="9">
        <v>6380</v>
      </c>
      <c r="T267" s="31">
        <v>7990</v>
      </c>
      <c r="W267" s="16">
        <f t="shared" si="58"/>
        <v>43841</v>
      </c>
      <c r="X267" s="9">
        <f t="shared" si="59"/>
        <v>591.19799999999998</v>
      </c>
      <c r="Y267" s="9">
        <f t="shared" si="60"/>
        <v>834.93600000000004</v>
      </c>
      <c r="AA267" s="16">
        <f t="shared" si="61"/>
        <v>44233</v>
      </c>
      <c r="AB267" s="21">
        <v>3958</v>
      </c>
      <c r="AC267" s="21">
        <f t="shared" si="62"/>
        <v>4848</v>
      </c>
      <c r="AD267" s="21">
        <f t="shared" si="63"/>
        <v>6260</v>
      </c>
      <c r="AE267" s="21">
        <f t="shared" si="64"/>
        <v>6380</v>
      </c>
      <c r="AF267" s="21">
        <f t="shared" si="65"/>
        <v>7990</v>
      </c>
      <c r="AK267" s="16"/>
      <c r="AL267" s="17"/>
      <c r="AN267" s="16"/>
    </row>
    <row r="268" spans="2:40" x14ac:dyDescent="0.4">
      <c r="B268" s="6">
        <f t="shared" si="53"/>
        <v>44212</v>
      </c>
      <c r="C268" s="8">
        <f t="shared" si="54"/>
        <v>153.90999999999997</v>
      </c>
      <c r="D268" s="5">
        <f t="shared" si="55"/>
        <v>1429.2850000000001</v>
      </c>
      <c r="E268" s="5">
        <f t="shared" si="56"/>
        <v>1384.2850000000001</v>
      </c>
      <c r="F268" s="5">
        <f t="shared" si="57"/>
        <v>3179.2849999999999</v>
      </c>
      <c r="H268" s="6"/>
      <c r="I268" s="11">
        <v>43848</v>
      </c>
      <c r="J268" s="9">
        <v>582.54</v>
      </c>
      <c r="K268" s="9">
        <v>814.1</v>
      </c>
      <c r="O268" s="11">
        <v>44240</v>
      </c>
      <c r="P268" s="9">
        <v>0</v>
      </c>
      <c r="Q268" s="9">
        <v>4851.25</v>
      </c>
      <c r="R268" s="9">
        <v>6400</v>
      </c>
      <c r="S268" s="9">
        <v>6512.5</v>
      </c>
      <c r="T268" s="31">
        <v>8050</v>
      </c>
      <c r="W268" s="16">
        <f t="shared" si="58"/>
        <v>43848</v>
      </c>
      <c r="X268" s="9">
        <f t="shared" si="59"/>
        <v>582.54</v>
      </c>
      <c r="Y268" s="9">
        <f t="shared" si="60"/>
        <v>814.1</v>
      </c>
      <c r="AA268" s="16">
        <f t="shared" si="61"/>
        <v>44240</v>
      </c>
      <c r="AB268" s="21">
        <v>3966.25</v>
      </c>
      <c r="AC268" s="21">
        <f t="shared" si="62"/>
        <v>4851.25</v>
      </c>
      <c r="AD268" s="21">
        <f t="shared" si="63"/>
        <v>6400</v>
      </c>
      <c r="AE268" s="21">
        <f t="shared" si="64"/>
        <v>6512.5</v>
      </c>
      <c r="AF268" s="21">
        <f t="shared" si="65"/>
        <v>8050</v>
      </c>
      <c r="AK268" s="16"/>
      <c r="AL268" s="17"/>
      <c r="AN268" s="16"/>
    </row>
    <row r="269" spans="2:40" x14ac:dyDescent="0.4">
      <c r="B269" s="6">
        <f t="shared" si="53"/>
        <v>44219</v>
      </c>
      <c r="C269" s="8">
        <f t="shared" si="54"/>
        <v>160.08000000000004</v>
      </c>
      <c r="D269" s="5">
        <f t="shared" si="55"/>
        <v>1334.71</v>
      </c>
      <c r="E269" s="5">
        <f t="shared" si="56"/>
        <v>1337.71</v>
      </c>
      <c r="F269" s="5">
        <f t="shared" si="57"/>
        <v>3202.7099999999996</v>
      </c>
      <c r="H269" s="6"/>
      <c r="I269" s="11">
        <v>43855</v>
      </c>
      <c r="J269" s="9">
        <v>570.31399999999996</v>
      </c>
      <c r="K269" s="9">
        <v>804.4</v>
      </c>
      <c r="O269" s="11">
        <v>44247</v>
      </c>
      <c r="P269" s="9">
        <v>0</v>
      </c>
      <c r="Q269" s="9">
        <v>5443.333333333333</v>
      </c>
      <c r="R269" s="9">
        <v>6858.333333333333</v>
      </c>
      <c r="S269" s="9">
        <v>7008.333333333333</v>
      </c>
      <c r="T269" s="31">
        <v>8466.6666666666661</v>
      </c>
      <c r="W269" s="16">
        <f t="shared" si="58"/>
        <v>43855</v>
      </c>
      <c r="X269" s="9">
        <f t="shared" si="59"/>
        <v>570.31399999999996</v>
      </c>
      <c r="Y269" s="9">
        <f t="shared" si="60"/>
        <v>804.4</v>
      </c>
      <c r="AA269" s="16">
        <f t="shared" si="61"/>
        <v>44247</v>
      </c>
      <c r="AB269" s="21">
        <v>4120</v>
      </c>
      <c r="AC269" s="21">
        <f t="shared" si="62"/>
        <v>5443.333333333333</v>
      </c>
      <c r="AD269" s="21">
        <f t="shared" si="63"/>
        <v>6858.333333333333</v>
      </c>
      <c r="AE269" s="21">
        <f t="shared" si="64"/>
        <v>7008.333333333333</v>
      </c>
      <c r="AF269" s="21">
        <f t="shared" si="65"/>
        <v>8466.6666666666661</v>
      </c>
      <c r="AK269" s="16"/>
      <c r="AL269" s="17"/>
      <c r="AN269" s="16"/>
    </row>
    <row r="270" spans="2:40" x14ac:dyDescent="0.4">
      <c r="B270" s="6">
        <f t="shared" si="53"/>
        <v>44226</v>
      </c>
      <c r="C270" s="8">
        <f t="shared" si="54"/>
        <v>165.21000000000004</v>
      </c>
      <c r="D270" s="5">
        <f t="shared" si="55"/>
        <v>1226.2450000000001</v>
      </c>
      <c r="E270" s="5">
        <f t="shared" si="56"/>
        <v>1234.2450000000001</v>
      </c>
      <c r="F270" s="5">
        <f t="shared" si="57"/>
        <v>3149.2449999999999</v>
      </c>
      <c r="H270" s="6"/>
      <c r="I270" s="11">
        <v>43862</v>
      </c>
      <c r="J270" s="9">
        <v>537.27</v>
      </c>
      <c r="K270" s="9">
        <v>765.375</v>
      </c>
      <c r="O270" s="11">
        <v>44254</v>
      </c>
      <c r="P270" s="9">
        <v>0</v>
      </c>
      <c r="Q270" s="9">
        <v>6144</v>
      </c>
      <c r="R270" s="9">
        <v>7535</v>
      </c>
      <c r="S270" s="9">
        <v>7670</v>
      </c>
      <c r="T270" s="31">
        <v>9070</v>
      </c>
      <c r="W270" s="16">
        <f t="shared" si="58"/>
        <v>43862</v>
      </c>
      <c r="X270" s="9">
        <f t="shared" si="59"/>
        <v>537.27</v>
      </c>
      <c r="Y270" s="9">
        <f t="shared" si="60"/>
        <v>765.375</v>
      </c>
      <c r="AA270" s="16">
        <f t="shared" si="61"/>
        <v>44254</v>
      </c>
      <c r="AB270" s="21">
        <v>4487</v>
      </c>
      <c r="AC270" s="21">
        <f t="shared" si="62"/>
        <v>6144</v>
      </c>
      <c r="AD270" s="21">
        <f t="shared" si="63"/>
        <v>7535</v>
      </c>
      <c r="AE270" s="21">
        <f t="shared" si="64"/>
        <v>7670</v>
      </c>
      <c r="AF270" s="21">
        <f t="shared" si="65"/>
        <v>9070</v>
      </c>
      <c r="AK270" s="16"/>
      <c r="AL270" s="17"/>
      <c r="AN270" s="16"/>
    </row>
    <row r="271" spans="2:40" x14ac:dyDescent="0.4">
      <c r="B271" s="6">
        <f t="shared" si="53"/>
        <v>44233</v>
      </c>
      <c r="C271" s="8">
        <f t="shared" si="54"/>
        <v>191.49799999999993</v>
      </c>
      <c r="D271" s="5">
        <f t="shared" si="55"/>
        <v>1251.8299999999997</v>
      </c>
      <c r="E271" s="5">
        <f t="shared" si="56"/>
        <v>1371.8299999999997</v>
      </c>
      <c r="F271" s="5">
        <f t="shared" si="57"/>
        <v>2981.83</v>
      </c>
      <c r="H271" s="6"/>
      <c r="I271" s="11">
        <v>43869</v>
      </c>
      <c r="J271" s="9">
        <v>503.85599999999999</v>
      </c>
      <c r="K271" s="9">
        <v>734.46600000000001</v>
      </c>
      <c r="O271" s="11">
        <v>44261</v>
      </c>
      <c r="P271" s="9">
        <v>0</v>
      </c>
      <c r="Q271" s="9">
        <v>6193</v>
      </c>
      <c r="R271" s="9">
        <v>7840</v>
      </c>
      <c r="S271" s="9">
        <v>8050</v>
      </c>
      <c r="T271" s="31">
        <v>9400</v>
      </c>
      <c r="W271" s="16">
        <f t="shared" si="58"/>
        <v>43869</v>
      </c>
      <c r="X271" s="9">
        <f t="shared" si="59"/>
        <v>503.85599999999999</v>
      </c>
      <c r="Y271" s="9">
        <f t="shared" si="60"/>
        <v>734.46600000000001</v>
      </c>
      <c r="AA271" s="16">
        <f t="shared" si="61"/>
        <v>44261</v>
      </c>
      <c r="AB271" s="21">
        <v>4565</v>
      </c>
      <c r="AC271" s="21">
        <f t="shared" si="62"/>
        <v>6193</v>
      </c>
      <c r="AD271" s="21">
        <f t="shared" si="63"/>
        <v>7840</v>
      </c>
      <c r="AE271" s="21">
        <f t="shared" si="64"/>
        <v>8050</v>
      </c>
      <c r="AF271" s="21">
        <f t="shared" si="65"/>
        <v>9400</v>
      </c>
      <c r="AK271" s="16"/>
      <c r="AL271" s="17"/>
      <c r="AN271" s="16"/>
    </row>
    <row r="272" spans="2:40" x14ac:dyDescent="0.4">
      <c r="B272" s="6">
        <f t="shared" si="53"/>
        <v>44240</v>
      </c>
      <c r="C272" s="8">
        <f t="shared" si="54"/>
        <v>182.25</v>
      </c>
      <c r="D272" s="5">
        <f t="shared" si="55"/>
        <v>1383.6875000000002</v>
      </c>
      <c r="E272" s="5">
        <f t="shared" si="56"/>
        <v>1496.1875000000002</v>
      </c>
      <c r="F272" s="5">
        <f t="shared" si="57"/>
        <v>3033.6875000000009</v>
      </c>
      <c r="H272" s="6"/>
      <c r="I272" s="11">
        <v>43876</v>
      </c>
      <c r="J272" s="9">
        <v>510.12400000000002</v>
      </c>
      <c r="K272" s="9">
        <v>734.96400000000006</v>
      </c>
      <c r="O272" s="11">
        <v>44268</v>
      </c>
      <c r="P272" s="9">
        <v>0</v>
      </c>
      <c r="Q272" s="9">
        <v>5797</v>
      </c>
      <c r="R272" s="9">
        <v>7960</v>
      </c>
      <c r="S272" s="9">
        <v>8195</v>
      </c>
      <c r="T272" s="31">
        <v>9585</v>
      </c>
      <c r="W272" s="16">
        <f t="shared" si="58"/>
        <v>43876</v>
      </c>
      <c r="X272" s="9">
        <f t="shared" si="59"/>
        <v>510.12400000000002</v>
      </c>
      <c r="Y272" s="9">
        <f t="shared" si="60"/>
        <v>734.96400000000006</v>
      </c>
      <c r="AA272" s="16">
        <f t="shared" si="61"/>
        <v>44268</v>
      </c>
      <c r="AB272" s="21">
        <v>4520</v>
      </c>
      <c r="AC272" s="21">
        <f t="shared" si="62"/>
        <v>5797</v>
      </c>
      <c r="AD272" s="21">
        <f t="shared" si="63"/>
        <v>7960</v>
      </c>
      <c r="AE272" s="21">
        <f t="shared" si="64"/>
        <v>8195</v>
      </c>
      <c r="AF272" s="21">
        <f t="shared" si="65"/>
        <v>9585</v>
      </c>
      <c r="AK272" s="16"/>
      <c r="AL272" s="17"/>
      <c r="AN272" s="16"/>
    </row>
    <row r="273" spans="2:40" x14ac:dyDescent="0.4">
      <c r="B273" s="6">
        <f t="shared" si="53"/>
        <v>44247</v>
      </c>
      <c r="C273" s="8">
        <f t="shared" si="54"/>
        <v>197.40000000000009</v>
      </c>
      <c r="D273" s="5">
        <f t="shared" si="55"/>
        <v>1512.2166666666665</v>
      </c>
      <c r="E273" s="5">
        <f t="shared" si="56"/>
        <v>1662.2166666666665</v>
      </c>
      <c r="F273" s="5">
        <f t="shared" si="57"/>
        <v>3120.5499999999993</v>
      </c>
      <c r="H273" s="6"/>
      <c r="I273" s="11">
        <v>43883</v>
      </c>
      <c r="J273" s="9">
        <v>503.63200000000001</v>
      </c>
      <c r="K273" s="9">
        <v>749.33199999999999</v>
      </c>
      <c r="O273" s="11">
        <v>44275</v>
      </c>
      <c r="P273" s="9">
        <v>0</v>
      </c>
      <c r="Q273" s="9">
        <v>5350</v>
      </c>
      <c r="R273" s="9">
        <v>7830</v>
      </c>
      <c r="S273" s="9">
        <v>8130</v>
      </c>
      <c r="T273" s="31">
        <v>9460</v>
      </c>
      <c r="W273" s="16">
        <f t="shared" si="58"/>
        <v>43883</v>
      </c>
      <c r="X273" s="9">
        <f t="shared" si="59"/>
        <v>503.63200000000001</v>
      </c>
      <c r="Y273" s="9">
        <f t="shared" si="60"/>
        <v>749.33199999999999</v>
      </c>
      <c r="AA273" s="16">
        <f t="shared" si="61"/>
        <v>44275</v>
      </c>
      <c r="AB273" s="21">
        <v>4425</v>
      </c>
      <c r="AC273" s="21">
        <f t="shared" si="62"/>
        <v>5350</v>
      </c>
      <c r="AD273" s="21">
        <f t="shared" si="63"/>
        <v>7830</v>
      </c>
      <c r="AE273" s="21">
        <f t="shared" si="64"/>
        <v>8130</v>
      </c>
      <c r="AF273" s="21">
        <f t="shared" si="65"/>
        <v>9460</v>
      </c>
      <c r="AK273" s="16"/>
      <c r="AL273" s="17"/>
      <c r="AN273" s="16"/>
    </row>
    <row r="274" spans="2:40" x14ac:dyDescent="0.4">
      <c r="B274" s="6">
        <f t="shared" si="53"/>
        <v>44254</v>
      </c>
      <c r="C274" s="8">
        <f t="shared" si="54"/>
        <v>253.66399999999999</v>
      </c>
      <c r="D274" s="5">
        <f t="shared" si="55"/>
        <v>1640.375</v>
      </c>
      <c r="E274" s="5">
        <f t="shared" si="56"/>
        <v>1775.375</v>
      </c>
      <c r="F274" s="5">
        <f t="shared" si="57"/>
        <v>3175.3749999999995</v>
      </c>
      <c r="H274" s="6"/>
      <c r="I274" s="11">
        <v>43890</v>
      </c>
      <c r="J274" s="9">
        <v>466.67200000000003</v>
      </c>
      <c r="K274" s="9">
        <v>719.33</v>
      </c>
      <c r="O274" s="11">
        <v>44282</v>
      </c>
      <c r="P274" s="9">
        <v>0</v>
      </c>
      <c r="Q274" s="9">
        <v>5170</v>
      </c>
      <c r="R274" s="9">
        <v>7475</v>
      </c>
      <c r="S274" s="9">
        <v>7750</v>
      </c>
      <c r="T274" s="31">
        <v>9150</v>
      </c>
      <c r="W274" s="16">
        <f t="shared" si="58"/>
        <v>43890</v>
      </c>
      <c r="X274" s="9">
        <f t="shared" si="59"/>
        <v>466.67200000000003</v>
      </c>
      <c r="Y274" s="9">
        <f t="shared" si="60"/>
        <v>719.33</v>
      </c>
      <c r="AA274" s="16">
        <f t="shared" si="61"/>
        <v>44282</v>
      </c>
      <c r="AB274" s="21">
        <v>4274</v>
      </c>
      <c r="AC274" s="21">
        <f t="shared" si="62"/>
        <v>5170</v>
      </c>
      <c r="AD274" s="21">
        <f t="shared" si="63"/>
        <v>7475</v>
      </c>
      <c r="AE274" s="21">
        <f t="shared" si="64"/>
        <v>7750</v>
      </c>
      <c r="AF274" s="21">
        <f t="shared" si="65"/>
        <v>9150</v>
      </c>
      <c r="AK274" s="16"/>
      <c r="AL274" s="17"/>
      <c r="AN274" s="16"/>
    </row>
    <row r="275" spans="2:40" x14ac:dyDescent="0.4">
      <c r="B275" s="6">
        <f t="shared" si="53"/>
        <v>44261</v>
      </c>
      <c r="C275" s="8">
        <f t="shared" si="54"/>
        <v>247.51599999999996</v>
      </c>
      <c r="D275" s="5">
        <f t="shared" si="55"/>
        <v>1862.27</v>
      </c>
      <c r="E275" s="5">
        <f t="shared" si="56"/>
        <v>2072.27</v>
      </c>
      <c r="F275" s="5">
        <f t="shared" si="57"/>
        <v>3422.27</v>
      </c>
      <c r="H275" s="6"/>
      <c r="I275" s="11">
        <v>43897</v>
      </c>
      <c r="J275" s="9">
        <v>438.95400000000001</v>
      </c>
      <c r="K275" s="9">
        <v>695</v>
      </c>
      <c r="O275" s="11">
        <v>44289</v>
      </c>
      <c r="P275" s="9">
        <v>0</v>
      </c>
      <c r="Q275" s="9">
        <v>5169</v>
      </c>
      <c r="R275" s="9">
        <v>7510</v>
      </c>
      <c r="S275" s="9">
        <v>7770</v>
      </c>
      <c r="T275" s="31">
        <v>9150</v>
      </c>
      <c r="W275" s="16">
        <f t="shared" si="58"/>
        <v>43897</v>
      </c>
      <c r="X275" s="9">
        <f t="shared" si="59"/>
        <v>438.95400000000001</v>
      </c>
      <c r="Y275" s="9">
        <f t="shared" si="60"/>
        <v>695</v>
      </c>
      <c r="AA275" s="16">
        <f t="shared" si="61"/>
        <v>44289</v>
      </c>
      <c r="AB275" s="21">
        <v>4393</v>
      </c>
      <c r="AC275" s="21">
        <f t="shared" si="62"/>
        <v>5169</v>
      </c>
      <c r="AD275" s="21">
        <f t="shared" si="63"/>
        <v>7510</v>
      </c>
      <c r="AE275" s="21">
        <f t="shared" si="64"/>
        <v>7770</v>
      </c>
      <c r="AF275" s="21">
        <f t="shared" si="65"/>
        <v>9150</v>
      </c>
      <c r="AK275" s="16"/>
      <c r="AL275" s="17"/>
      <c r="AN275" s="16"/>
    </row>
    <row r="276" spans="2:40" x14ac:dyDescent="0.4">
      <c r="B276" s="6">
        <f t="shared" si="53"/>
        <v>44268</v>
      </c>
      <c r="C276" s="8">
        <f t="shared" si="54"/>
        <v>225.02600000000007</v>
      </c>
      <c r="D276" s="5">
        <f t="shared" si="55"/>
        <v>2153.4049999999997</v>
      </c>
      <c r="E276" s="5">
        <f t="shared" si="56"/>
        <v>2388.4049999999997</v>
      </c>
      <c r="F276" s="5">
        <f t="shared" si="57"/>
        <v>3778.4049999999997</v>
      </c>
      <c r="H276" s="6"/>
      <c r="I276" s="11">
        <v>43904</v>
      </c>
      <c r="J276" s="9">
        <v>320.54399999999998</v>
      </c>
      <c r="K276" s="9">
        <v>608.83000000000004</v>
      </c>
      <c r="O276" s="11">
        <v>44296</v>
      </c>
      <c r="P276" s="9">
        <v>0</v>
      </c>
      <c r="Q276" s="9">
        <v>5218.75</v>
      </c>
      <c r="R276" s="9">
        <v>7543.75</v>
      </c>
      <c r="S276" s="9">
        <v>7800</v>
      </c>
      <c r="T276" s="31">
        <v>9150</v>
      </c>
      <c r="W276" s="16">
        <f t="shared" si="58"/>
        <v>43904</v>
      </c>
      <c r="X276" s="9">
        <f t="shared" si="59"/>
        <v>320.54399999999998</v>
      </c>
      <c r="Y276" s="9">
        <f t="shared" si="60"/>
        <v>608.83000000000004</v>
      </c>
      <c r="AA276" s="16">
        <f t="shared" si="61"/>
        <v>44296</v>
      </c>
      <c r="AB276" s="21">
        <v>4421.25</v>
      </c>
      <c r="AC276" s="21">
        <f t="shared" si="62"/>
        <v>5218.75</v>
      </c>
      <c r="AD276" s="21">
        <f t="shared" si="63"/>
        <v>7543.75</v>
      </c>
      <c r="AE276" s="21">
        <f t="shared" si="64"/>
        <v>7800</v>
      </c>
      <c r="AF276" s="21">
        <f t="shared" si="65"/>
        <v>9150</v>
      </c>
      <c r="AK276" s="16"/>
      <c r="AL276" s="17"/>
      <c r="AN276" s="16"/>
    </row>
    <row r="277" spans="2:40" x14ac:dyDescent="0.4">
      <c r="B277" s="6">
        <f t="shared" si="53"/>
        <v>44275</v>
      </c>
      <c r="C277" s="8">
        <f t="shared" si="54"/>
        <v>222.87199999999996</v>
      </c>
      <c r="D277" s="5">
        <f t="shared" si="55"/>
        <v>2254.375</v>
      </c>
      <c r="E277" s="5">
        <f t="shared" si="56"/>
        <v>2554.375</v>
      </c>
      <c r="F277" s="5">
        <f t="shared" si="57"/>
        <v>3884.375</v>
      </c>
      <c r="H277" s="6"/>
      <c r="I277" s="11">
        <v>43911</v>
      </c>
      <c r="J277" s="9">
        <v>254.404</v>
      </c>
      <c r="K277" s="9">
        <v>549.76800000000003</v>
      </c>
      <c r="O277" s="11">
        <v>44303</v>
      </c>
      <c r="P277" s="9">
        <v>0</v>
      </c>
      <c r="Q277" s="9">
        <v>5150</v>
      </c>
      <c r="R277" s="9">
        <v>7445</v>
      </c>
      <c r="S277" s="9">
        <v>7665</v>
      </c>
      <c r="T277" s="31">
        <v>8970</v>
      </c>
      <c r="W277" s="16">
        <f t="shared" si="58"/>
        <v>43911</v>
      </c>
      <c r="X277" s="9">
        <f t="shared" si="59"/>
        <v>254.404</v>
      </c>
      <c r="Y277" s="9">
        <f t="shared" si="60"/>
        <v>549.76800000000003</v>
      </c>
      <c r="AA277" s="16">
        <f t="shared" si="61"/>
        <v>44303</v>
      </c>
      <c r="AB277" s="21">
        <v>4425</v>
      </c>
      <c r="AC277" s="21">
        <f t="shared" si="62"/>
        <v>5150</v>
      </c>
      <c r="AD277" s="21">
        <f t="shared" si="63"/>
        <v>7445</v>
      </c>
      <c r="AE277" s="21">
        <f t="shared" si="64"/>
        <v>7665</v>
      </c>
      <c r="AF277" s="21">
        <f t="shared" si="65"/>
        <v>8970</v>
      </c>
      <c r="AK277" s="16"/>
      <c r="AL277" s="17"/>
      <c r="AN277" s="16"/>
    </row>
    <row r="278" spans="2:40" x14ac:dyDescent="0.4">
      <c r="B278" s="6">
        <f t="shared" si="53"/>
        <v>44282</v>
      </c>
      <c r="C278" s="8">
        <f t="shared" si="54"/>
        <v>220.14200000000005</v>
      </c>
      <c r="D278" s="5">
        <f t="shared" si="55"/>
        <v>2088.7799999999997</v>
      </c>
      <c r="E278" s="5">
        <f t="shared" si="56"/>
        <v>2363.7799999999997</v>
      </c>
      <c r="F278" s="5">
        <f t="shared" si="57"/>
        <v>3763.7799999999997</v>
      </c>
      <c r="H278" s="6"/>
      <c r="I278" s="11">
        <v>43918</v>
      </c>
      <c r="J278" s="9">
        <v>207.47399999999999</v>
      </c>
      <c r="K278" s="9">
        <v>496.36599999999999</v>
      </c>
      <c r="O278" s="11">
        <v>44310</v>
      </c>
      <c r="P278" s="9">
        <v>0</v>
      </c>
      <c r="Q278" s="9">
        <v>4917</v>
      </c>
      <c r="R278" s="9">
        <v>7445</v>
      </c>
      <c r="S278" s="9">
        <v>7645</v>
      </c>
      <c r="T278" s="31">
        <v>8945</v>
      </c>
      <c r="W278" s="16">
        <f t="shared" si="58"/>
        <v>43918</v>
      </c>
      <c r="X278" s="9">
        <f t="shared" si="59"/>
        <v>207.47399999999999</v>
      </c>
      <c r="Y278" s="9">
        <f t="shared" si="60"/>
        <v>496.36599999999999</v>
      </c>
      <c r="AA278" s="16">
        <f t="shared" si="61"/>
        <v>44310</v>
      </c>
      <c r="AB278" s="21">
        <v>4549</v>
      </c>
      <c r="AC278" s="21">
        <f t="shared" si="62"/>
        <v>4917</v>
      </c>
      <c r="AD278" s="21">
        <f t="shared" si="63"/>
        <v>7445</v>
      </c>
      <c r="AE278" s="21">
        <f t="shared" si="64"/>
        <v>7645</v>
      </c>
      <c r="AF278" s="21">
        <f t="shared" si="65"/>
        <v>8945</v>
      </c>
      <c r="AK278" s="16"/>
      <c r="AL278" s="17"/>
      <c r="AN278" s="16"/>
    </row>
    <row r="279" spans="2:40" x14ac:dyDescent="0.4">
      <c r="B279" s="6">
        <f t="shared" si="53"/>
        <v>44289</v>
      </c>
      <c r="C279" s="8">
        <f t="shared" si="54"/>
        <v>228.08749999999998</v>
      </c>
      <c r="D279" s="5">
        <f t="shared" si="55"/>
        <v>2022.3700000000001</v>
      </c>
      <c r="E279" s="5">
        <f t="shared" si="56"/>
        <v>2282.37</v>
      </c>
      <c r="F279" s="5">
        <f t="shared" si="57"/>
        <v>3662.3700000000008</v>
      </c>
      <c r="H279" s="6"/>
      <c r="I279" s="11">
        <v>43925</v>
      </c>
      <c r="J279" s="9">
        <v>184.084</v>
      </c>
      <c r="K279" s="9">
        <v>462.73399999999998</v>
      </c>
      <c r="O279" s="11">
        <v>44317</v>
      </c>
      <c r="P279" s="9">
        <v>0</v>
      </c>
      <c r="Q279" s="9">
        <v>4761.666666666667</v>
      </c>
      <c r="R279" s="9">
        <v>7441.666666666667</v>
      </c>
      <c r="S279" s="9">
        <v>7579.166666666667</v>
      </c>
      <c r="T279" s="31">
        <v>8916.6666666666661</v>
      </c>
      <c r="W279" s="16">
        <f t="shared" si="58"/>
        <v>43925</v>
      </c>
      <c r="X279" s="9">
        <f t="shared" si="59"/>
        <v>184.084</v>
      </c>
      <c r="Y279" s="9">
        <f t="shared" si="60"/>
        <v>462.73399999999998</v>
      </c>
      <c r="AA279" s="16">
        <f t="shared" si="61"/>
        <v>44317</v>
      </c>
      <c r="AB279" s="21">
        <v>4663.166666666667</v>
      </c>
      <c r="AC279" s="21">
        <f t="shared" si="62"/>
        <v>4761.666666666667</v>
      </c>
      <c r="AD279" s="21">
        <f t="shared" si="63"/>
        <v>7441.666666666667</v>
      </c>
      <c r="AE279" s="21">
        <f t="shared" si="64"/>
        <v>7579.166666666667</v>
      </c>
      <c r="AF279" s="21">
        <f t="shared" si="65"/>
        <v>8916.6666666666661</v>
      </c>
      <c r="AK279" s="16"/>
      <c r="AL279" s="17"/>
      <c r="AN279" s="16"/>
    </row>
    <row r="280" spans="2:40" x14ac:dyDescent="0.4">
      <c r="B280" s="6">
        <f t="shared" si="53"/>
        <v>44296</v>
      </c>
      <c r="C280" s="8">
        <f t="shared" si="54"/>
        <v>233.50199999999995</v>
      </c>
      <c r="D280" s="5">
        <f t="shared" si="55"/>
        <v>2015.3000000000002</v>
      </c>
      <c r="E280" s="5">
        <f t="shared" si="56"/>
        <v>2271.5500000000002</v>
      </c>
      <c r="F280" s="5">
        <f t="shared" si="57"/>
        <v>3621.55</v>
      </c>
      <c r="H280" s="6"/>
      <c r="I280" s="11">
        <v>43932</v>
      </c>
      <c r="J280" s="9">
        <v>182.67</v>
      </c>
      <c r="K280" s="9">
        <v>486.21</v>
      </c>
      <c r="O280" s="11">
        <v>44324</v>
      </c>
      <c r="P280" s="9">
        <v>0</v>
      </c>
      <c r="Q280" s="9">
        <v>4826.666666666667</v>
      </c>
      <c r="R280" s="9">
        <v>7416.666666666667</v>
      </c>
      <c r="S280" s="9">
        <v>7425</v>
      </c>
      <c r="T280" s="31">
        <v>8866.6666666666661</v>
      </c>
      <c r="W280" s="16">
        <f t="shared" si="58"/>
        <v>43932</v>
      </c>
      <c r="X280" s="9">
        <f t="shared" si="59"/>
        <v>182.67</v>
      </c>
      <c r="Y280" s="9">
        <f t="shared" si="60"/>
        <v>486.21</v>
      </c>
      <c r="AA280" s="16">
        <f t="shared" si="61"/>
        <v>44324</v>
      </c>
      <c r="AB280" s="21">
        <v>4820</v>
      </c>
      <c r="AC280" s="21">
        <f t="shared" si="62"/>
        <v>4826.666666666667</v>
      </c>
      <c r="AD280" s="21">
        <f t="shared" si="63"/>
        <v>7416.666666666667</v>
      </c>
      <c r="AE280" s="21">
        <f t="shared" si="64"/>
        <v>7425</v>
      </c>
      <c r="AF280" s="21">
        <f t="shared" si="65"/>
        <v>8866.6666666666661</v>
      </c>
      <c r="AK280" s="16"/>
      <c r="AL280" s="17"/>
      <c r="AN280" s="16"/>
    </row>
    <row r="281" spans="2:40" x14ac:dyDescent="0.4">
      <c r="B281" s="6">
        <f t="shared" si="53"/>
        <v>44303</v>
      </c>
      <c r="C281" s="8">
        <f t="shared" si="54"/>
        <v>257.14800000000002</v>
      </c>
      <c r="D281" s="5">
        <f t="shared" si="55"/>
        <v>1936.375</v>
      </c>
      <c r="E281" s="5">
        <f t="shared" si="56"/>
        <v>2156.375</v>
      </c>
      <c r="F281" s="5">
        <f t="shared" si="57"/>
        <v>3461.375</v>
      </c>
      <c r="H281" s="6"/>
      <c r="I281" s="11">
        <v>43939</v>
      </c>
      <c r="J281" s="9">
        <v>177.40799999999999</v>
      </c>
      <c r="K281" s="9">
        <v>472.87</v>
      </c>
      <c r="O281" s="11">
        <v>44331</v>
      </c>
      <c r="P281" s="9">
        <v>0</v>
      </c>
      <c r="Q281" s="9">
        <v>5004</v>
      </c>
      <c r="R281" s="9">
        <v>7445</v>
      </c>
      <c r="S281" s="9">
        <v>7470</v>
      </c>
      <c r="T281" s="31">
        <v>8820</v>
      </c>
      <c r="W281" s="16">
        <f t="shared" si="58"/>
        <v>43939</v>
      </c>
      <c r="X281" s="9">
        <f t="shared" si="59"/>
        <v>177.40799999999999</v>
      </c>
      <c r="Y281" s="9">
        <f t="shared" si="60"/>
        <v>472.87</v>
      </c>
      <c r="AA281" s="16">
        <f t="shared" si="61"/>
        <v>44331</v>
      </c>
      <c r="AB281" s="21">
        <v>4704.6000000000004</v>
      </c>
      <c r="AC281" s="21">
        <f t="shared" si="62"/>
        <v>5004</v>
      </c>
      <c r="AD281" s="21">
        <f t="shared" si="63"/>
        <v>7445</v>
      </c>
      <c r="AE281" s="21">
        <f t="shared" si="64"/>
        <v>7470</v>
      </c>
      <c r="AF281" s="21">
        <f t="shared" si="65"/>
        <v>8820</v>
      </c>
      <c r="AK281" s="16"/>
      <c r="AL281" s="17"/>
      <c r="AN281" s="16"/>
    </row>
    <row r="282" spans="2:40" x14ac:dyDescent="0.4">
      <c r="B282" s="6">
        <f t="shared" si="53"/>
        <v>44310</v>
      </c>
      <c r="C282" s="8">
        <f t="shared" si="54"/>
        <v>273.25800000000004</v>
      </c>
      <c r="D282" s="5">
        <f t="shared" si="55"/>
        <v>1908.4099999999999</v>
      </c>
      <c r="E282" s="5">
        <f t="shared" si="56"/>
        <v>2108.41</v>
      </c>
      <c r="F282" s="5">
        <f t="shared" si="57"/>
        <v>3408.4099999999994</v>
      </c>
      <c r="H282" s="6"/>
      <c r="I282" s="11">
        <v>43946</v>
      </c>
      <c r="J282" s="9">
        <v>195.80600000000001</v>
      </c>
      <c r="K282" s="9">
        <v>461.125</v>
      </c>
      <c r="O282" s="11">
        <v>44338</v>
      </c>
      <c r="P282" s="9">
        <v>0</v>
      </c>
      <c r="Q282" s="9">
        <v>4932</v>
      </c>
      <c r="R282" s="9">
        <v>7440</v>
      </c>
      <c r="S282" s="9">
        <v>7480</v>
      </c>
      <c r="T282" s="31">
        <v>8805</v>
      </c>
      <c r="W282" s="16">
        <f t="shared" si="58"/>
        <v>43946</v>
      </c>
      <c r="X282" s="9">
        <f t="shared" si="59"/>
        <v>195.80600000000001</v>
      </c>
      <c r="Y282" s="9">
        <f t="shared" si="60"/>
        <v>461.125</v>
      </c>
      <c r="AA282" s="16">
        <f t="shared" si="61"/>
        <v>44338</v>
      </c>
      <c r="AB282" s="21">
        <v>4569</v>
      </c>
      <c r="AC282" s="21">
        <f t="shared" si="62"/>
        <v>4932</v>
      </c>
      <c r="AD282" s="21">
        <f t="shared" si="63"/>
        <v>7440</v>
      </c>
      <c r="AE282" s="21">
        <f t="shared" si="64"/>
        <v>7480</v>
      </c>
      <c r="AF282" s="21">
        <f t="shared" si="65"/>
        <v>8805</v>
      </c>
      <c r="AK282" s="16"/>
      <c r="AL282" s="17"/>
      <c r="AN282" s="16"/>
    </row>
    <row r="283" spans="2:40" x14ac:dyDescent="0.4">
      <c r="B283" s="6">
        <f t="shared" si="53"/>
        <v>44317</v>
      </c>
      <c r="C283" s="8">
        <f t="shared" si="54"/>
        <v>273.49400000000003</v>
      </c>
      <c r="D283" s="5">
        <f t="shared" si="55"/>
        <v>1859.5008333333333</v>
      </c>
      <c r="E283" s="5">
        <f t="shared" si="56"/>
        <v>1997.0008333333333</v>
      </c>
      <c r="F283" s="5">
        <f t="shared" si="57"/>
        <v>3334.5008333333326</v>
      </c>
      <c r="H283" s="6"/>
      <c r="I283" s="11">
        <v>43953</v>
      </c>
      <c r="J283" s="9">
        <v>197.19499999999999</v>
      </c>
      <c r="K283" s="9">
        <v>458.125</v>
      </c>
      <c r="O283" s="11">
        <v>44345</v>
      </c>
      <c r="P283" s="9">
        <v>0</v>
      </c>
      <c r="Q283" s="9">
        <v>4945</v>
      </c>
      <c r="R283" s="9">
        <v>7280</v>
      </c>
      <c r="S283" s="9">
        <v>7400</v>
      </c>
      <c r="T283" s="31">
        <v>8600</v>
      </c>
      <c r="W283" s="16">
        <f t="shared" si="58"/>
        <v>43953</v>
      </c>
      <c r="X283" s="9">
        <f t="shared" si="59"/>
        <v>197.19499999999999</v>
      </c>
      <c r="Y283" s="9">
        <f t="shared" si="60"/>
        <v>458.125</v>
      </c>
      <c r="AA283" s="16">
        <f t="shared" si="61"/>
        <v>44345</v>
      </c>
      <c r="AB283" s="21">
        <v>4626</v>
      </c>
      <c r="AC283" s="21">
        <f t="shared" si="62"/>
        <v>4945</v>
      </c>
      <c r="AD283" s="21">
        <f t="shared" si="63"/>
        <v>7280</v>
      </c>
      <c r="AE283" s="21">
        <f t="shared" si="64"/>
        <v>7400</v>
      </c>
      <c r="AF283" s="21">
        <f t="shared" si="65"/>
        <v>8600</v>
      </c>
      <c r="AK283" s="16"/>
      <c r="AL283" s="17"/>
      <c r="AN283" s="16"/>
    </row>
    <row r="284" spans="2:40" x14ac:dyDescent="0.4">
      <c r="B284" s="6">
        <f t="shared" si="53"/>
        <v>44324</v>
      </c>
      <c r="C284" s="8">
        <f t="shared" si="54"/>
        <v>258.976</v>
      </c>
      <c r="D284" s="5">
        <f t="shared" si="55"/>
        <v>1678.633333333333</v>
      </c>
      <c r="E284" s="5">
        <f t="shared" si="56"/>
        <v>1686.966666666666</v>
      </c>
      <c r="F284" s="5">
        <f t="shared" si="57"/>
        <v>3128.6333333333323</v>
      </c>
      <c r="H284" s="6"/>
      <c r="I284" s="11">
        <v>43960</v>
      </c>
      <c r="J284" s="9">
        <v>237.62</v>
      </c>
      <c r="K284" s="9">
        <v>481.04250000000002</v>
      </c>
      <c r="O284" s="11">
        <v>44352</v>
      </c>
      <c r="P284" s="9">
        <v>0</v>
      </c>
      <c r="Q284" s="9">
        <v>5093</v>
      </c>
      <c r="R284" s="9">
        <v>7290</v>
      </c>
      <c r="S284" s="9">
        <v>7380</v>
      </c>
      <c r="T284" s="31">
        <v>8530</v>
      </c>
      <c r="W284" s="16">
        <f t="shared" si="58"/>
        <v>43960</v>
      </c>
      <c r="X284" s="9">
        <f t="shared" si="59"/>
        <v>237.62</v>
      </c>
      <c r="Y284" s="9">
        <f t="shared" si="60"/>
        <v>481.04250000000002</v>
      </c>
      <c r="AA284" s="16">
        <f t="shared" si="61"/>
        <v>44352</v>
      </c>
      <c r="AB284" s="21">
        <v>4725</v>
      </c>
      <c r="AC284" s="21">
        <f t="shared" si="62"/>
        <v>5093</v>
      </c>
      <c r="AD284" s="21">
        <f t="shared" si="63"/>
        <v>7290</v>
      </c>
      <c r="AE284" s="21">
        <f t="shared" si="64"/>
        <v>7380</v>
      </c>
      <c r="AF284" s="21">
        <f t="shared" si="65"/>
        <v>8530</v>
      </c>
      <c r="AK284" s="16"/>
      <c r="AL284" s="17"/>
      <c r="AN284" s="16"/>
    </row>
    <row r="285" spans="2:40" x14ac:dyDescent="0.4">
      <c r="B285" s="6">
        <f t="shared" si="53"/>
        <v>44331</v>
      </c>
      <c r="C285" s="8">
        <f t="shared" si="54"/>
        <v>260.76400000000001</v>
      </c>
      <c r="D285" s="5">
        <f t="shared" si="55"/>
        <v>1746.2269999999994</v>
      </c>
      <c r="E285" s="5">
        <f t="shared" si="56"/>
        <v>1771.2269999999994</v>
      </c>
      <c r="F285" s="5">
        <f t="shared" si="57"/>
        <v>3121.226999999999</v>
      </c>
      <c r="H285" s="6"/>
      <c r="I285" s="11">
        <v>43967</v>
      </c>
      <c r="J285" s="9">
        <v>237.66399999999999</v>
      </c>
      <c r="K285" s="9">
        <v>474.9</v>
      </c>
      <c r="O285" s="11">
        <v>44359</v>
      </c>
      <c r="P285" s="9">
        <v>0</v>
      </c>
      <c r="Q285" s="9">
        <v>4889</v>
      </c>
      <c r="R285" s="9">
        <v>7220</v>
      </c>
      <c r="S285" s="9">
        <v>7420</v>
      </c>
      <c r="T285" s="31">
        <v>8470</v>
      </c>
      <c r="W285" s="16">
        <f t="shared" si="58"/>
        <v>43967</v>
      </c>
      <c r="X285" s="9">
        <f t="shared" si="59"/>
        <v>237.66399999999999</v>
      </c>
      <c r="Y285" s="9">
        <f t="shared" si="60"/>
        <v>474.9</v>
      </c>
      <c r="AA285" s="16">
        <f t="shared" si="61"/>
        <v>44359</v>
      </c>
      <c r="AB285" s="21">
        <v>4613.2</v>
      </c>
      <c r="AC285" s="21">
        <f t="shared" si="62"/>
        <v>4889</v>
      </c>
      <c r="AD285" s="21">
        <f t="shared" si="63"/>
        <v>7220</v>
      </c>
      <c r="AE285" s="21">
        <f t="shared" si="64"/>
        <v>7420</v>
      </c>
      <c r="AF285" s="21">
        <f t="shared" si="65"/>
        <v>8470</v>
      </c>
      <c r="AK285" s="16"/>
      <c r="AL285" s="17"/>
      <c r="AN285" s="16"/>
    </row>
    <row r="286" spans="2:40" x14ac:dyDescent="0.4">
      <c r="B286" s="6">
        <f t="shared" si="53"/>
        <v>44338</v>
      </c>
      <c r="C286" s="8">
        <f t="shared" si="54"/>
        <v>249.41199999999992</v>
      </c>
      <c r="D286" s="5">
        <f t="shared" si="55"/>
        <v>1881.2850000000001</v>
      </c>
      <c r="E286" s="5">
        <f t="shared" si="56"/>
        <v>1921.2850000000001</v>
      </c>
      <c r="F286" s="5">
        <f t="shared" si="57"/>
        <v>3246.2849999999999</v>
      </c>
      <c r="H286" s="6"/>
      <c r="I286" s="11">
        <v>43974</v>
      </c>
      <c r="J286" s="9">
        <v>292.58</v>
      </c>
      <c r="K286" s="9">
        <v>501.52</v>
      </c>
      <c r="O286" s="11">
        <v>44366</v>
      </c>
      <c r="P286" s="9">
        <v>0</v>
      </c>
      <c r="Q286" s="9">
        <v>4893.75</v>
      </c>
      <c r="R286" s="9">
        <v>7181.25</v>
      </c>
      <c r="S286" s="9">
        <v>7487.5</v>
      </c>
      <c r="T286" s="31">
        <v>8475</v>
      </c>
      <c r="W286" s="16">
        <f t="shared" si="58"/>
        <v>43974</v>
      </c>
      <c r="X286" s="9">
        <f t="shared" si="59"/>
        <v>292.58</v>
      </c>
      <c r="Y286" s="9">
        <f t="shared" si="60"/>
        <v>501.52</v>
      </c>
      <c r="AA286" s="16">
        <f t="shared" si="61"/>
        <v>44366</v>
      </c>
      <c r="AB286" s="21">
        <v>4736.25</v>
      </c>
      <c r="AC286" s="21">
        <f t="shared" si="62"/>
        <v>4893.75</v>
      </c>
      <c r="AD286" s="21">
        <f t="shared" si="63"/>
        <v>7181.25</v>
      </c>
      <c r="AE286" s="21">
        <f t="shared" si="64"/>
        <v>7487.5</v>
      </c>
      <c r="AF286" s="21">
        <f t="shared" si="65"/>
        <v>8475</v>
      </c>
      <c r="AK286" s="16"/>
      <c r="AL286" s="17"/>
      <c r="AN286" s="16"/>
    </row>
    <row r="287" spans="2:40" x14ac:dyDescent="0.4">
      <c r="B287" s="6">
        <f t="shared" si="53"/>
        <v>44345</v>
      </c>
      <c r="C287" s="8">
        <f t="shared" si="54"/>
        <v>234.26499999999999</v>
      </c>
      <c r="D287" s="5">
        <f t="shared" si="55"/>
        <v>1668.1949999999999</v>
      </c>
      <c r="E287" s="5">
        <f t="shared" si="56"/>
        <v>1788.1949999999999</v>
      </c>
      <c r="F287" s="5">
        <f t="shared" si="57"/>
        <v>2988.1950000000006</v>
      </c>
      <c r="H287" s="6"/>
      <c r="I287" s="11">
        <v>43981</v>
      </c>
      <c r="J287" s="9">
        <v>303.84750000000003</v>
      </c>
      <c r="K287" s="9">
        <v>475.0025</v>
      </c>
      <c r="O287" s="11">
        <v>44373</v>
      </c>
      <c r="P287" s="9">
        <v>0</v>
      </c>
      <c r="Q287" s="9">
        <v>4914</v>
      </c>
      <c r="R287" s="9">
        <v>7280</v>
      </c>
      <c r="S287" s="9">
        <v>7605</v>
      </c>
      <c r="T287" s="31">
        <v>8540</v>
      </c>
      <c r="W287" s="16">
        <f t="shared" si="58"/>
        <v>43981</v>
      </c>
      <c r="X287" s="9">
        <f t="shared" si="59"/>
        <v>303.84750000000003</v>
      </c>
      <c r="Y287" s="9">
        <f t="shared" si="60"/>
        <v>475.0025</v>
      </c>
      <c r="AA287" s="16">
        <f t="shared" si="61"/>
        <v>44373</v>
      </c>
      <c r="AB287" s="21">
        <v>4877.2</v>
      </c>
      <c r="AC287" s="21">
        <f t="shared" si="62"/>
        <v>4914</v>
      </c>
      <c r="AD287" s="21">
        <f t="shared" si="63"/>
        <v>7280</v>
      </c>
      <c r="AE287" s="21">
        <f t="shared" si="64"/>
        <v>7605</v>
      </c>
      <c r="AF287" s="21">
        <f t="shared" si="65"/>
        <v>8540</v>
      </c>
      <c r="AK287" s="16"/>
      <c r="AL287" s="17"/>
      <c r="AN287" s="16"/>
    </row>
    <row r="288" spans="2:40" x14ac:dyDescent="0.4">
      <c r="B288" s="6">
        <f t="shared" si="53"/>
        <v>44352</v>
      </c>
      <c r="C288" s="8">
        <f t="shared" si="54"/>
        <v>213.44799999999998</v>
      </c>
      <c r="D288" s="5">
        <f t="shared" si="55"/>
        <v>1543.9699999999998</v>
      </c>
      <c r="E288" s="5">
        <f t="shared" si="56"/>
        <v>1633.9699999999998</v>
      </c>
      <c r="F288" s="5">
        <f t="shared" si="57"/>
        <v>2783.97</v>
      </c>
      <c r="H288" s="6"/>
      <c r="I288" s="11">
        <v>43988</v>
      </c>
      <c r="J288" s="9">
        <v>343.57600000000002</v>
      </c>
      <c r="K288" s="9">
        <v>504.298</v>
      </c>
      <c r="O288" s="11">
        <v>44380</v>
      </c>
      <c r="P288" s="9">
        <v>0</v>
      </c>
      <c r="Q288" s="9">
        <v>4987</v>
      </c>
      <c r="R288" s="9">
        <v>7410</v>
      </c>
      <c r="S288" s="9">
        <v>7700</v>
      </c>
      <c r="T288" s="31">
        <v>8800</v>
      </c>
      <c r="W288" s="16">
        <f t="shared" si="58"/>
        <v>43988</v>
      </c>
      <c r="X288" s="9">
        <f t="shared" si="59"/>
        <v>343.57600000000002</v>
      </c>
      <c r="Y288" s="9">
        <f t="shared" si="60"/>
        <v>504.298</v>
      </c>
      <c r="AA288" s="16">
        <f t="shared" si="61"/>
        <v>44380</v>
      </c>
      <c r="AB288" s="21">
        <v>5052.3999999999996</v>
      </c>
      <c r="AC288" s="21">
        <f t="shared" si="62"/>
        <v>4987</v>
      </c>
      <c r="AD288" s="21">
        <f t="shared" si="63"/>
        <v>7410</v>
      </c>
      <c r="AE288" s="21">
        <f t="shared" si="64"/>
        <v>7700</v>
      </c>
      <c r="AF288" s="21">
        <f t="shared" si="65"/>
        <v>8800</v>
      </c>
      <c r="AK288" s="16"/>
      <c r="AL288" s="17"/>
      <c r="AN288" s="16"/>
    </row>
    <row r="289" spans="2:40" x14ac:dyDescent="0.4">
      <c r="B289" s="6">
        <f t="shared" si="53"/>
        <v>44359</v>
      </c>
      <c r="C289" s="8">
        <f t="shared" si="54"/>
        <v>209.37</v>
      </c>
      <c r="D289" s="5">
        <f t="shared" si="55"/>
        <v>1637.8990000000003</v>
      </c>
      <c r="E289" s="5">
        <f t="shared" si="56"/>
        <v>1837.8990000000003</v>
      </c>
      <c r="F289" s="5">
        <f t="shared" si="57"/>
        <v>2887.8989999999999</v>
      </c>
      <c r="H289" s="6"/>
      <c r="I289" s="11">
        <v>43995</v>
      </c>
      <c r="J289" s="9">
        <v>358.46</v>
      </c>
      <c r="K289" s="9">
        <v>527.93200000000002</v>
      </c>
      <c r="O289" s="11">
        <v>44387</v>
      </c>
      <c r="P289" s="9">
        <v>0</v>
      </c>
      <c r="Q289" s="9">
        <v>5082</v>
      </c>
      <c r="R289" s="9">
        <v>7730</v>
      </c>
      <c r="S289" s="9">
        <v>7950</v>
      </c>
      <c r="T289" s="31">
        <v>9170</v>
      </c>
      <c r="W289" s="16">
        <f t="shared" si="58"/>
        <v>43995</v>
      </c>
      <c r="X289" s="9">
        <f t="shared" si="59"/>
        <v>358.46</v>
      </c>
      <c r="Y289" s="9">
        <f t="shared" si="60"/>
        <v>527.93200000000002</v>
      </c>
      <c r="AA289" s="16">
        <f t="shared" si="61"/>
        <v>44387</v>
      </c>
      <c r="AB289" s="21">
        <v>5142.3999999999996</v>
      </c>
      <c r="AC289" s="21">
        <f t="shared" si="62"/>
        <v>5082</v>
      </c>
      <c r="AD289" s="21">
        <f t="shared" si="63"/>
        <v>7730</v>
      </c>
      <c r="AE289" s="21">
        <f t="shared" si="64"/>
        <v>7950</v>
      </c>
      <c r="AF289" s="21">
        <f t="shared" si="65"/>
        <v>9170</v>
      </c>
      <c r="AK289" s="16"/>
      <c r="AL289" s="17"/>
      <c r="AN289" s="16"/>
    </row>
    <row r="290" spans="2:40" x14ac:dyDescent="0.4">
      <c r="B290" s="6">
        <f t="shared" si="53"/>
        <v>44366</v>
      </c>
      <c r="C290" s="8">
        <f t="shared" si="54"/>
        <v>227.32600000000002</v>
      </c>
      <c r="D290" s="5">
        <f t="shared" si="55"/>
        <v>1492.35</v>
      </c>
      <c r="E290" s="5">
        <f t="shared" si="56"/>
        <v>1798.6</v>
      </c>
      <c r="F290" s="5">
        <f t="shared" si="57"/>
        <v>2786.1000000000004</v>
      </c>
      <c r="H290" s="6"/>
      <c r="I290" s="11">
        <v>44002</v>
      </c>
      <c r="J290" s="9">
        <v>371.11</v>
      </c>
      <c r="K290" s="9">
        <v>551.66399999999999</v>
      </c>
      <c r="O290" s="11">
        <v>44394</v>
      </c>
      <c r="P290" s="9">
        <v>0</v>
      </c>
      <c r="Q290" s="9">
        <v>5215</v>
      </c>
      <c r="R290" s="9">
        <v>7780</v>
      </c>
      <c r="S290" s="9">
        <v>7955</v>
      </c>
      <c r="T290" s="31">
        <v>9240</v>
      </c>
      <c r="W290" s="16">
        <f t="shared" si="58"/>
        <v>44002</v>
      </c>
      <c r="X290" s="9">
        <f t="shared" si="59"/>
        <v>371.11</v>
      </c>
      <c r="Y290" s="9">
        <f t="shared" si="60"/>
        <v>551.66399999999999</v>
      </c>
      <c r="AA290" s="16">
        <f t="shared" si="61"/>
        <v>44394</v>
      </c>
      <c r="AB290" s="21">
        <v>5096.6000000000004</v>
      </c>
      <c r="AC290" s="21">
        <f t="shared" si="62"/>
        <v>5215</v>
      </c>
      <c r="AD290" s="21">
        <f t="shared" si="63"/>
        <v>7780</v>
      </c>
      <c r="AE290" s="21">
        <f t="shared" si="64"/>
        <v>7955</v>
      </c>
      <c r="AF290" s="21">
        <f t="shared" si="65"/>
        <v>9240</v>
      </c>
      <c r="AK290" s="16"/>
      <c r="AL290" s="17"/>
      <c r="AN290" s="16"/>
    </row>
    <row r="291" spans="2:40" x14ac:dyDescent="0.4">
      <c r="B291" s="6">
        <f t="shared" si="53"/>
        <v>44373</v>
      </c>
      <c r="C291" s="8">
        <f t="shared" si="54"/>
        <v>240.6160000000001</v>
      </c>
      <c r="D291" s="5">
        <f t="shared" si="55"/>
        <v>1463.8040000000005</v>
      </c>
      <c r="E291" s="5">
        <f t="shared" si="56"/>
        <v>1788.8040000000005</v>
      </c>
      <c r="F291" s="5">
        <f t="shared" si="57"/>
        <v>2723.8040000000005</v>
      </c>
      <c r="H291" s="6"/>
      <c r="I291" s="11">
        <v>44009</v>
      </c>
      <c r="J291" s="9">
        <v>396.17200000000003</v>
      </c>
      <c r="K291" s="9">
        <v>566.86599999999999</v>
      </c>
      <c r="O291" s="11">
        <v>44401</v>
      </c>
      <c r="P291" s="9">
        <v>0</v>
      </c>
      <c r="Q291" s="9">
        <v>5444</v>
      </c>
      <c r="R291" s="9">
        <v>7850</v>
      </c>
      <c r="S291" s="9">
        <v>7945</v>
      </c>
      <c r="T291" s="31">
        <v>9340</v>
      </c>
      <c r="W291" s="16">
        <f t="shared" si="58"/>
        <v>44009</v>
      </c>
      <c r="X291" s="9">
        <f t="shared" si="59"/>
        <v>396.17200000000003</v>
      </c>
      <c r="Y291" s="9">
        <f t="shared" si="60"/>
        <v>566.86599999999999</v>
      </c>
      <c r="AA291" s="16">
        <f t="shared" si="61"/>
        <v>44401</v>
      </c>
      <c r="AB291" s="21">
        <v>5192.2</v>
      </c>
      <c r="AC291" s="21">
        <f t="shared" si="62"/>
        <v>5444</v>
      </c>
      <c r="AD291" s="21">
        <f t="shared" si="63"/>
        <v>7850</v>
      </c>
      <c r="AE291" s="21">
        <f t="shared" si="64"/>
        <v>7945</v>
      </c>
      <c r="AF291" s="21">
        <f t="shared" si="65"/>
        <v>9340</v>
      </c>
      <c r="AK291" s="16"/>
      <c r="AL291" s="17"/>
      <c r="AN291" s="16"/>
    </row>
    <row r="292" spans="2:40" x14ac:dyDescent="0.4">
      <c r="B292" s="6">
        <f t="shared" si="53"/>
        <v>44380</v>
      </c>
      <c r="C292" s="8">
        <f t="shared" si="54"/>
        <v>245.36199999999997</v>
      </c>
      <c r="D292" s="5">
        <f t="shared" si="55"/>
        <v>1419.5530000000001</v>
      </c>
      <c r="E292" s="5">
        <f t="shared" si="56"/>
        <v>1709.5530000000001</v>
      </c>
      <c r="F292" s="5">
        <f t="shared" si="57"/>
        <v>2809.5529999999999</v>
      </c>
      <c r="H292" s="6"/>
      <c r="I292" s="11">
        <v>44016</v>
      </c>
      <c r="J292" s="9">
        <v>397.43599999999998</v>
      </c>
      <c r="K292" s="9">
        <v>536.4</v>
      </c>
      <c r="O292" s="11">
        <v>44408</v>
      </c>
      <c r="P292" s="9">
        <v>0</v>
      </c>
      <c r="Q292" s="9">
        <v>5431</v>
      </c>
      <c r="R292" s="9">
        <v>7795</v>
      </c>
      <c r="S292" s="9">
        <v>7860</v>
      </c>
      <c r="T292" s="31">
        <v>9395</v>
      </c>
      <c r="W292" s="16">
        <f t="shared" si="58"/>
        <v>44016</v>
      </c>
      <c r="X292" s="9">
        <f t="shared" si="59"/>
        <v>397.43599999999998</v>
      </c>
      <c r="Y292" s="9">
        <f t="shared" si="60"/>
        <v>536.4</v>
      </c>
      <c r="AA292" s="16">
        <f t="shared" si="61"/>
        <v>44408</v>
      </c>
      <c r="AB292" s="21">
        <v>5445.6</v>
      </c>
      <c r="AC292" s="21">
        <f t="shared" si="62"/>
        <v>5431</v>
      </c>
      <c r="AD292" s="21">
        <f t="shared" si="63"/>
        <v>7795</v>
      </c>
      <c r="AE292" s="21">
        <f t="shared" si="64"/>
        <v>7860</v>
      </c>
      <c r="AF292" s="21">
        <f t="shared" si="65"/>
        <v>9395</v>
      </c>
      <c r="AK292" s="16"/>
      <c r="AL292" s="17"/>
      <c r="AN292" s="16"/>
    </row>
    <row r="293" spans="2:40" x14ac:dyDescent="0.4">
      <c r="B293" s="6">
        <f t="shared" si="53"/>
        <v>44387</v>
      </c>
      <c r="C293" s="8">
        <f t="shared" si="54"/>
        <v>245.16800000000001</v>
      </c>
      <c r="D293" s="5">
        <f t="shared" si="55"/>
        <v>1630.7780000000005</v>
      </c>
      <c r="E293" s="5">
        <f t="shared" si="56"/>
        <v>1850.7780000000005</v>
      </c>
      <c r="F293" s="5">
        <f t="shared" si="57"/>
        <v>3070.7780000000002</v>
      </c>
      <c r="H293" s="6"/>
      <c r="I293" s="11">
        <v>44023</v>
      </c>
      <c r="J293" s="9">
        <v>424.14</v>
      </c>
      <c r="K293" s="9">
        <v>542.5</v>
      </c>
      <c r="O293" s="11">
        <v>44415</v>
      </c>
      <c r="P293" s="9">
        <v>0</v>
      </c>
      <c r="Q293" s="9">
        <v>5395</v>
      </c>
      <c r="R293" s="9">
        <v>7755</v>
      </c>
      <c r="S293" s="9">
        <v>7910</v>
      </c>
      <c r="T293" s="31">
        <v>9345</v>
      </c>
      <c r="W293" s="16">
        <f t="shared" si="58"/>
        <v>44023</v>
      </c>
      <c r="X293" s="9">
        <f t="shared" si="59"/>
        <v>424.14</v>
      </c>
      <c r="Y293" s="9">
        <f t="shared" si="60"/>
        <v>542.5</v>
      </c>
      <c r="AA293" s="16">
        <f t="shared" si="61"/>
        <v>44415</v>
      </c>
      <c r="AB293" s="21">
        <v>5362.8</v>
      </c>
      <c r="AC293" s="21">
        <f t="shared" si="62"/>
        <v>5395</v>
      </c>
      <c r="AD293" s="21">
        <f t="shared" si="63"/>
        <v>7755</v>
      </c>
      <c r="AE293" s="21">
        <f t="shared" si="64"/>
        <v>7910</v>
      </c>
      <c r="AF293" s="21">
        <f t="shared" si="65"/>
        <v>9345</v>
      </c>
      <c r="AK293" s="16"/>
      <c r="AL293" s="17"/>
      <c r="AN293" s="16"/>
    </row>
    <row r="294" spans="2:40" x14ac:dyDescent="0.4">
      <c r="B294" s="6">
        <f t="shared" si="53"/>
        <v>44394</v>
      </c>
      <c r="C294" s="8">
        <f t="shared" si="54"/>
        <v>233.39999999999998</v>
      </c>
      <c r="D294" s="5">
        <f t="shared" si="55"/>
        <v>1675.3820000000001</v>
      </c>
      <c r="E294" s="5">
        <f t="shared" si="56"/>
        <v>1850.3820000000001</v>
      </c>
      <c r="F294" s="5">
        <f t="shared" si="57"/>
        <v>3135.3820000000001</v>
      </c>
      <c r="H294" s="6"/>
      <c r="I294" s="11">
        <v>44030</v>
      </c>
      <c r="J294" s="9">
        <v>400.05</v>
      </c>
      <c r="K294" s="9">
        <v>540.69799999999998</v>
      </c>
      <c r="O294" s="11">
        <v>44422</v>
      </c>
      <c r="P294" s="9">
        <v>0</v>
      </c>
      <c r="Q294" s="9">
        <v>5364</v>
      </c>
      <c r="R294" s="9">
        <v>7600</v>
      </c>
      <c r="S294" s="9">
        <v>7745</v>
      </c>
      <c r="T294" s="31">
        <v>9245</v>
      </c>
      <c r="W294" s="16">
        <f t="shared" si="58"/>
        <v>44030</v>
      </c>
      <c r="X294" s="9">
        <f t="shared" si="59"/>
        <v>400.05</v>
      </c>
      <c r="Y294" s="9">
        <f t="shared" si="60"/>
        <v>540.69799999999998</v>
      </c>
      <c r="AA294" s="16">
        <f t="shared" si="61"/>
        <v>44422</v>
      </c>
      <c r="AB294" s="21">
        <v>5297.6</v>
      </c>
      <c r="AC294" s="21">
        <f t="shared" si="62"/>
        <v>5364</v>
      </c>
      <c r="AD294" s="21">
        <f t="shared" si="63"/>
        <v>7600</v>
      </c>
      <c r="AE294" s="21">
        <f t="shared" si="64"/>
        <v>7745</v>
      </c>
      <c r="AF294" s="21">
        <f t="shared" si="65"/>
        <v>9245</v>
      </c>
      <c r="AK294" s="16"/>
      <c r="AL294" s="17"/>
      <c r="AN294" s="16"/>
    </row>
    <row r="295" spans="2:40" x14ac:dyDescent="0.4">
      <c r="B295" s="6">
        <f t="shared" si="53"/>
        <v>44401</v>
      </c>
      <c r="C295" s="8">
        <f t="shared" si="54"/>
        <v>242.55999999999995</v>
      </c>
      <c r="D295" s="5">
        <f t="shared" si="55"/>
        <v>1586.9289999999999</v>
      </c>
      <c r="E295" s="5">
        <f t="shared" si="56"/>
        <v>1681.9289999999999</v>
      </c>
      <c r="F295" s="5">
        <f t="shared" si="57"/>
        <v>3076.9290000000001</v>
      </c>
      <c r="H295" s="6"/>
      <c r="I295" s="11">
        <v>44037</v>
      </c>
      <c r="J295" s="9">
        <v>405.084</v>
      </c>
      <c r="K295" s="9">
        <v>545.70000000000005</v>
      </c>
      <c r="O295" s="11">
        <v>44429</v>
      </c>
      <c r="P295" s="9">
        <v>0</v>
      </c>
      <c r="Q295" s="9">
        <v>5090</v>
      </c>
      <c r="R295" s="9">
        <v>7550</v>
      </c>
      <c r="S295" s="9">
        <v>7660</v>
      </c>
      <c r="T295" s="31">
        <v>9065</v>
      </c>
      <c r="W295" s="16">
        <f t="shared" si="58"/>
        <v>44037</v>
      </c>
      <c r="X295" s="9">
        <f t="shared" si="59"/>
        <v>405.084</v>
      </c>
      <c r="Y295" s="9">
        <f t="shared" si="60"/>
        <v>545.70000000000005</v>
      </c>
      <c r="AA295" s="16">
        <f t="shared" si="61"/>
        <v>44429</v>
      </c>
      <c r="AB295" s="21">
        <v>5071.6000000000004</v>
      </c>
      <c r="AC295" s="21">
        <f t="shared" si="62"/>
        <v>5090</v>
      </c>
      <c r="AD295" s="21">
        <f t="shared" si="63"/>
        <v>7550</v>
      </c>
      <c r="AE295" s="21">
        <f t="shared" si="64"/>
        <v>7660</v>
      </c>
      <c r="AF295" s="21">
        <f t="shared" si="65"/>
        <v>9065</v>
      </c>
      <c r="AK295" s="16"/>
      <c r="AL295" s="17"/>
      <c r="AN295" s="16"/>
    </row>
    <row r="296" spans="2:40" x14ac:dyDescent="0.4">
      <c r="B296" s="6">
        <f t="shared" si="53"/>
        <v>44408</v>
      </c>
      <c r="C296" s="8">
        <f t="shared" si="54"/>
        <v>244.66399999999999</v>
      </c>
      <c r="D296" s="5">
        <f t="shared" si="55"/>
        <v>1319.6269999999995</v>
      </c>
      <c r="E296" s="5">
        <f t="shared" si="56"/>
        <v>1384.6269999999995</v>
      </c>
      <c r="F296" s="5">
        <f t="shared" si="57"/>
        <v>2919.6269999999995</v>
      </c>
      <c r="H296" s="6"/>
      <c r="I296" s="11">
        <v>44044</v>
      </c>
      <c r="J296" s="9">
        <v>404.22250000000003</v>
      </c>
      <c r="K296" s="9">
        <v>549.70749999999998</v>
      </c>
      <c r="O296" s="11">
        <v>44436</v>
      </c>
      <c r="P296" s="9">
        <v>0</v>
      </c>
      <c r="Q296" s="9">
        <v>5067.6000000000004</v>
      </c>
      <c r="R296" s="9">
        <v>7390</v>
      </c>
      <c r="S296" s="9">
        <v>7615</v>
      </c>
      <c r="T296" s="31">
        <v>8895</v>
      </c>
      <c r="W296" s="16">
        <f t="shared" si="58"/>
        <v>44044</v>
      </c>
      <c r="X296" s="9">
        <f t="shared" si="59"/>
        <v>404.22250000000003</v>
      </c>
      <c r="Y296" s="9">
        <f t="shared" si="60"/>
        <v>549.70749999999998</v>
      </c>
      <c r="AA296" s="16">
        <f t="shared" si="61"/>
        <v>44436</v>
      </c>
      <c r="AB296" s="21">
        <v>4940</v>
      </c>
      <c r="AC296" s="21">
        <f t="shared" si="62"/>
        <v>5067.6000000000004</v>
      </c>
      <c r="AD296" s="21">
        <f t="shared" si="63"/>
        <v>7390</v>
      </c>
      <c r="AE296" s="21">
        <f t="shared" si="64"/>
        <v>7615</v>
      </c>
      <c r="AF296" s="21">
        <f t="shared" si="65"/>
        <v>8895</v>
      </c>
      <c r="AK296" s="16"/>
      <c r="AL296" s="17"/>
      <c r="AN296" s="16"/>
    </row>
    <row r="297" spans="2:40" x14ac:dyDescent="0.4">
      <c r="B297" s="6">
        <f t="shared" si="53"/>
        <v>44415</v>
      </c>
      <c r="C297" s="8">
        <f t="shared" si="54"/>
        <v>265.02599999999995</v>
      </c>
      <c r="D297" s="5">
        <f t="shared" si="55"/>
        <v>1362.4809999999995</v>
      </c>
      <c r="E297" s="5">
        <f t="shared" si="56"/>
        <v>1517.4809999999995</v>
      </c>
      <c r="F297" s="5">
        <f t="shared" si="57"/>
        <v>2952.4809999999998</v>
      </c>
      <c r="H297" s="6"/>
      <c r="I297" s="11">
        <v>44051</v>
      </c>
      <c r="J297" s="9">
        <v>387.88799999999998</v>
      </c>
      <c r="K297" s="9">
        <v>541.60199999999998</v>
      </c>
      <c r="O297" s="11">
        <v>44443</v>
      </c>
      <c r="P297" s="9">
        <v>0</v>
      </c>
      <c r="Q297" s="9">
        <v>5163</v>
      </c>
      <c r="R297" s="9">
        <v>7200</v>
      </c>
      <c r="S297" s="9">
        <v>7520</v>
      </c>
      <c r="T297" s="31">
        <v>8670</v>
      </c>
      <c r="W297" s="16">
        <f t="shared" si="58"/>
        <v>44051</v>
      </c>
      <c r="X297" s="9">
        <f t="shared" si="59"/>
        <v>387.88799999999998</v>
      </c>
      <c r="Y297" s="9">
        <f t="shared" si="60"/>
        <v>541.60199999999998</v>
      </c>
      <c r="AA297" s="16">
        <f t="shared" si="61"/>
        <v>44443</v>
      </c>
      <c r="AB297" s="21">
        <v>4839.2</v>
      </c>
      <c r="AC297" s="21">
        <f t="shared" si="62"/>
        <v>5163</v>
      </c>
      <c r="AD297" s="21">
        <f t="shared" si="63"/>
        <v>7200</v>
      </c>
      <c r="AE297" s="21">
        <f t="shared" si="64"/>
        <v>7520</v>
      </c>
      <c r="AF297" s="21">
        <f t="shared" si="65"/>
        <v>8670</v>
      </c>
      <c r="AK297" s="16"/>
      <c r="AL297" s="17"/>
      <c r="AN297" s="16"/>
    </row>
    <row r="298" spans="2:40" x14ac:dyDescent="0.4">
      <c r="B298" s="6">
        <f t="shared" si="53"/>
        <v>44422</v>
      </c>
      <c r="C298" s="8">
        <f t="shared" si="54"/>
        <v>271.89250000000004</v>
      </c>
      <c r="D298" s="5">
        <f t="shared" si="55"/>
        <v>1273.6119999999996</v>
      </c>
      <c r="E298" s="5">
        <f t="shared" si="56"/>
        <v>1418.6119999999996</v>
      </c>
      <c r="F298" s="5">
        <f t="shared" si="57"/>
        <v>2918.6119999999996</v>
      </c>
      <c r="H298" s="6"/>
      <c r="I298" s="11">
        <v>44058</v>
      </c>
      <c r="J298" s="9">
        <v>394.55500000000001</v>
      </c>
      <c r="K298" s="9">
        <v>554.24749999999995</v>
      </c>
      <c r="O298" s="11">
        <v>44450</v>
      </c>
      <c r="P298" s="9">
        <v>0</v>
      </c>
      <c r="Q298" s="9">
        <v>5336.6</v>
      </c>
      <c r="R298" s="9">
        <v>7165</v>
      </c>
      <c r="S298" s="9">
        <v>7525</v>
      </c>
      <c r="T298" s="31">
        <v>8620</v>
      </c>
      <c r="W298" s="16">
        <f t="shared" si="58"/>
        <v>44058</v>
      </c>
      <c r="X298" s="9">
        <f t="shared" si="59"/>
        <v>394.55500000000001</v>
      </c>
      <c r="Y298" s="9">
        <f t="shared" si="60"/>
        <v>554.24749999999995</v>
      </c>
      <c r="AA298" s="16">
        <f t="shared" si="61"/>
        <v>44450</v>
      </c>
      <c r="AB298" s="21">
        <v>4745.3999999999996</v>
      </c>
      <c r="AC298" s="21">
        <f t="shared" si="62"/>
        <v>5336.6</v>
      </c>
      <c r="AD298" s="21">
        <f t="shared" si="63"/>
        <v>7165</v>
      </c>
      <c r="AE298" s="21">
        <f t="shared" si="64"/>
        <v>7525</v>
      </c>
      <c r="AF298" s="21">
        <f t="shared" si="65"/>
        <v>8620</v>
      </c>
      <c r="AK298" s="16"/>
      <c r="AL298" s="17"/>
      <c r="AN298" s="16"/>
    </row>
    <row r="299" spans="2:40" x14ac:dyDescent="0.4">
      <c r="B299" s="6">
        <f t="shared" si="53"/>
        <v>44429</v>
      </c>
      <c r="C299" s="8">
        <f t="shared" si="54"/>
        <v>273.10000000000002</v>
      </c>
      <c r="D299" s="5">
        <f t="shared" si="55"/>
        <v>1508.6320000000001</v>
      </c>
      <c r="E299" s="5">
        <f t="shared" si="56"/>
        <v>1618.6320000000001</v>
      </c>
      <c r="F299" s="5">
        <f t="shared" si="57"/>
        <v>3023.6320000000001</v>
      </c>
      <c r="H299" s="6"/>
      <c r="I299" s="11">
        <v>44065</v>
      </c>
      <c r="J299" s="9">
        <v>396.286</v>
      </c>
      <c r="K299" s="9">
        <v>554.97</v>
      </c>
      <c r="O299" s="11">
        <v>44457</v>
      </c>
      <c r="P299" s="9">
        <v>0</v>
      </c>
      <c r="Q299" s="9">
        <v>5512.166666666667</v>
      </c>
      <c r="R299" s="9">
        <v>7220.833333333333</v>
      </c>
      <c r="S299" s="9">
        <v>7541.666666666667</v>
      </c>
      <c r="T299" s="31">
        <v>8604.1666666666661</v>
      </c>
      <c r="W299" s="16">
        <f t="shared" si="58"/>
        <v>44065</v>
      </c>
      <c r="X299" s="9">
        <f t="shared" si="59"/>
        <v>396.286</v>
      </c>
      <c r="Y299" s="9">
        <f t="shared" si="60"/>
        <v>554.97</v>
      </c>
      <c r="AA299" s="16">
        <f t="shared" si="61"/>
        <v>44457</v>
      </c>
      <c r="AB299" s="21">
        <v>4872.5</v>
      </c>
      <c r="AC299" s="21">
        <f t="shared" si="62"/>
        <v>5512.166666666667</v>
      </c>
      <c r="AD299" s="21">
        <f t="shared" si="63"/>
        <v>7220.833333333333</v>
      </c>
      <c r="AE299" s="21">
        <f t="shared" si="64"/>
        <v>7541.666666666667</v>
      </c>
      <c r="AF299" s="21">
        <f t="shared" si="65"/>
        <v>8604.1666666666661</v>
      </c>
      <c r="AK299" s="16"/>
      <c r="AL299" s="17"/>
      <c r="AN299" s="16"/>
    </row>
    <row r="300" spans="2:40" x14ac:dyDescent="0.4">
      <c r="B300" s="6">
        <f t="shared" si="53"/>
        <v>44436</v>
      </c>
      <c r="C300" s="8">
        <f t="shared" si="54"/>
        <v>264</v>
      </c>
      <c r="D300" s="5">
        <f t="shared" si="55"/>
        <v>1468.654</v>
      </c>
      <c r="E300" s="5">
        <f t="shared" si="56"/>
        <v>1693.654</v>
      </c>
      <c r="F300" s="5">
        <f t="shared" si="57"/>
        <v>2973.654</v>
      </c>
      <c r="H300" s="6"/>
      <c r="I300" s="11">
        <v>44072</v>
      </c>
      <c r="J300" s="9">
        <v>410.74400000000003</v>
      </c>
      <c r="K300" s="9">
        <v>547.66800000000001</v>
      </c>
      <c r="O300" s="11">
        <v>44464</v>
      </c>
      <c r="P300" s="9">
        <v>0</v>
      </c>
      <c r="Q300" s="9">
        <v>5572.666666666667</v>
      </c>
      <c r="R300" s="9">
        <v>7216.666666666667</v>
      </c>
      <c r="S300" s="9">
        <v>7566.666666666667</v>
      </c>
      <c r="T300" s="31">
        <v>8616.6666666666661</v>
      </c>
      <c r="W300" s="16">
        <f t="shared" si="58"/>
        <v>44072</v>
      </c>
      <c r="X300" s="9">
        <f t="shared" si="59"/>
        <v>410.74400000000003</v>
      </c>
      <c r="Y300" s="9">
        <f t="shared" si="60"/>
        <v>547.66800000000001</v>
      </c>
      <c r="AA300" s="16">
        <f t="shared" si="61"/>
        <v>44464</v>
      </c>
      <c r="AB300" s="21">
        <v>4897</v>
      </c>
      <c r="AC300" s="21">
        <f t="shared" si="62"/>
        <v>5572.666666666667</v>
      </c>
      <c r="AD300" s="21">
        <f t="shared" si="63"/>
        <v>7216.666666666667</v>
      </c>
      <c r="AE300" s="21">
        <f t="shared" si="64"/>
        <v>7566.666666666667</v>
      </c>
      <c r="AF300" s="21">
        <f t="shared" si="65"/>
        <v>8616.6666666666661</v>
      </c>
      <c r="AK300" s="16"/>
      <c r="AL300" s="17"/>
      <c r="AN300" s="16"/>
    </row>
    <row r="301" spans="2:40" x14ac:dyDescent="0.4">
      <c r="B301" s="6">
        <f t="shared" si="53"/>
        <v>44443</v>
      </c>
      <c r="C301" s="8">
        <f t="shared" si="54"/>
        <v>234.05200000000002</v>
      </c>
      <c r="D301" s="5">
        <f t="shared" si="55"/>
        <v>1332.8790000000004</v>
      </c>
      <c r="E301" s="5">
        <f t="shared" si="56"/>
        <v>1652.8790000000004</v>
      </c>
      <c r="F301" s="5">
        <f t="shared" si="57"/>
        <v>2802.8790000000004</v>
      </c>
      <c r="H301" s="6"/>
      <c r="I301" s="11">
        <v>44079</v>
      </c>
      <c r="J301" s="9">
        <v>414.14</v>
      </c>
      <c r="K301" s="9">
        <v>552.73199999999997</v>
      </c>
      <c r="O301" s="11">
        <v>44471</v>
      </c>
      <c r="P301" s="9">
        <v>0</v>
      </c>
      <c r="Q301" s="9">
        <v>6019.8</v>
      </c>
      <c r="R301" s="9">
        <v>7545</v>
      </c>
      <c r="S301" s="9">
        <v>7875</v>
      </c>
      <c r="T301" s="31">
        <v>9105</v>
      </c>
      <c r="W301" s="16">
        <f t="shared" si="58"/>
        <v>44079</v>
      </c>
      <c r="X301" s="9">
        <f t="shared" si="59"/>
        <v>414.14</v>
      </c>
      <c r="Y301" s="9">
        <f t="shared" si="60"/>
        <v>552.73199999999997</v>
      </c>
      <c r="AA301" s="16">
        <f t="shared" si="61"/>
        <v>44471</v>
      </c>
      <c r="AB301" s="21">
        <v>5076.8</v>
      </c>
      <c r="AC301" s="21">
        <f t="shared" si="62"/>
        <v>6019.8</v>
      </c>
      <c r="AD301" s="21">
        <f t="shared" si="63"/>
        <v>7545</v>
      </c>
      <c r="AE301" s="21">
        <f t="shared" si="64"/>
        <v>7875</v>
      </c>
      <c r="AF301" s="21">
        <f t="shared" si="65"/>
        <v>9105</v>
      </c>
      <c r="AK301" s="16"/>
      <c r="AL301" s="17"/>
      <c r="AN301" s="16"/>
    </row>
    <row r="302" spans="2:40" x14ac:dyDescent="0.4">
      <c r="B302" s="6">
        <f t="shared" si="53"/>
        <v>44450</v>
      </c>
      <c r="C302" s="8">
        <f t="shared" si="54"/>
        <v>216.32399999999996</v>
      </c>
      <c r="D302" s="5">
        <f t="shared" si="55"/>
        <v>1319.9220000000003</v>
      </c>
      <c r="E302" s="5">
        <f t="shared" si="56"/>
        <v>1679.9220000000003</v>
      </c>
      <c r="F302" s="5">
        <f t="shared" si="57"/>
        <v>2774.9220000000005</v>
      </c>
      <c r="H302" s="6"/>
      <c r="I302" s="11">
        <v>44086</v>
      </c>
      <c r="J302" s="9">
        <v>390.80799999999999</v>
      </c>
      <c r="K302" s="9">
        <v>547.46600000000001</v>
      </c>
      <c r="O302" s="11">
        <v>44478</v>
      </c>
      <c r="P302" s="9">
        <v>0</v>
      </c>
      <c r="Q302" s="9">
        <v>6643</v>
      </c>
      <c r="R302" s="9">
        <v>8150</v>
      </c>
      <c r="S302" s="9">
        <v>8300</v>
      </c>
      <c r="T302" s="31">
        <v>9775</v>
      </c>
      <c r="W302" s="16">
        <f t="shared" si="58"/>
        <v>44086</v>
      </c>
      <c r="X302" s="9">
        <f t="shared" si="59"/>
        <v>390.80799999999999</v>
      </c>
      <c r="Y302" s="9">
        <f t="shared" si="60"/>
        <v>547.46600000000001</v>
      </c>
      <c r="AA302" s="16">
        <f t="shared" si="61"/>
        <v>44478</v>
      </c>
      <c r="AB302" s="21">
        <v>5388.5</v>
      </c>
      <c r="AC302" s="21">
        <f t="shared" si="62"/>
        <v>6643</v>
      </c>
      <c r="AD302" s="21">
        <f t="shared" si="63"/>
        <v>8150</v>
      </c>
      <c r="AE302" s="21">
        <f t="shared" si="64"/>
        <v>8300</v>
      </c>
      <c r="AF302" s="21">
        <f t="shared" si="65"/>
        <v>9775</v>
      </c>
      <c r="AK302" s="16"/>
      <c r="AL302" s="17"/>
      <c r="AN302" s="16"/>
    </row>
    <row r="303" spans="2:40" x14ac:dyDescent="0.4">
      <c r="B303" s="6">
        <f t="shared" si="53"/>
        <v>44457</v>
      </c>
      <c r="C303" s="8">
        <f t="shared" si="54"/>
        <v>219.65999999999997</v>
      </c>
      <c r="D303" s="5">
        <f t="shared" si="55"/>
        <v>1208.2699999999993</v>
      </c>
      <c r="E303" s="5">
        <f t="shared" si="56"/>
        <v>1529.1033333333332</v>
      </c>
      <c r="F303" s="5">
        <f t="shared" si="57"/>
        <v>2591.6033333333326</v>
      </c>
      <c r="H303" s="6"/>
      <c r="I303" s="11">
        <v>44093</v>
      </c>
      <c r="J303" s="9">
        <v>398.40199999999999</v>
      </c>
      <c r="K303" s="9">
        <v>554.53200000000004</v>
      </c>
      <c r="O303" s="11">
        <v>44485</v>
      </c>
      <c r="P303" s="9">
        <v>0</v>
      </c>
      <c r="Q303" s="9">
        <v>6807.4</v>
      </c>
      <c r="R303" s="9">
        <v>8585</v>
      </c>
      <c r="S303" s="9">
        <v>8755</v>
      </c>
      <c r="T303" s="31">
        <v>10455</v>
      </c>
      <c r="W303" s="16">
        <f t="shared" si="58"/>
        <v>44093</v>
      </c>
      <c r="X303" s="9">
        <f t="shared" si="59"/>
        <v>398.40199999999999</v>
      </c>
      <c r="Y303" s="9">
        <f t="shared" si="60"/>
        <v>554.53200000000004</v>
      </c>
      <c r="AA303" s="16">
        <f t="shared" si="61"/>
        <v>44485</v>
      </c>
      <c r="AB303" s="21">
        <v>5382.8</v>
      </c>
      <c r="AC303" s="21">
        <f t="shared" si="62"/>
        <v>6807.4</v>
      </c>
      <c r="AD303" s="21">
        <f t="shared" si="63"/>
        <v>8585</v>
      </c>
      <c r="AE303" s="21">
        <f t="shared" si="64"/>
        <v>8755</v>
      </c>
      <c r="AF303" s="21">
        <f t="shared" si="65"/>
        <v>10455</v>
      </c>
      <c r="AK303" s="16"/>
      <c r="AL303" s="17"/>
      <c r="AN303" s="16"/>
    </row>
    <row r="304" spans="2:40" x14ac:dyDescent="0.4">
      <c r="B304" s="6">
        <f t="shared" si="53"/>
        <v>44464</v>
      </c>
      <c r="C304" s="8">
        <f t="shared" si="54"/>
        <v>199.03200000000004</v>
      </c>
      <c r="D304" s="5">
        <f t="shared" si="55"/>
        <v>1162.888333333334</v>
      </c>
      <c r="E304" s="5">
        <f t="shared" si="56"/>
        <v>1512.888333333334</v>
      </c>
      <c r="F304" s="5">
        <f t="shared" si="57"/>
        <v>2562.8883333333333</v>
      </c>
      <c r="H304" s="6"/>
      <c r="I304" s="11">
        <v>44100</v>
      </c>
      <c r="J304" s="9">
        <v>402.37400000000002</v>
      </c>
      <c r="K304" s="9">
        <v>542.33199999999999</v>
      </c>
      <c r="O304" s="11">
        <v>44492</v>
      </c>
      <c r="P304" s="9">
        <v>0</v>
      </c>
      <c r="Q304" s="9">
        <v>6875.2</v>
      </c>
      <c r="R304" s="9">
        <v>8885</v>
      </c>
      <c r="S304" s="9">
        <v>9050</v>
      </c>
      <c r="T304" s="31">
        <v>10890</v>
      </c>
      <c r="W304" s="16">
        <f t="shared" si="58"/>
        <v>44100</v>
      </c>
      <c r="X304" s="9">
        <f t="shared" si="59"/>
        <v>402.37400000000002</v>
      </c>
      <c r="Y304" s="9">
        <f t="shared" si="60"/>
        <v>542.33199999999999</v>
      </c>
      <c r="AA304" s="16">
        <f t="shared" si="61"/>
        <v>44492</v>
      </c>
      <c r="AB304" s="21">
        <v>5364.6</v>
      </c>
      <c r="AC304" s="21">
        <f t="shared" si="62"/>
        <v>6875.2</v>
      </c>
      <c r="AD304" s="21">
        <f t="shared" si="63"/>
        <v>8885</v>
      </c>
      <c r="AE304" s="21">
        <f t="shared" si="64"/>
        <v>9050</v>
      </c>
      <c r="AF304" s="21">
        <f t="shared" si="65"/>
        <v>10890</v>
      </c>
      <c r="AK304" s="16"/>
      <c r="AL304" s="17"/>
      <c r="AN304" s="16"/>
    </row>
    <row r="305" spans="2:40" x14ac:dyDescent="0.4">
      <c r="B305" s="6">
        <f t="shared" si="53"/>
        <v>44471</v>
      </c>
      <c r="C305" s="8">
        <f t="shared" si="54"/>
        <v>166.03399999999999</v>
      </c>
      <c r="D305" s="5">
        <f t="shared" si="55"/>
        <v>1187.703</v>
      </c>
      <c r="E305" s="5">
        <f t="shared" si="56"/>
        <v>1517.703</v>
      </c>
      <c r="F305" s="5">
        <f t="shared" si="57"/>
        <v>2747.703</v>
      </c>
      <c r="H305" s="6"/>
      <c r="I305" s="11">
        <v>44107</v>
      </c>
      <c r="J305" s="9">
        <v>399.262</v>
      </c>
      <c r="K305" s="9">
        <v>526.51599999999996</v>
      </c>
      <c r="O305" s="11">
        <v>44499</v>
      </c>
      <c r="P305" s="9">
        <v>0</v>
      </c>
      <c r="Q305" s="9">
        <v>5906.6</v>
      </c>
      <c r="R305" s="9">
        <v>8740</v>
      </c>
      <c r="S305" s="9">
        <v>8915</v>
      </c>
      <c r="T305" s="31">
        <v>10690</v>
      </c>
      <c r="W305" s="16">
        <f t="shared" si="58"/>
        <v>44107</v>
      </c>
      <c r="X305" s="9">
        <f t="shared" si="59"/>
        <v>399.262</v>
      </c>
      <c r="Y305" s="9">
        <f t="shared" si="60"/>
        <v>526.51599999999996</v>
      </c>
      <c r="AA305" s="16">
        <f t="shared" si="61"/>
        <v>44499</v>
      </c>
      <c r="AB305" s="21">
        <v>5164.8</v>
      </c>
      <c r="AC305" s="21">
        <f t="shared" si="62"/>
        <v>5906.6</v>
      </c>
      <c r="AD305" s="21">
        <f t="shared" si="63"/>
        <v>8740</v>
      </c>
      <c r="AE305" s="21">
        <f t="shared" si="64"/>
        <v>8915</v>
      </c>
      <c r="AF305" s="21">
        <f t="shared" si="65"/>
        <v>10690</v>
      </c>
      <c r="AK305" s="16"/>
      <c r="AL305" s="17"/>
      <c r="AN305" s="16"/>
    </row>
    <row r="306" spans="2:40" x14ac:dyDescent="0.4">
      <c r="B306" s="6">
        <f t="shared" si="53"/>
        <v>44478</v>
      </c>
      <c r="C306" s="8">
        <f t="shared" si="54"/>
        <v>156.56600000000003</v>
      </c>
      <c r="D306" s="5">
        <f t="shared" si="55"/>
        <v>1317.4275000000002</v>
      </c>
      <c r="E306" s="5">
        <f t="shared" si="56"/>
        <v>1467.4275000000002</v>
      </c>
      <c r="F306" s="5">
        <f t="shared" si="57"/>
        <v>2942.4275000000002</v>
      </c>
      <c r="H306" s="6"/>
      <c r="I306" s="11">
        <v>44114</v>
      </c>
      <c r="J306" s="9">
        <v>405.16199999999998</v>
      </c>
      <c r="K306" s="9">
        <v>533.40200000000004</v>
      </c>
      <c r="O306" s="11">
        <v>44506</v>
      </c>
      <c r="P306" s="9">
        <v>0</v>
      </c>
      <c r="Q306" s="9">
        <v>5648.8</v>
      </c>
      <c r="R306" s="9">
        <v>8210</v>
      </c>
      <c r="S306" s="9">
        <v>8475</v>
      </c>
      <c r="T306" s="31">
        <v>10140</v>
      </c>
      <c r="W306" s="16">
        <f t="shared" si="58"/>
        <v>44114</v>
      </c>
      <c r="X306" s="9">
        <f t="shared" si="59"/>
        <v>405.16199999999998</v>
      </c>
      <c r="Y306" s="9">
        <f t="shared" si="60"/>
        <v>533.40200000000004</v>
      </c>
      <c r="AA306" s="16">
        <f t="shared" si="61"/>
        <v>44506</v>
      </c>
      <c r="AB306" s="21">
        <v>4988.8</v>
      </c>
      <c r="AC306" s="21">
        <f t="shared" si="62"/>
        <v>5648.8</v>
      </c>
      <c r="AD306" s="21">
        <f t="shared" si="63"/>
        <v>8210</v>
      </c>
      <c r="AE306" s="21">
        <f t="shared" si="64"/>
        <v>8475</v>
      </c>
      <c r="AF306" s="21">
        <f t="shared" si="65"/>
        <v>10140</v>
      </c>
      <c r="AK306" s="16"/>
      <c r="AL306" s="17"/>
      <c r="AN306" s="16"/>
    </row>
    <row r="307" spans="2:40" x14ac:dyDescent="0.4">
      <c r="B307" s="6">
        <f t="shared" si="53"/>
        <v>44485</v>
      </c>
      <c r="C307" s="8">
        <f t="shared" si="54"/>
        <v>169.53199999999993</v>
      </c>
      <c r="D307" s="5">
        <f t="shared" si="55"/>
        <v>1702.2270000000003</v>
      </c>
      <c r="E307" s="5">
        <f t="shared" si="56"/>
        <v>1872.2270000000003</v>
      </c>
      <c r="F307" s="5">
        <f t="shared" si="57"/>
        <v>3572.2270000000003</v>
      </c>
      <c r="H307" s="6"/>
      <c r="I307" s="11">
        <v>44121</v>
      </c>
      <c r="J307" s="9">
        <v>403.18200000000002</v>
      </c>
      <c r="K307" s="9">
        <v>542.18200000000002</v>
      </c>
      <c r="O307" s="11">
        <v>44513</v>
      </c>
      <c r="P307" s="9">
        <v>0</v>
      </c>
      <c r="Q307" s="9">
        <v>5444.6</v>
      </c>
      <c r="R307" s="9">
        <v>7965</v>
      </c>
      <c r="S307" s="9">
        <v>8145</v>
      </c>
      <c r="T307" s="31">
        <v>9790</v>
      </c>
      <c r="W307" s="16">
        <f t="shared" si="58"/>
        <v>44121</v>
      </c>
      <c r="X307" s="9">
        <f t="shared" si="59"/>
        <v>403.18200000000002</v>
      </c>
      <c r="Y307" s="9">
        <f t="shared" si="60"/>
        <v>542.18200000000002</v>
      </c>
      <c r="AA307" s="16">
        <f t="shared" si="61"/>
        <v>44513</v>
      </c>
      <c r="AB307" s="21">
        <v>4980.8</v>
      </c>
      <c r="AC307" s="21">
        <f t="shared" si="62"/>
        <v>5444.6</v>
      </c>
      <c r="AD307" s="21">
        <f t="shared" si="63"/>
        <v>7965</v>
      </c>
      <c r="AE307" s="21">
        <f t="shared" si="64"/>
        <v>8145</v>
      </c>
      <c r="AF307" s="21">
        <f t="shared" si="65"/>
        <v>9790</v>
      </c>
      <c r="AK307" s="16"/>
      <c r="AL307" s="17"/>
      <c r="AN307" s="16"/>
    </row>
    <row r="308" spans="2:40" x14ac:dyDescent="0.4">
      <c r="B308" s="6">
        <f t="shared" si="53"/>
        <v>44492</v>
      </c>
      <c r="C308" s="8">
        <f t="shared" si="54"/>
        <v>164.87</v>
      </c>
      <c r="D308" s="5">
        <f t="shared" si="55"/>
        <v>1995.0749999999998</v>
      </c>
      <c r="E308" s="5">
        <f t="shared" si="56"/>
        <v>2160.0749999999998</v>
      </c>
      <c r="F308" s="5">
        <f t="shared" si="57"/>
        <v>4000.0749999999998</v>
      </c>
      <c r="H308" s="6"/>
      <c r="I308" s="11">
        <v>44128</v>
      </c>
      <c r="J308" s="9">
        <v>385.98200000000003</v>
      </c>
      <c r="K308" s="9">
        <v>557.40200000000004</v>
      </c>
      <c r="O308" s="11">
        <v>44520</v>
      </c>
      <c r="P308" s="9">
        <v>0</v>
      </c>
      <c r="Q308" s="9">
        <v>5170.2</v>
      </c>
      <c r="R308" s="9">
        <v>7680</v>
      </c>
      <c r="S308" s="9">
        <v>7910</v>
      </c>
      <c r="T308" s="31">
        <v>9370</v>
      </c>
      <c r="W308" s="16">
        <f t="shared" si="58"/>
        <v>44128</v>
      </c>
      <c r="X308" s="9">
        <f t="shared" si="59"/>
        <v>385.98200000000003</v>
      </c>
      <c r="Y308" s="9">
        <f t="shared" si="60"/>
        <v>557.40200000000004</v>
      </c>
      <c r="AA308" s="16">
        <f t="shared" si="61"/>
        <v>44520</v>
      </c>
      <c r="AB308" s="21">
        <v>4857.6000000000004</v>
      </c>
      <c r="AC308" s="21">
        <f t="shared" si="62"/>
        <v>5170.2</v>
      </c>
      <c r="AD308" s="21">
        <f t="shared" si="63"/>
        <v>7680</v>
      </c>
      <c r="AE308" s="21">
        <f t="shared" si="64"/>
        <v>7910</v>
      </c>
      <c r="AF308" s="21">
        <f t="shared" si="65"/>
        <v>9370</v>
      </c>
      <c r="AK308" s="16"/>
      <c r="AL308" s="17"/>
      <c r="AN308" s="16"/>
    </row>
    <row r="309" spans="2:40" x14ac:dyDescent="0.4">
      <c r="B309" s="6">
        <f t="shared" si="53"/>
        <v>44499</v>
      </c>
      <c r="C309" s="8">
        <f t="shared" si="54"/>
        <v>132.71399999999994</v>
      </c>
      <c r="D309" s="5">
        <f t="shared" si="55"/>
        <v>2345.3849999999993</v>
      </c>
      <c r="E309" s="5">
        <f t="shared" si="56"/>
        <v>2520.3849999999993</v>
      </c>
      <c r="F309" s="5">
        <f t="shared" si="57"/>
        <v>4295.3849999999993</v>
      </c>
      <c r="H309" s="6"/>
      <c r="I309" s="11">
        <v>44135</v>
      </c>
      <c r="J309" s="9">
        <v>363.22</v>
      </c>
      <c r="K309" s="9">
        <v>533.53200000000004</v>
      </c>
      <c r="O309" s="11">
        <v>44527</v>
      </c>
      <c r="P309" s="9">
        <v>0</v>
      </c>
      <c r="Q309" s="9">
        <v>5226.6000000000004</v>
      </c>
      <c r="R309" s="9">
        <v>7390</v>
      </c>
      <c r="S309" s="9">
        <v>7490</v>
      </c>
      <c r="T309" s="31">
        <v>9025</v>
      </c>
      <c r="W309" s="16">
        <f t="shared" si="58"/>
        <v>44135</v>
      </c>
      <c r="X309" s="9">
        <f t="shared" si="59"/>
        <v>363.22</v>
      </c>
      <c r="Y309" s="9">
        <f t="shared" si="60"/>
        <v>533.53200000000004</v>
      </c>
      <c r="AA309" s="16">
        <f t="shared" si="61"/>
        <v>44527</v>
      </c>
      <c r="AB309" s="21">
        <v>4797.6000000000004</v>
      </c>
      <c r="AC309" s="21">
        <f t="shared" si="62"/>
        <v>5226.6000000000004</v>
      </c>
      <c r="AD309" s="21">
        <f t="shared" si="63"/>
        <v>7390</v>
      </c>
      <c r="AE309" s="21">
        <f t="shared" si="64"/>
        <v>7490</v>
      </c>
      <c r="AF309" s="21">
        <f t="shared" si="65"/>
        <v>9025</v>
      </c>
      <c r="AK309" s="16"/>
      <c r="AL309" s="17"/>
      <c r="AN309" s="16"/>
    </row>
    <row r="310" spans="2:40" x14ac:dyDescent="0.4">
      <c r="B310" s="6">
        <f t="shared" si="53"/>
        <v>44506</v>
      </c>
      <c r="C310" s="8">
        <f t="shared" si="54"/>
        <v>124.98750000000007</v>
      </c>
      <c r="D310" s="5">
        <f t="shared" si="55"/>
        <v>2052.2280000000001</v>
      </c>
      <c r="E310" s="5">
        <f t="shared" si="56"/>
        <v>2317.2280000000001</v>
      </c>
      <c r="F310" s="5">
        <f t="shared" si="57"/>
        <v>3982.2280000000001</v>
      </c>
      <c r="H310" s="6"/>
      <c r="I310" s="11">
        <v>44142</v>
      </c>
      <c r="J310" s="9">
        <v>363.262</v>
      </c>
      <c r="K310" s="9">
        <v>517.86599999999999</v>
      </c>
      <c r="O310" s="11">
        <v>44534</v>
      </c>
      <c r="P310" s="9">
        <v>0</v>
      </c>
      <c r="Q310" s="9">
        <v>4943.8</v>
      </c>
      <c r="R310" s="9">
        <v>7210</v>
      </c>
      <c r="S310" s="9">
        <v>7360</v>
      </c>
      <c r="T310" s="31">
        <v>8830</v>
      </c>
      <c r="W310" s="16">
        <f t="shared" si="58"/>
        <v>44142</v>
      </c>
      <c r="X310" s="9">
        <f t="shared" si="59"/>
        <v>363.262</v>
      </c>
      <c r="Y310" s="9">
        <f t="shared" si="60"/>
        <v>517.86599999999999</v>
      </c>
      <c r="AA310" s="16">
        <f t="shared" si="61"/>
        <v>44534</v>
      </c>
      <c r="AB310" s="21">
        <v>4451.6000000000004</v>
      </c>
      <c r="AC310" s="21">
        <f t="shared" si="62"/>
        <v>4943.8</v>
      </c>
      <c r="AD310" s="21">
        <f t="shared" si="63"/>
        <v>7210</v>
      </c>
      <c r="AE310" s="21">
        <f t="shared" si="64"/>
        <v>7360</v>
      </c>
      <c r="AF310" s="21">
        <f t="shared" si="65"/>
        <v>8830</v>
      </c>
      <c r="AK310" s="16"/>
      <c r="AL310" s="17"/>
      <c r="AN310" s="16"/>
    </row>
    <row r="311" spans="2:40" x14ac:dyDescent="0.4">
      <c r="B311" s="6">
        <f t="shared" si="53"/>
        <v>44513</v>
      </c>
      <c r="C311" s="8">
        <f t="shared" si="54"/>
        <v>126.42000000000007</v>
      </c>
      <c r="D311" s="5">
        <f t="shared" si="55"/>
        <v>1882.4749999999999</v>
      </c>
      <c r="E311" s="5">
        <f t="shared" si="56"/>
        <v>2062.4749999999999</v>
      </c>
      <c r="F311" s="5">
        <f t="shared" si="57"/>
        <v>3707.4749999999999</v>
      </c>
      <c r="H311" s="6"/>
      <c r="I311" s="11">
        <v>44149</v>
      </c>
      <c r="J311" s="9">
        <v>370.73</v>
      </c>
      <c r="K311" s="9">
        <v>529.33199999999999</v>
      </c>
      <c r="O311" s="11">
        <v>44541</v>
      </c>
      <c r="P311" s="9">
        <v>0</v>
      </c>
      <c r="Q311" s="9">
        <v>4877.3999999999996</v>
      </c>
      <c r="R311" s="9">
        <v>7055</v>
      </c>
      <c r="S311" s="9">
        <v>7215</v>
      </c>
      <c r="T311" s="31">
        <v>8620</v>
      </c>
      <c r="W311" s="16">
        <f t="shared" si="58"/>
        <v>44149</v>
      </c>
      <c r="X311" s="9">
        <f t="shared" si="59"/>
        <v>370.73</v>
      </c>
      <c r="Y311" s="9">
        <f t="shared" si="60"/>
        <v>529.33199999999999</v>
      </c>
      <c r="AA311" s="16">
        <f t="shared" si="61"/>
        <v>44541</v>
      </c>
      <c r="AB311" s="21">
        <v>4586.8</v>
      </c>
      <c r="AC311" s="21">
        <f t="shared" si="62"/>
        <v>4877.3999999999996</v>
      </c>
      <c r="AD311" s="21">
        <f t="shared" si="63"/>
        <v>7055</v>
      </c>
      <c r="AE311" s="21">
        <f t="shared" si="64"/>
        <v>7215</v>
      </c>
      <c r="AF311" s="21">
        <f t="shared" si="65"/>
        <v>8620</v>
      </c>
      <c r="AK311" s="16"/>
      <c r="AL311" s="17"/>
      <c r="AN311" s="16"/>
    </row>
    <row r="312" spans="2:40" x14ac:dyDescent="0.4">
      <c r="B312" s="6">
        <f t="shared" si="53"/>
        <v>44520</v>
      </c>
      <c r="C312" s="8">
        <f t="shared" si="54"/>
        <v>130.53000000000009</v>
      </c>
      <c r="D312" s="5">
        <f t="shared" si="55"/>
        <v>1794.7349999999994</v>
      </c>
      <c r="E312" s="5">
        <f t="shared" si="56"/>
        <v>2024.7349999999994</v>
      </c>
      <c r="F312" s="5">
        <f t="shared" si="57"/>
        <v>3484.7349999999997</v>
      </c>
      <c r="H312" s="6"/>
      <c r="I312" s="11">
        <v>44156</v>
      </c>
      <c r="J312" s="9">
        <v>381.66399999999999</v>
      </c>
      <c r="K312" s="9">
        <v>544.56600000000003</v>
      </c>
      <c r="O312" s="11">
        <v>44548</v>
      </c>
      <c r="P312" s="9">
        <v>0</v>
      </c>
      <c r="Q312" s="9">
        <v>4941.2</v>
      </c>
      <c r="R312" s="9">
        <v>7040</v>
      </c>
      <c r="S312" s="9">
        <v>7205</v>
      </c>
      <c r="T312" s="31">
        <v>8435</v>
      </c>
      <c r="W312" s="16">
        <f t="shared" si="58"/>
        <v>44156</v>
      </c>
      <c r="X312" s="9">
        <f t="shared" si="59"/>
        <v>381.66399999999999</v>
      </c>
      <c r="Y312" s="9">
        <f t="shared" si="60"/>
        <v>544.56600000000003</v>
      </c>
      <c r="AA312" s="16">
        <f t="shared" si="61"/>
        <v>44548</v>
      </c>
      <c r="AB312" s="21">
        <v>4618.3999999999996</v>
      </c>
      <c r="AC312" s="21">
        <f t="shared" si="62"/>
        <v>4941.2</v>
      </c>
      <c r="AD312" s="21">
        <f t="shared" si="63"/>
        <v>7040</v>
      </c>
      <c r="AE312" s="21">
        <f t="shared" si="64"/>
        <v>7205</v>
      </c>
      <c r="AF312" s="21">
        <f t="shared" si="65"/>
        <v>8435</v>
      </c>
      <c r="AK312" s="16"/>
      <c r="AL312" s="17"/>
      <c r="AN312" s="16"/>
    </row>
    <row r="313" spans="2:40" x14ac:dyDescent="0.4">
      <c r="B313" s="6">
        <f t="shared" si="53"/>
        <v>44527</v>
      </c>
      <c r="C313" s="8">
        <f t="shared" si="54"/>
        <v>123.09400000000005</v>
      </c>
      <c r="D313" s="5">
        <f t="shared" si="55"/>
        <v>1537.1409999999994</v>
      </c>
      <c r="E313" s="5">
        <f t="shared" si="56"/>
        <v>1637.1409999999994</v>
      </c>
      <c r="F313" s="5">
        <f t="shared" si="57"/>
        <v>3172.1409999999996</v>
      </c>
      <c r="H313" s="6"/>
      <c r="I313" s="11">
        <v>44163</v>
      </c>
      <c r="J313" s="9">
        <v>398.05</v>
      </c>
      <c r="K313" s="9">
        <v>563.35</v>
      </c>
      <c r="O313" s="11">
        <v>44555</v>
      </c>
      <c r="P313" s="9">
        <v>0</v>
      </c>
      <c r="Q313" s="9">
        <v>4809.8</v>
      </c>
      <c r="R313" s="9">
        <v>6930</v>
      </c>
      <c r="S313" s="9">
        <v>7120</v>
      </c>
      <c r="T313" s="31">
        <v>8410</v>
      </c>
      <c r="W313" s="16">
        <f t="shared" si="58"/>
        <v>44163</v>
      </c>
      <c r="X313" s="9">
        <f t="shared" si="59"/>
        <v>398.05</v>
      </c>
      <c r="Y313" s="9">
        <f t="shared" si="60"/>
        <v>563.35</v>
      </c>
      <c r="AA313" s="16">
        <f t="shared" si="61"/>
        <v>44555</v>
      </c>
      <c r="AB313" s="21">
        <v>4656.2</v>
      </c>
      <c r="AC313" s="21">
        <f t="shared" si="62"/>
        <v>4809.8</v>
      </c>
      <c r="AD313" s="21">
        <f t="shared" si="63"/>
        <v>6930</v>
      </c>
      <c r="AE313" s="21">
        <f t="shared" si="64"/>
        <v>7120</v>
      </c>
      <c r="AF313" s="21">
        <f t="shared" si="65"/>
        <v>8410</v>
      </c>
      <c r="AK313" s="16"/>
      <c r="AL313" s="17"/>
      <c r="AN313" s="16"/>
    </row>
    <row r="314" spans="2:40" x14ac:dyDescent="0.4">
      <c r="B314" s="6">
        <f t="shared" si="53"/>
        <v>44534</v>
      </c>
      <c r="C314" s="8">
        <f t="shared" si="54"/>
        <v>119.85800000000006</v>
      </c>
      <c r="D314" s="5">
        <f t="shared" si="55"/>
        <v>1747.7089999999994</v>
      </c>
      <c r="E314" s="5">
        <f t="shared" si="56"/>
        <v>1897.7089999999994</v>
      </c>
      <c r="F314" s="5">
        <f t="shared" si="57"/>
        <v>3367.7089999999994</v>
      </c>
      <c r="H314" s="6"/>
      <c r="I314" s="11">
        <v>44170</v>
      </c>
      <c r="J314" s="9">
        <v>404.92200000000003</v>
      </c>
      <c r="K314" s="9">
        <v>566.66800000000001</v>
      </c>
      <c r="O314" s="11">
        <v>44562</v>
      </c>
      <c r="P314" s="9">
        <v>0</v>
      </c>
      <c r="Q314" s="9">
        <v>4819</v>
      </c>
      <c r="R314" s="9">
        <v>7080</v>
      </c>
      <c r="S314" s="9">
        <v>7235</v>
      </c>
      <c r="T314" s="31">
        <v>8565</v>
      </c>
      <c r="W314" s="16">
        <f t="shared" si="58"/>
        <v>44170</v>
      </c>
      <c r="X314" s="9">
        <f t="shared" si="59"/>
        <v>404.92200000000003</v>
      </c>
      <c r="Y314" s="9">
        <f t="shared" si="60"/>
        <v>566.66800000000001</v>
      </c>
      <c r="AA314" s="16">
        <f t="shared" si="61"/>
        <v>44562</v>
      </c>
      <c r="AB314" s="21">
        <v>4876.8</v>
      </c>
      <c r="AC314" s="21">
        <f t="shared" si="62"/>
        <v>4819</v>
      </c>
      <c r="AD314" s="21">
        <f t="shared" si="63"/>
        <v>7080</v>
      </c>
      <c r="AE314" s="21">
        <f t="shared" si="64"/>
        <v>7235</v>
      </c>
      <c r="AF314" s="21">
        <f t="shared" si="65"/>
        <v>8565</v>
      </c>
      <c r="AK314" s="16"/>
      <c r="AL314" s="17"/>
      <c r="AN314" s="16"/>
    </row>
    <row r="315" spans="2:40" x14ac:dyDescent="0.4">
      <c r="B315" s="6">
        <f t="shared" si="53"/>
        <v>44541</v>
      </c>
      <c r="C315" s="8">
        <f t="shared" si="54"/>
        <v>113.41800000000001</v>
      </c>
      <c r="D315" s="5">
        <f t="shared" si="55"/>
        <v>1499.357</v>
      </c>
      <c r="E315" s="5">
        <f t="shared" si="56"/>
        <v>1659.357</v>
      </c>
      <c r="F315" s="5">
        <f t="shared" si="57"/>
        <v>3064.357</v>
      </c>
      <c r="H315" s="6"/>
      <c r="I315" s="11">
        <v>44177</v>
      </c>
      <c r="J315" s="9">
        <v>438.79399999999998</v>
      </c>
      <c r="K315" s="9">
        <v>590.28</v>
      </c>
      <c r="O315" s="11">
        <v>44569</v>
      </c>
      <c r="P315" s="9">
        <v>0</v>
      </c>
      <c r="Q315" s="9">
        <v>5027.75</v>
      </c>
      <c r="R315" s="9">
        <v>7237.5</v>
      </c>
      <c r="S315" s="9">
        <v>7456.25</v>
      </c>
      <c r="T315" s="31">
        <v>8781.25</v>
      </c>
      <c r="W315" s="16">
        <f t="shared" si="58"/>
        <v>44177</v>
      </c>
      <c r="X315" s="9">
        <f t="shared" si="59"/>
        <v>438.79399999999998</v>
      </c>
      <c r="Y315" s="9">
        <f t="shared" si="60"/>
        <v>590.28</v>
      </c>
      <c r="AA315" s="16">
        <f t="shared" si="61"/>
        <v>44569</v>
      </c>
      <c r="AB315" s="21">
        <v>5103.5</v>
      </c>
      <c r="AC315" s="21">
        <f t="shared" si="62"/>
        <v>5027.75</v>
      </c>
      <c r="AD315" s="21">
        <f t="shared" si="63"/>
        <v>7237.5</v>
      </c>
      <c r="AE315" s="21">
        <f t="shared" si="64"/>
        <v>7456.25</v>
      </c>
      <c r="AF315" s="21">
        <f t="shared" si="65"/>
        <v>8781.25</v>
      </c>
      <c r="AK315" s="16"/>
      <c r="AL315" s="17"/>
      <c r="AN315" s="16"/>
    </row>
    <row r="316" spans="2:40" x14ac:dyDescent="0.4">
      <c r="B316" s="6">
        <f t="shared" si="53"/>
        <v>44548</v>
      </c>
      <c r="C316" s="8">
        <f t="shared" si="54"/>
        <v>107.74400000000003</v>
      </c>
      <c r="D316" s="5">
        <f t="shared" si="55"/>
        <v>1435.9660000000003</v>
      </c>
      <c r="E316" s="5">
        <f t="shared" si="56"/>
        <v>1600.9660000000003</v>
      </c>
      <c r="F316" s="5">
        <f t="shared" si="57"/>
        <v>2830.9659999999999</v>
      </c>
      <c r="H316" s="6"/>
      <c r="I316" s="11">
        <v>44184</v>
      </c>
      <c r="J316" s="9">
        <v>467.17599999999999</v>
      </c>
      <c r="K316" s="9">
        <v>616.40200000000004</v>
      </c>
      <c r="O316" s="11">
        <v>44576</v>
      </c>
      <c r="P316" s="9">
        <v>0</v>
      </c>
      <c r="Q316" s="9">
        <v>5120.3999999999996</v>
      </c>
      <c r="R316" s="9">
        <v>7545</v>
      </c>
      <c r="S316" s="9">
        <v>7780</v>
      </c>
      <c r="T316" s="31">
        <v>9070</v>
      </c>
      <c r="W316" s="16">
        <f t="shared" si="58"/>
        <v>44184</v>
      </c>
      <c r="X316" s="9">
        <f t="shared" si="59"/>
        <v>467.17599999999999</v>
      </c>
      <c r="Y316" s="9">
        <f t="shared" si="60"/>
        <v>616.40200000000004</v>
      </c>
      <c r="AA316" s="16">
        <f t="shared" si="61"/>
        <v>44576</v>
      </c>
      <c r="AB316" s="21">
        <v>5219.2</v>
      </c>
      <c r="AC316" s="21">
        <f t="shared" si="62"/>
        <v>5120.3999999999996</v>
      </c>
      <c r="AD316" s="21">
        <f t="shared" si="63"/>
        <v>7545</v>
      </c>
      <c r="AE316" s="21">
        <f t="shared" si="64"/>
        <v>7780</v>
      </c>
      <c r="AF316" s="21">
        <f t="shared" si="65"/>
        <v>9070</v>
      </c>
      <c r="AK316" s="16"/>
      <c r="AL316" s="17"/>
      <c r="AN316" s="16"/>
    </row>
    <row r="317" spans="2:40" x14ac:dyDescent="0.4">
      <c r="B317" s="6">
        <f t="shared" si="53"/>
        <v>44555</v>
      </c>
      <c r="C317" s="8">
        <f t="shared" si="54"/>
        <v>126.52800000000002</v>
      </c>
      <c r="D317" s="5">
        <f t="shared" si="55"/>
        <v>1337.6659999999999</v>
      </c>
      <c r="E317" s="5">
        <f t="shared" si="56"/>
        <v>1527.6659999999999</v>
      </c>
      <c r="F317" s="5">
        <f t="shared" si="57"/>
        <v>2817.6660000000002</v>
      </c>
      <c r="H317" s="6"/>
      <c r="I317" s="11">
        <v>44191</v>
      </c>
      <c r="J317" s="9">
        <v>473.71249999999998</v>
      </c>
      <c r="K317" s="9">
        <v>611.625</v>
      </c>
      <c r="O317" s="11">
        <v>44583</v>
      </c>
      <c r="P317" s="9">
        <v>0</v>
      </c>
      <c r="Q317" s="9">
        <v>5242.6000000000004</v>
      </c>
      <c r="R317" s="9">
        <v>7725</v>
      </c>
      <c r="S317" s="9">
        <v>8055</v>
      </c>
      <c r="T317" s="31">
        <v>9300</v>
      </c>
      <c r="W317" s="16">
        <f t="shared" si="58"/>
        <v>44191</v>
      </c>
      <c r="X317" s="9">
        <f t="shared" si="59"/>
        <v>473.71249999999998</v>
      </c>
      <c r="Y317" s="9">
        <f t="shared" si="60"/>
        <v>611.625</v>
      </c>
      <c r="AA317" s="16">
        <f t="shared" si="61"/>
        <v>44583</v>
      </c>
      <c r="AB317" s="21">
        <v>5289.4</v>
      </c>
      <c r="AC317" s="21">
        <f t="shared" si="62"/>
        <v>5242.6000000000004</v>
      </c>
      <c r="AD317" s="21">
        <f t="shared" si="63"/>
        <v>7725</v>
      </c>
      <c r="AE317" s="21">
        <f t="shared" si="64"/>
        <v>8055</v>
      </c>
      <c r="AF317" s="21">
        <f t="shared" si="65"/>
        <v>9300</v>
      </c>
      <c r="AK317" s="16"/>
      <c r="AL317" s="17"/>
      <c r="AN317" s="16"/>
    </row>
    <row r="318" spans="2:40" x14ac:dyDescent="0.4">
      <c r="B318" s="6">
        <f t="shared" si="53"/>
        <v>44562</v>
      </c>
      <c r="C318" s="8">
        <f t="shared" si="54"/>
        <v>130.89249999999993</v>
      </c>
      <c r="D318" s="5">
        <f t="shared" si="55"/>
        <v>1295.9710000000002</v>
      </c>
      <c r="E318" s="5">
        <f t="shared" si="56"/>
        <v>1450.9710000000002</v>
      </c>
      <c r="F318" s="5">
        <f t="shared" si="57"/>
        <v>2780.9710000000005</v>
      </c>
      <c r="H318" s="6"/>
      <c r="I318" s="11">
        <v>44198</v>
      </c>
      <c r="J318" s="9">
        <v>493.21</v>
      </c>
      <c r="K318" s="9">
        <v>627.66750000000002</v>
      </c>
      <c r="O318" s="11">
        <v>44590</v>
      </c>
      <c r="P318" s="9">
        <v>0</v>
      </c>
      <c r="Q318" s="9">
        <v>5288.833333333333</v>
      </c>
      <c r="R318" s="9">
        <v>7758.333333333333</v>
      </c>
      <c r="S318" s="9">
        <v>8000</v>
      </c>
      <c r="T318" s="31">
        <v>9316.6666666666661</v>
      </c>
      <c r="W318" s="16">
        <f t="shared" si="58"/>
        <v>44198</v>
      </c>
      <c r="X318" s="9">
        <f t="shared" si="59"/>
        <v>493.21</v>
      </c>
      <c r="Y318" s="9">
        <f t="shared" si="60"/>
        <v>627.66750000000002</v>
      </c>
      <c r="AA318" s="16">
        <f t="shared" si="61"/>
        <v>44590</v>
      </c>
      <c r="AB318" s="21">
        <v>5348.333333333333</v>
      </c>
      <c r="AC318" s="21">
        <f t="shared" si="62"/>
        <v>5288.833333333333</v>
      </c>
      <c r="AD318" s="21">
        <f t="shared" si="63"/>
        <v>7758.333333333333</v>
      </c>
      <c r="AE318" s="21">
        <f t="shared" si="64"/>
        <v>8000</v>
      </c>
      <c r="AF318" s="21">
        <f t="shared" si="65"/>
        <v>9316.6666666666661</v>
      </c>
      <c r="AK318" s="16"/>
      <c r="AL318" s="17"/>
      <c r="AN318" s="16"/>
    </row>
    <row r="319" spans="2:40" x14ac:dyDescent="0.4">
      <c r="B319" s="6">
        <f t="shared" si="53"/>
        <v>44569</v>
      </c>
      <c r="C319" s="8">
        <f t="shared" si="54"/>
        <v>194.91800000000001</v>
      </c>
      <c r="D319" s="5">
        <f t="shared" si="55"/>
        <v>1189.7112499999996</v>
      </c>
      <c r="E319" s="5">
        <f t="shared" si="56"/>
        <v>1408.4612499999996</v>
      </c>
      <c r="F319" s="5">
        <f t="shared" si="57"/>
        <v>2733.4612499999994</v>
      </c>
      <c r="H319" s="6"/>
      <c r="I319" s="11">
        <v>44205</v>
      </c>
      <c r="J319" s="9">
        <v>509.42399999999998</v>
      </c>
      <c r="K319" s="9">
        <v>677.4</v>
      </c>
      <c r="O319" s="11">
        <v>44597</v>
      </c>
      <c r="P319" s="9">
        <v>0</v>
      </c>
      <c r="Q319" s="9">
        <v>5381</v>
      </c>
      <c r="R319" s="9">
        <v>7800</v>
      </c>
      <c r="S319" s="9">
        <v>8000</v>
      </c>
      <c r="T319" s="31">
        <v>9350</v>
      </c>
      <c r="W319" s="16">
        <f t="shared" si="58"/>
        <v>44205</v>
      </c>
      <c r="X319" s="9">
        <f t="shared" si="59"/>
        <v>509.42399999999998</v>
      </c>
      <c r="Y319" s="9">
        <f t="shared" si="60"/>
        <v>677.4</v>
      </c>
      <c r="AA319" s="16">
        <f t="shared" si="61"/>
        <v>44597</v>
      </c>
      <c r="AB319" s="21">
        <v>5470</v>
      </c>
      <c r="AC319" s="21">
        <f t="shared" si="62"/>
        <v>5381</v>
      </c>
      <c r="AD319" s="21">
        <f t="shared" si="63"/>
        <v>7800</v>
      </c>
      <c r="AE319" s="21">
        <f t="shared" si="64"/>
        <v>8000</v>
      </c>
      <c r="AF319" s="21">
        <f t="shared" si="65"/>
        <v>9350</v>
      </c>
      <c r="AK319" s="16"/>
      <c r="AL319" s="17"/>
      <c r="AN319" s="16"/>
    </row>
    <row r="320" spans="2:40" x14ac:dyDescent="0.4">
      <c r="B320" s="6">
        <f t="shared" si="53"/>
        <v>44576</v>
      </c>
      <c r="C320" s="8">
        <f t="shared" si="54"/>
        <v>169.08600000000001</v>
      </c>
      <c r="D320" s="5">
        <f t="shared" si="55"/>
        <v>1367.2499999999998</v>
      </c>
      <c r="E320" s="5">
        <f t="shared" si="56"/>
        <v>1602.2499999999998</v>
      </c>
      <c r="F320" s="5">
        <f t="shared" si="57"/>
        <v>2892.25</v>
      </c>
      <c r="H320" s="6"/>
      <c r="I320" s="11">
        <v>44212</v>
      </c>
      <c r="J320" s="9">
        <v>536.524</v>
      </c>
      <c r="K320" s="9">
        <v>690.43399999999997</v>
      </c>
      <c r="O320" s="11">
        <v>44604</v>
      </c>
      <c r="P320" s="9">
        <v>0</v>
      </c>
      <c r="Q320" s="9">
        <v>5291.8</v>
      </c>
      <c r="R320" s="9">
        <v>8035</v>
      </c>
      <c r="S320" s="9">
        <v>8300</v>
      </c>
      <c r="T320" s="31">
        <v>9570</v>
      </c>
      <c r="W320" s="16">
        <f t="shared" si="58"/>
        <v>44212</v>
      </c>
      <c r="X320" s="9">
        <f t="shared" si="59"/>
        <v>536.524</v>
      </c>
      <c r="Y320" s="9">
        <f t="shared" si="60"/>
        <v>690.43399999999997</v>
      </c>
      <c r="AA320" s="16">
        <f t="shared" si="61"/>
        <v>44604</v>
      </c>
      <c r="AB320" s="21">
        <v>5672.4</v>
      </c>
      <c r="AC320" s="21">
        <f t="shared" si="62"/>
        <v>5291.8</v>
      </c>
      <c r="AD320" s="21">
        <f t="shared" si="63"/>
        <v>8035</v>
      </c>
      <c r="AE320" s="21">
        <f t="shared" si="64"/>
        <v>8300</v>
      </c>
      <c r="AF320" s="21">
        <f t="shared" si="65"/>
        <v>9570</v>
      </c>
      <c r="AK320" s="16"/>
      <c r="AL320" s="17"/>
      <c r="AN320" s="16"/>
    </row>
    <row r="321" spans="2:40" x14ac:dyDescent="0.4">
      <c r="B321" s="6">
        <f t="shared" si="53"/>
        <v>44583</v>
      </c>
      <c r="C321" s="8">
        <f t="shared" si="54"/>
        <v>185.23599999999999</v>
      </c>
      <c r="D321" s="5">
        <f t="shared" si="55"/>
        <v>1446.2919999999999</v>
      </c>
      <c r="E321" s="5">
        <f t="shared" si="56"/>
        <v>1776.2919999999999</v>
      </c>
      <c r="F321" s="5">
        <f t="shared" si="57"/>
        <v>3021.2919999999999</v>
      </c>
      <c r="H321" s="6"/>
      <c r="I321" s="11">
        <v>44219</v>
      </c>
      <c r="J321" s="9">
        <v>526.654</v>
      </c>
      <c r="K321" s="9">
        <v>686.73400000000004</v>
      </c>
      <c r="O321" s="11">
        <v>44611</v>
      </c>
      <c r="P321" s="9">
        <v>0</v>
      </c>
      <c r="Q321" s="9">
        <v>5045.8</v>
      </c>
      <c r="R321" s="9">
        <v>8065</v>
      </c>
      <c r="S321" s="9">
        <v>8305</v>
      </c>
      <c r="T321" s="31">
        <v>9560</v>
      </c>
      <c r="W321" s="16">
        <f t="shared" si="58"/>
        <v>44219</v>
      </c>
      <c r="X321" s="9">
        <f t="shared" si="59"/>
        <v>526.654</v>
      </c>
      <c r="Y321" s="9">
        <f t="shared" si="60"/>
        <v>686.73400000000004</v>
      </c>
      <c r="AA321" s="16">
        <f t="shared" si="61"/>
        <v>44611</v>
      </c>
      <c r="AB321" s="21">
        <v>5471</v>
      </c>
      <c r="AC321" s="21">
        <f t="shared" si="62"/>
        <v>5045.8</v>
      </c>
      <c r="AD321" s="21">
        <f t="shared" si="63"/>
        <v>8065</v>
      </c>
      <c r="AE321" s="21">
        <f t="shared" si="64"/>
        <v>8305</v>
      </c>
      <c r="AF321" s="21">
        <f t="shared" si="65"/>
        <v>9560</v>
      </c>
      <c r="AK321" s="16"/>
      <c r="AL321" s="17"/>
      <c r="AN321" s="16"/>
    </row>
    <row r="322" spans="2:40" x14ac:dyDescent="0.4">
      <c r="B322" s="6">
        <f t="shared" si="53"/>
        <v>44590</v>
      </c>
      <c r="C322" s="8">
        <f t="shared" si="54"/>
        <v>192.67000000000007</v>
      </c>
      <c r="D322" s="5">
        <f t="shared" si="55"/>
        <v>1413.7491666666665</v>
      </c>
      <c r="E322" s="5">
        <f t="shared" si="56"/>
        <v>1655.4158333333335</v>
      </c>
      <c r="F322" s="5">
        <f t="shared" si="57"/>
        <v>2972.0824999999995</v>
      </c>
      <c r="H322" s="6"/>
      <c r="I322" s="11">
        <v>44226</v>
      </c>
      <c r="J322" s="9">
        <v>521.32399999999996</v>
      </c>
      <c r="K322" s="9">
        <v>686.53399999999999</v>
      </c>
      <c r="O322" s="11">
        <v>44618</v>
      </c>
      <c r="P322" s="9">
        <v>0</v>
      </c>
      <c r="Q322" s="9">
        <v>4956.8</v>
      </c>
      <c r="R322" s="9">
        <v>7885</v>
      </c>
      <c r="S322" s="9">
        <v>8045</v>
      </c>
      <c r="T322" s="31">
        <v>9330</v>
      </c>
      <c r="W322" s="16">
        <f t="shared" si="58"/>
        <v>44226</v>
      </c>
      <c r="X322" s="9">
        <f t="shared" si="59"/>
        <v>521.32399999999996</v>
      </c>
      <c r="Y322" s="9">
        <f t="shared" si="60"/>
        <v>686.53399999999999</v>
      </c>
      <c r="AA322" s="16">
        <f t="shared" si="61"/>
        <v>44618</v>
      </c>
      <c r="AB322" s="21">
        <v>5510.8</v>
      </c>
      <c r="AC322" s="21">
        <f t="shared" si="62"/>
        <v>4956.8</v>
      </c>
      <c r="AD322" s="21">
        <f t="shared" si="63"/>
        <v>7885</v>
      </c>
      <c r="AE322" s="21">
        <f t="shared" si="64"/>
        <v>8045</v>
      </c>
      <c r="AF322" s="21">
        <f t="shared" si="65"/>
        <v>9330</v>
      </c>
      <c r="AK322" s="16"/>
      <c r="AL322" s="17"/>
      <c r="AN322" s="16"/>
    </row>
    <row r="323" spans="2:40" x14ac:dyDescent="0.4">
      <c r="B323" s="6">
        <f t="shared" si="53"/>
        <v>44597</v>
      </c>
      <c r="C323" s="8">
        <f t="shared" si="54"/>
        <v>207.79000000000008</v>
      </c>
      <c r="D323" s="5">
        <f t="shared" si="55"/>
        <v>1320.5150000000003</v>
      </c>
      <c r="E323" s="5">
        <f t="shared" si="56"/>
        <v>1520.5150000000003</v>
      </c>
      <c r="F323" s="5">
        <f t="shared" si="57"/>
        <v>2870.5150000000003</v>
      </c>
      <c r="H323" s="6"/>
      <c r="I323" s="11">
        <v>44233</v>
      </c>
      <c r="J323" s="9">
        <v>545.1</v>
      </c>
      <c r="K323" s="9">
        <v>736.59799999999996</v>
      </c>
      <c r="O323" s="11">
        <v>44625</v>
      </c>
      <c r="P323" s="9">
        <v>0</v>
      </c>
      <c r="Q323" s="9">
        <v>5089</v>
      </c>
      <c r="R323" s="9">
        <v>7910</v>
      </c>
      <c r="S323" s="9">
        <v>8260</v>
      </c>
      <c r="T323" s="31">
        <v>9500</v>
      </c>
      <c r="W323" s="16">
        <f t="shared" si="58"/>
        <v>44233</v>
      </c>
      <c r="X323" s="9">
        <f t="shared" si="59"/>
        <v>545.1</v>
      </c>
      <c r="Y323" s="9">
        <f t="shared" si="60"/>
        <v>736.59799999999996</v>
      </c>
      <c r="AA323" s="16">
        <f t="shared" si="61"/>
        <v>44625</v>
      </c>
      <c r="AB323" s="21">
        <v>5888.2</v>
      </c>
      <c r="AC323" s="21">
        <f t="shared" si="62"/>
        <v>5089</v>
      </c>
      <c r="AD323" s="21">
        <f t="shared" si="63"/>
        <v>7910</v>
      </c>
      <c r="AE323" s="21">
        <f t="shared" si="64"/>
        <v>8260</v>
      </c>
      <c r="AF323" s="21">
        <f t="shared" si="65"/>
        <v>9500</v>
      </c>
      <c r="AK323" s="16"/>
      <c r="AL323" s="17"/>
      <c r="AN323" s="16"/>
    </row>
    <row r="324" spans="2:40" x14ac:dyDescent="0.4">
      <c r="B324" s="6">
        <f t="shared" si="53"/>
        <v>44604</v>
      </c>
      <c r="C324" s="8">
        <f t="shared" si="54"/>
        <v>222.67600000000004</v>
      </c>
      <c r="D324" s="5">
        <f t="shared" si="55"/>
        <v>1412.3450000000007</v>
      </c>
      <c r="E324" s="5">
        <f t="shared" si="56"/>
        <v>1677.3450000000007</v>
      </c>
      <c r="F324" s="5">
        <f t="shared" si="57"/>
        <v>2947.3450000000007</v>
      </c>
      <c r="H324" s="6"/>
      <c r="I324" s="11">
        <v>44240</v>
      </c>
      <c r="J324" s="9">
        <v>564.21</v>
      </c>
      <c r="K324" s="9">
        <v>746.46</v>
      </c>
      <c r="O324" s="11">
        <v>44632</v>
      </c>
      <c r="P324" s="9">
        <v>0</v>
      </c>
      <c r="Q324" s="9">
        <v>5468.2</v>
      </c>
      <c r="R324" s="9">
        <v>8320</v>
      </c>
      <c r="S324" s="9">
        <v>8725</v>
      </c>
      <c r="T324" s="31">
        <v>9925</v>
      </c>
      <c r="W324" s="16">
        <f t="shared" si="58"/>
        <v>44240</v>
      </c>
      <c r="X324" s="9">
        <f t="shared" si="59"/>
        <v>564.21</v>
      </c>
      <c r="Y324" s="9">
        <f t="shared" si="60"/>
        <v>746.46</v>
      </c>
      <c r="AA324" s="16">
        <f t="shared" si="61"/>
        <v>44632</v>
      </c>
      <c r="AB324" s="21">
        <v>6257</v>
      </c>
      <c r="AC324" s="21">
        <f t="shared" si="62"/>
        <v>5468.2</v>
      </c>
      <c r="AD324" s="21">
        <f t="shared" si="63"/>
        <v>8320</v>
      </c>
      <c r="AE324" s="21">
        <f t="shared" si="64"/>
        <v>8725</v>
      </c>
      <c r="AF324" s="21">
        <f t="shared" si="65"/>
        <v>9925</v>
      </c>
      <c r="AK324" s="16"/>
      <c r="AL324" s="17"/>
      <c r="AN324" s="16"/>
    </row>
    <row r="325" spans="2:40" x14ac:dyDescent="0.4">
      <c r="B325" s="6">
        <f t="shared" si="53"/>
        <v>44611</v>
      </c>
      <c r="C325" s="8">
        <f t="shared" si="54"/>
        <v>198.01199999999994</v>
      </c>
      <c r="D325" s="5">
        <f t="shared" si="55"/>
        <v>1696.952</v>
      </c>
      <c r="E325" s="5">
        <f t="shared" si="56"/>
        <v>1936.952</v>
      </c>
      <c r="F325" s="5">
        <f t="shared" si="57"/>
        <v>3191.9520000000002</v>
      </c>
      <c r="H325" s="6"/>
      <c r="I325" s="11">
        <v>44247</v>
      </c>
      <c r="J325" s="9">
        <v>577.56399999999996</v>
      </c>
      <c r="K325" s="9">
        <v>774.96400000000006</v>
      </c>
      <c r="O325" s="11">
        <v>44639</v>
      </c>
      <c r="P325" s="9">
        <v>0</v>
      </c>
      <c r="Q325" s="9">
        <v>5089.3999999999996</v>
      </c>
      <c r="R325" s="9">
        <v>8110</v>
      </c>
      <c r="S325" s="9">
        <v>8555</v>
      </c>
      <c r="T325" s="31">
        <v>9730</v>
      </c>
      <c r="W325" s="16">
        <f t="shared" si="58"/>
        <v>44247</v>
      </c>
      <c r="X325" s="9">
        <f t="shared" si="59"/>
        <v>577.56399999999996</v>
      </c>
      <c r="Y325" s="9">
        <f t="shared" si="60"/>
        <v>774.96400000000006</v>
      </c>
      <c r="AA325" s="16">
        <f t="shared" si="61"/>
        <v>44639</v>
      </c>
      <c r="AB325" s="21">
        <v>5796.6</v>
      </c>
      <c r="AC325" s="21">
        <f t="shared" si="62"/>
        <v>5089.3999999999996</v>
      </c>
      <c r="AD325" s="21">
        <f t="shared" si="63"/>
        <v>8110</v>
      </c>
      <c r="AE325" s="21">
        <f t="shared" si="64"/>
        <v>8555</v>
      </c>
      <c r="AF325" s="21">
        <f t="shared" si="65"/>
        <v>9730</v>
      </c>
      <c r="AK325" s="16"/>
      <c r="AL325" s="17"/>
      <c r="AN325" s="16"/>
    </row>
    <row r="326" spans="2:40" x14ac:dyDescent="0.4">
      <c r="B326" s="6">
        <f t="shared" ref="B326:B389" si="66">I378</f>
        <v>44618</v>
      </c>
      <c r="C326" s="8">
        <f t="shared" ref="C326:C389" si="67">Y378-X378</f>
        <v>181.66199999999992</v>
      </c>
      <c r="D326" s="5">
        <f t="shared" ref="D326:D389" si="68">IFERROR(VLOOKUP(B326,$AA:$AF,4,1)-0.855*VLOOKUP(B326,$AA:$AF,2,1)-0.335*VLOOKUP(B326,$AA:$AF,3,1),D325)</f>
        <v>1512.7379999999994</v>
      </c>
      <c r="E326" s="5">
        <f t="shared" ref="E326:E389" si="69">IFERROR(VLOOKUP(B326,$AA:$AF,5,1)-0.855*VLOOKUP(B326,$AA:$AF,2,1)-0.335*VLOOKUP(B326,$AA:$AF,3,1),E325)</f>
        <v>1672.7379999999994</v>
      </c>
      <c r="F326" s="5">
        <f t="shared" ref="F326:F389" si="70">IFERROR(VLOOKUP(B326,$AA:$AF,6,1)-0.855*VLOOKUP(B326,$AA:$AF,2,1)-0.335*VLOOKUP(B326,$AA:$AF,3,1),F325)</f>
        <v>2957.7379999999994</v>
      </c>
      <c r="H326" s="6"/>
      <c r="I326" s="11">
        <v>44254</v>
      </c>
      <c r="J326" s="9">
        <v>606.56600000000003</v>
      </c>
      <c r="K326" s="9">
        <v>860.23</v>
      </c>
      <c r="O326" s="11">
        <v>44646</v>
      </c>
      <c r="P326" s="9">
        <v>0</v>
      </c>
      <c r="Q326" s="9">
        <v>5122.3999999999996</v>
      </c>
      <c r="R326" s="9">
        <v>8020</v>
      </c>
      <c r="S326" s="9">
        <v>8445</v>
      </c>
      <c r="T326" s="31">
        <v>9585</v>
      </c>
      <c r="W326" s="16">
        <f t="shared" ref="W326:W389" si="71">I326</f>
        <v>44254</v>
      </c>
      <c r="X326" s="9">
        <f t="shared" ref="X326:X389" si="72">IFERROR(IF(J326&lt;&gt;0,J326,X325),X325)</f>
        <v>606.56600000000003</v>
      </c>
      <c r="Y326" s="9">
        <f t="shared" ref="Y326:Y389" si="73">IFERROR(IF(K326&lt;&gt;0,K326,Y325),Y325)</f>
        <v>860.23</v>
      </c>
      <c r="AA326" s="16">
        <f t="shared" ref="AA326:AA389" si="74">O326</f>
        <v>44646</v>
      </c>
      <c r="AB326" s="21">
        <v>6167.4</v>
      </c>
      <c r="AC326" s="21">
        <f t="shared" ref="AC326:AC389" si="75">IFERROR(IF(Q326&lt;&gt;0,Q326,AC325),AC325)</f>
        <v>5122.3999999999996</v>
      </c>
      <c r="AD326" s="21">
        <f t="shared" ref="AD326:AD389" si="76">IFERROR(IF(R326&lt;&gt;0,R326,AD325),AD325)</f>
        <v>8020</v>
      </c>
      <c r="AE326" s="21">
        <f t="shared" ref="AE326:AE389" si="77">IFERROR(IF(S326&lt;&gt;0,S326,AE325),AE325)</f>
        <v>8445</v>
      </c>
      <c r="AF326" s="21">
        <f t="shared" ref="AF326:AF389" si="78">IFERROR(IF(T326&lt;&gt;0,T326,AF325),AF325)</f>
        <v>9585</v>
      </c>
      <c r="AK326" s="16"/>
      <c r="AL326" s="17"/>
      <c r="AN326" s="16"/>
    </row>
    <row r="327" spans="2:40" x14ac:dyDescent="0.4">
      <c r="B327" s="6">
        <f t="shared" si="66"/>
        <v>44625</v>
      </c>
      <c r="C327" s="8">
        <f t="shared" si="67"/>
        <v>119.66599999999994</v>
      </c>
      <c r="D327" s="5">
        <f t="shared" si="68"/>
        <v>1170.7739999999999</v>
      </c>
      <c r="E327" s="5">
        <f t="shared" si="69"/>
        <v>1520.7739999999999</v>
      </c>
      <c r="F327" s="5">
        <f t="shared" si="70"/>
        <v>2760.7739999999999</v>
      </c>
      <c r="H327" s="6"/>
      <c r="I327" s="11">
        <v>44261</v>
      </c>
      <c r="J327" s="9">
        <v>607.05200000000002</v>
      </c>
      <c r="K327" s="9">
        <v>854.56799999999998</v>
      </c>
      <c r="O327" s="11">
        <v>44653</v>
      </c>
      <c r="P327" s="9">
        <v>0</v>
      </c>
      <c r="Q327" s="9">
        <v>5131.666666666667</v>
      </c>
      <c r="R327" s="9">
        <v>7850</v>
      </c>
      <c r="S327" s="9">
        <v>8308.3333333333339</v>
      </c>
      <c r="T327" s="31">
        <v>9345.8333333333339</v>
      </c>
      <c r="W327" s="16">
        <f t="shared" si="71"/>
        <v>44261</v>
      </c>
      <c r="X327" s="9">
        <f t="shared" si="72"/>
        <v>607.05200000000002</v>
      </c>
      <c r="Y327" s="9">
        <f t="shared" si="73"/>
        <v>854.56799999999998</v>
      </c>
      <c r="AA327" s="16">
        <f t="shared" si="74"/>
        <v>44653</v>
      </c>
      <c r="AB327" s="21">
        <v>6113.333333333333</v>
      </c>
      <c r="AC327" s="21">
        <f t="shared" si="75"/>
        <v>5131.666666666667</v>
      </c>
      <c r="AD327" s="21">
        <f t="shared" si="76"/>
        <v>7850</v>
      </c>
      <c r="AE327" s="21">
        <f t="shared" si="77"/>
        <v>8308.3333333333339</v>
      </c>
      <c r="AF327" s="21">
        <f t="shared" si="78"/>
        <v>9345.8333333333339</v>
      </c>
      <c r="AK327" s="16"/>
      <c r="AL327" s="17"/>
      <c r="AN327" s="16"/>
    </row>
    <row r="328" spans="2:40" x14ac:dyDescent="0.4">
      <c r="B328" s="6">
        <f t="shared" si="66"/>
        <v>44632</v>
      </c>
      <c r="C328" s="8">
        <f t="shared" si="67"/>
        <v>155.61799999999994</v>
      </c>
      <c r="D328" s="5">
        <f t="shared" si="68"/>
        <v>1138.4180000000003</v>
      </c>
      <c r="E328" s="5">
        <f t="shared" si="69"/>
        <v>1543.4180000000003</v>
      </c>
      <c r="F328" s="5">
        <f t="shared" si="70"/>
        <v>2743.4180000000006</v>
      </c>
      <c r="H328" s="6"/>
      <c r="I328" s="11">
        <v>44268</v>
      </c>
      <c r="J328" s="9">
        <v>630.97199999999998</v>
      </c>
      <c r="K328" s="9">
        <v>855.99800000000005</v>
      </c>
      <c r="O328" s="11">
        <v>44660</v>
      </c>
      <c r="P328" s="9">
        <v>0</v>
      </c>
      <c r="Q328" s="9">
        <v>5005</v>
      </c>
      <c r="R328" s="9">
        <v>7716.666666666667</v>
      </c>
      <c r="S328" s="9">
        <v>8258.3333333333339</v>
      </c>
      <c r="T328" s="31">
        <v>9300</v>
      </c>
      <c r="W328" s="16">
        <f t="shared" si="71"/>
        <v>44268</v>
      </c>
      <c r="X328" s="9">
        <f t="shared" si="72"/>
        <v>630.97199999999998</v>
      </c>
      <c r="Y328" s="9">
        <f t="shared" si="73"/>
        <v>855.99800000000005</v>
      </c>
      <c r="AA328" s="16">
        <f t="shared" si="74"/>
        <v>44660</v>
      </c>
      <c r="AB328" s="21">
        <v>6146.666666666667</v>
      </c>
      <c r="AC328" s="21">
        <f t="shared" si="75"/>
        <v>5005</v>
      </c>
      <c r="AD328" s="21">
        <f t="shared" si="76"/>
        <v>7716.666666666667</v>
      </c>
      <c r="AE328" s="21">
        <f t="shared" si="77"/>
        <v>8258.3333333333339</v>
      </c>
      <c r="AF328" s="21">
        <f t="shared" si="78"/>
        <v>9300</v>
      </c>
      <c r="AK328" s="16"/>
      <c r="AL328" s="17"/>
      <c r="AN328" s="16"/>
    </row>
    <row r="329" spans="2:40" x14ac:dyDescent="0.4">
      <c r="B329" s="6">
        <f t="shared" si="66"/>
        <v>44639</v>
      </c>
      <c r="C329" s="8">
        <f t="shared" si="67"/>
        <v>214.89999999999998</v>
      </c>
      <c r="D329" s="5">
        <f t="shared" si="68"/>
        <v>1448.9580000000001</v>
      </c>
      <c r="E329" s="5">
        <f t="shared" si="69"/>
        <v>1893.9580000000001</v>
      </c>
      <c r="F329" s="5">
        <f t="shared" si="70"/>
        <v>3068.9580000000001</v>
      </c>
      <c r="H329" s="6"/>
      <c r="I329" s="11">
        <v>44275</v>
      </c>
      <c r="J329" s="9">
        <v>614.726</v>
      </c>
      <c r="K329" s="9">
        <v>837.59799999999996</v>
      </c>
      <c r="O329" s="11">
        <v>44667</v>
      </c>
      <c r="P329" s="9">
        <v>0</v>
      </c>
      <c r="Q329" s="9">
        <v>4835.2</v>
      </c>
      <c r="R329" s="9">
        <v>7665</v>
      </c>
      <c r="S329" s="9">
        <v>8245</v>
      </c>
      <c r="T329" s="31">
        <v>9190</v>
      </c>
      <c r="W329" s="16">
        <f t="shared" si="71"/>
        <v>44275</v>
      </c>
      <c r="X329" s="9">
        <f t="shared" si="72"/>
        <v>614.726</v>
      </c>
      <c r="Y329" s="9">
        <f t="shared" si="73"/>
        <v>837.59799999999996</v>
      </c>
      <c r="AA329" s="16">
        <f t="shared" si="74"/>
        <v>44667</v>
      </c>
      <c r="AB329" s="21">
        <v>6142.6</v>
      </c>
      <c r="AC329" s="21">
        <f t="shared" si="75"/>
        <v>4835.2</v>
      </c>
      <c r="AD329" s="21">
        <f t="shared" si="76"/>
        <v>7665</v>
      </c>
      <c r="AE329" s="21">
        <f t="shared" si="77"/>
        <v>8245</v>
      </c>
      <c r="AF329" s="21">
        <f t="shared" si="78"/>
        <v>9190</v>
      </c>
      <c r="AK329" s="16"/>
      <c r="AL329" s="17"/>
      <c r="AN329" s="16"/>
    </row>
    <row r="330" spans="2:40" x14ac:dyDescent="0.4">
      <c r="B330" s="6">
        <f t="shared" si="66"/>
        <v>44646</v>
      </c>
      <c r="C330" s="8">
        <f t="shared" si="67"/>
        <v>227.87599999999998</v>
      </c>
      <c r="D330" s="5">
        <f t="shared" si="68"/>
        <v>1030.8690000000006</v>
      </c>
      <c r="E330" s="5">
        <f t="shared" si="69"/>
        <v>1455.8690000000006</v>
      </c>
      <c r="F330" s="5">
        <f t="shared" si="70"/>
        <v>2595.8690000000006</v>
      </c>
      <c r="H330" s="6"/>
      <c r="I330" s="11">
        <v>44282</v>
      </c>
      <c r="J330" s="9">
        <v>582.18799999999999</v>
      </c>
      <c r="K330" s="9">
        <v>802.33</v>
      </c>
      <c r="O330" s="11">
        <v>44674</v>
      </c>
      <c r="P330" s="9">
        <v>0</v>
      </c>
      <c r="Q330" s="9">
        <v>4920.3999999999996</v>
      </c>
      <c r="R330" s="9">
        <v>7995</v>
      </c>
      <c r="S330" s="9">
        <v>8530</v>
      </c>
      <c r="T330" s="31">
        <v>9320</v>
      </c>
      <c r="W330" s="16">
        <f t="shared" si="71"/>
        <v>44282</v>
      </c>
      <c r="X330" s="9">
        <f t="shared" si="72"/>
        <v>582.18799999999999</v>
      </c>
      <c r="Y330" s="9">
        <f t="shared" si="73"/>
        <v>802.33</v>
      </c>
      <c r="AA330" s="16">
        <f t="shared" si="74"/>
        <v>44674</v>
      </c>
      <c r="AB330" s="21">
        <v>6266.4</v>
      </c>
      <c r="AC330" s="21">
        <f t="shared" si="75"/>
        <v>4920.3999999999996</v>
      </c>
      <c r="AD330" s="21">
        <f t="shared" si="76"/>
        <v>7995</v>
      </c>
      <c r="AE330" s="21">
        <f t="shared" si="77"/>
        <v>8530</v>
      </c>
      <c r="AF330" s="21">
        <f t="shared" si="78"/>
        <v>9320</v>
      </c>
      <c r="AK330" s="16"/>
      <c r="AL330" s="17"/>
      <c r="AN330" s="16"/>
    </row>
    <row r="331" spans="2:40" x14ac:dyDescent="0.4">
      <c r="B331" s="6">
        <f t="shared" si="66"/>
        <v>44653</v>
      </c>
      <c r="C331" s="8">
        <f t="shared" si="67"/>
        <v>237.15600000000006</v>
      </c>
      <c r="D331" s="5">
        <f t="shared" si="68"/>
        <v>903.99166666666679</v>
      </c>
      <c r="E331" s="5">
        <f t="shared" si="69"/>
        <v>1362.3250000000007</v>
      </c>
      <c r="F331" s="5">
        <f t="shared" si="70"/>
        <v>2399.8250000000007</v>
      </c>
      <c r="H331" s="6"/>
      <c r="I331" s="11">
        <v>44289</v>
      </c>
      <c r="J331" s="9">
        <v>583.07749999999999</v>
      </c>
      <c r="K331" s="9">
        <v>811.16499999999996</v>
      </c>
      <c r="O331" s="11">
        <v>44681</v>
      </c>
      <c r="P331" s="9">
        <v>0</v>
      </c>
      <c r="Q331" s="9">
        <v>4723.5</v>
      </c>
      <c r="R331" s="9">
        <v>7720.833333333333</v>
      </c>
      <c r="S331" s="9">
        <v>8316.6666666666661</v>
      </c>
      <c r="T331" s="31">
        <v>9162.5</v>
      </c>
      <c r="W331" s="16">
        <f t="shared" si="71"/>
        <v>44289</v>
      </c>
      <c r="X331" s="9">
        <f t="shared" si="72"/>
        <v>583.07749999999999</v>
      </c>
      <c r="Y331" s="9">
        <f t="shared" si="73"/>
        <v>811.16499999999996</v>
      </c>
      <c r="AA331" s="16">
        <f t="shared" si="74"/>
        <v>44681</v>
      </c>
      <c r="AB331" s="21">
        <v>6212.333333333333</v>
      </c>
      <c r="AC331" s="21">
        <f t="shared" si="75"/>
        <v>4723.5</v>
      </c>
      <c r="AD331" s="21">
        <f t="shared" si="76"/>
        <v>7720.833333333333</v>
      </c>
      <c r="AE331" s="21">
        <f t="shared" si="77"/>
        <v>8316.6666666666661</v>
      </c>
      <c r="AF331" s="21">
        <f t="shared" si="78"/>
        <v>9162.5</v>
      </c>
      <c r="AK331" s="16"/>
      <c r="AL331" s="17"/>
      <c r="AN331" s="16"/>
    </row>
    <row r="332" spans="2:40" x14ac:dyDescent="0.4">
      <c r="B332" s="6">
        <f t="shared" si="66"/>
        <v>44660</v>
      </c>
      <c r="C332" s="8">
        <f t="shared" si="67"/>
        <v>274.46999999999991</v>
      </c>
      <c r="D332" s="5">
        <f t="shared" si="68"/>
        <v>784.59166666666624</v>
      </c>
      <c r="E332" s="5">
        <f t="shared" si="69"/>
        <v>1326.2583333333332</v>
      </c>
      <c r="F332" s="5">
        <f t="shared" si="70"/>
        <v>2367.9249999999993</v>
      </c>
      <c r="H332" s="6"/>
      <c r="I332" s="11">
        <v>44296</v>
      </c>
      <c r="J332" s="9">
        <v>575.03200000000004</v>
      </c>
      <c r="K332" s="9">
        <v>808.53399999999999</v>
      </c>
      <c r="O332" s="11">
        <v>44688</v>
      </c>
      <c r="P332" s="9">
        <v>6540</v>
      </c>
      <c r="Q332" s="9">
        <v>4903</v>
      </c>
      <c r="R332" s="9">
        <v>8050</v>
      </c>
      <c r="S332" s="9">
        <v>8650</v>
      </c>
      <c r="T332" s="31">
        <v>9316.6666666666661</v>
      </c>
      <c r="W332" s="16">
        <f t="shared" si="71"/>
        <v>44296</v>
      </c>
      <c r="X332" s="9">
        <f t="shared" si="72"/>
        <v>575.03200000000004</v>
      </c>
      <c r="Y332" s="9">
        <f t="shared" si="73"/>
        <v>808.53399999999999</v>
      </c>
      <c r="AA332" s="16">
        <f t="shared" si="74"/>
        <v>44688</v>
      </c>
      <c r="AB332" s="21">
        <f t="shared" ref="AB332:AB389" si="79">IFERROR(IF(P332&lt;&gt;0,P332,AB331),AB331)</f>
        <v>6540</v>
      </c>
      <c r="AC332" s="21">
        <f t="shared" si="75"/>
        <v>4903</v>
      </c>
      <c r="AD332" s="21">
        <f t="shared" si="76"/>
        <v>8050</v>
      </c>
      <c r="AE332" s="21">
        <f t="shared" si="77"/>
        <v>8650</v>
      </c>
      <c r="AF332" s="21">
        <f t="shared" si="78"/>
        <v>9316.6666666666661</v>
      </c>
      <c r="AK332" s="16"/>
      <c r="AL332" s="17"/>
      <c r="AN332" s="16"/>
    </row>
    <row r="333" spans="2:40" x14ac:dyDescent="0.4">
      <c r="B333" s="6">
        <f t="shared" si="66"/>
        <v>44667</v>
      </c>
      <c r="C333" s="8">
        <f t="shared" si="67"/>
        <v>263.4325</v>
      </c>
      <c r="D333" s="5">
        <f t="shared" si="68"/>
        <v>793.28500000000008</v>
      </c>
      <c r="E333" s="5">
        <f t="shared" si="69"/>
        <v>1373.2850000000001</v>
      </c>
      <c r="F333" s="5">
        <f t="shared" si="70"/>
        <v>2318.2849999999999</v>
      </c>
      <c r="H333" s="6"/>
      <c r="I333" s="11">
        <v>44303</v>
      </c>
      <c r="J333" s="9">
        <v>575.78399999999999</v>
      </c>
      <c r="K333" s="9">
        <v>832.93200000000002</v>
      </c>
      <c r="O333" s="11">
        <v>44695</v>
      </c>
      <c r="P333" s="9">
        <v>6520</v>
      </c>
      <c r="Q333" s="9">
        <v>4874.8</v>
      </c>
      <c r="R333" s="9">
        <v>8185</v>
      </c>
      <c r="S333" s="9">
        <v>8775</v>
      </c>
      <c r="T333" s="31">
        <v>9385</v>
      </c>
      <c r="W333" s="16">
        <f t="shared" si="71"/>
        <v>44303</v>
      </c>
      <c r="X333" s="9">
        <f t="shared" si="72"/>
        <v>575.78399999999999</v>
      </c>
      <c r="Y333" s="9">
        <f t="shared" si="73"/>
        <v>832.93200000000002</v>
      </c>
      <c r="AA333" s="16">
        <f t="shared" si="74"/>
        <v>44695</v>
      </c>
      <c r="AB333" s="21">
        <f t="shared" si="79"/>
        <v>6520</v>
      </c>
      <c r="AC333" s="21">
        <f t="shared" si="75"/>
        <v>4874.8</v>
      </c>
      <c r="AD333" s="21">
        <f t="shared" si="76"/>
        <v>8185</v>
      </c>
      <c r="AE333" s="21">
        <f t="shared" si="77"/>
        <v>8775</v>
      </c>
      <c r="AF333" s="21">
        <f t="shared" si="78"/>
        <v>9385</v>
      </c>
      <c r="AK333" s="16"/>
      <c r="AL333" s="17"/>
      <c r="AN333" s="16"/>
    </row>
    <row r="334" spans="2:40" x14ac:dyDescent="0.4">
      <c r="B334" s="6">
        <f t="shared" si="66"/>
        <v>44674</v>
      </c>
      <c r="C334" s="8">
        <f t="shared" si="67"/>
        <v>283.38</v>
      </c>
      <c r="D334" s="5">
        <f t="shared" si="68"/>
        <v>988.89400000000001</v>
      </c>
      <c r="E334" s="5">
        <f t="shared" si="69"/>
        <v>1523.894</v>
      </c>
      <c r="F334" s="5">
        <f t="shared" si="70"/>
        <v>2313.8940000000002</v>
      </c>
      <c r="H334" s="6"/>
      <c r="I334" s="11">
        <v>44310</v>
      </c>
      <c r="J334" s="9">
        <v>579.572</v>
      </c>
      <c r="K334" s="9">
        <v>852.83</v>
      </c>
      <c r="O334" s="11">
        <v>44702</v>
      </c>
      <c r="P334" s="9">
        <v>6774</v>
      </c>
      <c r="Q334" s="9">
        <v>4969.2</v>
      </c>
      <c r="R334" s="9">
        <v>8515</v>
      </c>
      <c r="S334" s="9">
        <v>8975</v>
      </c>
      <c r="T334" s="31">
        <v>9650</v>
      </c>
      <c r="W334" s="16">
        <f t="shared" si="71"/>
        <v>44310</v>
      </c>
      <c r="X334" s="9">
        <f t="shared" si="72"/>
        <v>579.572</v>
      </c>
      <c r="Y334" s="9">
        <f t="shared" si="73"/>
        <v>852.83</v>
      </c>
      <c r="AA334" s="16">
        <f t="shared" si="74"/>
        <v>44702</v>
      </c>
      <c r="AB334" s="21">
        <f t="shared" si="79"/>
        <v>6774</v>
      </c>
      <c r="AC334" s="21">
        <f t="shared" si="75"/>
        <v>4969.2</v>
      </c>
      <c r="AD334" s="21">
        <f t="shared" si="76"/>
        <v>8515</v>
      </c>
      <c r="AE334" s="21">
        <f t="shared" si="77"/>
        <v>8975</v>
      </c>
      <c r="AF334" s="21">
        <f t="shared" si="78"/>
        <v>9650</v>
      </c>
      <c r="AK334" s="16"/>
      <c r="AL334" s="17"/>
      <c r="AN334" s="16"/>
    </row>
    <row r="335" spans="2:40" x14ac:dyDescent="0.4">
      <c r="B335" s="6">
        <f t="shared" si="66"/>
        <v>44681</v>
      </c>
      <c r="C335" s="8">
        <f t="shared" si="67"/>
        <v>287.87599999999986</v>
      </c>
      <c r="D335" s="5">
        <f t="shared" si="68"/>
        <v>826.91583333333278</v>
      </c>
      <c r="E335" s="5">
        <f t="shared" si="69"/>
        <v>1422.7491666666658</v>
      </c>
      <c r="F335" s="5">
        <f t="shared" si="70"/>
        <v>2268.5824999999995</v>
      </c>
      <c r="H335" s="6"/>
      <c r="I335" s="11">
        <v>44317</v>
      </c>
      <c r="J335" s="9">
        <v>593.23599999999999</v>
      </c>
      <c r="K335" s="9">
        <v>866.73</v>
      </c>
      <c r="O335" s="11">
        <v>44709</v>
      </c>
      <c r="P335" s="9">
        <v>6788.8</v>
      </c>
      <c r="Q335" s="9">
        <v>4821.8</v>
      </c>
      <c r="R335" s="9">
        <v>8500</v>
      </c>
      <c r="S335" s="9">
        <v>8890</v>
      </c>
      <c r="T335" s="31">
        <v>9655</v>
      </c>
      <c r="W335" s="16">
        <f t="shared" si="71"/>
        <v>44317</v>
      </c>
      <c r="X335" s="9">
        <f t="shared" si="72"/>
        <v>593.23599999999999</v>
      </c>
      <c r="Y335" s="9">
        <f t="shared" si="73"/>
        <v>866.73</v>
      </c>
      <c r="AA335" s="16">
        <f t="shared" si="74"/>
        <v>44709</v>
      </c>
      <c r="AB335" s="21">
        <f t="shared" si="79"/>
        <v>6788.8</v>
      </c>
      <c r="AC335" s="21">
        <f t="shared" si="75"/>
        <v>4821.8</v>
      </c>
      <c r="AD335" s="21">
        <f t="shared" si="76"/>
        <v>8500</v>
      </c>
      <c r="AE335" s="21">
        <f t="shared" si="77"/>
        <v>8890</v>
      </c>
      <c r="AF335" s="21">
        <f t="shared" si="78"/>
        <v>9655</v>
      </c>
      <c r="AK335" s="16"/>
      <c r="AL335" s="17"/>
      <c r="AN335" s="16"/>
    </row>
    <row r="336" spans="2:40" x14ac:dyDescent="0.4">
      <c r="B336" s="6">
        <f t="shared" si="66"/>
        <v>44688</v>
      </c>
      <c r="C336" s="8">
        <f t="shared" si="67"/>
        <v>297.0533333333334</v>
      </c>
      <c r="D336" s="5">
        <f t="shared" si="68"/>
        <v>815.79500000000007</v>
      </c>
      <c r="E336" s="5">
        <f t="shared" si="69"/>
        <v>1415.7950000000001</v>
      </c>
      <c r="F336" s="5">
        <f t="shared" si="70"/>
        <v>2082.4616666666661</v>
      </c>
      <c r="H336" s="6"/>
      <c r="I336" s="11">
        <v>44324</v>
      </c>
      <c r="J336" s="9">
        <v>614.89400000000001</v>
      </c>
      <c r="K336" s="9">
        <v>873.87</v>
      </c>
      <c r="O336" s="11">
        <v>44716</v>
      </c>
      <c r="P336" s="9">
        <v>6848.25</v>
      </c>
      <c r="Q336" s="9">
        <v>4906.25</v>
      </c>
      <c r="R336" s="9">
        <v>8643.75</v>
      </c>
      <c r="S336" s="9">
        <v>8975</v>
      </c>
      <c r="T336" s="31">
        <v>9781.25</v>
      </c>
      <c r="W336" s="16">
        <f t="shared" si="71"/>
        <v>44324</v>
      </c>
      <c r="X336" s="9">
        <f t="shared" si="72"/>
        <v>614.89400000000001</v>
      </c>
      <c r="Y336" s="9">
        <f t="shared" si="73"/>
        <v>873.87</v>
      </c>
      <c r="AA336" s="16">
        <f t="shared" si="74"/>
        <v>44716</v>
      </c>
      <c r="AB336" s="21">
        <f t="shared" si="79"/>
        <v>6848.25</v>
      </c>
      <c r="AC336" s="21">
        <f t="shared" si="75"/>
        <v>4906.25</v>
      </c>
      <c r="AD336" s="21">
        <f t="shared" si="76"/>
        <v>8643.75</v>
      </c>
      <c r="AE336" s="21">
        <f t="shared" si="77"/>
        <v>8975</v>
      </c>
      <c r="AF336" s="21">
        <f t="shared" si="78"/>
        <v>9781.25</v>
      </c>
      <c r="AK336" s="16"/>
      <c r="AL336" s="17"/>
      <c r="AN336" s="16"/>
    </row>
    <row r="337" spans="2:40" x14ac:dyDescent="0.4">
      <c r="B337" s="6">
        <f t="shared" si="66"/>
        <v>44695</v>
      </c>
      <c r="C337" s="8">
        <f t="shared" si="67"/>
        <v>330.11599999999999</v>
      </c>
      <c r="D337" s="5">
        <f t="shared" si="68"/>
        <v>977.34200000000033</v>
      </c>
      <c r="E337" s="5">
        <f t="shared" si="69"/>
        <v>1567.3420000000003</v>
      </c>
      <c r="F337" s="5">
        <f t="shared" si="70"/>
        <v>2177.3420000000006</v>
      </c>
      <c r="H337" s="6"/>
      <c r="I337" s="11">
        <v>44331</v>
      </c>
      <c r="J337" s="9">
        <v>610.77</v>
      </c>
      <c r="K337" s="9">
        <v>871.53399999999999</v>
      </c>
      <c r="O337" s="11">
        <v>44723</v>
      </c>
      <c r="P337" s="9">
        <v>7554.6</v>
      </c>
      <c r="Q337" s="9">
        <v>5067</v>
      </c>
      <c r="R337" s="9">
        <v>9190</v>
      </c>
      <c r="S337" s="9">
        <v>9460</v>
      </c>
      <c r="T337" s="31">
        <v>10265</v>
      </c>
      <c r="W337" s="16">
        <f t="shared" si="71"/>
        <v>44331</v>
      </c>
      <c r="X337" s="9">
        <f t="shared" si="72"/>
        <v>610.77</v>
      </c>
      <c r="Y337" s="9">
        <f t="shared" si="73"/>
        <v>871.53399999999999</v>
      </c>
      <c r="AA337" s="16">
        <f t="shared" si="74"/>
        <v>44723</v>
      </c>
      <c r="AB337" s="21">
        <f t="shared" si="79"/>
        <v>7554.6</v>
      </c>
      <c r="AC337" s="21">
        <f t="shared" si="75"/>
        <v>5067</v>
      </c>
      <c r="AD337" s="21">
        <f t="shared" si="76"/>
        <v>9190</v>
      </c>
      <c r="AE337" s="21">
        <f t="shared" si="77"/>
        <v>9460</v>
      </c>
      <c r="AF337" s="21">
        <f t="shared" si="78"/>
        <v>10265</v>
      </c>
      <c r="AK337" s="16"/>
      <c r="AL337" s="17"/>
      <c r="AN337" s="16"/>
    </row>
    <row r="338" spans="2:40" x14ac:dyDescent="0.4">
      <c r="B338" s="6">
        <f t="shared" si="66"/>
        <v>44702</v>
      </c>
      <c r="C338" s="8">
        <f t="shared" si="67"/>
        <v>387.81999999999994</v>
      </c>
      <c r="D338" s="5">
        <f t="shared" si="68"/>
        <v>1058.5480000000005</v>
      </c>
      <c r="E338" s="5">
        <f t="shared" si="69"/>
        <v>1518.5480000000005</v>
      </c>
      <c r="F338" s="5">
        <f t="shared" si="70"/>
        <v>2193.5480000000007</v>
      </c>
      <c r="H338" s="6"/>
      <c r="I338" s="11">
        <v>44338</v>
      </c>
      <c r="J338" s="9">
        <v>605.75800000000004</v>
      </c>
      <c r="K338" s="9">
        <v>855.17</v>
      </c>
      <c r="O338" s="11">
        <v>44730</v>
      </c>
      <c r="P338" s="9">
        <v>7350.2</v>
      </c>
      <c r="Q338" s="9">
        <v>5114</v>
      </c>
      <c r="R338" s="9">
        <v>9230</v>
      </c>
      <c r="S338" s="9">
        <v>9575</v>
      </c>
      <c r="T338" s="31">
        <v>10310</v>
      </c>
      <c r="W338" s="16">
        <f t="shared" si="71"/>
        <v>44338</v>
      </c>
      <c r="X338" s="9">
        <f t="shared" si="72"/>
        <v>605.75800000000004</v>
      </c>
      <c r="Y338" s="9">
        <f t="shared" si="73"/>
        <v>855.17</v>
      </c>
      <c r="AA338" s="16">
        <f t="shared" si="74"/>
        <v>44730</v>
      </c>
      <c r="AB338" s="21">
        <f t="shared" si="79"/>
        <v>7350.2</v>
      </c>
      <c r="AC338" s="21">
        <f t="shared" si="75"/>
        <v>5114</v>
      </c>
      <c r="AD338" s="21">
        <f t="shared" si="76"/>
        <v>9230</v>
      </c>
      <c r="AE338" s="21">
        <f t="shared" si="77"/>
        <v>9575</v>
      </c>
      <c r="AF338" s="21">
        <f t="shared" si="78"/>
        <v>10310</v>
      </c>
      <c r="AK338" s="16"/>
      <c r="AL338" s="17"/>
      <c r="AN338" s="16"/>
    </row>
    <row r="339" spans="2:40" x14ac:dyDescent="0.4">
      <c r="B339" s="6">
        <f t="shared" si="66"/>
        <v>44709</v>
      </c>
      <c r="C339" s="8">
        <f t="shared" si="67"/>
        <v>424.57400000000007</v>
      </c>
      <c r="D339" s="5">
        <f t="shared" si="68"/>
        <v>1080.2729999999999</v>
      </c>
      <c r="E339" s="5">
        <f t="shared" si="69"/>
        <v>1470.2729999999999</v>
      </c>
      <c r="F339" s="5">
        <f t="shared" si="70"/>
        <v>2235.2730000000001</v>
      </c>
      <c r="H339" s="6"/>
      <c r="I339" s="11">
        <v>44345</v>
      </c>
      <c r="J339" s="9">
        <v>616.90499999999997</v>
      </c>
      <c r="K339" s="9">
        <v>851.17</v>
      </c>
      <c r="O339" s="11">
        <v>44737</v>
      </c>
      <c r="P339" s="9">
        <v>6996</v>
      </c>
      <c r="Q339" s="9">
        <v>4674.8</v>
      </c>
      <c r="R339" s="9">
        <v>8905</v>
      </c>
      <c r="S339" s="9">
        <v>9270</v>
      </c>
      <c r="T339" s="31">
        <v>9935</v>
      </c>
      <c r="W339" s="16">
        <f t="shared" si="71"/>
        <v>44345</v>
      </c>
      <c r="X339" s="9">
        <f t="shared" si="72"/>
        <v>616.90499999999997</v>
      </c>
      <c r="Y339" s="9">
        <f t="shared" si="73"/>
        <v>851.17</v>
      </c>
      <c r="AA339" s="16">
        <f t="shared" si="74"/>
        <v>44737</v>
      </c>
      <c r="AB339" s="21">
        <f t="shared" si="79"/>
        <v>6996</v>
      </c>
      <c r="AC339" s="21">
        <f t="shared" si="75"/>
        <v>4674.8</v>
      </c>
      <c r="AD339" s="21">
        <f t="shared" si="76"/>
        <v>8905</v>
      </c>
      <c r="AE339" s="21">
        <f t="shared" si="77"/>
        <v>9270</v>
      </c>
      <c r="AF339" s="21">
        <f t="shared" si="78"/>
        <v>9935</v>
      </c>
      <c r="AK339" s="16"/>
      <c r="AL339" s="17"/>
      <c r="AN339" s="16"/>
    </row>
    <row r="340" spans="2:40" x14ac:dyDescent="0.4">
      <c r="B340" s="6">
        <f t="shared" si="66"/>
        <v>44716</v>
      </c>
      <c r="C340" s="8">
        <f t="shared" si="67"/>
        <v>446.41800000000001</v>
      </c>
      <c r="D340" s="5">
        <f t="shared" si="68"/>
        <v>1144.9025000000001</v>
      </c>
      <c r="E340" s="5">
        <f t="shared" si="69"/>
        <v>1476.1525000000001</v>
      </c>
      <c r="F340" s="5">
        <f t="shared" si="70"/>
        <v>2282.4025000000001</v>
      </c>
      <c r="H340" s="6"/>
      <c r="I340" s="11">
        <v>44352</v>
      </c>
      <c r="J340" s="9">
        <v>637.18600000000004</v>
      </c>
      <c r="K340" s="9">
        <v>850.63400000000001</v>
      </c>
      <c r="O340" s="11">
        <v>44744</v>
      </c>
      <c r="P340" s="9">
        <v>6741.8</v>
      </c>
      <c r="Q340" s="9">
        <v>4399.3999999999996</v>
      </c>
      <c r="R340" s="9">
        <v>8410</v>
      </c>
      <c r="S340" s="9">
        <v>9035</v>
      </c>
      <c r="T340" s="31">
        <v>9550</v>
      </c>
      <c r="W340" s="16">
        <f t="shared" si="71"/>
        <v>44352</v>
      </c>
      <c r="X340" s="9">
        <f t="shared" si="72"/>
        <v>637.18600000000004</v>
      </c>
      <c r="Y340" s="9">
        <f t="shared" si="73"/>
        <v>850.63400000000001</v>
      </c>
      <c r="AA340" s="16">
        <f t="shared" si="74"/>
        <v>44744</v>
      </c>
      <c r="AB340" s="21">
        <f t="shared" si="79"/>
        <v>6741.8</v>
      </c>
      <c r="AC340" s="21">
        <f t="shared" si="75"/>
        <v>4399.3999999999996</v>
      </c>
      <c r="AD340" s="21">
        <f t="shared" si="76"/>
        <v>8410</v>
      </c>
      <c r="AE340" s="21">
        <f t="shared" si="77"/>
        <v>9035</v>
      </c>
      <c r="AF340" s="21">
        <f t="shared" si="78"/>
        <v>9550</v>
      </c>
      <c r="AK340" s="16"/>
      <c r="AL340" s="17"/>
      <c r="AN340" s="16"/>
    </row>
    <row r="341" spans="2:40" x14ac:dyDescent="0.4">
      <c r="B341" s="6">
        <f t="shared" si="66"/>
        <v>44723</v>
      </c>
      <c r="C341" s="8">
        <f t="shared" si="67"/>
        <v>638.79399999999998</v>
      </c>
      <c r="D341" s="5">
        <f t="shared" si="68"/>
        <v>1033.3719999999998</v>
      </c>
      <c r="E341" s="5">
        <f t="shared" si="69"/>
        <v>1303.3719999999998</v>
      </c>
      <c r="F341" s="5">
        <f t="shared" si="70"/>
        <v>2108.3719999999998</v>
      </c>
      <c r="H341" s="6"/>
      <c r="I341" s="11">
        <v>44359</v>
      </c>
      <c r="J341" s="9">
        <v>645.76400000000001</v>
      </c>
      <c r="K341" s="9">
        <v>855.13400000000001</v>
      </c>
      <c r="O341" s="11">
        <v>44751</v>
      </c>
      <c r="P341" s="9">
        <v>6655</v>
      </c>
      <c r="Q341" s="9">
        <v>4327.8</v>
      </c>
      <c r="R341" s="9">
        <v>8185</v>
      </c>
      <c r="S341" s="9">
        <v>8800</v>
      </c>
      <c r="T341" s="31">
        <v>9355</v>
      </c>
      <c r="W341" s="16">
        <f t="shared" si="71"/>
        <v>44359</v>
      </c>
      <c r="X341" s="9">
        <f t="shared" si="72"/>
        <v>645.76400000000001</v>
      </c>
      <c r="Y341" s="9">
        <f t="shared" si="73"/>
        <v>855.13400000000001</v>
      </c>
      <c r="AA341" s="16">
        <f t="shared" si="74"/>
        <v>44751</v>
      </c>
      <c r="AB341" s="21">
        <f t="shared" si="79"/>
        <v>6655</v>
      </c>
      <c r="AC341" s="21">
        <f t="shared" si="75"/>
        <v>4327.8</v>
      </c>
      <c r="AD341" s="21">
        <f t="shared" si="76"/>
        <v>8185</v>
      </c>
      <c r="AE341" s="21">
        <f t="shared" si="77"/>
        <v>8800</v>
      </c>
      <c r="AF341" s="21">
        <f t="shared" si="78"/>
        <v>9355</v>
      </c>
      <c r="AK341" s="16"/>
      <c r="AL341" s="17"/>
      <c r="AN341" s="16"/>
    </row>
    <row r="342" spans="2:40" x14ac:dyDescent="0.4">
      <c r="B342" s="6">
        <f t="shared" si="66"/>
        <v>44730</v>
      </c>
      <c r="C342" s="8">
        <f t="shared" si="67"/>
        <v>508.60599999999999</v>
      </c>
      <c r="D342" s="5">
        <f t="shared" si="68"/>
        <v>1232.3890000000006</v>
      </c>
      <c r="E342" s="5">
        <f t="shared" si="69"/>
        <v>1577.3890000000006</v>
      </c>
      <c r="F342" s="5">
        <f t="shared" si="70"/>
        <v>2312.3890000000006</v>
      </c>
      <c r="H342" s="6"/>
      <c r="I342" s="11">
        <v>44366</v>
      </c>
      <c r="J342" s="9">
        <v>645.572</v>
      </c>
      <c r="K342" s="9">
        <v>872.89800000000002</v>
      </c>
      <c r="O342" s="11">
        <v>44758</v>
      </c>
      <c r="P342" s="9">
        <v>6158.6</v>
      </c>
      <c r="Q342" s="9">
        <v>4255.3999999999996</v>
      </c>
      <c r="R342" s="9">
        <v>7850</v>
      </c>
      <c r="S342" s="9">
        <v>8500</v>
      </c>
      <c r="T342" s="31">
        <v>9105</v>
      </c>
      <c r="W342" s="16">
        <f t="shared" si="71"/>
        <v>44366</v>
      </c>
      <c r="X342" s="9">
        <f t="shared" si="72"/>
        <v>645.572</v>
      </c>
      <c r="Y342" s="9">
        <f t="shared" si="73"/>
        <v>872.89800000000002</v>
      </c>
      <c r="AA342" s="16">
        <f t="shared" si="74"/>
        <v>44758</v>
      </c>
      <c r="AB342" s="21">
        <f t="shared" si="79"/>
        <v>6158.6</v>
      </c>
      <c r="AC342" s="21">
        <f t="shared" si="75"/>
        <v>4255.3999999999996</v>
      </c>
      <c r="AD342" s="21">
        <f t="shared" si="76"/>
        <v>7850</v>
      </c>
      <c r="AE342" s="21">
        <f t="shared" si="77"/>
        <v>8500</v>
      </c>
      <c r="AF342" s="21">
        <f t="shared" si="78"/>
        <v>9105</v>
      </c>
      <c r="AK342" s="16"/>
      <c r="AL342" s="17"/>
      <c r="AN342" s="16"/>
    </row>
    <row r="343" spans="2:40" x14ac:dyDescent="0.4">
      <c r="B343" s="6">
        <f t="shared" si="66"/>
        <v>44737</v>
      </c>
      <c r="C343" s="8">
        <f t="shared" si="67"/>
        <v>506.0100000000001</v>
      </c>
      <c r="D343" s="5">
        <f t="shared" si="68"/>
        <v>1357.3619999999999</v>
      </c>
      <c r="E343" s="5">
        <f t="shared" si="69"/>
        <v>1722.3619999999999</v>
      </c>
      <c r="F343" s="5">
        <f t="shared" si="70"/>
        <v>2387.3620000000001</v>
      </c>
      <c r="H343" s="6"/>
      <c r="I343" s="11">
        <v>44373</v>
      </c>
      <c r="J343" s="9">
        <v>659.78599999999994</v>
      </c>
      <c r="K343" s="9">
        <v>900.40200000000004</v>
      </c>
      <c r="O343" s="11">
        <v>44765</v>
      </c>
      <c r="P343" s="9">
        <v>5764</v>
      </c>
      <c r="Q343" s="9">
        <v>4279.3999999999996</v>
      </c>
      <c r="R343" s="9">
        <v>7740</v>
      </c>
      <c r="S343" s="9">
        <v>8275</v>
      </c>
      <c r="T343" s="31">
        <v>8890</v>
      </c>
      <c r="W343" s="16">
        <f t="shared" si="71"/>
        <v>44373</v>
      </c>
      <c r="X343" s="9">
        <f t="shared" si="72"/>
        <v>659.78599999999994</v>
      </c>
      <c r="Y343" s="9">
        <f t="shared" si="73"/>
        <v>900.40200000000004</v>
      </c>
      <c r="AA343" s="16">
        <f t="shared" si="74"/>
        <v>44765</v>
      </c>
      <c r="AB343" s="21">
        <f t="shared" si="79"/>
        <v>5764</v>
      </c>
      <c r="AC343" s="21">
        <f t="shared" si="75"/>
        <v>4279.3999999999996</v>
      </c>
      <c r="AD343" s="21">
        <f t="shared" si="76"/>
        <v>7740</v>
      </c>
      <c r="AE343" s="21">
        <f t="shared" si="77"/>
        <v>8275</v>
      </c>
      <c r="AF343" s="21">
        <f t="shared" si="78"/>
        <v>8890</v>
      </c>
      <c r="AK343" s="16"/>
      <c r="AL343" s="17"/>
      <c r="AN343" s="16"/>
    </row>
    <row r="344" spans="2:40" x14ac:dyDescent="0.4">
      <c r="B344" s="6">
        <f t="shared" si="66"/>
        <v>44744</v>
      </c>
      <c r="C344" s="8">
        <f t="shared" si="67"/>
        <v>427.41599999999994</v>
      </c>
      <c r="D344" s="5">
        <f t="shared" si="68"/>
        <v>1171.9619999999995</v>
      </c>
      <c r="E344" s="5">
        <f t="shared" si="69"/>
        <v>1796.9619999999995</v>
      </c>
      <c r="F344" s="5">
        <f t="shared" si="70"/>
        <v>2311.9619999999995</v>
      </c>
      <c r="H344" s="6"/>
      <c r="I344" s="11">
        <v>44380</v>
      </c>
      <c r="J344" s="9">
        <v>675.572</v>
      </c>
      <c r="K344" s="9">
        <v>920.93399999999997</v>
      </c>
      <c r="O344" s="11">
        <v>44772</v>
      </c>
      <c r="P344" s="9">
        <v>6085.666666666667</v>
      </c>
      <c r="Q344" s="9">
        <v>4258.8</v>
      </c>
      <c r="R344" s="9">
        <v>7850</v>
      </c>
      <c r="S344" s="9">
        <v>8385</v>
      </c>
      <c r="T344" s="31">
        <v>9030</v>
      </c>
      <c r="W344" s="16">
        <f t="shared" si="71"/>
        <v>44380</v>
      </c>
      <c r="X344" s="9">
        <f t="shared" si="72"/>
        <v>675.572</v>
      </c>
      <c r="Y344" s="9">
        <f t="shared" si="73"/>
        <v>920.93399999999997</v>
      </c>
      <c r="AA344" s="16">
        <f t="shared" si="74"/>
        <v>44772</v>
      </c>
      <c r="AB344" s="21">
        <f t="shared" si="79"/>
        <v>6085.666666666667</v>
      </c>
      <c r="AC344" s="21">
        <f t="shared" si="75"/>
        <v>4258.8</v>
      </c>
      <c r="AD344" s="21">
        <f t="shared" si="76"/>
        <v>7850</v>
      </c>
      <c r="AE344" s="21">
        <f t="shared" si="77"/>
        <v>8385</v>
      </c>
      <c r="AF344" s="21">
        <f t="shared" si="78"/>
        <v>9030</v>
      </c>
      <c r="AK344" s="16"/>
      <c r="AL344" s="17"/>
      <c r="AN344" s="16"/>
    </row>
    <row r="345" spans="2:40" x14ac:dyDescent="0.4">
      <c r="B345" s="6">
        <f t="shared" si="66"/>
        <v>44751</v>
      </c>
      <c r="C345" s="8">
        <f t="shared" si="67"/>
        <v>392.51400000000001</v>
      </c>
      <c r="D345" s="5">
        <f t="shared" si="68"/>
        <v>1045.1620000000003</v>
      </c>
      <c r="E345" s="5">
        <f t="shared" si="69"/>
        <v>1660.1620000000003</v>
      </c>
      <c r="F345" s="5">
        <f t="shared" si="70"/>
        <v>2215.1620000000003</v>
      </c>
      <c r="H345" s="6"/>
      <c r="I345" s="11">
        <v>44387</v>
      </c>
      <c r="J345" s="9">
        <v>694.03399999999999</v>
      </c>
      <c r="K345" s="9">
        <v>939.202</v>
      </c>
      <c r="O345" s="11">
        <v>44779</v>
      </c>
      <c r="P345" s="9">
        <v>5999.8</v>
      </c>
      <c r="Q345" s="9">
        <v>4208.8</v>
      </c>
      <c r="R345" s="9">
        <v>7920</v>
      </c>
      <c r="S345" s="9">
        <v>8430</v>
      </c>
      <c r="T345" s="31">
        <v>9095</v>
      </c>
      <c r="W345" s="16">
        <f t="shared" si="71"/>
        <v>44387</v>
      </c>
      <c r="X345" s="9">
        <f t="shared" si="72"/>
        <v>694.03399999999999</v>
      </c>
      <c r="Y345" s="9">
        <f t="shared" si="73"/>
        <v>939.202</v>
      </c>
      <c r="AA345" s="16">
        <f t="shared" si="74"/>
        <v>44779</v>
      </c>
      <c r="AB345" s="21">
        <f t="shared" si="79"/>
        <v>5999.8</v>
      </c>
      <c r="AC345" s="21">
        <f t="shared" si="75"/>
        <v>4208.8</v>
      </c>
      <c r="AD345" s="21">
        <f t="shared" si="76"/>
        <v>7920</v>
      </c>
      <c r="AE345" s="21">
        <f t="shared" si="77"/>
        <v>8430</v>
      </c>
      <c r="AF345" s="21">
        <f t="shared" si="78"/>
        <v>9095</v>
      </c>
      <c r="AK345" s="16"/>
      <c r="AL345" s="17"/>
      <c r="AN345" s="16"/>
    </row>
    <row r="346" spans="2:40" x14ac:dyDescent="0.4">
      <c r="B346" s="6">
        <f t="shared" si="66"/>
        <v>44758</v>
      </c>
      <c r="C346" s="8">
        <f t="shared" si="67"/>
        <v>304.8125</v>
      </c>
      <c r="D346" s="5">
        <f t="shared" si="68"/>
        <v>1158.838</v>
      </c>
      <c r="E346" s="5">
        <f t="shared" si="69"/>
        <v>1808.838</v>
      </c>
      <c r="F346" s="5">
        <f t="shared" si="70"/>
        <v>2413.8379999999997</v>
      </c>
      <c r="H346" s="6"/>
      <c r="I346" s="11">
        <v>44394</v>
      </c>
      <c r="J346" s="9">
        <v>699.33600000000001</v>
      </c>
      <c r="K346" s="9">
        <v>932.73599999999999</v>
      </c>
      <c r="O346" s="11">
        <v>44786</v>
      </c>
      <c r="P346" s="9">
        <v>6020.2</v>
      </c>
      <c r="Q346" s="9">
        <v>4102.3999999999996</v>
      </c>
      <c r="R346" s="9">
        <v>7815</v>
      </c>
      <c r="S346" s="9">
        <v>8350</v>
      </c>
      <c r="T346" s="31">
        <v>9075</v>
      </c>
      <c r="W346" s="16">
        <f t="shared" si="71"/>
        <v>44394</v>
      </c>
      <c r="X346" s="9">
        <f t="shared" si="72"/>
        <v>699.33600000000001</v>
      </c>
      <c r="Y346" s="9">
        <f t="shared" si="73"/>
        <v>932.73599999999999</v>
      </c>
      <c r="AA346" s="16">
        <f t="shared" si="74"/>
        <v>44786</v>
      </c>
      <c r="AB346" s="21">
        <f t="shared" si="79"/>
        <v>6020.2</v>
      </c>
      <c r="AC346" s="21">
        <f t="shared" si="75"/>
        <v>4102.3999999999996</v>
      </c>
      <c r="AD346" s="21">
        <f t="shared" si="76"/>
        <v>7815</v>
      </c>
      <c r="AE346" s="21">
        <f t="shared" si="77"/>
        <v>8350</v>
      </c>
      <c r="AF346" s="21">
        <f t="shared" si="78"/>
        <v>9075</v>
      </c>
      <c r="AK346" s="16"/>
      <c r="AL346" s="17"/>
      <c r="AN346" s="16"/>
    </row>
    <row r="347" spans="2:40" x14ac:dyDescent="0.4">
      <c r="B347" s="6">
        <f t="shared" si="66"/>
        <v>44765</v>
      </c>
      <c r="C347" s="8">
        <f t="shared" si="67"/>
        <v>278.65200000000004</v>
      </c>
      <c r="D347" s="5">
        <f t="shared" si="68"/>
        <v>1378.1809999999998</v>
      </c>
      <c r="E347" s="5">
        <f t="shared" si="69"/>
        <v>1913.1809999999998</v>
      </c>
      <c r="F347" s="5">
        <f t="shared" si="70"/>
        <v>2528.1809999999996</v>
      </c>
      <c r="H347" s="6"/>
      <c r="I347" s="11">
        <v>44401</v>
      </c>
      <c r="J347" s="9">
        <v>684.73800000000006</v>
      </c>
      <c r="K347" s="9">
        <v>927.298</v>
      </c>
      <c r="O347" s="11">
        <v>44793</v>
      </c>
      <c r="P347" s="9">
        <v>6114.8</v>
      </c>
      <c r="Q347" s="9">
        <v>3963.8</v>
      </c>
      <c r="R347" s="9">
        <v>7885</v>
      </c>
      <c r="S347" s="9">
        <v>8425</v>
      </c>
      <c r="T347" s="31">
        <v>9150</v>
      </c>
      <c r="W347" s="16">
        <f t="shared" si="71"/>
        <v>44401</v>
      </c>
      <c r="X347" s="9">
        <f t="shared" si="72"/>
        <v>684.73800000000006</v>
      </c>
      <c r="Y347" s="9">
        <f t="shared" si="73"/>
        <v>927.298</v>
      </c>
      <c r="AA347" s="16">
        <f t="shared" si="74"/>
        <v>44793</v>
      </c>
      <c r="AB347" s="21">
        <f t="shared" si="79"/>
        <v>6114.8</v>
      </c>
      <c r="AC347" s="21">
        <f t="shared" si="75"/>
        <v>3963.8</v>
      </c>
      <c r="AD347" s="21">
        <f t="shared" si="76"/>
        <v>7885</v>
      </c>
      <c r="AE347" s="21">
        <f t="shared" si="77"/>
        <v>8425</v>
      </c>
      <c r="AF347" s="21">
        <f t="shared" si="78"/>
        <v>9150</v>
      </c>
      <c r="AK347" s="16"/>
      <c r="AL347" s="17"/>
      <c r="AN347" s="16"/>
    </row>
    <row r="348" spans="2:40" x14ac:dyDescent="0.4">
      <c r="B348" s="6">
        <f t="shared" si="66"/>
        <v>44772</v>
      </c>
      <c r="C348" s="8">
        <f t="shared" si="67"/>
        <v>351.24399999999991</v>
      </c>
      <c r="D348" s="5">
        <f t="shared" si="68"/>
        <v>1220.057</v>
      </c>
      <c r="E348" s="5">
        <f t="shared" si="69"/>
        <v>1755.057</v>
      </c>
      <c r="F348" s="5">
        <f t="shared" si="70"/>
        <v>2400.0569999999998</v>
      </c>
      <c r="H348" s="6"/>
      <c r="I348" s="11">
        <v>44408</v>
      </c>
      <c r="J348" s="9">
        <v>704.56799999999998</v>
      </c>
      <c r="K348" s="9">
        <v>949.23199999999997</v>
      </c>
      <c r="O348" s="11">
        <v>44800</v>
      </c>
      <c r="P348" s="9">
        <v>6177.8</v>
      </c>
      <c r="Q348" s="9">
        <v>3990.8</v>
      </c>
      <c r="R348" s="9">
        <v>7870</v>
      </c>
      <c r="S348" s="9">
        <v>8390</v>
      </c>
      <c r="T348" s="31">
        <v>9195</v>
      </c>
      <c r="W348" s="16">
        <f t="shared" si="71"/>
        <v>44408</v>
      </c>
      <c r="X348" s="9">
        <f t="shared" si="72"/>
        <v>704.56799999999998</v>
      </c>
      <c r="Y348" s="9">
        <f t="shared" si="73"/>
        <v>949.23199999999997</v>
      </c>
      <c r="AA348" s="16">
        <f t="shared" si="74"/>
        <v>44800</v>
      </c>
      <c r="AB348" s="21">
        <f t="shared" si="79"/>
        <v>6177.8</v>
      </c>
      <c r="AC348" s="21">
        <f t="shared" si="75"/>
        <v>3990.8</v>
      </c>
      <c r="AD348" s="21">
        <f t="shared" si="76"/>
        <v>7870</v>
      </c>
      <c r="AE348" s="21">
        <f t="shared" si="77"/>
        <v>8390</v>
      </c>
      <c r="AF348" s="21">
        <f t="shared" si="78"/>
        <v>9195</v>
      </c>
      <c r="AK348" s="16"/>
      <c r="AL348" s="17"/>
      <c r="AN348" s="16"/>
    </row>
    <row r="349" spans="2:40" x14ac:dyDescent="0.4">
      <c r="B349" s="6">
        <f t="shared" si="66"/>
        <v>44779</v>
      </c>
      <c r="C349" s="8">
        <f t="shared" si="67"/>
        <v>339.69599999999991</v>
      </c>
      <c r="D349" s="5">
        <f t="shared" si="68"/>
        <v>1380.2230000000002</v>
      </c>
      <c r="E349" s="5">
        <f t="shared" si="69"/>
        <v>1890.2230000000002</v>
      </c>
      <c r="F349" s="5">
        <f t="shared" si="70"/>
        <v>2555.223</v>
      </c>
      <c r="H349" s="6"/>
      <c r="I349" s="11">
        <v>44415</v>
      </c>
      <c r="J349" s="9">
        <v>683.64200000000005</v>
      </c>
      <c r="K349" s="9">
        <v>948.66800000000001</v>
      </c>
      <c r="O349" s="11">
        <v>44807</v>
      </c>
      <c r="P349" s="9">
        <v>6226.8</v>
      </c>
      <c r="Q349" s="9">
        <v>3988</v>
      </c>
      <c r="R349" s="9">
        <v>7845</v>
      </c>
      <c r="S349" s="9">
        <v>8370</v>
      </c>
      <c r="T349" s="31">
        <v>9205</v>
      </c>
      <c r="W349" s="16">
        <f t="shared" si="71"/>
        <v>44415</v>
      </c>
      <c r="X349" s="9">
        <f t="shared" si="72"/>
        <v>683.64200000000005</v>
      </c>
      <c r="Y349" s="9">
        <f t="shared" si="73"/>
        <v>948.66800000000001</v>
      </c>
      <c r="AA349" s="16">
        <f t="shared" si="74"/>
        <v>44807</v>
      </c>
      <c r="AB349" s="21">
        <f t="shared" si="79"/>
        <v>6226.8</v>
      </c>
      <c r="AC349" s="21">
        <f t="shared" si="75"/>
        <v>3988</v>
      </c>
      <c r="AD349" s="21">
        <f t="shared" si="76"/>
        <v>7845</v>
      </c>
      <c r="AE349" s="21">
        <f t="shared" si="77"/>
        <v>8370</v>
      </c>
      <c r="AF349" s="21">
        <f t="shared" si="78"/>
        <v>9205</v>
      </c>
      <c r="AK349" s="16"/>
      <c r="AL349" s="17"/>
      <c r="AN349" s="16"/>
    </row>
    <row r="350" spans="2:40" x14ac:dyDescent="0.4">
      <c r="B350" s="6">
        <f t="shared" si="66"/>
        <v>44786</v>
      </c>
      <c r="C350" s="8">
        <f t="shared" si="67"/>
        <v>372.09299999999996</v>
      </c>
      <c r="D350" s="5">
        <f t="shared" si="68"/>
        <v>1293.4250000000004</v>
      </c>
      <c r="E350" s="5">
        <f t="shared" si="69"/>
        <v>1828.4250000000004</v>
      </c>
      <c r="F350" s="5">
        <f t="shared" si="70"/>
        <v>2553.4250000000002</v>
      </c>
      <c r="H350" s="6"/>
      <c r="I350" s="11">
        <v>44422</v>
      </c>
      <c r="J350" s="9">
        <v>673.52499999999998</v>
      </c>
      <c r="K350" s="9">
        <v>945.41750000000002</v>
      </c>
      <c r="O350" s="11">
        <v>44814</v>
      </c>
      <c r="P350" s="9">
        <v>6489.6</v>
      </c>
      <c r="Q350" s="9">
        <v>4234</v>
      </c>
      <c r="R350" s="9">
        <v>8130</v>
      </c>
      <c r="S350" s="9">
        <v>8585</v>
      </c>
      <c r="T350" s="31">
        <v>9390</v>
      </c>
      <c r="W350" s="16">
        <f t="shared" si="71"/>
        <v>44422</v>
      </c>
      <c r="X350" s="9">
        <f t="shared" si="72"/>
        <v>673.52499999999998</v>
      </c>
      <c r="Y350" s="9">
        <f t="shared" si="73"/>
        <v>945.41750000000002</v>
      </c>
      <c r="AA350" s="16">
        <f t="shared" si="74"/>
        <v>44814</v>
      </c>
      <c r="AB350" s="21">
        <f t="shared" si="79"/>
        <v>6489.6</v>
      </c>
      <c r="AC350" s="21">
        <f t="shared" si="75"/>
        <v>4234</v>
      </c>
      <c r="AD350" s="21">
        <f t="shared" si="76"/>
        <v>8130</v>
      </c>
      <c r="AE350" s="21">
        <f t="shared" si="77"/>
        <v>8585</v>
      </c>
      <c r="AF350" s="21">
        <f t="shared" si="78"/>
        <v>9390</v>
      </c>
      <c r="AK350" s="16"/>
      <c r="AL350" s="17"/>
      <c r="AN350" s="16"/>
    </row>
    <row r="351" spans="2:40" x14ac:dyDescent="0.4">
      <c r="B351" s="6">
        <f t="shared" si="66"/>
        <v>44793</v>
      </c>
      <c r="C351" s="8">
        <f t="shared" si="67"/>
        <v>401.73400000000004</v>
      </c>
      <c r="D351" s="5">
        <f t="shared" si="68"/>
        <v>1328.9729999999995</v>
      </c>
      <c r="E351" s="5">
        <f t="shared" si="69"/>
        <v>1868.9729999999995</v>
      </c>
      <c r="F351" s="5">
        <f t="shared" si="70"/>
        <v>2593.9729999999995</v>
      </c>
      <c r="H351" s="6"/>
      <c r="I351" s="11">
        <v>44429</v>
      </c>
      <c r="J351" s="9">
        <v>628.37</v>
      </c>
      <c r="K351" s="9">
        <v>901.47</v>
      </c>
      <c r="O351" s="11">
        <v>44821</v>
      </c>
      <c r="P351" s="9">
        <v>6681.5</v>
      </c>
      <c r="Q351" s="9">
        <v>4412</v>
      </c>
      <c r="R351" s="9">
        <v>8206.25</v>
      </c>
      <c r="S351" s="9">
        <v>8656.25</v>
      </c>
      <c r="T351" s="31">
        <v>9487.5</v>
      </c>
      <c r="W351" s="16">
        <f t="shared" si="71"/>
        <v>44429</v>
      </c>
      <c r="X351" s="9">
        <f t="shared" si="72"/>
        <v>628.37</v>
      </c>
      <c r="Y351" s="9">
        <f t="shared" si="73"/>
        <v>901.47</v>
      </c>
      <c r="AA351" s="16">
        <f t="shared" si="74"/>
        <v>44821</v>
      </c>
      <c r="AB351" s="21">
        <f t="shared" si="79"/>
        <v>6681.5</v>
      </c>
      <c r="AC351" s="21">
        <f t="shared" si="75"/>
        <v>4412</v>
      </c>
      <c r="AD351" s="21">
        <f t="shared" si="76"/>
        <v>8206.25</v>
      </c>
      <c r="AE351" s="21">
        <f t="shared" si="77"/>
        <v>8656.25</v>
      </c>
      <c r="AF351" s="21">
        <f t="shared" si="78"/>
        <v>9487.5</v>
      </c>
      <c r="AK351" s="16"/>
      <c r="AL351" s="17"/>
      <c r="AN351" s="16"/>
    </row>
    <row r="352" spans="2:40" x14ac:dyDescent="0.4">
      <c r="B352" s="6">
        <f t="shared" si="66"/>
        <v>44800</v>
      </c>
      <c r="C352" s="8">
        <f t="shared" si="67"/>
        <v>404.84600000000012</v>
      </c>
      <c r="D352" s="5">
        <f t="shared" si="68"/>
        <v>1251.0629999999996</v>
      </c>
      <c r="E352" s="5">
        <f t="shared" si="69"/>
        <v>1771.0629999999996</v>
      </c>
      <c r="F352" s="5">
        <f t="shared" si="70"/>
        <v>2576.0629999999996</v>
      </c>
      <c r="H352" s="6"/>
      <c r="I352" s="11">
        <v>44436</v>
      </c>
      <c r="J352" s="9">
        <v>642.27</v>
      </c>
      <c r="K352" s="9">
        <v>906.27</v>
      </c>
      <c r="O352" s="11">
        <v>44828</v>
      </c>
      <c r="P352" s="9">
        <v>6513</v>
      </c>
      <c r="Q352" s="9">
        <v>4290.2</v>
      </c>
      <c r="R352" s="9">
        <v>8070</v>
      </c>
      <c r="S352" s="9">
        <v>8585</v>
      </c>
      <c r="T352" s="31">
        <v>9500</v>
      </c>
      <c r="W352" s="16">
        <f t="shared" si="71"/>
        <v>44436</v>
      </c>
      <c r="X352" s="9">
        <f t="shared" si="72"/>
        <v>642.27</v>
      </c>
      <c r="Y352" s="9">
        <f t="shared" si="73"/>
        <v>906.27</v>
      </c>
      <c r="AA352" s="16">
        <f t="shared" si="74"/>
        <v>44828</v>
      </c>
      <c r="AB352" s="21">
        <f t="shared" si="79"/>
        <v>6513</v>
      </c>
      <c r="AC352" s="21">
        <f t="shared" si="75"/>
        <v>4290.2</v>
      </c>
      <c r="AD352" s="21">
        <f t="shared" si="76"/>
        <v>8070</v>
      </c>
      <c r="AE352" s="21">
        <f t="shared" si="77"/>
        <v>8585</v>
      </c>
      <c r="AF352" s="21">
        <f t="shared" si="78"/>
        <v>9500</v>
      </c>
      <c r="AK352" s="16"/>
      <c r="AL352" s="17"/>
      <c r="AN352" s="16"/>
    </row>
    <row r="353" spans="2:40" x14ac:dyDescent="0.4">
      <c r="B353" s="6">
        <f t="shared" si="66"/>
        <v>44807</v>
      </c>
      <c r="C353" s="8">
        <f t="shared" si="67"/>
        <v>397.96399999999994</v>
      </c>
      <c r="D353" s="5">
        <f t="shared" si="68"/>
        <v>1185.1060000000002</v>
      </c>
      <c r="E353" s="5">
        <f t="shared" si="69"/>
        <v>1710.1060000000002</v>
      </c>
      <c r="F353" s="5">
        <f t="shared" si="70"/>
        <v>2545.1060000000002</v>
      </c>
      <c r="H353" s="6"/>
      <c r="I353" s="11">
        <v>44443</v>
      </c>
      <c r="J353" s="9">
        <v>662.81399999999996</v>
      </c>
      <c r="K353" s="9">
        <v>896.86599999999999</v>
      </c>
      <c r="O353" s="11">
        <v>44835</v>
      </c>
      <c r="P353" s="9">
        <v>6231</v>
      </c>
      <c r="Q353" s="9">
        <v>4215</v>
      </c>
      <c r="R353" s="9">
        <v>7795</v>
      </c>
      <c r="S353" s="9">
        <v>8375</v>
      </c>
      <c r="T353" s="31">
        <v>9215</v>
      </c>
      <c r="W353" s="16">
        <f t="shared" si="71"/>
        <v>44443</v>
      </c>
      <c r="X353" s="9">
        <f t="shared" si="72"/>
        <v>662.81399999999996</v>
      </c>
      <c r="Y353" s="9">
        <f t="shared" si="73"/>
        <v>896.86599999999999</v>
      </c>
      <c r="AA353" s="16">
        <f t="shared" si="74"/>
        <v>44835</v>
      </c>
      <c r="AB353" s="21">
        <f t="shared" si="79"/>
        <v>6231</v>
      </c>
      <c r="AC353" s="21">
        <f t="shared" si="75"/>
        <v>4215</v>
      </c>
      <c r="AD353" s="21">
        <f t="shared" si="76"/>
        <v>7795</v>
      </c>
      <c r="AE353" s="21">
        <f t="shared" si="77"/>
        <v>8375</v>
      </c>
      <c r="AF353" s="21">
        <f t="shared" si="78"/>
        <v>9215</v>
      </c>
      <c r="AK353" s="16"/>
      <c r="AL353" s="17"/>
      <c r="AN353" s="16"/>
    </row>
    <row r="354" spans="2:40" x14ac:dyDescent="0.4">
      <c r="B354" s="6">
        <f t="shared" si="66"/>
        <v>44814</v>
      </c>
      <c r="C354" s="8">
        <f t="shared" si="67"/>
        <v>411.39</v>
      </c>
      <c r="D354" s="5">
        <f t="shared" si="68"/>
        <v>1163.0019999999997</v>
      </c>
      <c r="E354" s="5">
        <f t="shared" si="69"/>
        <v>1618.0019999999997</v>
      </c>
      <c r="F354" s="5">
        <f t="shared" si="70"/>
        <v>2423.0019999999995</v>
      </c>
      <c r="H354" s="6"/>
      <c r="I354" s="11">
        <v>44450</v>
      </c>
      <c r="J354" s="9">
        <v>674.60599999999999</v>
      </c>
      <c r="K354" s="9">
        <v>890.93</v>
      </c>
      <c r="O354" s="11">
        <v>44842</v>
      </c>
      <c r="P354" s="9">
        <v>6480</v>
      </c>
      <c r="Q354" s="9">
        <v>4429</v>
      </c>
      <c r="R354" s="9">
        <v>8000</v>
      </c>
      <c r="S354" s="9">
        <v>8575</v>
      </c>
      <c r="T354" s="31">
        <v>9350</v>
      </c>
      <c r="W354" s="16">
        <f t="shared" si="71"/>
        <v>44450</v>
      </c>
      <c r="X354" s="9">
        <f t="shared" si="72"/>
        <v>674.60599999999999</v>
      </c>
      <c r="Y354" s="9">
        <f t="shared" si="73"/>
        <v>890.93</v>
      </c>
      <c r="AA354" s="16">
        <f t="shared" si="74"/>
        <v>44842</v>
      </c>
      <c r="AB354" s="21">
        <f t="shared" si="79"/>
        <v>6480</v>
      </c>
      <c r="AC354" s="21">
        <f t="shared" si="75"/>
        <v>4429</v>
      </c>
      <c r="AD354" s="21">
        <f t="shared" si="76"/>
        <v>8000</v>
      </c>
      <c r="AE354" s="21">
        <f t="shared" si="77"/>
        <v>8575</v>
      </c>
      <c r="AF354" s="21">
        <f t="shared" si="78"/>
        <v>9350</v>
      </c>
      <c r="AK354" s="16"/>
      <c r="AL354" s="17"/>
      <c r="AN354" s="16"/>
    </row>
    <row r="355" spans="2:40" x14ac:dyDescent="0.4">
      <c r="B355" s="6">
        <f t="shared" si="66"/>
        <v>44821</v>
      </c>
      <c r="C355" s="8">
        <f t="shared" si="67"/>
        <v>445.63800000000015</v>
      </c>
      <c r="D355" s="5">
        <f t="shared" si="68"/>
        <v>1015.5475000000001</v>
      </c>
      <c r="E355" s="5">
        <f t="shared" si="69"/>
        <v>1465.5475000000001</v>
      </c>
      <c r="F355" s="5">
        <f t="shared" si="70"/>
        <v>2296.7975000000001</v>
      </c>
      <c r="H355" s="6"/>
      <c r="I355" s="11">
        <v>44457</v>
      </c>
      <c r="J355" s="9">
        <v>693.24</v>
      </c>
      <c r="K355" s="9">
        <v>912.9</v>
      </c>
      <c r="O355" s="11">
        <v>44849</v>
      </c>
      <c r="P355" s="9">
        <v>6192.333333333333</v>
      </c>
      <c r="Q355" s="9">
        <v>4186.833333333333</v>
      </c>
      <c r="R355" s="9">
        <v>7958.333333333333</v>
      </c>
      <c r="S355" s="9">
        <v>8541.6666666666661</v>
      </c>
      <c r="T355" s="31">
        <v>9291.6666666666661</v>
      </c>
      <c r="W355" s="16">
        <f t="shared" si="71"/>
        <v>44457</v>
      </c>
      <c r="X355" s="9">
        <f t="shared" si="72"/>
        <v>693.24</v>
      </c>
      <c r="Y355" s="9">
        <f t="shared" si="73"/>
        <v>912.9</v>
      </c>
      <c r="AA355" s="16">
        <f t="shared" si="74"/>
        <v>44849</v>
      </c>
      <c r="AB355" s="21">
        <f t="shared" si="79"/>
        <v>6192.333333333333</v>
      </c>
      <c r="AC355" s="21">
        <f t="shared" si="75"/>
        <v>4186.833333333333</v>
      </c>
      <c r="AD355" s="21">
        <f t="shared" si="76"/>
        <v>7958.333333333333</v>
      </c>
      <c r="AE355" s="21">
        <f t="shared" si="77"/>
        <v>8541.6666666666661</v>
      </c>
      <c r="AF355" s="21">
        <f t="shared" si="78"/>
        <v>9291.6666666666661</v>
      </c>
      <c r="AK355" s="16"/>
      <c r="AL355" s="17"/>
      <c r="AN355" s="16"/>
    </row>
    <row r="356" spans="2:40" x14ac:dyDescent="0.4">
      <c r="B356" s="6">
        <f t="shared" si="66"/>
        <v>44828</v>
      </c>
      <c r="C356" s="8">
        <f t="shared" si="67"/>
        <v>389.50800000000004</v>
      </c>
      <c r="D356" s="5">
        <f t="shared" si="68"/>
        <v>1064.1680000000001</v>
      </c>
      <c r="E356" s="5">
        <f t="shared" si="69"/>
        <v>1579.1680000000001</v>
      </c>
      <c r="F356" s="5">
        <f t="shared" si="70"/>
        <v>2494.1680000000001</v>
      </c>
      <c r="H356" s="6"/>
      <c r="I356" s="11">
        <v>44464</v>
      </c>
      <c r="J356" s="9">
        <v>707.56799999999998</v>
      </c>
      <c r="K356" s="9">
        <v>906.6</v>
      </c>
      <c r="O356" s="11">
        <v>44856</v>
      </c>
      <c r="P356" s="9">
        <v>6043.6</v>
      </c>
      <c r="Q356" s="9">
        <v>4013.2</v>
      </c>
      <c r="R356" s="9">
        <v>7635</v>
      </c>
      <c r="S356" s="9">
        <v>8270</v>
      </c>
      <c r="T356" s="31">
        <v>8985</v>
      </c>
      <c r="W356" s="16">
        <f t="shared" si="71"/>
        <v>44464</v>
      </c>
      <c r="X356" s="9">
        <f t="shared" si="72"/>
        <v>707.56799999999998</v>
      </c>
      <c r="Y356" s="9">
        <f t="shared" si="73"/>
        <v>906.6</v>
      </c>
      <c r="AA356" s="16">
        <f t="shared" si="74"/>
        <v>44856</v>
      </c>
      <c r="AB356" s="21">
        <f t="shared" si="79"/>
        <v>6043.6</v>
      </c>
      <c r="AC356" s="21">
        <f t="shared" si="75"/>
        <v>4013.2</v>
      </c>
      <c r="AD356" s="21">
        <f t="shared" si="76"/>
        <v>7635</v>
      </c>
      <c r="AE356" s="21">
        <f t="shared" si="77"/>
        <v>8270</v>
      </c>
      <c r="AF356" s="21">
        <f t="shared" si="78"/>
        <v>8985</v>
      </c>
      <c r="AK356" s="16"/>
      <c r="AL356" s="17"/>
      <c r="AN356" s="16"/>
    </row>
    <row r="357" spans="2:40" x14ac:dyDescent="0.4">
      <c r="B357" s="6">
        <f t="shared" si="66"/>
        <v>44835</v>
      </c>
      <c r="C357" s="8">
        <f t="shared" si="67"/>
        <v>398.47</v>
      </c>
      <c r="D357" s="5">
        <f t="shared" si="68"/>
        <v>1055.4699999999998</v>
      </c>
      <c r="E357" s="5">
        <f t="shared" si="69"/>
        <v>1635.4699999999998</v>
      </c>
      <c r="F357" s="5">
        <f t="shared" si="70"/>
        <v>2475.4699999999998</v>
      </c>
      <c r="H357" s="6"/>
      <c r="I357" s="11">
        <v>44471</v>
      </c>
      <c r="J357" s="9">
        <v>727.5</v>
      </c>
      <c r="K357" s="9">
        <v>893.53399999999999</v>
      </c>
      <c r="O357" s="11">
        <v>44863</v>
      </c>
      <c r="P357" s="9">
        <v>5849</v>
      </c>
      <c r="Q357" s="9">
        <v>3949.2</v>
      </c>
      <c r="R357" s="9">
        <v>7435</v>
      </c>
      <c r="S357" s="9">
        <v>8065</v>
      </c>
      <c r="T357" s="31">
        <v>8825</v>
      </c>
      <c r="W357" s="16">
        <f t="shared" si="71"/>
        <v>44471</v>
      </c>
      <c r="X357" s="9">
        <f t="shared" si="72"/>
        <v>727.5</v>
      </c>
      <c r="Y357" s="9">
        <f t="shared" si="73"/>
        <v>893.53399999999999</v>
      </c>
      <c r="AA357" s="16">
        <f t="shared" si="74"/>
        <v>44863</v>
      </c>
      <c r="AB357" s="21">
        <f t="shared" si="79"/>
        <v>5849</v>
      </c>
      <c r="AC357" s="21">
        <f t="shared" si="75"/>
        <v>3949.2</v>
      </c>
      <c r="AD357" s="21">
        <f t="shared" si="76"/>
        <v>7435</v>
      </c>
      <c r="AE357" s="21">
        <f t="shared" si="77"/>
        <v>8065</v>
      </c>
      <c r="AF357" s="21">
        <f t="shared" si="78"/>
        <v>8825</v>
      </c>
      <c r="AK357" s="16"/>
      <c r="AL357" s="17"/>
      <c r="AN357" s="16"/>
    </row>
    <row r="358" spans="2:40" x14ac:dyDescent="0.4">
      <c r="B358" s="6">
        <f t="shared" si="66"/>
        <v>44842</v>
      </c>
      <c r="C358" s="8">
        <f t="shared" si="67"/>
        <v>400.92600000000004</v>
      </c>
      <c r="D358" s="5">
        <f t="shared" si="68"/>
        <v>975.88500000000022</v>
      </c>
      <c r="E358" s="5">
        <f t="shared" si="69"/>
        <v>1550.8850000000002</v>
      </c>
      <c r="F358" s="5">
        <f t="shared" si="70"/>
        <v>2325.8850000000002</v>
      </c>
      <c r="H358" s="6"/>
      <c r="I358" s="11">
        <v>44478</v>
      </c>
      <c r="J358" s="9">
        <v>747.5</v>
      </c>
      <c r="K358" s="9">
        <v>904.06600000000003</v>
      </c>
      <c r="O358" s="11">
        <v>44870</v>
      </c>
      <c r="P358" s="9">
        <v>5598.4</v>
      </c>
      <c r="Q358" s="9">
        <v>3833.2</v>
      </c>
      <c r="R358" s="9">
        <v>6895</v>
      </c>
      <c r="S358" s="9">
        <v>7670</v>
      </c>
      <c r="T358" s="31">
        <v>8430</v>
      </c>
      <c r="W358" s="16">
        <f t="shared" si="71"/>
        <v>44478</v>
      </c>
      <c r="X358" s="9">
        <f t="shared" si="72"/>
        <v>747.5</v>
      </c>
      <c r="Y358" s="9">
        <f t="shared" si="73"/>
        <v>904.06600000000003</v>
      </c>
      <c r="AA358" s="16">
        <f t="shared" si="74"/>
        <v>44870</v>
      </c>
      <c r="AB358" s="21">
        <f t="shared" si="79"/>
        <v>5598.4</v>
      </c>
      <c r="AC358" s="21">
        <f t="shared" si="75"/>
        <v>3833.2</v>
      </c>
      <c r="AD358" s="21">
        <f t="shared" si="76"/>
        <v>6895</v>
      </c>
      <c r="AE358" s="21">
        <f t="shared" si="77"/>
        <v>7670</v>
      </c>
      <c r="AF358" s="21">
        <f t="shared" si="78"/>
        <v>8430</v>
      </c>
      <c r="AK358" s="16"/>
      <c r="AL358" s="17"/>
      <c r="AN358" s="16"/>
    </row>
    <row r="359" spans="2:40" x14ac:dyDescent="0.4">
      <c r="B359" s="6">
        <f t="shared" si="66"/>
        <v>44849</v>
      </c>
      <c r="C359" s="8">
        <f t="shared" si="67"/>
        <v>403.02200000000005</v>
      </c>
      <c r="D359" s="5">
        <f t="shared" si="68"/>
        <v>1261.2991666666667</v>
      </c>
      <c r="E359" s="5">
        <f t="shared" si="69"/>
        <v>1844.6324999999997</v>
      </c>
      <c r="F359" s="5">
        <f t="shared" si="70"/>
        <v>2594.6324999999997</v>
      </c>
      <c r="H359" s="6"/>
      <c r="I359" s="11">
        <v>44485</v>
      </c>
      <c r="J359" s="9">
        <v>780.93600000000004</v>
      </c>
      <c r="K359" s="9">
        <v>950.46799999999996</v>
      </c>
      <c r="O359" s="11">
        <v>44877</v>
      </c>
      <c r="P359" s="9">
        <v>5672.4</v>
      </c>
      <c r="Q359" s="9">
        <v>3850.4</v>
      </c>
      <c r="R359" s="9">
        <v>6870</v>
      </c>
      <c r="S359" s="9">
        <v>7670</v>
      </c>
      <c r="T359" s="31">
        <v>8385</v>
      </c>
      <c r="W359" s="16">
        <f t="shared" si="71"/>
        <v>44485</v>
      </c>
      <c r="X359" s="9">
        <f t="shared" si="72"/>
        <v>780.93600000000004</v>
      </c>
      <c r="Y359" s="9">
        <f t="shared" si="73"/>
        <v>950.46799999999996</v>
      </c>
      <c r="AA359" s="16">
        <f t="shared" si="74"/>
        <v>44877</v>
      </c>
      <c r="AB359" s="21">
        <f t="shared" si="79"/>
        <v>5672.4</v>
      </c>
      <c r="AC359" s="21">
        <f t="shared" si="75"/>
        <v>3850.4</v>
      </c>
      <c r="AD359" s="21">
        <f t="shared" si="76"/>
        <v>6870</v>
      </c>
      <c r="AE359" s="21">
        <f t="shared" si="77"/>
        <v>7670</v>
      </c>
      <c r="AF359" s="21">
        <f t="shared" si="78"/>
        <v>8385</v>
      </c>
      <c r="AK359" s="16"/>
      <c r="AL359" s="17"/>
      <c r="AN359" s="16"/>
    </row>
    <row r="360" spans="2:40" x14ac:dyDescent="0.4">
      <c r="B360" s="6">
        <f t="shared" si="66"/>
        <v>44856</v>
      </c>
      <c r="C360" s="8">
        <f t="shared" si="67"/>
        <v>348.87</v>
      </c>
      <c r="D360" s="5">
        <f t="shared" si="68"/>
        <v>1123.2999999999997</v>
      </c>
      <c r="E360" s="5">
        <f t="shared" si="69"/>
        <v>1758.2999999999997</v>
      </c>
      <c r="F360" s="5">
        <f t="shared" si="70"/>
        <v>2473.2999999999997</v>
      </c>
      <c r="H360" s="6"/>
      <c r="I360" s="11">
        <v>44492</v>
      </c>
      <c r="J360" s="9">
        <v>789.33</v>
      </c>
      <c r="K360" s="9">
        <v>954.2</v>
      </c>
      <c r="O360" s="11">
        <v>44884</v>
      </c>
      <c r="P360" s="9">
        <v>5692.4</v>
      </c>
      <c r="Q360" s="9">
        <v>3917.8</v>
      </c>
      <c r="R360" s="9">
        <v>6810</v>
      </c>
      <c r="S360" s="9">
        <v>7600</v>
      </c>
      <c r="T360" s="31">
        <v>8145</v>
      </c>
      <c r="W360" s="16">
        <f t="shared" si="71"/>
        <v>44492</v>
      </c>
      <c r="X360" s="9">
        <f t="shared" si="72"/>
        <v>789.33</v>
      </c>
      <c r="Y360" s="9">
        <f t="shared" si="73"/>
        <v>954.2</v>
      </c>
      <c r="AA360" s="16">
        <f t="shared" si="74"/>
        <v>44884</v>
      </c>
      <c r="AB360" s="21">
        <f t="shared" si="79"/>
        <v>5692.4</v>
      </c>
      <c r="AC360" s="21">
        <f t="shared" si="75"/>
        <v>3917.8</v>
      </c>
      <c r="AD360" s="21">
        <f t="shared" si="76"/>
        <v>6810</v>
      </c>
      <c r="AE360" s="21">
        <f t="shared" si="77"/>
        <v>7600</v>
      </c>
      <c r="AF360" s="21">
        <f t="shared" si="78"/>
        <v>8145</v>
      </c>
      <c r="AK360" s="16"/>
      <c r="AL360" s="17"/>
      <c r="AN360" s="16"/>
    </row>
    <row r="361" spans="2:40" x14ac:dyDescent="0.4">
      <c r="B361" s="6">
        <f t="shared" si="66"/>
        <v>44863</v>
      </c>
      <c r="C361" s="8">
        <f t="shared" si="67"/>
        <v>294.02499999999998</v>
      </c>
      <c r="D361" s="5">
        <f t="shared" si="68"/>
        <v>1111.1230000000005</v>
      </c>
      <c r="E361" s="5">
        <f t="shared" si="69"/>
        <v>1741.1230000000005</v>
      </c>
      <c r="F361" s="5">
        <f t="shared" si="70"/>
        <v>2501.1230000000005</v>
      </c>
      <c r="H361" s="6"/>
      <c r="I361" s="11">
        <v>44499</v>
      </c>
      <c r="J361" s="9">
        <v>802.08600000000001</v>
      </c>
      <c r="K361" s="9">
        <v>934.8</v>
      </c>
      <c r="O361" s="11">
        <v>44891</v>
      </c>
      <c r="P361" s="9">
        <v>5547</v>
      </c>
      <c r="Q361" s="9">
        <v>3831.5</v>
      </c>
      <c r="R361" s="9">
        <v>6760</v>
      </c>
      <c r="S361" s="9">
        <v>7531.25</v>
      </c>
      <c r="T361" s="31">
        <v>8025</v>
      </c>
      <c r="W361" s="16">
        <f t="shared" si="71"/>
        <v>44499</v>
      </c>
      <c r="X361" s="9">
        <f t="shared" si="72"/>
        <v>802.08600000000001</v>
      </c>
      <c r="Y361" s="9">
        <f t="shared" si="73"/>
        <v>934.8</v>
      </c>
      <c r="AA361" s="16">
        <f t="shared" si="74"/>
        <v>44891</v>
      </c>
      <c r="AB361" s="21">
        <f t="shared" si="79"/>
        <v>5547</v>
      </c>
      <c r="AC361" s="21">
        <f t="shared" si="75"/>
        <v>3831.5</v>
      </c>
      <c r="AD361" s="21">
        <f t="shared" si="76"/>
        <v>6760</v>
      </c>
      <c r="AE361" s="21">
        <f t="shared" si="77"/>
        <v>7531.25</v>
      </c>
      <c r="AF361" s="21">
        <f t="shared" si="78"/>
        <v>8025</v>
      </c>
      <c r="AK361" s="16"/>
      <c r="AL361" s="17"/>
      <c r="AN361" s="16"/>
    </row>
    <row r="362" spans="2:40" x14ac:dyDescent="0.4">
      <c r="B362" s="6">
        <f t="shared" si="66"/>
        <v>44870</v>
      </c>
      <c r="C362" s="8">
        <f t="shared" si="67"/>
        <v>285.38400000000001</v>
      </c>
      <c r="D362" s="5">
        <f t="shared" si="68"/>
        <v>824.24600000000032</v>
      </c>
      <c r="E362" s="5">
        <f t="shared" si="69"/>
        <v>1599.2460000000003</v>
      </c>
      <c r="F362" s="5">
        <f t="shared" si="70"/>
        <v>2359.2460000000001</v>
      </c>
      <c r="H362" s="6"/>
      <c r="I362" s="11">
        <v>44506</v>
      </c>
      <c r="J362" s="9">
        <v>800.58749999999998</v>
      </c>
      <c r="K362" s="9">
        <v>925.57500000000005</v>
      </c>
      <c r="O362" s="11">
        <v>44898</v>
      </c>
      <c r="P362" s="9">
        <v>5452</v>
      </c>
      <c r="Q362" s="9">
        <v>3838.2</v>
      </c>
      <c r="R362" s="9">
        <v>6745</v>
      </c>
      <c r="S362" s="9">
        <v>7495</v>
      </c>
      <c r="T362" s="31">
        <v>7880</v>
      </c>
      <c r="W362" s="16">
        <f t="shared" si="71"/>
        <v>44506</v>
      </c>
      <c r="X362" s="9">
        <f t="shared" si="72"/>
        <v>800.58749999999998</v>
      </c>
      <c r="Y362" s="9">
        <f t="shared" si="73"/>
        <v>925.57500000000005</v>
      </c>
      <c r="AA362" s="16">
        <f t="shared" si="74"/>
        <v>44898</v>
      </c>
      <c r="AB362" s="21">
        <f t="shared" si="79"/>
        <v>5452</v>
      </c>
      <c r="AC362" s="21">
        <f t="shared" si="75"/>
        <v>3838.2</v>
      </c>
      <c r="AD362" s="21">
        <f t="shared" si="76"/>
        <v>6745</v>
      </c>
      <c r="AE362" s="21">
        <f t="shared" si="77"/>
        <v>7495</v>
      </c>
      <c r="AF362" s="21">
        <f t="shared" si="78"/>
        <v>7880</v>
      </c>
      <c r="AK362" s="16"/>
      <c r="AL362" s="17"/>
      <c r="AN362" s="16"/>
    </row>
    <row r="363" spans="2:40" x14ac:dyDescent="0.4">
      <c r="B363" s="6">
        <f t="shared" si="66"/>
        <v>44877</v>
      </c>
      <c r="C363" s="8">
        <f t="shared" si="67"/>
        <v>302.59400000000005</v>
      </c>
      <c r="D363" s="5">
        <f t="shared" si="68"/>
        <v>730.21400000000085</v>
      </c>
      <c r="E363" s="5">
        <f t="shared" si="69"/>
        <v>1530.2140000000009</v>
      </c>
      <c r="F363" s="5">
        <f t="shared" si="70"/>
        <v>2245.2140000000009</v>
      </c>
      <c r="H363" s="6"/>
      <c r="I363" s="11">
        <v>44513</v>
      </c>
      <c r="J363" s="9">
        <v>801.64599999999996</v>
      </c>
      <c r="K363" s="9">
        <v>928.06600000000003</v>
      </c>
      <c r="O363" s="11">
        <v>44905</v>
      </c>
      <c r="P363" s="9">
        <v>5140.6000000000004</v>
      </c>
      <c r="Q363" s="9">
        <v>3935</v>
      </c>
      <c r="R363" s="9">
        <v>6915</v>
      </c>
      <c r="S363" s="9">
        <v>7620</v>
      </c>
      <c r="T363" s="31">
        <v>7950</v>
      </c>
      <c r="W363" s="16">
        <f t="shared" si="71"/>
        <v>44513</v>
      </c>
      <c r="X363" s="9">
        <f t="shared" si="72"/>
        <v>801.64599999999996</v>
      </c>
      <c r="Y363" s="9">
        <f t="shared" si="73"/>
        <v>928.06600000000003</v>
      </c>
      <c r="AA363" s="16">
        <f t="shared" si="74"/>
        <v>44905</v>
      </c>
      <c r="AB363" s="21">
        <f t="shared" si="79"/>
        <v>5140.6000000000004</v>
      </c>
      <c r="AC363" s="21">
        <f t="shared" si="75"/>
        <v>3935</v>
      </c>
      <c r="AD363" s="21">
        <f t="shared" si="76"/>
        <v>6915</v>
      </c>
      <c r="AE363" s="21">
        <f t="shared" si="77"/>
        <v>7620</v>
      </c>
      <c r="AF363" s="21">
        <f t="shared" si="78"/>
        <v>7950</v>
      </c>
      <c r="AK363" s="16"/>
      <c r="AL363" s="17"/>
      <c r="AN363" s="16"/>
    </row>
    <row r="364" spans="2:40" x14ac:dyDescent="0.4">
      <c r="B364" s="6">
        <f t="shared" si="66"/>
        <v>44884</v>
      </c>
      <c r="C364" s="8">
        <f t="shared" si="67"/>
        <v>247.73800000000006</v>
      </c>
      <c r="D364" s="5">
        <f t="shared" si="68"/>
        <v>630.53500000000031</v>
      </c>
      <c r="E364" s="5">
        <f t="shared" si="69"/>
        <v>1420.5350000000003</v>
      </c>
      <c r="F364" s="5">
        <f t="shared" si="70"/>
        <v>1965.5350000000003</v>
      </c>
      <c r="H364" s="6"/>
      <c r="I364" s="11">
        <v>44520</v>
      </c>
      <c r="J364" s="9">
        <v>784.20399999999995</v>
      </c>
      <c r="K364" s="9">
        <v>914.73400000000004</v>
      </c>
      <c r="O364" s="11">
        <v>44912</v>
      </c>
      <c r="P364" s="9">
        <v>5314.2</v>
      </c>
      <c r="Q364" s="9">
        <v>4041.2</v>
      </c>
      <c r="R364" s="9">
        <v>7040</v>
      </c>
      <c r="S364" s="9">
        <v>7755</v>
      </c>
      <c r="T364" s="31">
        <v>8270</v>
      </c>
      <c r="W364" s="16">
        <f t="shared" si="71"/>
        <v>44520</v>
      </c>
      <c r="X364" s="9">
        <f t="shared" si="72"/>
        <v>784.20399999999995</v>
      </c>
      <c r="Y364" s="9">
        <f t="shared" si="73"/>
        <v>914.73400000000004</v>
      </c>
      <c r="AA364" s="16">
        <f t="shared" si="74"/>
        <v>44912</v>
      </c>
      <c r="AB364" s="21">
        <f t="shared" si="79"/>
        <v>5314.2</v>
      </c>
      <c r="AC364" s="21">
        <f t="shared" si="75"/>
        <v>4041.2</v>
      </c>
      <c r="AD364" s="21">
        <f t="shared" si="76"/>
        <v>7040</v>
      </c>
      <c r="AE364" s="21">
        <f t="shared" si="77"/>
        <v>7755</v>
      </c>
      <c r="AF364" s="21">
        <f t="shared" si="78"/>
        <v>8270</v>
      </c>
      <c r="AK364" s="16"/>
      <c r="AL364" s="17"/>
      <c r="AN364" s="16"/>
    </row>
    <row r="365" spans="2:40" x14ac:dyDescent="0.4">
      <c r="B365" s="6">
        <f t="shared" si="66"/>
        <v>44891</v>
      </c>
      <c r="C365" s="8">
        <f t="shared" si="67"/>
        <v>234.34400000000005</v>
      </c>
      <c r="D365" s="5">
        <f t="shared" si="68"/>
        <v>733.7625000000005</v>
      </c>
      <c r="E365" s="5">
        <f t="shared" si="69"/>
        <v>1505.0125000000005</v>
      </c>
      <c r="F365" s="5">
        <f t="shared" si="70"/>
        <v>1998.7625000000005</v>
      </c>
      <c r="H365" s="6"/>
      <c r="I365" s="11">
        <v>44527</v>
      </c>
      <c r="J365" s="9">
        <v>762.90599999999995</v>
      </c>
      <c r="K365" s="9">
        <v>886</v>
      </c>
      <c r="O365" s="11">
        <v>44919</v>
      </c>
      <c r="P365" s="9">
        <v>5441</v>
      </c>
      <c r="Q365" s="9">
        <v>4002.6</v>
      </c>
      <c r="R365" s="9">
        <v>7125</v>
      </c>
      <c r="S365" s="9">
        <v>7850</v>
      </c>
      <c r="T365" s="31">
        <v>8400</v>
      </c>
      <c r="W365" s="16">
        <f t="shared" si="71"/>
        <v>44527</v>
      </c>
      <c r="X365" s="9">
        <f t="shared" si="72"/>
        <v>762.90599999999995</v>
      </c>
      <c r="Y365" s="9">
        <f t="shared" si="73"/>
        <v>886</v>
      </c>
      <c r="AA365" s="16">
        <f t="shared" si="74"/>
        <v>44919</v>
      </c>
      <c r="AB365" s="21">
        <f t="shared" si="79"/>
        <v>5441</v>
      </c>
      <c r="AC365" s="21">
        <f t="shared" si="75"/>
        <v>4002.6</v>
      </c>
      <c r="AD365" s="21">
        <f t="shared" si="76"/>
        <v>7125</v>
      </c>
      <c r="AE365" s="21">
        <f t="shared" si="77"/>
        <v>7850</v>
      </c>
      <c r="AF365" s="21">
        <f t="shared" si="78"/>
        <v>8400</v>
      </c>
      <c r="AK365" s="16"/>
      <c r="AL365" s="17"/>
      <c r="AN365" s="16"/>
    </row>
    <row r="366" spans="2:40" x14ac:dyDescent="0.4">
      <c r="B366" s="6">
        <f t="shared" si="66"/>
        <v>44898</v>
      </c>
      <c r="C366" s="8">
        <f t="shared" si="67"/>
        <v>241.78200000000004</v>
      </c>
      <c r="D366" s="5">
        <f t="shared" si="68"/>
        <v>797.74299999999994</v>
      </c>
      <c r="E366" s="5">
        <f t="shared" si="69"/>
        <v>1547.7429999999999</v>
      </c>
      <c r="F366" s="5">
        <f t="shared" si="70"/>
        <v>1932.7429999999999</v>
      </c>
      <c r="H366" s="6"/>
      <c r="I366" s="11">
        <v>44534</v>
      </c>
      <c r="J366" s="9">
        <v>701.34199999999998</v>
      </c>
      <c r="K366" s="9">
        <v>821.2</v>
      </c>
      <c r="O366" s="11">
        <v>44926</v>
      </c>
      <c r="P366" s="9">
        <v>5533.6</v>
      </c>
      <c r="Q366" s="9">
        <v>3992.6</v>
      </c>
      <c r="R366" s="9">
        <v>7150</v>
      </c>
      <c r="S366" s="9">
        <v>7880</v>
      </c>
      <c r="T366" s="31">
        <v>8450</v>
      </c>
      <c r="W366" s="16">
        <f t="shared" si="71"/>
        <v>44534</v>
      </c>
      <c r="X366" s="9">
        <f t="shared" si="72"/>
        <v>701.34199999999998</v>
      </c>
      <c r="Y366" s="9">
        <f t="shared" si="73"/>
        <v>821.2</v>
      </c>
      <c r="AA366" s="16">
        <f t="shared" si="74"/>
        <v>44926</v>
      </c>
      <c r="AB366" s="21">
        <f t="shared" si="79"/>
        <v>5533.6</v>
      </c>
      <c r="AC366" s="21">
        <f t="shared" si="75"/>
        <v>3992.6</v>
      </c>
      <c r="AD366" s="21">
        <f t="shared" si="76"/>
        <v>7150</v>
      </c>
      <c r="AE366" s="21">
        <f t="shared" si="77"/>
        <v>7880</v>
      </c>
      <c r="AF366" s="21">
        <f t="shared" si="78"/>
        <v>8450</v>
      </c>
      <c r="AK366" s="16"/>
      <c r="AL366" s="17"/>
      <c r="AN366" s="16"/>
    </row>
    <row r="367" spans="2:40" x14ac:dyDescent="0.4">
      <c r="B367" s="6">
        <f t="shared" si="66"/>
        <v>44905</v>
      </c>
      <c r="C367" s="8">
        <f t="shared" si="67"/>
        <v>260.48799999999994</v>
      </c>
      <c r="D367" s="5">
        <f t="shared" si="68"/>
        <v>1201.5619999999992</v>
      </c>
      <c r="E367" s="5">
        <f t="shared" si="69"/>
        <v>1906.5619999999992</v>
      </c>
      <c r="F367" s="5">
        <f t="shared" si="70"/>
        <v>2236.561999999999</v>
      </c>
      <c r="H367" s="6"/>
      <c r="I367" s="11">
        <v>44541</v>
      </c>
      <c r="J367" s="9">
        <v>715.64800000000002</v>
      </c>
      <c r="K367" s="9">
        <v>829.06600000000003</v>
      </c>
      <c r="O367" s="11">
        <v>44933</v>
      </c>
      <c r="P367" s="9">
        <v>5405.75</v>
      </c>
      <c r="Q367" s="9">
        <v>3993.25</v>
      </c>
      <c r="R367" s="9">
        <v>7287.5</v>
      </c>
      <c r="S367" s="9">
        <v>8012.5</v>
      </c>
      <c r="T367" s="31">
        <v>8631.25</v>
      </c>
      <c r="W367" s="16">
        <f t="shared" si="71"/>
        <v>44541</v>
      </c>
      <c r="X367" s="9">
        <f t="shared" si="72"/>
        <v>715.64800000000002</v>
      </c>
      <c r="Y367" s="9">
        <f t="shared" si="73"/>
        <v>829.06600000000003</v>
      </c>
      <c r="AA367" s="16">
        <f t="shared" si="74"/>
        <v>44933</v>
      </c>
      <c r="AB367" s="21">
        <f t="shared" si="79"/>
        <v>5405.75</v>
      </c>
      <c r="AC367" s="21">
        <f t="shared" si="75"/>
        <v>3993.25</v>
      </c>
      <c r="AD367" s="21">
        <f t="shared" si="76"/>
        <v>7287.5</v>
      </c>
      <c r="AE367" s="21">
        <f t="shared" si="77"/>
        <v>8012.5</v>
      </c>
      <c r="AF367" s="21">
        <f t="shared" si="78"/>
        <v>8631.25</v>
      </c>
      <c r="AK367" s="16"/>
      <c r="AL367" s="17"/>
      <c r="AN367" s="16"/>
    </row>
    <row r="368" spans="2:40" x14ac:dyDescent="0.4">
      <c r="B368" s="6">
        <f t="shared" si="66"/>
        <v>44912</v>
      </c>
      <c r="C368" s="8">
        <f t="shared" si="67"/>
        <v>290.08000000000004</v>
      </c>
      <c r="D368" s="5">
        <f t="shared" si="68"/>
        <v>1142.5570000000005</v>
      </c>
      <c r="E368" s="5">
        <f t="shared" si="69"/>
        <v>1857.5570000000005</v>
      </c>
      <c r="F368" s="5">
        <f t="shared" si="70"/>
        <v>2372.5570000000007</v>
      </c>
      <c r="H368" s="6"/>
      <c r="I368" s="11">
        <v>44548</v>
      </c>
      <c r="J368" s="9">
        <v>726.48599999999999</v>
      </c>
      <c r="K368" s="9">
        <v>834.23</v>
      </c>
      <c r="O368" s="11">
        <v>44940</v>
      </c>
      <c r="P368" s="9">
        <v>5368</v>
      </c>
      <c r="Q368" s="9">
        <v>4091.8</v>
      </c>
      <c r="R368" s="9">
        <v>7275</v>
      </c>
      <c r="S368" s="9">
        <v>8030</v>
      </c>
      <c r="T368" s="31">
        <v>8615</v>
      </c>
      <c r="W368" s="16">
        <f t="shared" si="71"/>
        <v>44548</v>
      </c>
      <c r="X368" s="9">
        <f t="shared" si="72"/>
        <v>726.48599999999999</v>
      </c>
      <c r="Y368" s="9">
        <f t="shared" si="73"/>
        <v>834.23</v>
      </c>
      <c r="AA368" s="16">
        <f t="shared" si="74"/>
        <v>44940</v>
      </c>
      <c r="AB368" s="21">
        <f t="shared" si="79"/>
        <v>5368</v>
      </c>
      <c r="AC368" s="21">
        <f t="shared" si="75"/>
        <v>4091.8</v>
      </c>
      <c r="AD368" s="21">
        <f t="shared" si="76"/>
        <v>7275</v>
      </c>
      <c r="AE368" s="21">
        <f t="shared" si="77"/>
        <v>8030</v>
      </c>
      <c r="AF368" s="21">
        <f t="shared" si="78"/>
        <v>8615</v>
      </c>
      <c r="AK368" s="16"/>
      <c r="AL368" s="17"/>
      <c r="AN368" s="16"/>
    </row>
    <row r="369" spans="2:40" x14ac:dyDescent="0.4">
      <c r="B369" s="6">
        <f t="shared" si="66"/>
        <v>44919</v>
      </c>
      <c r="C369" s="8">
        <f t="shared" si="67"/>
        <v>312.09199999999998</v>
      </c>
      <c r="D369" s="5">
        <f t="shared" si="68"/>
        <v>1132.0739999999996</v>
      </c>
      <c r="E369" s="5">
        <f t="shared" si="69"/>
        <v>1857.0739999999996</v>
      </c>
      <c r="F369" s="5">
        <f t="shared" si="70"/>
        <v>2407.0739999999996</v>
      </c>
      <c r="H369" s="6"/>
      <c r="I369" s="11">
        <v>44555</v>
      </c>
      <c r="J369" s="9">
        <v>711.202</v>
      </c>
      <c r="K369" s="9">
        <v>837.73</v>
      </c>
      <c r="O369" s="11">
        <v>44947</v>
      </c>
      <c r="P369" s="9">
        <v>5638.6</v>
      </c>
      <c r="Q369" s="9">
        <v>4250.6000000000004</v>
      </c>
      <c r="R369" s="9">
        <v>7350</v>
      </c>
      <c r="S369" s="9">
        <v>8075</v>
      </c>
      <c r="T369" s="31">
        <v>8610</v>
      </c>
      <c r="W369" s="16">
        <f t="shared" si="71"/>
        <v>44555</v>
      </c>
      <c r="X369" s="9">
        <f t="shared" si="72"/>
        <v>711.202</v>
      </c>
      <c r="Y369" s="9">
        <f t="shared" si="73"/>
        <v>837.73</v>
      </c>
      <c r="AA369" s="16">
        <f t="shared" si="74"/>
        <v>44947</v>
      </c>
      <c r="AB369" s="21">
        <f t="shared" si="79"/>
        <v>5638.6</v>
      </c>
      <c r="AC369" s="21">
        <f t="shared" si="75"/>
        <v>4250.6000000000004</v>
      </c>
      <c r="AD369" s="21">
        <f t="shared" si="76"/>
        <v>7350</v>
      </c>
      <c r="AE369" s="21">
        <f t="shared" si="77"/>
        <v>8075</v>
      </c>
      <c r="AF369" s="21">
        <f t="shared" si="78"/>
        <v>8610</v>
      </c>
      <c r="AK369" s="16"/>
      <c r="AL369" s="17"/>
      <c r="AN369" s="16"/>
    </row>
    <row r="370" spans="2:40" x14ac:dyDescent="0.4">
      <c r="B370" s="6">
        <f t="shared" si="66"/>
        <v>44926</v>
      </c>
      <c r="C370" s="8">
        <f t="shared" si="67"/>
        <v>304.76249999999993</v>
      </c>
      <c r="D370" s="5">
        <f t="shared" si="68"/>
        <v>1081.251</v>
      </c>
      <c r="E370" s="5">
        <f t="shared" si="69"/>
        <v>1811.251</v>
      </c>
      <c r="F370" s="5">
        <f t="shared" si="70"/>
        <v>2381.2510000000002</v>
      </c>
      <c r="H370" s="6"/>
      <c r="I370" s="11">
        <v>44562</v>
      </c>
      <c r="J370" s="9">
        <v>756.98</v>
      </c>
      <c r="K370" s="9">
        <v>887.87249999999995</v>
      </c>
      <c r="O370" s="11">
        <v>44954</v>
      </c>
      <c r="P370" s="9">
        <v>5795</v>
      </c>
      <c r="Q370" s="9">
        <v>4320</v>
      </c>
      <c r="R370" s="9">
        <v>7550</v>
      </c>
      <c r="S370" s="9">
        <v>8225</v>
      </c>
      <c r="T370" s="31">
        <v>8775</v>
      </c>
      <c r="W370" s="16">
        <f t="shared" si="71"/>
        <v>44562</v>
      </c>
      <c r="X370" s="9">
        <f t="shared" si="72"/>
        <v>756.98</v>
      </c>
      <c r="Y370" s="9">
        <f t="shared" si="73"/>
        <v>887.87249999999995</v>
      </c>
      <c r="AA370" s="16">
        <f t="shared" si="74"/>
        <v>44954</v>
      </c>
      <c r="AB370" s="21">
        <f t="shared" si="79"/>
        <v>5795</v>
      </c>
      <c r="AC370" s="21">
        <f t="shared" si="75"/>
        <v>4320</v>
      </c>
      <c r="AD370" s="21">
        <f t="shared" si="76"/>
        <v>7550</v>
      </c>
      <c r="AE370" s="21">
        <f t="shared" si="77"/>
        <v>8225</v>
      </c>
      <c r="AF370" s="21">
        <f t="shared" si="78"/>
        <v>8775</v>
      </c>
      <c r="AK370" s="16"/>
      <c r="AL370" s="17"/>
      <c r="AN370" s="16"/>
    </row>
    <row r="371" spans="2:40" x14ac:dyDescent="0.4">
      <c r="B371" s="6">
        <f t="shared" si="66"/>
        <v>44933</v>
      </c>
      <c r="C371" s="8">
        <f t="shared" si="67"/>
        <v>313.24499999999989</v>
      </c>
      <c r="D371" s="5">
        <f t="shared" si="68"/>
        <v>1327.8449999999998</v>
      </c>
      <c r="E371" s="5">
        <f t="shared" si="69"/>
        <v>2052.8449999999998</v>
      </c>
      <c r="F371" s="5">
        <f t="shared" si="70"/>
        <v>2671.5949999999998</v>
      </c>
      <c r="H371" s="6"/>
      <c r="I371" s="11">
        <v>44569</v>
      </c>
      <c r="J371" s="9">
        <v>749.28</v>
      </c>
      <c r="K371" s="9">
        <v>944.19799999999998</v>
      </c>
      <c r="O371" s="11">
        <v>44961</v>
      </c>
      <c r="P371" s="9">
        <v>5708.166666666667</v>
      </c>
      <c r="Q371" s="9">
        <v>4264.666666666667</v>
      </c>
      <c r="R371" s="9">
        <v>7550</v>
      </c>
      <c r="S371" s="9">
        <v>8225</v>
      </c>
      <c r="T371" s="31">
        <v>8775</v>
      </c>
      <c r="W371" s="16">
        <f t="shared" si="71"/>
        <v>44569</v>
      </c>
      <c r="X371" s="9">
        <f t="shared" si="72"/>
        <v>749.28</v>
      </c>
      <c r="Y371" s="9">
        <f t="shared" si="73"/>
        <v>944.19799999999998</v>
      </c>
      <c r="AA371" s="16">
        <f t="shared" si="74"/>
        <v>44961</v>
      </c>
      <c r="AB371" s="21">
        <f t="shared" si="79"/>
        <v>5708.166666666667</v>
      </c>
      <c r="AC371" s="21">
        <f t="shared" si="75"/>
        <v>4264.666666666667</v>
      </c>
      <c r="AD371" s="21">
        <f t="shared" si="76"/>
        <v>7550</v>
      </c>
      <c r="AE371" s="21">
        <f t="shared" si="77"/>
        <v>8225</v>
      </c>
      <c r="AF371" s="21">
        <f t="shared" si="78"/>
        <v>8775</v>
      </c>
      <c r="AK371" s="16"/>
      <c r="AL371" s="17"/>
      <c r="AN371" s="16"/>
    </row>
    <row r="372" spans="2:40" x14ac:dyDescent="0.4">
      <c r="B372" s="6">
        <f t="shared" si="66"/>
        <v>44940</v>
      </c>
      <c r="C372" s="8">
        <f t="shared" si="67"/>
        <v>304.18600000000004</v>
      </c>
      <c r="D372" s="5">
        <f t="shared" si="68"/>
        <v>1314.6069999999995</v>
      </c>
      <c r="E372" s="5">
        <f t="shared" si="69"/>
        <v>2069.6069999999995</v>
      </c>
      <c r="F372" s="5">
        <f t="shared" si="70"/>
        <v>2654.6069999999995</v>
      </c>
      <c r="H372" s="6"/>
      <c r="I372" s="11">
        <v>44576</v>
      </c>
      <c r="J372" s="9">
        <v>771.03800000000001</v>
      </c>
      <c r="K372" s="9">
        <v>940.12400000000002</v>
      </c>
      <c r="O372" s="11">
        <v>44968</v>
      </c>
      <c r="P372" s="9">
        <v>5580.6</v>
      </c>
      <c r="Q372" s="9">
        <v>4088.8</v>
      </c>
      <c r="R372" s="9">
        <v>7510</v>
      </c>
      <c r="S372" s="9">
        <v>8205</v>
      </c>
      <c r="T372" s="31">
        <v>8735</v>
      </c>
      <c r="W372" s="16">
        <f t="shared" si="71"/>
        <v>44576</v>
      </c>
      <c r="X372" s="9">
        <f t="shared" si="72"/>
        <v>771.03800000000001</v>
      </c>
      <c r="Y372" s="9">
        <f t="shared" si="73"/>
        <v>940.12400000000002</v>
      </c>
      <c r="AA372" s="16">
        <f t="shared" si="74"/>
        <v>44968</v>
      </c>
      <c r="AB372" s="21">
        <f t="shared" si="79"/>
        <v>5580.6</v>
      </c>
      <c r="AC372" s="21">
        <f t="shared" si="75"/>
        <v>4088.8</v>
      </c>
      <c r="AD372" s="21">
        <f t="shared" si="76"/>
        <v>7510</v>
      </c>
      <c r="AE372" s="21">
        <f t="shared" si="77"/>
        <v>8205</v>
      </c>
      <c r="AF372" s="21">
        <f t="shared" si="78"/>
        <v>8735</v>
      </c>
      <c r="AK372" s="16"/>
      <c r="AL372" s="17"/>
      <c r="AN372" s="16"/>
    </row>
    <row r="373" spans="2:40" x14ac:dyDescent="0.4">
      <c r="B373" s="6">
        <f t="shared" si="66"/>
        <v>44947</v>
      </c>
      <c r="C373" s="8">
        <f t="shared" si="67"/>
        <v>334.84666666666658</v>
      </c>
      <c r="D373" s="5">
        <f t="shared" si="68"/>
        <v>1105.0459999999991</v>
      </c>
      <c r="E373" s="5">
        <f t="shared" si="69"/>
        <v>1830.0459999999991</v>
      </c>
      <c r="F373" s="5">
        <f t="shared" si="70"/>
        <v>2365.0459999999994</v>
      </c>
      <c r="H373" s="6"/>
      <c r="I373" s="11">
        <v>44583</v>
      </c>
      <c r="J373" s="9">
        <v>789.86400000000003</v>
      </c>
      <c r="K373" s="9">
        <v>975.1</v>
      </c>
      <c r="O373" s="11">
        <v>44975</v>
      </c>
      <c r="P373" s="9">
        <v>5451</v>
      </c>
      <c r="Q373" s="9">
        <v>4133.6000000000004</v>
      </c>
      <c r="R373" s="9">
        <v>7355</v>
      </c>
      <c r="S373" s="9">
        <v>8060</v>
      </c>
      <c r="T373" s="31">
        <v>8675</v>
      </c>
      <c r="W373" s="16">
        <f t="shared" si="71"/>
        <v>44583</v>
      </c>
      <c r="X373" s="9">
        <f t="shared" si="72"/>
        <v>789.86400000000003</v>
      </c>
      <c r="Y373" s="9">
        <f t="shared" si="73"/>
        <v>975.1</v>
      </c>
      <c r="AA373" s="16">
        <f t="shared" si="74"/>
        <v>44975</v>
      </c>
      <c r="AB373" s="21">
        <f t="shared" si="79"/>
        <v>5451</v>
      </c>
      <c r="AC373" s="21">
        <f t="shared" si="75"/>
        <v>4133.6000000000004</v>
      </c>
      <c r="AD373" s="21">
        <f t="shared" si="76"/>
        <v>7355</v>
      </c>
      <c r="AE373" s="21">
        <f t="shared" si="77"/>
        <v>8060</v>
      </c>
      <c r="AF373" s="21">
        <f t="shared" si="78"/>
        <v>8675</v>
      </c>
      <c r="AK373" s="16"/>
      <c r="AL373" s="17"/>
      <c r="AN373" s="16"/>
    </row>
    <row r="374" spans="2:40" x14ac:dyDescent="0.4">
      <c r="B374" s="6">
        <f t="shared" si="66"/>
        <v>44954</v>
      </c>
      <c r="C374" s="8">
        <f t="shared" si="67"/>
        <v>357.40333333333331</v>
      </c>
      <c r="D374" s="5">
        <f t="shared" si="68"/>
        <v>1148.0750000000005</v>
      </c>
      <c r="E374" s="5">
        <f t="shared" si="69"/>
        <v>1823.0750000000005</v>
      </c>
      <c r="F374" s="5">
        <f t="shared" si="70"/>
        <v>2373.0750000000007</v>
      </c>
      <c r="H374" s="6"/>
      <c r="I374" s="11">
        <v>44590</v>
      </c>
      <c r="J374" s="9">
        <v>805.59799999999996</v>
      </c>
      <c r="K374" s="9">
        <v>998.26800000000003</v>
      </c>
      <c r="O374" s="11">
        <v>44982</v>
      </c>
      <c r="P374" s="9">
        <v>5557.2</v>
      </c>
      <c r="Q374" s="9">
        <v>4216.6000000000004</v>
      </c>
      <c r="R374" s="9">
        <v>7390</v>
      </c>
      <c r="S374" s="9">
        <v>8030</v>
      </c>
      <c r="T374" s="31">
        <v>8690</v>
      </c>
      <c r="W374" s="16">
        <f t="shared" si="71"/>
        <v>44590</v>
      </c>
      <c r="X374" s="9">
        <f t="shared" si="72"/>
        <v>805.59799999999996</v>
      </c>
      <c r="Y374" s="9">
        <f t="shared" si="73"/>
        <v>998.26800000000003</v>
      </c>
      <c r="AA374" s="16">
        <f t="shared" si="74"/>
        <v>44982</v>
      </c>
      <c r="AB374" s="21">
        <f t="shared" si="79"/>
        <v>5557.2</v>
      </c>
      <c r="AC374" s="21">
        <f t="shared" si="75"/>
        <v>4216.6000000000004</v>
      </c>
      <c r="AD374" s="21">
        <f t="shared" si="76"/>
        <v>7390</v>
      </c>
      <c r="AE374" s="21">
        <f t="shared" si="77"/>
        <v>8030</v>
      </c>
      <c r="AF374" s="21">
        <f t="shared" si="78"/>
        <v>8690</v>
      </c>
      <c r="AK374" s="16"/>
      <c r="AL374" s="17"/>
      <c r="AN374" s="16"/>
    </row>
    <row r="375" spans="2:40" x14ac:dyDescent="0.4">
      <c r="B375" s="6">
        <f t="shared" si="66"/>
        <v>44961</v>
      </c>
      <c r="C375" s="8">
        <f t="shared" si="67"/>
        <v>360.78399999999999</v>
      </c>
      <c r="D375" s="5">
        <f t="shared" si="68"/>
        <v>1240.8541666666665</v>
      </c>
      <c r="E375" s="5">
        <f t="shared" si="69"/>
        <v>1915.8541666666665</v>
      </c>
      <c r="F375" s="5">
        <f t="shared" si="70"/>
        <v>2465.8541666666665</v>
      </c>
      <c r="H375" s="6"/>
      <c r="I375" s="11">
        <v>44597</v>
      </c>
      <c r="J375" s="9">
        <v>845.35</v>
      </c>
      <c r="K375" s="9">
        <v>1053.1400000000001</v>
      </c>
      <c r="O375" s="11">
        <v>44989</v>
      </c>
      <c r="P375" s="9">
        <v>5686.6</v>
      </c>
      <c r="Q375" s="9">
        <v>4267.8</v>
      </c>
      <c r="R375" s="9">
        <v>7420</v>
      </c>
      <c r="S375" s="9">
        <v>7990</v>
      </c>
      <c r="T375" s="31">
        <v>8715</v>
      </c>
      <c r="W375" s="16">
        <f t="shared" si="71"/>
        <v>44597</v>
      </c>
      <c r="X375" s="9">
        <f t="shared" si="72"/>
        <v>845.35</v>
      </c>
      <c r="Y375" s="9">
        <f t="shared" si="73"/>
        <v>1053.1400000000001</v>
      </c>
      <c r="AA375" s="16">
        <f t="shared" si="74"/>
        <v>44989</v>
      </c>
      <c r="AB375" s="21">
        <f t="shared" si="79"/>
        <v>5686.6</v>
      </c>
      <c r="AC375" s="21">
        <f t="shared" si="75"/>
        <v>4267.8</v>
      </c>
      <c r="AD375" s="21">
        <f t="shared" si="76"/>
        <v>7420</v>
      </c>
      <c r="AE375" s="21">
        <f t="shared" si="77"/>
        <v>7990</v>
      </c>
      <c r="AF375" s="21">
        <f t="shared" si="78"/>
        <v>8715</v>
      </c>
      <c r="AK375" s="16"/>
      <c r="AL375" s="17"/>
      <c r="AN375" s="16"/>
    </row>
    <row r="376" spans="2:40" x14ac:dyDescent="0.4">
      <c r="B376" s="6">
        <f t="shared" si="66"/>
        <v>44968</v>
      </c>
      <c r="C376" s="8">
        <f t="shared" si="67"/>
        <v>330.654</v>
      </c>
      <c r="D376" s="5">
        <f t="shared" si="68"/>
        <v>1368.8389999999995</v>
      </c>
      <c r="E376" s="5">
        <f t="shared" si="69"/>
        <v>2063.8389999999995</v>
      </c>
      <c r="F376" s="5">
        <f t="shared" si="70"/>
        <v>2593.8389999999995</v>
      </c>
      <c r="H376" s="6"/>
      <c r="I376" s="11">
        <v>44604</v>
      </c>
      <c r="J376" s="9">
        <v>857.22400000000005</v>
      </c>
      <c r="K376" s="9">
        <v>1079.9000000000001</v>
      </c>
      <c r="O376" s="11">
        <v>44996</v>
      </c>
      <c r="P376" s="9">
        <v>5854.6</v>
      </c>
      <c r="Q376" s="9">
        <v>4180.6000000000004</v>
      </c>
      <c r="R376" s="9">
        <v>7565</v>
      </c>
      <c r="S376" s="9">
        <v>8140</v>
      </c>
      <c r="T376" s="31">
        <v>8890</v>
      </c>
      <c r="W376" s="16">
        <f t="shared" si="71"/>
        <v>44604</v>
      </c>
      <c r="X376" s="9">
        <f t="shared" si="72"/>
        <v>857.22400000000005</v>
      </c>
      <c r="Y376" s="9">
        <f t="shared" si="73"/>
        <v>1079.9000000000001</v>
      </c>
      <c r="AA376" s="16">
        <f t="shared" si="74"/>
        <v>44996</v>
      </c>
      <c r="AB376" s="21">
        <f t="shared" si="79"/>
        <v>5854.6</v>
      </c>
      <c r="AC376" s="21">
        <f t="shared" si="75"/>
        <v>4180.6000000000004</v>
      </c>
      <c r="AD376" s="21">
        <f t="shared" si="76"/>
        <v>7565</v>
      </c>
      <c r="AE376" s="21">
        <f t="shared" si="77"/>
        <v>8140</v>
      </c>
      <c r="AF376" s="21">
        <f t="shared" si="78"/>
        <v>8890</v>
      </c>
      <c r="AK376" s="16"/>
      <c r="AL376" s="17"/>
      <c r="AN376" s="16"/>
    </row>
    <row r="377" spans="2:40" x14ac:dyDescent="0.4">
      <c r="B377" s="6">
        <f t="shared" si="66"/>
        <v>44975</v>
      </c>
      <c r="C377" s="8">
        <f t="shared" si="67"/>
        <v>287.54200000000003</v>
      </c>
      <c r="D377" s="5">
        <f t="shared" si="68"/>
        <v>1309.6390000000001</v>
      </c>
      <c r="E377" s="5">
        <f t="shared" si="69"/>
        <v>2014.6390000000001</v>
      </c>
      <c r="F377" s="5">
        <f t="shared" si="70"/>
        <v>2629.6390000000001</v>
      </c>
      <c r="H377" s="6"/>
      <c r="I377" s="11">
        <v>44611</v>
      </c>
      <c r="J377" s="9">
        <v>876.15599999999995</v>
      </c>
      <c r="K377" s="9">
        <v>1074.1679999999999</v>
      </c>
      <c r="O377" s="11">
        <v>45003</v>
      </c>
      <c r="P377" s="9">
        <v>5750.6</v>
      </c>
      <c r="Q377" s="9">
        <v>4076.2</v>
      </c>
      <c r="R377" s="9">
        <v>7385</v>
      </c>
      <c r="S377" s="9">
        <v>8015</v>
      </c>
      <c r="T377" s="31">
        <v>8740</v>
      </c>
      <c r="W377" s="16">
        <f t="shared" si="71"/>
        <v>44611</v>
      </c>
      <c r="X377" s="9">
        <f t="shared" si="72"/>
        <v>876.15599999999995</v>
      </c>
      <c r="Y377" s="9">
        <f t="shared" si="73"/>
        <v>1074.1679999999999</v>
      </c>
      <c r="AA377" s="16">
        <f t="shared" si="74"/>
        <v>45003</v>
      </c>
      <c r="AB377" s="21">
        <f t="shared" si="79"/>
        <v>5750.6</v>
      </c>
      <c r="AC377" s="21">
        <f t="shared" si="75"/>
        <v>4076.2</v>
      </c>
      <c r="AD377" s="21">
        <f t="shared" si="76"/>
        <v>7385</v>
      </c>
      <c r="AE377" s="21">
        <f t="shared" si="77"/>
        <v>8015</v>
      </c>
      <c r="AF377" s="21">
        <f t="shared" si="78"/>
        <v>8740</v>
      </c>
      <c r="AK377" s="16"/>
      <c r="AL377" s="17"/>
      <c r="AN377" s="16"/>
    </row>
    <row r="378" spans="2:40" x14ac:dyDescent="0.4">
      <c r="B378" s="6">
        <f t="shared" si="66"/>
        <v>44982</v>
      </c>
      <c r="C378" s="8">
        <f t="shared" si="67"/>
        <v>278.45799999999997</v>
      </c>
      <c r="D378" s="5">
        <f t="shared" si="68"/>
        <v>1226.0329999999999</v>
      </c>
      <c r="E378" s="5">
        <f t="shared" si="69"/>
        <v>1866.0329999999999</v>
      </c>
      <c r="F378" s="5">
        <f t="shared" si="70"/>
        <v>2526.0329999999999</v>
      </c>
      <c r="H378" s="6"/>
      <c r="I378" s="11">
        <v>44618</v>
      </c>
      <c r="J378" s="9">
        <v>912.93799999999999</v>
      </c>
      <c r="K378" s="9">
        <v>1094.5999999999999</v>
      </c>
      <c r="O378" s="11">
        <v>45010</v>
      </c>
      <c r="P378" s="9">
        <v>6062.2</v>
      </c>
      <c r="Q378" s="9">
        <v>4030</v>
      </c>
      <c r="R378" s="9">
        <v>7450</v>
      </c>
      <c r="S378" s="9">
        <v>8085</v>
      </c>
      <c r="T378" s="31">
        <v>8835</v>
      </c>
      <c r="W378" s="16">
        <f t="shared" si="71"/>
        <v>44618</v>
      </c>
      <c r="X378" s="9">
        <f t="shared" si="72"/>
        <v>912.93799999999999</v>
      </c>
      <c r="Y378" s="9">
        <f t="shared" si="73"/>
        <v>1094.5999999999999</v>
      </c>
      <c r="AA378" s="16">
        <f t="shared" si="74"/>
        <v>45010</v>
      </c>
      <c r="AB378" s="21">
        <f t="shared" si="79"/>
        <v>6062.2</v>
      </c>
      <c r="AC378" s="21">
        <f t="shared" si="75"/>
        <v>4030</v>
      </c>
      <c r="AD378" s="21">
        <f t="shared" si="76"/>
        <v>7450</v>
      </c>
      <c r="AE378" s="21">
        <f t="shared" si="77"/>
        <v>8085</v>
      </c>
      <c r="AF378" s="21">
        <f t="shared" si="78"/>
        <v>8835</v>
      </c>
      <c r="AK378" s="16"/>
      <c r="AL378" s="17"/>
      <c r="AN378" s="16"/>
    </row>
    <row r="379" spans="2:40" x14ac:dyDescent="0.4">
      <c r="B379" s="6">
        <f t="shared" si="66"/>
        <v>44989</v>
      </c>
      <c r="C379" s="8">
        <f t="shared" si="67"/>
        <v>279.59800000000007</v>
      </c>
      <c r="D379" s="5">
        <f t="shared" si="68"/>
        <v>1128.2439999999992</v>
      </c>
      <c r="E379" s="5">
        <f t="shared" si="69"/>
        <v>1698.2439999999992</v>
      </c>
      <c r="F379" s="5">
        <f t="shared" si="70"/>
        <v>2423.2439999999992</v>
      </c>
      <c r="H379" s="6"/>
      <c r="I379" s="11">
        <v>44625</v>
      </c>
      <c r="J379" s="9">
        <v>1049.8</v>
      </c>
      <c r="K379" s="9">
        <v>1169.4659999999999</v>
      </c>
      <c r="O379" s="11">
        <v>45017</v>
      </c>
      <c r="P379" s="9">
        <v>6318.2</v>
      </c>
      <c r="Q379" s="9">
        <v>4090</v>
      </c>
      <c r="R379" s="9">
        <v>7650</v>
      </c>
      <c r="S379" s="9">
        <v>8255</v>
      </c>
      <c r="T379" s="31">
        <v>8995</v>
      </c>
      <c r="W379" s="16">
        <f t="shared" si="71"/>
        <v>44625</v>
      </c>
      <c r="X379" s="9">
        <f t="shared" si="72"/>
        <v>1049.8</v>
      </c>
      <c r="Y379" s="9">
        <f t="shared" si="73"/>
        <v>1169.4659999999999</v>
      </c>
      <c r="AA379" s="16">
        <f t="shared" si="74"/>
        <v>45017</v>
      </c>
      <c r="AB379" s="21">
        <f t="shared" si="79"/>
        <v>6318.2</v>
      </c>
      <c r="AC379" s="21">
        <f t="shared" si="75"/>
        <v>4090</v>
      </c>
      <c r="AD379" s="21">
        <f t="shared" si="76"/>
        <v>7650</v>
      </c>
      <c r="AE379" s="21">
        <f t="shared" si="77"/>
        <v>8255</v>
      </c>
      <c r="AF379" s="21">
        <f t="shared" si="78"/>
        <v>8995</v>
      </c>
      <c r="AK379" s="16"/>
      <c r="AL379" s="17"/>
      <c r="AN379" s="16"/>
    </row>
    <row r="380" spans="2:40" x14ac:dyDescent="0.4">
      <c r="B380" s="6">
        <f t="shared" si="66"/>
        <v>44996</v>
      </c>
      <c r="C380" s="8">
        <f t="shared" si="67"/>
        <v>300.0859999999999</v>
      </c>
      <c r="D380" s="5">
        <f t="shared" si="68"/>
        <v>1158.8159999999998</v>
      </c>
      <c r="E380" s="5">
        <f t="shared" si="69"/>
        <v>1733.8159999999998</v>
      </c>
      <c r="F380" s="5">
        <f t="shared" si="70"/>
        <v>2483.8159999999998</v>
      </c>
      <c r="H380" s="6"/>
      <c r="I380" s="11">
        <v>44632</v>
      </c>
      <c r="J380" s="9">
        <v>1147.05</v>
      </c>
      <c r="K380" s="9">
        <v>1302.6679999999999</v>
      </c>
      <c r="O380" s="11">
        <v>45024</v>
      </c>
      <c r="P380" s="9">
        <v>6462.5</v>
      </c>
      <c r="Q380" s="9">
        <v>4124.5</v>
      </c>
      <c r="R380" s="9">
        <v>7943.75</v>
      </c>
      <c r="S380" s="9">
        <v>8468.75</v>
      </c>
      <c r="T380" s="31">
        <v>9243.75</v>
      </c>
      <c r="W380" s="16">
        <f t="shared" si="71"/>
        <v>44632</v>
      </c>
      <c r="X380" s="9">
        <f t="shared" si="72"/>
        <v>1147.05</v>
      </c>
      <c r="Y380" s="9">
        <f t="shared" si="73"/>
        <v>1302.6679999999999</v>
      </c>
      <c r="AA380" s="16">
        <f t="shared" si="74"/>
        <v>45024</v>
      </c>
      <c r="AB380" s="21">
        <f t="shared" si="79"/>
        <v>6462.5</v>
      </c>
      <c r="AC380" s="21">
        <f t="shared" si="75"/>
        <v>4124.5</v>
      </c>
      <c r="AD380" s="21">
        <f t="shared" si="76"/>
        <v>7943.75</v>
      </c>
      <c r="AE380" s="21">
        <f t="shared" si="77"/>
        <v>8468.75</v>
      </c>
      <c r="AF380" s="21">
        <f t="shared" si="78"/>
        <v>9243.75</v>
      </c>
      <c r="AK380" s="16"/>
      <c r="AL380" s="17"/>
      <c r="AN380" s="16"/>
    </row>
    <row r="381" spans="2:40" x14ac:dyDescent="0.4">
      <c r="B381" s="6">
        <f t="shared" si="66"/>
        <v>45003</v>
      </c>
      <c r="C381" s="8">
        <f t="shared" si="67"/>
        <v>356.52799999999991</v>
      </c>
      <c r="D381" s="5">
        <f t="shared" si="68"/>
        <v>1102.71</v>
      </c>
      <c r="E381" s="5">
        <f t="shared" si="69"/>
        <v>1732.71</v>
      </c>
      <c r="F381" s="5">
        <f t="shared" si="70"/>
        <v>2457.71</v>
      </c>
      <c r="H381" s="6"/>
      <c r="I381" s="11">
        <v>44639</v>
      </c>
      <c r="J381" s="9">
        <v>963.83399999999995</v>
      </c>
      <c r="K381" s="9">
        <v>1178.7339999999999</v>
      </c>
      <c r="O381" s="11">
        <v>45031</v>
      </c>
      <c r="P381" s="9">
        <v>6355.8</v>
      </c>
      <c r="Q381" s="9">
        <v>4097</v>
      </c>
      <c r="R381" s="9">
        <v>7755</v>
      </c>
      <c r="S381" s="9">
        <v>8330</v>
      </c>
      <c r="T381" s="31">
        <v>9110</v>
      </c>
      <c r="W381" s="16">
        <f t="shared" si="71"/>
        <v>44639</v>
      </c>
      <c r="X381" s="9">
        <f t="shared" si="72"/>
        <v>963.83399999999995</v>
      </c>
      <c r="Y381" s="9">
        <f t="shared" si="73"/>
        <v>1178.7339999999999</v>
      </c>
      <c r="AA381" s="16">
        <f t="shared" si="74"/>
        <v>45031</v>
      </c>
      <c r="AB381" s="21">
        <f t="shared" si="79"/>
        <v>6355.8</v>
      </c>
      <c r="AC381" s="21">
        <f t="shared" si="75"/>
        <v>4097</v>
      </c>
      <c r="AD381" s="21">
        <f t="shared" si="76"/>
        <v>7755</v>
      </c>
      <c r="AE381" s="21">
        <f t="shared" si="77"/>
        <v>8330</v>
      </c>
      <c r="AF381" s="21">
        <f t="shared" si="78"/>
        <v>9110</v>
      </c>
      <c r="AK381" s="16"/>
      <c r="AL381" s="17"/>
      <c r="AN381" s="16"/>
    </row>
    <row r="382" spans="2:40" x14ac:dyDescent="0.4">
      <c r="B382" s="6">
        <f t="shared" si="66"/>
        <v>45010</v>
      </c>
      <c r="C382" s="8">
        <f t="shared" si="67"/>
        <v>438.08999999999992</v>
      </c>
      <c r="D382" s="5">
        <f t="shared" si="68"/>
        <v>916.76900000000023</v>
      </c>
      <c r="E382" s="5">
        <f t="shared" si="69"/>
        <v>1551.7690000000002</v>
      </c>
      <c r="F382" s="5">
        <f t="shared" si="70"/>
        <v>2301.7690000000002</v>
      </c>
      <c r="H382" s="6"/>
      <c r="I382" s="11">
        <v>44646</v>
      </c>
      <c r="J382" s="9">
        <v>989.32600000000002</v>
      </c>
      <c r="K382" s="9">
        <v>1217.202</v>
      </c>
      <c r="O382" s="11">
        <v>45038</v>
      </c>
      <c r="P382" s="9">
        <v>6411</v>
      </c>
      <c r="Q382" s="9">
        <v>4143.8</v>
      </c>
      <c r="R382" s="9">
        <v>7675</v>
      </c>
      <c r="S382" s="9">
        <v>8290</v>
      </c>
      <c r="T382" s="31">
        <v>9040</v>
      </c>
      <c r="W382" s="16">
        <f t="shared" si="71"/>
        <v>44646</v>
      </c>
      <c r="X382" s="9">
        <f t="shared" si="72"/>
        <v>989.32600000000002</v>
      </c>
      <c r="Y382" s="9">
        <f t="shared" si="73"/>
        <v>1217.202</v>
      </c>
      <c r="AA382" s="16">
        <f t="shared" si="74"/>
        <v>45038</v>
      </c>
      <c r="AB382" s="21">
        <f t="shared" si="79"/>
        <v>6411</v>
      </c>
      <c r="AC382" s="21">
        <f t="shared" si="75"/>
        <v>4143.8</v>
      </c>
      <c r="AD382" s="21">
        <f t="shared" si="76"/>
        <v>7675</v>
      </c>
      <c r="AE382" s="21">
        <f t="shared" si="77"/>
        <v>8290</v>
      </c>
      <c r="AF382" s="21">
        <f t="shared" si="78"/>
        <v>9040</v>
      </c>
      <c r="AK382" s="16"/>
      <c r="AL382" s="17"/>
      <c r="AN382" s="16"/>
    </row>
    <row r="383" spans="2:40" x14ac:dyDescent="0.4">
      <c r="B383" s="6">
        <f t="shared" si="66"/>
        <v>45017</v>
      </c>
      <c r="C383" s="8">
        <f t="shared" si="67"/>
        <v>426.06499999999994</v>
      </c>
      <c r="D383" s="5">
        <f t="shared" si="68"/>
        <v>877.78900000000021</v>
      </c>
      <c r="E383" s="5">
        <f t="shared" si="69"/>
        <v>1482.7890000000002</v>
      </c>
      <c r="F383" s="5">
        <f t="shared" si="70"/>
        <v>2222.7890000000002</v>
      </c>
      <c r="H383" s="6"/>
      <c r="I383" s="11">
        <v>44653</v>
      </c>
      <c r="J383" s="9">
        <v>944.77599999999995</v>
      </c>
      <c r="K383" s="9">
        <v>1181.932</v>
      </c>
      <c r="O383" s="11">
        <v>45045</v>
      </c>
      <c r="P383" s="9">
        <v>6216.166666666667</v>
      </c>
      <c r="Q383" s="9">
        <v>4100</v>
      </c>
      <c r="R383" s="9">
        <v>7560</v>
      </c>
      <c r="S383" s="9">
        <v>8165</v>
      </c>
      <c r="T383" s="31">
        <v>8845</v>
      </c>
      <c r="W383" s="16">
        <f t="shared" si="71"/>
        <v>44653</v>
      </c>
      <c r="X383" s="9">
        <f t="shared" si="72"/>
        <v>944.77599999999995</v>
      </c>
      <c r="Y383" s="9">
        <f t="shared" si="73"/>
        <v>1181.932</v>
      </c>
      <c r="AA383" s="16">
        <f t="shared" si="74"/>
        <v>45045</v>
      </c>
      <c r="AB383" s="21">
        <f t="shared" si="79"/>
        <v>6216.166666666667</v>
      </c>
      <c r="AC383" s="21">
        <f t="shared" si="75"/>
        <v>4100</v>
      </c>
      <c r="AD383" s="21">
        <f t="shared" si="76"/>
        <v>7560</v>
      </c>
      <c r="AE383" s="21">
        <f t="shared" si="77"/>
        <v>8165</v>
      </c>
      <c r="AF383" s="21">
        <f t="shared" si="78"/>
        <v>8845</v>
      </c>
      <c r="AK383" s="16"/>
      <c r="AL383" s="17"/>
      <c r="AN383" s="16"/>
    </row>
    <row r="384" spans="2:40" x14ac:dyDescent="0.4">
      <c r="B384" s="6">
        <f t="shared" si="66"/>
        <v>45024</v>
      </c>
      <c r="C384" s="8">
        <f t="shared" si="67"/>
        <v>431.97333333333324</v>
      </c>
      <c r="D384" s="5">
        <f t="shared" si="68"/>
        <v>1036.605</v>
      </c>
      <c r="E384" s="5">
        <f t="shared" si="69"/>
        <v>1561.605</v>
      </c>
      <c r="F384" s="5">
        <f t="shared" si="70"/>
        <v>2336.605</v>
      </c>
      <c r="H384" s="6"/>
      <c r="I384" s="11">
        <v>44660</v>
      </c>
      <c r="J384" s="9">
        <v>901.33199999999999</v>
      </c>
      <c r="K384" s="9">
        <v>1175.8019999999999</v>
      </c>
      <c r="O384" s="11">
        <v>45052</v>
      </c>
      <c r="P384" s="9">
        <v>5952.333333333333</v>
      </c>
      <c r="Q384" s="9">
        <v>4084.3333333333335</v>
      </c>
      <c r="R384" s="9">
        <v>7466.666666666667</v>
      </c>
      <c r="S384" s="9">
        <v>8091.666666666667</v>
      </c>
      <c r="T384" s="31">
        <v>8758.3333333333339</v>
      </c>
      <c r="W384" s="16">
        <f t="shared" si="71"/>
        <v>44660</v>
      </c>
      <c r="X384" s="9">
        <f t="shared" si="72"/>
        <v>901.33199999999999</v>
      </c>
      <c r="Y384" s="9">
        <f t="shared" si="73"/>
        <v>1175.8019999999999</v>
      </c>
      <c r="AA384" s="16">
        <f t="shared" si="74"/>
        <v>45052</v>
      </c>
      <c r="AB384" s="21">
        <f t="shared" si="79"/>
        <v>5952.333333333333</v>
      </c>
      <c r="AC384" s="21">
        <f t="shared" si="75"/>
        <v>4084.3333333333335</v>
      </c>
      <c r="AD384" s="21">
        <f t="shared" si="76"/>
        <v>7466.666666666667</v>
      </c>
      <c r="AE384" s="21">
        <f t="shared" si="77"/>
        <v>8091.666666666667</v>
      </c>
      <c r="AF384" s="21">
        <f t="shared" si="78"/>
        <v>8758.3333333333339</v>
      </c>
      <c r="AK384" s="16"/>
      <c r="AL384" s="17"/>
      <c r="AN384" s="16"/>
    </row>
    <row r="385" spans="2:40" x14ac:dyDescent="0.4">
      <c r="B385" s="6">
        <f t="shared" si="66"/>
        <v>45031</v>
      </c>
      <c r="C385" s="8">
        <f t="shared" si="67"/>
        <v>438.43000000000006</v>
      </c>
      <c r="D385" s="5">
        <f t="shared" si="68"/>
        <v>948.29600000000005</v>
      </c>
      <c r="E385" s="5">
        <f t="shared" si="69"/>
        <v>1523.296</v>
      </c>
      <c r="F385" s="5">
        <f t="shared" si="70"/>
        <v>2303.2960000000003</v>
      </c>
      <c r="H385" s="6"/>
      <c r="I385" s="11">
        <v>44667</v>
      </c>
      <c r="J385" s="9">
        <v>914.73249999999996</v>
      </c>
      <c r="K385" s="9">
        <v>1178.165</v>
      </c>
      <c r="O385" s="11">
        <v>45059</v>
      </c>
      <c r="P385" s="9">
        <v>5778.2</v>
      </c>
      <c r="Q385" s="9">
        <v>4200.3999999999996</v>
      </c>
      <c r="R385" s="9">
        <v>7470</v>
      </c>
      <c r="S385" s="9">
        <v>8110</v>
      </c>
      <c r="T385" s="31">
        <v>8720</v>
      </c>
      <c r="W385" s="16">
        <f t="shared" si="71"/>
        <v>44667</v>
      </c>
      <c r="X385" s="9">
        <f t="shared" si="72"/>
        <v>914.73249999999996</v>
      </c>
      <c r="Y385" s="9">
        <f t="shared" si="73"/>
        <v>1178.165</v>
      </c>
      <c r="AA385" s="16">
        <f t="shared" si="74"/>
        <v>45059</v>
      </c>
      <c r="AB385" s="21">
        <f t="shared" si="79"/>
        <v>5778.2</v>
      </c>
      <c r="AC385" s="21">
        <f t="shared" si="75"/>
        <v>4200.3999999999996</v>
      </c>
      <c r="AD385" s="21">
        <f t="shared" si="76"/>
        <v>7470</v>
      </c>
      <c r="AE385" s="21">
        <f t="shared" si="77"/>
        <v>8110</v>
      </c>
      <c r="AF385" s="21">
        <f t="shared" si="78"/>
        <v>8720</v>
      </c>
      <c r="AK385" s="16"/>
      <c r="AL385" s="17"/>
      <c r="AN385" s="16"/>
    </row>
    <row r="386" spans="2:40" x14ac:dyDescent="0.4">
      <c r="B386" s="6">
        <f t="shared" si="66"/>
        <v>45038</v>
      </c>
      <c r="C386" s="8">
        <f t="shared" si="67"/>
        <v>455.75199999999995</v>
      </c>
      <c r="D386" s="5">
        <f t="shared" si="68"/>
        <v>805.42200000000003</v>
      </c>
      <c r="E386" s="5">
        <f t="shared" si="69"/>
        <v>1420.422</v>
      </c>
      <c r="F386" s="5">
        <f t="shared" si="70"/>
        <v>2170.422</v>
      </c>
      <c r="H386" s="6"/>
      <c r="I386" s="11">
        <v>44674</v>
      </c>
      <c r="J386" s="9">
        <v>926.75400000000002</v>
      </c>
      <c r="K386" s="9">
        <v>1210.134</v>
      </c>
      <c r="O386" s="11">
        <v>45066</v>
      </c>
      <c r="P386" s="9">
        <v>5516.8</v>
      </c>
      <c r="Q386" s="9">
        <v>4213.8</v>
      </c>
      <c r="R386" s="9">
        <v>7260</v>
      </c>
      <c r="S386" s="9">
        <v>7970</v>
      </c>
      <c r="T386" s="31">
        <v>8615</v>
      </c>
      <c r="W386" s="16">
        <f t="shared" si="71"/>
        <v>44674</v>
      </c>
      <c r="X386" s="9">
        <f t="shared" si="72"/>
        <v>926.75400000000002</v>
      </c>
      <c r="Y386" s="9">
        <f t="shared" si="73"/>
        <v>1210.134</v>
      </c>
      <c r="AA386" s="16">
        <f t="shared" si="74"/>
        <v>45066</v>
      </c>
      <c r="AB386" s="21">
        <f t="shared" si="79"/>
        <v>5516.8</v>
      </c>
      <c r="AC386" s="21">
        <f t="shared" si="75"/>
        <v>4213.8</v>
      </c>
      <c r="AD386" s="21">
        <f t="shared" si="76"/>
        <v>7260</v>
      </c>
      <c r="AE386" s="21">
        <f t="shared" si="77"/>
        <v>7970</v>
      </c>
      <c r="AF386" s="21">
        <f t="shared" si="78"/>
        <v>8615</v>
      </c>
      <c r="AK386" s="16"/>
      <c r="AL386" s="17"/>
      <c r="AN386" s="16"/>
    </row>
    <row r="387" spans="2:40" x14ac:dyDescent="0.4">
      <c r="B387" s="6">
        <f t="shared" si="66"/>
        <v>45045</v>
      </c>
      <c r="C387" s="8">
        <f t="shared" si="67"/>
        <v>431.09799999999996</v>
      </c>
      <c r="D387" s="5">
        <f t="shared" si="68"/>
        <v>871.67749999999978</v>
      </c>
      <c r="E387" s="5">
        <f t="shared" si="69"/>
        <v>1476.6774999999998</v>
      </c>
      <c r="F387" s="5">
        <f t="shared" si="70"/>
        <v>2156.6774999999998</v>
      </c>
      <c r="H387" s="6"/>
      <c r="I387" s="11">
        <v>44681</v>
      </c>
      <c r="J387" s="9">
        <v>873.09</v>
      </c>
      <c r="K387" s="9">
        <v>1160.9659999999999</v>
      </c>
      <c r="O387" s="11">
        <v>45073</v>
      </c>
      <c r="P387" s="9">
        <v>5536.2</v>
      </c>
      <c r="Q387" s="9">
        <v>4014</v>
      </c>
      <c r="R387" s="9">
        <v>7280</v>
      </c>
      <c r="S387" s="9">
        <v>7965</v>
      </c>
      <c r="T387" s="31">
        <v>8605</v>
      </c>
      <c r="W387" s="16">
        <f t="shared" si="71"/>
        <v>44681</v>
      </c>
      <c r="X387" s="9">
        <f t="shared" si="72"/>
        <v>873.09</v>
      </c>
      <c r="Y387" s="9">
        <f t="shared" si="73"/>
        <v>1160.9659999999999</v>
      </c>
      <c r="AA387" s="16">
        <f t="shared" si="74"/>
        <v>45073</v>
      </c>
      <c r="AB387" s="21">
        <f t="shared" si="79"/>
        <v>5536.2</v>
      </c>
      <c r="AC387" s="21">
        <f t="shared" si="75"/>
        <v>4014</v>
      </c>
      <c r="AD387" s="21">
        <f t="shared" si="76"/>
        <v>7280</v>
      </c>
      <c r="AE387" s="21">
        <f t="shared" si="77"/>
        <v>7965</v>
      </c>
      <c r="AF387" s="21">
        <f t="shared" si="78"/>
        <v>8605</v>
      </c>
      <c r="AK387" s="16"/>
      <c r="AL387" s="17"/>
      <c r="AN387" s="16"/>
    </row>
    <row r="388" spans="2:40" x14ac:dyDescent="0.4">
      <c r="B388" s="6">
        <f t="shared" si="66"/>
        <v>45052</v>
      </c>
      <c r="C388" s="8">
        <f t="shared" si="67"/>
        <v>431.31000000000006</v>
      </c>
      <c r="D388" s="5">
        <f t="shared" si="68"/>
        <v>1009.1700000000003</v>
      </c>
      <c r="E388" s="5">
        <f t="shared" si="69"/>
        <v>1634.1700000000003</v>
      </c>
      <c r="F388" s="5">
        <f t="shared" si="70"/>
        <v>2300.836666666667</v>
      </c>
      <c r="H388" s="6"/>
      <c r="I388" s="11">
        <v>44688</v>
      </c>
      <c r="J388" s="9">
        <v>898.17</v>
      </c>
      <c r="K388" s="9">
        <v>1195.2233333333334</v>
      </c>
      <c r="O388" s="11">
        <v>45080</v>
      </c>
      <c r="P388" s="9">
        <v>5574</v>
      </c>
      <c r="Q388" s="9">
        <v>3954.8</v>
      </c>
      <c r="R388" s="9">
        <v>7375</v>
      </c>
      <c r="S388" s="9">
        <v>8070</v>
      </c>
      <c r="T388" s="31">
        <v>8785</v>
      </c>
      <c r="W388" s="16">
        <f t="shared" si="71"/>
        <v>44688</v>
      </c>
      <c r="X388" s="9">
        <f t="shared" si="72"/>
        <v>898.17</v>
      </c>
      <c r="Y388" s="9">
        <f t="shared" si="73"/>
        <v>1195.2233333333334</v>
      </c>
      <c r="AA388" s="16">
        <f t="shared" si="74"/>
        <v>45080</v>
      </c>
      <c r="AB388" s="21">
        <f t="shared" si="79"/>
        <v>5574</v>
      </c>
      <c r="AC388" s="21">
        <f t="shared" si="75"/>
        <v>3954.8</v>
      </c>
      <c r="AD388" s="21">
        <f t="shared" si="76"/>
        <v>7375</v>
      </c>
      <c r="AE388" s="21">
        <f t="shared" si="77"/>
        <v>8070</v>
      </c>
      <c r="AF388" s="21">
        <f t="shared" si="78"/>
        <v>8785</v>
      </c>
      <c r="AK388" s="16"/>
      <c r="AL388" s="17"/>
      <c r="AN388" s="16"/>
    </row>
    <row r="389" spans="2:40" x14ac:dyDescent="0.4">
      <c r="B389" s="6">
        <f t="shared" si="66"/>
        <v>45059</v>
      </c>
      <c r="C389" s="8">
        <f t="shared" si="67"/>
        <v>412.048</v>
      </c>
      <c r="D389" s="5">
        <f t="shared" si="68"/>
        <v>1122.5050000000001</v>
      </c>
      <c r="E389" s="5">
        <f t="shared" si="69"/>
        <v>1762.5050000000001</v>
      </c>
      <c r="F389" s="5">
        <f t="shared" si="70"/>
        <v>2372.5050000000001</v>
      </c>
      <c r="H389" s="6"/>
      <c r="I389" s="11">
        <v>44695</v>
      </c>
      <c r="J389" s="9">
        <v>913.52</v>
      </c>
      <c r="K389" s="9">
        <v>1243.636</v>
      </c>
      <c r="O389" s="11">
        <v>45087</v>
      </c>
      <c r="P389" s="9">
        <v>5632.2</v>
      </c>
      <c r="Q389" s="9">
        <v>3960.4</v>
      </c>
      <c r="R389" s="9">
        <v>7440</v>
      </c>
      <c r="S389" s="9">
        <v>8100</v>
      </c>
      <c r="T389" s="31">
        <v>8900</v>
      </c>
      <c r="W389" s="16">
        <f t="shared" si="71"/>
        <v>44695</v>
      </c>
      <c r="X389" s="9">
        <f t="shared" si="72"/>
        <v>913.52</v>
      </c>
      <c r="Y389" s="9">
        <f t="shared" si="73"/>
        <v>1243.636</v>
      </c>
      <c r="AA389" s="16">
        <f t="shared" si="74"/>
        <v>45087</v>
      </c>
      <c r="AB389" s="21">
        <f t="shared" si="79"/>
        <v>5632.2</v>
      </c>
      <c r="AC389" s="21">
        <f t="shared" si="75"/>
        <v>3960.4</v>
      </c>
      <c r="AD389" s="21">
        <f t="shared" si="76"/>
        <v>7440</v>
      </c>
      <c r="AE389" s="21">
        <f t="shared" si="77"/>
        <v>8100</v>
      </c>
      <c r="AF389" s="21">
        <f t="shared" si="78"/>
        <v>8900</v>
      </c>
      <c r="AK389" s="16"/>
      <c r="AL389" s="17"/>
      <c r="AN389" s="16"/>
    </row>
    <row r="390" spans="2:40" x14ac:dyDescent="0.4">
      <c r="B390" s="6">
        <f t="shared" ref="B390:B453" si="80">I442</f>
        <v>45066</v>
      </c>
      <c r="C390" s="8">
        <f t="shared" ref="C390:C453" si="81">Y442-X442</f>
        <v>391.09999999999991</v>
      </c>
      <c r="D390" s="5">
        <f t="shared" ref="D390:D453" si="82">IFERROR(VLOOKUP(B390,$AA:$AF,4,1)-0.855*VLOOKUP(B390,$AA:$AF,2,1)-0.335*VLOOKUP(B390,$AA:$AF,3,1),D389)</f>
        <v>1131.5129999999995</v>
      </c>
      <c r="E390" s="5">
        <f t="shared" ref="E390:E453" si="83">IFERROR(VLOOKUP(B390,$AA:$AF,5,1)-0.855*VLOOKUP(B390,$AA:$AF,2,1)-0.335*VLOOKUP(B390,$AA:$AF,3,1),E389)</f>
        <v>1841.5129999999995</v>
      </c>
      <c r="F390" s="5">
        <f t="shared" ref="F390:F453" si="84">IFERROR(VLOOKUP(B390,$AA:$AF,6,1)-0.855*VLOOKUP(B390,$AA:$AF,2,1)-0.335*VLOOKUP(B390,$AA:$AF,3,1),F389)</f>
        <v>2486.5129999999995</v>
      </c>
      <c r="H390" s="6"/>
      <c r="I390" s="11">
        <v>44702</v>
      </c>
      <c r="J390" s="9">
        <v>901.34500000000003</v>
      </c>
      <c r="K390" s="9">
        <v>1289.165</v>
      </c>
      <c r="O390" s="11">
        <v>45094</v>
      </c>
      <c r="P390" s="9">
        <v>5626.6</v>
      </c>
      <c r="Q390" s="9">
        <v>3885.6</v>
      </c>
      <c r="R390" s="9">
        <v>7360</v>
      </c>
      <c r="S390" s="9">
        <v>8035</v>
      </c>
      <c r="T390" s="31">
        <v>8830</v>
      </c>
      <c r="W390" s="16">
        <f t="shared" ref="W390:W453" si="85">I390</f>
        <v>44702</v>
      </c>
      <c r="X390" s="9">
        <f t="shared" ref="X390:X453" si="86">IFERROR(IF(J390&lt;&gt;0,J390,X389),X389)</f>
        <v>901.34500000000003</v>
      </c>
      <c r="Y390" s="9">
        <f t="shared" ref="Y390:Y453" si="87">IFERROR(IF(K390&lt;&gt;0,K390,Y389),Y389)</f>
        <v>1289.165</v>
      </c>
      <c r="AA390" s="16">
        <f t="shared" ref="AA390:AA453" si="88">O390</f>
        <v>45094</v>
      </c>
      <c r="AB390" s="21">
        <f t="shared" ref="AB390:AB453" si="89">IFERROR(IF(P390&lt;&gt;0,P390,AB389),AB389)</f>
        <v>5626.6</v>
      </c>
      <c r="AC390" s="21">
        <f t="shared" ref="AC390:AC453" si="90">IFERROR(IF(Q390&lt;&gt;0,Q390,AC389),AC389)</f>
        <v>3885.6</v>
      </c>
      <c r="AD390" s="21">
        <f t="shared" ref="AD390:AD453" si="91">IFERROR(IF(R390&lt;&gt;0,R390,AD389),AD389)</f>
        <v>7360</v>
      </c>
      <c r="AE390" s="21">
        <f t="shared" ref="AE390:AE453" si="92">IFERROR(IF(S390&lt;&gt;0,S390,AE389),AE389)</f>
        <v>8035</v>
      </c>
      <c r="AF390" s="21">
        <f t="shared" ref="AF390:AF453" si="93">IFERROR(IF(T390&lt;&gt;0,T390,AF389),AF389)</f>
        <v>8830</v>
      </c>
      <c r="AK390" s="16"/>
      <c r="AL390" s="17"/>
      <c r="AN390" s="16"/>
    </row>
    <row r="391" spans="2:40" x14ac:dyDescent="0.4">
      <c r="B391" s="6">
        <f t="shared" si="80"/>
        <v>45073</v>
      </c>
      <c r="C391" s="8">
        <f t="shared" si="81"/>
        <v>389.70600000000002</v>
      </c>
      <c r="D391" s="5">
        <f t="shared" si="82"/>
        <v>1201.8589999999999</v>
      </c>
      <c r="E391" s="5">
        <f t="shared" si="83"/>
        <v>1886.8589999999999</v>
      </c>
      <c r="F391" s="5">
        <f t="shared" si="84"/>
        <v>2526.8589999999999</v>
      </c>
      <c r="H391" s="6"/>
      <c r="I391" s="11">
        <v>44709</v>
      </c>
      <c r="J391" s="9">
        <v>878.69399999999996</v>
      </c>
      <c r="K391" s="9">
        <v>1303.268</v>
      </c>
      <c r="O391" s="11">
        <v>45101</v>
      </c>
      <c r="P391" s="9">
        <v>5639.333333333333</v>
      </c>
      <c r="Q391" s="9">
        <v>3935</v>
      </c>
      <c r="R391" s="9">
        <v>7383.333333333333</v>
      </c>
      <c r="S391" s="9">
        <v>8016.666666666667</v>
      </c>
      <c r="T391" s="31">
        <v>8841.6666666666661</v>
      </c>
      <c r="W391" s="16">
        <f t="shared" si="85"/>
        <v>44709</v>
      </c>
      <c r="X391" s="9">
        <f t="shared" si="86"/>
        <v>878.69399999999996</v>
      </c>
      <c r="Y391" s="9">
        <f t="shared" si="87"/>
        <v>1303.268</v>
      </c>
      <c r="AA391" s="16">
        <f t="shared" si="88"/>
        <v>45101</v>
      </c>
      <c r="AB391" s="21">
        <f t="shared" si="89"/>
        <v>5639.333333333333</v>
      </c>
      <c r="AC391" s="21">
        <f t="shared" si="90"/>
        <v>3935</v>
      </c>
      <c r="AD391" s="21">
        <f t="shared" si="91"/>
        <v>7383.333333333333</v>
      </c>
      <c r="AE391" s="21">
        <f t="shared" si="92"/>
        <v>8016.666666666667</v>
      </c>
      <c r="AF391" s="21">
        <f t="shared" si="93"/>
        <v>8841.6666666666661</v>
      </c>
      <c r="AK391" s="16"/>
      <c r="AL391" s="17"/>
      <c r="AN391" s="16"/>
    </row>
    <row r="392" spans="2:40" x14ac:dyDescent="0.4">
      <c r="B392" s="6">
        <f t="shared" si="80"/>
        <v>45080</v>
      </c>
      <c r="C392" s="8">
        <f t="shared" si="81"/>
        <v>394.05250000000001</v>
      </c>
      <c r="D392" s="5">
        <f t="shared" si="82"/>
        <v>1284.3720000000003</v>
      </c>
      <c r="E392" s="5">
        <f t="shared" si="83"/>
        <v>1979.3720000000003</v>
      </c>
      <c r="F392" s="5">
        <f t="shared" si="84"/>
        <v>2694.3720000000003</v>
      </c>
      <c r="H392" s="6"/>
      <c r="I392" s="11">
        <v>44716</v>
      </c>
      <c r="J392" s="9">
        <v>845.08199999999999</v>
      </c>
      <c r="K392" s="9">
        <v>1291.5</v>
      </c>
      <c r="O392" s="11">
        <v>45108</v>
      </c>
      <c r="P392" s="9">
        <v>5576.5</v>
      </c>
      <c r="Q392" s="9">
        <v>3848.3333333333335</v>
      </c>
      <c r="R392" s="9">
        <v>7304.166666666667</v>
      </c>
      <c r="S392" s="9">
        <v>7933.333333333333</v>
      </c>
      <c r="T392" s="31">
        <v>8795.8333333333339</v>
      </c>
      <c r="W392" s="16">
        <f t="shared" si="85"/>
        <v>44716</v>
      </c>
      <c r="X392" s="9">
        <f t="shared" si="86"/>
        <v>845.08199999999999</v>
      </c>
      <c r="Y392" s="9">
        <f t="shared" si="87"/>
        <v>1291.5</v>
      </c>
      <c r="AA392" s="16">
        <f t="shared" si="88"/>
        <v>45108</v>
      </c>
      <c r="AB392" s="21">
        <f t="shared" si="89"/>
        <v>5576.5</v>
      </c>
      <c r="AC392" s="21">
        <f t="shared" si="90"/>
        <v>3848.3333333333335</v>
      </c>
      <c r="AD392" s="21">
        <f t="shared" si="91"/>
        <v>7304.166666666667</v>
      </c>
      <c r="AE392" s="21">
        <f t="shared" si="92"/>
        <v>7933.333333333333</v>
      </c>
      <c r="AF392" s="21">
        <f t="shared" si="93"/>
        <v>8795.8333333333339</v>
      </c>
      <c r="AK392" s="16"/>
      <c r="AL392" s="17"/>
      <c r="AN392" s="16"/>
    </row>
    <row r="393" spans="2:40" x14ac:dyDescent="0.4">
      <c r="B393" s="6">
        <f t="shared" si="80"/>
        <v>45087</v>
      </c>
      <c r="C393" s="8">
        <f t="shared" si="81"/>
        <v>416.74199999999996</v>
      </c>
      <c r="D393" s="5">
        <f t="shared" si="82"/>
        <v>1297.7349999999999</v>
      </c>
      <c r="E393" s="5">
        <f t="shared" si="83"/>
        <v>1957.7349999999999</v>
      </c>
      <c r="F393" s="5">
        <f t="shared" si="84"/>
        <v>2757.7349999999997</v>
      </c>
      <c r="H393" s="6"/>
      <c r="I393" s="11">
        <v>44723</v>
      </c>
      <c r="J393" s="9">
        <v>829.64</v>
      </c>
      <c r="K393" s="9">
        <v>1468.434</v>
      </c>
      <c r="O393" s="11">
        <v>45115</v>
      </c>
      <c r="P393" s="9">
        <v>5670.8</v>
      </c>
      <c r="Q393" s="9">
        <v>3904</v>
      </c>
      <c r="R393" s="9">
        <v>7300</v>
      </c>
      <c r="S393" s="9">
        <v>7925</v>
      </c>
      <c r="T393" s="31">
        <v>8820</v>
      </c>
      <c r="W393" s="16">
        <f t="shared" si="85"/>
        <v>44723</v>
      </c>
      <c r="X393" s="9">
        <f t="shared" si="86"/>
        <v>829.64</v>
      </c>
      <c r="Y393" s="9">
        <f t="shared" si="87"/>
        <v>1468.434</v>
      </c>
      <c r="AA393" s="16">
        <f t="shared" si="88"/>
        <v>45115</v>
      </c>
      <c r="AB393" s="21">
        <f t="shared" si="89"/>
        <v>5670.8</v>
      </c>
      <c r="AC393" s="21">
        <f t="shared" si="90"/>
        <v>3904</v>
      </c>
      <c r="AD393" s="21">
        <f t="shared" si="91"/>
        <v>7300</v>
      </c>
      <c r="AE393" s="21">
        <f t="shared" si="92"/>
        <v>7925</v>
      </c>
      <c r="AF393" s="21">
        <f t="shared" si="93"/>
        <v>8820</v>
      </c>
      <c r="AK393" s="16"/>
      <c r="AL393" s="17"/>
      <c r="AN393" s="16"/>
    </row>
    <row r="394" spans="2:40" x14ac:dyDescent="0.4">
      <c r="B394" s="6">
        <f t="shared" si="80"/>
        <v>45094</v>
      </c>
      <c r="C394" s="8">
        <f t="shared" si="81"/>
        <v>457.46199999999999</v>
      </c>
      <c r="D394" s="5">
        <f t="shared" si="82"/>
        <v>1247.5809999999994</v>
      </c>
      <c r="E394" s="5">
        <f t="shared" si="83"/>
        <v>1922.5809999999994</v>
      </c>
      <c r="F394" s="5">
        <f t="shared" si="84"/>
        <v>2717.5809999999992</v>
      </c>
      <c r="H394" s="6"/>
      <c r="I394" s="11">
        <v>44730</v>
      </c>
      <c r="J394" s="9">
        <v>797.59400000000005</v>
      </c>
      <c r="K394" s="9">
        <v>1306.2</v>
      </c>
      <c r="O394" s="11">
        <v>45122</v>
      </c>
      <c r="P394" s="9">
        <v>5914.6</v>
      </c>
      <c r="Q394" s="9">
        <v>3998.6</v>
      </c>
      <c r="R394" s="9">
        <v>7480</v>
      </c>
      <c r="S394" s="9">
        <v>8110</v>
      </c>
      <c r="T394" s="31">
        <v>9030</v>
      </c>
      <c r="W394" s="16">
        <f t="shared" si="85"/>
        <v>44730</v>
      </c>
      <c r="X394" s="9">
        <f t="shared" si="86"/>
        <v>797.59400000000005</v>
      </c>
      <c r="Y394" s="9">
        <f t="shared" si="87"/>
        <v>1306.2</v>
      </c>
      <c r="AA394" s="16">
        <f t="shared" si="88"/>
        <v>45122</v>
      </c>
      <c r="AB394" s="21">
        <f t="shared" si="89"/>
        <v>5914.6</v>
      </c>
      <c r="AC394" s="21">
        <f t="shared" si="90"/>
        <v>3998.6</v>
      </c>
      <c r="AD394" s="21">
        <f t="shared" si="91"/>
        <v>7480</v>
      </c>
      <c r="AE394" s="21">
        <f t="shared" si="92"/>
        <v>8110</v>
      </c>
      <c r="AF394" s="21">
        <f t="shared" si="93"/>
        <v>9030</v>
      </c>
      <c r="AK394" s="16"/>
      <c r="AL394" s="17"/>
      <c r="AN394" s="16"/>
    </row>
    <row r="395" spans="2:40" x14ac:dyDescent="0.4">
      <c r="B395" s="6">
        <f t="shared" si="80"/>
        <v>45101</v>
      </c>
      <c r="C395" s="8">
        <f t="shared" si="81"/>
        <v>462.702</v>
      </c>
      <c r="D395" s="5">
        <f t="shared" si="82"/>
        <v>1243.4783333333337</v>
      </c>
      <c r="E395" s="5">
        <f t="shared" si="83"/>
        <v>1876.8116666666676</v>
      </c>
      <c r="F395" s="5">
        <f t="shared" si="84"/>
        <v>2701.8116666666665</v>
      </c>
      <c r="H395" s="6"/>
      <c r="I395" s="11">
        <v>44737</v>
      </c>
      <c r="J395" s="9">
        <v>794.57399999999996</v>
      </c>
      <c r="K395" s="9">
        <v>1300.5840000000001</v>
      </c>
      <c r="O395" s="11">
        <v>45129</v>
      </c>
      <c r="P395" s="9">
        <v>5865.2</v>
      </c>
      <c r="Q395" s="9">
        <v>4059.6</v>
      </c>
      <c r="R395" s="9">
        <v>7570</v>
      </c>
      <c r="S395" s="9">
        <v>8165</v>
      </c>
      <c r="T395" s="31">
        <v>9080</v>
      </c>
      <c r="W395" s="16">
        <f t="shared" si="85"/>
        <v>44737</v>
      </c>
      <c r="X395" s="9">
        <f t="shared" si="86"/>
        <v>794.57399999999996</v>
      </c>
      <c r="Y395" s="9">
        <f t="shared" si="87"/>
        <v>1300.5840000000001</v>
      </c>
      <c r="AA395" s="16">
        <f t="shared" si="88"/>
        <v>45129</v>
      </c>
      <c r="AB395" s="21">
        <f t="shared" si="89"/>
        <v>5865.2</v>
      </c>
      <c r="AC395" s="21">
        <f t="shared" si="90"/>
        <v>4059.6</v>
      </c>
      <c r="AD395" s="21">
        <f t="shared" si="91"/>
        <v>7570</v>
      </c>
      <c r="AE395" s="21">
        <f t="shared" si="92"/>
        <v>8165</v>
      </c>
      <c r="AF395" s="21">
        <f t="shared" si="93"/>
        <v>9080</v>
      </c>
      <c r="AK395" s="16"/>
      <c r="AL395" s="17"/>
      <c r="AN395" s="16"/>
    </row>
    <row r="396" spans="2:40" x14ac:dyDescent="0.4">
      <c r="B396" s="6">
        <f t="shared" si="80"/>
        <v>45108</v>
      </c>
      <c r="C396" s="8">
        <f t="shared" si="81"/>
        <v>458.02500000000003</v>
      </c>
      <c r="D396" s="5">
        <f t="shared" si="82"/>
        <v>1247.0674999999999</v>
      </c>
      <c r="E396" s="5">
        <f t="shared" si="83"/>
        <v>1876.2341666666659</v>
      </c>
      <c r="F396" s="5">
        <f t="shared" si="84"/>
        <v>2738.7341666666671</v>
      </c>
      <c r="H396" s="6"/>
      <c r="I396" s="11">
        <v>44744</v>
      </c>
      <c r="J396" s="9">
        <v>830.93399999999997</v>
      </c>
      <c r="K396" s="9">
        <v>1258.3499999999999</v>
      </c>
      <c r="O396" s="11">
        <v>45136</v>
      </c>
      <c r="P396" s="9">
        <v>5923.2</v>
      </c>
      <c r="Q396" s="9">
        <v>4087.6</v>
      </c>
      <c r="R396" s="9">
        <v>7600</v>
      </c>
      <c r="S396" s="9">
        <v>8165</v>
      </c>
      <c r="T396" s="31">
        <v>9090</v>
      </c>
      <c r="W396" s="16">
        <f t="shared" si="85"/>
        <v>44744</v>
      </c>
      <c r="X396" s="9">
        <f t="shared" si="86"/>
        <v>830.93399999999997</v>
      </c>
      <c r="Y396" s="9">
        <f t="shared" si="87"/>
        <v>1258.3499999999999</v>
      </c>
      <c r="AA396" s="16">
        <f t="shared" si="88"/>
        <v>45136</v>
      </c>
      <c r="AB396" s="21">
        <f t="shared" si="89"/>
        <v>5923.2</v>
      </c>
      <c r="AC396" s="21">
        <f t="shared" si="90"/>
        <v>4087.6</v>
      </c>
      <c r="AD396" s="21">
        <f t="shared" si="91"/>
        <v>7600</v>
      </c>
      <c r="AE396" s="21">
        <f t="shared" si="92"/>
        <v>8165</v>
      </c>
      <c r="AF396" s="21">
        <f t="shared" si="93"/>
        <v>9090</v>
      </c>
      <c r="AK396" s="16"/>
      <c r="AL396" s="17"/>
      <c r="AN396" s="16"/>
    </row>
    <row r="397" spans="2:40" x14ac:dyDescent="0.4">
      <c r="B397" s="6">
        <f t="shared" si="80"/>
        <v>45115</v>
      </c>
      <c r="C397" s="8">
        <f t="shared" si="81"/>
        <v>451.20800000000008</v>
      </c>
      <c r="D397" s="5">
        <f t="shared" si="82"/>
        <v>1143.6260000000002</v>
      </c>
      <c r="E397" s="5">
        <f t="shared" si="83"/>
        <v>1768.6260000000002</v>
      </c>
      <c r="F397" s="5">
        <f t="shared" si="84"/>
        <v>2663.6260000000002</v>
      </c>
      <c r="H397" s="6"/>
      <c r="I397" s="11">
        <v>44751</v>
      </c>
      <c r="J397" s="9">
        <v>828.28399999999999</v>
      </c>
      <c r="K397" s="9">
        <v>1220.798</v>
      </c>
      <c r="O397" s="11">
        <v>45143</v>
      </c>
      <c r="P397" s="9">
        <v>5981.4</v>
      </c>
      <c r="Q397" s="9">
        <v>4055</v>
      </c>
      <c r="R397" s="9">
        <v>7675</v>
      </c>
      <c r="S397" s="9">
        <v>8250</v>
      </c>
      <c r="T397" s="31">
        <v>9200</v>
      </c>
      <c r="W397" s="16">
        <f t="shared" si="85"/>
        <v>44751</v>
      </c>
      <c r="X397" s="9">
        <f t="shared" si="86"/>
        <v>828.28399999999999</v>
      </c>
      <c r="Y397" s="9">
        <f t="shared" si="87"/>
        <v>1220.798</v>
      </c>
      <c r="AA397" s="16">
        <f t="shared" si="88"/>
        <v>45143</v>
      </c>
      <c r="AB397" s="21">
        <f t="shared" si="89"/>
        <v>5981.4</v>
      </c>
      <c r="AC397" s="21">
        <f t="shared" si="90"/>
        <v>4055</v>
      </c>
      <c r="AD397" s="21">
        <f t="shared" si="91"/>
        <v>7675</v>
      </c>
      <c r="AE397" s="21">
        <f t="shared" si="92"/>
        <v>8250</v>
      </c>
      <c r="AF397" s="21">
        <f t="shared" si="93"/>
        <v>9200</v>
      </c>
      <c r="AK397" s="16"/>
      <c r="AL397" s="17"/>
      <c r="AN397" s="16"/>
    </row>
    <row r="398" spans="2:40" x14ac:dyDescent="0.4">
      <c r="B398" s="6">
        <f t="shared" si="80"/>
        <v>45122</v>
      </c>
      <c r="C398" s="8">
        <f t="shared" si="81"/>
        <v>445.99600000000009</v>
      </c>
      <c r="D398" s="5">
        <f t="shared" si="82"/>
        <v>1083.4859999999999</v>
      </c>
      <c r="E398" s="5">
        <f t="shared" si="83"/>
        <v>1713.4859999999999</v>
      </c>
      <c r="F398" s="5">
        <f t="shared" si="84"/>
        <v>2633.4859999999999</v>
      </c>
      <c r="H398" s="6"/>
      <c r="I398" s="11">
        <v>44758</v>
      </c>
      <c r="J398" s="9">
        <v>776.70749999999998</v>
      </c>
      <c r="K398" s="9">
        <v>1081.52</v>
      </c>
      <c r="O398" s="11">
        <v>45150</v>
      </c>
      <c r="P398" s="9">
        <v>5847.4</v>
      </c>
      <c r="Q398" s="9">
        <v>4001.4</v>
      </c>
      <c r="R398" s="9">
        <v>7650</v>
      </c>
      <c r="S398" s="9">
        <v>8230</v>
      </c>
      <c r="T398" s="31">
        <v>9180</v>
      </c>
      <c r="W398" s="16">
        <f t="shared" si="85"/>
        <v>44758</v>
      </c>
      <c r="X398" s="9">
        <f t="shared" si="86"/>
        <v>776.70749999999998</v>
      </c>
      <c r="Y398" s="9">
        <f t="shared" si="87"/>
        <v>1081.52</v>
      </c>
      <c r="AA398" s="16">
        <f t="shared" si="88"/>
        <v>45150</v>
      </c>
      <c r="AB398" s="21">
        <f t="shared" si="89"/>
        <v>5847.4</v>
      </c>
      <c r="AC398" s="21">
        <f t="shared" si="90"/>
        <v>4001.4</v>
      </c>
      <c r="AD398" s="21">
        <f t="shared" si="91"/>
        <v>7650</v>
      </c>
      <c r="AE398" s="21">
        <f t="shared" si="92"/>
        <v>8230</v>
      </c>
      <c r="AF398" s="21">
        <f t="shared" si="93"/>
        <v>9180</v>
      </c>
      <c r="AK398" s="16"/>
      <c r="AL398" s="17"/>
      <c r="AN398" s="16"/>
    </row>
    <row r="399" spans="2:40" x14ac:dyDescent="0.4">
      <c r="B399" s="6">
        <f t="shared" si="80"/>
        <v>45129</v>
      </c>
      <c r="C399" s="8">
        <f t="shared" si="81"/>
        <v>446.34799999999996</v>
      </c>
      <c r="D399" s="5">
        <f t="shared" si="82"/>
        <v>1195.2879999999998</v>
      </c>
      <c r="E399" s="5">
        <f t="shared" si="83"/>
        <v>1790.2879999999998</v>
      </c>
      <c r="F399" s="5">
        <f t="shared" si="84"/>
        <v>2705.2879999999996</v>
      </c>
      <c r="H399" s="6"/>
      <c r="I399" s="11">
        <v>44765</v>
      </c>
      <c r="J399" s="9">
        <v>770.07799999999997</v>
      </c>
      <c r="K399" s="9">
        <v>1048.73</v>
      </c>
      <c r="O399" s="11">
        <v>45157</v>
      </c>
      <c r="P399" s="9">
        <v>5839</v>
      </c>
      <c r="Q399" s="9">
        <v>3930.4</v>
      </c>
      <c r="R399" s="9">
        <v>7610</v>
      </c>
      <c r="S399" s="9">
        <v>8180</v>
      </c>
      <c r="T399" s="31">
        <v>9130</v>
      </c>
      <c r="W399" s="16">
        <f t="shared" si="85"/>
        <v>44765</v>
      </c>
      <c r="X399" s="9">
        <f t="shared" si="86"/>
        <v>770.07799999999997</v>
      </c>
      <c r="Y399" s="9">
        <f t="shared" si="87"/>
        <v>1048.73</v>
      </c>
      <c r="AA399" s="16">
        <f t="shared" si="88"/>
        <v>45157</v>
      </c>
      <c r="AB399" s="21">
        <f t="shared" si="89"/>
        <v>5839</v>
      </c>
      <c r="AC399" s="21">
        <f t="shared" si="90"/>
        <v>3930.4</v>
      </c>
      <c r="AD399" s="21">
        <f t="shared" si="91"/>
        <v>7610</v>
      </c>
      <c r="AE399" s="21">
        <f t="shared" si="92"/>
        <v>8180</v>
      </c>
      <c r="AF399" s="21">
        <f t="shared" si="93"/>
        <v>9130</v>
      </c>
      <c r="AK399" s="16"/>
      <c r="AL399" s="17"/>
      <c r="AN399" s="16"/>
    </row>
    <row r="400" spans="2:40" x14ac:dyDescent="0.4">
      <c r="B400" s="6">
        <f t="shared" si="80"/>
        <v>45136</v>
      </c>
      <c r="C400" s="8">
        <f t="shared" si="81"/>
        <v>448.9559999999999</v>
      </c>
      <c r="D400" s="5">
        <f t="shared" si="82"/>
        <v>1166.3180000000007</v>
      </c>
      <c r="E400" s="5">
        <f t="shared" si="83"/>
        <v>1731.3180000000007</v>
      </c>
      <c r="F400" s="5">
        <f t="shared" si="84"/>
        <v>2656.3180000000007</v>
      </c>
      <c r="H400" s="6"/>
      <c r="I400" s="11">
        <v>44772</v>
      </c>
      <c r="J400" s="9">
        <v>763.55799999999999</v>
      </c>
      <c r="K400" s="9">
        <v>1114.8019999999999</v>
      </c>
      <c r="O400" s="11">
        <v>45164</v>
      </c>
      <c r="P400" s="9">
        <v>6026.6</v>
      </c>
      <c r="Q400" s="9">
        <v>4019.4</v>
      </c>
      <c r="R400" s="9">
        <v>7630</v>
      </c>
      <c r="S400" s="9">
        <v>8175</v>
      </c>
      <c r="T400" s="31">
        <v>9105</v>
      </c>
      <c r="W400" s="16">
        <f t="shared" si="85"/>
        <v>44772</v>
      </c>
      <c r="X400" s="9">
        <f t="shared" si="86"/>
        <v>763.55799999999999</v>
      </c>
      <c r="Y400" s="9">
        <f t="shared" si="87"/>
        <v>1114.8019999999999</v>
      </c>
      <c r="AA400" s="16">
        <f t="shared" si="88"/>
        <v>45164</v>
      </c>
      <c r="AB400" s="21">
        <f t="shared" si="89"/>
        <v>6026.6</v>
      </c>
      <c r="AC400" s="21">
        <f t="shared" si="90"/>
        <v>4019.4</v>
      </c>
      <c r="AD400" s="21">
        <f t="shared" si="91"/>
        <v>7630</v>
      </c>
      <c r="AE400" s="21">
        <f t="shared" si="92"/>
        <v>8175</v>
      </c>
      <c r="AF400" s="21">
        <f t="shared" si="93"/>
        <v>9105</v>
      </c>
      <c r="AK400" s="16"/>
      <c r="AL400" s="17"/>
      <c r="AN400" s="16"/>
    </row>
    <row r="401" spans="2:40" x14ac:dyDescent="0.4">
      <c r="B401" s="6">
        <f t="shared" si="80"/>
        <v>45143</v>
      </c>
      <c r="C401" s="8">
        <f t="shared" si="81"/>
        <v>420.25199999999995</v>
      </c>
      <c r="D401" s="5">
        <f t="shared" si="82"/>
        <v>1202.4780000000001</v>
      </c>
      <c r="E401" s="5">
        <f t="shared" si="83"/>
        <v>1777.4780000000001</v>
      </c>
      <c r="F401" s="5">
        <f t="shared" si="84"/>
        <v>2727.4780000000001</v>
      </c>
      <c r="H401" s="6"/>
      <c r="I401" s="11">
        <v>44779</v>
      </c>
      <c r="J401" s="9">
        <v>735.56799999999998</v>
      </c>
      <c r="K401" s="9">
        <v>1075.2639999999999</v>
      </c>
      <c r="O401" s="11">
        <v>45171</v>
      </c>
      <c r="P401" s="9">
        <v>6118.8</v>
      </c>
      <c r="Q401" s="9">
        <v>4014.4</v>
      </c>
      <c r="R401" s="9">
        <v>7685</v>
      </c>
      <c r="S401" s="9">
        <v>8225</v>
      </c>
      <c r="T401" s="31">
        <v>9100</v>
      </c>
      <c r="W401" s="16">
        <f t="shared" si="85"/>
        <v>44779</v>
      </c>
      <c r="X401" s="9">
        <f t="shared" si="86"/>
        <v>735.56799999999998</v>
      </c>
      <c r="Y401" s="9">
        <f t="shared" si="87"/>
        <v>1075.2639999999999</v>
      </c>
      <c r="AA401" s="16">
        <f t="shared" si="88"/>
        <v>45171</v>
      </c>
      <c r="AB401" s="21">
        <f t="shared" si="89"/>
        <v>6118.8</v>
      </c>
      <c r="AC401" s="21">
        <f t="shared" si="90"/>
        <v>4014.4</v>
      </c>
      <c r="AD401" s="21">
        <f t="shared" si="91"/>
        <v>7685</v>
      </c>
      <c r="AE401" s="21">
        <f t="shared" si="92"/>
        <v>8225</v>
      </c>
      <c r="AF401" s="21">
        <f t="shared" si="93"/>
        <v>9100</v>
      </c>
      <c r="AK401" s="16"/>
      <c r="AL401" s="17"/>
      <c r="AN401" s="16"/>
    </row>
    <row r="402" spans="2:40" x14ac:dyDescent="0.4">
      <c r="B402" s="6">
        <f t="shared" si="80"/>
        <v>45150</v>
      </c>
      <c r="C402" s="8">
        <f t="shared" si="81"/>
        <v>397.72750000000008</v>
      </c>
      <c r="D402" s="5">
        <f t="shared" si="82"/>
        <v>1310.0040000000008</v>
      </c>
      <c r="E402" s="5">
        <f t="shared" si="83"/>
        <v>1890.0040000000008</v>
      </c>
      <c r="F402" s="5">
        <f t="shared" si="84"/>
        <v>2840.0040000000008</v>
      </c>
      <c r="H402" s="6"/>
      <c r="I402" s="11">
        <v>44786</v>
      </c>
      <c r="J402" s="9">
        <v>707.30499999999995</v>
      </c>
      <c r="K402" s="9">
        <v>1079.3979999999999</v>
      </c>
      <c r="O402" s="11">
        <v>45178</v>
      </c>
      <c r="P402" s="9">
        <v>6160.6</v>
      </c>
      <c r="Q402" s="9">
        <v>4106.6000000000004</v>
      </c>
      <c r="R402" s="9">
        <v>7830</v>
      </c>
      <c r="S402" s="9">
        <v>8350</v>
      </c>
      <c r="T402" s="31">
        <v>9230</v>
      </c>
      <c r="W402" s="16">
        <f t="shared" si="85"/>
        <v>44786</v>
      </c>
      <c r="X402" s="9">
        <f t="shared" si="86"/>
        <v>707.30499999999995</v>
      </c>
      <c r="Y402" s="9">
        <f t="shared" si="87"/>
        <v>1079.3979999999999</v>
      </c>
      <c r="AA402" s="16">
        <f t="shared" si="88"/>
        <v>45178</v>
      </c>
      <c r="AB402" s="21">
        <f t="shared" si="89"/>
        <v>6160.6</v>
      </c>
      <c r="AC402" s="21">
        <f t="shared" si="90"/>
        <v>4106.6000000000004</v>
      </c>
      <c r="AD402" s="21">
        <f t="shared" si="91"/>
        <v>7830</v>
      </c>
      <c r="AE402" s="21">
        <f t="shared" si="92"/>
        <v>8350</v>
      </c>
      <c r="AF402" s="21">
        <f t="shared" si="93"/>
        <v>9230</v>
      </c>
      <c r="AK402" s="16"/>
      <c r="AL402" s="17"/>
      <c r="AN402" s="16"/>
    </row>
    <row r="403" spans="2:40" x14ac:dyDescent="0.4">
      <c r="B403" s="6">
        <f t="shared" si="80"/>
        <v>45157</v>
      </c>
      <c r="C403" s="8">
        <f t="shared" si="81"/>
        <v>392.53599999999994</v>
      </c>
      <c r="D403" s="5">
        <f t="shared" si="82"/>
        <v>1300.9709999999995</v>
      </c>
      <c r="E403" s="5">
        <f t="shared" si="83"/>
        <v>1870.9709999999995</v>
      </c>
      <c r="F403" s="5">
        <f t="shared" si="84"/>
        <v>2820.9709999999995</v>
      </c>
      <c r="H403" s="6"/>
      <c r="I403" s="11">
        <v>44793</v>
      </c>
      <c r="J403" s="9">
        <v>668.19799999999998</v>
      </c>
      <c r="K403" s="9">
        <v>1069.932</v>
      </c>
      <c r="O403" s="11">
        <v>45185</v>
      </c>
      <c r="P403" s="9">
        <v>6297</v>
      </c>
      <c r="Q403" s="9">
        <v>4189</v>
      </c>
      <c r="R403" s="9">
        <v>8005</v>
      </c>
      <c r="S403" s="9">
        <v>8565</v>
      </c>
      <c r="T403" s="31">
        <v>9355</v>
      </c>
      <c r="W403" s="16">
        <f t="shared" si="85"/>
        <v>44793</v>
      </c>
      <c r="X403" s="9">
        <f t="shared" si="86"/>
        <v>668.19799999999998</v>
      </c>
      <c r="Y403" s="9">
        <f t="shared" si="87"/>
        <v>1069.932</v>
      </c>
      <c r="AA403" s="16">
        <f t="shared" si="88"/>
        <v>45185</v>
      </c>
      <c r="AB403" s="21">
        <f t="shared" si="89"/>
        <v>6297</v>
      </c>
      <c r="AC403" s="21">
        <f t="shared" si="90"/>
        <v>4189</v>
      </c>
      <c r="AD403" s="21">
        <f t="shared" si="91"/>
        <v>8005</v>
      </c>
      <c r="AE403" s="21">
        <f t="shared" si="92"/>
        <v>8565</v>
      </c>
      <c r="AF403" s="21">
        <f t="shared" si="93"/>
        <v>9355</v>
      </c>
      <c r="AK403" s="16"/>
      <c r="AL403" s="17"/>
      <c r="AN403" s="16"/>
    </row>
    <row r="404" spans="2:40" x14ac:dyDescent="0.4">
      <c r="B404" s="6">
        <f t="shared" si="80"/>
        <v>45164</v>
      </c>
      <c r="C404" s="8">
        <f t="shared" si="81"/>
        <v>396.726</v>
      </c>
      <c r="D404" s="5">
        <f t="shared" si="82"/>
        <v>1130.7579999999996</v>
      </c>
      <c r="E404" s="5">
        <f t="shared" si="83"/>
        <v>1675.7579999999996</v>
      </c>
      <c r="F404" s="5">
        <f t="shared" si="84"/>
        <v>2605.7579999999998</v>
      </c>
      <c r="H404" s="6"/>
      <c r="I404" s="11">
        <v>44800</v>
      </c>
      <c r="J404" s="9">
        <v>676.21799999999996</v>
      </c>
      <c r="K404" s="9">
        <v>1081.0640000000001</v>
      </c>
      <c r="O404" s="11">
        <v>45192</v>
      </c>
      <c r="P404" s="9">
        <v>6315.2</v>
      </c>
      <c r="Q404" s="9">
        <v>4233.6000000000004</v>
      </c>
      <c r="R404" s="9">
        <v>8160</v>
      </c>
      <c r="S404" s="9">
        <v>8745</v>
      </c>
      <c r="T404" s="31">
        <v>9470</v>
      </c>
      <c r="W404" s="16">
        <f t="shared" si="85"/>
        <v>44800</v>
      </c>
      <c r="X404" s="9">
        <f t="shared" si="86"/>
        <v>676.21799999999996</v>
      </c>
      <c r="Y404" s="9">
        <f t="shared" si="87"/>
        <v>1081.0640000000001</v>
      </c>
      <c r="AA404" s="16">
        <f t="shared" si="88"/>
        <v>45192</v>
      </c>
      <c r="AB404" s="21">
        <f t="shared" si="89"/>
        <v>6315.2</v>
      </c>
      <c r="AC404" s="21">
        <f t="shared" si="90"/>
        <v>4233.6000000000004</v>
      </c>
      <c r="AD404" s="21">
        <f t="shared" si="91"/>
        <v>8160</v>
      </c>
      <c r="AE404" s="21">
        <f t="shared" si="92"/>
        <v>8745</v>
      </c>
      <c r="AF404" s="21">
        <f t="shared" si="93"/>
        <v>9470</v>
      </c>
      <c r="AK404" s="16"/>
      <c r="AL404" s="17"/>
      <c r="AN404" s="16"/>
    </row>
    <row r="405" spans="2:40" x14ac:dyDescent="0.4">
      <c r="B405" s="6">
        <f t="shared" si="80"/>
        <v>45171</v>
      </c>
      <c r="C405" s="8">
        <f t="shared" si="81"/>
        <v>414.16500000000008</v>
      </c>
      <c r="D405" s="5">
        <f t="shared" si="82"/>
        <v>1108.6020000000003</v>
      </c>
      <c r="E405" s="5">
        <f t="shared" si="83"/>
        <v>1648.6020000000003</v>
      </c>
      <c r="F405" s="5">
        <f t="shared" si="84"/>
        <v>2523.6020000000003</v>
      </c>
      <c r="H405" s="6"/>
      <c r="I405" s="11">
        <v>44807</v>
      </c>
      <c r="J405" s="9">
        <v>656.90200000000004</v>
      </c>
      <c r="K405" s="9">
        <v>1054.866</v>
      </c>
      <c r="O405" s="11">
        <v>45199</v>
      </c>
      <c r="P405" s="9">
        <v>6213.75</v>
      </c>
      <c r="Q405" s="9">
        <v>4072.75</v>
      </c>
      <c r="R405" s="9">
        <v>8012.5</v>
      </c>
      <c r="S405" s="9">
        <v>8656.25</v>
      </c>
      <c r="T405" s="31">
        <v>9325</v>
      </c>
      <c r="W405" s="16">
        <f t="shared" si="85"/>
        <v>44807</v>
      </c>
      <c r="X405" s="9">
        <f t="shared" si="86"/>
        <v>656.90200000000004</v>
      </c>
      <c r="Y405" s="9">
        <f t="shared" si="87"/>
        <v>1054.866</v>
      </c>
      <c r="AA405" s="16">
        <f t="shared" si="88"/>
        <v>45199</v>
      </c>
      <c r="AB405" s="21">
        <f t="shared" si="89"/>
        <v>6213.75</v>
      </c>
      <c r="AC405" s="21">
        <f t="shared" si="90"/>
        <v>4072.75</v>
      </c>
      <c r="AD405" s="21">
        <f t="shared" si="91"/>
        <v>8012.5</v>
      </c>
      <c r="AE405" s="21">
        <f t="shared" si="92"/>
        <v>8656.25</v>
      </c>
      <c r="AF405" s="21">
        <f t="shared" si="93"/>
        <v>9325</v>
      </c>
      <c r="AK405" s="16"/>
      <c r="AL405" s="17"/>
      <c r="AN405" s="16"/>
    </row>
    <row r="406" spans="2:40" x14ac:dyDescent="0.4">
      <c r="B406" s="6">
        <f t="shared" si="80"/>
        <v>45178</v>
      </c>
      <c r="C406" s="8">
        <f t="shared" si="81"/>
        <v>421.82999999999993</v>
      </c>
      <c r="D406" s="5">
        <f t="shared" si="82"/>
        <v>1186.9759999999997</v>
      </c>
      <c r="E406" s="5">
        <f t="shared" si="83"/>
        <v>1706.9759999999997</v>
      </c>
      <c r="F406" s="5">
        <f t="shared" si="84"/>
        <v>2586.9759999999997</v>
      </c>
      <c r="H406" s="6"/>
      <c r="I406" s="11">
        <v>44814</v>
      </c>
      <c r="J406" s="9">
        <v>649.49400000000003</v>
      </c>
      <c r="K406" s="9">
        <v>1060.884</v>
      </c>
      <c r="O406" s="11">
        <v>45206</v>
      </c>
      <c r="P406" s="9">
        <v>5950</v>
      </c>
      <c r="Q406" s="9">
        <v>3955</v>
      </c>
      <c r="R406" s="9">
        <v>8000</v>
      </c>
      <c r="S406" s="9">
        <v>8600</v>
      </c>
      <c r="T406" s="31">
        <v>9250</v>
      </c>
      <c r="W406" s="16">
        <f t="shared" si="85"/>
        <v>44814</v>
      </c>
      <c r="X406" s="9">
        <f t="shared" si="86"/>
        <v>649.49400000000003</v>
      </c>
      <c r="Y406" s="9">
        <f t="shared" si="87"/>
        <v>1060.884</v>
      </c>
      <c r="AA406" s="16">
        <f t="shared" si="88"/>
        <v>45206</v>
      </c>
      <c r="AB406" s="21">
        <f t="shared" si="89"/>
        <v>5950</v>
      </c>
      <c r="AC406" s="21">
        <f t="shared" si="90"/>
        <v>3955</v>
      </c>
      <c r="AD406" s="21">
        <f t="shared" si="91"/>
        <v>8000</v>
      </c>
      <c r="AE406" s="21">
        <f t="shared" si="92"/>
        <v>8600</v>
      </c>
      <c r="AF406" s="21">
        <f t="shared" si="93"/>
        <v>9250</v>
      </c>
      <c r="AK406" s="16"/>
      <c r="AL406" s="17"/>
      <c r="AN406" s="16"/>
    </row>
    <row r="407" spans="2:40" x14ac:dyDescent="0.4">
      <c r="B407" s="6">
        <f t="shared" si="80"/>
        <v>45185</v>
      </c>
      <c r="C407" s="8">
        <f t="shared" si="81"/>
        <v>428.01</v>
      </c>
      <c r="D407" s="5">
        <f t="shared" si="82"/>
        <v>1217.7500000000005</v>
      </c>
      <c r="E407" s="5">
        <f t="shared" si="83"/>
        <v>1777.7500000000005</v>
      </c>
      <c r="F407" s="5">
        <f t="shared" si="84"/>
        <v>2567.7500000000005</v>
      </c>
      <c r="H407" s="6"/>
      <c r="I407" s="11">
        <v>44821</v>
      </c>
      <c r="J407" s="9">
        <v>662.56</v>
      </c>
      <c r="K407" s="9">
        <v>1108.1980000000001</v>
      </c>
      <c r="O407" s="11">
        <v>45213</v>
      </c>
      <c r="P407" s="9">
        <v>5916.333333333333</v>
      </c>
      <c r="Q407" s="9">
        <v>3991.8333333333335</v>
      </c>
      <c r="R407" s="9">
        <v>7733.333333333333</v>
      </c>
      <c r="S407" s="9">
        <v>8345.8333333333339</v>
      </c>
      <c r="T407" s="31">
        <v>9000</v>
      </c>
      <c r="W407" s="16">
        <f t="shared" si="85"/>
        <v>44821</v>
      </c>
      <c r="X407" s="9">
        <f t="shared" si="86"/>
        <v>662.56</v>
      </c>
      <c r="Y407" s="9">
        <f t="shared" si="87"/>
        <v>1108.1980000000001</v>
      </c>
      <c r="AA407" s="16">
        <f t="shared" si="88"/>
        <v>45213</v>
      </c>
      <c r="AB407" s="21">
        <f t="shared" si="89"/>
        <v>5916.333333333333</v>
      </c>
      <c r="AC407" s="21">
        <f t="shared" si="90"/>
        <v>3991.8333333333335</v>
      </c>
      <c r="AD407" s="21">
        <f t="shared" si="91"/>
        <v>7733.333333333333</v>
      </c>
      <c r="AE407" s="21">
        <f t="shared" si="92"/>
        <v>8345.8333333333339</v>
      </c>
      <c r="AF407" s="21">
        <f t="shared" si="93"/>
        <v>9000</v>
      </c>
      <c r="AK407" s="16"/>
      <c r="AL407" s="17"/>
      <c r="AN407" s="16"/>
    </row>
    <row r="408" spans="2:40" x14ac:dyDescent="0.4">
      <c r="B408" s="6">
        <f t="shared" si="80"/>
        <v>45192</v>
      </c>
      <c r="C408" s="8">
        <f t="shared" si="81"/>
        <v>425.37600000000009</v>
      </c>
      <c r="D408" s="5">
        <f t="shared" si="82"/>
        <v>1342.2479999999996</v>
      </c>
      <c r="E408" s="5">
        <f t="shared" si="83"/>
        <v>1927.2479999999996</v>
      </c>
      <c r="F408" s="5">
        <f t="shared" si="84"/>
        <v>2652.2479999999996</v>
      </c>
      <c r="H408" s="6"/>
      <c r="I408" s="11">
        <v>44828</v>
      </c>
      <c r="J408" s="9">
        <v>672.35799999999995</v>
      </c>
      <c r="K408" s="9">
        <v>1061.866</v>
      </c>
      <c r="O408" s="11">
        <v>45220</v>
      </c>
      <c r="P408" s="9">
        <v>5841.6</v>
      </c>
      <c r="Q408" s="9">
        <v>3999.4</v>
      </c>
      <c r="R408" s="9">
        <v>7650</v>
      </c>
      <c r="S408" s="9">
        <v>8250</v>
      </c>
      <c r="T408" s="31">
        <v>8950</v>
      </c>
      <c r="W408" s="16">
        <f t="shared" si="85"/>
        <v>44828</v>
      </c>
      <c r="X408" s="9">
        <f t="shared" si="86"/>
        <v>672.35799999999995</v>
      </c>
      <c r="Y408" s="9">
        <f t="shared" si="87"/>
        <v>1061.866</v>
      </c>
      <c r="AA408" s="16">
        <f t="shared" si="88"/>
        <v>45220</v>
      </c>
      <c r="AB408" s="21">
        <f t="shared" si="89"/>
        <v>5841.6</v>
      </c>
      <c r="AC408" s="21">
        <f t="shared" si="90"/>
        <v>3999.4</v>
      </c>
      <c r="AD408" s="21">
        <f t="shared" si="91"/>
        <v>7650</v>
      </c>
      <c r="AE408" s="21">
        <f t="shared" si="92"/>
        <v>8250</v>
      </c>
      <c r="AF408" s="21">
        <f t="shared" si="93"/>
        <v>8950</v>
      </c>
      <c r="AK408" s="16"/>
      <c r="AL408" s="17"/>
      <c r="AN408" s="16"/>
    </row>
    <row r="409" spans="2:40" x14ac:dyDescent="0.4">
      <c r="B409" s="6">
        <f t="shared" si="80"/>
        <v>45199</v>
      </c>
      <c r="C409" s="8">
        <f t="shared" si="81"/>
        <v>409.10133333333329</v>
      </c>
      <c r="D409" s="5">
        <f t="shared" si="82"/>
        <v>1335.3725000000004</v>
      </c>
      <c r="E409" s="5">
        <f t="shared" si="83"/>
        <v>1979.1225000000004</v>
      </c>
      <c r="F409" s="5">
        <f t="shared" si="84"/>
        <v>2647.8725000000004</v>
      </c>
      <c r="H409" s="6"/>
      <c r="I409" s="11">
        <v>44835</v>
      </c>
      <c r="J409" s="9">
        <v>647.798</v>
      </c>
      <c r="K409" s="9">
        <v>1046.268</v>
      </c>
      <c r="O409" s="11">
        <v>45227</v>
      </c>
      <c r="P409" s="9">
        <v>5803</v>
      </c>
      <c r="Q409" s="9">
        <v>4018.8</v>
      </c>
      <c r="R409" s="9">
        <v>7495</v>
      </c>
      <c r="S409" s="9">
        <v>8120</v>
      </c>
      <c r="T409" s="31">
        <v>8800</v>
      </c>
      <c r="W409" s="16">
        <f t="shared" si="85"/>
        <v>44835</v>
      </c>
      <c r="X409" s="9">
        <f t="shared" si="86"/>
        <v>647.798</v>
      </c>
      <c r="Y409" s="9">
        <f t="shared" si="87"/>
        <v>1046.268</v>
      </c>
      <c r="AA409" s="16">
        <f t="shared" si="88"/>
        <v>45227</v>
      </c>
      <c r="AB409" s="21">
        <f t="shared" si="89"/>
        <v>5803</v>
      </c>
      <c r="AC409" s="21">
        <f t="shared" si="90"/>
        <v>4018.8</v>
      </c>
      <c r="AD409" s="21">
        <f t="shared" si="91"/>
        <v>7495</v>
      </c>
      <c r="AE409" s="21">
        <f t="shared" si="92"/>
        <v>8120</v>
      </c>
      <c r="AF409" s="21">
        <f t="shared" si="93"/>
        <v>8800</v>
      </c>
      <c r="AK409" s="16"/>
      <c r="AL409" s="17"/>
      <c r="AN409" s="16"/>
    </row>
    <row r="410" spans="2:40" x14ac:dyDescent="0.4">
      <c r="B410" s="6">
        <f t="shared" si="80"/>
        <v>45206</v>
      </c>
      <c r="C410" s="8">
        <f t="shared" si="81"/>
        <v>405.69400000000007</v>
      </c>
      <c r="D410" s="5">
        <f t="shared" si="82"/>
        <v>1587.8249999999998</v>
      </c>
      <c r="E410" s="5">
        <f t="shared" si="83"/>
        <v>2187.8249999999998</v>
      </c>
      <c r="F410" s="5">
        <f t="shared" si="84"/>
        <v>2837.8249999999998</v>
      </c>
      <c r="H410" s="6"/>
      <c r="I410" s="11">
        <v>44842</v>
      </c>
      <c r="J410" s="9">
        <v>686.274</v>
      </c>
      <c r="K410" s="9">
        <v>1087.2</v>
      </c>
      <c r="O410" s="11">
        <v>45234</v>
      </c>
      <c r="P410" s="9">
        <v>5901</v>
      </c>
      <c r="Q410" s="9">
        <v>4044.4</v>
      </c>
      <c r="R410" s="9">
        <v>7290</v>
      </c>
      <c r="S410" s="9">
        <v>7965</v>
      </c>
      <c r="T410" s="31">
        <v>8610</v>
      </c>
      <c r="W410" s="16">
        <f t="shared" si="85"/>
        <v>44842</v>
      </c>
      <c r="X410" s="9">
        <f t="shared" si="86"/>
        <v>686.274</v>
      </c>
      <c r="Y410" s="9">
        <f t="shared" si="87"/>
        <v>1087.2</v>
      </c>
      <c r="AA410" s="16">
        <f t="shared" si="88"/>
        <v>45234</v>
      </c>
      <c r="AB410" s="21">
        <f t="shared" si="89"/>
        <v>5901</v>
      </c>
      <c r="AC410" s="21">
        <f t="shared" si="90"/>
        <v>4044.4</v>
      </c>
      <c r="AD410" s="21">
        <f t="shared" si="91"/>
        <v>7290</v>
      </c>
      <c r="AE410" s="21">
        <f t="shared" si="92"/>
        <v>7965</v>
      </c>
      <c r="AF410" s="21">
        <f t="shared" si="93"/>
        <v>8610</v>
      </c>
      <c r="AK410" s="16"/>
      <c r="AL410" s="17"/>
      <c r="AN410" s="16"/>
    </row>
    <row r="411" spans="2:40" x14ac:dyDescent="0.4">
      <c r="B411" s="6">
        <f t="shared" si="80"/>
        <v>45213</v>
      </c>
      <c r="C411" s="8">
        <f t="shared" si="81"/>
        <v>386.49599999999998</v>
      </c>
      <c r="D411" s="5">
        <f t="shared" si="82"/>
        <v>1337.604166666667</v>
      </c>
      <c r="E411" s="5">
        <f t="shared" si="83"/>
        <v>1950.1041666666679</v>
      </c>
      <c r="F411" s="5">
        <f t="shared" si="84"/>
        <v>2604.2708333333339</v>
      </c>
      <c r="H411" s="6"/>
      <c r="I411" s="11">
        <v>44849</v>
      </c>
      <c r="J411" s="9">
        <v>678.77599999999995</v>
      </c>
      <c r="K411" s="9">
        <v>1081.798</v>
      </c>
      <c r="O411" s="11">
        <v>45241</v>
      </c>
      <c r="P411" s="9">
        <v>5870.2</v>
      </c>
      <c r="Q411" s="9">
        <v>4122</v>
      </c>
      <c r="R411" s="9">
        <v>7340</v>
      </c>
      <c r="S411" s="9">
        <v>7950</v>
      </c>
      <c r="T411" s="31">
        <v>8650</v>
      </c>
      <c r="W411" s="16">
        <f t="shared" si="85"/>
        <v>44849</v>
      </c>
      <c r="X411" s="9">
        <f t="shared" si="86"/>
        <v>678.77599999999995</v>
      </c>
      <c r="Y411" s="9">
        <f t="shared" si="87"/>
        <v>1081.798</v>
      </c>
      <c r="AA411" s="16">
        <f t="shared" si="88"/>
        <v>45241</v>
      </c>
      <c r="AB411" s="21">
        <f t="shared" si="89"/>
        <v>5870.2</v>
      </c>
      <c r="AC411" s="21">
        <f t="shared" si="90"/>
        <v>4122</v>
      </c>
      <c r="AD411" s="21">
        <f t="shared" si="91"/>
        <v>7340</v>
      </c>
      <c r="AE411" s="21">
        <f t="shared" si="92"/>
        <v>7950</v>
      </c>
      <c r="AF411" s="21">
        <f t="shared" si="93"/>
        <v>8650</v>
      </c>
      <c r="AK411" s="16"/>
      <c r="AL411" s="17"/>
      <c r="AN411" s="16"/>
    </row>
    <row r="412" spans="2:40" x14ac:dyDescent="0.4">
      <c r="B412" s="6">
        <f t="shared" si="80"/>
        <v>45220</v>
      </c>
      <c r="C412" s="8">
        <f t="shared" si="81"/>
        <v>358.10199999999986</v>
      </c>
      <c r="D412" s="5">
        <f t="shared" si="82"/>
        <v>1315.6329999999996</v>
      </c>
      <c r="E412" s="5">
        <f t="shared" si="83"/>
        <v>1915.6329999999996</v>
      </c>
      <c r="F412" s="5">
        <f t="shared" si="84"/>
        <v>2615.6329999999998</v>
      </c>
      <c r="H412" s="6"/>
      <c r="I412" s="11">
        <v>44856</v>
      </c>
      <c r="J412" s="9">
        <v>667.61</v>
      </c>
      <c r="K412" s="9">
        <v>1016.48</v>
      </c>
      <c r="O412" s="11">
        <v>45248</v>
      </c>
      <c r="P412" s="9">
        <v>5914.8</v>
      </c>
      <c r="Q412" s="9">
        <v>4145.2</v>
      </c>
      <c r="R412" s="9">
        <v>7330</v>
      </c>
      <c r="S412" s="9">
        <v>7965</v>
      </c>
      <c r="T412" s="31">
        <v>8665</v>
      </c>
      <c r="W412" s="16">
        <f t="shared" si="85"/>
        <v>44856</v>
      </c>
      <c r="X412" s="9">
        <f t="shared" si="86"/>
        <v>667.61</v>
      </c>
      <c r="Y412" s="9">
        <f t="shared" si="87"/>
        <v>1016.48</v>
      </c>
      <c r="AA412" s="16">
        <f t="shared" si="88"/>
        <v>45248</v>
      </c>
      <c r="AB412" s="21">
        <f t="shared" si="89"/>
        <v>5914.8</v>
      </c>
      <c r="AC412" s="21">
        <f t="shared" si="90"/>
        <v>4145.2</v>
      </c>
      <c r="AD412" s="21">
        <f t="shared" si="91"/>
        <v>7330</v>
      </c>
      <c r="AE412" s="21">
        <f t="shared" si="92"/>
        <v>7965</v>
      </c>
      <c r="AF412" s="21">
        <f t="shared" si="93"/>
        <v>8665</v>
      </c>
      <c r="AK412" s="16"/>
      <c r="AL412" s="17"/>
      <c r="AN412" s="16"/>
    </row>
    <row r="413" spans="2:40" x14ac:dyDescent="0.4">
      <c r="B413" s="6">
        <f t="shared" si="80"/>
        <v>45227</v>
      </c>
      <c r="C413" s="8">
        <f t="shared" si="81"/>
        <v>352.53199999999993</v>
      </c>
      <c r="D413" s="5">
        <f t="shared" si="82"/>
        <v>1187.1370000000002</v>
      </c>
      <c r="E413" s="5">
        <f t="shared" si="83"/>
        <v>1812.1370000000002</v>
      </c>
      <c r="F413" s="5">
        <f t="shared" si="84"/>
        <v>2492.1370000000002</v>
      </c>
      <c r="H413" s="6"/>
      <c r="I413" s="11">
        <v>44863</v>
      </c>
      <c r="J413" s="9">
        <v>686.64250000000004</v>
      </c>
      <c r="K413" s="9">
        <v>980.66750000000002</v>
      </c>
      <c r="O413" s="11">
        <v>45255</v>
      </c>
      <c r="P413" s="9">
        <v>5896.8</v>
      </c>
      <c r="Q413" s="9">
        <v>4085.6</v>
      </c>
      <c r="R413" s="9">
        <v>7450</v>
      </c>
      <c r="S413" s="9">
        <v>8060</v>
      </c>
      <c r="T413" s="31">
        <v>8800</v>
      </c>
      <c r="W413" s="16">
        <f t="shared" si="85"/>
        <v>44863</v>
      </c>
      <c r="X413" s="9">
        <f t="shared" si="86"/>
        <v>686.64250000000004</v>
      </c>
      <c r="Y413" s="9">
        <f t="shared" si="87"/>
        <v>980.66750000000002</v>
      </c>
      <c r="AA413" s="16">
        <f t="shared" si="88"/>
        <v>45255</v>
      </c>
      <c r="AB413" s="21">
        <f t="shared" si="89"/>
        <v>5896.8</v>
      </c>
      <c r="AC413" s="21">
        <f t="shared" si="90"/>
        <v>4085.6</v>
      </c>
      <c r="AD413" s="21">
        <f t="shared" si="91"/>
        <v>7450</v>
      </c>
      <c r="AE413" s="21">
        <f t="shared" si="92"/>
        <v>8060</v>
      </c>
      <c r="AF413" s="21">
        <f t="shared" si="93"/>
        <v>8800</v>
      </c>
      <c r="AK413" s="16"/>
      <c r="AL413" s="17"/>
      <c r="AN413" s="16"/>
    </row>
    <row r="414" spans="2:40" x14ac:dyDescent="0.4">
      <c r="B414" s="6">
        <f t="shared" si="80"/>
        <v>45234</v>
      </c>
      <c r="C414" s="8">
        <f t="shared" si="81"/>
        <v>380.1400000000001</v>
      </c>
      <c r="D414" s="5">
        <f t="shared" si="82"/>
        <v>889.77100000000041</v>
      </c>
      <c r="E414" s="5">
        <f t="shared" si="83"/>
        <v>1564.7710000000004</v>
      </c>
      <c r="F414" s="5">
        <f t="shared" si="84"/>
        <v>2209.7710000000006</v>
      </c>
      <c r="H414" s="6"/>
      <c r="I414" s="11">
        <v>44870</v>
      </c>
      <c r="J414" s="9">
        <v>693.21600000000001</v>
      </c>
      <c r="K414" s="9">
        <v>978.6</v>
      </c>
      <c r="O414" s="11">
        <v>45262</v>
      </c>
      <c r="P414" s="9">
        <v>5694.8</v>
      </c>
      <c r="Q414" s="9">
        <v>4053.4</v>
      </c>
      <c r="R414" s="9">
        <v>7470</v>
      </c>
      <c r="S414" s="9">
        <v>8120</v>
      </c>
      <c r="T414" s="31">
        <v>8800</v>
      </c>
      <c r="W414" s="16">
        <f t="shared" si="85"/>
        <v>44870</v>
      </c>
      <c r="X414" s="9">
        <f t="shared" si="86"/>
        <v>693.21600000000001</v>
      </c>
      <c r="Y414" s="9">
        <f t="shared" si="87"/>
        <v>978.6</v>
      </c>
      <c r="AA414" s="16">
        <f t="shared" si="88"/>
        <v>45262</v>
      </c>
      <c r="AB414" s="21">
        <f t="shared" si="89"/>
        <v>5694.8</v>
      </c>
      <c r="AC414" s="21">
        <f t="shared" si="90"/>
        <v>4053.4</v>
      </c>
      <c r="AD414" s="21">
        <f t="shared" si="91"/>
        <v>7470</v>
      </c>
      <c r="AE414" s="21">
        <f t="shared" si="92"/>
        <v>8120</v>
      </c>
      <c r="AF414" s="21">
        <f t="shared" si="93"/>
        <v>8800</v>
      </c>
      <c r="AK414" s="16"/>
      <c r="AL414" s="17"/>
      <c r="AN414" s="16"/>
    </row>
    <row r="415" spans="2:40" x14ac:dyDescent="0.4">
      <c r="B415" s="6">
        <f t="shared" si="80"/>
        <v>45241</v>
      </c>
      <c r="C415" s="8">
        <f t="shared" si="81"/>
        <v>376.85599999999999</v>
      </c>
      <c r="D415" s="5">
        <f t="shared" si="82"/>
        <v>940.10900000000015</v>
      </c>
      <c r="E415" s="5">
        <f t="shared" si="83"/>
        <v>1550.1090000000002</v>
      </c>
      <c r="F415" s="5">
        <f t="shared" si="84"/>
        <v>2250.1090000000004</v>
      </c>
      <c r="H415" s="6"/>
      <c r="I415" s="11">
        <v>44877</v>
      </c>
      <c r="J415" s="9">
        <v>703.49599999999998</v>
      </c>
      <c r="K415" s="9">
        <v>1006.09</v>
      </c>
      <c r="O415" s="11">
        <v>45269</v>
      </c>
      <c r="P415" s="9">
        <v>5680</v>
      </c>
      <c r="Q415" s="9">
        <v>4041.8</v>
      </c>
      <c r="R415" s="9">
        <v>7455</v>
      </c>
      <c r="S415" s="9">
        <v>8110</v>
      </c>
      <c r="T415" s="31">
        <v>8800</v>
      </c>
      <c r="W415" s="16">
        <f t="shared" si="85"/>
        <v>44877</v>
      </c>
      <c r="X415" s="9">
        <f t="shared" si="86"/>
        <v>703.49599999999998</v>
      </c>
      <c r="Y415" s="9">
        <f t="shared" si="87"/>
        <v>1006.09</v>
      </c>
      <c r="AA415" s="16">
        <f t="shared" si="88"/>
        <v>45269</v>
      </c>
      <c r="AB415" s="21">
        <f t="shared" si="89"/>
        <v>5680</v>
      </c>
      <c r="AC415" s="21">
        <f t="shared" si="90"/>
        <v>4041.8</v>
      </c>
      <c r="AD415" s="21">
        <f t="shared" si="91"/>
        <v>7455</v>
      </c>
      <c r="AE415" s="21">
        <f t="shared" si="92"/>
        <v>8110</v>
      </c>
      <c r="AF415" s="21">
        <f t="shared" si="93"/>
        <v>8800</v>
      </c>
      <c r="AK415" s="16"/>
      <c r="AL415" s="17"/>
      <c r="AN415" s="16"/>
    </row>
    <row r="416" spans="2:40" x14ac:dyDescent="0.4">
      <c r="B416" s="6">
        <f t="shared" si="80"/>
        <v>45248</v>
      </c>
      <c r="C416" s="8">
        <f t="shared" si="81"/>
        <v>377.4325</v>
      </c>
      <c r="D416" s="5">
        <f t="shared" si="82"/>
        <v>884.2039999999995</v>
      </c>
      <c r="E416" s="5">
        <f t="shared" si="83"/>
        <v>1519.2039999999995</v>
      </c>
      <c r="F416" s="5">
        <f t="shared" si="84"/>
        <v>2219.2039999999997</v>
      </c>
      <c r="H416" s="6"/>
      <c r="I416" s="11">
        <v>44884</v>
      </c>
      <c r="J416" s="9">
        <v>726.32799999999997</v>
      </c>
      <c r="K416" s="9">
        <v>974.06600000000003</v>
      </c>
      <c r="O416" s="11">
        <v>45276</v>
      </c>
      <c r="P416" s="9">
        <v>5661.4</v>
      </c>
      <c r="Q416" s="9">
        <v>4091</v>
      </c>
      <c r="R416" s="9">
        <v>7380</v>
      </c>
      <c r="S416" s="9">
        <v>8015</v>
      </c>
      <c r="T416" s="31">
        <v>8760</v>
      </c>
      <c r="W416" s="16">
        <f t="shared" si="85"/>
        <v>44884</v>
      </c>
      <c r="X416" s="9">
        <f t="shared" si="86"/>
        <v>726.32799999999997</v>
      </c>
      <c r="Y416" s="9">
        <f t="shared" si="87"/>
        <v>974.06600000000003</v>
      </c>
      <c r="AA416" s="16">
        <f t="shared" si="88"/>
        <v>45276</v>
      </c>
      <c r="AB416" s="21">
        <f t="shared" si="89"/>
        <v>5661.4</v>
      </c>
      <c r="AC416" s="21">
        <f t="shared" si="90"/>
        <v>4091</v>
      </c>
      <c r="AD416" s="21">
        <f t="shared" si="91"/>
        <v>7380</v>
      </c>
      <c r="AE416" s="21">
        <f t="shared" si="92"/>
        <v>8015</v>
      </c>
      <c r="AF416" s="21">
        <f t="shared" si="93"/>
        <v>8760</v>
      </c>
      <c r="AK416" s="16"/>
      <c r="AL416" s="17"/>
      <c r="AN416" s="16"/>
    </row>
    <row r="417" spans="2:40" x14ac:dyDescent="0.4">
      <c r="B417" s="6">
        <f t="shared" si="80"/>
        <v>45255</v>
      </c>
      <c r="C417" s="8">
        <f t="shared" si="81"/>
        <v>361.69199999999989</v>
      </c>
      <c r="D417" s="5">
        <f t="shared" si="82"/>
        <v>1039.5599999999997</v>
      </c>
      <c r="E417" s="5">
        <f t="shared" si="83"/>
        <v>1649.5599999999997</v>
      </c>
      <c r="F417" s="5">
        <f t="shared" si="84"/>
        <v>2389.5599999999995</v>
      </c>
      <c r="H417" s="6"/>
      <c r="I417" s="11">
        <v>44891</v>
      </c>
      <c r="J417" s="9">
        <v>708.92399999999998</v>
      </c>
      <c r="K417" s="9">
        <v>943.26800000000003</v>
      </c>
      <c r="O417" s="11">
        <v>45283</v>
      </c>
      <c r="P417" s="9">
        <v>5769.2</v>
      </c>
      <c r="Q417" s="9">
        <v>4278.2</v>
      </c>
      <c r="R417" s="9">
        <v>7420</v>
      </c>
      <c r="S417" s="9">
        <v>8060</v>
      </c>
      <c r="T417" s="31">
        <v>8790</v>
      </c>
      <c r="W417" s="16">
        <f t="shared" si="85"/>
        <v>44891</v>
      </c>
      <c r="X417" s="9">
        <f t="shared" si="86"/>
        <v>708.92399999999998</v>
      </c>
      <c r="Y417" s="9">
        <f t="shared" si="87"/>
        <v>943.26800000000003</v>
      </c>
      <c r="AA417" s="16">
        <f t="shared" si="88"/>
        <v>45283</v>
      </c>
      <c r="AB417" s="21">
        <f t="shared" si="89"/>
        <v>5769.2</v>
      </c>
      <c r="AC417" s="21">
        <f t="shared" si="90"/>
        <v>4278.2</v>
      </c>
      <c r="AD417" s="21">
        <f t="shared" si="91"/>
        <v>7420</v>
      </c>
      <c r="AE417" s="21">
        <f t="shared" si="92"/>
        <v>8060</v>
      </c>
      <c r="AF417" s="21">
        <f t="shared" si="93"/>
        <v>8790</v>
      </c>
      <c r="AK417" s="16"/>
      <c r="AL417" s="17"/>
      <c r="AN417" s="16"/>
    </row>
    <row r="418" spans="2:40" x14ac:dyDescent="0.4">
      <c r="B418" s="6">
        <f t="shared" si="80"/>
        <v>45262</v>
      </c>
      <c r="C418" s="8">
        <f t="shared" si="81"/>
        <v>327.48399999999992</v>
      </c>
      <c r="D418" s="5">
        <f t="shared" si="82"/>
        <v>1243.0569999999998</v>
      </c>
      <c r="E418" s="5">
        <f t="shared" si="83"/>
        <v>1893.0569999999998</v>
      </c>
      <c r="F418" s="5">
        <f t="shared" si="84"/>
        <v>2573.0569999999998</v>
      </c>
      <c r="H418" s="6"/>
      <c r="I418" s="11">
        <v>44898</v>
      </c>
      <c r="J418" s="9">
        <v>679.28599999999994</v>
      </c>
      <c r="K418" s="9">
        <v>921.06799999999998</v>
      </c>
      <c r="O418" s="11">
        <v>45290</v>
      </c>
      <c r="P418" s="9">
        <v>5881.4</v>
      </c>
      <c r="Q418" s="9">
        <v>4342</v>
      </c>
      <c r="R418" s="9">
        <v>7550</v>
      </c>
      <c r="S418" s="9">
        <v>8160</v>
      </c>
      <c r="T418" s="31">
        <v>8850</v>
      </c>
      <c r="W418" s="16">
        <f t="shared" si="85"/>
        <v>44898</v>
      </c>
      <c r="X418" s="9">
        <f t="shared" si="86"/>
        <v>679.28599999999994</v>
      </c>
      <c r="Y418" s="9">
        <f t="shared" si="87"/>
        <v>921.06799999999998</v>
      </c>
      <c r="AA418" s="16">
        <f t="shared" si="88"/>
        <v>45290</v>
      </c>
      <c r="AB418" s="21">
        <f t="shared" si="89"/>
        <v>5881.4</v>
      </c>
      <c r="AC418" s="21">
        <f t="shared" si="90"/>
        <v>4342</v>
      </c>
      <c r="AD418" s="21">
        <f t="shared" si="91"/>
        <v>7550</v>
      </c>
      <c r="AE418" s="21">
        <f t="shared" si="92"/>
        <v>8160</v>
      </c>
      <c r="AF418" s="21">
        <f t="shared" si="93"/>
        <v>8850</v>
      </c>
      <c r="AK418" s="16"/>
      <c r="AL418" s="17"/>
      <c r="AN418" s="16"/>
    </row>
    <row r="419" spans="2:40" x14ac:dyDescent="0.4">
      <c r="B419" s="6">
        <f t="shared" si="80"/>
        <v>45269</v>
      </c>
      <c r="C419" s="8">
        <f t="shared" si="81"/>
        <v>314.06399999999996</v>
      </c>
      <c r="D419" s="5">
        <f t="shared" si="82"/>
        <v>1244.5970000000002</v>
      </c>
      <c r="E419" s="5">
        <f t="shared" si="83"/>
        <v>1899.5970000000002</v>
      </c>
      <c r="F419" s="5">
        <f t="shared" si="84"/>
        <v>2589.5970000000002</v>
      </c>
      <c r="H419" s="6"/>
      <c r="I419" s="11">
        <v>44905</v>
      </c>
      <c r="J419" s="9">
        <v>638.31200000000001</v>
      </c>
      <c r="K419" s="9">
        <v>898.8</v>
      </c>
      <c r="O419" s="11">
        <v>45297</v>
      </c>
      <c r="P419" s="9">
        <v>5883.75</v>
      </c>
      <c r="Q419" s="9">
        <v>4439.25</v>
      </c>
      <c r="R419" s="9">
        <v>7550</v>
      </c>
      <c r="S419" s="9">
        <v>8175</v>
      </c>
      <c r="T419" s="31">
        <v>8850</v>
      </c>
      <c r="W419" s="16">
        <f t="shared" si="85"/>
        <v>44905</v>
      </c>
      <c r="X419" s="9">
        <f t="shared" si="86"/>
        <v>638.31200000000001</v>
      </c>
      <c r="Y419" s="9">
        <f t="shared" si="87"/>
        <v>898.8</v>
      </c>
      <c r="AA419" s="16">
        <f t="shared" si="88"/>
        <v>45297</v>
      </c>
      <c r="AB419" s="21">
        <f t="shared" si="89"/>
        <v>5883.75</v>
      </c>
      <c r="AC419" s="21">
        <f t="shared" si="90"/>
        <v>4439.25</v>
      </c>
      <c r="AD419" s="21">
        <f t="shared" si="91"/>
        <v>7550</v>
      </c>
      <c r="AE419" s="21">
        <f t="shared" si="92"/>
        <v>8175</v>
      </c>
      <c r="AF419" s="21">
        <f t="shared" si="93"/>
        <v>8850</v>
      </c>
      <c r="AK419" s="16"/>
      <c r="AL419" s="17"/>
      <c r="AN419" s="16"/>
    </row>
    <row r="420" spans="2:40" x14ac:dyDescent="0.4">
      <c r="B420" s="6">
        <f t="shared" si="80"/>
        <v>45276</v>
      </c>
      <c r="C420" s="8">
        <f t="shared" si="81"/>
        <v>299.16800000000001</v>
      </c>
      <c r="D420" s="5">
        <f t="shared" si="82"/>
        <v>1169.0180000000005</v>
      </c>
      <c r="E420" s="5">
        <f t="shared" si="83"/>
        <v>1804.0180000000005</v>
      </c>
      <c r="F420" s="5">
        <f t="shared" si="84"/>
        <v>2549.0180000000005</v>
      </c>
      <c r="H420" s="6"/>
      <c r="I420" s="11">
        <v>44912</v>
      </c>
      <c r="J420" s="9">
        <v>634.99</v>
      </c>
      <c r="K420" s="9">
        <v>925.07</v>
      </c>
      <c r="O420" s="11">
        <v>45304</v>
      </c>
      <c r="P420" s="9">
        <v>5724.4</v>
      </c>
      <c r="Q420" s="9">
        <v>4481.8</v>
      </c>
      <c r="R420" s="9">
        <v>7540</v>
      </c>
      <c r="S420" s="9">
        <v>8185</v>
      </c>
      <c r="T420" s="31">
        <v>8860</v>
      </c>
      <c r="W420" s="16">
        <f t="shared" si="85"/>
        <v>44912</v>
      </c>
      <c r="X420" s="9">
        <f t="shared" si="86"/>
        <v>634.99</v>
      </c>
      <c r="Y420" s="9">
        <f t="shared" si="87"/>
        <v>925.07</v>
      </c>
      <c r="AA420" s="16">
        <f t="shared" si="88"/>
        <v>45304</v>
      </c>
      <c r="AB420" s="21">
        <f t="shared" si="89"/>
        <v>5724.4</v>
      </c>
      <c r="AC420" s="21">
        <f t="shared" si="90"/>
        <v>4481.8</v>
      </c>
      <c r="AD420" s="21">
        <f t="shared" si="91"/>
        <v>7540</v>
      </c>
      <c r="AE420" s="21">
        <f t="shared" si="92"/>
        <v>8185</v>
      </c>
      <c r="AF420" s="21">
        <f t="shared" si="93"/>
        <v>8860</v>
      </c>
      <c r="AK420" s="16"/>
      <c r="AL420" s="17"/>
      <c r="AN420" s="16"/>
    </row>
    <row r="421" spans="2:40" x14ac:dyDescent="0.4">
      <c r="B421" s="6">
        <f t="shared" si="80"/>
        <v>45283</v>
      </c>
      <c r="C421" s="8">
        <f t="shared" si="81"/>
        <v>301.91800000000001</v>
      </c>
      <c r="D421" s="5">
        <f t="shared" si="82"/>
        <v>1054.1369999999997</v>
      </c>
      <c r="E421" s="5">
        <f t="shared" si="83"/>
        <v>1694.1369999999997</v>
      </c>
      <c r="F421" s="5">
        <f t="shared" si="84"/>
        <v>2424.1369999999997</v>
      </c>
      <c r="H421" s="6"/>
      <c r="I421" s="11">
        <v>44919</v>
      </c>
      <c r="J421" s="9">
        <v>629.73800000000006</v>
      </c>
      <c r="K421" s="9">
        <v>941.83</v>
      </c>
      <c r="O421" s="11">
        <v>45311</v>
      </c>
      <c r="P421" s="9">
        <v>5781</v>
      </c>
      <c r="Q421" s="9">
        <v>4604.3999999999996</v>
      </c>
      <c r="R421" s="9">
        <v>7510</v>
      </c>
      <c r="S421" s="9">
        <v>8210</v>
      </c>
      <c r="T421" s="31">
        <v>8880</v>
      </c>
      <c r="W421" s="16">
        <f t="shared" si="85"/>
        <v>44919</v>
      </c>
      <c r="X421" s="9">
        <f t="shared" si="86"/>
        <v>629.73800000000006</v>
      </c>
      <c r="Y421" s="9">
        <f t="shared" si="87"/>
        <v>941.83</v>
      </c>
      <c r="AA421" s="16">
        <f t="shared" si="88"/>
        <v>45311</v>
      </c>
      <c r="AB421" s="21">
        <f t="shared" si="89"/>
        <v>5781</v>
      </c>
      <c r="AC421" s="21">
        <f t="shared" si="90"/>
        <v>4604.3999999999996</v>
      </c>
      <c r="AD421" s="21">
        <f t="shared" si="91"/>
        <v>7510</v>
      </c>
      <c r="AE421" s="21">
        <f t="shared" si="92"/>
        <v>8210</v>
      </c>
      <c r="AF421" s="21">
        <f t="shared" si="93"/>
        <v>8880</v>
      </c>
      <c r="AK421" s="16"/>
      <c r="AL421" s="17"/>
      <c r="AN421" s="16"/>
    </row>
    <row r="422" spans="2:40" x14ac:dyDescent="0.4">
      <c r="B422" s="6">
        <f t="shared" si="80"/>
        <v>45290</v>
      </c>
      <c r="C422" s="8">
        <f t="shared" si="81"/>
        <v>319.91500000000008</v>
      </c>
      <c r="D422" s="5">
        <f t="shared" si="82"/>
        <v>1066.8330000000001</v>
      </c>
      <c r="E422" s="5">
        <f t="shared" si="83"/>
        <v>1676.8330000000001</v>
      </c>
      <c r="F422" s="5">
        <f t="shared" si="84"/>
        <v>2366.8330000000001</v>
      </c>
      <c r="H422" s="6"/>
      <c r="I422" s="11">
        <v>44926</v>
      </c>
      <c r="J422" s="9">
        <v>644.65250000000003</v>
      </c>
      <c r="K422" s="9">
        <v>949.41499999999996</v>
      </c>
      <c r="O422" s="11">
        <v>45318</v>
      </c>
      <c r="P422" s="9">
        <v>5946</v>
      </c>
      <c r="Q422" s="9">
        <v>4654.8</v>
      </c>
      <c r="R422" s="9">
        <v>7650</v>
      </c>
      <c r="S422" s="9">
        <v>8300</v>
      </c>
      <c r="T422" s="31">
        <v>8970</v>
      </c>
      <c r="W422" s="16">
        <f t="shared" si="85"/>
        <v>44926</v>
      </c>
      <c r="X422" s="9">
        <f t="shared" si="86"/>
        <v>644.65250000000003</v>
      </c>
      <c r="Y422" s="9">
        <f t="shared" si="87"/>
        <v>949.41499999999996</v>
      </c>
      <c r="AA422" s="16">
        <f t="shared" si="88"/>
        <v>45318</v>
      </c>
      <c r="AB422" s="21">
        <f t="shared" si="89"/>
        <v>5946</v>
      </c>
      <c r="AC422" s="21">
        <f t="shared" si="90"/>
        <v>4654.8</v>
      </c>
      <c r="AD422" s="21">
        <f t="shared" si="91"/>
        <v>7650</v>
      </c>
      <c r="AE422" s="21">
        <f t="shared" si="92"/>
        <v>8300</v>
      </c>
      <c r="AF422" s="21">
        <f t="shared" si="93"/>
        <v>8970</v>
      </c>
      <c r="AK422" s="16"/>
      <c r="AL422" s="17"/>
      <c r="AN422" s="16"/>
    </row>
    <row r="423" spans="2:40" x14ac:dyDescent="0.4">
      <c r="B423" s="6">
        <f t="shared" si="80"/>
        <v>45297</v>
      </c>
      <c r="C423" s="8">
        <f t="shared" si="81"/>
        <v>350.82000000000005</v>
      </c>
      <c r="D423" s="5">
        <f t="shared" si="82"/>
        <v>1032.2450000000001</v>
      </c>
      <c r="E423" s="5">
        <f t="shared" si="83"/>
        <v>1657.2450000000001</v>
      </c>
      <c r="F423" s="5">
        <f t="shared" si="84"/>
        <v>2332.2449999999999</v>
      </c>
      <c r="H423" s="6"/>
      <c r="I423" s="11">
        <v>44933</v>
      </c>
      <c r="J423" s="9">
        <v>640.00250000000005</v>
      </c>
      <c r="K423" s="9">
        <v>953.24749999999995</v>
      </c>
      <c r="O423" s="11">
        <v>45325</v>
      </c>
      <c r="P423" s="9">
        <v>5959</v>
      </c>
      <c r="Q423" s="9">
        <v>4709.6000000000004</v>
      </c>
      <c r="R423" s="9">
        <v>7720</v>
      </c>
      <c r="S423" s="9">
        <v>8390</v>
      </c>
      <c r="T423" s="31">
        <v>8990</v>
      </c>
      <c r="W423" s="16">
        <f t="shared" si="85"/>
        <v>44933</v>
      </c>
      <c r="X423" s="9">
        <f t="shared" si="86"/>
        <v>640.00250000000005</v>
      </c>
      <c r="Y423" s="9">
        <f t="shared" si="87"/>
        <v>953.24749999999995</v>
      </c>
      <c r="AA423" s="16">
        <f t="shared" si="88"/>
        <v>45325</v>
      </c>
      <c r="AB423" s="21">
        <f t="shared" si="89"/>
        <v>5959</v>
      </c>
      <c r="AC423" s="21">
        <f t="shared" si="90"/>
        <v>4709.6000000000004</v>
      </c>
      <c r="AD423" s="21">
        <f t="shared" si="91"/>
        <v>7720</v>
      </c>
      <c r="AE423" s="21">
        <f t="shared" si="92"/>
        <v>8390</v>
      </c>
      <c r="AF423" s="21">
        <f t="shared" si="93"/>
        <v>8990</v>
      </c>
      <c r="AK423" s="16"/>
      <c r="AL423" s="17"/>
      <c r="AN423" s="16"/>
    </row>
    <row r="424" spans="2:40" x14ac:dyDescent="0.4">
      <c r="B424" s="6">
        <f t="shared" si="80"/>
        <v>45304</v>
      </c>
      <c r="C424" s="8">
        <f t="shared" si="81"/>
        <v>338.62400000000002</v>
      </c>
      <c r="D424" s="5">
        <f t="shared" si="82"/>
        <v>1144.2350000000006</v>
      </c>
      <c r="E424" s="5">
        <f t="shared" si="83"/>
        <v>1789.2350000000006</v>
      </c>
      <c r="F424" s="5">
        <f t="shared" si="84"/>
        <v>2464.2350000000006</v>
      </c>
      <c r="H424" s="6"/>
      <c r="I424" s="11">
        <v>44940</v>
      </c>
      <c r="J424" s="9">
        <v>671.98</v>
      </c>
      <c r="K424" s="9">
        <v>976.16600000000005</v>
      </c>
      <c r="O424" s="11">
        <v>45332</v>
      </c>
      <c r="P424" s="9">
        <v>5873.4</v>
      </c>
      <c r="Q424" s="9">
        <v>4625.8</v>
      </c>
      <c r="R424" s="9">
        <v>7775</v>
      </c>
      <c r="S424" s="9">
        <v>8400</v>
      </c>
      <c r="T424" s="31">
        <v>9000</v>
      </c>
      <c r="W424" s="16">
        <f t="shared" si="85"/>
        <v>44940</v>
      </c>
      <c r="X424" s="9">
        <f t="shared" si="86"/>
        <v>671.98</v>
      </c>
      <c r="Y424" s="9">
        <f t="shared" si="87"/>
        <v>976.16600000000005</v>
      </c>
      <c r="AA424" s="16">
        <f t="shared" si="88"/>
        <v>45332</v>
      </c>
      <c r="AB424" s="21">
        <f t="shared" si="89"/>
        <v>5873.4</v>
      </c>
      <c r="AC424" s="21">
        <f t="shared" si="90"/>
        <v>4625.8</v>
      </c>
      <c r="AD424" s="21">
        <f t="shared" si="91"/>
        <v>7775</v>
      </c>
      <c r="AE424" s="21">
        <f t="shared" si="92"/>
        <v>8400</v>
      </c>
      <c r="AF424" s="21">
        <f t="shared" si="93"/>
        <v>9000</v>
      </c>
      <c r="AK424" s="16"/>
      <c r="AL424" s="17"/>
      <c r="AN424" s="16"/>
    </row>
    <row r="425" spans="2:40" x14ac:dyDescent="0.4">
      <c r="B425" s="6">
        <f t="shared" si="80"/>
        <v>45311</v>
      </c>
      <c r="C425" s="8">
        <f t="shared" si="81"/>
        <v>340.51599999999996</v>
      </c>
      <c r="D425" s="5">
        <f t="shared" si="82"/>
        <v>1024.771</v>
      </c>
      <c r="E425" s="5">
        <f t="shared" si="83"/>
        <v>1724.771</v>
      </c>
      <c r="F425" s="5">
        <f t="shared" si="84"/>
        <v>2394.7709999999997</v>
      </c>
      <c r="H425" s="6"/>
      <c r="I425" s="11">
        <v>44947</v>
      </c>
      <c r="J425" s="9">
        <v>702.45333333333338</v>
      </c>
      <c r="K425" s="9">
        <v>1037.3</v>
      </c>
      <c r="O425" s="11">
        <v>45346</v>
      </c>
      <c r="P425" s="9">
        <v>5950.166666666667</v>
      </c>
      <c r="Q425" s="9">
        <v>4662.833333333333</v>
      </c>
      <c r="R425" s="9">
        <v>7866.666666666667</v>
      </c>
      <c r="S425" s="9">
        <v>8450</v>
      </c>
      <c r="T425" s="31">
        <v>9050</v>
      </c>
      <c r="W425" s="16">
        <f t="shared" si="85"/>
        <v>44947</v>
      </c>
      <c r="X425" s="9">
        <f t="shared" si="86"/>
        <v>702.45333333333338</v>
      </c>
      <c r="Y425" s="9">
        <f t="shared" si="87"/>
        <v>1037.3</v>
      </c>
      <c r="AA425" s="16">
        <f t="shared" si="88"/>
        <v>45346</v>
      </c>
      <c r="AB425" s="21">
        <f t="shared" si="89"/>
        <v>5950.166666666667</v>
      </c>
      <c r="AC425" s="21">
        <f t="shared" si="90"/>
        <v>4662.833333333333</v>
      </c>
      <c r="AD425" s="21">
        <f t="shared" si="91"/>
        <v>7866.666666666667</v>
      </c>
      <c r="AE425" s="21">
        <f t="shared" si="92"/>
        <v>8450</v>
      </c>
      <c r="AF425" s="21">
        <f t="shared" si="93"/>
        <v>9050</v>
      </c>
      <c r="AK425" s="16"/>
      <c r="AL425" s="17"/>
      <c r="AN425" s="16"/>
    </row>
    <row r="426" spans="2:40" x14ac:dyDescent="0.4">
      <c r="B426" s="6">
        <f t="shared" si="80"/>
        <v>45318</v>
      </c>
      <c r="C426" s="8">
        <f t="shared" si="81"/>
        <v>335.09800000000007</v>
      </c>
      <c r="D426" s="5">
        <f t="shared" si="82"/>
        <v>1006.8119999999999</v>
      </c>
      <c r="E426" s="5">
        <f t="shared" si="83"/>
        <v>1656.8119999999999</v>
      </c>
      <c r="F426" s="5">
        <f t="shared" si="84"/>
        <v>2326.8119999999999</v>
      </c>
      <c r="H426" s="6"/>
      <c r="I426" s="11">
        <v>44954</v>
      </c>
      <c r="J426" s="9">
        <v>710.09666666666669</v>
      </c>
      <c r="K426" s="9">
        <v>1067.5</v>
      </c>
      <c r="O426" s="11">
        <v>45353</v>
      </c>
      <c r="P426" s="9">
        <v>5913</v>
      </c>
      <c r="Q426" s="9">
        <v>4618.6000000000004</v>
      </c>
      <c r="R426" s="9">
        <v>7905</v>
      </c>
      <c r="S426" s="9">
        <v>8450</v>
      </c>
      <c r="T426" s="31">
        <v>9070</v>
      </c>
      <c r="W426" s="16">
        <f t="shared" si="85"/>
        <v>44954</v>
      </c>
      <c r="X426" s="9">
        <f t="shared" si="86"/>
        <v>710.09666666666669</v>
      </c>
      <c r="Y426" s="9">
        <f t="shared" si="87"/>
        <v>1067.5</v>
      </c>
      <c r="AA426" s="16">
        <f t="shared" si="88"/>
        <v>45353</v>
      </c>
      <c r="AB426" s="21">
        <f t="shared" si="89"/>
        <v>5913</v>
      </c>
      <c r="AC426" s="21">
        <f t="shared" si="90"/>
        <v>4618.6000000000004</v>
      </c>
      <c r="AD426" s="21">
        <f t="shared" si="91"/>
        <v>7905</v>
      </c>
      <c r="AE426" s="21">
        <f t="shared" si="92"/>
        <v>8450</v>
      </c>
      <c r="AF426" s="21">
        <f t="shared" si="93"/>
        <v>9070</v>
      </c>
      <c r="AK426" s="16"/>
      <c r="AL426" s="17"/>
      <c r="AN426" s="16"/>
    </row>
    <row r="427" spans="2:40" x14ac:dyDescent="0.4">
      <c r="B427" s="6">
        <f t="shared" si="80"/>
        <v>45325</v>
      </c>
      <c r="C427" s="8">
        <f t="shared" si="81"/>
        <v>315.79999999999995</v>
      </c>
      <c r="D427" s="5">
        <f t="shared" si="82"/>
        <v>1047.3390000000002</v>
      </c>
      <c r="E427" s="5">
        <f t="shared" si="83"/>
        <v>1717.3390000000002</v>
      </c>
      <c r="F427" s="5">
        <f t="shared" si="84"/>
        <v>2317.3389999999999</v>
      </c>
      <c r="H427" s="6"/>
      <c r="I427" s="11">
        <v>44961</v>
      </c>
      <c r="J427" s="9">
        <v>704.21600000000001</v>
      </c>
      <c r="K427" s="9">
        <v>1065</v>
      </c>
      <c r="O427" s="11">
        <v>45360</v>
      </c>
      <c r="P427" s="9">
        <v>5831</v>
      </c>
      <c r="Q427" s="9">
        <v>4548.2</v>
      </c>
      <c r="R427" s="9">
        <v>7900</v>
      </c>
      <c r="S427" s="9">
        <v>8450</v>
      </c>
      <c r="T427" s="31">
        <v>9075</v>
      </c>
      <c r="W427" s="16">
        <f t="shared" si="85"/>
        <v>44961</v>
      </c>
      <c r="X427" s="9">
        <f t="shared" si="86"/>
        <v>704.21600000000001</v>
      </c>
      <c r="Y427" s="9">
        <f t="shared" si="87"/>
        <v>1065</v>
      </c>
      <c r="AA427" s="16">
        <f t="shared" si="88"/>
        <v>45360</v>
      </c>
      <c r="AB427" s="21">
        <f t="shared" si="89"/>
        <v>5831</v>
      </c>
      <c r="AC427" s="21">
        <f t="shared" si="90"/>
        <v>4548.2</v>
      </c>
      <c r="AD427" s="21">
        <f t="shared" si="91"/>
        <v>7900</v>
      </c>
      <c r="AE427" s="21">
        <f t="shared" si="92"/>
        <v>8450</v>
      </c>
      <c r="AF427" s="21">
        <f t="shared" si="93"/>
        <v>9075</v>
      </c>
      <c r="AK427" s="16"/>
      <c r="AL427" s="17"/>
      <c r="AN427" s="16"/>
    </row>
    <row r="428" spans="2:40" x14ac:dyDescent="0.4">
      <c r="B428" s="6">
        <f t="shared" si="80"/>
        <v>45332</v>
      </c>
      <c r="C428" s="8">
        <f t="shared" si="81"/>
        <v>333.90599999999995</v>
      </c>
      <c r="D428" s="5">
        <f t="shared" si="82"/>
        <v>1203.6000000000001</v>
      </c>
      <c r="E428" s="5">
        <f t="shared" si="83"/>
        <v>1828.6000000000001</v>
      </c>
      <c r="F428" s="5">
        <f t="shared" si="84"/>
        <v>2428.6000000000004</v>
      </c>
      <c r="H428" s="6"/>
      <c r="I428" s="11">
        <v>44968</v>
      </c>
      <c r="J428" s="9">
        <v>712.346</v>
      </c>
      <c r="K428" s="9">
        <v>1043</v>
      </c>
      <c r="O428" s="11">
        <v>45367</v>
      </c>
      <c r="P428" s="9">
        <v>5804.4</v>
      </c>
      <c r="Q428" s="9">
        <v>4570.2</v>
      </c>
      <c r="R428" s="9">
        <v>7750</v>
      </c>
      <c r="S428" s="9">
        <v>8330</v>
      </c>
      <c r="T428" s="31">
        <v>9025</v>
      </c>
      <c r="W428" s="16">
        <f t="shared" si="85"/>
        <v>44968</v>
      </c>
      <c r="X428" s="9">
        <f t="shared" si="86"/>
        <v>712.346</v>
      </c>
      <c r="Y428" s="9">
        <f t="shared" si="87"/>
        <v>1043</v>
      </c>
      <c r="AA428" s="16">
        <f t="shared" si="88"/>
        <v>45367</v>
      </c>
      <c r="AB428" s="21">
        <f t="shared" si="89"/>
        <v>5804.4</v>
      </c>
      <c r="AC428" s="21">
        <f t="shared" si="90"/>
        <v>4570.2</v>
      </c>
      <c r="AD428" s="21">
        <f t="shared" si="91"/>
        <v>7750</v>
      </c>
      <c r="AE428" s="21">
        <f t="shared" si="92"/>
        <v>8330</v>
      </c>
      <c r="AF428" s="21">
        <f t="shared" si="93"/>
        <v>9025</v>
      </c>
      <c r="AK428" s="16"/>
      <c r="AL428" s="17"/>
      <c r="AN428" s="16"/>
    </row>
    <row r="429" spans="2:40" x14ac:dyDescent="0.4">
      <c r="B429" s="6">
        <f t="shared" si="80"/>
        <v>45339</v>
      </c>
      <c r="C429" s="8">
        <f t="shared" si="81"/>
        <v>324.52999999999997</v>
      </c>
      <c r="D429" s="5">
        <f t="shared" si="82"/>
        <v>1203.6000000000001</v>
      </c>
      <c r="E429" s="5">
        <f t="shared" si="83"/>
        <v>1828.6000000000001</v>
      </c>
      <c r="F429" s="5">
        <f t="shared" si="84"/>
        <v>2428.6000000000004</v>
      </c>
      <c r="H429" s="6"/>
      <c r="I429" s="11">
        <v>44975</v>
      </c>
      <c r="J429" s="9">
        <v>735.19200000000001</v>
      </c>
      <c r="K429" s="9">
        <v>1022.734</v>
      </c>
      <c r="O429" s="11">
        <v>45374</v>
      </c>
      <c r="P429" s="9">
        <v>5864</v>
      </c>
      <c r="Q429" s="9">
        <v>4481.6000000000004</v>
      </c>
      <c r="R429" s="9">
        <v>7635</v>
      </c>
      <c r="S429" s="9">
        <v>8185</v>
      </c>
      <c r="T429" s="31">
        <v>9030</v>
      </c>
      <c r="W429" s="16">
        <f t="shared" si="85"/>
        <v>44975</v>
      </c>
      <c r="X429" s="9">
        <f t="shared" si="86"/>
        <v>735.19200000000001</v>
      </c>
      <c r="Y429" s="9">
        <f t="shared" si="87"/>
        <v>1022.734</v>
      </c>
      <c r="AA429" s="16">
        <f t="shared" si="88"/>
        <v>45374</v>
      </c>
      <c r="AB429" s="21">
        <f t="shared" si="89"/>
        <v>5864</v>
      </c>
      <c r="AC429" s="21">
        <f t="shared" si="90"/>
        <v>4481.6000000000004</v>
      </c>
      <c r="AD429" s="21">
        <f t="shared" si="91"/>
        <v>7635</v>
      </c>
      <c r="AE429" s="21">
        <f t="shared" si="92"/>
        <v>8185</v>
      </c>
      <c r="AF429" s="21">
        <f t="shared" si="93"/>
        <v>9030</v>
      </c>
      <c r="AK429" s="16"/>
      <c r="AL429" s="17"/>
      <c r="AN429" s="16"/>
    </row>
    <row r="430" spans="2:40" x14ac:dyDescent="0.4">
      <c r="B430" s="6">
        <f t="shared" si="80"/>
        <v>45346</v>
      </c>
      <c r="C430" s="8">
        <f t="shared" si="81"/>
        <v>344.20399999999995</v>
      </c>
      <c r="D430" s="5">
        <f t="shared" si="82"/>
        <v>1217.2250000000004</v>
      </c>
      <c r="E430" s="5">
        <f t="shared" si="83"/>
        <v>1800.5583333333334</v>
      </c>
      <c r="F430" s="5">
        <f t="shared" si="84"/>
        <v>2400.5583333333334</v>
      </c>
      <c r="H430" s="6"/>
      <c r="I430" s="11">
        <v>44982</v>
      </c>
      <c r="J430" s="9">
        <v>738.04200000000003</v>
      </c>
      <c r="K430" s="9">
        <v>1016.5</v>
      </c>
      <c r="O430" s="11">
        <v>45381</v>
      </c>
      <c r="P430" s="9">
        <v>5874</v>
      </c>
      <c r="Q430" s="9">
        <v>4477.2</v>
      </c>
      <c r="R430" s="9">
        <v>7550</v>
      </c>
      <c r="S430" s="9">
        <v>8105</v>
      </c>
      <c r="T430" s="31">
        <v>8990</v>
      </c>
      <c r="W430" s="16">
        <f t="shared" si="85"/>
        <v>44982</v>
      </c>
      <c r="X430" s="9">
        <f t="shared" si="86"/>
        <v>738.04200000000003</v>
      </c>
      <c r="Y430" s="9">
        <f t="shared" si="87"/>
        <v>1016.5</v>
      </c>
      <c r="AA430" s="16">
        <f t="shared" si="88"/>
        <v>45381</v>
      </c>
      <c r="AB430" s="21">
        <f t="shared" si="89"/>
        <v>5874</v>
      </c>
      <c r="AC430" s="21">
        <f t="shared" si="90"/>
        <v>4477.2</v>
      </c>
      <c r="AD430" s="21">
        <f t="shared" si="91"/>
        <v>7550</v>
      </c>
      <c r="AE430" s="21">
        <f t="shared" si="92"/>
        <v>8105</v>
      </c>
      <c r="AF430" s="21">
        <f t="shared" si="93"/>
        <v>8990</v>
      </c>
      <c r="AK430" s="16"/>
      <c r="AL430" s="17"/>
      <c r="AN430" s="16"/>
    </row>
    <row r="431" spans="2:40" x14ac:dyDescent="0.4">
      <c r="B431" s="6">
        <f t="shared" si="80"/>
        <v>45353</v>
      </c>
      <c r="C431" s="8">
        <f t="shared" si="81"/>
        <v>339.6</v>
      </c>
      <c r="D431" s="5">
        <f t="shared" si="82"/>
        <v>1302.154</v>
      </c>
      <c r="E431" s="5">
        <f t="shared" si="83"/>
        <v>1847.154</v>
      </c>
      <c r="F431" s="5">
        <f t="shared" si="84"/>
        <v>2467.154</v>
      </c>
      <c r="H431" s="6"/>
      <c r="I431" s="11">
        <v>44989</v>
      </c>
      <c r="J431" s="9">
        <v>744.13599999999997</v>
      </c>
      <c r="K431" s="9">
        <v>1023.734</v>
      </c>
      <c r="O431" s="11">
        <v>45388</v>
      </c>
      <c r="P431" s="9">
        <v>6005.666666666667</v>
      </c>
      <c r="Q431" s="9">
        <v>4495.666666666667</v>
      </c>
      <c r="R431" s="9">
        <v>7650</v>
      </c>
      <c r="S431" s="9">
        <v>8150</v>
      </c>
      <c r="T431" s="31">
        <v>9016.6666666666661</v>
      </c>
      <c r="W431" s="16">
        <f t="shared" si="85"/>
        <v>44989</v>
      </c>
      <c r="X431" s="9">
        <f t="shared" si="86"/>
        <v>744.13599999999997</v>
      </c>
      <c r="Y431" s="9">
        <f t="shared" si="87"/>
        <v>1023.734</v>
      </c>
      <c r="AA431" s="16">
        <f t="shared" si="88"/>
        <v>45388</v>
      </c>
      <c r="AB431" s="21">
        <f t="shared" si="89"/>
        <v>6005.666666666667</v>
      </c>
      <c r="AC431" s="21">
        <f t="shared" si="90"/>
        <v>4495.666666666667</v>
      </c>
      <c r="AD431" s="21">
        <f t="shared" si="91"/>
        <v>7650</v>
      </c>
      <c r="AE431" s="21">
        <f t="shared" si="92"/>
        <v>8150</v>
      </c>
      <c r="AF431" s="21">
        <f t="shared" si="93"/>
        <v>9016.6666666666661</v>
      </c>
      <c r="AK431" s="16"/>
      <c r="AL431" s="17"/>
      <c r="AN431" s="16"/>
    </row>
    <row r="432" spans="2:40" x14ac:dyDescent="0.4">
      <c r="B432" s="6">
        <f t="shared" si="80"/>
        <v>45360</v>
      </c>
      <c r="C432" s="8">
        <f t="shared" si="81"/>
        <v>298.36400000000003</v>
      </c>
      <c r="D432" s="5">
        <f t="shared" si="82"/>
        <v>1390.848</v>
      </c>
      <c r="E432" s="5">
        <f t="shared" si="83"/>
        <v>1940.848</v>
      </c>
      <c r="F432" s="5">
        <f t="shared" si="84"/>
        <v>2565.848</v>
      </c>
      <c r="H432" s="6"/>
      <c r="I432" s="11">
        <v>44996</v>
      </c>
      <c r="J432" s="9">
        <v>734.01400000000001</v>
      </c>
      <c r="K432" s="9">
        <v>1034.0999999999999</v>
      </c>
      <c r="O432" s="11">
        <v>45395</v>
      </c>
      <c r="P432" s="9">
        <v>5967.833333333333</v>
      </c>
      <c r="Q432" s="9">
        <v>4452.333333333333</v>
      </c>
      <c r="R432" s="9">
        <v>7750</v>
      </c>
      <c r="S432" s="9">
        <v>8225</v>
      </c>
      <c r="T432" s="31">
        <v>9100</v>
      </c>
      <c r="W432" s="16">
        <f t="shared" si="85"/>
        <v>44996</v>
      </c>
      <c r="X432" s="9">
        <f t="shared" si="86"/>
        <v>734.01400000000001</v>
      </c>
      <c r="Y432" s="9">
        <f t="shared" si="87"/>
        <v>1034.0999999999999</v>
      </c>
      <c r="AA432" s="16">
        <f t="shared" si="88"/>
        <v>45395</v>
      </c>
      <c r="AB432" s="21">
        <f t="shared" si="89"/>
        <v>5967.833333333333</v>
      </c>
      <c r="AC432" s="21">
        <f t="shared" si="90"/>
        <v>4452.333333333333</v>
      </c>
      <c r="AD432" s="21">
        <f t="shared" si="91"/>
        <v>7750</v>
      </c>
      <c r="AE432" s="21">
        <f t="shared" si="92"/>
        <v>8225</v>
      </c>
      <c r="AF432" s="21">
        <f t="shared" si="93"/>
        <v>9100</v>
      </c>
      <c r="AK432" s="16"/>
      <c r="AL432" s="17"/>
      <c r="AN432" s="16"/>
    </row>
    <row r="433" spans="2:40" x14ac:dyDescent="0.4">
      <c r="B433" s="6">
        <f t="shared" si="80"/>
        <v>45367</v>
      </c>
      <c r="C433" s="8">
        <f t="shared" si="81"/>
        <v>292.87600000000009</v>
      </c>
      <c r="D433" s="5">
        <f t="shared" si="82"/>
        <v>1256.2210000000002</v>
      </c>
      <c r="E433" s="5">
        <f t="shared" si="83"/>
        <v>1836.2210000000002</v>
      </c>
      <c r="F433" s="5">
        <f t="shared" si="84"/>
        <v>2531.2210000000005</v>
      </c>
      <c r="H433" s="6"/>
      <c r="I433" s="11">
        <v>45003</v>
      </c>
      <c r="J433" s="9">
        <v>672.20600000000002</v>
      </c>
      <c r="K433" s="9">
        <v>1028.7339999999999</v>
      </c>
      <c r="O433" s="11">
        <v>45402</v>
      </c>
      <c r="P433" s="9">
        <v>5975.6</v>
      </c>
      <c r="Q433" s="9">
        <v>4435.8</v>
      </c>
      <c r="R433" s="9">
        <v>7715</v>
      </c>
      <c r="S433" s="9">
        <v>8215</v>
      </c>
      <c r="T433" s="31">
        <v>9090</v>
      </c>
      <c r="W433" s="16">
        <f t="shared" si="85"/>
        <v>45003</v>
      </c>
      <c r="X433" s="9">
        <f t="shared" si="86"/>
        <v>672.20600000000002</v>
      </c>
      <c r="Y433" s="9">
        <f t="shared" si="87"/>
        <v>1028.7339999999999</v>
      </c>
      <c r="AA433" s="16">
        <f t="shared" si="88"/>
        <v>45402</v>
      </c>
      <c r="AB433" s="21">
        <f t="shared" si="89"/>
        <v>5975.6</v>
      </c>
      <c r="AC433" s="21">
        <f t="shared" si="90"/>
        <v>4435.8</v>
      </c>
      <c r="AD433" s="21">
        <f t="shared" si="91"/>
        <v>7715</v>
      </c>
      <c r="AE433" s="21">
        <f t="shared" si="92"/>
        <v>8215</v>
      </c>
      <c r="AF433" s="21">
        <f t="shared" si="93"/>
        <v>9090</v>
      </c>
      <c r="AK433" s="16"/>
      <c r="AL433" s="17"/>
      <c r="AN433" s="16"/>
    </row>
    <row r="434" spans="2:40" x14ac:dyDescent="0.4">
      <c r="B434" s="6">
        <f t="shared" si="80"/>
        <v>45374</v>
      </c>
      <c r="C434" s="8">
        <f t="shared" si="81"/>
        <v>299.98400000000004</v>
      </c>
      <c r="D434" s="5">
        <f t="shared" si="82"/>
        <v>1119.9439999999995</v>
      </c>
      <c r="E434" s="5">
        <f t="shared" si="83"/>
        <v>1669.9439999999995</v>
      </c>
      <c r="F434" s="5">
        <f t="shared" si="84"/>
        <v>2514.9439999999995</v>
      </c>
      <c r="H434" s="6"/>
      <c r="I434" s="11">
        <v>45010</v>
      </c>
      <c r="J434" s="9">
        <v>641.46</v>
      </c>
      <c r="K434" s="9">
        <v>1079.55</v>
      </c>
      <c r="O434" s="11">
        <v>45409</v>
      </c>
      <c r="P434" s="9">
        <v>5924</v>
      </c>
      <c r="Q434" s="9">
        <v>4380.8</v>
      </c>
      <c r="R434" s="9">
        <v>7565</v>
      </c>
      <c r="S434" s="9">
        <v>8150</v>
      </c>
      <c r="T434" s="31">
        <v>9030</v>
      </c>
      <c r="W434" s="16">
        <f t="shared" si="85"/>
        <v>45010</v>
      </c>
      <c r="X434" s="9">
        <f t="shared" si="86"/>
        <v>641.46</v>
      </c>
      <c r="Y434" s="9">
        <f t="shared" si="87"/>
        <v>1079.55</v>
      </c>
      <c r="AA434" s="16">
        <f t="shared" si="88"/>
        <v>45409</v>
      </c>
      <c r="AB434" s="21">
        <f t="shared" si="89"/>
        <v>5924</v>
      </c>
      <c r="AC434" s="21">
        <f t="shared" si="90"/>
        <v>4380.8</v>
      </c>
      <c r="AD434" s="21">
        <f t="shared" si="91"/>
        <v>7565</v>
      </c>
      <c r="AE434" s="21">
        <f t="shared" si="92"/>
        <v>8150</v>
      </c>
      <c r="AF434" s="21">
        <f t="shared" si="93"/>
        <v>9030</v>
      </c>
      <c r="AK434" s="16"/>
      <c r="AL434" s="17"/>
      <c r="AN434" s="16"/>
    </row>
    <row r="435" spans="2:40" x14ac:dyDescent="0.4">
      <c r="B435" s="6">
        <f t="shared" si="80"/>
        <v>45381</v>
      </c>
      <c r="C435" s="8">
        <f t="shared" si="81"/>
        <v>316.13</v>
      </c>
      <c r="D435" s="5">
        <f t="shared" si="82"/>
        <v>1027.8680000000004</v>
      </c>
      <c r="E435" s="5">
        <f t="shared" si="83"/>
        <v>1582.8680000000004</v>
      </c>
      <c r="F435" s="5">
        <f t="shared" si="84"/>
        <v>2467.8680000000004</v>
      </c>
      <c r="H435" s="6"/>
      <c r="I435" s="11">
        <v>45017</v>
      </c>
      <c r="J435" s="9">
        <v>674.03499999999997</v>
      </c>
      <c r="K435" s="9">
        <v>1100.0999999999999</v>
      </c>
      <c r="O435" s="11">
        <v>45416</v>
      </c>
      <c r="P435" s="9">
        <v>5921.666666666667</v>
      </c>
      <c r="Q435" s="9">
        <v>4346.666666666667</v>
      </c>
      <c r="R435" s="9">
        <v>7525</v>
      </c>
      <c r="S435" s="9">
        <v>8100</v>
      </c>
      <c r="T435" s="31">
        <v>9000</v>
      </c>
      <c r="W435" s="16">
        <f t="shared" si="85"/>
        <v>45017</v>
      </c>
      <c r="X435" s="9">
        <f t="shared" si="86"/>
        <v>674.03499999999997</v>
      </c>
      <c r="Y435" s="9">
        <f t="shared" si="87"/>
        <v>1100.0999999999999</v>
      </c>
      <c r="AA435" s="16">
        <f t="shared" si="88"/>
        <v>45416</v>
      </c>
      <c r="AB435" s="21">
        <f t="shared" si="89"/>
        <v>5921.666666666667</v>
      </c>
      <c r="AC435" s="21">
        <f t="shared" si="90"/>
        <v>4346.666666666667</v>
      </c>
      <c r="AD435" s="21">
        <f t="shared" si="91"/>
        <v>7525</v>
      </c>
      <c r="AE435" s="21">
        <f t="shared" si="92"/>
        <v>8100</v>
      </c>
      <c r="AF435" s="21">
        <f t="shared" si="93"/>
        <v>9000</v>
      </c>
      <c r="AK435" s="16"/>
      <c r="AL435" s="17"/>
      <c r="AN435" s="16"/>
    </row>
    <row r="436" spans="2:40" x14ac:dyDescent="0.4">
      <c r="B436" s="6">
        <f t="shared" si="80"/>
        <v>45388</v>
      </c>
      <c r="C436" s="8">
        <f t="shared" si="81"/>
        <v>346.48799999999994</v>
      </c>
      <c r="D436" s="5">
        <f t="shared" si="82"/>
        <v>1009.1066666666661</v>
      </c>
      <c r="E436" s="5">
        <f t="shared" si="83"/>
        <v>1509.1066666666661</v>
      </c>
      <c r="F436" s="5">
        <f t="shared" si="84"/>
        <v>2375.7733333333322</v>
      </c>
      <c r="H436" s="6"/>
      <c r="I436" s="11">
        <v>45024</v>
      </c>
      <c r="J436" s="9">
        <v>692.36</v>
      </c>
      <c r="K436" s="9">
        <v>1124.3333333333333</v>
      </c>
      <c r="O436" s="11">
        <v>45423</v>
      </c>
      <c r="P436" s="9">
        <v>5816.666666666667</v>
      </c>
      <c r="Q436" s="9">
        <v>4363.5</v>
      </c>
      <c r="R436" s="9">
        <v>7479.166666666667</v>
      </c>
      <c r="S436" s="9">
        <v>8062.5</v>
      </c>
      <c r="T436" s="31">
        <v>9000</v>
      </c>
      <c r="W436" s="16">
        <f t="shared" si="85"/>
        <v>45024</v>
      </c>
      <c r="X436" s="9">
        <f t="shared" si="86"/>
        <v>692.36</v>
      </c>
      <c r="Y436" s="9">
        <f t="shared" si="87"/>
        <v>1124.3333333333333</v>
      </c>
      <c r="AA436" s="16">
        <f t="shared" si="88"/>
        <v>45423</v>
      </c>
      <c r="AB436" s="21">
        <f t="shared" si="89"/>
        <v>5816.666666666667</v>
      </c>
      <c r="AC436" s="21">
        <f t="shared" si="90"/>
        <v>4363.5</v>
      </c>
      <c r="AD436" s="21">
        <f t="shared" si="91"/>
        <v>7479.166666666667</v>
      </c>
      <c r="AE436" s="21">
        <f t="shared" si="92"/>
        <v>8062.5</v>
      </c>
      <c r="AF436" s="21">
        <f t="shared" si="93"/>
        <v>9000</v>
      </c>
      <c r="AK436" s="16"/>
      <c r="AL436" s="17"/>
      <c r="AN436" s="16"/>
    </row>
    <row r="437" spans="2:40" x14ac:dyDescent="0.4">
      <c r="B437" s="6">
        <f t="shared" si="80"/>
        <v>45395</v>
      </c>
      <c r="C437" s="8">
        <f t="shared" si="81"/>
        <v>338.21249999999998</v>
      </c>
      <c r="D437" s="5">
        <f t="shared" si="82"/>
        <v>1155.9708333333338</v>
      </c>
      <c r="E437" s="5">
        <f t="shared" si="83"/>
        <v>1630.9708333333338</v>
      </c>
      <c r="F437" s="5">
        <f t="shared" si="84"/>
        <v>2505.9708333333338</v>
      </c>
      <c r="H437" s="6"/>
      <c r="I437" s="11">
        <v>45031</v>
      </c>
      <c r="J437" s="9">
        <v>693.33799999999997</v>
      </c>
      <c r="K437" s="9">
        <v>1131.768</v>
      </c>
      <c r="O437" s="11">
        <v>45430</v>
      </c>
      <c r="P437" s="9">
        <v>5791.8</v>
      </c>
      <c r="Q437" s="9">
        <v>4405.6000000000004</v>
      </c>
      <c r="R437" s="9">
        <v>7420</v>
      </c>
      <c r="S437" s="9">
        <v>8025</v>
      </c>
      <c r="T437" s="31">
        <v>9000</v>
      </c>
      <c r="W437" s="16">
        <f t="shared" si="85"/>
        <v>45031</v>
      </c>
      <c r="X437" s="9">
        <f t="shared" si="86"/>
        <v>693.33799999999997</v>
      </c>
      <c r="Y437" s="9">
        <f t="shared" si="87"/>
        <v>1131.768</v>
      </c>
      <c r="AA437" s="16">
        <f t="shared" si="88"/>
        <v>45430</v>
      </c>
      <c r="AB437" s="21">
        <f t="shared" si="89"/>
        <v>5791.8</v>
      </c>
      <c r="AC437" s="21">
        <f t="shared" si="90"/>
        <v>4405.6000000000004</v>
      </c>
      <c r="AD437" s="21">
        <f t="shared" si="91"/>
        <v>7420</v>
      </c>
      <c r="AE437" s="21">
        <f t="shared" si="92"/>
        <v>8025</v>
      </c>
      <c r="AF437" s="21">
        <f t="shared" si="93"/>
        <v>9000</v>
      </c>
      <c r="AK437" s="16"/>
      <c r="AL437" s="17"/>
      <c r="AN437" s="16"/>
    </row>
    <row r="438" spans="2:40" x14ac:dyDescent="0.4">
      <c r="B438" s="6">
        <f t="shared" si="80"/>
        <v>45402</v>
      </c>
      <c r="C438" s="8">
        <f t="shared" si="81"/>
        <v>358.54200000000014</v>
      </c>
      <c r="D438" s="5">
        <f t="shared" si="82"/>
        <v>1119.8689999999999</v>
      </c>
      <c r="E438" s="5">
        <f t="shared" si="83"/>
        <v>1619.8689999999999</v>
      </c>
      <c r="F438" s="5">
        <f t="shared" si="84"/>
        <v>2494.8689999999997</v>
      </c>
      <c r="H438" s="6"/>
      <c r="I438" s="11">
        <v>45038</v>
      </c>
      <c r="J438" s="9">
        <v>670.04600000000005</v>
      </c>
      <c r="K438" s="9">
        <v>1125.798</v>
      </c>
      <c r="O438" s="11">
        <v>45437</v>
      </c>
      <c r="P438" s="9">
        <v>5907</v>
      </c>
      <c r="Q438" s="9">
        <v>4491.2</v>
      </c>
      <c r="R438" s="9">
        <v>7470</v>
      </c>
      <c r="S438" s="9">
        <v>8055</v>
      </c>
      <c r="T438" s="31">
        <v>8920</v>
      </c>
      <c r="W438" s="16">
        <f t="shared" si="85"/>
        <v>45038</v>
      </c>
      <c r="X438" s="9">
        <f t="shared" si="86"/>
        <v>670.04600000000005</v>
      </c>
      <c r="Y438" s="9">
        <f t="shared" si="87"/>
        <v>1125.798</v>
      </c>
      <c r="AA438" s="16">
        <f t="shared" si="88"/>
        <v>45437</v>
      </c>
      <c r="AB438" s="21">
        <f t="shared" si="89"/>
        <v>5907</v>
      </c>
      <c r="AC438" s="21">
        <f t="shared" si="90"/>
        <v>4491.2</v>
      </c>
      <c r="AD438" s="21">
        <f t="shared" si="91"/>
        <v>7470</v>
      </c>
      <c r="AE438" s="21">
        <f t="shared" si="92"/>
        <v>8055</v>
      </c>
      <c r="AF438" s="21">
        <f t="shared" si="93"/>
        <v>8920</v>
      </c>
      <c r="AK438" s="16"/>
      <c r="AL438" s="17"/>
      <c r="AN438" s="16"/>
    </row>
    <row r="439" spans="2:40" x14ac:dyDescent="0.4">
      <c r="B439" s="6">
        <f t="shared" si="80"/>
        <v>45409</v>
      </c>
      <c r="C439" s="8">
        <f t="shared" si="81"/>
        <v>328.80599999999993</v>
      </c>
      <c r="D439" s="5">
        <f t="shared" si="82"/>
        <v>1032.4120000000003</v>
      </c>
      <c r="E439" s="5">
        <f t="shared" si="83"/>
        <v>1617.4120000000003</v>
      </c>
      <c r="F439" s="5">
        <f t="shared" si="84"/>
        <v>2497.4120000000003</v>
      </c>
      <c r="H439" s="6"/>
      <c r="I439" s="11">
        <v>45045</v>
      </c>
      <c r="J439" s="9">
        <v>654.70000000000005</v>
      </c>
      <c r="K439" s="9">
        <v>1085.798</v>
      </c>
      <c r="O439" s="11">
        <v>45444</v>
      </c>
      <c r="P439" s="9">
        <v>5970.5</v>
      </c>
      <c r="Q439" s="9">
        <v>4543.2</v>
      </c>
      <c r="R439" s="9">
        <v>7790</v>
      </c>
      <c r="S439" s="9">
        <v>8160</v>
      </c>
      <c r="T439" s="31">
        <v>9015</v>
      </c>
      <c r="W439" s="16">
        <f t="shared" si="85"/>
        <v>45045</v>
      </c>
      <c r="X439" s="9">
        <f t="shared" si="86"/>
        <v>654.70000000000005</v>
      </c>
      <c r="Y439" s="9">
        <f t="shared" si="87"/>
        <v>1085.798</v>
      </c>
      <c r="AA439" s="16">
        <f t="shared" si="88"/>
        <v>45444</v>
      </c>
      <c r="AB439" s="21">
        <f t="shared" si="89"/>
        <v>5970.5</v>
      </c>
      <c r="AC439" s="21">
        <f t="shared" si="90"/>
        <v>4543.2</v>
      </c>
      <c r="AD439" s="21">
        <f t="shared" si="91"/>
        <v>7790</v>
      </c>
      <c r="AE439" s="21">
        <f t="shared" si="92"/>
        <v>8160</v>
      </c>
      <c r="AF439" s="21">
        <f t="shared" si="93"/>
        <v>9015</v>
      </c>
      <c r="AK439" s="16"/>
      <c r="AL439" s="17"/>
      <c r="AN439" s="16"/>
    </row>
    <row r="440" spans="2:40" x14ac:dyDescent="0.4">
      <c r="B440" s="6">
        <f t="shared" si="80"/>
        <v>45416</v>
      </c>
      <c r="C440" s="8">
        <f t="shared" si="81"/>
        <v>319.51499999999999</v>
      </c>
      <c r="D440" s="5">
        <f t="shared" si="82"/>
        <v>1005.841666666666</v>
      </c>
      <c r="E440" s="5">
        <f t="shared" si="83"/>
        <v>1580.841666666666</v>
      </c>
      <c r="F440" s="5">
        <f t="shared" si="84"/>
        <v>2480.8416666666662</v>
      </c>
      <c r="H440" s="6"/>
      <c r="I440" s="11">
        <v>45052</v>
      </c>
      <c r="J440" s="9">
        <v>595.9425</v>
      </c>
      <c r="K440" s="9">
        <v>1027.2525000000001</v>
      </c>
      <c r="O440" s="11">
        <v>45451</v>
      </c>
      <c r="P440" s="9">
        <v>5930</v>
      </c>
      <c r="Q440" s="9">
        <v>4540</v>
      </c>
      <c r="R440" s="9">
        <v>7850</v>
      </c>
      <c r="S440" s="9">
        <v>8210</v>
      </c>
      <c r="T440" s="31">
        <v>9115</v>
      </c>
      <c r="W440" s="16">
        <f t="shared" si="85"/>
        <v>45052</v>
      </c>
      <c r="X440" s="9">
        <f t="shared" si="86"/>
        <v>595.9425</v>
      </c>
      <c r="Y440" s="9">
        <f t="shared" si="87"/>
        <v>1027.2525000000001</v>
      </c>
      <c r="AA440" s="16">
        <f t="shared" si="88"/>
        <v>45451</v>
      </c>
      <c r="AB440" s="21">
        <f t="shared" si="89"/>
        <v>5930</v>
      </c>
      <c r="AC440" s="21">
        <f t="shared" si="90"/>
        <v>4540</v>
      </c>
      <c r="AD440" s="21">
        <f t="shared" si="91"/>
        <v>7850</v>
      </c>
      <c r="AE440" s="21">
        <f t="shared" si="92"/>
        <v>8210</v>
      </c>
      <c r="AF440" s="21">
        <f t="shared" si="93"/>
        <v>9115</v>
      </c>
      <c r="AK440" s="16"/>
      <c r="AL440" s="17"/>
      <c r="AN440" s="16"/>
    </row>
    <row r="441" spans="2:40" x14ac:dyDescent="0.4">
      <c r="B441" s="6">
        <f t="shared" si="80"/>
        <v>45423</v>
      </c>
      <c r="C441" s="8">
        <f t="shared" si="81"/>
        <v>329.24200000000008</v>
      </c>
      <c r="D441" s="5">
        <f t="shared" si="82"/>
        <v>1044.1441666666669</v>
      </c>
      <c r="E441" s="5">
        <f t="shared" si="83"/>
        <v>1627.4775</v>
      </c>
      <c r="F441" s="5">
        <f t="shared" si="84"/>
        <v>2564.9775</v>
      </c>
      <c r="H441" s="6"/>
      <c r="I441" s="11">
        <v>45059</v>
      </c>
      <c r="J441" s="9">
        <v>601.35199999999998</v>
      </c>
      <c r="K441" s="9">
        <v>1013.4</v>
      </c>
      <c r="O441" s="11">
        <v>45458</v>
      </c>
      <c r="P441" s="9">
        <v>5976.25</v>
      </c>
      <c r="Q441" s="9">
        <v>4491.666666666667</v>
      </c>
      <c r="R441" s="9">
        <v>7856.25</v>
      </c>
      <c r="S441" s="9">
        <v>8262.5</v>
      </c>
      <c r="T441" s="31">
        <v>9291.6666666666661</v>
      </c>
      <c r="W441" s="16">
        <f t="shared" si="85"/>
        <v>45059</v>
      </c>
      <c r="X441" s="9">
        <f t="shared" si="86"/>
        <v>601.35199999999998</v>
      </c>
      <c r="Y441" s="9">
        <f t="shared" si="87"/>
        <v>1013.4</v>
      </c>
      <c r="AA441" s="16">
        <f t="shared" si="88"/>
        <v>45458</v>
      </c>
      <c r="AB441" s="21">
        <f t="shared" si="89"/>
        <v>5976.25</v>
      </c>
      <c r="AC441" s="21">
        <f t="shared" si="90"/>
        <v>4491.666666666667</v>
      </c>
      <c r="AD441" s="21">
        <f t="shared" si="91"/>
        <v>7856.25</v>
      </c>
      <c r="AE441" s="21">
        <f t="shared" si="92"/>
        <v>8262.5</v>
      </c>
      <c r="AF441" s="21">
        <f t="shared" si="93"/>
        <v>9291.6666666666661</v>
      </c>
      <c r="AK441" s="16"/>
      <c r="AL441" s="17"/>
      <c r="AN441" s="16"/>
    </row>
    <row r="442" spans="2:40" x14ac:dyDescent="0.4">
      <c r="B442" s="6">
        <f t="shared" si="80"/>
        <v>45430</v>
      </c>
      <c r="C442" s="8">
        <f t="shared" si="81"/>
        <v>333.46000000000004</v>
      </c>
      <c r="D442" s="5">
        <f t="shared" si="82"/>
        <v>992.13499999999931</v>
      </c>
      <c r="E442" s="5">
        <f t="shared" si="83"/>
        <v>1597.1349999999993</v>
      </c>
      <c r="F442" s="5">
        <f t="shared" si="84"/>
        <v>2572.1349999999993</v>
      </c>
      <c r="H442" s="6"/>
      <c r="I442" s="11">
        <v>45066</v>
      </c>
      <c r="J442" s="9">
        <v>579.49800000000005</v>
      </c>
      <c r="K442" s="9">
        <v>970.59799999999996</v>
      </c>
      <c r="O442" s="11">
        <v>45465</v>
      </c>
      <c r="P442" s="9">
        <v>5940.6</v>
      </c>
      <c r="Q442" s="9">
        <v>4462.6000000000004</v>
      </c>
      <c r="R442" s="9">
        <v>7875</v>
      </c>
      <c r="S442" s="9">
        <v>8340</v>
      </c>
      <c r="T442" s="31">
        <v>9340</v>
      </c>
      <c r="W442" s="16">
        <f t="shared" si="85"/>
        <v>45066</v>
      </c>
      <c r="X442" s="9">
        <f t="shared" si="86"/>
        <v>579.49800000000005</v>
      </c>
      <c r="Y442" s="9">
        <f t="shared" si="87"/>
        <v>970.59799999999996</v>
      </c>
      <c r="AA442" s="16">
        <f t="shared" si="88"/>
        <v>45465</v>
      </c>
      <c r="AB442" s="21">
        <f t="shared" si="89"/>
        <v>5940.6</v>
      </c>
      <c r="AC442" s="21">
        <f t="shared" si="90"/>
        <v>4462.6000000000004</v>
      </c>
      <c r="AD442" s="21">
        <f t="shared" si="91"/>
        <v>7875</v>
      </c>
      <c r="AE442" s="21">
        <f t="shared" si="92"/>
        <v>8340</v>
      </c>
      <c r="AF442" s="21">
        <f t="shared" si="93"/>
        <v>9340</v>
      </c>
      <c r="AK442" s="16"/>
      <c r="AL442" s="17"/>
      <c r="AN442" s="16"/>
    </row>
    <row r="443" spans="2:40" x14ac:dyDescent="0.4">
      <c r="B443" s="6">
        <f t="shared" si="80"/>
        <v>45437</v>
      </c>
      <c r="C443" s="8">
        <f t="shared" si="81"/>
        <v>349.72500000000002</v>
      </c>
      <c r="D443" s="5">
        <f t="shared" si="82"/>
        <v>914.96300000000019</v>
      </c>
      <c r="E443" s="5">
        <f t="shared" si="83"/>
        <v>1499.9630000000002</v>
      </c>
      <c r="F443" s="5">
        <f t="shared" si="84"/>
        <v>2364.9630000000002</v>
      </c>
      <c r="H443" s="6"/>
      <c r="I443" s="11">
        <v>45073</v>
      </c>
      <c r="J443" s="9">
        <v>590.428</v>
      </c>
      <c r="K443" s="9">
        <v>980.13400000000001</v>
      </c>
      <c r="O443" s="11">
        <v>45472</v>
      </c>
      <c r="P443" s="9">
        <v>5981</v>
      </c>
      <c r="Q443" s="9">
        <v>4561.6000000000004</v>
      </c>
      <c r="R443" s="9">
        <v>7965</v>
      </c>
      <c r="S443" s="9">
        <v>8400</v>
      </c>
      <c r="T443" s="31">
        <v>9400</v>
      </c>
      <c r="W443" s="16">
        <f t="shared" si="85"/>
        <v>45073</v>
      </c>
      <c r="X443" s="9">
        <f t="shared" si="86"/>
        <v>590.428</v>
      </c>
      <c r="Y443" s="9">
        <f t="shared" si="87"/>
        <v>980.13400000000001</v>
      </c>
      <c r="AA443" s="16">
        <f t="shared" si="88"/>
        <v>45472</v>
      </c>
      <c r="AB443" s="21">
        <f t="shared" si="89"/>
        <v>5981</v>
      </c>
      <c r="AC443" s="21">
        <f t="shared" si="90"/>
        <v>4561.6000000000004</v>
      </c>
      <c r="AD443" s="21">
        <f t="shared" si="91"/>
        <v>7965</v>
      </c>
      <c r="AE443" s="21">
        <f t="shared" si="92"/>
        <v>8400</v>
      </c>
      <c r="AF443" s="21">
        <f t="shared" si="93"/>
        <v>9400</v>
      </c>
      <c r="AK443" s="16"/>
      <c r="AL443" s="17"/>
      <c r="AN443" s="16"/>
    </row>
    <row r="444" spans="2:40" x14ac:dyDescent="0.4">
      <c r="B444" s="6">
        <f t="shared" si="80"/>
        <v>45444</v>
      </c>
      <c r="C444" s="8">
        <f t="shared" si="81"/>
        <v>356.13200000000006</v>
      </c>
      <c r="D444" s="5">
        <f t="shared" si="82"/>
        <v>1163.2504999999999</v>
      </c>
      <c r="E444" s="5">
        <f t="shared" si="83"/>
        <v>1533.2504999999999</v>
      </c>
      <c r="F444" s="5">
        <f t="shared" si="84"/>
        <v>2388.2505000000001</v>
      </c>
      <c r="H444" s="6"/>
      <c r="I444" s="11">
        <v>45080</v>
      </c>
      <c r="J444" s="9">
        <v>575.28</v>
      </c>
      <c r="K444" s="9">
        <v>969.33249999999998</v>
      </c>
      <c r="O444" s="11">
        <v>45479</v>
      </c>
      <c r="P444" s="9">
        <v>6060.2</v>
      </c>
      <c r="Q444" s="9">
        <v>4714.3999999999996</v>
      </c>
      <c r="R444" s="9">
        <v>8010</v>
      </c>
      <c r="S444" s="9">
        <v>8520</v>
      </c>
      <c r="T444" s="31">
        <v>9410</v>
      </c>
      <c r="W444" s="16">
        <f t="shared" si="85"/>
        <v>45080</v>
      </c>
      <c r="X444" s="9">
        <f t="shared" si="86"/>
        <v>575.28</v>
      </c>
      <c r="Y444" s="9">
        <f t="shared" si="87"/>
        <v>969.33249999999998</v>
      </c>
      <c r="AA444" s="16">
        <f t="shared" si="88"/>
        <v>45479</v>
      </c>
      <c r="AB444" s="21">
        <f t="shared" si="89"/>
        <v>6060.2</v>
      </c>
      <c r="AC444" s="21">
        <f t="shared" si="90"/>
        <v>4714.3999999999996</v>
      </c>
      <c r="AD444" s="21">
        <f t="shared" si="91"/>
        <v>8010</v>
      </c>
      <c r="AE444" s="21">
        <f t="shared" si="92"/>
        <v>8520</v>
      </c>
      <c r="AF444" s="21">
        <f t="shared" si="93"/>
        <v>9410</v>
      </c>
      <c r="AK444" s="16"/>
      <c r="AL444" s="17"/>
      <c r="AN444" s="16"/>
    </row>
    <row r="445" spans="2:40" x14ac:dyDescent="0.4">
      <c r="B445" s="6">
        <f t="shared" si="80"/>
        <v>45451</v>
      </c>
      <c r="C445" s="8">
        <f t="shared" si="81"/>
        <v>372.41800000000001</v>
      </c>
      <c r="D445" s="5">
        <f t="shared" si="82"/>
        <v>1258.9500000000003</v>
      </c>
      <c r="E445" s="5">
        <f t="shared" si="83"/>
        <v>1618.9500000000003</v>
      </c>
      <c r="F445" s="5">
        <f t="shared" si="84"/>
        <v>2523.9500000000003</v>
      </c>
      <c r="H445" s="6"/>
      <c r="I445" s="11">
        <v>45087</v>
      </c>
      <c r="J445" s="9">
        <v>565.42200000000003</v>
      </c>
      <c r="K445" s="9">
        <v>982.16399999999999</v>
      </c>
      <c r="O445" s="11">
        <v>45486</v>
      </c>
      <c r="P445" s="9">
        <v>5954</v>
      </c>
      <c r="Q445" s="9">
        <v>4782.3999999999996</v>
      </c>
      <c r="R445" s="9">
        <v>8015</v>
      </c>
      <c r="S445" s="9">
        <v>8540</v>
      </c>
      <c r="T445" s="31">
        <v>9425</v>
      </c>
      <c r="W445" s="16">
        <f t="shared" si="85"/>
        <v>45087</v>
      </c>
      <c r="X445" s="9">
        <f t="shared" si="86"/>
        <v>565.42200000000003</v>
      </c>
      <c r="Y445" s="9">
        <f t="shared" si="87"/>
        <v>982.16399999999999</v>
      </c>
      <c r="AA445" s="16">
        <f t="shared" si="88"/>
        <v>45486</v>
      </c>
      <c r="AB445" s="21">
        <f t="shared" si="89"/>
        <v>5954</v>
      </c>
      <c r="AC445" s="21">
        <f t="shared" si="90"/>
        <v>4782.3999999999996</v>
      </c>
      <c r="AD445" s="21">
        <f t="shared" si="91"/>
        <v>8015</v>
      </c>
      <c r="AE445" s="21">
        <f t="shared" si="92"/>
        <v>8540</v>
      </c>
      <c r="AF445" s="21">
        <f t="shared" si="93"/>
        <v>9425</v>
      </c>
      <c r="AK445" s="16"/>
      <c r="AL445" s="17"/>
      <c r="AN445" s="16"/>
    </row>
    <row r="446" spans="2:40" x14ac:dyDescent="0.4">
      <c r="B446" s="6">
        <f t="shared" si="80"/>
        <v>45458</v>
      </c>
      <c r="C446" s="8">
        <f t="shared" si="81"/>
        <v>363.15800000000002</v>
      </c>
      <c r="D446" s="5">
        <f t="shared" si="82"/>
        <v>1241.8479166666671</v>
      </c>
      <c r="E446" s="5">
        <f t="shared" si="83"/>
        <v>1648.0979166666671</v>
      </c>
      <c r="F446" s="5">
        <f t="shared" si="84"/>
        <v>2677.2645833333331</v>
      </c>
      <c r="H446" s="6"/>
      <c r="I446" s="11">
        <v>45094</v>
      </c>
      <c r="J446" s="9">
        <v>535.17200000000003</v>
      </c>
      <c r="K446" s="9">
        <v>992.63400000000001</v>
      </c>
      <c r="O446" s="11">
        <v>45493</v>
      </c>
      <c r="P446" s="9">
        <v>5883</v>
      </c>
      <c r="Q446" s="9">
        <v>4722.6000000000004</v>
      </c>
      <c r="R446" s="9">
        <v>7994</v>
      </c>
      <c r="S446" s="9">
        <v>8485</v>
      </c>
      <c r="T446" s="31">
        <v>9425</v>
      </c>
      <c r="W446" s="16">
        <f t="shared" si="85"/>
        <v>45094</v>
      </c>
      <c r="X446" s="9">
        <f t="shared" si="86"/>
        <v>535.17200000000003</v>
      </c>
      <c r="Y446" s="9">
        <f t="shared" si="87"/>
        <v>992.63400000000001</v>
      </c>
      <c r="AA446" s="16">
        <f t="shared" si="88"/>
        <v>45493</v>
      </c>
      <c r="AB446" s="21">
        <f t="shared" si="89"/>
        <v>5883</v>
      </c>
      <c r="AC446" s="21">
        <f t="shared" si="90"/>
        <v>4722.6000000000004</v>
      </c>
      <c r="AD446" s="21">
        <f t="shared" si="91"/>
        <v>7994</v>
      </c>
      <c r="AE446" s="21">
        <f t="shared" si="92"/>
        <v>8485</v>
      </c>
      <c r="AF446" s="21">
        <f t="shared" si="93"/>
        <v>9425</v>
      </c>
      <c r="AK446" s="16"/>
      <c r="AL446" s="17"/>
      <c r="AN446" s="16"/>
    </row>
    <row r="447" spans="2:40" x14ac:dyDescent="0.4">
      <c r="B447" s="6">
        <f t="shared" si="80"/>
        <v>45465</v>
      </c>
      <c r="C447" s="8">
        <f t="shared" si="81"/>
        <v>336.6825</v>
      </c>
      <c r="D447" s="5">
        <f t="shared" si="82"/>
        <v>1300.8159999999991</v>
      </c>
      <c r="E447" s="5">
        <f t="shared" si="83"/>
        <v>1765.8159999999991</v>
      </c>
      <c r="F447" s="5">
        <f t="shared" si="84"/>
        <v>2765.8159999999989</v>
      </c>
      <c r="H447" s="6"/>
      <c r="I447" s="11">
        <v>45101</v>
      </c>
      <c r="J447" s="9">
        <v>520.69600000000003</v>
      </c>
      <c r="K447" s="9">
        <v>983.39800000000002</v>
      </c>
      <c r="O447" s="11">
        <v>45500</v>
      </c>
      <c r="P447" s="9">
        <v>5831.4</v>
      </c>
      <c r="Q447" s="9">
        <v>4645.3999999999996</v>
      </c>
      <c r="R447" s="9">
        <v>7768</v>
      </c>
      <c r="S447" s="9">
        <v>8315</v>
      </c>
      <c r="T447" s="31">
        <v>9275</v>
      </c>
      <c r="W447" s="16">
        <f t="shared" si="85"/>
        <v>45101</v>
      </c>
      <c r="X447" s="9">
        <f t="shared" si="86"/>
        <v>520.69600000000003</v>
      </c>
      <c r="Y447" s="9">
        <f t="shared" si="87"/>
        <v>983.39800000000002</v>
      </c>
      <c r="AA447" s="16">
        <f t="shared" si="88"/>
        <v>45500</v>
      </c>
      <c r="AB447" s="21">
        <f t="shared" si="89"/>
        <v>5831.4</v>
      </c>
      <c r="AC447" s="21">
        <f t="shared" si="90"/>
        <v>4645.3999999999996</v>
      </c>
      <c r="AD447" s="21">
        <f t="shared" si="91"/>
        <v>7768</v>
      </c>
      <c r="AE447" s="21">
        <f t="shared" si="92"/>
        <v>8315</v>
      </c>
      <c r="AF447" s="21">
        <f t="shared" si="93"/>
        <v>9275</v>
      </c>
      <c r="AK447" s="16"/>
      <c r="AL447" s="17"/>
      <c r="AN447" s="16"/>
    </row>
    <row r="448" spans="2:40" x14ac:dyDescent="0.4">
      <c r="B448" s="6">
        <f t="shared" si="80"/>
        <v>45472</v>
      </c>
      <c r="C448" s="8">
        <f t="shared" si="81"/>
        <v>324.6099999999999</v>
      </c>
      <c r="D448" s="5">
        <f t="shared" si="82"/>
        <v>1323.1089999999997</v>
      </c>
      <c r="E448" s="5">
        <f t="shared" si="83"/>
        <v>1758.1089999999997</v>
      </c>
      <c r="F448" s="5">
        <f t="shared" si="84"/>
        <v>2758.1089999999995</v>
      </c>
      <c r="H448" s="6"/>
      <c r="I448" s="11">
        <v>45108</v>
      </c>
      <c r="J448" s="9">
        <v>508.39249999999998</v>
      </c>
      <c r="K448" s="9">
        <v>966.41750000000002</v>
      </c>
      <c r="O448" s="11">
        <v>45507</v>
      </c>
      <c r="P448" s="9">
        <v>5781.6</v>
      </c>
      <c r="Q448" s="9">
        <v>4683</v>
      </c>
      <c r="R448" s="9">
        <v>7750</v>
      </c>
      <c r="S448" s="9">
        <v>8300</v>
      </c>
      <c r="T448" s="31">
        <v>9250</v>
      </c>
      <c r="W448" s="16">
        <f t="shared" si="85"/>
        <v>45108</v>
      </c>
      <c r="X448" s="9">
        <f t="shared" si="86"/>
        <v>508.39249999999998</v>
      </c>
      <c r="Y448" s="9">
        <f t="shared" si="87"/>
        <v>966.41750000000002</v>
      </c>
      <c r="AA448" s="16">
        <f t="shared" si="88"/>
        <v>45507</v>
      </c>
      <c r="AB448" s="21">
        <f t="shared" si="89"/>
        <v>5781.6</v>
      </c>
      <c r="AC448" s="21">
        <f t="shared" si="90"/>
        <v>4683</v>
      </c>
      <c r="AD448" s="21">
        <f t="shared" si="91"/>
        <v>7750</v>
      </c>
      <c r="AE448" s="21">
        <f t="shared" si="92"/>
        <v>8300</v>
      </c>
      <c r="AF448" s="21">
        <f t="shared" si="93"/>
        <v>9250</v>
      </c>
      <c r="AK448" s="16"/>
      <c r="AL448" s="17"/>
      <c r="AN448" s="16"/>
    </row>
    <row r="449" spans="2:40" x14ac:dyDescent="0.4">
      <c r="B449" s="6">
        <f t="shared" si="80"/>
        <v>45479</v>
      </c>
      <c r="C449" s="8">
        <f t="shared" si="81"/>
        <v>313.04600000000005</v>
      </c>
      <c r="D449" s="5">
        <f t="shared" si="82"/>
        <v>1249.2050000000004</v>
      </c>
      <c r="E449" s="5">
        <f t="shared" si="83"/>
        <v>1759.2050000000004</v>
      </c>
      <c r="F449" s="5">
        <f t="shared" si="84"/>
        <v>2649.2050000000004</v>
      </c>
      <c r="H449" s="6"/>
      <c r="I449" s="11">
        <v>45115</v>
      </c>
      <c r="J449" s="9">
        <v>532.25599999999997</v>
      </c>
      <c r="K449" s="9">
        <v>983.46400000000006</v>
      </c>
      <c r="O449" s="11">
        <v>45514</v>
      </c>
      <c r="P449" s="9">
        <v>5598.8</v>
      </c>
      <c r="Q449" s="9">
        <v>4603.2</v>
      </c>
      <c r="R449" s="9">
        <v>7615</v>
      </c>
      <c r="S449" s="9">
        <v>8160</v>
      </c>
      <c r="T449" s="31">
        <v>9155</v>
      </c>
      <c r="W449" s="16">
        <f t="shared" si="85"/>
        <v>45115</v>
      </c>
      <c r="X449" s="9">
        <f t="shared" si="86"/>
        <v>532.25599999999997</v>
      </c>
      <c r="Y449" s="9">
        <f t="shared" si="87"/>
        <v>983.46400000000006</v>
      </c>
      <c r="AA449" s="16">
        <f t="shared" si="88"/>
        <v>45514</v>
      </c>
      <c r="AB449" s="21">
        <f t="shared" si="89"/>
        <v>5598.8</v>
      </c>
      <c r="AC449" s="21">
        <f t="shared" si="90"/>
        <v>4603.2</v>
      </c>
      <c r="AD449" s="21">
        <f t="shared" si="91"/>
        <v>7615</v>
      </c>
      <c r="AE449" s="21">
        <f t="shared" si="92"/>
        <v>8160</v>
      </c>
      <c r="AF449" s="21">
        <f t="shared" si="93"/>
        <v>9155</v>
      </c>
      <c r="AK449" s="16"/>
      <c r="AL449" s="17"/>
      <c r="AN449" s="16"/>
    </row>
    <row r="450" spans="2:40" x14ac:dyDescent="0.4">
      <c r="B450" s="6">
        <f t="shared" si="80"/>
        <v>45486</v>
      </c>
      <c r="C450" s="8">
        <f t="shared" si="81"/>
        <v>314.35399999999993</v>
      </c>
      <c r="D450" s="5">
        <f t="shared" si="82"/>
        <v>1322.2259999999999</v>
      </c>
      <c r="E450" s="5">
        <f t="shared" si="83"/>
        <v>1847.2259999999999</v>
      </c>
      <c r="F450" s="5">
        <f t="shared" si="84"/>
        <v>2732.2259999999997</v>
      </c>
      <c r="H450" s="6"/>
      <c r="I450" s="11">
        <v>45122</v>
      </c>
      <c r="J450" s="9">
        <v>578.33799999999997</v>
      </c>
      <c r="K450" s="9">
        <v>1024.3340000000001</v>
      </c>
      <c r="O450" s="11">
        <v>45521</v>
      </c>
      <c r="P450" s="9">
        <v>5540</v>
      </c>
      <c r="Q450" s="9">
        <v>4573.6000000000004</v>
      </c>
      <c r="R450" s="9">
        <v>7480</v>
      </c>
      <c r="S450" s="9">
        <v>8000</v>
      </c>
      <c r="T450" s="31">
        <v>9035</v>
      </c>
      <c r="W450" s="16">
        <f t="shared" si="85"/>
        <v>45122</v>
      </c>
      <c r="X450" s="9">
        <f t="shared" si="86"/>
        <v>578.33799999999997</v>
      </c>
      <c r="Y450" s="9">
        <f t="shared" si="87"/>
        <v>1024.3340000000001</v>
      </c>
      <c r="AA450" s="16">
        <f t="shared" si="88"/>
        <v>45521</v>
      </c>
      <c r="AB450" s="21">
        <f t="shared" si="89"/>
        <v>5540</v>
      </c>
      <c r="AC450" s="21">
        <f t="shared" si="90"/>
        <v>4573.6000000000004</v>
      </c>
      <c r="AD450" s="21">
        <f t="shared" si="91"/>
        <v>7480</v>
      </c>
      <c r="AE450" s="21">
        <f t="shared" si="92"/>
        <v>8000</v>
      </c>
      <c r="AF450" s="21">
        <f t="shared" si="93"/>
        <v>9035</v>
      </c>
      <c r="AK450" s="16"/>
      <c r="AL450" s="17"/>
      <c r="AN450" s="16"/>
    </row>
    <row r="451" spans="2:40" x14ac:dyDescent="0.4">
      <c r="B451" s="6">
        <f t="shared" si="80"/>
        <v>45493</v>
      </c>
      <c r="C451" s="8">
        <f t="shared" si="81"/>
        <v>309.11799999999994</v>
      </c>
      <c r="D451" s="5">
        <f t="shared" si="82"/>
        <v>1381.9639999999997</v>
      </c>
      <c r="E451" s="5">
        <f t="shared" si="83"/>
        <v>1872.9639999999997</v>
      </c>
      <c r="F451" s="5">
        <f t="shared" si="84"/>
        <v>2812.9639999999999</v>
      </c>
      <c r="H451" s="6"/>
      <c r="I451" s="11">
        <v>45129</v>
      </c>
      <c r="J451" s="9">
        <v>583.38400000000001</v>
      </c>
      <c r="K451" s="9">
        <v>1029.732</v>
      </c>
      <c r="O451" s="11">
        <v>45528</v>
      </c>
      <c r="P451" s="9">
        <v>5344</v>
      </c>
      <c r="Q451" s="9">
        <v>4625.3999999999996</v>
      </c>
      <c r="R451" s="9">
        <v>7470</v>
      </c>
      <c r="S451" s="9">
        <v>7995</v>
      </c>
      <c r="T451" s="31">
        <v>9020</v>
      </c>
      <c r="W451" s="16">
        <f t="shared" si="85"/>
        <v>45129</v>
      </c>
      <c r="X451" s="9">
        <f t="shared" si="86"/>
        <v>583.38400000000001</v>
      </c>
      <c r="Y451" s="9">
        <f t="shared" si="87"/>
        <v>1029.732</v>
      </c>
      <c r="AA451" s="16">
        <f t="shared" si="88"/>
        <v>45528</v>
      </c>
      <c r="AB451" s="21">
        <f t="shared" si="89"/>
        <v>5344</v>
      </c>
      <c r="AC451" s="21">
        <f t="shared" si="90"/>
        <v>4625.3999999999996</v>
      </c>
      <c r="AD451" s="21">
        <f t="shared" si="91"/>
        <v>7470</v>
      </c>
      <c r="AE451" s="21">
        <f t="shared" si="92"/>
        <v>7995</v>
      </c>
      <c r="AF451" s="21">
        <f t="shared" si="93"/>
        <v>9020</v>
      </c>
      <c r="AK451" s="16"/>
      <c r="AL451" s="17"/>
      <c r="AN451" s="16"/>
    </row>
    <row r="452" spans="2:40" x14ac:dyDescent="0.4">
      <c r="B452" s="6">
        <f t="shared" si="80"/>
        <v>45500</v>
      </c>
      <c r="C452" s="8">
        <f t="shared" si="81"/>
        <v>317.79999999999995</v>
      </c>
      <c r="D452" s="5">
        <f t="shared" si="82"/>
        <v>1225.9440000000002</v>
      </c>
      <c r="E452" s="5">
        <f t="shared" si="83"/>
        <v>1772.9440000000002</v>
      </c>
      <c r="F452" s="5">
        <f t="shared" si="84"/>
        <v>2732.9440000000004</v>
      </c>
      <c r="H452" s="6"/>
      <c r="I452" s="11">
        <v>45136</v>
      </c>
      <c r="J452" s="9">
        <v>618.04600000000005</v>
      </c>
      <c r="K452" s="9">
        <v>1067.002</v>
      </c>
      <c r="O452" s="11">
        <v>45535</v>
      </c>
      <c r="P452" s="9">
        <v>5353</v>
      </c>
      <c r="Q452" s="9">
        <v>4737.6000000000004</v>
      </c>
      <c r="R452" s="9">
        <v>7345</v>
      </c>
      <c r="S452" s="9">
        <v>7870</v>
      </c>
      <c r="T452" s="31">
        <v>8895</v>
      </c>
      <c r="W452" s="16">
        <f t="shared" si="85"/>
        <v>45136</v>
      </c>
      <c r="X452" s="9">
        <f t="shared" si="86"/>
        <v>618.04600000000005</v>
      </c>
      <c r="Y452" s="9">
        <f t="shared" si="87"/>
        <v>1067.002</v>
      </c>
      <c r="AA452" s="16">
        <f t="shared" si="88"/>
        <v>45535</v>
      </c>
      <c r="AB452" s="21">
        <f t="shared" si="89"/>
        <v>5353</v>
      </c>
      <c r="AC452" s="21">
        <f t="shared" si="90"/>
        <v>4737.6000000000004</v>
      </c>
      <c r="AD452" s="21">
        <f t="shared" si="91"/>
        <v>7345</v>
      </c>
      <c r="AE452" s="21">
        <f t="shared" si="92"/>
        <v>7870</v>
      </c>
      <c r="AF452" s="21">
        <f t="shared" si="93"/>
        <v>8895</v>
      </c>
      <c r="AK452" s="16"/>
      <c r="AL452" s="17"/>
      <c r="AN452" s="16"/>
    </row>
    <row r="453" spans="2:40" x14ac:dyDescent="0.4">
      <c r="B453" s="6">
        <f t="shared" si="80"/>
        <v>45507</v>
      </c>
      <c r="C453" s="8">
        <f t="shared" si="81"/>
        <v>336.08400000000006</v>
      </c>
      <c r="D453" s="5">
        <f t="shared" si="82"/>
        <v>1237.9269999999999</v>
      </c>
      <c r="E453" s="5">
        <f t="shared" si="83"/>
        <v>1787.9269999999999</v>
      </c>
      <c r="F453" s="5">
        <f t="shared" si="84"/>
        <v>2737.9269999999997</v>
      </c>
      <c r="H453" s="6"/>
      <c r="I453" s="11">
        <v>45143</v>
      </c>
      <c r="J453" s="9">
        <v>653.41399999999999</v>
      </c>
      <c r="K453" s="9">
        <v>1073.6659999999999</v>
      </c>
      <c r="O453" s="11">
        <v>45542</v>
      </c>
      <c r="P453" s="9">
        <v>5023</v>
      </c>
      <c r="Q453" s="9">
        <v>4650.6000000000004</v>
      </c>
      <c r="R453" s="9">
        <v>7330</v>
      </c>
      <c r="S453" s="9">
        <v>7840</v>
      </c>
      <c r="T453" s="31">
        <v>8825</v>
      </c>
      <c r="W453" s="16">
        <f t="shared" si="85"/>
        <v>45143</v>
      </c>
      <c r="X453" s="9">
        <f t="shared" si="86"/>
        <v>653.41399999999999</v>
      </c>
      <c r="Y453" s="9">
        <f t="shared" si="87"/>
        <v>1073.6659999999999</v>
      </c>
      <c r="AA453" s="16">
        <f t="shared" si="88"/>
        <v>45542</v>
      </c>
      <c r="AB453" s="21">
        <f t="shared" si="89"/>
        <v>5023</v>
      </c>
      <c r="AC453" s="21">
        <f t="shared" si="90"/>
        <v>4650.6000000000004</v>
      </c>
      <c r="AD453" s="21">
        <f t="shared" si="91"/>
        <v>7330</v>
      </c>
      <c r="AE453" s="21">
        <f t="shared" si="92"/>
        <v>7840</v>
      </c>
      <c r="AF453" s="21">
        <f t="shared" si="93"/>
        <v>8825</v>
      </c>
      <c r="AK453" s="16"/>
      <c r="AL453" s="17"/>
      <c r="AN453" s="16"/>
    </row>
    <row r="454" spans="2:40" x14ac:dyDescent="0.4">
      <c r="B454" s="6">
        <f t="shared" ref="B454:B517" si="94">I506</f>
        <v>45514</v>
      </c>
      <c r="C454" s="8">
        <f t="shared" ref="C454:C517" si="95">Y506-X506</f>
        <v>321.05000000000007</v>
      </c>
      <c r="D454" s="5">
        <f t="shared" ref="D454:D517" si="96">IFERROR(VLOOKUP(B454,$AA:$AF,4,1)-0.855*VLOOKUP(B454,$AA:$AF,2,1)-0.335*VLOOKUP(B454,$AA:$AF,3,1),D453)</f>
        <v>1285.9539999999997</v>
      </c>
      <c r="E454" s="5">
        <f t="shared" ref="E454:E517" si="97">IFERROR(VLOOKUP(B454,$AA:$AF,5,1)-0.855*VLOOKUP(B454,$AA:$AF,2,1)-0.335*VLOOKUP(B454,$AA:$AF,3,1),E453)</f>
        <v>1830.9539999999997</v>
      </c>
      <c r="F454" s="5">
        <f t="shared" ref="F454:F517" si="98">IFERROR(VLOOKUP(B454,$AA:$AF,6,1)-0.855*VLOOKUP(B454,$AA:$AF,2,1)-0.335*VLOOKUP(B454,$AA:$AF,3,1),F453)</f>
        <v>2825.9539999999997</v>
      </c>
      <c r="H454" s="6"/>
      <c r="I454" s="11">
        <v>45150</v>
      </c>
      <c r="J454" s="9">
        <v>668.73249999999996</v>
      </c>
      <c r="K454" s="9">
        <v>1066.46</v>
      </c>
      <c r="O454" s="11">
        <v>45549</v>
      </c>
      <c r="P454" s="9">
        <v>4760.833333333333</v>
      </c>
      <c r="Q454" s="9">
        <v>4453.5</v>
      </c>
      <c r="R454" s="9">
        <v>7129.166666666667</v>
      </c>
      <c r="S454" s="9">
        <v>7633.333333333333</v>
      </c>
      <c r="T454" s="31">
        <v>8616.6666666666661</v>
      </c>
      <c r="W454" s="16">
        <f t="shared" ref="W454:W517" si="99">I454</f>
        <v>45150</v>
      </c>
      <c r="X454" s="9">
        <f t="shared" ref="X454:X517" si="100">IFERROR(IF(J454&lt;&gt;0,J454,X453),X453)</f>
        <v>668.73249999999996</v>
      </c>
      <c r="Y454" s="9">
        <f t="shared" ref="Y454:Y517" si="101">IFERROR(IF(K454&lt;&gt;0,K454,Y453),Y453)</f>
        <v>1066.46</v>
      </c>
      <c r="AA454" s="16">
        <f t="shared" ref="AA454:AA517" si="102">O454</f>
        <v>45549</v>
      </c>
      <c r="AB454" s="21">
        <f t="shared" ref="AB454:AB517" si="103">IFERROR(IF(P454&lt;&gt;0,P454,AB453),AB453)</f>
        <v>4760.833333333333</v>
      </c>
      <c r="AC454" s="21">
        <f t="shared" ref="AC454:AC517" si="104">IFERROR(IF(Q454&lt;&gt;0,Q454,AC453),AC453)</f>
        <v>4453.5</v>
      </c>
      <c r="AD454" s="21">
        <f t="shared" ref="AD454:AD517" si="105">IFERROR(IF(R454&lt;&gt;0,R454,AD453),AD453)</f>
        <v>7129.166666666667</v>
      </c>
      <c r="AE454" s="21">
        <f t="shared" ref="AE454:AE517" si="106">IFERROR(IF(S454&lt;&gt;0,S454,AE453),AE453)</f>
        <v>7633.333333333333</v>
      </c>
      <c r="AF454" s="21">
        <f t="shared" ref="AF454:AF517" si="107">IFERROR(IF(T454&lt;&gt;0,T454,AF453),AF453)</f>
        <v>8616.6666666666661</v>
      </c>
      <c r="AK454" s="16"/>
      <c r="AL454" s="17"/>
      <c r="AN454" s="16"/>
    </row>
    <row r="455" spans="2:40" x14ac:dyDescent="0.4">
      <c r="B455" s="6">
        <f t="shared" si="94"/>
        <v>45521</v>
      </c>
      <c r="C455" s="8">
        <f t="shared" si="95"/>
        <v>288.16600000000005</v>
      </c>
      <c r="D455" s="5">
        <f t="shared" si="96"/>
        <v>1211.144</v>
      </c>
      <c r="E455" s="5">
        <f t="shared" si="97"/>
        <v>1731.144</v>
      </c>
      <c r="F455" s="5">
        <f t="shared" si="98"/>
        <v>2766.1440000000002</v>
      </c>
      <c r="H455" s="6"/>
      <c r="I455" s="11">
        <v>45157</v>
      </c>
      <c r="J455" s="9">
        <v>651.91600000000005</v>
      </c>
      <c r="K455" s="9">
        <v>1044.452</v>
      </c>
      <c r="O455" s="11">
        <v>45556</v>
      </c>
      <c r="P455" s="9">
        <v>4745</v>
      </c>
      <c r="Q455" s="9">
        <v>4431.666666666667</v>
      </c>
      <c r="R455" s="9">
        <v>7000</v>
      </c>
      <c r="S455" s="9">
        <v>7500</v>
      </c>
      <c r="T455" s="31">
        <v>8500</v>
      </c>
      <c r="W455" s="16">
        <f t="shared" si="99"/>
        <v>45157</v>
      </c>
      <c r="X455" s="9">
        <f t="shared" si="100"/>
        <v>651.91600000000005</v>
      </c>
      <c r="Y455" s="9">
        <f t="shared" si="101"/>
        <v>1044.452</v>
      </c>
      <c r="AA455" s="16">
        <f t="shared" si="102"/>
        <v>45556</v>
      </c>
      <c r="AB455" s="21">
        <f t="shared" si="103"/>
        <v>4745</v>
      </c>
      <c r="AC455" s="21">
        <f t="shared" si="104"/>
        <v>4431.666666666667</v>
      </c>
      <c r="AD455" s="21">
        <f t="shared" si="105"/>
        <v>7000</v>
      </c>
      <c r="AE455" s="21">
        <f t="shared" si="106"/>
        <v>7500</v>
      </c>
      <c r="AF455" s="21">
        <f t="shared" si="107"/>
        <v>8500</v>
      </c>
      <c r="AK455" s="16"/>
      <c r="AL455" s="17"/>
      <c r="AN455" s="16"/>
    </row>
    <row r="456" spans="2:40" x14ac:dyDescent="0.4">
      <c r="B456" s="6">
        <f t="shared" si="94"/>
        <v>45528</v>
      </c>
      <c r="C456" s="8">
        <f t="shared" si="95"/>
        <v>262.476</v>
      </c>
      <c r="D456" s="5">
        <f t="shared" si="96"/>
        <v>1351.3710000000001</v>
      </c>
      <c r="E456" s="5">
        <f t="shared" si="97"/>
        <v>1876.3710000000001</v>
      </c>
      <c r="F456" s="5">
        <f t="shared" si="98"/>
        <v>2901.3710000000001</v>
      </c>
      <c r="H456" s="6"/>
      <c r="I456" s="11">
        <v>45164</v>
      </c>
      <c r="J456" s="9">
        <v>662.54399999999998</v>
      </c>
      <c r="K456" s="9">
        <v>1059.27</v>
      </c>
      <c r="O456" s="11">
        <v>45563</v>
      </c>
      <c r="P456" s="9">
        <v>4847.6000000000004</v>
      </c>
      <c r="Q456" s="9">
        <v>4503.2</v>
      </c>
      <c r="R456" s="9">
        <v>6890</v>
      </c>
      <c r="S456" s="9">
        <v>7435</v>
      </c>
      <c r="T456" s="31">
        <v>8470</v>
      </c>
      <c r="W456" s="16">
        <f t="shared" si="99"/>
        <v>45164</v>
      </c>
      <c r="X456" s="9">
        <f t="shared" si="100"/>
        <v>662.54399999999998</v>
      </c>
      <c r="Y456" s="9">
        <f t="shared" si="101"/>
        <v>1059.27</v>
      </c>
      <c r="AA456" s="16">
        <f t="shared" si="102"/>
        <v>45563</v>
      </c>
      <c r="AB456" s="21">
        <f t="shared" si="103"/>
        <v>4847.6000000000004</v>
      </c>
      <c r="AC456" s="21">
        <f t="shared" si="104"/>
        <v>4503.2</v>
      </c>
      <c r="AD456" s="21">
        <f t="shared" si="105"/>
        <v>6890</v>
      </c>
      <c r="AE456" s="21">
        <f t="shared" si="106"/>
        <v>7435</v>
      </c>
      <c r="AF456" s="21">
        <f t="shared" si="107"/>
        <v>8470</v>
      </c>
      <c r="AK456" s="16"/>
      <c r="AL456" s="17"/>
      <c r="AN456" s="16"/>
    </row>
    <row r="457" spans="2:40" x14ac:dyDescent="0.4">
      <c r="B457" s="6">
        <f t="shared" si="94"/>
        <v>45535</v>
      </c>
      <c r="C457" s="8">
        <f t="shared" si="95"/>
        <v>253.13</v>
      </c>
      <c r="D457" s="5">
        <f t="shared" si="96"/>
        <v>1181.0890000000002</v>
      </c>
      <c r="E457" s="5">
        <f t="shared" si="97"/>
        <v>1706.0890000000002</v>
      </c>
      <c r="F457" s="5">
        <f t="shared" si="98"/>
        <v>2731.0889999999999</v>
      </c>
      <c r="H457" s="6"/>
      <c r="I457" s="11">
        <v>45171</v>
      </c>
      <c r="J457" s="9">
        <v>668.33749999999998</v>
      </c>
      <c r="K457" s="9">
        <v>1082.5025000000001</v>
      </c>
      <c r="O457" s="11">
        <v>45570</v>
      </c>
      <c r="P457" s="9">
        <v>4975</v>
      </c>
      <c r="Q457" s="9">
        <v>4661</v>
      </c>
      <c r="R457" s="9">
        <v>6912.5</v>
      </c>
      <c r="S457" s="9">
        <v>7462.5</v>
      </c>
      <c r="T457" s="31">
        <v>8475</v>
      </c>
      <c r="W457" s="16">
        <f t="shared" si="99"/>
        <v>45171</v>
      </c>
      <c r="X457" s="9">
        <f t="shared" si="100"/>
        <v>668.33749999999998</v>
      </c>
      <c r="Y457" s="9">
        <f t="shared" si="101"/>
        <v>1082.5025000000001</v>
      </c>
      <c r="AA457" s="16">
        <f t="shared" si="102"/>
        <v>45570</v>
      </c>
      <c r="AB457" s="21">
        <f t="shared" si="103"/>
        <v>4975</v>
      </c>
      <c r="AC457" s="21">
        <f t="shared" si="104"/>
        <v>4661</v>
      </c>
      <c r="AD457" s="21">
        <f t="shared" si="105"/>
        <v>6912.5</v>
      </c>
      <c r="AE457" s="21">
        <f t="shared" si="106"/>
        <v>7462.5</v>
      </c>
      <c r="AF457" s="21">
        <f t="shared" si="107"/>
        <v>8475</v>
      </c>
      <c r="AK457" s="16"/>
      <c r="AL457" s="17"/>
      <c r="AN457" s="16"/>
    </row>
    <row r="458" spans="2:40" x14ac:dyDescent="0.4">
      <c r="B458" s="6">
        <f t="shared" si="94"/>
        <v>45542</v>
      </c>
      <c r="C458" s="8">
        <f t="shared" si="95"/>
        <v>224.33399999999995</v>
      </c>
      <c r="D458" s="5">
        <f t="shared" si="96"/>
        <v>1477.3839999999998</v>
      </c>
      <c r="E458" s="5">
        <f t="shared" si="97"/>
        <v>1987.3839999999998</v>
      </c>
      <c r="F458" s="5">
        <f t="shared" si="98"/>
        <v>2972.384</v>
      </c>
      <c r="H458" s="6"/>
      <c r="I458" s="11">
        <v>45178</v>
      </c>
      <c r="J458" s="9">
        <v>680.404</v>
      </c>
      <c r="K458" s="9">
        <v>1102.2339999999999</v>
      </c>
      <c r="O458" s="11">
        <v>45577</v>
      </c>
      <c r="P458" s="9">
        <v>5212</v>
      </c>
      <c r="Q458" s="9">
        <v>4848</v>
      </c>
      <c r="R458" s="9">
        <v>7450</v>
      </c>
      <c r="S458" s="9">
        <v>7875</v>
      </c>
      <c r="T458" s="31">
        <v>8850</v>
      </c>
      <c r="W458" s="16">
        <f t="shared" si="99"/>
        <v>45178</v>
      </c>
      <c r="X458" s="9">
        <f t="shared" si="100"/>
        <v>680.404</v>
      </c>
      <c r="Y458" s="9">
        <f t="shared" si="101"/>
        <v>1102.2339999999999</v>
      </c>
      <c r="AA458" s="16">
        <f t="shared" si="102"/>
        <v>45577</v>
      </c>
      <c r="AB458" s="21">
        <f t="shared" si="103"/>
        <v>5212</v>
      </c>
      <c r="AC458" s="21">
        <f t="shared" si="104"/>
        <v>4848</v>
      </c>
      <c r="AD458" s="21">
        <f t="shared" si="105"/>
        <v>7450</v>
      </c>
      <c r="AE458" s="21">
        <f t="shared" si="106"/>
        <v>7875</v>
      </c>
      <c r="AF458" s="21">
        <f t="shared" si="107"/>
        <v>8850</v>
      </c>
      <c r="AK458" s="16"/>
      <c r="AL458" s="17"/>
      <c r="AN458" s="16"/>
    </row>
    <row r="459" spans="2:40" x14ac:dyDescent="0.4">
      <c r="B459" s="6">
        <f t="shared" si="94"/>
        <v>45549</v>
      </c>
      <c r="C459" s="8">
        <f t="shared" si="95"/>
        <v>196.24799999999993</v>
      </c>
      <c r="D459" s="5">
        <f t="shared" si="96"/>
        <v>1566.731666666667</v>
      </c>
      <c r="E459" s="5">
        <f t="shared" si="97"/>
        <v>2070.8983333333331</v>
      </c>
      <c r="F459" s="5">
        <f t="shared" si="98"/>
        <v>3054.2316666666661</v>
      </c>
      <c r="H459" s="6"/>
      <c r="I459" s="11">
        <v>45185</v>
      </c>
      <c r="J459" s="9">
        <v>711.05600000000004</v>
      </c>
      <c r="K459" s="9">
        <v>1139.066</v>
      </c>
      <c r="O459" s="11">
        <v>45584</v>
      </c>
      <c r="P459" s="9">
        <v>4987</v>
      </c>
      <c r="Q459" s="9">
        <v>4732.8</v>
      </c>
      <c r="R459" s="9">
        <v>7320</v>
      </c>
      <c r="S459" s="9">
        <v>7830</v>
      </c>
      <c r="T459" s="31">
        <v>8815</v>
      </c>
      <c r="W459" s="16">
        <f t="shared" si="99"/>
        <v>45185</v>
      </c>
      <c r="X459" s="9">
        <f t="shared" si="100"/>
        <v>711.05600000000004</v>
      </c>
      <c r="Y459" s="9">
        <f t="shared" si="101"/>
        <v>1139.066</v>
      </c>
      <c r="AA459" s="16">
        <f t="shared" si="102"/>
        <v>45584</v>
      </c>
      <c r="AB459" s="21">
        <f t="shared" si="103"/>
        <v>4987</v>
      </c>
      <c r="AC459" s="21">
        <f t="shared" si="104"/>
        <v>4732.8</v>
      </c>
      <c r="AD459" s="21">
        <f t="shared" si="105"/>
        <v>7320</v>
      </c>
      <c r="AE459" s="21">
        <f t="shared" si="106"/>
        <v>7830</v>
      </c>
      <c r="AF459" s="21">
        <f t="shared" si="107"/>
        <v>8815</v>
      </c>
      <c r="AK459" s="16"/>
      <c r="AL459" s="17"/>
      <c r="AN459" s="16"/>
    </row>
    <row r="460" spans="2:40" x14ac:dyDescent="0.4">
      <c r="B460" s="6">
        <f t="shared" si="94"/>
        <v>45556</v>
      </c>
      <c r="C460" s="8">
        <f t="shared" si="95"/>
        <v>180.0379999999999</v>
      </c>
      <c r="D460" s="5">
        <f t="shared" si="96"/>
        <v>1458.4166666666665</v>
      </c>
      <c r="E460" s="5">
        <f t="shared" si="97"/>
        <v>1958.4166666666665</v>
      </c>
      <c r="F460" s="5">
        <f t="shared" si="98"/>
        <v>2958.4166666666661</v>
      </c>
      <c r="H460" s="6"/>
      <c r="I460" s="11">
        <v>45192</v>
      </c>
      <c r="J460" s="9">
        <v>713.16</v>
      </c>
      <c r="K460" s="9">
        <v>1138.5360000000001</v>
      </c>
      <c r="O460" s="11">
        <v>45591</v>
      </c>
      <c r="P460" s="9">
        <v>4925</v>
      </c>
      <c r="Q460" s="9">
        <v>4636.3999999999996</v>
      </c>
      <c r="R460" s="9">
        <v>7150</v>
      </c>
      <c r="S460" s="9">
        <v>7700</v>
      </c>
      <c r="T460" s="31">
        <v>8725</v>
      </c>
      <c r="W460" s="16">
        <f t="shared" si="99"/>
        <v>45192</v>
      </c>
      <c r="X460" s="9">
        <f t="shared" si="100"/>
        <v>713.16</v>
      </c>
      <c r="Y460" s="9">
        <f t="shared" si="101"/>
        <v>1138.5360000000001</v>
      </c>
      <c r="AA460" s="16">
        <f t="shared" si="102"/>
        <v>45591</v>
      </c>
      <c r="AB460" s="21">
        <f t="shared" si="103"/>
        <v>4925</v>
      </c>
      <c r="AC460" s="21">
        <f t="shared" si="104"/>
        <v>4636.3999999999996</v>
      </c>
      <c r="AD460" s="21">
        <f t="shared" si="105"/>
        <v>7150</v>
      </c>
      <c r="AE460" s="21">
        <f t="shared" si="106"/>
        <v>7700</v>
      </c>
      <c r="AF460" s="21">
        <f t="shared" si="107"/>
        <v>8725</v>
      </c>
      <c r="AK460" s="16"/>
      <c r="AL460" s="17"/>
      <c r="AN460" s="16"/>
    </row>
    <row r="461" spans="2:40" x14ac:dyDescent="0.4">
      <c r="B461" s="6">
        <f t="shared" si="94"/>
        <v>45563</v>
      </c>
      <c r="C461" s="8">
        <f t="shared" si="95"/>
        <v>195.16800000000001</v>
      </c>
      <c r="D461" s="5">
        <f t="shared" si="96"/>
        <v>1236.7299999999996</v>
      </c>
      <c r="E461" s="5">
        <f t="shared" si="97"/>
        <v>1781.7299999999996</v>
      </c>
      <c r="F461" s="5">
        <f t="shared" si="98"/>
        <v>2816.7299999999996</v>
      </c>
      <c r="H461" s="6"/>
      <c r="I461" s="11">
        <v>45199</v>
      </c>
      <c r="J461" s="9">
        <v>709.49666666666667</v>
      </c>
      <c r="K461" s="9">
        <v>1118.598</v>
      </c>
      <c r="O461" s="11">
        <v>45598</v>
      </c>
      <c r="P461" s="9">
        <v>4827</v>
      </c>
      <c r="Q461" s="9">
        <v>4617.2</v>
      </c>
      <c r="R461" s="9">
        <v>7005</v>
      </c>
      <c r="S461" s="9">
        <v>7555</v>
      </c>
      <c r="T461" s="31">
        <v>8575</v>
      </c>
      <c r="W461" s="16">
        <f t="shared" si="99"/>
        <v>45199</v>
      </c>
      <c r="X461" s="9">
        <f t="shared" si="100"/>
        <v>709.49666666666667</v>
      </c>
      <c r="Y461" s="9">
        <f t="shared" si="101"/>
        <v>1118.598</v>
      </c>
      <c r="AA461" s="16">
        <f t="shared" si="102"/>
        <v>45598</v>
      </c>
      <c r="AB461" s="21">
        <f t="shared" si="103"/>
        <v>4827</v>
      </c>
      <c r="AC461" s="21">
        <f t="shared" si="104"/>
        <v>4617.2</v>
      </c>
      <c r="AD461" s="21">
        <f t="shared" si="105"/>
        <v>7005</v>
      </c>
      <c r="AE461" s="21">
        <f t="shared" si="106"/>
        <v>7555</v>
      </c>
      <c r="AF461" s="21">
        <f t="shared" si="107"/>
        <v>8575</v>
      </c>
      <c r="AK461" s="16"/>
      <c r="AL461" s="17"/>
      <c r="AN461" s="16"/>
    </row>
    <row r="462" spans="2:40" x14ac:dyDescent="0.4">
      <c r="B462" s="6">
        <f t="shared" si="94"/>
        <v>45570</v>
      </c>
      <c r="C462" s="8">
        <f t="shared" si="95"/>
        <v>231.24799999999993</v>
      </c>
      <c r="D462" s="5">
        <f t="shared" si="96"/>
        <v>1097.4399999999998</v>
      </c>
      <c r="E462" s="5">
        <f t="shared" si="97"/>
        <v>1647.4399999999998</v>
      </c>
      <c r="F462" s="5">
        <f t="shared" si="98"/>
        <v>2659.9399999999996</v>
      </c>
      <c r="H462" s="6"/>
      <c r="I462" s="11">
        <v>45206</v>
      </c>
      <c r="J462" s="9">
        <v>676.072</v>
      </c>
      <c r="K462" s="9">
        <v>1081.7660000000001</v>
      </c>
      <c r="O462" s="11">
        <v>45605</v>
      </c>
      <c r="P462" s="9">
        <v>4866</v>
      </c>
      <c r="Q462" s="9">
        <v>4669</v>
      </c>
      <c r="R462" s="9">
        <v>7005</v>
      </c>
      <c r="S462" s="9">
        <v>7552</v>
      </c>
      <c r="T462" s="31">
        <v>8570</v>
      </c>
      <c r="W462" s="16">
        <f t="shared" si="99"/>
        <v>45206</v>
      </c>
      <c r="X462" s="9">
        <f t="shared" si="100"/>
        <v>676.072</v>
      </c>
      <c r="Y462" s="9">
        <f t="shared" si="101"/>
        <v>1081.7660000000001</v>
      </c>
      <c r="AA462" s="16">
        <f t="shared" si="102"/>
        <v>45605</v>
      </c>
      <c r="AB462" s="21">
        <f t="shared" si="103"/>
        <v>4866</v>
      </c>
      <c r="AC462" s="21">
        <f t="shared" si="104"/>
        <v>4669</v>
      </c>
      <c r="AD462" s="21">
        <f t="shared" si="105"/>
        <v>7005</v>
      </c>
      <c r="AE462" s="21">
        <f t="shared" si="106"/>
        <v>7552</v>
      </c>
      <c r="AF462" s="21">
        <f t="shared" si="107"/>
        <v>8570</v>
      </c>
      <c r="AK462" s="16"/>
      <c r="AL462" s="17"/>
      <c r="AN462" s="16"/>
    </row>
    <row r="463" spans="2:40" x14ac:dyDescent="0.4">
      <c r="B463" s="6">
        <f t="shared" si="94"/>
        <v>45577</v>
      </c>
      <c r="C463" s="8">
        <f t="shared" si="95"/>
        <v>205.94200000000001</v>
      </c>
      <c r="D463" s="5">
        <f t="shared" si="96"/>
        <v>1369.6599999999996</v>
      </c>
      <c r="E463" s="5">
        <f t="shared" si="97"/>
        <v>1794.6599999999996</v>
      </c>
      <c r="F463" s="5">
        <f t="shared" si="98"/>
        <v>2769.66</v>
      </c>
      <c r="H463" s="6"/>
      <c r="I463" s="11">
        <v>45213</v>
      </c>
      <c r="J463" s="9">
        <v>660.84</v>
      </c>
      <c r="K463" s="9">
        <v>1047.336</v>
      </c>
      <c r="O463" s="11">
        <v>45612</v>
      </c>
      <c r="P463" s="9">
        <v>4796</v>
      </c>
      <c r="Q463" s="9">
        <v>4614.6000000000004</v>
      </c>
      <c r="R463" s="9">
        <v>6950</v>
      </c>
      <c r="S463" s="9">
        <v>7500</v>
      </c>
      <c r="T463" s="31">
        <v>8525</v>
      </c>
      <c r="W463" s="16">
        <f t="shared" si="99"/>
        <v>45213</v>
      </c>
      <c r="X463" s="9">
        <f t="shared" si="100"/>
        <v>660.84</v>
      </c>
      <c r="Y463" s="9">
        <f t="shared" si="101"/>
        <v>1047.336</v>
      </c>
      <c r="AA463" s="16">
        <f t="shared" si="102"/>
        <v>45612</v>
      </c>
      <c r="AB463" s="21">
        <f t="shared" si="103"/>
        <v>4796</v>
      </c>
      <c r="AC463" s="21">
        <f t="shared" si="104"/>
        <v>4614.6000000000004</v>
      </c>
      <c r="AD463" s="21">
        <f t="shared" si="105"/>
        <v>6950</v>
      </c>
      <c r="AE463" s="21">
        <f t="shared" si="106"/>
        <v>7500</v>
      </c>
      <c r="AF463" s="21">
        <f t="shared" si="107"/>
        <v>8525</v>
      </c>
      <c r="AK463" s="16"/>
      <c r="AL463" s="17"/>
      <c r="AN463" s="16"/>
    </row>
    <row r="464" spans="2:40" x14ac:dyDescent="0.4">
      <c r="B464" s="6">
        <f t="shared" si="94"/>
        <v>45584</v>
      </c>
      <c r="C464" s="8">
        <f t="shared" si="95"/>
        <v>184.22799999999995</v>
      </c>
      <c r="D464" s="5">
        <f t="shared" si="96"/>
        <v>1470.6269999999997</v>
      </c>
      <c r="E464" s="5">
        <f t="shared" si="97"/>
        <v>1980.6269999999997</v>
      </c>
      <c r="F464" s="5">
        <f t="shared" si="98"/>
        <v>2965.6269999999995</v>
      </c>
      <c r="H464" s="6"/>
      <c r="I464" s="11">
        <v>45220</v>
      </c>
      <c r="J464" s="9">
        <v>669.56600000000003</v>
      </c>
      <c r="K464" s="9">
        <v>1027.6679999999999</v>
      </c>
      <c r="O464" s="11">
        <v>45619</v>
      </c>
      <c r="P464" s="9">
        <v>4786.3999999999996</v>
      </c>
      <c r="Q464" s="9">
        <v>4623.8</v>
      </c>
      <c r="R464" s="9">
        <v>6865</v>
      </c>
      <c r="S464" s="9">
        <v>7405</v>
      </c>
      <c r="T464" s="31">
        <v>8400</v>
      </c>
      <c r="W464" s="16">
        <f t="shared" si="99"/>
        <v>45220</v>
      </c>
      <c r="X464" s="9">
        <f t="shared" si="100"/>
        <v>669.56600000000003</v>
      </c>
      <c r="Y464" s="9">
        <f t="shared" si="101"/>
        <v>1027.6679999999999</v>
      </c>
      <c r="AA464" s="16">
        <f t="shared" si="102"/>
        <v>45619</v>
      </c>
      <c r="AB464" s="21">
        <f t="shared" si="103"/>
        <v>4786.3999999999996</v>
      </c>
      <c r="AC464" s="21">
        <f t="shared" si="104"/>
        <v>4623.8</v>
      </c>
      <c r="AD464" s="21">
        <f t="shared" si="105"/>
        <v>6865</v>
      </c>
      <c r="AE464" s="21">
        <f t="shared" si="106"/>
        <v>7405</v>
      </c>
      <c r="AF464" s="21">
        <f t="shared" si="107"/>
        <v>8400</v>
      </c>
      <c r="AK464" s="16"/>
      <c r="AL464" s="17"/>
      <c r="AN464" s="16"/>
    </row>
    <row r="465" spans="2:40" x14ac:dyDescent="0.4">
      <c r="B465" s="6">
        <f t="shared" si="94"/>
        <v>45591</v>
      </c>
      <c r="C465" s="8">
        <f t="shared" si="95"/>
        <v>180.08600000000001</v>
      </c>
      <c r="D465" s="5">
        <f t="shared" si="96"/>
        <v>1385.931</v>
      </c>
      <c r="E465" s="5">
        <f t="shared" si="97"/>
        <v>1935.931</v>
      </c>
      <c r="F465" s="5">
        <f t="shared" si="98"/>
        <v>2960.931</v>
      </c>
      <c r="H465" s="6"/>
      <c r="I465" s="11">
        <v>45227</v>
      </c>
      <c r="J465" s="9">
        <v>662.86800000000005</v>
      </c>
      <c r="K465" s="9">
        <v>1015.4</v>
      </c>
      <c r="O465" s="11">
        <v>45626</v>
      </c>
      <c r="P465" s="9">
        <v>4736</v>
      </c>
      <c r="Q465" s="9">
        <v>4642.2</v>
      </c>
      <c r="R465" s="9">
        <v>6725</v>
      </c>
      <c r="S465" s="9">
        <v>7330</v>
      </c>
      <c r="T465" s="31">
        <v>8300</v>
      </c>
      <c r="W465" s="16">
        <f t="shared" si="99"/>
        <v>45227</v>
      </c>
      <c r="X465" s="9">
        <f t="shared" si="100"/>
        <v>662.86800000000005</v>
      </c>
      <c r="Y465" s="9">
        <f t="shared" si="101"/>
        <v>1015.4</v>
      </c>
      <c r="AA465" s="16">
        <f t="shared" si="102"/>
        <v>45626</v>
      </c>
      <c r="AB465" s="21">
        <f t="shared" si="103"/>
        <v>4736</v>
      </c>
      <c r="AC465" s="21">
        <f t="shared" si="104"/>
        <v>4642.2</v>
      </c>
      <c r="AD465" s="21">
        <f t="shared" si="105"/>
        <v>6725</v>
      </c>
      <c r="AE465" s="21">
        <f t="shared" si="106"/>
        <v>7330</v>
      </c>
      <c r="AF465" s="21">
        <f t="shared" si="107"/>
        <v>8300</v>
      </c>
      <c r="AK465" s="16"/>
      <c r="AL465" s="17"/>
      <c r="AN465" s="16"/>
    </row>
    <row r="466" spans="2:40" x14ac:dyDescent="0.4">
      <c r="B466" s="6">
        <f t="shared" si="94"/>
        <v>45598</v>
      </c>
      <c r="C466" s="8">
        <f t="shared" si="95"/>
        <v>174.21250000000009</v>
      </c>
      <c r="D466" s="5">
        <f t="shared" si="96"/>
        <v>1331.153</v>
      </c>
      <c r="E466" s="5">
        <f t="shared" si="97"/>
        <v>1881.153</v>
      </c>
      <c r="F466" s="5">
        <f t="shared" si="98"/>
        <v>2901.1530000000002</v>
      </c>
      <c r="H466" s="6"/>
      <c r="I466" s="11">
        <v>45234</v>
      </c>
      <c r="J466" s="9">
        <v>644.05799999999999</v>
      </c>
      <c r="K466" s="9">
        <v>1024.1980000000001</v>
      </c>
      <c r="O466" s="11">
        <v>45633</v>
      </c>
      <c r="P466" s="9">
        <v>4716.6000000000004</v>
      </c>
      <c r="Q466" s="9">
        <v>4714</v>
      </c>
      <c r="R466" s="9">
        <v>6670</v>
      </c>
      <c r="S466" s="9">
        <v>7295</v>
      </c>
      <c r="T466" s="31">
        <v>8225</v>
      </c>
      <c r="W466" s="16">
        <f t="shared" si="99"/>
        <v>45234</v>
      </c>
      <c r="X466" s="9">
        <f t="shared" si="100"/>
        <v>644.05799999999999</v>
      </c>
      <c r="Y466" s="9">
        <f t="shared" si="101"/>
        <v>1024.1980000000001</v>
      </c>
      <c r="AA466" s="16">
        <f t="shared" si="102"/>
        <v>45633</v>
      </c>
      <c r="AB466" s="21">
        <f t="shared" si="103"/>
        <v>4716.6000000000004</v>
      </c>
      <c r="AC466" s="21">
        <f t="shared" si="104"/>
        <v>4714</v>
      </c>
      <c r="AD466" s="21">
        <f t="shared" si="105"/>
        <v>6670</v>
      </c>
      <c r="AE466" s="21">
        <f t="shared" si="106"/>
        <v>7295</v>
      </c>
      <c r="AF466" s="21">
        <f t="shared" si="107"/>
        <v>8225</v>
      </c>
      <c r="AK466" s="16"/>
      <c r="AL466" s="17"/>
      <c r="AN466" s="16"/>
    </row>
    <row r="467" spans="2:40" x14ac:dyDescent="0.4">
      <c r="B467" s="6">
        <f t="shared" si="94"/>
        <v>45605</v>
      </c>
      <c r="C467" s="8">
        <f t="shared" si="95"/>
        <v>163.87200000000007</v>
      </c>
      <c r="D467" s="5">
        <f t="shared" si="96"/>
        <v>1280.4549999999997</v>
      </c>
      <c r="E467" s="5">
        <f t="shared" si="97"/>
        <v>1827.4549999999997</v>
      </c>
      <c r="F467" s="5">
        <f t="shared" si="98"/>
        <v>2845.4549999999999</v>
      </c>
      <c r="H467" s="6"/>
      <c r="I467" s="11">
        <v>45241</v>
      </c>
      <c r="J467" s="9">
        <v>629.84400000000005</v>
      </c>
      <c r="K467" s="9">
        <v>1006.7</v>
      </c>
      <c r="O467" s="11">
        <v>45640</v>
      </c>
      <c r="P467" s="9">
        <v>4695.8</v>
      </c>
      <c r="Q467" s="9">
        <v>4759.8</v>
      </c>
      <c r="R467" s="9">
        <v>6720</v>
      </c>
      <c r="S467" s="9">
        <v>7305</v>
      </c>
      <c r="T467" s="31">
        <v>8135</v>
      </c>
      <c r="W467" s="16">
        <f t="shared" si="99"/>
        <v>45241</v>
      </c>
      <c r="X467" s="9">
        <f t="shared" si="100"/>
        <v>629.84400000000005</v>
      </c>
      <c r="Y467" s="9">
        <f t="shared" si="101"/>
        <v>1006.7</v>
      </c>
      <c r="AA467" s="16">
        <f t="shared" si="102"/>
        <v>45640</v>
      </c>
      <c r="AB467" s="21">
        <f t="shared" si="103"/>
        <v>4695.8</v>
      </c>
      <c r="AC467" s="21">
        <f t="shared" si="104"/>
        <v>4759.8</v>
      </c>
      <c r="AD467" s="21">
        <f t="shared" si="105"/>
        <v>6720</v>
      </c>
      <c r="AE467" s="21">
        <f t="shared" si="106"/>
        <v>7305</v>
      </c>
      <c r="AF467" s="21">
        <f t="shared" si="107"/>
        <v>8135</v>
      </c>
      <c r="AK467" s="16"/>
      <c r="AL467" s="17"/>
      <c r="AN467" s="16"/>
    </row>
    <row r="468" spans="2:40" x14ac:dyDescent="0.4">
      <c r="B468" s="6">
        <f t="shared" si="94"/>
        <v>45612</v>
      </c>
      <c r="C468" s="8">
        <f t="shared" si="95"/>
        <v>179.40800000000002</v>
      </c>
      <c r="D468" s="5">
        <f t="shared" si="96"/>
        <v>1303.5289999999998</v>
      </c>
      <c r="E468" s="5">
        <f t="shared" si="97"/>
        <v>1853.5289999999998</v>
      </c>
      <c r="F468" s="5">
        <f t="shared" si="98"/>
        <v>2878.5289999999995</v>
      </c>
      <c r="H468" s="6"/>
      <c r="I468" s="11">
        <v>45248</v>
      </c>
      <c r="J468" s="9">
        <v>639.9</v>
      </c>
      <c r="K468" s="9">
        <v>1017.3325</v>
      </c>
      <c r="O468" s="11">
        <v>45647</v>
      </c>
      <c r="P468" s="9">
        <v>4831.6000000000004</v>
      </c>
      <c r="Q468" s="9">
        <v>4751.3999999999996</v>
      </c>
      <c r="R468" s="9">
        <v>6875</v>
      </c>
      <c r="S468" s="9">
        <v>7395</v>
      </c>
      <c r="T468" s="31">
        <v>8225</v>
      </c>
      <c r="W468" s="16">
        <f t="shared" si="99"/>
        <v>45248</v>
      </c>
      <c r="X468" s="9">
        <f t="shared" si="100"/>
        <v>639.9</v>
      </c>
      <c r="Y468" s="9">
        <f t="shared" si="101"/>
        <v>1017.3325</v>
      </c>
      <c r="AA468" s="16">
        <f t="shared" si="102"/>
        <v>45647</v>
      </c>
      <c r="AB468" s="21">
        <f t="shared" si="103"/>
        <v>4831.6000000000004</v>
      </c>
      <c r="AC468" s="21">
        <f t="shared" si="104"/>
        <v>4751.3999999999996</v>
      </c>
      <c r="AD468" s="21">
        <f t="shared" si="105"/>
        <v>6875</v>
      </c>
      <c r="AE468" s="21">
        <f t="shared" si="106"/>
        <v>7395</v>
      </c>
      <c r="AF468" s="21">
        <f t="shared" si="107"/>
        <v>8225</v>
      </c>
      <c r="AK468" s="16"/>
      <c r="AL468" s="17"/>
      <c r="AN468" s="16"/>
    </row>
    <row r="469" spans="2:40" x14ac:dyDescent="0.4">
      <c r="B469" s="6">
        <f t="shared" si="94"/>
        <v>45619</v>
      </c>
      <c r="C469" s="8">
        <f t="shared" si="95"/>
        <v>184.21199999999999</v>
      </c>
      <c r="D469" s="5">
        <f t="shared" si="96"/>
        <v>1223.6550000000004</v>
      </c>
      <c r="E469" s="5">
        <f t="shared" si="97"/>
        <v>1763.6550000000004</v>
      </c>
      <c r="F469" s="5">
        <f t="shared" si="98"/>
        <v>2758.6550000000007</v>
      </c>
      <c r="H469" s="6"/>
      <c r="I469" s="11">
        <v>45255</v>
      </c>
      <c r="J469" s="9">
        <v>649.64200000000005</v>
      </c>
      <c r="K469" s="9">
        <v>1011.3339999999999</v>
      </c>
      <c r="O469" s="11">
        <v>45654</v>
      </c>
      <c r="P469" s="9">
        <v>4788</v>
      </c>
      <c r="Q469" s="9">
        <v>4761.2</v>
      </c>
      <c r="R469" s="9">
        <v>6925</v>
      </c>
      <c r="S469" s="9">
        <v>7425</v>
      </c>
      <c r="T469" s="31">
        <v>8225</v>
      </c>
      <c r="W469" s="16">
        <f t="shared" si="99"/>
        <v>45255</v>
      </c>
      <c r="X469" s="9">
        <f t="shared" si="100"/>
        <v>649.64200000000005</v>
      </c>
      <c r="Y469" s="9">
        <f t="shared" si="101"/>
        <v>1011.3339999999999</v>
      </c>
      <c r="AA469" s="16">
        <f t="shared" si="102"/>
        <v>45654</v>
      </c>
      <c r="AB469" s="21">
        <f t="shared" si="103"/>
        <v>4788</v>
      </c>
      <c r="AC469" s="21">
        <f t="shared" si="104"/>
        <v>4761.2</v>
      </c>
      <c r="AD469" s="21">
        <f t="shared" si="105"/>
        <v>6925</v>
      </c>
      <c r="AE469" s="21">
        <f t="shared" si="106"/>
        <v>7425</v>
      </c>
      <c r="AF469" s="21">
        <f t="shared" si="107"/>
        <v>8225</v>
      </c>
      <c r="AK469" s="16"/>
      <c r="AL469" s="17"/>
      <c r="AN469" s="16"/>
    </row>
    <row r="470" spans="2:40" x14ac:dyDescent="0.4">
      <c r="B470" s="6">
        <f t="shared" si="94"/>
        <v>45626</v>
      </c>
      <c r="C470" s="8">
        <f t="shared" si="95"/>
        <v>178.47799999999995</v>
      </c>
      <c r="D470" s="5">
        <f t="shared" si="96"/>
        <v>1120.5830000000003</v>
      </c>
      <c r="E470" s="5">
        <f t="shared" si="97"/>
        <v>1725.5830000000003</v>
      </c>
      <c r="F470" s="5">
        <f t="shared" si="98"/>
        <v>2695.5830000000005</v>
      </c>
      <c r="H470" s="6"/>
      <c r="I470" s="11">
        <v>45262</v>
      </c>
      <c r="J470" s="9">
        <v>666.31600000000003</v>
      </c>
      <c r="K470" s="9">
        <v>993.8</v>
      </c>
      <c r="O470" s="11">
        <v>45661</v>
      </c>
      <c r="P470" s="9">
        <v>4801</v>
      </c>
      <c r="Q470" s="9">
        <v>4833</v>
      </c>
      <c r="R470" s="9">
        <v>7031.25</v>
      </c>
      <c r="S470" s="9">
        <v>7493.75</v>
      </c>
      <c r="T470" s="31">
        <v>8262.5</v>
      </c>
      <c r="W470" s="16">
        <f t="shared" si="99"/>
        <v>45262</v>
      </c>
      <c r="X470" s="9">
        <f t="shared" si="100"/>
        <v>666.31600000000003</v>
      </c>
      <c r="Y470" s="9">
        <f t="shared" si="101"/>
        <v>993.8</v>
      </c>
      <c r="AA470" s="16">
        <f t="shared" si="102"/>
        <v>45661</v>
      </c>
      <c r="AB470" s="21">
        <f t="shared" si="103"/>
        <v>4801</v>
      </c>
      <c r="AC470" s="21">
        <f t="shared" si="104"/>
        <v>4833</v>
      </c>
      <c r="AD470" s="21">
        <f t="shared" si="105"/>
        <v>7031.25</v>
      </c>
      <c r="AE470" s="21">
        <f t="shared" si="106"/>
        <v>7493.75</v>
      </c>
      <c r="AF470" s="21">
        <f t="shared" si="107"/>
        <v>8262.5</v>
      </c>
      <c r="AK470" s="16"/>
      <c r="AL470" s="17"/>
      <c r="AN470" s="16"/>
    </row>
    <row r="471" spans="2:40" x14ac:dyDescent="0.4">
      <c r="B471" s="6">
        <f t="shared" si="94"/>
        <v>45633</v>
      </c>
      <c r="C471" s="8">
        <f t="shared" si="95"/>
        <v>186.30400000000009</v>
      </c>
      <c r="D471" s="5">
        <f t="shared" si="96"/>
        <v>1058.1169999999997</v>
      </c>
      <c r="E471" s="5">
        <f t="shared" si="97"/>
        <v>1683.1169999999997</v>
      </c>
      <c r="F471" s="5">
        <f t="shared" si="98"/>
        <v>2613.1169999999997</v>
      </c>
      <c r="H471" s="6"/>
      <c r="I471" s="11">
        <v>45269</v>
      </c>
      <c r="J471" s="9">
        <v>659.62400000000002</v>
      </c>
      <c r="K471" s="9">
        <v>973.68799999999999</v>
      </c>
      <c r="O471" s="11">
        <v>45668</v>
      </c>
      <c r="P471" s="9">
        <v>4879.6000000000004</v>
      </c>
      <c r="Q471" s="9">
        <v>4730.8</v>
      </c>
      <c r="R471" s="9">
        <v>7110</v>
      </c>
      <c r="S471" s="9">
        <v>7560</v>
      </c>
      <c r="T471" s="31">
        <v>8320</v>
      </c>
      <c r="W471" s="16">
        <f t="shared" si="99"/>
        <v>45269</v>
      </c>
      <c r="X471" s="9">
        <f t="shared" si="100"/>
        <v>659.62400000000002</v>
      </c>
      <c r="Y471" s="9">
        <f t="shared" si="101"/>
        <v>973.68799999999999</v>
      </c>
      <c r="AA471" s="16">
        <f t="shared" si="102"/>
        <v>45668</v>
      </c>
      <c r="AB471" s="21">
        <f t="shared" si="103"/>
        <v>4879.6000000000004</v>
      </c>
      <c r="AC471" s="21">
        <f t="shared" si="104"/>
        <v>4730.8</v>
      </c>
      <c r="AD471" s="21">
        <f t="shared" si="105"/>
        <v>7110</v>
      </c>
      <c r="AE471" s="21">
        <f t="shared" si="106"/>
        <v>7560</v>
      </c>
      <c r="AF471" s="21">
        <f t="shared" si="107"/>
        <v>8320</v>
      </c>
      <c r="AK471" s="16"/>
      <c r="AL471" s="17"/>
      <c r="AN471" s="16"/>
    </row>
    <row r="472" spans="2:40" x14ac:dyDescent="0.4">
      <c r="B472" s="6">
        <f t="shared" si="94"/>
        <v>45640</v>
      </c>
      <c r="C472" s="8">
        <f t="shared" si="95"/>
        <v>176.09800000000007</v>
      </c>
      <c r="D472" s="5">
        <f t="shared" si="96"/>
        <v>1110.5579999999998</v>
      </c>
      <c r="E472" s="5">
        <f t="shared" si="97"/>
        <v>1695.5579999999998</v>
      </c>
      <c r="F472" s="5">
        <f t="shared" si="98"/>
        <v>2525.558</v>
      </c>
      <c r="H472" s="6"/>
      <c r="I472" s="11">
        <v>45276</v>
      </c>
      <c r="J472" s="9">
        <v>674.202</v>
      </c>
      <c r="K472" s="9">
        <v>973.37</v>
      </c>
      <c r="O472" s="11">
        <v>45675</v>
      </c>
      <c r="P472" s="9">
        <v>5107</v>
      </c>
      <c r="Q472" s="9">
        <v>4831.2</v>
      </c>
      <c r="R472" s="9">
        <v>7280</v>
      </c>
      <c r="S472" s="9">
        <v>7710</v>
      </c>
      <c r="T472" s="31">
        <v>8465</v>
      </c>
      <c r="W472" s="16">
        <f t="shared" si="99"/>
        <v>45276</v>
      </c>
      <c r="X472" s="9">
        <f t="shared" si="100"/>
        <v>674.202</v>
      </c>
      <c r="Y472" s="9">
        <f t="shared" si="101"/>
        <v>973.37</v>
      </c>
      <c r="AA472" s="16">
        <f t="shared" si="102"/>
        <v>45675</v>
      </c>
      <c r="AB472" s="21">
        <f t="shared" si="103"/>
        <v>5107</v>
      </c>
      <c r="AC472" s="21">
        <f t="shared" si="104"/>
        <v>4831.2</v>
      </c>
      <c r="AD472" s="21">
        <f t="shared" si="105"/>
        <v>7280</v>
      </c>
      <c r="AE472" s="21">
        <f t="shared" si="106"/>
        <v>7710</v>
      </c>
      <c r="AF472" s="21">
        <f t="shared" si="107"/>
        <v>8465</v>
      </c>
      <c r="AK472" s="16"/>
      <c r="AL472" s="17"/>
      <c r="AN472" s="16"/>
    </row>
    <row r="473" spans="2:40" x14ac:dyDescent="0.4">
      <c r="B473" s="6">
        <f t="shared" si="94"/>
        <v>45647</v>
      </c>
      <c r="C473" s="8">
        <f t="shared" si="95"/>
        <v>192.74</v>
      </c>
      <c r="D473" s="5">
        <f t="shared" si="96"/>
        <v>1152.2629999999999</v>
      </c>
      <c r="E473" s="5">
        <f t="shared" si="97"/>
        <v>1672.2629999999999</v>
      </c>
      <c r="F473" s="5">
        <f t="shared" si="98"/>
        <v>2502.2629999999999</v>
      </c>
      <c r="H473" s="6"/>
      <c r="I473" s="11">
        <v>45283</v>
      </c>
      <c r="J473" s="9">
        <v>705.31600000000003</v>
      </c>
      <c r="K473" s="9">
        <v>1007.234</v>
      </c>
      <c r="O473" s="11">
        <v>45682</v>
      </c>
      <c r="P473" s="9">
        <v>5057</v>
      </c>
      <c r="Q473" s="9">
        <v>4765.3999999999996</v>
      </c>
      <c r="R473" s="9">
        <v>7300</v>
      </c>
      <c r="S473" s="9">
        <v>7730</v>
      </c>
      <c r="T473" s="31">
        <v>8500</v>
      </c>
      <c r="W473" s="16">
        <f t="shared" si="99"/>
        <v>45283</v>
      </c>
      <c r="X473" s="9">
        <f t="shared" si="100"/>
        <v>705.31600000000003</v>
      </c>
      <c r="Y473" s="9">
        <f t="shared" si="101"/>
        <v>1007.234</v>
      </c>
      <c r="AA473" s="16">
        <f t="shared" si="102"/>
        <v>45682</v>
      </c>
      <c r="AB473" s="21">
        <f t="shared" si="103"/>
        <v>5057</v>
      </c>
      <c r="AC473" s="21">
        <f t="shared" si="104"/>
        <v>4765.3999999999996</v>
      </c>
      <c r="AD473" s="21">
        <f t="shared" si="105"/>
        <v>7300</v>
      </c>
      <c r="AE473" s="21">
        <f t="shared" si="106"/>
        <v>7730</v>
      </c>
      <c r="AF473" s="21">
        <f t="shared" si="107"/>
        <v>8500</v>
      </c>
      <c r="AK473" s="16"/>
      <c r="AL473" s="17"/>
      <c r="AN473" s="16"/>
    </row>
    <row r="474" spans="2:40" x14ac:dyDescent="0.4">
      <c r="B474" s="6">
        <f t="shared" si="94"/>
        <v>45654</v>
      </c>
      <c r="C474" s="8">
        <f t="shared" si="95"/>
        <v>178.42500000000007</v>
      </c>
      <c r="D474" s="5">
        <f t="shared" si="96"/>
        <v>1236.2580000000003</v>
      </c>
      <c r="E474" s="5">
        <f t="shared" si="97"/>
        <v>1736.2580000000003</v>
      </c>
      <c r="F474" s="5">
        <f t="shared" si="98"/>
        <v>2536.2580000000003</v>
      </c>
      <c r="H474" s="6"/>
      <c r="I474" s="11">
        <v>45290</v>
      </c>
      <c r="J474" s="9">
        <v>703.41499999999996</v>
      </c>
      <c r="K474" s="9">
        <v>1023.33</v>
      </c>
      <c r="O474" s="11">
        <v>45689</v>
      </c>
      <c r="P474" s="9">
        <v>4947.5</v>
      </c>
      <c r="Q474" s="9">
        <v>4739</v>
      </c>
      <c r="R474" s="9">
        <v>7300</v>
      </c>
      <c r="S474" s="9">
        <v>7725</v>
      </c>
      <c r="T474" s="31">
        <v>8500</v>
      </c>
      <c r="W474" s="16">
        <f t="shared" si="99"/>
        <v>45290</v>
      </c>
      <c r="X474" s="9">
        <f t="shared" si="100"/>
        <v>703.41499999999996</v>
      </c>
      <c r="Y474" s="9">
        <f t="shared" si="101"/>
        <v>1023.33</v>
      </c>
      <c r="AA474" s="16">
        <f t="shared" si="102"/>
        <v>45689</v>
      </c>
      <c r="AB474" s="21">
        <f t="shared" si="103"/>
        <v>4947.5</v>
      </c>
      <c r="AC474" s="21">
        <f t="shared" si="104"/>
        <v>4739</v>
      </c>
      <c r="AD474" s="21">
        <f t="shared" si="105"/>
        <v>7300</v>
      </c>
      <c r="AE474" s="21">
        <f t="shared" si="106"/>
        <v>7725</v>
      </c>
      <c r="AF474" s="21">
        <f t="shared" si="107"/>
        <v>8500</v>
      </c>
      <c r="AK474" s="16"/>
      <c r="AL474" s="17"/>
      <c r="AN474" s="16"/>
    </row>
    <row r="475" spans="2:40" x14ac:dyDescent="0.4">
      <c r="B475" s="6">
        <f t="shared" si="94"/>
        <v>45661</v>
      </c>
      <c r="C475" s="8">
        <f t="shared" si="95"/>
        <v>171.72249999999997</v>
      </c>
      <c r="D475" s="5">
        <f t="shared" si="96"/>
        <v>1307.3400000000004</v>
      </c>
      <c r="E475" s="5">
        <f t="shared" si="97"/>
        <v>1769.8400000000004</v>
      </c>
      <c r="F475" s="5">
        <f t="shared" si="98"/>
        <v>2538.59</v>
      </c>
      <c r="H475" s="6"/>
      <c r="I475" s="11">
        <v>45297</v>
      </c>
      <c r="J475" s="9">
        <v>669.59749999999997</v>
      </c>
      <c r="K475" s="9">
        <v>1020.4175</v>
      </c>
      <c r="O475" s="11">
        <v>45696</v>
      </c>
      <c r="P475" s="9">
        <v>4966.25</v>
      </c>
      <c r="Q475" s="9">
        <v>4713</v>
      </c>
      <c r="R475" s="9">
        <v>7300</v>
      </c>
      <c r="S475" s="9">
        <v>7725</v>
      </c>
      <c r="T475" s="31">
        <v>8500</v>
      </c>
      <c r="W475" s="16">
        <f t="shared" si="99"/>
        <v>45297</v>
      </c>
      <c r="X475" s="9">
        <f t="shared" si="100"/>
        <v>669.59749999999997</v>
      </c>
      <c r="Y475" s="9">
        <f t="shared" si="101"/>
        <v>1020.4175</v>
      </c>
      <c r="AA475" s="16">
        <f t="shared" si="102"/>
        <v>45696</v>
      </c>
      <c r="AB475" s="21">
        <f t="shared" si="103"/>
        <v>4966.25</v>
      </c>
      <c r="AC475" s="21">
        <f t="shared" si="104"/>
        <v>4713</v>
      </c>
      <c r="AD475" s="21">
        <f t="shared" si="105"/>
        <v>7300</v>
      </c>
      <c r="AE475" s="21">
        <f t="shared" si="106"/>
        <v>7725</v>
      </c>
      <c r="AF475" s="21">
        <f t="shared" si="107"/>
        <v>8500</v>
      </c>
      <c r="AK475" s="16"/>
      <c r="AL475" s="17"/>
      <c r="AN475" s="16"/>
    </row>
    <row r="476" spans="2:40" x14ac:dyDescent="0.4">
      <c r="B476" s="6">
        <f t="shared" si="94"/>
        <v>45668</v>
      </c>
      <c r="C476" s="8">
        <f t="shared" si="95"/>
        <v>174.82400000000007</v>
      </c>
      <c r="D476" s="5">
        <f t="shared" si="96"/>
        <v>1353.1239999999998</v>
      </c>
      <c r="E476" s="5">
        <f t="shared" si="97"/>
        <v>1803.1239999999998</v>
      </c>
      <c r="F476" s="5">
        <f t="shared" si="98"/>
        <v>2563.1239999999998</v>
      </c>
      <c r="H476" s="6"/>
      <c r="I476" s="11">
        <v>45304</v>
      </c>
      <c r="J476" s="9">
        <v>667.90599999999995</v>
      </c>
      <c r="K476" s="9">
        <v>1006.53</v>
      </c>
      <c r="O476" s="11">
        <v>45703</v>
      </c>
      <c r="P476" s="9">
        <v>5102</v>
      </c>
      <c r="Q476" s="9">
        <v>4748.2</v>
      </c>
      <c r="R476" s="9">
        <v>7320</v>
      </c>
      <c r="S476" s="9">
        <v>7745</v>
      </c>
      <c r="T476" s="31">
        <v>8500</v>
      </c>
      <c r="W476" s="16">
        <f t="shared" si="99"/>
        <v>45304</v>
      </c>
      <c r="X476" s="9">
        <f t="shared" si="100"/>
        <v>667.90599999999995</v>
      </c>
      <c r="Y476" s="9">
        <f t="shared" si="101"/>
        <v>1006.53</v>
      </c>
      <c r="AA476" s="16">
        <f t="shared" si="102"/>
        <v>45703</v>
      </c>
      <c r="AB476" s="21">
        <f t="shared" si="103"/>
        <v>5102</v>
      </c>
      <c r="AC476" s="21">
        <f t="shared" si="104"/>
        <v>4748.2</v>
      </c>
      <c r="AD476" s="21">
        <f t="shared" si="105"/>
        <v>7320</v>
      </c>
      <c r="AE476" s="21">
        <f t="shared" si="106"/>
        <v>7745</v>
      </c>
      <c r="AF476" s="21">
        <f t="shared" si="107"/>
        <v>8500</v>
      </c>
      <c r="AK476" s="16"/>
      <c r="AL476" s="17"/>
      <c r="AN476" s="16"/>
    </row>
    <row r="477" spans="2:40" x14ac:dyDescent="0.4">
      <c r="B477" s="6">
        <f t="shared" si="94"/>
        <v>45675</v>
      </c>
      <c r="C477" s="8">
        <f t="shared" si="95"/>
        <v>204.57799999999997</v>
      </c>
      <c r="D477" s="5">
        <f t="shared" si="96"/>
        <v>1295.0630000000003</v>
      </c>
      <c r="E477" s="5">
        <f t="shared" si="97"/>
        <v>1725.0630000000003</v>
      </c>
      <c r="F477" s="5">
        <f t="shared" si="98"/>
        <v>2480.0630000000001</v>
      </c>
      <c r="H477" s="6"/>
      <c r="I477" s="11">
        <v>45311</v>
      </c>
      <c r="J477" s="9">
        <v>685.85</v>
      </c>
      <c r="K477" s="9">
        <v>1026.366</v>
      </c>
      <c r="O477" s="11">
        <v>45710</v>
      </c>
      <c r="P477" s="9">
        <v>5082</v>
      </c>
      <c r="Q477" s="9">
        <v>4707.6000000000004</v>
      </c>
      <c r="R477" s="9">
        <v>7295</v>
      </c>
      <c r="S477" s="9">
        <v>7670</v>
      </c>
      <c r="T477" s="31">
        <v>8495</v>
      </c>
      <c r="W477" s="16">
        <f t="shared" si="99"/>
        <v>45311</v>
      </c>
      <c r="X477" s="9">
        <f t="shared" si="100"/>
        <v>685.85</v>
      </c>
      <c r="Y477" s="9">
        <f t="shared" si="101"/>
        <v>1026.366</v>
      </c>
      <c r="AA477" s="16">
        <f t="shared" si="102"/>
        <v>45710</v>
      </c>
      <c r="AB477" s="21">
        <f t="shared" si="103"/>
        <v>5082</v>
      </c>
      <c r="AC477" s="21">
        <f t="shared" si="104"/>
        <v>4707.6000000000004</v>
      </c>
      <c r="AD477" s="21">
        <f t="shared" si="105"/>
        <v>7295</v>
      </c>
      <c r="AE477" s="21">
        <f t="shared" si="106"/>
        <v>7670</v>
      </c>
      <c r="AF477" s="21">
        <f t="shared" si="107"/>
        <v>8495</v>
      </c>
      <c r="AK477" s="16"/>
      <c r="AL477" s="17"/>
      <c r="AN477" s="16"/>
    </row>
    <row r="478" spans="2:40" x14ac:dyDescent="0.4">
      <c r="B478" s="6">
        <f t="shared" si="94"/>
        <v>45682</v>
      </c>
      <c r="C478" s="8">
        <f t="shared" si="95"/>
        <v>202.43399999999997</v>
      </c>
      <c r="D478" s="5">
        <f t="shared" si="96"/>
        <v>1379.8560000000004</v>
      </c>
      <c r="E478" s="5">
        <f t="shared" si="97"/>
        <v>1809.8560000000004</v>
      </c>
      <c r="F478" s="5">
        <f t="shared" si="98"/>
        <v>2579.8560000000007</v>
      </c>
      <c r="H478" s="6"/>
      <c r="I478" s="11">
        <v>45318</v>
      </c>
      <c r="J478" s="9">
        <v>704.9</v>
      </c>
      <c r="K478" s="9">
        <v>1039.998</v>
      </c>
      <c r="O478" s="11">
        <v>45717</v>
      </c>
      <c r="P478" s="9">
        <v>4972</v>
      </c>
      <c r="Q478" s="9">
        <v>4654</v>
      </c>
      <c r="R478" s="9">
        <v>7235</v>
      </c>
      <c r="S478" s="9">
        <v>7570</v>
      </c>
      <c r="T478" s="31">
        <v>8445</v>
      </c>
      <c r="W478" s="16">
        <f t="shared" si="99"/>
        <v>45318</v>
      </c>
      <c r="X478" s="9">
        <f t="shared" si="100"/>
        <v>704.9</v>
      </c>
      <c r="Y478" s="9">
        <f t="shared" si="101"/>
        <v>1039.998</v>
      </c>
      <c r="AA478" s="16">
        <f t="shared" si="102"/>
        <v>45717</v>
      </c>
      <c r="AB478" s="21">
        <f t="shared" si="103"/>
        <v>4972</v>
      </c>
      <c r="AC478" s="21">
        <f t="shared" si="104"/>
        <v>4654</v>
      </c>
      <c r="AD478" s="21">
        <f t="shared" si="105"/>
        <v>7235</v>
      </c>
      <c r="AE478" s="21">
        <f t="shared" si="106"/>
        <v>7570</v>
      </c>
      <c r="AF478" s="21">
        <f t="shared" si="107"/>
        <v>8445</v>
      </c>
      <c r="AK478" s="16"/>
      <c r="AL478" s="17"/>
      <c r="AN478" s="16"/>
    </row>
    <row r="479" spans="2:40" x14ac:dyDescent="0.4">
      <c r="B479" s="6">
        <f t="shared" si="94"/>
        <v>45689</v>
      </c>
      <c r="C479" s="8">
        <f t="shared" si="95"/>
        <v>188.12199999999996</v>
      </c>
      <c r="D479" s="5">
        <f t="shared" si="96"/>
        <v>1482.3224999999998</v>
      </c>
      <c r="E479" s="5">
        <f t="shared" si="97"/>
        <v>1907.3224999999998</v>
      </c>
      <c r="F479" s="5">
        <f t="shared" si="98"/>
        <v>2682.3224999999998</v>
      </c>
      <c r="H479" s="6"/>
      <c r="I479" s="11">
        <v>45325</v>
      </c>
      <c r="J479" s="9">
        <v>711.56799999999998</v>
      </c>
      <c r="K479" s="9">
        <v>1027.3679999999999</v>
      </c>
      <c r="O479" s="11">
        <v>45724</v>
      </c>
      <c r="P479" s="9">
        <v>4875</v>
      </c>
      <c r="Q479" s="9">
        <v>4612.6000000000004</v>
      </c>
      <c r="R479" s="9">
        <v>7175</v>
      </c>
      <c r="S479" s="9">
        <v>7500</v>
      </c>
      <c r="T479" s="31">
        <v>8400</v>
      </c>
      <c r="W479" s="16">
        <f t="shared" si="99"/>
        <v>45325</v>
      </c>
      <c r="X479" s="9">
        <f t="shared" si="100"/>
        <v>711.56799999999998</v>
      </c>
      <c r="Y479" s="9">
        <f t="shared" si="101"/>
        <v>1027.3679999999999</v>
      </c>
      <c r="AA479" s="16">
        <f t="shared" si="102"/>
        <v>45724</v>
      </c>
      <c r="AB479" s="21">
        <f t="shared" si="103"/>
        <v>4875</v>
      </c>
      <c r="AC479" s="21">
        <f t="shared" si="104"/>
        <v>4612.6000000000004</v>
      </c>
      <c r="AD479" s="21">
        <f t="shared" si="105"/>
        <v>7175</v>
      </c>
      <c r="AE479" s="21">
        <f t="shared" si="106"/>
        <v>7500</v>
      </c>
      <c r="AF479" s="21">
        <f t="shared" si="107"/>
        <v>8400</v>
      </c>
      <c r="AK479" s="16"/>
      <c r="AL479" s="17"/>
      <c r="AN479" s="16"/>
    </row>
    <row r="480" spans="2:40" x14ac:dyDescent="0.4">
      <c r="B480" s="6">
        <f t="shared" si="94"/>
        <v>45696</v>
      </c>
      <c r="C480" s="8">
        <f t="shared" si="95"/>
        <v>204.08199999999999</v>
      </c>
      <c r="D480" s="5">
        <f t="shared" si="96"/>
        <v>1475.0012499999998</v>
      </c>
      <c r="E480" s="5">
        <f t="shared" si="97"/>
        <v>1900.0012499999998</v>
      </c>
      <c r="F480" s="5">
        <f t="shared" si="98"/>
        <v>2675.0012499999998</v>
      </c>
      <c r="H480" s="6"/>
      <c r="I480" s="11">
        <v>45332</v>
      </c>
      <c r="J480" s="9">
        <v>683.89400000000001</v>
      </c>
      <c r="K480" s="9">
        <v>1017.8</v>
      </c>
      <c r="O480" s="11">
        <v>45731</v>
      </c>
      <c r="P480" s="9">
        <v>4767</v>
      </c>
      <c r="Q480" s="9">
        <v>4503.3999999999996</v>
      </c>
      <c r="R480" s="9">
        <v>7030</v>
      </c>
      <c r="S480" s="9">
        <v>7375</v>
      </c>
      <c r="T480" s="31">
        <v>8350</v>
      </c>
      <c r="W480" s="16">
        <f t="shared" si="99"/>
        <v>45332</v>
      </c>
      <c r="X480" s="9">
        <f t="shared" si="100"/>
        <v>683.89400000000001</v>
      </c>
      <c r="Y480" s="9">
        <f t="shared" si="101"/>
        <v>1017.8</v>
      </c>
      <c r="AA480" s="16">
        <f t="shared" si="102"/>
        <v>45731</v>
      </c>
      <c r="AB480" s="21">
        <f t="shared" si="103"/>
        <v>4767</v>
      </c>
      <c r="AC480" s="21">
        <f t="shared" si="104"/>
        <v>4503.3999999999996</v>
      </c>
      <c r="AD480" s="21">
        <f t="shared" si="105"/>
        <v>7030</v>
      </c>
      <c r="AE480" s="21">
        <f t="shared" si="106"/>
        <v>7375</v>
      </c>
      <c r="AF480" s="21">
        <f t="shared" si="107"/>
        <v>8350</v>
      </c>
      <c r="AK480" s="16"/>
      <c r="AL480" s="17"/>
      <c r="AN480" s="16"/>
    </row>
    <row r="481" spans="2:40" x14ac:dyDescent="0.4">
      <c r="B481" s="6">
        <f t="shared" si="94"/>
        <v>45703</v>
      </c>
      <c r="C481" s="8">
        <f t="shared" si="95"/>
        <v>210.36399999999992</v>
      </c>
      <c r="D481" s="5">
        <f t="shared" si="96"/>
        <v>1367.143</v>
      </c>
      <c r="E481" s="5">
        <f t="shared" si="97"/>
        <v>1792.143</v>
      </c>
      <c r="F481" s="5">
        <f t="shared" si="98"/>
        <v>2547.143</v>
      </c>
      <c r="H481" s="6"/>
      <c r="I481" s="11">
        <v>45339</v>
      </c>
      <c r="J481" s="9">
        <v>709.30250000000001</v>
      </c>
      <c r="K481" s="9">
        <v>1033.8325</v>
      </c>
      <c r="O481" s="11">
        <v>45738</v>
      </c>
      <c r="P481" s="9">
        <v>4835</v>
      </c>
      <c r="Q481" s="9">
        <v>4457.3999999999996</v>
      </c>
      <c r="R481" s="9">
        <v>6975</v>
      </c>
      <c r="S481" s="9">
        <v>7305</v>
      </c>
      <c r="T481" s="31">
        <v>8305</v>
      </c>
      <c r="W481" s="16">
        <f t="shared" si="99"/>
        <v>45339</v>
      </c>
      <c r="X481" s="9">
        <f t="shared" si="100"/>
        <v>709.30250000000001</v>
      </c>
      <c r="Y481" s="9">
        <f t="shared" si="101"/>
        <v>1033.8325</v>
      </c>
      <c r="AA481" s="16">
        <f t="shared" si="102"/>
        <v>45738</v>
      </c>
      <c r="AB481" s="21">
        <f t="shared" si="103"/>
        <v>4835</v>
      </c>
      <c r="AC481" s="21">
        <f t="shared" si="104"/>
        <v>4457.3999999999996</v>
      </c>
      <c r="AD481" s="21">
        <f t="shared" si="105"/>
        <v>6975</v>
      </c>
      <c r="AE481" s="21">
        <f t="shared" si="106"/>
        <v>7305</v>
      </c>
      <c r="AF481" s="21">
        <f t="shared" si="107"/>
        <v>8305</v>
      </c>
      <c r="AK481" s="16"/>
      <c r="AL481" s="17"/>
      <c r="AN481" s="16"/>
    </row>
    <row r="482" spans="2:40" x14ac:dyDescent="0.4">
      <c r="B482" s="6">
        <f t="shared" si="94"/>
        <v>45710</v>
      </c>
      <c r="C482" s="8">
        <f t="shared" si="95"/>
        <v>211.91800000000001</v>
      </c>
      <c r="D482" s="5">
        <f t="shared" si="96"/>
        <v>1372.8440000000001</v>
      </c>
      <c r="E482" s="5">
        <f t="shared" si="97"/>
        <v>1747.8440000000001</v>
      </c>
      <c r="F482" s="5">
        <f t="shared" si="98"/>
        <v>2572.8440000000001</v>
      </c>
      <c r="H482" s="6"/>
      <c r="I482" s="11">
        <v>45346</v>
      </c>
      <c r="J482" s="9">
        <v>688.32799999999997</v>
      </c>
      <c r="K482" s="9">
        <v>1032.5319999999999</v>
      </c>
      <c r="O482" s="11">
        <v>45745</v>
      </c>
      <c r="P482" s="9">
        <v>4887</v>
      </c>
      <c r="Q482" s="9">
        <v>4512.2</v>
      </c>
      <c r="R482" s="9">
        <v>6910</v>
      </c>
      <c r="S482" s="9">
        <v>7200</v>
      </c>
      <c r="T482" s="31">
        <v>8210</v>
      </c>
      <c r="W482" s="16">
        <f t="shared" si="99"/>
        <v>45346</v>
      </c>
      <c r="X482" s="9">
        <f t="shared" si="100"/>
        <v>688.32799999999997</v>
      </c>
      <c r="Y482" s="9">
        <f t="shared" si="101"/>
        <v>1032.5319999999999</v>
      </c>
      <c r="AA482" s="16">
        <f t="shared" si="102"/>
        <v>45745</v>
      </c>
      <c r="AB482" s="21">
        <f t="shared" si="103"/>
        <v>4887</v>
      </c>
      <c r="AC482" s="21">
        <f t="shared" si="104"/>
        <v>4512.2</v>
      </c>
      <c r="AD482" s="21">
        <f t="shared" si="105"/>
        <v>6910</v>
      </c>
      <c r="AE482" s="21">
        <f t="shared" si="106"/>
        <v>7200</v>
      </c>
      <c r="AF482" s="21">
        <f t="shared" si="107"/>
        <v>8210</v>
      </c>
      <c r="AK482" s="16"/>
      <c r="AL482" s="17"/>
      <c r="AN482" s="16"/>
    </row>
    <row r="483" spans="2:40" x14ac:dyDescent="0.4">
      <c r="B483" s="6">
        <f t="shared" si="94"/>
        <v>45717</v>
      </c>
      <c r="C483" s="8">
        <f t="shared" si="95"/>
        <v>198.202</v>
      </c>
      <c r="D483" s="5">
        <f t="shared" si="96"/>
        <v>1424.8500000000004</v>
      </c>
      <c r="E483" s="5">
        <f t="shared" si="97"/>
        <v>1759.8500000000004</v>
      </c>
      <c r="F483" s="5">
        <f t="shared" si="98"/>
        <v>2634.8500000000004</v>
      </c>
      <c r="H483" s="6"/>
      <c r="I483" s="11">
        <v>45353</v>
      </c>
      <c r="J483" s="9">
        <v>695.73599999999999</v>
      </c>
      <c r="K483" s="9">
        <v>1035.336</v>
      </c>
      <c r="O483" s="11">
        <v>45752</v>
      </c>
      <c r="P483" s="9">
        <v>4865.25</v>
      </c>
      <c r="Q483" s="9">
        <v>4519.5</v>
      </c>
      <c r="R483" s="9">
        <v>6862.5</v>
      </c>
      <c r="S483" s="9">
        <v>7137.5</v>
      </c>
      <c r="T483" s="31">
        <v>8175</v>
      </c>
      <c r="W483" s="16">
        <f t="shared" si="99"/>
        <v>45353</v>
      </c>
      <c r="X483" s="9">
        <f t="shared" si="100"/>
        <v>695.73599999999999</v>
      </c>
      <c r="Y483" s="9">
        <f t="shared" si="101"/>
        <v>1035.336</v>
      </c>
      <c r="AA483" s="16">
        <f t="shared" si="102"/>
        <v>45752</v>
      </c>
      <c r="AB483" s="21">
        <f t="shared" si="103"/>
        <v>4865.25</v>
      </c>
      <c r="AC483" s="21">
        <f t="shared" si="104"/>
        <v>4519.5</v>
      </c>
      <c r="AD483" s="21">
        <f t="shared" si="105"/>
        <v>6862.5</v>
      </c>
      <c r="AE483" s="21">
        <f t="shared" si="106"/>
        <v>7137.5</v>
      </c>
      <c r="AF483" s="21">
        <f t="shared" si="107"/>
        <v>8175</v>
      </c>
      <c r="AK483" s="16"/>
      <c r="AL483" s="17"/>
      <c r="AN483" s="16"/>
    </row>
    <row r="484" spans="2:40" x14ac:dyDescent="0.4">
      <c r="B484" s="6">
        <f t="shared" si="94"/>
        <v>45724</v>
      </c>
      <c r="C484" s="8">
        <f t="shared" si="95"/>
        <v>200.53999999999996</v>
      </c>
      <c r="D484" s="5">
        <f t="shared" si="96"/>
        <v>1461.6539999999998</v>
      </c>
      <c r="E484" s="5">
        <f t="shared" si="97"/>
        <v>1786.6539999999998</v>
      </c>
      <c r="F484" s="5">
        <f t="shared" si="98"/>
        <v>2686.6539999999995</v>
      </c>
      <c r="H484" s="6"/>
      <c r="I484" s="11">
        <v>45360</v>
      </c>
      <c r="J484" s="9">
        <v>711.77</v>
      </c>
      <c r="K484" s="9">
        <v>1010.134</v>
      </c>
      <c r="O484" s="11">
        <v>45759</v>
      </c>
      <c r="P484" s="9">
        <v>4315</v>
      </c>
      <c r="Q484" s="9">
        <v>4257.6000000000004</v>
      </c>
      <c r="R484" s="9">
        <v>6555</v>
      </c>
      <c r="S484" s="9">
        <v>6875</v>
      </c>
      <c r="T484" s="31">
        <v>7900</v>
      </c>
      <c r="W484" s="16">
        <f t="shared" si="99"/>
        <v>45360</v>
      </c>
      <c r="X484" s="9">
        <f t="shared" si="100"/>
        <v>711.77</v>
      </c>
      <c r="Y484" s="9">
        <f t="shared" si="101"/>
        <v>1010.134</v>
      </c>
      <c r="AA484" s="16">
        <f t="shared" si="102"/>
        <v>45759</v>
      </c>
      <c r="AB484" s="21">
        <f t="shared" si="103"/>
        <v>4315</v>
      </c>
      <c r="AC484" s="21">
        <f t="shared" si="104"/>
        <v>4257.6000000000004</v>
      </c>
      <c r="AD484" s="21">
        <f t="shared" si="105"/>
        <v>6555</v>
      </c>
      <c r="AE484" s="21">
        <f t="shared" si="106"/>
        <v>6875</v>
      </c>
      <c r="AF484" s="21">
        <f t="shared" si="107"/>
        <v>7900</v>
      </c>
      <c r="AK484" s="16"/>
      <c r="AL484" s="17"/>
      <c r="AN484" s="16"/>
    </row>
    <row r="485" spans="2:40" x14ac:dyDescent="0.4">
      <c r="B485" s="6">
        <f t="shared" si="94"/>
        <v>45731</v>
      </c>
      <c r="C485" s="8">
        <f t="shared" si="95"/>
        <v>180.03999999999996</v>
      </c>
      <c r="D485" s="5">
        <f t="shared" si="96"/>
        <v>1445.5760000000002</v>
      </c>
      <c r="E485" s="5">
        <f t="shared" si="97"/>
        <v>1790.5760000000002</v>
      </c>
      <c r="F485" s="5">
        <f t="shared" si="98"/>
        <v>2765.576</v>
      </c>
      <c r="H485" s="6"/>
      <c r="I485" s="11">
        <v>45367</v>
      </c>
      <c r="J485" s="9">
        <v>730.32399999999996</v>
      </c>
      <c r="K485" s="9">
        <v>1023.2</v>
      </c>
      <c r="O485" s="11">
        <v>45766</v>
      </c>
      <c r="P485" s="9">
        <v>4309.8</v>
      </c>
      <c r="Q485" s="9">
        <v>4236.8</v>
      </c>
      <c r="R485" s="9">
        <v>6380</v>
      </c>
      <c r="S485" s="9">
        <v>6615</v>
      </c>
      <c r="T485" s="31">
        <v>7710</v>
      </c>
      <c r="W485" s="16">
        <f t="shared" si="99"/>
        <v>45367</v>
      </c>
      <c r="X485" s="9">
        <f t="shared" si="100"/>
        <v>730.32399999999996</v>
      </c>
      <c r="Y485" s="9">
        <f t="shared" si="101"/>
        <v>1023.2</v>
      </c>
      <c r="AA485" s="16">
        <f t="shared" si="102"/>
        <v>45766</v>
      </c>
      <c r="AB485" s="21">
        <f t="shared" si="103"/>
        <v>4309.8</v>
      </c>
      <c r="AC485" s="21">
        <f t="shared" si="104"/>
        <v>4236.8</v>
      </c>
      <c r="AD485" s="21">
        <f t="shared" si="105"/>
        <v>6380</v>
      </c>
      <c r="AE485" s="21">
        <f t="shared" si="106"/>
        <v>6615</v>
      </c>
      <c r="AF485" s="21">
        <f t="shared" si="107"/>
        <v>7710</v>
      </c>
      <c r="AK485" s="16"/>
      <c r="AL485" s="17"/>
      <c r="AN485" s="16"/>
    </row>
    <row r="486" spans="2:40" x14ac:dyDescent="0.4">
      <c r="B486" s="6">
        <f t="shared" si="94"/>
        <v>45738</v>
      </c>
      <c r="C486" s="8">
        <f t="shared" si="95"/>
        <v>184.40800000000002</v>
      </c>
      <c r="D486" s="5">
        <f t="shared" si="96"/>
        <v>1347.8459999999998</v>
      </c>
      <c r="E486" s="5">
        <f t="shared" si="97"/>
        <v>1677.8459999999998</v>
      </c>
      <c r="F486" s="5">
        <f t="shared" si="98"/>
        <v>2677.8459999999995</v>
      </c>
      <c r="H486" s="6"/>
      <c r="I486" s="11">
        <v>45374</v>
      </c>
      <c r="J486" s="9">
        <v>734.98400000000004</v>
      </c>
      <c r="K486" s="9">
        <v>1034.9680000000001</v>
      </c>
      <c r="O486" s="11">
        <v>45773</v>
      </c>
      <c r="P486" s="9">
        <v>4351.8</v>
      </c>
      <c r="Q486" s="9">
        <v>4214.8</v>
      </c>
      <c r="R486" s="9">
        <v>6255</v>
      </c>
      <c r="S486" s="9">
        <v>6475</v>
      </c>
      <c r="T486" s="31">
        <v>7600</v>
      </c>
      <c r="W486" s="16">
        <f t="shared" si="99"/>
        <v>45374</v>
      </c>
      <c r="X486" s="9">
        <f t="shared" si="100"/>
        <v>734.98400000000004</v>
      </c>
      <c r="Y486" s="9">
        <f t="shared" si="101"/>
        <v>1034.9680000000001</v>
      </c>
      <c r="AA486" s="16">
        <f t="shared" si="102"/>
        <v>45773</v>
      </c>
      <c r="AB486" s="21">
        <f t="shared" si="103"/>
        <v>4351.8</v>
      </c>
      <c r="AC486" s="21">
        <f t="shared" si="104"/>
        <v>4214.8</v>
      </c>
      <c r="AD486" s="21">
        <f t="shared" si="105"/>
        <v>6255</v>
      </c>
      <c r="AE486" s="21">
        <f t="shared" si="106"/>
        <v>6475</v>
      </c>
      <c r="AF486" s="21">
        <f t="shared" si="107"/>
        <v>7600</v>
      </c>
      <c r="AK486" s="16"/>
      <c r="AL486" s="17"/>
      <c r="AN486" s="16"/>
    </row>
    <row r="487" spans="2:40" x14ac:dyDescent="0.4">
      <c r="B487" s="6">
        <f t="shared" si="94"/>
        <v>45745</v>
      </c>
      <c r="C487" s="8">
        <f t="shared" si="95"/>
        <v>189.57600000000002</v>
      </c>
      <c r="D487" s="5">
        <f t="shared" si="96"/>
        <v>1220.0279999999998</v>
      </c>
      <c r="E487" s="5">
        <f t="shared" si="97"/>
        <v>1510.0279999999998</v>
      </c>
      <c r="F487" s="5">
        <f t="shared" si="98"/>
        <v>2520.0279999999998</v>
      </c>
      <c r="H487" s="6"/>
      <c r="I487" s="11">
        <v>45381</v>
      </c>
      <c r="J487" s="9">
        <v>727.78750000000002</v>
      </c>
      <c r="K487" s="9">
        <v>1043.9175</v>
      </c>
      <c r="O487" s="11">
        <v>45780</v>
      </c>
      <c r="P487" s="9">
        <v>4537.5</v>
      </c>
      <c r="Q487" s="9">
        <v>4207</v>
      </c>
      <c r="R487" s="9">
        <v>6400</v>
      </c>
      <c r="S487" s="9">
        <v>6568.75</v>
      </c>
      <c r="T487" s="31">
        <v>7681.25</v>
      </c>
      <c r="W487" s="16">
        <f t="shared" si="99"/>
        <v>45381</v>
      </c>
      <c r="X487" s="9">
        <f t="shared" si="100"/>
        <v>727.78750000000002</v>
      </c>
      <c r="Y487" s="9">
        <f t="shared" si="101"/>
        <v>1043.9175</v>
      </c>
      <c r="AA487" s="16">
        <f t="shared" si="102"/>
        <v>45780</v>
      </c>
      <c r="AB487" s="21">
        <f t="shared" si="103"/>
        <v>4537.5</v>
      </c>
      <c r="AC487" s="21">
        <f t="shared" si="104"/>
        <v>4207</v>
      </c>
      <c r="AD487" s="21">
        <f t="shared" si="105"/>
        <v>6400</v>
      </c>
      <c r="AE487" s="21">
        <f t="shared" si="106"/>
        <v>6568.75</v>
      </c>
      <c r="AF487" s="21">
        <f t="shared" si="107"/>
        <v>7681.25</v>
      </c>
      <c r="AK487" s="16"/>
      <c r="AL487" s="17"/>
      <c r="AN487" s="16"/>
    </row>
    <row r="488" spans="2:40" x14ac:dyDescent="0.4">
      <c r="B488" s="6">
        <f t="shared" si="94"/>
        <v>45752</v>
      </c>
      <c r="C488" s="8">
        <f t="shared" si="95"/>
        <v>206.71000000000004</v>
      </c>
      <c r="D488" s="5">
        <f t="shared" si="96"/>
        <v>1188.6787500000003</v>
      </c>
      <c r="E488" s="5">
        <f t="shared" si="97"/>
        <v>1463.6787500000003</v>
      </c>
      <c r="F488" s="5">
        <f t="shared" si="98"/>
        <v>2501.17875</v>
      </c>
      <c r="H488" s="6"/>
      <c r="I488" s="11">
        <v>45388</v>
      </c>
      <c r="J488" s="9">
        <v>715.44600000000003</v>
      </c>
      <c r="K488" s="9">
        <v>1061.934</v>
      </c>
      <c r="O488" s="11">
        <v>45787</v>
      </c>
      <c r="P488" s="9">
        <v>4593.75</v>
      </c>
      <c r="Q488" s="9">
        <v>4263</v>
      </c>
      <c r="R488" s="9">
        <v>6475</v>
      </c>
      <c r="S488" s="9">
        <v>6625</v>
      </c>
      <c r="T488" s="31">
        <v>7718.75</v>
      </c>
      <c r="W488" s="16">
        <f t="shared" si="99"/>
        <v>45388</v>
      </c>
      <c r="X488" s="9">
        <f t="shared" si="100"/>
        <v>715.44600000000003</v>
      </c>
      <c r="Y488" s="9">
        <f t="shared" si="101"/>
        <v>1061.934</v>
      </c>
      <c r="AA488" s="16">
        <f t="shared" si="102"/>
        <v>45787</v>
      </c>
      <c r="AB488" s="21">
        <f t="shared" si="103"/>
        <v>4593.75</v>
      </c>
      <c r="AC488" s="21">
        <f t="shared" si="104"/>
        <v>4263</v>
      </c>
      <c r="AD488" s="21">
        <f t="shared" si="105"/>
        <v>6475</v>
      </c>
      <c r="AE488" s="21">
        <f t="shared" si="106"/>
        <v>6625</v>
      </c>
      <c r="AF488" s="21">
        <f t="shared" si="107"/>
        <v>7718.75</v>
      </c>
      <c r="AK488" s="16"/>
      <c r="AL488" s="17"/>
      <c r="AN488" s="16"/>
    </row>
    <row r="489" spans="2:40" x14ac:dyDescent="0.4">
      <c r="B489" s="6">
        <f t="shared" si="94"/>
        <v>45759</v>
      </c>
      <c r="C489" s="8">
        <f t="shared" si="95"/>
        <v>184.1400000000001</v>
      </c>
      <c r="D489" s="5">
        <f t="shared" si="96"/>
        <v>1439.3789999999999</v>
      </c>
      <c r="E489" s="5">
        <f t="shared" si="97"/>
        <v>1759.3789999999999</v>
      </c>
      <c r="F489" s="5">
        <f t="shared" si="98"/>
        <v>2784.3789999999999</v>
      </c>
      <c r="H489" s="6"/>
      <c r="I489" s="11">
        <v>45395</v>
      </c>
      <c r="J489" s="9">
        <v>711.78750000000002</v>
      </c>
      <c r="K489" s="9">
        <v>1050</v>
      </c>
      <c r="O489" s="11">
        <v>45794</v>
      </c>
      <c r="P489" s="9">
        <v>4975</v>
      </c>
      <c r="Q489" s="9">
        <v>4531.2</v>
      </c>
      <c r="R489" s="9">
        <v>6875</v>
      </c>
      <c r="S489" s="9">
        <v>7100</v>
      </c>
      <c r="T489" s="31">
        <v>8080</v>
      </c>
      <c r="W489" s="16">
        <f t="shared" si="99"/>
        <v>45395</v>
      </c>
      <c r="X489" s="9">
        <f t="shared" si="100"/>
        <v>711.78750000000002</v>
      </c>
      <c r="Y489" s="9">
        <f t="shared" si="101"/>
        <v>1050</v>
      </c>
      <c r="AA489" s="16">
        <f t="shared" si="102"/>
        <v>45794</v>
      </c>
      <c r="AB489" s="21">
        <f t="shared" si="103"/>
        <v>4975</v>
      </c>
      <c r="AC489" s="21">
        <f t="shared" si="104"/>
        <v>4531.2</v>
      </c>
      <c r="AD489" s="21">
        <f t="shared" si="105"/>
        <v>6875</v>
      </c>
      <c r="AE489" s="21">
        <f t="shared" si="106"/>
        <v>7100</v>
      </c>
      <c r="AF489" s="21">
        <f t="shared" si="107"/>
        <v>8080</v>
      </c>
      <c r="AK489" s="16"/>
      <c r="AL489" s="17"/>
      <c r="AN489" s="16"/>
    </row>
    <row r="490" spans="2:40" x14ac:dyDescent="0.4">
      <c r="B490" s="6">
        <f t="shared" si="94"/>
        <v>45766</v>
      </c>
      <c r="C490" s="8">
        <f t="shared" si="95"/>
        <v>163.67250000000001</v>
      </c>
      <c r="D490" s="5">
        <f t="shared" si="96"/>
        <v>1275.7929999999999</v>
      </c>
      <c r="E490" s="5">
        <f t="shared" si="97"/>
        <v>1510.7929999999999</v>
      </c>
      <c r="F490" s="5">
        <f t="shared" si="98"/>
        <v>2605.7929999999997</v>
      </c>
      <c r="H490" s="6"/>
      <c r="I490" s="11">
        <v>45402</v>
      </c>
      <c r="J490" s="9">
        <v>702.99199999999996</v>
      </c>
      <c r="K490" s="9">
        <v>1061.5340000000001</v>
      </c>
      <c r="O490" s="11">
        <v>45801</v>
      </c>
      <c r="P490" s="9">
        <v>4899</v>
      </c>
      <c r="Q490" s="9">
        <v>4529.2</v>
      </c>
      <c r="R490" s="9">
        <v>6990</v>
      </c>
      <c r="S490" s="9">
        <v>7265</v>
      </c>
      <c r="T490" s="31">
        <v>8175</v>
      </c>
      <c r="W490" s="16">
        <f t="shared" si="99"/>
        <v>45402</v>
      </c>
      <c r="X490" s="9">
        <f t="shared" si="100"/>
        <v>702.99199999999996</v>
      </c>
      <c r="Y490" s="9">
        <f t="shared" si="101"/>
        <v>1061.5340000000001</v>
      </c>
      <c r="AA490" s="16">
        <f t="shared" si="102"/>
        <v>45801</v>
      </c>
      <c r="AB490" s="21">
        <f t="shared" si="103"/>
        <v>4899</v>
      </c>
      <c r="AC490" s="21">
        <f t="shared" si="104"/>
        <v>4529.2</v>
      </c>
      <c r="AD490" s="21">
        <f t="shared" si="105"/>
        <v>6990</v>
      </c>
      <c r="AE490" s="21">
        <f t="shared" si="106"/>
        <v>7265</v>
      </c>
      <c r="AF490" s="21">
        <f t="shared" si="107"/>
        <v>8175</v>
      </c>
      <c r="AK490" s="16"/>
      <c r="AL490" s="17"/>
      <c r="AN490" s="16"/>
    </row>
    <row r="491" spans="2:40" x14ac:dyDescent="0.4">
      <c r="B491" s="6">
        <f t="shared" si="94"/>
        <v>45773</v>
      </c>
      <c r="C491" s="8">
        <f t="shared" si="95"/>
        <v>157.21600000000001</v>
      </c>
      <c r="D491" s="5">
        <f t="shared" si="96"/>
        <v>1122.2529999999997</v>
      </c>
      <c r="E491" s="5">
        <f t="shared" si="97"/>
        <v>1342.2529999999997</v>
      </c>
      <c r="F491" s="5">
        <f t="shared" si="98"/>
        <v>2467.2529999999997</v>
      </c>
      <c r="H491" s="6"/>
      <c r="I491" s="11">
        <v>45409</v>
      </c>
      <c r="J491" s="9">
        <v>713.99400000000003</v>
      </c>
      <c r="K491" s="9">
        <v>1042.8</v>
      </c>
      <c r="O491" s="11">
        <v>45808</v>
      </c>
      <c r="P491" s="9">
        <v>4911</v>
      </c>
      <c r="Q491" s="9">
        <v>4504.2</v>
      </c>
      <c r="R491" s="9">
        <v>6990</v>
      </c>
      <c r="S491" s="9">
        <v>7275</v>
      </c>
      <c r="T491" s="31">
        <v>8175</v>
      </c>
      <c r="W491" s="16">
        <f t="shared" si="99"/>
        <v>45409</v>
      </c>
      <c r="X491" s="9">
        <f t="shared" si="100"/>
        <v>713.99400000000003</v>
      </c>
      <c r="Y491" s="9">
        <f t="shared" si="101"/>
        <v>1042.8</v>
      </c>
      <c r="AA491" s="16">
        <f t="shared" si="102"/>
        <v>45808</v>
      </c>
      <c r="AB491" s="21">
        <f t="shared" si="103"/>
        <v>4911</v>
      </c>
      <c r="AC491" s="21">
        <f t="shared" si="104"/>
        <v>4504.2</v>
      </c>
      <c r="AD491" s="21">
        <f t="shared" si="105"/>
        <v>6990</v>
      </c>
      <c r="AE491" s="21">
        <f t="shared" si="106"/>
        <v>7275</v>
      </c>
      <c r="AF491" s="21">
        <f t="shared" si="107"/>
        <v>8175</v>
      </c>
      <c r="AK491" s="16"/>
      <c r="AL491" s="17"/>
      <c r="AN491" s="16"/>
    </row>
    <row r="492" spans="2:40" x14ac:dyDescent="0.4">
      <c r="B492" s="6">
        <f t="shared" si="94"/>
        <v>45780</v>
      </c>
      <c r="C492" s="8">
        <f t="shared" si="95"/>
        <v>174.99749999999995</v>
      </c>
      <c r="D492" s="5">
        <f t="shared" si="96"/>
        <v>1111.0925</v>
      </c>
      <c r="E492" s="5">
        <f t="shared" si="97"/>
        <v>1279.8425</v>
      </c>
      <c r="F492" s="5">
        <f t="shared" si="98"/>
        <v>2392.3424999999997</v>
      </c>
      <c r="H492" s="6"/>
      <c r="I492" s="11">
        <v>45416</v>
      </c>
      <c r="J492" s="9">
        <v>711.15250000000003</v>
      </c>
      <c r="K492" s="9">
        <v>1030.6675</v>
      </c>
      <c r="O492" s="11">
        <v>45815</v>
      </c>
      <c r="P492" s="9">
        <v>4877</v>
      </c>
      <c r="Q492" s="9">
        <v>4430.75</v>
      </c>
      <c r="R492" s="9">
        <v>6950</v>
      </c>
      <c r="S492" s="9">
        <v>7256.25</v>
      </c>
      <c r="T492" s="31">
        <v>8175</v>
      </c>
      <c r="W492" s="16">
        <f t="shared" si="99"/>
        <v>45416</v>
      </c>
      <c r="X492" s="9">
        <f t="shared" si="100"/>
        <v>711.15250000000003</v>
      </c>
      <c r="Y492" s="9">
        <f t="shared" si="101"/>
        <v>1030.6675</v>
      </c>
      <c r="AA492" s="16">
        <f t="shared" si="102"/>
        <v>45815</v>
      </c>
      <c r="AB492" s="21">
        <f t="shared" si="103"/>
        <v>4877</v>
      </c>
      <c r="AC492" s="21">
        <f t="shared" si="104"/>
        <v>4430.75</v>
      </c>
      <c r="AD492" s="21">
        <f t="shared" si="105"/>
        <v>6950</v>
      </c>
      <c r="AE492" s="21">
        <f t="shared" si="106"/>
        <v>7256.25</v>
      </c>
      <c r="AF492" s="21">
        <f t="shared" si="107"/>
        <v>8175</v>
      </c>
      <c r="AK492" s="16"/>
      <c r="AL492" s="17"/>
      <c r="AN492" s="16"/>
    </row>
    <row r="493" spans="2:40" x14ac:dyDescent="0.4">
      <c r="B493" s="6">
        <f t="shared" si="94"/>
        <v>45787</v>
      </c>
      <c r="C493" s="8">
        <f t="shared" si="95"/>
        <v>196.00599999999997</v>
      </c>
      <c r="D493" s="5">
        <f t="shared" si="96"/>
        <v>1119.23875</v>
      </c>
      <c r="E493" s="5">
        <f t="shared" si="97"/>
        <v>1269.23875</v>
      </c>
      <c r="F493" s="5">
        <f t="shared" si="98"/>
        <v>2362.98875</v>
      </c>
      <c r="H493" s="6"/>
      <c r="I493" s="11">
        <v>45423</v>
      </c>
      <c r="J493" s="9">
        <v>689.16</v>
      </c>
      <c r="K493" s="9">
        <v>1018.402</v>
      </c>
      <c r="O493" s="11">
        <v>45822</v>
      </c>
      <c r="P493" s="9">
        <v>4880</v>
      </c>
      <c r="Q493" s="9">
        <v>4381.6000000000004</v>
      </c>
      <c r="R493" s="9">
        <v>6860</v>
      </c>
      <c r="S493" s="9">
        <v>7160</v>
      </c>
      <c r="T493" s="31">
        <v>8115</v>
      </c>
      <c r="W493" s="16">
        <f t="shared" si="99"/>
        <v>45423</v>
      </c>
      <c r="X493" s="9">
        <f t="shared" si="100"/>
        <v>689.16</v>
      </c>
      <c r="Y493" s="9">
        <f t="shared" si="101"/>
        <v>1018.402</v>
      </c>
      <c r="AA493" s="16">
        <f t="shared" si="102"/>
        <v>45822</v>
      </c>
      <c r="AB493" s="21">
        <f t="shared" si="103"/>
        <v>4880</v>
      </c>
      <c r="AC493" s="21">
        <f t="shared" si="104"/>
        <v>4381.6000000000004</v>
      </c>
      <c r="AD493" s="21">
        <f t="shared" si="105"/>
        <v>6860</v>
      </c>
      <c r="AE493" s="21">
        <f t="shared" si="106"/>
        <v>7160</v>
      </c>
      <c r="AF493" s="21">
        <f t="shared" si="107"/>
        <v>8115</v>
      </c>
      <c r="AK493" s="16"/>
      <c r="AL493" s="17"/>
      <c r="AN493" s="16"/>
    </row>
    <row r="494" spans="2:40" x14ac:dyDescent="0.4">
      <c r="B494" s="6">
        <f t="shared" si="94"/>
        <v>45794</v>
      </c>
      <c r="C494" s="8">
        <f t="shared" si="95"/>
        <v>266.94999999999993</v>
      </c>
      <c r="D494" s="5">
        <f t="shared" si="96"/>
        <v>1103.423</v>
      </c>
      <c r="E494" s="5">
        <f t="shared" si="97"/>
        <v>1328.423</v>
      </c>
      <c r="F494" s="5">
        <f t="shared" si="98"/>
        <v>2308.4229999999998</v>
      </c>
      <c r="H494" s="6"/>
      <c r="I494" s="11">
        <v>45430</v>
      </c>
      <c r="J494" s="9">
        <v>676.54</v>
      </c>
      <c r="K494" s="9">
        <v>1010</v>
      </c>
      <c r="O494" s="11">
        <v>45829</v>
      </c>
      <c r="P494" s="9">
        <v>5137</v>
      </c>
      <c r="Q494" s="9">
        <v>4516.2</v>
      </c>
      <c r="R494" s="9">
        <v>7105</v>
      </c>
      <c r="S494" s="9">
        <v>7380</v>
      </c>
      <c r="T494" s="31">
        <v>8335</v>
      </c>
      <c r="W494" s="16">
        <f t="shared" si="99"/>
        <v>45430</v>
      </c>
      <c r="X494" s="9">
        <f t="shared" si="100"/>
        <v>676.54</v>
      </c>
      <c r="Y494" s="9">
        <f t="shared" si="101"/>
        <v>1010</v>
      </c>
      <c r="AA494" s="16">
        <f t="shared" si="102"/>
        <v>45829</v>
      </c>
      <c r="AB494" s="21">
        <f t="shared" si="103"/>
        <v>5137</v>
      </c>
      <c r="AC494" s="21">
        <f t="shared" si="104"/>
        <v>4516.2</v>
      </c>
      <c r="AD494" s="21">
        <f t="shared" si="105"/>
        <v>7105</v>
      </c>
      <c r="AE494" s="21">
        <f t="shared" si="106"/>
        <v>7380</v>
      </c>
      <c r="AF494" s="21">
        <f t="shared" si="107"/>
        <v>8335</v>
      </c>
      <c r="AK494" s="16"/>
      <c r="AL494" s="17"/>
      <c r="AN494" s="16"/>
    </row>
    <row r="495" spans="2:40" x14ac:dyDescent="0.4">
      <c r="B495" s="6">
        <f t="shared" si="94"/>
        <v>45801</v>
      </c>
      <c r="C495" s="8">
        <f t="shared" si="95"/>
        <v>254.84000000000003</v>
      </c>
      <c r="D495" s="5">
        <f t="shared" si="96"/>
        <v>1284.0730000000005</v>
      </c>
      <c r="E495" s="5">
        <f t="shared" si="97"/>
        <v>1559.0730000000005</v>
      </c>
      <c r="F495" s="5">
        <f t="shared" si="98"/>
        <v>2469.0730000000003</v>
      </c>
      <c r="H495" s="6"/>
      <c r="I495" s="11">
        <v>45437</v>
      </c>
      <c r="J495" s="9">
        <v>682.02750000000003</v>
      </c>
      <c r="K495" s="9">
        <v>1031.7525000000001</v>
      </c>
      <c r="O495" s="11">
        <v>45836</v>
      </c>
      <c r="P495" s="9">
        <v>5088</v>
      </c>
      <c r="Q495" s="9">
        <v>4416.2</v>
      </c>
      <c r="R495" s="9">
        <v>7175</v>
      </c>
      <c r="S495" s="9">
        <v>7460</v>
      </c>
      <c r="T495" s="31">
        <v>8425</v>
      </c>
      <c r="W495" s="16">
        <f t="shared" si="99"/>
        <v>45437</v>
      </c>
      <c r="X495" s="9">
        <f t="shared" si="100"/>
        <v>682.02750000000003</v>
      </c>
      <c r="Y495" s="9">
        <f t="shared" si="101"/>
        <v>1031.7525000000001</v>
      </c>
      <c r="AA495" s="16">
        <f t="shared" si="102"/>
        <v>45836</v>
      </c>
      <c r="AB495" s="21">
        <f t="shared" si="103"/>
        <v>5088</v>
      </c>
      <c r="AC495" s="21">
        <f t="shared" si="104"/>
        <v>4416.2</v>
      </c>
      <c r="AD495" s="21">
        <f t="shared" si="105"/>
        <v>7175</v>
      </c>
      <c r="AE495" s="21">
        <f t="shared" si="106"/>
        <v>7460</v>
      </c>
      <c r="AF495" s="21">
        <f t="shared" si="107"/>
        <v>8425</v>
      </c>
      <c r="AK495" s="16"/>
      <c r="AL495" s="17"/>
      <c r="AN495" s="16"/>
    </row>
    <row r="496" spans="2:40" x14ac:dyDescent="0.4">
      <c r="B496" s="6">
        <f t="shared" si="94"/>
        <v>45808</v>
      </c>
      <c r="C496" s="8">
        <f t="shared" si="95"/>
        <v>268.56200000000001</v>
      </c>
      <c r="D496" s="5">
        <f t="shared" si="96"/>
        <v>1282.1880000000003</v>
      </c>
      <c r="E496" s="5">
        <f t="shared" si="97"/>
        <v>1567.1880000000003</v>
      </c>
      <c r="F496" s="5">
        <f t="shared" si="98"/>
        <v>2467.1880000000001</v>
      </c>
      <c r="H496" s="6"/>
      <c r="I496" s="11">
        <v>45444</v>
      </c>
      <c r="J496" s="9">
        <v>691.27</v>
      </c>
      <c r="K496" s="9">
        <v>1047.402</v>
      </c>
      <c r="O496" s="11">
        <v>45843</v>
      </c>
      <c r="P496" s="9">
        <v>4933.3999999999996</v>
      </c>
      <c r="Q496" s="9">
        <v>4349</v>
      </c>
      <c r="R496" s="9">
        <v>6960</v>
      </c>
      <c r="S496" s="9">
        <v>7210</v>
      </c>
      <c r="T496" s="31">
        <v>8230</v>
      </c>
      <c r="W496" s="16">
        <f t="shared" si="99"/>
        <v>45444</v>
      </c>
      <c r="X496" s="9">
        <f t="shared" si="100"/>
        <v>691.27</v>
      </c>
      <c r="Y496" s="9">
        <f t="shared" si="101"/>
        <v>1047.402</v>
      </c>
      <c r="AA496" s="16">
        <f t="shared" si="102"/>
        <v>45843</v>
      </c>
      <c r="AB496" s="21">
        <f t="shared" si="103"/>
        <v>4933.3999999999996</v>
      </c>
      <c r="AC496" s="21">
        <f t="shared" si="104"/>
        <v>4349</v>
      </c>
      <c r="AD496" s="21">
        <f t="shared" si="105"/>
        <v>6960</v>
      </c>
      <c r="AE496" s="21">
        <f t="shared" si="106"/>
        <v>7210</v>
      </c>
      <c r="AF496" s="21">
        <f t="shared" si="107"/>
        <v>8230</v>
      </c>
      <c r="AK496" s="16"/>
      <c r="AL496" s="17"/>
      <c r="AN496" s="16"/>
    </row>
    <row r="497" spans="2:40" x14ac:dyDescent="0.4">
      <c r="B497" s="6">
        <f t="shared" si="94"/>
        <v>45815</v>
      </c>
      <c r="C497" s="8">
        <f t="shared" si="95"/>
        <v>258.63</v>
      </c>
      <c r="D497" s="5">
        <f t="shared" si="96"/>
        <v>1295.86375</v>
      </c>
      <c r="E497" s="5">
        <f t="shared" si="97"/>
        <v>1602.11375</v>
      </c>
      <c r="F497" s="5">
        <f t="shared" si="98"/>
        <v>2520.86375</v>
      </c>
      <c r="H497" s="6"/>
      <c r="I497" s="11">
        <v>45451</v>
      </c>
      <c r="J497" s="9">
        <v>659.24599999999998</v>
      </c>
      <c r="K497" s="9">
        <v>1031.664</v>
      </c>
      <c r="O497" s="11">
        <v>45850</v>
      </c>
      <c r="P497" s="9">
        <v>4760</v>
      </c>
      <c r="Q497" s="9">
        <v>4361.3999999999996</v>
      </c>
      <c r="R497" s="9">
        <v>6730</v>
      </c>
      <c r="S497" s="9">
        <v>6955</v>
      </c>
      <c r="T497" s="31">
        <v>8010</v>
      </c>
      <c r="W497" s="16">
        <f t="shared" si="99"/>
        <v>45451</v>
      </c>
      <c r="X497" s="9">
        <f t="shared" si="100"/>
        <v>659.24599999999998</v>
      </c>
      <c r="Y497" s="9">
        <f t="shared" si="101"/>
        <v>1031.664</v>
      </c>
      <c r="AA497" s="16">
        <f t="shared" si="102"/>
        <v>45850</v>
      </c>
      <c r="AB497" s="21">
        <f t="shared" si="103"/>
        <v>4760</v>
      </c>
      <c r="AC497" s="21">
        <f t="shared" si="104"/>
        <v>4361.3999999999996</v>
      </c>
      <c r="AD497" s="21">
        <f t="shared" si="105"/>
        <v>6730</v>
      </c>
      <c r="AE497" s="21">
        <f t="shared" si="106"/>
        <v>6955</v>
      </c>
      <c r="AF497" s="21">
        <f t="shared" si="107"/>
        <v>8010</v>
      </c>
      <c r="AK497" s="16"/>
      <c r="AL497" s="17"/>
      <c r="AN497" s="16"/>
    </row>
    <row r="498" spans="2:40" x14ac:dyDescent="0.4">
      <c r="B498" s="6">
        <f t="shared" si="94"/>
        <v>45822</v>
      </c>
      <c r="C498" s="8">
        <f t="shared" si="95"/>
        <v>232.37599999999998</v>
      </c>
      <c r="D498" s="5">
        <f t="shared" si="96"/>
        <v>1219.7640000000001</v>
      </c>
      <c r="E498" s="5">
        <f t="shared" si="97"/>
        <v>1519.7640000000001</v>
      </c>
      <c r="F498" s="5">
        <f t="shared" si="98"/>
        <v>2474.7640000000001</v>
      </c>
      <c r="H498" s="6"/>
      <c r="I498" s="11">
        <v>45458</v>
      </c>
      <c r="J498" s="9">
        <v>677.04399999999998</v>
      </c>
      <c r="K498" s="9">
        <v>1040.202</v>
      </c>
      <c r="O498" s="11">
        <v>45857</v>
      </c>
      <c r="P498" s="9">
        <v>4735</v>
      </c>
      <c r="Q498" s="9">
        <v>4414.8</v>
      </c>
      <c r="R498" s="9">
        <v>6580</v>
      </c>
      <c r="S498" s="9">
        <v>6820</v>
      </c>
      <c r="T498" s="31">
        <v>7860</v>
      </c>
      <c r="W498" s="16">
        <f t="shared" si="99"/>
        <v>45458</v>
      </c>
      <c r="X498" s="9">
        <f t="shared" si="100"/>
        <v>677.04399999999998</v>
      </c>
      <c r="Y498" s="9">
        <f t="shared" si="101"/>
        <v>1040.202</v>
      </c>
      <c r="AA498" s="16">
        <f t="shared" si="102"/>
        <v>45857</v>
      </c>
      <c r="AB498" s="21">
        <f t="shared" si="103"/>
        <v>4735</v>
      </c>
      <c r="AC498" s="21">
        <f t="shared" si="104"/>
        <v>4414.8</v>
      </c>
      <c r="AD498" s="21">
        <f t="shared" si="105"/>
        <v>6580</v>
      </c>
      <c r="AE498" s="21">
        <f t="shared" si="106"/>
        <v>6820</v>
      </c>
      <c r="AF498" s="21">
        <f t="shared" si="107"/>
        <v>7860</v>
      </c>
      <c r="AK498" s="16"/>
      <c r="AL498" s="17"/>
      <c r="AN498" s="16"/>
    </row>
    <row r="499" spans="2:40" x14ac:dyDescent="0.4">
      <c r="B499" s="6">
        <f t="shared" si="94"/>
        <v>45829</v>
      </c>
      <c r="C499" s="8">
        <f t="shared" si="95"/>
        <v>245.68600000000004</v>
      </c>
      <c r="D499" s="5">
        <f t="shared" si="96"/>
        <v>1199.9379999999996</v>
      </c>
      <c r="E499" s="5">
        <f t="shared" si="97"/>
        <v>1474.9379999999996</v>
      </c>
      <c r="F499" s="5">
        <f t="shared" si="98"/>
        <v>2429.9379999999996</v>
      </c>
      <c r="H499" s="6"/>
      <c r="I499" s="11">
        <v>45465</v>
      </c>
      <c r="J499" s="9">
        <v>701.3175</v>
      </c>
      <c r="K499" s="9">
        <v>1038</v>
      </c>
      <c r="O499" s="11">
        <v>45864</v>
      </c>
      <c r="P499" s="9">
        <v>4813.8</v>
      </c>
      <c r="Q499" s="9">
        <v>4512.3999999999996</v>
      </c>
      <c r="R499" s="9">
        <v>6615</v>
      </c>
      <c r="S499" s="9">
        <v>6880</v>
      </c>
      <c r="T499" s="31">
        <v>7850</v>
      </c>
      <c r="W499" s="16">
        <f t="shared" si="99"/>
        <v>45465</v>
      </c>
      <c r="X499" s="9">
        <f t="shared" si="100"/>
        <v>701.3175</v>
      </c>
      <c r="Y499" s="9">
        <f t="shared" si="101"/>
        <v>1038</v>
      </c>
      <c r="AA499" s="16">
        <f t="shared" si="102"/>
        <v>45864</v>
      </c>
      <c r="AB499" s="21">
        <f t="shared" si="103"/>
        <v>4813.8</v>
      </c>
      <c r="AC499" s="21">
        <f t="shared" si="104"/>
        <v>4512.3999999999996</v>
      </c>
      <c r="AD499" s="21">
        <f t="shared" si="105"/>
        <v>6615</v>
      </c>
      <c r="AE499" s="21">
        <f t="shared" si="106"/>
        <v>6880</v>
      </c>
      <c r="AF499" s="21">
        <f t="shared" si="107"/>
        <v>7850</v>
      </c>
      <c r="AK499" s="16"/>
      <c r="AL499" s="17"/>
      <c r="AN499" s="16"/>
    </row>
    <row r="500" spans="2:40" x14ac:dyDescent="0.4">
      <c r="B500" s="6">
        <f t="shared" si="94"/>
        <v>45836</v>
      </c>
      <c r="C500" s="8">
        <f t="shared" si="95"/>
        <v>269.76599999999996</v>
      </c>
      <c r="D500" s="5">
        <f t="shared" si="96"/>
        <v>1345.3330000000001</v>
      </c>
      <c r="E500" s="5">
        <f t="shared" si="97"/>
        <v>1630.3330000000001</v>
      </c>
      <c r="F500" s="5">
        <f t="shared" si="98"/>
        <v>2595.3330000000001</v>
      </c>
      <c r="H500" s="6"/>
      <c r="I500" s="11">
        <v>45472</v>
      </c>
      <c r="J500" s="9">
        <v>718.85599999999999</v>
      </c>
      <c r="K500" s="9">
        <v>1043.4659999999999</v>
      </c>
      <c r="O500" s="11">
        <v>45871</v>
      </c>
      <c r="P500" s="9">
        <v>4819.8</v>
      </c>
      <c r="Q500" s="9">
        <v>4502.8</v>
      </c>
      <c r="R500" s="9">
        <v>6730</v>
      </c>
      <c r="S500" s="9">
        <v>7030</v>
      </c>
      <c r="T500" s="31">
        <v>7940</v>
      </c>
      <c r="W500" s="16">
        <f t="shared" si="99"/>
        <v>45472</v>
      </c>
      <c r="X500" s="9">
        <f t="shared" si="100"/>
        <v>718.85599999999999</v>
      </c>
      <c r="Y500" s="9">
        <f t="shared" si="101"/>
        <v>1043.4659999999999</v>
      </c>
      <c r="AA500" s="16">
        <f t="shared" si="102"/>
        <v>45871</v>
      </c>
      <c r="AB500" s="21">
        <f t="shared" si="103"/>
        <v>4819.8</v>
      </c>
      <c r="AC500" s="21">
        <f t="shared" si="104"/>
        <v>4502.8</v>
      </c>
      <c r="AD500" s="21">
        <f t="shared" si="105"/>
        <v>6730</v>
      </c>
      <c r="AE500" s="21">
        <f t="shared" si="106"/>
        <v>7030</v>
      </c>
      <c r="AF500" s="21">
        <f t="shared" si="107"/>
        <v>7940</v>
      </c>
      <c r="AK500" s="16"/>
      <c r="AL500" s="17"/>
      <c r="AN500" s="16"/>
    </row>
    <row r="501" spans="2:40" x14ac:dyDescent="0.4">
      <c r="B501" s="6">
        <f t="shared" si="94"/>
        <v>45843</v>
      </c>
      <c r="C501" s="8">
        <f t="shared" si="95"/>
        <v>276.75799999999992</v>
      </c>
      <c r="D501" s="5">
        <f t="shared" si="96"/>
        <v>1285.028</v>
      </c>
      <c r="E501" s="5">
        <f t="shared" si="97"/>
        <v>1535.028</v>
      </c>
      <c r="F501" s="5">
        <f t="shared" si="98"/>
        <v>2555.0280000000002</v>
      </c>
      <c r="H501" s="6"/>
      <c r="I501" s="11">
        <v>45479</v>
      </c>
      <c r="J501" s="9">
        <v>729.42200000000003</v>
      </c>
      <c r="K501" s="9">
        <v>1042.4680000000001</v>
      </c>
      <c r="O501" s="11">
        <v>45878</v>
      </c>
      <c r="P501" s="9">
        <v>4678</v>
      </c>
      <c r="Q501" s="9">
        <v>4467.8</v>
      </c>
      <c r="R501" s="9">
        <v>6710</v>
      </c>
      <c r="S501" s="9">
        <v>6995</v>
      </c>
      <c r="T501" s="31">
        <v>7925</v>
      </c>
      <c r="W501" s="16">
        <f t="shared" si="99"/>
        <v>45479</v>
      </c>
      <c r="X501" s="9">
        <f t="shared" si="100"/>
        <v>729.42200000000003</v>
      </c>
      <c r="Y501" s="9">
        <f t="shared" si="101"/>
        <v>1042.4680000000001</v>
      </c>
      <c r="AA501" s="16">
        <f t="shared" si="102"/>
        <v>45878</v>
      </c>
      <c r="AB501" s="21">
        <f t="shared" si="103"/>
        <v>4678</v>
      </c>
      <c r="AC501" s="21">
        <f t="shared" si="104"/>
        <v>4467.8</v>
      </c>
      <c r="AD501" s="21">
        <f t="shared" si="105"/>
        <v>6710</v>
      </c>
      <c r="AE501" s="21">
        <f t="shared" si="106"/>
        <v>6995</v>
      </c>
      <c r="AF501" s="21">
        <f t="shared" si="107"/>
        <v>7925</v>
      </c>
      <c r="AK501" s="16"/>
      <c r="AL501" s="17"/>
      <c r="AN501" s="16"/>
    </row>
    <row r="502" spans="2:40" x14ac:dyDescent="0.4">
      <c r="B502" s="6">
        <f t="shared" si="94"/>
        <v>45850</v>
      </c>
      <c r="C502" s="8">
        <f t="shared" si="95"/>
        <v>252.67200000000003</v>
      </c>
      <c r="D502" s="5">
        <f t="shared" si="96"/>
        <v>1199.1310000000003</v>
      </c>
      <c r="E502" s="5">
        <f t="shared" si="97"/>
        <v>1424.1310000000003</v>
      </c>
      <c r="F502" s="5">
        <f t="shared" si="98"/>
        <v>2479.1310000000003</v>
      </c>
      <c r="H502" s="6"/>
      <c r="I502" s="11">
        <v>45486</v>
      </c>
      <c r="J502" s="9">
        <v>711.64800000000002</v>
      </c>
      <c r="K502" s="9">
        <v>1026.002</v>
      </c>
      <c r="O502" s="11">
        <v>45885</v>
      </c>
      <c r="P502" s="9">
        <v>4679.3999999999996</v>
      </c>
      <c r="Q502" s="9">
        <v>4481</v>
      </c>
      <c r="R502" s="9">
        <v>6725</v>
      </c>
      <c r="S502" s="9">
        <v>7075</v>
      </c>
      <c r="T502" s="31">
        <v>7940</v>
      </c>
      <c r="W502" s="16">
        <f t="shared" si="99"/>
        <v>45486</v>
      </c>
      <c r="X502" s="9">
        <f t="shared" si="100"/>
        <v>711.64800000000002</v>
      </c>
      <c r="Y502" s="9">
        <f t="shared" si="101"/>
        <v>1026.002</v>
      </c>
      <c r="AA502" s="16">
        <f t="shared" si="102"/>
        <v>45885</v>
      </c>
      <c r="AB502" s="21">
        <f t="shared" si="103"/>
        <v>4679.3999999999996</v>
      </c>
      <c r="AC502" s="21">
        <f t="shared" si="104"/>
        <v>4481</v>
      </c>
      <c r="AD502" s="21">
        <f t="shared" si="105"/>
        <v>6725</v>
      </c>
      <c r="AE502" s="21">
        <f t="shared" si="106"/>
        <v>7075</v>
      </c>
      <c r="AF502" s="21">
        <f t="shared" si="107"/>
        <v>7940</v>
      </c>
      <c r="AK502" s="16"/>
      <c r="AL502" s="17"/>
      <c r="AN502" s="16"/>
    </row>
    <row r="503" spans="2:40" x14ac:dyDescent="0.4">
      <c r="B503" s="6">
        <f t="shared" si="94"/>
        <v>45857</v>
      </c>
      <c r="C503" s="8">
        <f t="shared" si="95"/>
        <v>253.55999999999995</v>
      </c>
      <c r="D503" s="5">
        <f t="shared" si="96"/>
        <v>1052.6170000000002</v>
      </c>
      <c r="E503" s="5">
        <f t="shared" si="97"/>
        <v>1292.6170000000002</v>
      </c>
      <c r="F503" s="5">
        <f t="shared" si="98"/>
        <v>2332.6170000000002</v>
      </c>
      <c r="H503" s="6"/>
      <c r="I503" s="11">
        <v>45493</v>
      </c>
      <c r="J503" s="9">
        <v>701.61400000000003</v>
      </c>
      <c r="K503" s="9">
        <v>1010.732</v>
      </c>
      <c r="O503" s="11">
        <v>45892</v>
      </c>
      <c r="P503" s="9">
        <v>4747.2</v>
      </c>
      <c r="Q503" s="9">
        <v>4485.2</v>
      </c>
      <c r="R503" s="9">
        <v>6785</v>
      </c>
      <c r="S503" s="9">
        <v>7103</v>
      </c>
      <c r="T503" s="31">
        <v>7960</v>
      </c>
      <c r="W503" s="16">
        <f t="shared" si="99"/>
        <v>45493</v>
      </c>
      <c r="X503" s="9">
        <f t="shared" si="100"/>
        <v>701.61400000000003</v>
      </c>
      <c r="Y503" s="9">
        <f t="shared" si="101"/>
        <v>1010.732</v>
      </c>
      <c r="AA503" s="16">
        <f t="shared" si="102"/>
        <v>45892</v>
      </c>
      <c r="AB503" s="21">
        <f t="shared" si="103"/>
        <v>4747.2</v>
      </c>
      <c r="AC503" s="21">
        <f t="shared" si="104"/>
        <v>4485.2</v>
      </c>
      <c r="AD503" s="21">
        <f t="shared" si="105"/>
        <v>6785</v>
      </c>
      <c r="AE503" s="21">
        <f t="shared" si="106"/>
        <v>7103</v>
      </c>
      <c r="AF503" s="21">
        <f t="shared" si="107"/>
        <v>7960</v>
      </c>
      <c r="AK503" s="16"/>
      <c r="AL503" s="17"/>
      <c r="AN503" s="16"/>
    </row>
    <row r="504" spans="2:40" x14ac:dyDescent="0.4">
      <c r="B504" s="6">
        <f t="shared" si="94"/>
        <v>45864</v>
      </c>
      <c r="C504" s="8">
        <f t="shared" si="95"/>
        <v>279.02600000000007</v>
      </c>
      <c r="D504" s="5">
        <f t="shared" si="96"/>
        <v>987.54700000000003</v>
      </c>
      <c r="E504" s="5">
        <f t="shared" si="97"/>
        <v>1252.547</v>
      </c>
      <c r="F504" s="5">
        <f t="shared" si="98"/>
        <v>2222.547</v>
      </c>
      <c r="H504" s="6"/>
      <c r="I504" s="11">
        <v>45500</v>
      </c>
      <c r="J504" s="9">
        <v>683.36800000000005</v>
      </c>
      <c r="K504" s="9">
        <v>1001.168</v>
      </c>
      <c r="O504" s="11">
        <v>45899</v>
      </c>
      <c r="P504" s="9">
        <v>4815.3999999999996</v>
      </c>
      <c r="Q504" s="9">
        <v>4542.2</v>
      </c>
      <c r="R504" s="9">
        <v>6890</v>
      </c>
      <c r="S504" s="9">
        <v>7143</v>
      </c>
      <c r="T504" s="31">
        <v>8040</v>
      </c>
      <c r="W504" s="16">
        <f t="shared" si="99"/>
        <v>45500</v>
      </c>
      <c r="X504" s="9">
        <f t="shared" si="100"/>
        <v>683.36800000000005</v>
      </c>
      <c r="Y504" s="9">
        <f t="shared" si="101"/>
        <v>1001.168</v>
      </c>
      <c r="AA504" s="16">
        <f t="shared" si="102"/>
        <v>45899</v>
      </c>
      <c r="AB504" s="21">
        <f t="shared" si="103"/>
        <v>4815.3999999999996</v>
      </c>
      <c r="AC504" s="21">
        <f t="shared" si="104"/>
        <v>4542.2</v>
      </c>
      <c r="AD504" s="21">
        <f t="shared" si="105"/>
        <v>6890</v>
      </c>
      <c r="AE504" s="21">
        <f t="shared" si="106"/>
        <v>7143</v>
      </c>
      <c r="AF504" s="21">
        <f t="shared" si="107"/>
        <v>8040</v>
      </c>
      <c r="AK504" s="16"/>
      <c r="AL504" s="17"/>
      <c r="AN504" s="16"/>
    </row>
    <row r="505" spans="2:40" x14ac:dyDescent="0.4">
      <c r="B505" s="6">
        <f t="shared" si="94"/>
        <v>45871</v>
      </c>
      <c r="C505" s="8">
        <f t="shared" si="95"/>
        <v>259.12200000000007</v>
      </c>
      <c r="D505" s="5">
        <f t="shared" si="96"/>
        <v>1100.6329999999998</v>
      </c>
      <c r="E505" s="5">
        <f t="shared" si="97"/>
        <v>1400.6329999999998</v>
      </c>
      <c r="F505" s="5">
        <f t="shared" si="98"/>
        <v>2310.6329999999998</v>
      </c>
      <c r="H505" s="6"/>
      <c r="I505" s="11">
        <v>45507</v>
      </c>
      <c r="J505" s="9">
        <v>666.11599999999999</v>
      </c>
      <c r="K505" s="9">
        <v>1002.2</v>
      </c>
      <c r="O505" s="11">
        <v>45906</v>
      </c>
      <c r="P505" s="9">
        <v>4670.8</v>
      </c>
      <c r="Q505" s="9">
        <v>4467.6000000000004</v>
      </c>
      <c r="R505" s="9">
        <v>6900</v>
      </c>
      <c r="S505" s="9">
        <v>7150</v>
      </c>
      <c r="T505" s="31">
        <v>8050</v>
      </c>
      <c r="W505" s="16">
        <f t="shared" si="99"/>
        <v>45507</v>
      </c>
      <c r="X505" s="9">
        <f t="shared" si="100"/>
        <v>666.11599999999999</v>
      </c>
      <c r="Y505" s="9">
        <f t="shared" si="101"/>
        <v>1002.2</v>
      </c>
      <c r="AA505" s="16">
        <f t="shared" si="102"/>
        <v>45906</v>
      </c>
      <c r="AB505" s="21">
        <f t="shared" si="103"/>
        <v>4670.8</v>
      </c>
      <c r="AC505" s="21">
        <f t="shared" si="104"/>
        <v>4467.6000000000004</v>
      </c>
      <c r="AD505" s="21">
        <f t="shared" si="105"/>
        <v>6900</v>
      </c>
      <c r="AE505" s="21">
        <f t="shared" si="106"/>
        <v>7150</v>
      </c>
      <c r="AF505" s="21">
        <f t="shared" si="107"/>
        <v>8050</v>
      </c>
      <c r="AK505" s="16"/>
      <c r="AL505" s="17"/>
      <c r="AN505" s="16"/>
    </row>
    <row r="506" spans="2:40" x14ac:dyDescent="0.4">
      <c r="B506" s="6">
        <f t="shared" si="94"/>
        <v>45878</v>
      </c>
      <c r="C506" s="8">
        <f t="shared" si="95"/>
        <v>260.85599999999999</v>
      </c>
      <c r="D506" s="5">
        <f t="shared" si="96"/>
        <v>1213.5969999999998</v>
      </c>
      <c r="E506" s="5">
        <f t="shared" si="97"/>
        <v>1498.5969999999998</v>
      </c>
      <c r="F506" s="5">
        <f t="shared" si="98"/>
        <v>2428.5969999999998</v>
      </c>
      <c r="H506" s="6"/>
      <c r="I506" s="11">
        <v>45514</v>
      </c>
      <c r="J506" s="9">
        <v>664.36749999999995</v>
      </c>
      <c r="K506" s="9">
        <v>985.41750000000002</v>
      </c>
      <c r="O506" s="11">
        <v>45913</v>
      </c>
      <c r="P506" s="9">
        <v>4602.6000000000004</v>
      </c>
      <c r="Q506" s="9">
        <v>4436.2</v>
      </c>
      <c r="R506" s="9">
        <v>6730</v>
      </c>
      <c r="S506" s="9">
        <v>7080</v>
      </c>
      <c r="T506" s="31">
        <v>7965</v>
      </c>
      <c r="W506" s="16">
        <f t="shared" si="99"/>
        <v>45514</v>
      </c>
      <c r="X506" s="9">
        <f t="shared" si="100"/>
        <v>664.36749999999995</v>
      </c>
      <c r="Y506" s="9">
        <f t="shared" si="101"/>
        <v>985.41750000000002</v>
      </c>
      <c r="AA506" s="16">
        <f t="shared" si="102"/>
        <v>45913</v>
      </c>
      <c r="AB506" s="21">
        <f t="shared" si="103"/>
        <v>4602.6000000000004</v>
      </c>
      <c r="AC506" s="21">
        <f t="shared" si="104"/>
        <v>4436.2</v>
      </c>
      <c r="AD506" s="21">
        <f t="shared" si="105"/>
        <v>6730</v>
      </c>
      <c r="AE506" s="21">
        <f t="shared" si="106"/>
        <v>7080</v>
      </c>
      <c r="AF506" s="21">
        <f t="shared" si="107"/>
        <v>7965</v>
      </c>
      <c r="AK506" s="16"/>
      <c r="AL506" s="17"/>
      <c r="AN506" s="16"/>
    </row>
    <row r="507" spans="2:40" x14ac:dyDescent="0.4">
      <c r="B507" s="6">
        <f t="shared" si="94"/>
        <v>45885</v>
      </c>
      <c r="C507" s="8">
        <f t="shared" si="95"/>
        <v>262.16599999999994</v>
      </c>
      <c r="D507" s="5">
        <f t="shared" si="96"/>
        <v>1222.9780000000003</v>
      </c>
      <c r="E507" s="5">
        <f t="shared" si="97"/>
        <v>1572.9780000000003</v>
      </c>
      <c r="F507" s="5">
        <f t="shared" si="98"/>
        <v>2437.9780000000001</v>
      </c>
      <c r="H507" s="6"/>
      <c r="I507" s="11">
        <v>45521</v>
      </c>
      <c r="J507" s="9">
        <v>680.702</v>
      </c>
      <c r="K507" s="9">
        <v>968.86800000000005</v>
      </c>
      <c r="O507" s="11">
        <v>45920</v>
      </c>
      <c r="P507" s="9">
        <v>4604.6000000000004</v>
      </c>
      <c r="Q507" s="9">
        <v>4369.2</v>
      </c>
      <c r="R507" s="9">
        <v>6645</v>
      </c>
      <c r="S507" s="9">
        <v>6935</v>
      </c>
      <c r="T507" s="31">
        <v>7890</v>
      </c>
      <c r="W507" s="16">
        <f t="shared" si="99"/>
        <v>45521</v>
      </c>
      <c r="X507" s="9">
        <f t="shared" si="100"/>
        <v>680.702</v>
      </c>
      <c r="Y507" s="9">
        <f t="shared" si="101"/>
        <v>968.86800000000005</v>
      </c>
      <c r="AA507" s="16">
        <f t="shared" si="102"/>
        <v>45920</v>
      </c>
      <c r="AB507" s="21">
        <f t="shared" si="103"/>
        <v>4604.6000000000004</v>
      </c>
      <c r="AC507" s="21">
        <f t="shared" si="104"/>
        <v>4369.2</v>
      </c>
      <c r="AD507" s="21">
        <f t="shared" si="105"/>
        <v>6645</v>
      </c>
      <c r="AE507" s="21">
        <f t="shared" si="106"/>
        <v>6935</v>
      </c>
      <c r="AF507" s="21">
        <f t="shared" si="107"/>
        <v>7890</v>
      </c>
      <c r="AK507" s="16"/>
      <c r="AL507" s="17"/>
      <c r="AN507" s="16"/>
    </row>
    <row r="508" spans="2:40" x14ac:dyDescent="0.4">
      <c r="B508" s="6">
        <f t="shared" si="94"/>
        <v>45892</v>
      </c>
      <c r="C508" s="8">
        <f t="shared" si="95"/>
        <v>263.39599999999996</v>
      </c>
      <c r="D508" s="5">
        <f t="shared" si="96"/>
        <v>1223.6020000000003</v>
      </c>
      <c r="E508" s="5">
        <f t="shared" si="97"/>
        <v>1541.6020000000003</v>
      </c>
      <c r="F508" s="5">
        <f t="shared" si="98"/>
        <v>2398.6020000000003</v>
      </c>
      <c r="H508" s="6"/>
      <c r="I508" s="11">
        <v>45528</v>
      </c>
      <c r="J508" s="9">
        <v>668.25599999999997</v>
      </c>
      <c r="K508" s="9">
        <v>930.73199999999997</v>
      </c>
      <c r="O508" s="11">
        <v>45927</v>
      </c>
      <c r="P508" s="9">
        <v>4535.6000000000004</v>
      </c>
      <c r="Q508" s="9">
        <v>4308</v>
      </c>
      <c r="R508" s="9">
        <v>6585</v>
      </c>
      <c r="S508" s="9">
        <v>6750</v>
      </c>
      <c r="T508" s="31">
        <v>7795</v>
      </c>
      <c r="W508" s="16">
        <f t="shared" si="99"/>
        <v>45528</v>
      </c>
      <c r="X508" s="9">
        <f t="shared" si="100"/>
        <v>668.25599999999997</v>
      </c>
      <c r="Y508" s="9">
        <f t="shared" si="101"/>
        <v>930.73199999999997</v>
      </c>
      <c r="AA508" s="16">
        <f t="shared" si="102"/>
        <v>45927</v>
      </c>
      <c r="AB508" s="21">
        <f t="shared" si="103"/>
        <v>4535.6000000000004</v>
      </c>
      <c r="AC508" s="21">
        <f t="shared" si="104"/>
        <v>4308</v>
      </c>
      <c r="AD508" s="21">
        <f t="shared" si="105"/>
        <v>6585</v>
      </c>
      <c r="AE508" s="21">
        <f t="shared" si="106"/>
        <v>6750</v>
      </c>
      <c r="AF508" s="21">
        <f t="shared" si="107"/>
        <v>7795</v>
      </c>
      <c r="AK508" s="16"/>
      <c r="AL508" s="17"/>
      <c r="AN508" s="16"/>
    </row>
    <row r="509" spans="2:40" x14ac:dyDescent="0.4">
      <c r="B509" s="6">
        <f t="shared" si="94"/>
        <v>45899</v>
      </c>
      <c r="C509" s="8">
        <f t="shared" si="95"/>
        <v>255.60800000000006</v>
      </c>
      <c r="D509" s="5">
        <f t="shared" si="96"/>
        <v>1251.1960000000006</v>
      </c>
      <c r="E509" s="5">
        <f t="shared" si="97"/>
        <v>1504.1960000000006</v>
      </c>
      <c r="F509" s="5">
        <f t="shared" si="98"/>
        <v>2401.1960000000008</v>
      </c>
      <c r="H509" s="6"/>
      <c r="I509" s="11">
        <v>45535</v>
      </c>
      <c r="J509" s="9">
        <v>681.77</v>
      </c>
      <c r="K509" s="9">
        <v>934.9</v>
      </c>
      <c r="O509" s="11">
        <v>45934</v>
      </c>
      <c r="P509" s="9">
        <v>4575</v>
      </c>
      <c r="Q509" s="9">
        <v>4290</v>
      </c>
      <c r="R509" s="9">
        <v>6608.333333333333</v>
      </c>
      <c r="S509" s="9">
        <v>6733.333333333333</v>
      </c>
      <c r="T509" s="31">
        <v>7783.333333333333</v>
      </c>
      <c r="W509" s="16">
        <f t="shared" si="99"/>
        <v>45535</v>
      </c>
      <c r="X509" s="9">
        <f t="shared" si="100"/>
        <v>681.77</v>
      </c>
      <c r="Y509" s="9">
        <f t="shared" si="101"/>
        <v>934.9</v>
      </c>
      <c r="AA509" s="16">
        <f t="shared" si="102"/>
        <v>45934</v>
      </c>
      <c r="AB509" s="21">
        <f t="shared" si="103"/>
        <v>4575</v>
      </c>
      <c r="AC509" s="21">
        <f t="shared" si="104"/>
        <v>4290</v>
      </c>
      <c r="AD509" s="21">
        <f t="shared" si="105"/>
        <v>6608.333333333333</v>
      </c>
      <c r="AE509" s="21">
        <f t="shared" si="106"/>
        <v>6733.333333333333</v>
      </c>
      <c r="AF509" s="21">
        <f t="shared" si="107"/>
        <v>7783.333333333333</v>
      </c>
      <c r="AK509" s="16"/>
      <c r="AL509" s="17"/>
      <c r="AN509" s="16"/>
    </row>
    <row r="510" spans="2:40" x14ac:dyDescent="0.4">
      <c r="B510" s="6">
        <f t="shared" si="94"/>
        <v>45906</v>
      </c>
      <c r="C510" s="8">
        <f t="shared" si="95"/>
        <v>236.07799999999997</v>
      </c>
      <c r="D510" s="5">
        <f t="shared" si="96"/>
        <v>1409.8199999999997</v>
      </c>
      <c r="E510" s="5">
        <f t="shared" si="97"/>
        <v>1659.8199999999997</v>
      </c>
      <c r="F510" s="5">
        <f t="shared" si="98"/>
        <v>2559.8199999999997</v>
      </c>
      <c r="H510" s="6"/>
      <c r="I510" s="11">
        <v>45542</v>
      </c>
      <c r="J510" s="9">
        <v>655.20000000000005</v>
      </c>
      <c r="K510" s="9">
        <v>879.53399999999999</v>
      </c>
      <c r="O510" s="11">
        <v>45941</v>
      </c>
      <c r="P510" s="9">
        <v>4478.333333333333</v>
      </c>
      <c r="Q510" s="9">
        <v>4158</v>
      </c>
      <c r="R510" s="9">
        <v>6600</v>
      </c>
      <c r="S510" s="9">
        <v>6750</v>
      </c>
      <c r="T510" s="31">
        <v>7800</v>
      </c>
      <c r="W510" s="16">
        <f t="shared" si="99"/>
        <v>45542</v>
      </c>
      <c r="X510" s="9">
        <f t="shared" si="100"/>
        <v>655.20000000000005</v>
      </c>
      <c r="Y510" s="9">
        <f t="shared" si="101"/>
        <v>879.53399999999999</v>
      </c>
      <c r="AA510" s="16">
        <f t="shared" si="102"/>
        <v>45941</v>
      </c>
      <c r="AB510" s="21">
        <f t="shared" si="103"/>
        <v>4478.333333333333</v>
      </c>
      <c r="AC510" s="21">
        <f t="shared" si="104"/>
        <v>4158</v>
      </c>
      <c r="AD510" s="21">
        <f t="shared" si="105"/>
        <v>6600</v>
      </c>
      <c r="AE510" s="21">
        <f t="shared" si="106"/>
        <v>6750</v>
      </c>
      <c r="AF510" s="21">
        <f t="shared" si="107"/>
        <v>7800</v>
      </c>
      <c r="AK510" s="16"/>
      <c r="AL510" s="17"/>
      <c r="AN510" s="16"/>
    </row>
    <row r="511" spans="2:40" x14ac:dyDescent="0.4">
      <c r="B511" s="6">
        <f t="shared" si="94"/>
        <v>45913</v>
      </c>
      <c r="C511" s="8">
        <f t="shared" si="95"/>
        <v>230.01999999999998</v>
      </c>
      <c r="D511" s="5">
        <f t="shared" si="96"/>
        <v>1308.6499999999996</v>
      </c>
      <c r="E511" s="5">
        <f t="shared" si="97"/>
        <v>1658.6499999999996</v>
      </c>
      <c r="F511" s="5">
        <f t="shared" si="98"/>
        <v>2543.6499999999996</v>
      </c>
      <c r="H511" s="6"/>
      <c r="I511" s="11">
        <v>45549</v>
      </c>
      <c r="J511" s="9">
        <v>635.18600000000004</v>
      </c>
      <c r="K511" s="9">
        <v>831.43399999999997</v>
      </c>
      <c r="O511" s="11">
        <v>45948</v>
      </c>
      <c r="P511" s="9">
        <v>4370</v>
      </c>
      <c r="Q511" s="9">
        <v>4134.3999999999996</v>
      </c>
      <c r="R511" s="9">
        <v>6525</v>
      </c>
      <c r="S511" s="9">
        <v>6675</v>
      </c>
      <c r="T511" s="31">
        <v>7735</v>
      </c>
      <c r="W511" s="16">
        <f t="shared" si="99"/>
        <v>45549</v>
      </c>
      <c r="X511" s="9">
        <f t="shared" si="100"/>
        <v>635.18600000000004</v>
      </c>
      <c r="Y511" s="9">
        <f t="shared" si="101"/>
        <v>831.43399999999997</v>
      </c>
      <c r="AA511" s="16">
        <f t="shared" si="102"/>
        <v>45948</v>
      </c>
      <c r="AB511" s="21">
        <f t="shared" si="103"/>
        <v>4370</v>
      </c>
      <c r="AC511" s="21">
        <f t="shared" si="104"/>
        <v>4134.3999999999996</v>
      </c>
      <c r="AD511" s="21">
        <f t="shared" si="105"/>
        <v>6525</v>
      </c>
      <c r="AE511" s="21">
        <f t="shared" si="106"/>
        <v>6675</v>
      </c>
      <c r="AF511" s="21">
        <f t="shared" si="107"/>
        <v>7735</v>
      </c>
      <c r="AK511" s="16"/>
      <c r="AL511" s="17"/>
      <c r="AN511" s="16"/>
    </row>
    <row r="512" spans="2:40" x14ac:dyDescent="0.4">
      <c r="B512" s="6">
        <f t="shared" si="94"/>
        <v>45920</v>
      </c>
      <c r="C512" s="8">
        <f t="shared" si="95"/>
        <v>220.50200000000007</v>
      </c>
      <c r="D512" s="5">
        <f t="shared" si="96"/>
        <v>1244.3849999999995</v>
      </c>
      <c r="E512" s="5">
        <f t="shared" si="97"/>
        <v>1534.3849999999995</v>
      </c>
      <c r="F512" s="5">
        <f t="shared" si="98"/>
        <v>2489.3849999999993</v>
      </c>
      <c r="H512" s="6"/>
      <c r="I512" s="11">
        <v>45556</v>
      </c>
      <c r="J512" s="9">
        <v>654.29600000000005</v>
      </c>
      <c r="K512" s="9">
        <v>834.33399999999995</v>
      </c>
      <c r="O512" s="11">
        <v>45955</v>
      </c>
      <c r="P512" s="9">
        <v>4380</v>
      </c>
      <c r="Q512" s="9">
        <v>4135</v>
      </c>
      <c r="R512" s="9">
        <v>6425</v>
      </c>
      <c r="S512" s="9">
        <v>6620</v>
      </c>
      <c r="T512" s="31">
        <v>7680</v>
      </c>
      <c r="W512" s="16">
        <f t="shared" si="99"/>
        <v>45556</v>
      </c>
      <c r="X512" s="9">
        <f t="shared" si="100"/>
        <v>654.29600000000005</v>
      </c>
      <c r="Y512" s="9">
        <f t="shared" si="101"/>
        <v>834.33399999999995</v>
      </c>
      <c r="AA512" s="16">
        <f t="shared" si="102"/>
        <v>45955</v>
      </c>
      <c r="AB512" s="21">
        <f t="shared" si="103"/>
        <v>4380</v>
      </c>
      <c r="AC512" s="21">
        <f t="shared" si="104"/>
        <v>4135</v>
      </c>
      <c r="AD512" s="21">
        <f t="shared" si="105"/>
        <v>6425</v>
      </c>
      <c r="AE512" s="21">
        <f t="shared" si="106"/>
        <v>6620</v>
      </c>
      <c r="AF512" s="21">
        <f t="shared" si="107"/>
        <v>7680</v>
      </c>
      <c r="AK512" s="16"/>
      <c r="AL512" s="17"/>
      <c r="AN512" s="16"/>
    </row>
    <row r="513" spans="2:40" x14ac:dyDescent="0.4">
      <c r="B513" s="6">
        <f t="shared" si="94"/>
        <v>45927</v>
      </c>
      <c r="C513" s="8">
        <f t="shared" si="95"/>
        <v>200.69200000000001</v>
      </c>
      <c r="D513" s="5">
        <f t="shared" si="96"/>
        <v>1263.8819999999998</v>
      </c>
      <c r="E513" s="5">
        <f t="shared" si="97"/>
        <v>1428.8819999999998</v>
      </c>
      <c r="F513" s="5">
        <f t="shared" si="98"/>
        <v>2473.8819999999996</v>
      </c>
      <c r="H513" s="6"/>
      <c r="I513" s="11">
        <v>45563</v>
      </c>
      <c r="J513" s="9">
        <v>652.76599999999996</v>
      </c>
      <c r="K513" s="9">
        <v>847.93399999999997</v>
      </c>
      <c r="O513" s="11">
        <v>45962</v>
      </c>
      <c r="P513" s="9">
        <v>4520</v>
      </c>
      <c r="Q513" s="9">
        <v>4151.6000000000004</v>
      </c>
      <c r="R513" s="9">
        <v>6445</v>
      </c>
      <c r="S513" s="9">
        <v>6685</v>
      </c>
      <c r="T513" s="31">
        <v>7735</v>
      </c>
      <c r="W513" s="16">
        <f t="shared" si="99"/>
        <v>45563</v>
      </c>
      <c r="X513" s="9">
        <f t="shared" si="100"/>
        <v>652.76599999999996</v>
      </c>
      <c r="Y513" s="9">
        <f t="shared" si="101"/>
        <v>847.93399999999997</v>
      </c>
      <c r="AA513" s="16">
        <f t="shared" si="102"/>
        <v>45962</v>
      </c>
      <c r="AB513" s="21">
        <f t="shared" si="103"/>
        <v>4520</v>
      </c>
      <c r="AC513" s="21">
        <f t="shared" si="104"/>
        <v>4151.6000000000004</v>
      </c>
      <c r="AD513" s="21">
        <f t="shared" si="105"/>
        <v>6445</v>
      </c>
      <c r="AE513" s="21">
        <f t="shared" si="106"/>
        <v>6685</v>
      </c>
      <c r="AF513" s="21">
        <f t="shared" si="107"/>
        <v>7735</v>
      </c>
      <c r="AK513" s="16"/>
      <c r="AL513" s="17"/>
      <c r="AN513" s="16"/>
    </row>
    <row r="514" spans="2:40" x14ac:dyDescent="0.4">
      <c r="B514" s="6">
        <f t="shared" si="94"/>
        <v>45934</v>
      </c>
      <c r="C514" s="8">
        <f t="shared" si="95"/>
        <v>209.46799999999996</v>
      </c>
      <c r="D514" s="5">
        <f t="shared" si="96"/>
        <v>1259.5583333333329</v>
      </c>
      <c r="E514" s="5">
        <f t="shared" si="97"/>
        <v>1384.5583333333329</v>
      </c>
      <c r="F514" s="5">
        <f t="shared" si="98"/>
        <v>2434.5583333333329</v>
      </c>
      <c r="H514" s="6"/>
      <c r="I514" s="11">
        <v>45570</v>
      </c>
      <c r="J514" s="9">
        <v>673.01800000000003</v>
      </c>
      <c r="K514" s="9">
        <v>904.26599999999996</v>
      </c>
      <c r="O514" s="11">
        <v>45969</v>
      </c>
      <c r="P514" s="9">
        <v>4536.3999999999996</v>
      </c>
      <c r="Q514" s="9">
        <v>4006.6</v>
      </c>
      <c r="R514" s="9">
        <v>6510</v>
      </c>
      <c r="S514" s="9">
        <v>6730</v>
      </c>
      <c r="T514" s="31">
        <v>7805</v>
      </c>
      <c r="W514" s="16">
        <f t="shared" si="99"/>
        <v>45570</v>
      </c>
      <c r="X514" s="9">
        <f t="shared" si="100"/>
        <v>673.01800000000003</v>
      </c>
      <c r="Y514" s="9">
        <f t="shared" si="101"/>
        <v>904.26599999999996</v>
      </c>
      <c r="AA514" s="16">
        <f t="shared" si="102"/>
        <v>45969</v>
      </c>
      <c r="AB514" s="21">
        <f t="shared" si="103"/>
        <v>4536.3999999999996</v>
      </c>
      <c r="AC514" s="21">
        <f t="shared" si="104"/>
        <v>4006.6</v>
      </c>
      <c r="AD514" s="21">
        <f t="shared" si="105"/>
        <v>6510</v>
      </c>
      <c r="AE514" s="21">
        <f t="shared" si="106"/>
        <v>6730</v>
      </c>
      <c r="AF514" s="21">
        <f t="shared" si="107"/>
        <v>7805</v>
      </c>
      <c r="AK514" s="16"/>
      <c r="AL514" s="17"/>
      <c r="AN514" s="16"/>
    </row>
    <row r="515" spans="2:40" x14ac:dyDescent="0.4">
      <c r="B515" s="6">
        <f t="shared" si="94"/>
        <v>45941</v>
      </c>
      <c r="C515" s="8">
        <f t="shared" si="95"/>
        <v>214.21000000000004</v>
      </c>
      <c r="D515" s="5">
        <f t="shared" si="96"/>
        <v>1378.0950000000005</v>
      </c>
      <c r="E515" s="5">
        <f t="shared" si="97"/>
        <v>1528.0950000000005</v>
      </c>
      <c r="F515" s="5">
        <f t="shared" si="98"/>
        <v>2578.0950000000003</v>
      </c>
      <c r="H515" s="6"/>
      <c r="I515" s="11">
        <v>45577</v>
      </c>
      <c r="J515" s="9">
        <v>700.46199999999999</v>
      </c>
      <c r="K515" s="9">
        <v>906.404</v>
      </c>
      <c r="O515" s="11">
        <v>45976</v>
      </c>
      <c r="P515" s="9">
        <v>4598.3999999999996</v>
      </c>
      <c r="Q515" s="9">
        <v>3973</v>
      </c>
      <c r="R515" s="9">
        <v>6590</v>
      </c>
      <c r="S515" s="9">
        <v>6820</v>
      </c>
      <c r="T515" s="31">
        <v>7845</v>
      </c>
      <c r="W515" s="16">
        <f t="shared" si="99"/>
        <v>45577</v>
      </c>
      <c r="X515" s="9">
        <f t="shared" si="100"/>
        <v>700.46199999999999</v>
      </c>
      <c r="Y515" s="9">
        <f t="shared" si="101"/>
        <v>906.404</v>
      </c>
      <c r="AA515" s="16">
        <f t="shared" si="102"/>
        <v>45976</v>
      </c>
      <c r="AB515" s="21">
        <f t="shared" si="103"/>
        <v>4598.3999999999996</v>
      </c>
      <c r="AC515" s="21">
        <f t="shared" si="104"/>
        <v>3973</v>
      </c>
      <c r="AD515" s="21">
        <f t="shared" si="105"/>
        <v>6590</v>
      </c>
      <c r="AE515" s="21">
        <f t="shared" si="106"/>
        <v>6820</v>
      </c>
      <c r="AF515" s="21">
        <f t="shared" si="107"/>
        <v>7845</v>
      </c>
      <c r="AK515" s="16"/>
      <c r="AL515" s="17"/>
      <c r="AN515" s="16"/>
    </row>
    <row r="516" spans="2:40" x14ac:dyDescent="0.4">
      <c r="B516" s="6">
        <f t="shared" si="94"/>
        <v>45948</v>
      </c>
      <c r="C516" s="8">
        <f t="shared" si="95"/>
        <v>228.77600000000007</v>
      </c>
      <c r="D516" s="5">
        <f t="shared" si="96"/>
        <v>1403.6260000000002</v>
      </c>
      <c r="E516" s="5">
        <f t="shared" si="97"/>
        <v>1553.6260000000002</v>
      </c>
      <c r="F516" s="5">
        <f t="shared" si="98"/>
        <v>2613.6260000000002</v>
      </c>
      <c r="H516" s="6"/>
      <c r="I516" s="11">
        <v>45584</v>
      </c>
      <c r="J516" s="9">
        <v>673.70600000000002</v>
      </c>
      <c r="K516" s="9">
        <v>857.93399999999997</v>
      </c>
      <c r="O516" s="11">
        <v>45983</v>
      </c>
      <c r="P516" s="9">
        <v>4620</v>
      </c>
      <c r="Q516" s="9">
        <v>3915.8</v>
      </c>
      <c r="R516" s="9">
        <v>6625</v>
      </c>
      <c r="S516" s="9">
        <v>6850</v>
      </c>
      <c r="T516" s="31">
        <v>7875</v>
      </c>
      <c r="W516" s="16">
        <f t="shared" si="99"/>
        <v>45584</v>
      </c>
      <c r="X516" s="9">
        <f t="shared" si="100"/>
        <v>673.70600000000002</v>
      </c>
      <c r="Y516" s="9">
        <f t="shared" si="101"/>
        <v>857.93399999999997</v>
      </c>
      <c r="AA516" s="16">
        <f t="shared" si="102"/>
        <v>45983</v>
      </c>
      <c r="AB516" s="21">
        <f t="shared" si="103"/>
        <v>4620</v>
      </c>
      <c r="AC516" s="21">
        <f t="shared" si="104"/>
        <v>3915.8</v>
      </c>
      <c r="AD516" s="21">
        <f t="shared" si="105"/>
        <v>6625</v>
      </c>
      <c r="AE516" s="21">
        <f t="shared" si="106"/>
        <v>6850</v>
      </c>
      <c r="AF516" s="21">
        <f t="shared" si="107"/>
        <v>7875</v>
      </c>
      <c r="AK516" s="16"/>
      <c r="AL516" s="17"/>
      <c r="AN516" s="16"/>
    </row>
    <row r="517" spans="2:40" x14ac:dyDescent="0.4">
      <c r="B517" s="6">
        <f t="shared" si="94"/>
        <v>45955</v>
      </c>
      <c r="C517" s="8">
        <f t="shared" si="95"/>
        <v>235.07749999999999</v>
      </c>
      <c r="D517" s="5">
        <f t="shared" si="96"/>
        <v>1294.8749999999998</v>
      </c>
      <c r="E517" s="5">
        <f t="shared" si="97"/>
        <v>1489.8749999999998</v>
      </c>
      <c r="F517" s="5">
        <f t="shared" si="98"/>
        <v>2549.875</v>
      </c>
      <c r="H517" s="6"/>
      <c r="I517" s="11">
        <v>45591</v>
      </c>
      <c r="J517" s="9">
        <v>672.04399999999998</v>
      </c>
      <c r="K517" s="9">
        <v>852.13</v>
      </c>
      <c r="O517" s="11">
        <v>45990</v>
      </c>
      <c r="P517" s="9">
        <v>4631.3999999999996</v>
      </c>
      <c r="Q517" s="9">
        <v>3899.2</v>
      </c>
      <c r="R517" s="9">
        <v>6550</v>
      </c>
      <c r="S517" s="9">
        <v>6800</v>
      </c>
      <c r="T517" s="31">
        <v>7855</v>
      </c>
      <c r="W517" s="16">
        <f t="shared" si="99"/>
        <v>45591</v>
      </c>
      <c r="X517" s="9">
        <f t="shared" si="100"/>
        <v>672.04399999999998</v>
      </c>
      <c r="Y517" s="9">
        <f t="shared" si="101"/>
        <v>852.13</v>
      </c>
      <c r="AA517" s="16">
        <f t="shared" si="102"/>
        <v>45990</v>
      </c>
      <c r="AB517" s="21">
        <f t="shared" si="103"/>
        <v>4631.3999999999996</v>
      </c>
      <c r="AC517" s="21">
        <f t="shared" si="104"/>
        <v>3899.2</v>
      </c>
      <c r="AD517" s="21">
        <f t="shared" si="105"/>
        <v>6550</v>
      </c>
      <c r="AE517" s="21">
        <f t="shared" si="106"/>
        <v>6800</v>
      </c>
      <c r="AF517" s="21">
        <f t="shared" si="107"/>
        <v>7855</v>
      </c>
      <c r="AK517" s="16"/>
      <c r="AL517" s="17"/>
      <c r="AN517" s="16"/>
    </row>
    <row r="518" spans="2:40" x14ac:dyDescent="0.4">
      <c r="B518" s="6">
        <f t="shared" ref="B518:B546" si="108">I570</f>
        <v>45962</v>
      </c>
      <c r="C518" s="8">
        <f t="shared" ref="C518:C546" si="109">Y570-X570</f>
        <v>237.10400000000004</v>
      </c>
      <c r="D518" s="5">
        <f t="shared" ref="D518:D550" si="110">IFERROR(VLOOKUP(B518,$AA:$AF,4,1)-0.855*VLOOKUP(B518,$AA:$AF,2,1)-0.335*VLOOKUP(B518,$AA:$AF,3,1),D517)</f>
        <v>1189.6139999999998</v>
      </c>
      <c r="E518" s="5">
        <f t="shared" ref="E518:E550" si="111">IFERROR(VLOOKUP(B518,$AA:$AF,5,1)-0.855*VLOOKUP(B518,$AA:$AF,2,1)-0.335*VLOOKUP(B518,$AA:$AF,3,1),E517)</f>
        <v>1429.6139999999998</v>
      </c>
      <c r="F518" s="5">
        <f t="shared" ref="F518:F550" si="112">IFERROR(VLOOKUP(B518,$AA:$AF,6,1)-0.855*VLOOKUP(B518,$AA:$AF,2,1)-0.335*VLOOKUP(B518,$AA:$AF,3,1),F517)</f>
        <v>2479.6139999999996</v>
      </c>
      <c r="H518" s="6"/>
      <c r="I518" s="11">
        <v>45598</v>
      </c>
      <c r="J518" s="9">
        <v>662.36749999999995</v>
      </c>
      <c r="K518" s="9">
        <v>836.58</v>
      </c>
      <c r="O518" s="11">
        <v>45997</v>
      </c>
      <c r="P518" s="9">
        <v>4696.6000000000004</v>
      </c>
      <c r="Q518" s="9">
        <v>3831</v>
      </c>
      <c r="R518" s="9">
        <v>6475</v>
      </c>
      <c r="S518" s="9">
        <v>6750</v>
      </c>
      <c r="T518" s="31">
        <v>7850</v>
      </c>
      <c r="W518" s="16">
        <f t="shared" ref="W518:W581" si="113">I518</f>
        <v>45598</v>
      </c>
      <c r="X518" s="9">
        <f t="shared" ref="X518:X581" si="114">IFERROR(IF(J518&lt;&gt;0,J518,X517),X517)</f>
        <v>662.36749999999995</v>
      </c>
      <c r="Y518" s="9">
        <f t="shared" ref="Y518:Y581" si="115">IFERROR(IF(K518&lt;&gt;0,K518,Y517),Y517)</f>
        <v>836.58</v>
      </c>
      <c r="AA518" s="16">
        <f t="shared" ref="AA518:AA540" si="116">O518</f>
        <v>45997</v>
      </c>
      <c r="AB518" s="21">
        <f t="shared" ref="AB518:AB540" si="117">IFERROR(IF(P518&lt;&gt;0,P518,AB517),AB517)</f>
        <v>4696.6000000000004</v>
      </c>
      <c r="AC518" s="21">
        <f t="shared" ref="AC518:AC544" si="118">IFERROR(IF(Q518&lt;&gt;0,Q518,AC517),AC517)</f>
        <v>3831</v>
      </c>
      <c r="AD518" s="21">
        <f t="shared" ref="AD518:AD544" si="119">IFERROR(IF(R518&lt;&gt;0,R518,AD517),AD517)</f>
        <v>6475</v>
      </c>
      <c r="AE518" s="21">
        <f t="shared" ref="AE518:AE544" si="120">IFERROR(IF(S518&lt;&gt;0,S518,AE517),AE517)</f>
        <v>6750</v>
      </c>
      <c r="AF518" s="21">
        <f t="shared" ref="AF518:AF544" si="121">IFERROR(IF(T518&lt;&gt;0,T518,AF517),AF517)</f>
        <v>7850</v>
      </c>
      <c r="AK518" s="16"/>
      <c r="AL518" s="17"/>
      <c r="AN518" s="16"/>
    </row>
    <row r="519" spans="2:40" x14ac:dyDescent="0.4">
      <c r="B519" s="6">
        <f t="shared" si="108"/>
        <v>45969</v>
      </c>
      <c r="C519" s="8">
        <f t="shared" si="109"/>
        <v>233.95399999999995</v>
      </c>
      <c r="D519" s="5">
        <f t="shared" si="110"/>
        <v>1289.1670000000006</v>
      </c>
      <c r="E519" s="5">
        <f t="shared" si="111"/>
        <v>1509.1670000000006</v>
      </c>
      <c r="F519" s="5">
        <f t="shared" si="112"/>
        <v>2584.1670000000004</v>
      </c>
      <c r="H519" s="6"/>
      <c r="I519" s="11">
        <v>45605</v>
      </c>
      <c r="J519" s="9">
        <v>670.59799999999996</v>
      </c>
      <c r="K519" s="9">
        <v>834.47</v>
      </c>
      <c r="O519" s="11">
        <v>46004</v>
      </c>
      <c r="P519" s="9">
        <v>4628.3999999999996</v>
      </c>
      <c r="Q519" s="9">
        <v>3643.8</v>
      </c>
      <c r="R519" s="9">
        <v>6380</v>
      </c>
      <c r="S519" s="9">
        <v>6620</v>
      </c>
      <c r="T519" s="31">
        <v>7705</v>
      </c>
      <c r="W519" s="16">
        <f t="shared" si="113"/>
        <v>45605</v>
      </c>
      <c r="X519" s="9">
        <f t="shared" si="114"/>
        <v>670.59799999999996</v>
      </c>
      <c r="Y519" s="9">
        <f t="shared" si="115"/>
        <v>834.47</v>
      </c>
      <c r="AA519" s="16">
        <f t="shared" si="116"/>
        <v>46004</v>
      </c>
      <c r="AB519" s="21">
        <f t="shared" si="117"/>
        <v>4628.3999999999996</v>
      </c>
      <c r="AC519" s="21">
        <f t="shared" si="118"/>
        <v>3643.8</v>
      </c>
      <c r="AD519" s="21">
        <f t="shared" si="119"/>
        <v>6380</v>
      </c>
      <c r="AE519" s="21">
        <f t="shared" si="120"/>
        <v>6620</v>
      </c>
      <c r="AF519" s="21">
        <f t="shared" si="121"/>
        <v>7705</v>
      </c>
      <c r="AK519" s="16"/>
      <c r="AL519" s="17"/>
      <c r="AN519" s="16"/>
    </row>
    <row r="520" spans="2:40" x14ac:dyDescent="0.4">
      <c r="B520" s="6">
        <f t="shared" si="108"/>
        <v>45976</v>
      </c>
      <c r="C520" s="8">
        <f t="shared" si="109"/>
        <v>242.51599999999996</v>
      </c>
      <c r="D520" s="5">
        <f t="shared" si="110"/>
        <v>1327.4130000000002</v>
      </c>
      <c r="E520" s="5">
        <f t="shared" si="111"/>
        <v>1557.4130000000002</v>
      </c>
      <c r="F520" s="5">
        <f t="shared" si="112"/>
        <v>2582.4130000000005</v>
      </c>
      <c r="H520" s="6"/>
      <c r="I520" s="11">
        <v>45612</v>
      </c>
      <c r="J520" s="9">
        <v>636.19399999999996</v>
      </c>
      <c r="K520" s="9">
        <v>815.60199999999998</v>
      </c>
      <c r="O520" s="11">
        <v>46011</v>
      </c>
      <c r="P520" s="9">
        <v>4646.6000000000004</v>
      </c>
      <c r="Q520" s="9">
        <v>3644.6</v>
      </c>
      <c r="R520" s="9">
        <v>6300</v>
      </c>
      <c r="S520" s="9">
        <v>6540</v>
      </c>
      <c r="T520" s="31">
        <v>7650</v>
      </c>
      <c r="W520" s="16">
        <f t="shared" si="113"/>
        <v>45612</v>
      </c>
      <c r="X520" s="9">
        <f t="shared" si="114"/>
        <v>636.19399999999996</v>
      </c>
      <c r="Y520" s="9">
        <f t="shared" si="115"/>
        <v>815.60199999999998</v>
      </c>
      <c r="AA520" s="16">
        <f t="shared" si="116"/>
        <v>46011</v>
      </c>
      <c r="AB520" s="21">
        <f t="shared" si="117"/>
        <v>4646.6000000000004</v>
      </c>
      <c r="AC520" s="21">
        <f t="shared" si="118"/>
        <v>3644.6</v>
      </c>
      <c r="AD520" s="21">
        <f t="shared" si="119"/>
        <v>6300</v>
      </c>
      <c r="AE520" s="21">
        <f t="shared" si="120"/>
        <v>6540</v>
      </c>
      <c r="AF520" s="21">
        <f t="shared" si="121"/>
        <v>7650</v>
      </c>
      <c r="AK520" s="16"/>
      <c r="AL520" s="17"/>
      <c r="AN520" s="16"/>
    </row>
    <row r="521" spans="2:40" x14ac:dyDescent="0.4">
      <c r="B521" s="6">
        <f t="shared" si="108"/>
        <v>45983</v>
      </c>
      <c r="C521" s="8">
        <f t="shared" si="109"/>
        <v>253.50400000000002</v>
      </c>
      <c r="D521" s="5">
        <f t="shared" si="110"/>
        <v>1363.107</v>
      </c>
      <c r="E521" s="5">
        <f t="shared" si="111"/>
        <v>1588.107</v>
      </c>
      <c r="F521" s="5">
        <f t="shared" si="112"/>
        <v>2613.107</v>
      </c>
      <c r="H521" s="6"/>
      <c r="I521" s="11">
        <v>45619</v>
      </c>
      <c r="J521" s="9">
        <v>636.98800000000006</v>
      </c>
      <c r="K521" s="9">
        <v>821.2</v>
      </c>
      <c r="O521" s="11">
        <v>46018</v>
      </c>
      <c r="P521" s="9">
        <v>5017</v>
      </c>
      <c r="Q521" s="9">
        <v>3608</v>
      </c>
      <c r="R521" s="9">
        <v>6415</v>
      </c>
      <c r="S521" s="9">
        <v>6670</v>
      </c>
      <c r="T521" s="31">
        <v>7685</v>
      </c>
      <c r="W521" s="16">
        <f t="shared" si="113"/>
        <v>45619</v>
      </c>
      <c r="X521" s="9">
        <f t="shared" si="114"/>
        <v>636.98800000000006</v>
      </c>
      <c r="Y521" s="9">
        <f t="shared" si="115"/>
        <v>821.2</v>
      </c>
      <c r="AA521" s="16">
        <f t="shared" si="116"/>
        <v>46018</v>
      </c>
      <c r="AB521" s="21">
        <f t="shared" si="117"/>
        <v>5017</v>
      </c>
      <c r="AC521" s="21">
        <f t="shared" si="118"/>
        <v>3608</v>
      </c>
      <c r="AD521" s="21">
        <f t="shared" si="119"/>
        <v>6415</v>
      </c>
      <c r="AE521" s="21">
        <f t="shared" si="120"/>
        <v>6670</v>
      </c>
      <c r="AF521" s="21">
        <f t="shared" si="121"/>
        <v>7685</v>
      </c>
      <c r="AK521" s="16"/>
      <c r="AL521" s="17"/>
      <c r="AN521" s="16"/>
    </row>
    <row r="522" spans="2:40" x14ac:dyDescent="0.4">
      <c r="B522" s="6">
        <f t="shared" si="108"/>
        <v>45990</v>
      </c>
      <c r="C522" s="8">
        <f t="shared" si="109"/>
        <v>258.01199999999994</v>
      </c>
      <c r="D522" s="5">
        <f t="shared" si="110"/>
        <v>1283.9210000000003</v>
      </c>
      <c r="E522" s="5">
        <f t="shared" si="111"/>
        <v>1533.9210000000003</v>
      </c>
      <c r="F522" s="5">
        <f t="shared" si="112"/>
        <v>2588.9210000000003</v>
      </c>
      <c r="H522" s="6"/>
      <c r="I522" s="11">
        <v>45626</v>
      </c>
      <c r="J522" s="9">
        <v>633.65200000000004</v>
      </c>
      <c r="K522" s="9">
        <v>812.13</v>
      </c>
      <c r="O522" s="11">
        <v>46025</v>
      </c>
      <c r="P522" s="9">
        <v>5090.666666666667</v>
      </c>
      <c r="Q522" s="9">
        <v>3687.6666666666665</v>
      </c>
      <c r="R522" s="9">
        <v>6550</v>
      </c>
      <c r="S522" s="9">
        <v>6800</v>
      </c>
      <c r="T522" s="31">
        <v>7750</v>
      </c>
      <c r="W522" s="16">
        <f t="shared" si="113"/>
        <v>45626</v>
      </c>
      <c r="X522" s="9">
        <f t="shared" si="114"/>
        <v>633.65200000000004</v>
      </c>
      <c r="Y522" s="9">
        <f t="shared" si="115"/>
        <v>812.13</v>
      </c>
      <c r="AA522" s="16">
        <f t="shared" si="116"/>
        <v>46025</v>
      </c>
      <c r="AB522" s="21">
        <f t="shared" si="117"/>
        <v>5090.666666666667</v>
      </c>
      <c r="AC522" s="21">
        <f t="shared" si="118"/>
        <v>3687.6666666666665</v>
      </c>
      <c r="AD522" s="21">
        <f t="shared" si="119"/>
        <v>6550</v>
      </c>
      <c r="AE522" s="21">
        <f t="shared" si="120"/>
        <v>6800</v>
      </c>
      <c r="AF522" s="21">
        <f t="shared" si="121"/>
        <v>7750</v>
      </c>
      <c r="AK522" s="16"/>
      <c r="AL522" s="17"/>
      <c r="AN522" s="16"/>
    </row>
    <row r="523" spans="2:40" x14ac:dyDescent="0.4">
      <c r="B523" s="6">
        <f t="shared" si="108"/>
        <v>45997</v>
      </c>
      <c r="C523" s="8">
        <f t="shared" si="109"/>
        <v>274.64</v>
      </c>
      <c r="D523" s="5">
        <f t="shared" si="110"/>
        <v>1176.0219999999997</v>
      </c>
      <c r="E523" s="5">
        <f t="shared" si="111"/>
        <v>1451.0219999999997</v>
      </c>
      <c r="F523" s="5">
        <f t="shared" si="112"/>
        <v>2551.0219999999999</v>
      </c>
      <c r="H523" s="6"/>
      <c r="I523" s="11">
        <v>45633</v>
      </c>
      <c r="J523" s="9">
        <v>625.42999999999995</v>
      </c>
      <c r="K523" s="9">
        <v>811.73400000000004</v>
      </c>
      <c r="O523" s="11">
        <v>46032</v>
      </c>
      <c r="P523" s="9">
        <v>5068.666666666667</v>
      </c>
      <c r="Q523" s="9">
        <v>3686.3333333333335</v>
      </c>
      <c r="R523" s="9">
        <v>6550</v>
      </c>
      <c r="S523" s="9">
        <v>6800</v>
      </c>
      <c r="T523" s="31">
        <v>7750</v>
      </c>
      <c r="W523" s="16">
        <f t="shared" si="113"/>
        <v>45633</v>
      </c>
      <c r="X523" s="9">
        <f t="shared" si="114"/>
        <v>625.42999999999995</v>
      </c>
      <c r="Y523" s="9">
        <f t="shared" si="115"/>
        <v>811.73400000000004</v>
      </c>
      <c r="AA523" s="16">
        <f t="shared" si="116"/>
        <v>46032</v>
      </c>
      <c r="AB523" s="21">
        <f t="shared" si="117"/>
        <v>5068.666666666667</v>
      </c>
      <c r="AC523" s="21">
        <f t="shared" si="118"/>
        <v>3686.3333333333335</v>
      </c>
      <c r="AD523" s="21">
        <f t="shared" si="119"/>
        <v>6550</v>
      </c>
      <c r="AE523" s="21">
        <f t="shared" si="120"/>
        <v>6800</v>
      </c>
      <c r="AF523" s="21">
        <f t="shared" si="121"/>
        <v>7750</v>
      </c>
      <c r="AK523" s="16"/>
      <c r="AL523" s="17"/>
      <c r="AN523" s="16"/>
    </row>
    <row r="524" spans="2:40" x14ac:dyDescent="0.4">
      <c r="B524" s="6">
        <f t="shared" si="108"/>
        <v>46004</v>
      </c>
      <c r="C524" s="8">
        <f t="shared" si="109"/>
        <v>268.84399999999994</v>
      </c>
      <c r="D524" s="5">
        <f t="shared" si="110"/>
        <v>1202.0450000000001</v>
      </c>
      <c r="E524" s="5">
        <f t="shared" si="111"/>
        <v>1442.0450000000001</v>
      </c>
      <c r="F524" s="5">
        <f t="shared" si="112"/>
        <v>2527.0450000000001</v>
      </c>
      <c r="H524" s="6"/>
      <c r="I524" s="11">
        <v>45640</v>
      </c>
      <c r="J524" s="9">
        <v>637.77</v>
      </c>
      <c r="K524" s="9">
        <v>813.86800000000005</v>
      </c>
      <c r="O524" s="11">
        <v>46039</v>
      </c>
      <c r="P524" s="9">
        <v>5046.8</v>
      </c>
      <c r="Q524" s="9">
        <v>3699.6</v>
      </c>
      <c r="R524" s="9">
        <v>6690</v>
      </c>
      <c r="S524" s="9">
        <v>6890</v>
      </c>
      <c r="T524" s="31">
        <v>7825</v>
      </c>
      <c r="W524" s="16">
        <f t="shared" si="113"/>
        <v>45640</v>
      </c>
      <c r="X524" s="9">
        <f t="shared" si="114"/>
        <v>637.77</v>
      </c>
      <c r="Y524" s="9">
        <f t="shared" si="115"/>
        <v>813.86800000000005</v>
      </c>
      <c r="AA524" s="16">
        <f t="shared" si="116"/>
        <v>46039</v>
      </c>
      <c r="AB524" s="21">
        <f t="shared" si="117"/>
        <v>5046.8</v>
      </c>
      <c r="AC524" s="21">
        <f t="shared" si="118"/>
        <v>3699.6</v>
      </c>
      <c r="AD524" s="21">
        <f t="shared" si="119"/>
        <v>6690</v>
      </c>
      <c r="AE524" s="21">
        <f t="shared" si="120"/>
        <v>6890</v>
      </c>
      <c r="AF524" s="21">
        <f t="shared" si="121"/>
        <v>7825</v>
      </c>
      <c r="AK524" s="16"/>
      <c r="AL524" s="17"/>
      <c r="AN524" s="16"/>
    </row>
    <row r="525" spans="2:40" x14ac:dyDescent="0.4">
      <c r="B525" s="6">
        <f t="shared" si="108"/>
        <v>46011</v>
      </c>
      <c r="C525" s="8">
        <f t="shared" si="109"/>
        <v>299.72799999999995</v>
      </c>
      <c r="D525" s="5">
        <f t="shared" si="110"/>
        <v>1106.2159999999997</v>
      </c>
      <c r="E525" s="5">
        <f t="shared" si="111"/>
        <v>1346.2159999999997</v>
      </c>
      <c r="F525" s="5">
        <f t="shared" si="112"/>
        <v>2456.2159999999994</v>
      </c>
      <c r="H525" s="6"/>
      <c r="I525" s="11">
        <v>45647</v>
      </c>
      <c r="J525" s="9">
        <v>642.82600000000002</v>
      </c>
      <c r="K525" s="9">
        <v>835.56600000000003</v>
      </c>
      <c r="O525" s="11">
        <v>46046</v>
      </c>
      <c r="P525" s="9">
        <v>5102.2</v>
      </c>
      <c r="Q525" s="9">
        <v>3656.8</v>
      </c>
      <c r="R525" s="9">
        <v>6720</v>
      </c>
      <c r="S525" s="9">
        <v>6935</v>
      </c>
      <c r="T525" s="31">
        <v>7880</v>
      </c>
      <c r="W525" s="16">
        <f t="shared" si="113"/>
        <v>45647</v>
      </c>
      <c r="X525" s="9">
        <f t="shared" si="114"/>
        <v>642.82600000000002</v>
      </c>
      <c r="Y525" s="9">
        <f t="shared" si="115"/>
        <v>835.56600000000003</v>
      </c>
      <c r="AA525" s="16">
        <f t="shared" si="116"/>
        <v>46046</v>
      </c>
      <c r="AB525" s="21">
        <f t="shared" si="117"/>
        <v>5102.2</v>
      </c>
      <c r="AC525" s="21">
        <f t="shared" si="118"/>
        <v>3656.8</v>
      </c>
      <c r="AD525" s="21">
        <f t="shared" si="119"/>
        <v>6720</v>
      </c>
      <c r="AE525" s="21">
        <f t="shared" si="120"/>
        <v>6935</v>
      </c>
      <c r="AF525" s="21">
        <f t="shared" si="121"/>
        <v>7880</v>
      </c>
      <c r="AK525" s="16"/>
      <c r="AL525" s="17"/>
      <c r="AN525" s="16"/>
    </row>
    <row r="526" spans="2:40" x14ac:dyDescent="0.4">
      <c r="B526" s="6">
        <f t="shared" si="108"/>
        <v>46018</v>
      </c>
      <c r="C526" s="8">
        <f t="shared" si="109"/>
        <v>357.20249999999999</v>
      </c>
      <c r="D526" s="5">
        <f t="shared" si="110"/>
        <v>916.78500000000008</v>
      </c>
      <c r="E526" s="5">
        <f t="shared" si="111"/>
        <v>1171.7850000000001</v>
      </c>
      <c r="F526" s="5">
        <f t="shared" si="112"/>
        <v>2186.7849999999999</v>
      </c>
      <c r="H526" s="6"/>
      <c r="I526" s="11">
        <v>45654</v>
      </c>
      <c r="J526" s="9">
        <v>648.90499999999997</v>
      </c>
      <c r="K526" s="9">
        <v>827.33</v>
      </c>
      <c r="O526" s="11">
        <v>46053</v>
      </c>
      <c r="P526" s="9">
        <v>5272</v>
      </c>
      <c r="Q526" s="9">
        <v>3841.2</v>
      </c>
      <c r="R526" s="9">
        <v>6965</v>
      </c>
      <c r="S526" s="9">
        <v>7220</v>
      </c>
      <c r="T526" s="31">
        <v>8060</v>
      </c>
      <c r="W526" s="16">
        <f t="shared" si="113"/>
        <v>45654</v>
      </c>
      <c r="X526" s="9">
        <f t="shared" si="114"/>
        <v>648.90499999999997</v>
      </c>
      <c r="Y526" s="9">
        <f t="shared" si="115"/>
        <v>827.33</v>
      </c>
      <c r="AA526" s="16">
        <f t="shared" si="116"/>
        <v>46053</v>
      </c>
      <c r="AB526" s="21">
        <f t="shared" si="117"/>
        <v>5272</v>
      </c>
      <c r="AC526" s="21">
        <f t="shared" si="118"/>
        <v>3841.2</v>
      </c>
      <c r="AD526" s="21">
        <f t="shared" si="119"/>
        <v>6965</v>
      </c>
      <c r="AE526" s="21">
        <f t="shared" si="120"/>
        <v>7220</v>
      </c>
      <c r="AF526" s="21">
        <f t="shared" si="121"/>
        <v>8060</v>
      </c>
      <c r="AK526" s="16"/>
      <c r="AL526" s="17"/>
      <c r="AN526" s="16"/>
    </row>
    <row r="527" spans="2:40" x14ac:dyDescent="0.4">
      <c r="B527" s="6">
        <f t="shared" si="108"/>
        <v>46025</v>
      </c>
      <c r="C527" s="8">
        <f t="shared" si="109"/>
        <v>356.28749999999991</v>
      </c>
      <c r="D527" s="5">
        <f t="shared" si="110"/>
        <v>962.11166666666622</v>
      </c>
      <c r="E527" s="5">
        <f t="shared" si="111"/>
        <v>1212.1116666666662</v>
      </c>
      <c r="F527" s="5">
        <f t="shared" si="112"/>
        <v>2162.1116666666662</v>
      </c>
      <c r="H527" s="6"/>
      <c r="I527" s="11">
        <v>45661</v>
      </c>
      <c r="J527" s="9">
        <v>665.61</v>
      </c>
      <c r="K527" s="9">
        <v>837.33249999999998</v>
      </c>
      <c r="O527" s="11">
        <v>46060</v>
      </c>
      <c r="P527" s="9">
        <v>5113</v>
      </c>
      <c r="Q527" s="9">
        <v>3664.6</v>
      </c>
      <c r="R527" s="9">
        <v>7085</v>
      </c>
      <c r="S527" s="9">
        <v>7260</v>
      </c>
      <c r="T527" s="31">
        <v>8170</v>
      </c>
      <c r="W527" s="16">
        <f t="shared" si="113"/>
        <v>45661</v>
      </c>
      <c r="X527" s="9">
        <f t="shared" si="114"/>
        <v>665.61</v>
      </c>
      <c r="Y527" s="9">
        <f t="shared" si="115"/>
        <v>837.33249999999998</v>
      </c>
      <c r="AA527" s="16">
        <f t="shared" si="116"/>
        <v>46060</v>
      </c>
      <c r="AB527" s="21">
        <f t="shared" si="117"/>
        <v>5113</v>
      </c>
      <c r="AC527" s="21">
        <f t="shared" si="118"/>
        <v>3664.6</v>
      </c>
      <c r="AD527" s="21">
        <f t="shared" si="119"/>
        <v>7085</v>
      </c>
      <c r="AE527" s="21">
        <f t="shared" si="120"/>
        <v>7260</v>
      </c>
      <c r="AF527" s="21">
        <f t="shared" si="121"/>
        <v>8170</v>
      </c>
      <c r="AK527" s="16"/>
      <c r="AL527" s="17"/>
      <c r="AN527" s="16"/>
    </row>
    <row r="528" spans="2:40" x14ac:dyDescent="0.4">
      <c r="B528" s="6">
        <f t="shared" si="108"/>
        <v>46032</v>
      </c>
      <c r="C528" s="8">
        <f t="shared" si="109"/>
        <v>354.09400000000005</v>
      </c>
      <c r="D528" s="5">
        <f t="shared" si="110"/>
        <v>981.36833333333311</v>
      </c>
      <c r="E528" s="5">
        <f t="shared" si="111"/>
        <v>1231.3683333333331</v>
      </c>
      <c r="F528" s="5">
        <f t="shared" si="112"/>
        <v>2181.3683333333329</v>
      </c>
      <c r="H528" s="6"/>
      <c r="I528" s="11">
        <v>45668</v>
      </c>
      <c r="J528" s="9">
        <v>667.27599999999995</v>
      </c>
      <c r="K528" s="9">
        <v>842.1</v>
      </c>
      <c r="O528" s="11">
        <v>46067</v>
      </c>
      <c r="P528" s="9">
        <v>5148.833333333333</v>
      </c>
      <c r="Q528" s="9">
        <v>3617.1666666666665</v>
      </c>
      <c r="R528" s="9">
        <v>7033.333333333333</v>
      </c>
      <c r="S528" s="9">
        <v>7250</v>
      </c>
      <c r="T528" s="31">
        <v>8150</v>
      </c>
      <c r="W528" s="16">
        <f t="shared" si="113"/>
        <v>45668</v>
      </c>
      <c r="X528" s="9">
        <f t="shared" si="114"/>
        <v>667.27599999999995</v>
      </c>
      <c r="Y528" s="9">
        <f t="shared" si="115"/>
        <v>842.1</v>
      </c>
      <c r="AA528" s="16">
        <f t="shared" si="116"/>
        <v>46067</v>
      </c>
      <c r="AB528" s="21">
        <f t="shared" si="117"/>
        <v>5148.833333333333</v>
      </c>
      <c r="AC528" s="21">
        <f t="shared" si="118"/>
        <v>3617.1666666666665</v>
      </c>
      <c r="AD528" s="21">
        <f t="shared" si="119"/>
        <v>7033.333333333333</v>
      </c>
      <c r="AE528" s="21">
        <f t="shared" si="120"/>
        <v>7250</v>
      </c>
      <c r="AF528" s="21">
        <f t="shared" si="121"/>
        <v>8150</v>
      </c>
      <c r="AK528" s="16"/>
      <c r="AL528" s="17"/>
      <c r="AN528" s="16"/>
    </row>
    <row r="529" spans="2:40" x14ac:dyDescent="0.4">
      <c r="B529" s="6">
        <f t="shared" si="108"/>
        <v>46039</v>
      </c>
      <c r="C529" s="8">
        <f t="shared" si="109"/>
        <v>332.40599999999995</v>
      </c>
      <c r="D529" s="5">
        <f t="shared" si="110"/>
        <v>1135.6199999999999</v>
      </c>
      <c r="E529" s="5">
        <f t="shared" si="111"/>
        <v>1335.62</v>
      </c>
      <c r="F529" s="5">
        <f t="shared" si="112"/>
        <v>2270.62</v>
      </c>
      <c r="H529" s="6"/>
      <c r="I529" s="11">
        <v>45675</v>
      </c>
      <c r="J529" s="9">
        <v>684.22199999999998</v>
      </c>
      <c r="K529" s="9">
        <v>888.8</v>
      </c>
      <c r="O529" s="11">
        <v>46081</v>
      </c>
      <c r="P529" s="9">
        <v>5232</v>
      </c>
      <c r="Q529" s="9">
        <v>3628.6</v>
      </c>
      <c r="R529" s="9">
        <v>7075</v>
      </c>
      <c r="S529" s="9">
        <v>7300</v>
      </c>
      <c r="T529" s="31">
        <v>8170</v>
      </c>
      <c r="W529" s="16">
        <f t="shared" si="113"/>
        <v>45675</v>
      </c>
      <c r="X529" s="9">
        <f t="shared" si="114"/>
        <v>684.22199999999998</v>
      </c>
      <c r="Y529" s="9">
        <f t="shared" si="115"/>
        <v>888.8</v>
      </c>
      <c r="AA529" s="16">
        <f t="shared" si="116"/>
        <v>46081</v>
      </c>
      <c r="AB529" s="21">
        <f t="shared" si="117"/>
        <v>5232</v>
      </c>
      <c r="AC529" s="21">
        <f t="shared" si="118"/>
        <v>3628.6</v>
      </c>
      <c r="AD529" s="21">
        <f t="shared" si="119"/>
        <v>7075</v>
      </c>
      <c r="AE529" s="21">
        <f t="shared" si="120"/>
        <v>7300</v>
      </c>
      <c r="AF529" s="21">
        <f t="shared" si="121"/>
        <v>8170</v>
      </c>
      <c r="AK529" s="16"/>
      <c r="AL529" s="17"/>
      <c r="AN529" s="16"/>
    </row>
    <row r="530" spans="2:40" x14ac:dyDescent="0.4">
      <c r="B530" s="6">
        <f t="shared" si="108"/>
        <v>46046</v>
      </c>
      <c r="C530" s="8">
        <f t="shared" si="109"/>
        <v>337.404</v>
      </c>
      <c r="D530" s="5">
        <f t="shared" si="110"/>
        <v>1132.5910000000003</v>
      </c>
      <c r="E530" s="5">
        <f t="shared" si="111"/>
        <v>1347.5910000000003</v>
      </c>
      <c r="F530" s="5">
        <f t="shared" si="112"/>
        <v>2292.5910000000003</v>
      </c>
      <c r="H530" s="6"/>
      <c r="I530" s="11">
        <v>45682</v>
      </c>
      <c r="J530" s="9">
        <v>675.096</v>
      </c>
      <c r="K530" s="9">
        <v>877.53</v>
      </c>
      <c r="O530" s="11">
        <v>46088</v>
      </c>
      <c r="P530" s="9">
        <v>5632</v>
      </c>
      <c r="Q530" s="9">
        <v>4017.4</v>
      </c>
      <c r="R530" s="9">
        <v>7410</v>
      </c>
      <c r="S530" s="9">
        <v>7630</v>
      </c>
      <c r="T530" s="31">
        <v>8530</v>
      </c>
      <c r="W530" s="16">
        <f t="shared" si="113"/>
        <v>45682</v>
      </c>
      <c r="X530" s="9">
        <f t="shared" si="114"/>
        <v>675.096</v>
      </c>
      <c r="Y530" s="9">
        <f t="shared" si="115"/>
        <v>877.53</v>
      </c>
      <c r="AA530" s="16">
        <f t="shared" si="116"/>
        <v>46088</v>
      </c>
      <c r="AB530" s="21">
        <f t="shared" si="117"/>
        <v>5632</v>
      </c>
      <c r="AC530" s="21">
        <f t="shared" si="118"/>
        <v>4017.4</v>
      </c>
      <c r="AD530" s="21">
        <f t="shared" si="119"/>
        <v>7410</v>
      </c>
      <c r="AE530" s="21">
        <f t="shared" si="120"/>
        <v>7630</v>
      </c>
      <c r="AF530" s="21">
        <f t="shared" si="121"/>
        <v>8530</v>
      </c>
      <c r="AK530" s="16"/>
      <c r="AL530" s="17"/>
      <c r="AN530" s="16"/>
    </row>
    <row r="531" spans="2:40" x14ac:dyDescent="0.4">
      <c r="B531" s="6">
        <f t="shared" si="108"/>
        <v>46053</v>
      </c>
      <c r="C531" s="8">
        <f t="shared" si="109"/>
        <v>330.93999999999994</v>
      </c>
      <c r="D531" s="5">
        <f t="shared" si="110"/>
        <v>1170.6380000000006</v>
      </c>
      <c r="E531" s="5">
        <f t="shared" si="111"/>
        <v>1425.6380000000006</v>
      </c>
      <c r="F531" s="5">
        <f t="shared" si="112"/>
        <v>2265.6380000000008</v>
      </c>
      <c r="H531" s="6"/>
      <c r="I531" s="11">
        <v>45689</v>
      </c>
      <c r="J531" s="9">
        <v>671.98800000000006</v>
      </c>
      <c r="K531" s="9">
        <v>860.11</v>
      </c>
      <c r="O531" s="11">
        <v>46095</v>
      </c>
      <c r="P531" s="9">
        <v>6685</v>
      </c>
      <c r="Q531" s="9">
        <v>4575.6000000000004</v>
      </c>
      <c r="R531" s="9">
        <v>9220</v>
      </c>
      <c r="S531" s="9">
        <v>9470</v>
      </c>
      <c r="T531" s="31">
        <v>10560</v>
      </c>
      <c r="W531" s="16">
        <f t="shared" si="113"/>
        <v>45689</v>
      </c>
      <c r="X531" s="9">
        <f t="shared" si="114"/>
        <v>671.98800000000006</v>
      </c>
      <c r="Y531" s="9">
        <f t="shared" si="115"/>
        <v>860.11</v>
      </c>
      <c r="AA531" s="16">
        <f t="shared" si="116"/>
        <v>46095</v>
      </c>
      <c r="AB531" s="21">
        <f t="shared" si="117"/>
        <v>6685</v>
      </c>
      <c r="AC531" s="21">
        <f t="shared" si="118"/>
        <v>4575.6000000000004</v>
      </c>
      <c r="AD531" s="21">
        <f t="shared" si="119"/>
        <v>9220</v>
      </c>
      <c r="AE531" s="21">
        <f t="shared" si="120"/>
        <v>9470</v>
      </c>
      <c r="AF531" s="21">
        <f t="shared" si="121"/>
        <v>10560</v>
      </c>
      <c r="AK531" s="16"/>
      <c r="AL531" s="17"/>
      <c r="AN531" s="16"/>
    </row>
    <row r="532" spans="2:40" x14ac:dyDescent="0.4">
      <c r="B532" s="6">
        <f t="shared" si="108"/>
        <v>46060</v>
      </c>
      <c r="C532" s="8">
        <f t="shared" si="109"/>
        <v>295.35799999999995</v>
      </c>
      <c r="D532" s="5">
        <f t="shared" si="110"/>
        <v>1485.7440000000001</v>
      </c>
      <c r="E532" s="5">
        <f t="shared" si="111"/>
        <v>1660.7440000000001</v>
      </c>
      <c r="F532" s="5">
        <f t="shared" si="112"/>
        <v>2570.7440000000001</v>
      </c>
      <c r="H532" s="6"/>
      <c r="I532" s="11">
        <v>45696</v>
      </c>
      <c r="J532" s="9">
        <v>663.11800000000005</v>
      </c>
      <c r="K532" s="9">
        <v>867.2</v>
      </c>
      <c r="O532" s="11">
        <v>46102</v>
      </c>
      <c r="P532" s="9">
        <v>6790</v>
      </c>
      <c r="Q532" s="9">
        <v>4925.8</v>
      </c>
      <c r="R532" s="9">
        <v>9185</v>
      </c>
      <c r="S532" s="9">
        <v>9395</v>
      </c>
      <c r="T532" s="31">
        <v>10590</v>
      </c>
      <c r="W532" s="16">
        <f t="shared" si="113"/>
        <v>45696</v>
      </c>
      <c r="X532" s="9">
        <f t="shared" si="114"/>
        <v>663.11800000000005</v>
      </c>
      <c r="Y532" s="9">
        <f t="shared" si="115"/>
        <v>867.2</v>
      </c>
      <c r="AA532" s="16">
        <f t="shared" si="116"/>
        <v>46102</v>
      </c>
      <c r="AB532" s="21">
        <f t="shared" si="117"/>
        <v>6790</v>
      </c>
      <c r="AC532" s="21">
        <f t="shared" si="118"/>
        <v>4925.8</v>
      </c>
      <c r="AD532" s="21">
        <f t="shared" si="119"/>
        <v>9185</v>
      </c>
      <c r="AE532" s="21">
        <f t="shared" si="120"/>
        <v>9395</v>
      </c>
      <c r="AF532" s="21">
        <f t="shared" si="121"/>
        <v>10590</v>
      </c>
      <c r="AK532" s="16"/>
      <c r="AL532" s="17"/>
      <c r="AN532" s="16"/>
    </row>
    <row r="533" spans="2:40" x14ac:dyDescent="0.4">
      <c r="B533" s="6">
        <f t="shared" si="108"/>
        <v>46067</v>
      </c>
      <c r="C533" s="8">
        <f t="shared" si="109"/>
        <v>288.77600000000007</v>
      </c>
      <c r="D533" s="5">
        <f t="shared" si="110"/>
        <v>1419.3300000000002</v>
      </c>
      <c r="E533" s="5">
        <f t="shared" si="111"/>
        <v>1635.9966666666671</v>
      </c>
      <c r="F533" s="5">
        <f t="shared" si="112"/>
        <v>2535.9966666666669</v>
      </c>
      <c r="H533" s="6"/>
      <c r="I533" s="11">
        <v>45703</v>
      </c>
      <c r="J533" s="9">
        <v>678.90200000000004</v>
      </c>
      <c r="K533" s="9">
        <v>889.26599999999996</v>
      </c>
      <c r="O533" s="11">
        <v>46109</v>
      </c>
      <c r="P533" s="9">
        <v>6682</v>
      </c>
      <c r="Q533" s="9">
        <v>5145.3999999999996</v>
      </c>
      <c r="R533" s="9">
        <v>9030</v>
      </c>
      <c r="S533" s="9">
        <v>9275</v>
      </c>
      <c r="T533" s="31">
        <v>10420</v>
      </c>
      <c r="W533" s="16">
        <f t="shared" si="113"/>
        <v>45703</v>
      </c>
      <c r="X533" s="9">
        <f t="shared" si="114"/>
        <v>678.90200000000004</v>
      </c>
      <c r="Y533" s="9">
        <f t="shared" si="115"/>
        <v>889.26599999999996</v>
      </c>
      <c r="AA533" s="16">
        <f t="shared" si="116"/>
        <v>46109</v>
      </c>
      <c r="AB533" s="21">
        <f t="shared" si="117"/>
        <v>6682</v>
      </c>
      <c r="AC533" s="21">
        <f t="shared" si="118"/>
        <v>5145.3999999999996</v>
      </c>
      <c r="AD533" s="21">
        <f t="shared" si="119"/>
        <v>9030</v>
      </c>
      <c r="AE533" s="21">
        <f t="shared" si="120"/>
        <v>9275</v>
      </c>
      <c r="AF533" s="21">
        <f t="shared" si="121"/>
        <v>10420</v>
      </c>
      <c r="AK533" s="16"/>
      <c r="AL533" s="17"/>
      <c r="AN533" s="16"/>
    </row>
    <row r="534" spans="2:40" x14ac:dyDescent="0.4">
      <c r="B534" s="6">
        <f t="shared" si="108"/>
        <v>46074</v>
      </c>
      <c r="C534" s="8">
        <f t="shared" si="109"/>
        <v>302.77666666666664</v>
      </c>
      <c r="D534" s="5">
        <f t="shared" si="110"/>
        <v>1419.3300000000002</v>
      </c>
      <c r="E534" s="5">
        <f t="shared" si="111"/>
        <v>1635.9966666666671</v>
      </c>
      <c r="F534" s="5">
        <f t="shared" si="112"/>
        <v>2535.9966666666669</v>
      </c>
      <c r="H534" s="6"/>
      <c r="I534" s="11">
        <v>45710</v>
      </c>
      <c r="J534" s="9">
        <v>677.48400000000004</v>
      </c>
      <c r="K534" s="9">
        <v>889.40200000000004</v>
      </c>
      <c r="O534" s="11">
        <v>46116</v>
      </c>
      <c r="P534" s="9">
        <v>6734</v>
      </c>
      <c r="Q534" s="9">
        <v>5228</v>
      </c>
      <c r="R534" s="9">
        <v>9225</v>
      </c>
      <c r="S534" s="9">
        <v>9405</v>
      </c>
      <c r="T534" s="31">
        <v>10370</v>
      </c>
      <c r="W534" s="16">
        <f t="shared" si="113"/>
        <v>45710</v>
      </c>
      <c r="X534" s="9">
        <f t="shared" si="114"/>
        <v>677.48400000000004</v>
      </c>
      <c r="Y534" s="9">
        <f t="shared" si="115"/>
        <v>889.40200000000004</v>
      </c>
      <c r="AA534" s="16">
        <f t="shared" si="116"/>
        <v>46116</v>
      </c>
      <c r="AB534" s="21">
        <f t="shared" si="117"/>
        <v>6734</v>
      </c>
      <c r="AC534" s="21">
        <f t="shared" si="118"/>
        <v>5228</v>
      </c>
      <c r="AD534" s="21">
        <f t="shared" si="119"/>
        <v>9225</v>
      </c>
      <c r="AE534" s="21">
        <f t="shared" si="120"/>
        <v>9405</v>
      </c>
      <c r="AF534" s="21">
        <f t="shared" si="121"/>
        <v>10370</v>
      </c>
      <c r="AK534" s="16"/>
      <c r="AL534" s="17"/>
      <c r="AN534" s="16"/>
    </row>
    <row r="535" spans="2:40" x14ac:dyDescent="0.4">
      <c r="B535" s="6">
        <f t="shared" si="108"/>
        <v>46081</v>
      </c>
      <c r="C535" s="8">
        <f t="shared" si="109"/>
        <v>295.548</v>
      </c>
      <c r="D535" s="5">
        <f t="shared" si="110"/>
        <v>1386.0590000000002</v>
      </c>
      <c r="E535" s="5">
        <f t="shared" si="111"/>
        <v>1611.0590000000002</v>
      </c>
      <c r="F535" s="5">
        <f t="shared" si="112"/>
        <v>2481.0590000000002</v>
      </c>
      <c r="H535" s="6"/>
      <c r="I535" s="11">
        <v>45717</v>
      </c>
      <c r="J535" s="9">
        <v>671.06600000000003</v>
      </c>
      <c r="K535" s="9">
        <v>869.26800000000003</v>
      </c>
      <c r="O535" s="11">
        <v>46123</v>
      </c>
      <c r="P535" s="9">
        <v>6577.5</v>
      </c>
      <c r="Q535" s="9">
        <v>5243</v>
      </c>
      <c r="R535" s="9">
        <v>9268.75</v>
      </c>
      <c r="S535" s="9">
        <v>9500</v>
      </c>
      <c r="T535" s="31">
        <v>10400</v>
      </c>
      <c r="W535" s="16">
        <f t="shared" si="113"/>
        <v>45717</v>
      </c>
      <c r="X535" s="9">
        <f t="shared" si="114"/>
        <v>671.06600000000003</v>
      </c>
      <c r="Y535" s="9">
        <f t="shared" si="115"/>
        <v>869.26800000000003</v>
      </c>
      <c r="AA535" s="16">
        <f t="shared" si="116"/>
        <v>46123</v>
      </c>
      <c r="AB535" s="21">
        <f t="shared" si="117"/>
        <v>6577.5</v>
      </c>
      <c r="AC535" s="21">
        <f t="shared" si="118"/>
        <v>5243</v>
      </c>
      <c r="AD535" s="21">
        <f t="shared" si="119"/>
        <v>9268.75</v>
      </c>
      <c r="AE535" s="21">
        <f t="shared" si="120"/>
        <v>9500</v>
      </c>
      <c r="AF535" s="21">
        <f t="shared" si="121"/>
        <v>10400</v>
      </c>
      <c r="AK535" s="16"/>
      <c r="AL535" s="17"/>
      <c r="AN535" s="16"/>
    </row>
    <row r="536" spans="2:40" x14ac:dyDescent="0.4">
      <c r="B536" s="6">
        <f t="shared" si="108"/>
        <v>46088</v>
      </c>
      <c r="C536" s="8">
        <f t="shared" si="109"/>
        <v>239.20600000000013</v>
      </c>
      <c r="D536" s="5">
        <f t="shared" si="110"/>
        <v>1248.8110000000001</v>
      </c>
      <c r="E536" s="5">
        <f t="shared" si="111"/>
        <v>1468.8110000000001</v>
      </c>
      <c r="F536" s="5">
        <f t="shared" si="112"/>
        <v>2368.8110000000001</v>
      </c>
      <c r="H536" s="6"/>
      <c r="I536" s="11">
        <v>45724</v>
      </c>
      <c r="J536" s="9">
        <v>641.26</v>
      </c>
      <c r="K536" s="9">
        <v>841.8</v>
      </c>
      <c r="O536" s="11">
        <v>46130</v>
      </c>
      <c r="P536" s="9">
        <v>6457</v>
      </c>
      <c r="Q536" s="9">
        <v>4991.6000000000004</v>
      </c>
      <c r="R536" s="9">
        <v>9055</v>
      </c>
      <c r="S536" s="9">
        <v>9410</v>
      </c>
      <c r="T536" s="31">
        <v>10270</v>
      </c>
      <c r="W536" s="16">
        <f t="shared" si="113"/>
        <v>45724</v>
      </c>
      <c r="X536" s="9">
        <f t="shared" si="114"/>
        <v>641.26</v>
      </c>
      <c r="Y536" s="9">
        <f t="shared" si="115"/>
        <v>841.8</v>
      </c>
      <c r="AA536" s="16">
        <f t="shared" si="116"/>
        <v>46130</v>
      </c>
      <c r="AB536" s="21">
        <f t="shared" si="117"/>
        <v>6457</v>
      </c>
      <c r="AC536" s="21">
        <f t="shared" si="118"/>
        <v>4991.6000000000004</v>
      </c>
      <c r="AD536" s="21">
        <f t="shared" si="119"/>
        <v>9055</v>
      </c>
      <c r="AE536" s="21">
        <f t="shared" si="120"/>
        <v>9410</v>
      </c>
      <c r="AF536" s="21">
        <f t="shared" si="121"/>
        <v>10270</v>
      </c>
      <c r="AK536" s="16"/>
      <c r="AL536" s="17"/>
      <c r="AN536" s="16"/>
    </row>
    <row r="537" spans="2:40" x14ac:dyDescent="0.4">
      <c r="B537" s="6">
        <f t="shared" si="108"/>
        <v>46095</v>
      </c>
      <c r="C537" s="8">
        <f t="shared" si="109"/>
        <v>213.23399999999992</v>
      </c>
      <c r="D537" s="5">
        <f t="shared" si="110"/>
        <v>1971.4989999999996</v>
      </c>
      <c r="E537" s="5">
        <f t="shared" si="111"/>
        <v>2221.4989999999998</v>
      </c>
      <c r="F537" s="5">
        <f t="shared" si="112"/>
        <v>3311.4989999999998</v>
      </c>
      <c r="H537" s="6"/>
      <c r="I537" s="11">
        <v>45731</v>
      </c>
      <c r="J537" s="9">
        <v>647.226</v>
      </c>
      <c r="K537" s="9">
        <v>827.26599999999996</v>
      </c>
      <c r="O537" s="11">
        <v>46137</v>
      </c>
      <c r="P537" s="9">
        <v>6530</v>
      </c>
      <c r="Q537" s="9">
        <v>4900.6000000000004</v>
      </c>
      <c r="R537" s="9">
        <v>8790</v>
      </c>
      <c r="S537" s="9">
        <v>9190</v>
      </c>
      <c r="T537" s="31">
        <v>9940</v>
      </c>
      <c r="W537" s="16">
        <f t="shared" si="113"/>
        <v>45731</v>
      </c>
      <c r="X537" s="9">
        <f t="shared" si="114"/>
        <v>647.226</v>
      </c>
      <c r="Y537" s="9">
        <f t="shared" si="115"/>
        <v>827.26599999999996</v>
      </c>
      <c r="AA537" s="16">
        <f t="shared" si="116"/>
        <v>46137</v>
      </c>
      <c r="AB537" s="21">
        <f t="shared" si="117"/>
        <v>6530</v>
      </c>
      <c r="AC537" s="21">
        <f t="shared" si="118"/>
        <v>4900.6000000000004</v>
      </c>
      <c r="AD537" s="21">
        <f t="shared" si="119"/>
        <v>8790</v>
      </c>
      <c r="AE537" s="21">
        <f t="shared" si="120"/>
        <v>9190</v>
      </c>
      <c r="AF537" s="21">
        <f t="shared" si="121"/>
        <v>9940</v>
      </c>
      <c r="AK537" s="16"/>
      <c r="AL537" s="17"/>
      <c r="AN537" s="16"/>
    </row>
    <row r="538" spans="2:40" x14ac:dyDescent="0.4">
      <c r="B538" s="6">
        <f t="shared" si="108"/>
        <v>46102</v>
      </c>
      <c r="C538" s="8">
        <f t="shared" si="109"/>
        <v>50.411999999999807</v>
      </c>
      <c r="D538" s="5">
        <f t="shared" si="110"/>
        <v>1729.4069999999999</v>
      </c>
      <c r="E538" s="5">
        <f t="shared" si="111"/>
        <v>1939.4069999999999</v>
      </c>
      <c r="F538" s="5">
        <f t="shared" si="112"/>
        <v>3134.4070000000002</v>
      </c>
      <c r="H538" s="6"/>
      <c r="I538" s="11">
        <v>45738</v>
      </c>
      <c r="J538" s="9">
        <v>653.85799999999995</v>
      </c>
      <c r="K538" s="9">
        <v>838.26599999999996</v>
      </c>
      <c r="O538" s="11">
        <v>46144</v>
      </c>
      <c r="P538" s="9">
        <v>6842.5</v>
      </c>
      <c r="Q538" s="9">
        <v>5099.5</v>
      </c>
      <c r="R538" s="9">
        <v>8600</v>
      </c>
      <c r="S538" s="9">
        <v>9031.25</v>
      </c>
      <c r="T538" s="31">
        <v>9812.5</v>
      </c>
      <c r="W538" s="16">
        <f t="shared" si="113"/>
        <v>45738</v>
      </c>
      <c r="X538" s="9">
        <f t="shared" si="114"/>
        <v>653.85799999999995</v>
      </c>
      <c r="Y538" s="9">
        <f t="shared" si="115"/>
        <v>838.26599999999996</v>
      </c>
      <c r="AA538" s="16">
        <f t="shared" si="116"/>
        <v>46144</v>
      </c>
      <c r="AB538" s="21">
        <f t="shared" si="117"/>
        <v>6842.5</v>
      </c>
      <c r="AC538" s="21">
        <f t="shared" si="118"/>
        <v>5099.5</v>
      </c>
      <c r="AD538" s="21">
        <f t="shared" si="119"/>
        <v>8600</v>
      </c>
      <c r="AE538" s="21">
        <f t="shared" si="120"/>
        <v>9031.25</v>
      </c>
      <c r="AF538" s="21">
        <f t="shared" si="121"/>
        <v>9812.5</v>
      </c>
      <c r="AK538" s="16"/>
      <c r="AL538" s="17"/>
      <c r="AN538" s="16"/>
    </row>
    <row r="539" spans="2:40" x14ac:dyDescent="0.4">
      <c r="B539" s="6">
        <f t="shared" si="108"/>
        <v>46109</v>
      </c>
      <c r="C539" s="8">
        <f t="shared" si="109"/>
        <v>8.72199999999998</v>
      </c>
      <c r="D539" s="5">
        <f t="shared" si="110"/>
        <v>1593.1810000000003</v>
      </c>
      <c r="E539" s="5">
        <f t="shared" si="111"/>
        <v>1838.1810000000003</v>
      </c>
      <c r="F539" s="5">
        <f t="shared" si="112"/>
        <v>2983.1810000000005</v>
      </c>
      <c r="H539" s="6"/>
      <c r="I539" s="11">
        <v>45745</v>
      </c>
      <c r="J539" s="9">
        <v>656.49</v>
      </c>
      <c r="K539" s="9">
        <v>846.06600000000003</v>
      </c>
      <c r="O539" s="11">
        <v>46151</v>
      </c>
      <c r="P539" s="9">
        <v>6716.25</v>
      </c>
      <c r="Q539" s="9">
        <v>5023.25</v>
      </c>
      <c r="R539" s="9">
        <v>8737.5</v>
      </c>
      <c r="S539" s="9">
        <v>9087.5</v>
      </c>
      <c r="T539" s="31">
        <v>9787.5</v>
      </c>
      <c r="W539" s="16">
        <f t="shared" si="113"/>
        <v>45745</v>
      </c>
      <c r="X539" s="9">
        <f t="shared" si="114"/>
        <v>656.49</v>
      </c>
      <c r="Y539" s="9">
        <f t="shared" si="115"/>
        <v>846.06600000000003</v>
      </c>
      <c r="AA539" s="16">
        <f t="shared" si="116"/>
        <v>46151</v>
      </c>
      <c r="AB539" s="21">
        <f t="shared" si="117"/>
        <v>6716.25</v>
      </c>
      <c r="AC539" s="21">
        <f t="shared" si="118"/>
        <v>5023.25</v>
      </c>
      <c r="AD539" s="21">
        <f t="shared" si="119"/>
        <v>8737.5</v>
      </c>
      <c r="AE539" s="21">
        <f t="shared" si="120"/>
        <v>9087.5</v>
      </c>
      <c r="AF539" s="21">
        <f t="shared" si="121"/>
        <v>9787.5</v>
      </c>
      <c r="AK539" s="16"/>
      <c r="AL539" s="17"/>
      <c r="AN539" s="16"/>
    </row>
    <row r="540" spans="2:40" x14ac:dyDescent="0.4">
      <c r="B540" s="6">
        <f t="shared" si="108"/>
        <v>46116</v>
      </c>
      <c r="C540" s="8">
        <f t="shared" si="109"/>
        <v>-89.837499999999864</v>
      </c>
      <c r="D540" s="5">
        <f t="shared" si="110"/>
        <v>1716.0500000000002</v>
      </c>
      <c r="E540" s="5">
        <f t="shared" si="111"/>
        <v>1896.0500000000002</v>
      </c>
      <c r="F540" s="5">
        <f t="shared" si="112"/>
        <v>2861.05</v>
      </c>
      <c r="H540" s="6"/>
      <c r="I540" s="11">
        <v>45752</v>
      </c>
      <c r="J540" s="9">
        <v>629.79</v>
      </c>
      <c r="K540" s="9">
        <v>836.5</v>
      </c>
      <c r="O540" s="11">
        <v>46158</v>
      </c>
      <c r="P540" s="9">
        <v>6561</v>
      </c>
      <c r="Q540" s="9">
        <v>4901.2</v>
      </c>
      <c r="R540" s="9">
        <v>8600</v>
      </c>
      <c r="S540" s="9">
        <v>9045</v>
      </c>
      <c r="T540" s="31">
        <v>9650</v>
      </c>
      <c r="W540" s="16">
        <f t="shared" si="113"/>
        <v>45752</v>
      </c>
      <c r="X540" s="9">
        <f t="shared" si="114"/>
        <v>629.79</v>
      </c>
      <c r="Y540" s="9">
        <f t="shared" si="115"/>
        <v>836.5</v>
      </c>
      <c r="AA540" s="16">
        <f t="shared" si="116"/>
        <v>46158</v>
      </c>
      <c r="AB540" s="21">
        <f t="shared" si="117"/>
        <v>6561</v>
      </c>
      <c r="AC540" s="21">
        <f t="shared" si="118"/>
        <v>4901.2</v>
      </c>
      <c r="AD540" s="21">
        <f t="shared" si="119"/>
        <v>8600</v>
      </c>
      <c r="AE540" s="21">
        <f t="shared" si="120"/>
        <v>9045</v>
      </c>
      <c r="AF540" s="21">
        <f t="shared" si="121"/>
        <v>9650</v>
      </c>
      <c r="AK540" s="16"/>
      <c r="AL540" s="17"/>
      <c r="AN540" s="16"/>
    </row>
    <row r="541" spans="2:40" x14ac:dyDescent="0.4">
      <c r="B541" s="6">
        <f t="shared" si="108"/>
        <v>46123</v>
      </c>
      <c r="C541" s="8">
        <f t="shared" si="109"/>
        <v>-43.930000000000064</v>
      </c>
      <c r="D541" s="5">
        <f t="shared" si="110"/>
        <v>1888.5825</v>
      </c>
      <c r="E541" s="5">
        <f t="shared" si="111"/>
        <v>2119.8325</v>
      </c>
      <c r="F541" s="5">
        <f t="shared" si="112"/>
        <v>3019.8325</v>
      </c>
      <c r="H541" s="6"/>
      <c r="I541" s="11">
        <v>45759</v>
      </c>
      <c r="J541" s="9">
        <v>539.52599999999995</v>
      </c>
      <c r="K541" s="9">
        <v>723.66600000000005</v>
      </c>
      <c r="O541" s="11">
        <v>46165</v>
      </c>
      <c r="P541" s="9">
        <v>6511</v>
      </c>
      <c r="Q541" s="9">
        <v>4812.6000000000004</v>
      </c>
      <c r="R541" s="9">
        <v>8595</v>
      </c>
      <c r="S541" s="9">
        <v>8965</v>
      </c>
      <c r="T541" s="31">
        <v>9650</v>
      </c>
      <c r="W541" s="16">
        <f t="shared" si="113"/>
        <v>45759</v>
      </c>
      <c r="X541" s="9">
        <f t="shared" si="114"/>
        <v>539.52599999999995</v>
      </c>
      <c r="Y541" s="9">
        <f t="shared" si="115"/>
        <v>723.66600000000005</v>
      </c>
      <c r="AA541" s="16">
        <f>O541</f>
        <v>46165</v>
      </c>
      <c r="AB541" s="21">
        <f>IFERROR(IF(P541&lt;&gt;0,P541,AB540),AB540)</f>
        <v>6511</v>
      </c>
      <c r="AC541" s="21">
        <f t="shared" si="118"/>
        <v>4812.6000000000004</v>
      </c>
      <c r="AD541" s="21">
        <f t="shared" si="119"/>
        <v>8595</v>
      </c>
      <c r="AE541" s="21">
        <f t="shared" si="120"/>
        <v>8965</v>
      </c>
      <c r="AF541" s="21">
        <f t="shared" si="121"/>
        <v>9650</v>
      </c>
      <c r="AK541" s="16"/>
      <c r="AL541" s="17"/>
      <c r="AN541" s="16"/>
    </row>
    <row r="542" spans="2:40" x14ac:dyDescent="0.4">
      <c r="B542" s="6">
        <f t="shared" si="108"/>
        <v>46130</v>
      </c>
      <c r="C542" s="8">
        <f t="shared" si="109"/>
        <v>54.687999999999874</v>
      </c>
      <c r="D542" s="5">
        <f t="shared" si="110"/>
        <v>1862.0790000000002</v>
      </c>
      <c r="E542" s="5">
        <f t="shared" si="111"/>
        <v>2217.0790000000002</v>
      </c>
      <c r="F542" s="5">
        <f t="shared" si="112"/>
        <v>3077.0790000000002</v>
      </c>
      <c r="H542" s="6"/>
      <c r="I542" s="11">
        <v>45766</v>
      </c>
      <c r="J542" s="9">
        <v>568.41250000000002</v>
      </c>
      <c r="K542" s="9">
        <v>732.08500000000004</v>
      </c>
      <c r="O542" s="11">
        <v>46172</v>
      </c>
      <c r="P542" s="9">
        <v>6177</v>
      </c>
      <c r="Q542" s="9">
        <v>4547</v>
      </c>
      <c r="R542" s="9">
        <v>8420</v>
      </c>
      <c r="S542" s="9">
        <v>8780</v>
      </c>
      <c r="T542" s="31">
        <v>9485</v>
      </c>
      <c r="W542" s="16">
        <f t="shared" si="113"/>
        <v>45766</v>
      </c>
      <c r="X542" s="9">
        <f t="shared" si="114"/>
        <v>568.41250000000002</v>
      </c>
      <c r="Y542" s="9">
        <f t="shared" si="115"/>
        <v>732.08500000000004</v>
      </c>
      <c r="AA542" s="16">
        <f t="shared" ref="AA542:AA543" si="122">O542</f>
        <v>46172</v>
      </c>
      <c r="AB542" s="21">
        <f t="shared" ref="AB542:AB543" si="123">IFERROR(IF(P542&lt;&gt;0,P542,AB541),AB541)</f>
        <v>6177</v>
      </c>
      <c r="AC542" s="21">
        <f t="shared" si="118"/>
        <v>4547</v>
      </c>
      <c r="AD542" s="21">
        <f t="shared" si="119"/>
        <v>8420</v>
      </c>
      <c r="AE542" s="21">
        <f t="shared" si="120"/>
        <v>8780</v>
      </c>
      <c r="AF542" s="21">
        <f t="shared" si="121"/>
        <v>9485</v>
      </c>
      <c r="AK542" s="16"/>
      <c r="AL542" s="17"/>
      <c r="AN542" s="16"/>
    </row>
    <row r="543" spans="2:40" x14ac:dyDescent="0.4">
      <c r="B543" s="6">
        <f t="shared" si="108"/>
        <v>46137</v>
      </c>
      <c r="C543" s="8">
        <f t="shared" si="109"/>
        <v>136.18000000000006</v>
      </c>
      <c r="D543" s="5">
        <f t="shared" si="110"/>
        <v>1565.1490000000001</v>
      </c>
      <c r="E543" s="5">
        <f t="shared" si="111"/>
        <v>1965.1490000000001</v>
      </c>
      <c r="F543" s="5">
        <f t="shared" si="112"/>
        <v>2715.1490000000003</v>
      </c>
      <c r="H543" s="6"/>
      <c r="I543" s="11">
        <v>45773</v>
      </c>
      <c r="J543" s="9">
        <v>587.78399999999999</v>
      </c>
      <c r="K543" s="9">
        <v>745</v>
      </c>
      <c r="O543" s="11">
        <v>46179</v>
      </c>
      <c r="P543" s="9">
        <v>6415.2</v>
      </c>
      <c r="Q543" s="9">
        <v>4606.8</v>
      </c>
      <c r="R543" s="9">
        <v>8380</v>
      </c>
      <c r="S543" s="9">
        <v>8735</v>
      </c>
      <c r="T543" s="31">
        <v>9420</v>
      </c>
      <c r="W543" s="16">
        <f t="shared" si="113"/>
        <v>45773</v>
      </c>
      <c r="X543" s="9">
        <f t="shared" si="114"/>
        <v>587.78399999999999</v>
      </c>
      <c r="Y543" s="9">
        <f t="shared" si="115"/>
        <v>745</v>
      </c>
      <c r="AA543" s="16">
        <f t="shared" si="122"/>
        <v>46179</v>
      </c>
      <c r="AB543" s="21">
        <f t="shared" si="123"/>
        <v>6415.2</v>
      </c>
      <c r="AC543" s="21">
        <f t="shared" si="118"/>
        <v>4606.8</v>
      </c>
      <c r="AD543" s="21">
        <f t="shared" si="119"/>
        <v>8380</v>
      </c>
      <c r="AE543" s="21">
        <f t="shared" si="120"/>
        <v>8735</v>
      </c>
      <c r="AF543" s="21">
        <f t="shared" si="121"/>
        <v>9420</v>
      </c>
      <c r="AK543" s="16"/>
      <c r="AL543" s="17"/>
      <c r="AN543" s="16"/>
    </row>
    <row r="544" spans="2:40" x14ac:dyDescent="0.4">
      <c r="B544" s="6">
        <f t="shared" si="108"/>
        <v>46144</v>
      </c>
      <c r="C544" s="8">
        <f t="shared" si="109"/>
        <v>100.35500000000002</v>
      </c>
      <c r="D544" s="5">
        <f t="shared" si="110"/>
        <v>1041.3300000000002</v>
      </c>
      <c r="E544" s="5">
        <f t="shared" si="111"/>
        <v>1472.5800000000002</v>
      </c>
      <c r="F544" s="5">
        <f t="shared" si="112"/>
        <v>2253.83</v>
      </c>
      <c r="H544" s="6"/>
      <c r="I544" s="11">
        <v>45780</v>
      </c>
      <c r="J544" s="9">
        <v>577.08500000000004</v>
      </c>
      <c r="K544" s="9">
        <v>752.08249999999998</v>
      </c>
      <c r="O544" s="11">
        <v>46186</v>
      </c>
      <c r="P544" s="9">
        <v>6556</v>
      </c>
      <c r="Q544" s="9">
        <v>4691.3999999999996</v>
      </c>
      <c r="R544" s="9">
        <v>8500</v>
      </c>
      <c r="S544" s="9">
        <v>8790</v>
      </c>
      <c r="T544" s="31">
        <v>9490</v>
      </c>
      <c r="W544" s="16">
        <f t="shared" si="113"/>
        <v>45780</v>
      </c>
      <c r="X544" s="9">
        <f t="shared" si="114"/>
        <v>577.08500000000004</v>
      </c>
      <c r="Y544" s="9">
        <f t="shared" si="115"/>
        <v>752.08249999999998</v>
      </c>
      <c r="AA544" s="16">
        <f>O544</f>
        <v>46186</v>
      </c>
      <c r="AB544" s="21">
        <f>IFERROR(IF(P544&lt;&gt;0,P544,AB543),AB543)</f>
        <v>6556</v>
      </c>
      <c r="AC544" s="21">
        <f t="shared" si="118"/>
        <v>4691.3999999999996</v>
      </c>
      <c r="AD544" s="21">
        <f t="shared" si="119"/>
        <v>8500</v>
      </c>
      <c r="AE544" s="21">
        <f t="shared" si="120"/>
        <v>8790</v>
      </c>
      <c r="AF544" s="21">
        <f t="shared" si="121"/>
        <v>9490</v>
      </c>
      <c r="AK544" s="16"/>
      <c r="AL544" s="17"/>
      <c r="AN544" s="16"/>
    </row>
    <row r="545" spans="2:40" x14ac:dyDescent="0.4">
      <c r="B545" s="6">
        <f t="shared" si="108"/>
        <v>46151</v>
      </c>
      <c r="C545" s="8">
        <f t="shared" si="109"/>
        <v>194.92399999999998</v>
      </c>
      <c r="D545" s="5">
        <f t="shared" si="110"/>
        <v>1312.3174999999997</v>
      </c>
      <c r="E545" s="5">
        <f t="shared" si="111"/>
        <v>1662.3174999999997</v>
      </c>
      <c r="F545" s="5">
        <f t="shared" si="112"/>
        <v>2362.3174999999997</v>
      </c>
      <c r="H545" s="6"/>
      <c r="I545" s="11">
        <v>45787</v>
      </c>
      <c r="J545" s="9">
        <v>567.06200000000001</v>
      </c>
      <c r="K545" s="9">
        <v>763.06799999999998</v>
      </c>
      <c r="O545" s="11">
        <v>46193</v>
      </c>
      <c r="P545" s="9">
        <v>6068.75</v>
      </c>
      <c r="Q545" s="9">
        <v>4429.25</v>
      </c>
      <c r="R545" s="9">
        <v>8368.75</v>
      </c>
      <c r="S545" s="9">
        <v>8662.5</v>
      </c>
      <c r="T545" s="31">
        <v>9350</v>
      </c>
      <c r="W545" s="16">
        <f t="shared" si="113"/>
        <v>45787</v>
      </c>
      <c r="X545" s="9">
        <f t="shared" si="114"/>
        <v>567.06200000000001</v>
      </c>
      <c r="Y545" s="9">
        <f t="shared" si="115"/>
        <v>763.06799999999998</v>
      </c>
      <c r="AA545" s="16">
        <f t="shared" ref="AA545" si="124">O545</f>
        <v>46193</v>
      </c>
      <c r="AB545" s="21">
        <f t="shared" ref="AB545" si="125">IFERROR(IF(P545&lt;&gt;0,P545,AB544),AB544)</f>
        <v>6068.75</v>
      </c>
      <c r="AC545" s="21">
        <f t="shared" ref="AC545:AC548" si="126">IFERROR(IF(Q545&lt;&gt;0,Q545,AC544),AC544)</f>
        <v>4429.25</v>
      </c>
      <c r="AD545" s="21">
        <f t="shared" ref="AD545:AD548" si="127">IFERROR(IF(R545&lt;&gt;0,R545,AD544),AD544)</f>
        <v>8368.75</v>
      </c>
      <c r="AE545" s="21">
        <f t="shared" ref="AE545:AE548" si="128">IFERROR(IF(S545&lt;&gt;0,S545,AE544),AE544)</f>
        <v>8662.5</v>
      </c>
      <c r="AF545" s="21">
        <f t="shared" ref="AF545:AF548" si="129">IFERROR(IF(T545&lt;&gt;0,T545,AF544),AF544)</f>
        <v>9350</v>
      </c>
      <c r="AK545" s="16"/>
      <c r="AL545" s="17"/>
      <c r="AN545" s="16"/>
    </row>
    <row r="546" spans="2:40" x14ac:dyDescent="0.4">
      <c r="B546" s="6">
        <f t="shared" si="108"/>
        <v>46158</v>
      </c>
      <c r="C546" s="8">
        <f t="shared" si="109"/>
        <v>141.53399999999988</v>
      </c>
      <c r="D546" s="5">
        <f t="shared" si="110"/>
        <v>1348.4430000000002</v>
      </c>
      <c r="E546" s="5">
        <f t="shared" si="111"/>
        <v>1793.4430000000002</v>
      </c>
      <c r="F546" s="5">
        <f t="shared" si="112"/>
        <v>2398.4430000000002</v>
      </c>
      <c r="I546" s="11">
        <v>45794</v>
      </c>
      <c r="J546" s="9">
        <v>583.79750000000001</v>
      </c>
      <c r="K546" s="9">
        <v>850.74749999999995</v>
      </c>
      <c r="O546" s="11">
        <v>46200</v>
      </c>
      <c r="P546" s="9">
        <v>5880</v>
      </c>
      <c r="Q546" s="9">
        <v>4326.3999999999996</v>
      </c>
      <c r="R546" s="9">
        <v>8220</v>
      </c>
      <c r="S546" s="9">
        <v>8515</v>
      </c>
      <c r="T546" s="31">
        <v>9250</v>
      </c>
      <c r="W546" s="16">
        <f t="shared" si="113"/>
        <v>45794</v>
      </c>
      <c r="X546" s="9">
        <f t="shared" si="114"/>
        <v>583.79750000000001</v>
      </c>
      <c r="Y546" s="9">
        <f t="shared" si="115"/>
        <v>850.74749999999995</v>
      </c>
      <c r="AA546" s="16">
        <f>O546</f>
        <v>46200</v>
      </c>
      <c r="AB546" s="21">
        <f>IFERROR(IF(P546&lt;&gt;0,P546,AB545),AB545)</f>
        <v>5880</v>
      </c>
      <c r="AC546" s="21">
        <f t="shared" si="126"/>
        <v>4326.3999999999996</v>
      </c>
      <c r="AD546" s="21">
        <f t="shared" si="127"/>
        <v>8220</v>
      </c>
      <c r="AE546" s="21">
        <f t="shared" si="128"/>
        <v>8515</v>
      </c>
      <c r="AF546" s="21">
        <f t="shared" si="129"/>
        <v>9250</v>
      </c>
      <c r="AK546" s="16"/>
      <c r="AL546" s="17"/>
      <c r="AN546" s="16"/>
    </row>
    <row r="547" spans="2:40" x14ac:dyDescent="0.4">
      <c r="B547" s="6">
        <f>I599</f>
        <v>46165</v>
      </c>
      <c r="C547" s="8">
        <f>Y599-X599</f>
        <v>201.81799999999998</v>
      </c>
      <c r="D547" s="5">
        <f t="shared" si="110"/>
        <v>1415.874</v>
      </c>
      <c r="E547" s="5">
        <f t="shared" si="111"/>
        <v>1785.874</v>
      </c>
      <c r="F547" s="5">
        <f t="shared" si="112"/>
        <v>2470.8739999999998</v>
      </c>
      <c r="I547" s="11">
        <v>45801</v>
      </c>
      <c r="J547" s="9">
        <v>575.36199999999997</v>
      </c>
      <c r="K547" s="9">
        <v>830.202</v>
      </c>
      <c r="O547" s="11">
        <v>46207</v>
      </c>
      <c r="P547" s="9">
        <v>5728</v>
      </c>
      <c r="Q547" s="9">
        <v>4142</v>
      </c>
      <c r="R547" s="9">
        <v>8020</v>
      </c>
      <c r="S547" s="9">
        <v>8245</v>
      </c>
      <c r="T547" s="31">
        <v>9180</v>
      </c>
      <c r="W547" s="16">
        <f t="shared" si="113"/>
        <v>45801</v>
      </c>
      <c r="X547" s="9">
        <f t="shared" si="114"/>
        <v>575.36199999999997</v>
      </c>
      <c r="Y547" s="9">
        <f t="shared" si="115"/>
        <v>830.202</v>
      </c>
      <c r="AA547" s="16">
        <f>O547</f>
        <v>46207</v>
      </c>
      <c r="AB547" s="21">
        <f>IFERROR(IF(P547&lt;&gt;0,P547,AB546),AB546)</f>
        <v>5728</v>
      </c>
      <c r="AC547" s="21">
        <f t="shared" si="126"/>
        <v>4142</v>
      </c>
      <c r="AD547" s="21">
        <f t="shared" si="127"/>
        <v>8020</v>
      </c>
      <c r="AE547" s="21">
        <f t="shared" si="128"/>
        <v>8245</v>
      </c>
      <c r="AF547" s="21">
        <f t="shared" si="129"/>
        <v>9180</v>
      </c>
      <c r="AK547" s="16"/>
      <c r="AL547" s="17"/>
      <c r="AN547" s="16"/>
    </row>
    <row r="548" spans="2:40" x14ac:dyDescent="0.4">
      <c r="B548" s="6">
        <f>I600</f>
        <v>46172</v>
      </c>
      <c r="C548" s="8">
        <f t="shared" ref="C548" si="130">Y600-X600</f>
        <v>280.89250000000004</v>
      </c>
      <c r="D548" s="5">
        <f t="shared" si="110"/>
        <v>1615.4199999999998</v>
      </c>
      <c r="E548" s="5">
        <f t="shared" si="111"/>
        <v>1975.4199999999998</v>
      </c>
      <c r="F548" s="5">
        <f t="shared" si="112"/>
        <v>2680.42</v>
      </c>
      <c r="I548" s="11">
        <v>45808</v>
      </c>
      <c r="J548" s="9">
        <v>572.13599999999997</v>
      </c>
      <c r="K548" s="9">
        <v>840.69799999999998</v>
      </c>
      <c r="O548" s="11">
        <v>46214</v>
      </c>
      <c r="P548" s="9">
        <v>5839</v>
      </c>
      <c r="Q548" s="9">
        <v>4247.6000000000004</v>
      </c>
      <c r="R548" s="9">
        <v>7910</v>
      </c>
      <c r="S548" s="9">
        <v>8160</v>
      </c>
      <c r="T548" s="31">
        <v>9050</v>
      </c>
      <c r="W548" s="16">
        <f t="shared" si="113"/>
        <v>45808</v>
      </c>
      <c r="X548" s="9">
        <f t="shared" si="114"/>
        <v>572.13599999999997</v>
      </c>
      <c r="Y548" s="9">
        <f t="shared" si="115"/>
        <v>840.69799999999998</v>
      </c>
      <c r="AA548" s="16">
        <f t="shared" ref="AA548:AA550" si="131">O548</f>
        <v>46214</v>
      </c>
      <c r="AB548" s="21">
        <f t="shared" ref="AB548:AB550" si="132">IFERROR(IF(P548&lt;&gt;0,P548,AB547),AB547)</f>
        <v>5839</v>
      </c>
      <c r="AC548" s="21">
        <f t="shared" si="126"/>
        <v>4247.6000000000004</v>
      </c>
      <c r="AD548" s="21">
        <f t="shared" si="127"/>
        <v>7910</v>
      </c>
      <c r="AE548" s="21">
        <f t="shared" si="128"/>
        <v>8160</v>
      </c>
      <c r="AF548" s="21">
        <f t="shared" si="129"/>
        <v>9050</v>
      </c>
      <c r="AK548" s="16"/>
      <c r="AL548" s="17"/>
      <c r="AN548" s="16"/>
    </row>
    <row r="549" spans="2:40" x14ac:dyDescent="0.4">
      <c r="B549" s="6">
        <f t="shared" ref="B549:B552" si="133">I601</f>
        <v>46179</v>
      </c>
      <c r="C549" s="8">
        <f t="shared" ref="C549:C552" si="134">Y601-X601</f>
        <v>359.15</v>
      </c>
      <c r="D549" s="5">
        <f t="shared" si="110"/>
        <v>1351.7259999999997</v>
      </c>
      <c r="E549" s="5">
        <f t="shared" si="111"/>
        <v>1706.7259999999997</v>
      </c>
      <c r="F549" s="5">
        <f t="shared" si="112"/>
        <v>2391.7259999999997</v>
      </c>
      <c r="I549" s="11">
        <v>45815</v>
      </c>
      <c r="J549" s="9">
        <v>567.66800000000001</v>
      </c>
      <c r="K549" s="9">
        <v>826.298</v>
      </c>
      <c r="O549" s="11">
        <v>46221</v>
      </c>
      <c r="P549" s="9">
        <v>5947</v>
      </c>
      <c r="Q549" s="9">
        <v>4724.3999999999996</v>
      </c>
      <c r="R549" s="9">
        <v>8110</v>
      </c>
      <c r="S549" s="9">
        <v>8345</v>
      </c>
      <c r="T549" s="31">
        <v>9140</v>
      </c>
      <c r="W549" s="16">
        <f t="shared" si="113"/>
        <v>45815</v>
      </c>
      <c r="X549" s="9">
        <f t="shared" si="114"/>
        <v>567.66800000000001</v>
      </c>
      <c r="Y549" s="9">
        <f t="shared" si="115"/>
        <v>826.298</v>
      </c>
      <c r="AA549" s="16">
        <f t="shared" si="131"/>
        <v>46221</v>
      </c>
      <c r="AB549" s="21">
        <f t="shared" si="132"/>
        <v>5947</v>
      </c>
      <c r="AC549" s="21">
        <f t="shared" ref="AC549:AC550" si="135">IFERROR(IF(Q549&lt;&gt;0,Q549,AC548),AC548)</f>
        <v>4724.3999999999996</v>
      </c>
      <c r="AD549" s="21">
        <f t="shared" ref="AD549:AD550" si="136">IFERROR(IF(R549&lt;&gt;0,R549,AD548),AD548)</f>
        <v>8110</v>
      </c>
      <c r="AE549" s="21">
        <f t="shared" ref="AE549:AE550" si="137">IFERROR(IF(S549&lt;&gt;0,S549,AE548),AE548)</f>
        <v>8345</v>
      </c>
      <c r="AF549" s="21">
        <f t="shared" ref="AF549:AF550" si="138">IFERROR(IF(T549&lt;&gt;0,T549,AF548),AF548)</f>
        <v>9140</v>
      </c>
      <c r="AK549" s="16"/>
      <c r="AL549" s="17"/>
      <c r="AN549" s="16"/>
    </row>
    <row r="550" spans="2:40" x14ac:dyDescent="0.4">
      <c r="B550" s="6">
        <f t="shared" si="133"/>
        <v>46186</v>
      </c>
      <c r="C550" s="8">
        <f t="shared" si="134"/>
        <v>402.17000000000007</v>
      </c>
      <c r="D550" s="5">
        <f t="shared" si="110"/>
        <v>1323.001</v>
      </c>
      <c r="E550" s="5">
        <f t="shared" si="111"/>
        <v>1613.001</v>
      </c>
      <c r="F550" s="5">
        <f t="shared" si="112"/>
        <v>2313.0010000000002</v>
      </c>
      <c r="I550" s="11">
        <v>45822</v>
      </c>
      <c r="J550" s="9">
        <v>589.55399999999997</v>
      </c>
      <c r="K550" s="9">
        <v>821.93</v>
      </c>
      <c r="O550" s="11">
        <v>46228</v>
      </c>
      <c r="P550" s="9">
        <v>6049.4</v>
      </c>
      <c r="Q550" s="9">
        <v>4969.2</v>
      </c>
      <c r="R550" s="9">
        <v>8440</v>
      </c>
      <c r="S550" s="9">
        <v>8625</v>
      </c>
      <c r="T550" s="31">
        <v>9400</v>
      </c>
      <c r="W550" s="16">
        <f t="shared" si="113"/>
        <v>45822</v>
      </c>
      <c r="X550" s="9">
        <f t="shared" si="114"/>
        <v>589.55399999999997</v>
      </c>
      <c r="Y550" s="9">
        <f t="shared" si="115"/>
        <v>821.93</v>
      </c>
      <c r="AA550" s="16">
        <f t="shared" si="131"/>
        <v>46228</v>
      </c>
      <c r="AB550" s="21">
        <f t="shared" si="132"/>
        <v>6049.4</v>
      </c>
      <c r="AC550" s="21">
        <f t="shared" si="135"/>
        <v>4969.2</v>
      </c>
      <c r="AD550" s="21">
        <f t="shared" si="136"/>
        <v>8440</v>
      </c>
      <c r="AE550" s="21">
        <f t="shared" si="137"/>
        <v>8625</v>
      </c>
      <c r="AF550" s="21">
        <f t="shared" si="138"/>
        <v>9400</v>
      </c>
      <c r="AK550" s="16"/>
      <c r="AL550" s="17"/>
      <c r="AN550" s="16"/>
    </row>
    <row r="551" spans="2:40" x14ac:dyDescent="0.4">
      <c r="B551" s="6">
        <f t="shared" si="133"/>
        <v>46193</v>
      </c>
      <c r="C551" s="8">
        <f t="shared" si="134"/>
        <v>391.04399999999998</v>
      </c>
      <c r="D551" s="5">
        <f t="shared" ref="D551:D553" si="139">IFERROR(VLOOKUP(B551,$AA:$AF,4,1)-0.855*VLOOKUP(B551,$AA:$AF,2,1)-0.335*VLOOKUP(B551,$AA:$AF,3,1),D550)</f>
        <v>1696.1699999999998</v>
      </c>
      <c r="E551" s="5">
        <f t="shared" ref="E551:E553" si="140">IFERROR(VLOOKUP(B551,$AA:$AF,5,1)-0.855*VLOOKUP(B551,$AA:$AF,2,1)-0.335*VLOOKUP(B551,$AA:$AF,3,1),E550)</f>
        <v>1989.9199999999998</v>
      </c>
      <c r="F551" s="5">
        <f t="shared" ref="F551:F553" si="141">IFERROR(VLOOKUP(B551,$AA:$AF,6,1)-0.855*VLOOKUP(B551,$AA:$AF,2,1)-0.335*VLOOKUP(B551,$AA:$AF,3,1),F550)</f>
        <v>2677.42</v>
      </c>
      <c r="I551" s="11">
        <v>45829</v>
      </c>
      <c r="J551" s="9">
        <v>641.91399999999999</v>
      </c>
      <c r="K551" s="9">
        <v>887.6</v>
      </c>
      <c r="O551" s="11">
        <v>46235</v>
      </c>
      <c r="P551" s="9">
        <v>5837</v>
      </c>
      <c r="Q551" s="35">
        <v>5183.3999999999996</v>
      </c>
      <c r="R551" s="9">
        <v>8490</v>
      </c>
      <c r="S551" s="9">
        <v>8670</v>
      </c>
      <c r="T551" s="31">
        <v>9460</v>
      </c>
      <c r="W551" s="16">
        <f t="shared" si="113"/>
        <v>45829</v>
      </c>
      <c r="X551" s="9">
        <f t="shared" si="114"/>
        <v>641.91399999999999</v>
      </c>
      <c r="Y551" s="9">
        <f t="shared" si="115"/>
        <v>887.6</v>
      </c>
      <c r="AA551" s="16">
        <f t="shared" ref="AA551" si="142">O551</f>
        <v>46235</v>
      </c>
      <c r="AB551" s="21">
        <f t="shared" ref="AB551" si="143">IFERROR(IF(P551&lt;&gt;0,P551,AB550),AB550)</f>
        <v>5837</v>
      </c>
      <c r="AC551" s="21">
        <f t="shared" ref="AC551" si="144">IFERROR(IF(Q551&lt;&gt;0,Q551,AC550),AC550)</f>
        <v>5183.3999999999996</v>
      </c>
      <c r="AD551" s="21">
        <f t="shared" ref="AD551" si="145">IFERROR(IF(R551&lt;&gt;0,R551,AD550),AD550)</f>
        <v>8490</v>
      </c>
      <c r="AE551" s="21">
        <f t="shared" ref="AE551" si="146">IFERROR(IF(S551&lt;&gt;0,S551,AE550),AE550)</f>
        <v>8670</v>
      </c>
      <c r="AF551" s="21">
        <f t="shared" ref="AF551" si="147">IFERROR(IF(T551&lt;&gt;0,T551,AF550),AF550)</f>
        <v>9460</v>
      </c>
      <c r="AK551" s="16"/>
      <c r="AL551" s="17"/>
      <c r="AN551" s="16"/>
    </row>
    <row r="552" spans="2:40" x14ac:dyDescent="0.4">
      <c r="B552" s="6">
        <f t="shared" si="133"/>
        <v>46200</v>
      </c>
      <c r="C552" s="8">
        <f t="shared" si="134"/>
        <v>370.44200000000001</v>
      </c>
      <c r="D552" s="5">
        <f t="shared" si="139"/>
        <v>1743.2560000000003</v>
      </c>
      <c r="E552" s="5">
        <f t="shared" si="140"/>
        <v>2038.2560000000003</v>
      </c>
      <c r="F552" s="5">
        <f t="shared" si="141"/>
        <v>2773.2560000000003</v>
      </c>
      <c r="I552" s="11">
        <v>45836</v>
      </c>
      <c r="J552" s="9">
        <v>595.07000000000005</v>
      </c>
      <c r="K552" s="9">
        <v>864.83600000000001</v>
      </c>
      <c r="O552" s="11">
        <v>46242</v>
      </c>
      <c r="P552" s="9">
        <v>6000</v>
      </c>
      <c r="Q552" s="9">
        <v>5141.8</v>
      </c>
      <c r="R552" s="9">
        <v>8435</v>
      </c>
      <c r="S552" s="9">
        <v>8585</v>
      </c>
      <c r="T552" s="31">
        <v>9430</v>
      </c>
      <c r="W552" s="16">
        <f t="shared" si="113"/>
        <v>45836</v>
      </c>
      <c r="X552" s="9">
        <f t="shared" si="114"/>
        <v>595.07000000000005</v>
      </c>
      <c r="Y552" s="9">
        <f t="shared" si="115"/>
        <v>864.83600000000001</v>
      </c>
      <c r="AA552" s="16">
        <f t="shared" ref="AA552:AA553" si="148">O552</f>
        <v>46242</v>
      </c>
      <c r="AB552" s="21">
        <f t="shared" ref="AB552:AB553" si="149">IFERROR(IF(P552&lt;&gt;0,P552,AB551),AB551)</f>
        <v>6000</v>
      </c>
      <c r="AC552" s="21">
        <f t="shared" ref="AC552:AC553" si="150">IFERROR(IF(Q552&lt;&gt;0,Q552,AC551),AC551)</f>
        <v>5141.8</v>
      </c>
      <c r="AD552" s="21">
        <f t="shared" ref="AD552:AD553" si="151">IFERROR(IF(R552&lt;&gt;0,R552,AD551),AD551)</f>
        <v>8435</v>
      </c>
      <c r="AE552" s="21">
        <f t="shared" ref="AE552:AE553" si="152">IFERROR(IF(S552&lt;&gt;0,S552,AE551),AE551)</f>
        <v>8585</v>
      </c>
      <c r="AF552" s="21">
        <f t="shared" ref="AF552:AF553" si="153">IFERROR(IF(T552&lt;&gt;0,T552,AF551),AF551)</f>
        <v>9430</v>
      </c>
      <c r="AK552" s="16"/>
      <c r="AL552" s="17"/>
      <c r="AN552" s="16"/>
    </row>
    <row r="553" spans="2:40" x14ac:dyDescent="0.4">
      <c r="B553" s="6">
        <f t="shared" ref="B553:B554" si="154">I605</f>
        <v>46207</v>
      </c>
      <c r="C553" s="8">
        <f t="shared" ref="C553:C556" si="155">Y605-X605</f>
        <v>326.774</v>
      </c>
      <c r="D553" s="5">
        <f t="shared" si="139"/>
        <v>1734.9900000000002</v>
      </c>
      <c r="E553" s="5">
        <f t="shared" si="140"/>
        <v>1959.9900000000002</v>
      </c>
      <c r="F553" s="5">
        <f t="shared" si="141"/>
        <v>2894.9900000000002</v>
      </c>
      <c r="I553" s="11">
        <v>45843</v>
      </c>
      <c r="J553" s="9">
        <v>578.74400000000003</v>
      </c>
      <c r="K553" s="9">
        <v>855.50199999999995</v>
      </c>
      <c r="O553" s="11">
        <v>46249</v>
      </c>
      <c r="P553" s="9">
        <v>5966</v>
      </c>
      <c r="Q553" s="9">
        <v>5281.2</v>
      </c>
      <c r="R553" s="9">
        <v>8430</v>
      </c>
      <c r="S553" s="9">
        <v>8570</v>
      </c>
      <c r="T553" s="31">
        <v>9400</v>
      </c>
      <c r="W553" s="16">
        <f t="shared" si="113"/>
        <v>45843</v>
      </c>
      <c r="X553" s="9">
        <f t="shared" si="114"/>
        <v>578.74400000000003</v>
      </c>
      <c r="Y553" s="9">
        <f t="shared" si="115"/>
        <v>855.50199999999995</v>
      </c>
      <c r="AA553" s="16">
        <f t="shared" si="148"/>
        <v>46249</v>
      </c>
      <c r="AB553" s="21">
        <f t="shared" si="149"/>
        <v>5966</v>
      </c>
      <c r="AC553" s="21">
        <f t="shared" si="150"/>
        <v>5281.2</v>
      </c>
      <c r="AD553" s="21">
        <f t="shared" si="151"/>
        <v>8430</v>
      </c>
      <c r="AE553" s="21">
        <f t="shared" si="152"/>
        <v>8570</v>
      </c>
      <c r="AF553" s="21">
        <f t="shared" si="153"/>
        <v>9400</v>
      </c>
      <c r="AK553" s="16"/>
      <c r="AL553" s="17"/>
      <c r="AN553" s="16"/>
    </row>
    <row r="554" spans="2:40" x14ac:dyDescent="0.4">
      <c r="B554" s="6">
        <f t="shared" si="154"/>
        <v>46214</v>
      </c>
      <c r="C554" s="8">
        <f t="shared" si="155"/>
        <v>299.88</v>
      </c>
      <c r="D554" s="5">
        <f t="shared" ref="D554:D556" si="156">IFERROR(VLOOKUP(B554,$AA:$AF,4,1)-0.855*VLOOKUP(B554,$AA:$AF,2,1)-0.335*VLOOKUP(B554,$AA:$AF,3,1),D553)</f>
        <v>1494.7089999999996</v>
      </c>
      <c r="E554" s="5">
        <f t="shared" ref="E554:E556" si="157">IFERROR(VLOOKUP(B554,$AA:$AF,5,1)-0.855*VLOOKUP(B554,$AA:$AF,2,1)-0.335*VLOOKUP(B554,$AA:$AF,3,1),E553)</f>
        <v>1744.7089999999996</v>
      </c>
      <c r="F554" s="5">
        <f t="shared" ref="F554:F556" si="158">IFERROR(VLOOKUP(B554,$AA:$AF,6,1)-0.855*VLOOKUP(B554,$AA:$AF,2,1)-0.335*VLOOKUP(B554,$AA:$AF,3,1),F553)</f>
        <v>2634.7089999999998</v>
      </c>
      <c r="I554" s="11">
        <v>45850</v>
      </c>
      <c r="J554" s="9">
        <v>591.92999999999995</v>
      </c>
      <c r="K554" s="9">
        <v>844.60199999999998</v>
      </c>
      <c r="O554" s="11">
        <v>46256</v>
      </c>
      <c r="P554" s="9">
        <v>6351</v>
      </c>
      <c r="Q554" s="9">
        <v>5688</v>
      </c>
      <c r="R554" s="9">
        <v>8715</v>
      </c>
      <c r="S554" s="9">
        <v>8860</v>
      </c>
      <c r="T554" s="31">
        <v>9635</v>
      </c>
      <c r="W554" s="16">
        <f t="shared" si="113"/>
        <v>45850</v>
      </c>
      <c r="X554" s="9">
        <f t="shared" si="114"/>
        <v>591.92999999999995</v>
      </c>
      <c r="Y554" s="9">
        <f t="shared" si="115"/>
        <v>844.60199999999998</v>
      </c>
      <c r="AA554" s="16">
        <f t="shared" ref="AA554:AA556" si="159">O554</f>
        <v>46256</v>
      </c>
      <c r="AB554" s="21">
        <f t="shared" ref="AB554:AB556" si="160">IFERROR(IF(P554&lt;&gt;0,P554,AB553),AB553)</f>
        <v>6351</v>
      </c>
      <c r="AC554" s="21">
        <f t="shared" ref="AC554:AC556" si="161">IFERROR(IF(Q554&lt;&gt;0,Q554,AC553),AC553)</f>
        <v>5688</v>
      </c>
      <c r="AD554" s="21">
        <f t="shared" ref="AD554:AD556" si="162">IFERROR(IF(R554&lt;&gt;0,R554,AD553),AD553)</f>
        <v>8715</v>
      </c>
      <c r="AE554" s="21">
        <f t="shared" ref="AE554:AE556" si="163">IFERROR(IF(S554&lt;&gt;0,S554,AE553),AE553)</f>
        <v>8860</v>
      </c>
      <c r="AF554" s="21">
        <f t="shared" ref="AF554:AF556" si="164">IFERROR(IF(T554&lt;&gt;0,T554,AF553),AF553)</f>
        <v>9635</v>
      </c>
      <c r="AK554" s="16"/>
      <c r="AL554" s="17"/>
      <c r="AN554" s="16"/>
    </row>
    <row r="555" spans="2:40" x14ac:dyDescent="0.4">
      <c r="B555" s="6">
        <f>I607</f>
        <v>46221</v>
      </c>
      <c r="C555" s="8">
        <f t="shared" si="155"/>
        <v>241.72400000000005</v>
      </c>
      <c r="D555" s="5">
        <f t="shared" si="156"/>
        <v>1442.6410000000005</v>
      </c>
      <c r="E555" s="5">
        <f t="shared" si="157"/>
        <v>1677.6410000000005</v>
      </c>
      <c r="F555" s="5">
        <f t="shared" si="158"/>
        <v>2472.6410000000005</v>
      </c>
      <c r="I555" s="11">
        <v>45857</v>
      </c>
      <c r="J555" s="9">
        <v>585.072</v>
      </c>
      <c r="K555" s="9">
        <v>838.63199999999995</v>
      </c>
      <c r="O555" s="11">
        <v>46263</v>
      </c>
      <c r="P555" s="9">
        <v>6144</v>
      </c>
      <c r="Q555" s="9">
        <v>5920.8</v>
      </c>
      <c r="R555" s="9">
        <v>8960</v>
      </c>
      <c r="S555" s="9">
        <v>9140</v>
      </c>
      <c r="T555" s="31">
        <v>9860</v>
      </c>
      <c r="W555" s="16">
        <f t="shared" si="113"/>
        <v>45857</v>
      </c>
      <c r="X555" s="9">
        <f t="shared" si="114"/>
        <v>585.072</v>
      </c>
      <c r="Y555" s="9">
        <f t="shared" si="115"/>
        <v>838.63199999999995</v>
      </c>
      <c r="AA555" s="16">
        <f t="shared" si="159"/>
        <v>46263</v>
      </c>
      <c r="AB555" s="21">
        <f t="shared" si="160"/>
        <v>6144</v>
      </c>
      <c r="AC555" s="21">
        <f t="shared" si="161"/>
        <v>5920.8</v>
      </c>
      <c r="AD555" s="21">
        <f t="shared" si="162"/>
        <v>8960</v>
      </c>
      <c r="AE555" s="21">
        <f t="shared" si="163"/>
        <v>9140</v>
      </c>
      <c r="AF555" s="21">
        <f t="shared" si="164"/>
        <v>9860</v>
      </c>
      <c r="AK555" s="16"/>
      <c r="AL555" s="17"/>
      <c r="AN555" s="16"/>
    </row>
    <row r="556" spans="2:40" x14ac:dyDescent="0.4">
      <c r="B556" s="6">
        <f t="shared" ref="B556" si="165">I608</f>
        <v>46228</v>
      </c>
      <c r="C556" s="8">
        <f t="shared" si="155"/>
        <v>131.29399999999987</v>
      </c>
      <c r="D556" s="5">
        <f t="shared" si="156"/>
        <v>1603.0810000000008</v>
      </c>
      <c r="E556" s="5">
        <f t="shared" si="157"/>
        <v>1788.0810000000008</v>
      </c>
      <c r="F556" s="5">
        <f t="shared" si="158"/>
        <v>2563.081000000001</v>
      </c>
      <c r="I556" s="11">
        <v>45864</v>
      </c>
      <c r="J556" s="9">
        <v>572.17399999999998</v>
      </c>
      <c r="K556" s="9">
        <v>851.2</v>
      </c>
      <c r="O556" s="11">
        <v>46270</v>
      </c>
      <c r="P556" s="9">
        <v>6360</v>
      </c>
      <c r="Q556" s="9">
        <v>6601.8</v>
      </c>
      <c r="R556" s="9">
        <v>9160</v>
      </c>
      <c r="S556" s="9">
        <v>9310</v>
      </c>
      <c r="T556" s="31">
        <v>10060</v>
      </c>
      <c r="W556" s="16">
        <f t="shared" si="113"/>
        <v>45864</v>
      </c>
      <c r="X556" s="9">
        <f t="shared" si="114"/>
        <v>572.17399999999998</v>
      </c>
      <c r="Y556" s="9">
        <f t="shared" si="115"/>
        <v>851.2</v>
      </c>
      <c r="AA556" s="16">
        <f t="shared" si="159"/>
        <v>46270</v>
      </c>
      <c r="AB556" s="21">
        <f t="shared" si="160"/>
        <v>6360</v>
      </c>
      <c r="AC556" s="21">
        <f t="shared" si="161"/>
        <v>6601.8</v>
      </c>
      <c r="AD556" s="21">
        <f t="shared" si="162"/>
        <v>9160</v>
      </c>
      <c r="AE556" s="21">
        <f t="shared" si="163"/>
        <v>9310</v>
      </c>
      <c r="AF556" s="21">
        <f t="shared" si="164"/>
        <v>10060</v>
      </c>
      <c r="AK556" s="16"/>
      <c r="AL556" s="17"/>
      <c r="AN556" s="16"/>
    </row>
    <row r="557" spans="2:40" x14ac:dyDescent="0.4">
      <c r="B557" s="6">
        <f t="shared" ref="B557" si="166">I609</f>
        <v>46235</v>
      </c>
      <c r="C557" s="8">
        <f t="shared" ref="C557" si="167">Y609-X609</f>
        <v>165.3900000000001</v>
      </c>
      <c r="D557" s="5">
        <f t="shared" ref="D557" si="168">IFERROR(VLOOKUP(B557,$AA:$AF,4,1)-0.855*VLOOKUP(B557,$AA:$AF,2,1)-0.335*VLOOKUP(B557,$AA:$AF,3,1),D556)</f>
        <v>1762.9259999999997</v>
      </c>
      <c r="E557" s="5">
        <f t="shared" ref="E557" si="169">IFERROR(VLOOKUP(B557,$AA:$AF,5,1)-0.855*VLOOKUP(B557,$AA:$AF,2,1)-0.335*VLOOKUP(B557,$AA:$AF,3,1),E556)</f>
        <v>1942.9259999999997</v>
      </c>
      <c r="F557" s="5">
        <f t="shared" ref="F557" si="170">IFERROR(VLOOKUP(B557,$AA:$AF,6,1)-0.855*VLOOKUP(B557,$AA:$AF,2,1)-0.335*VLOOKUP(B557,$AA:$AF,3,1),F556)</f>
        <v>2732.9259999999995</v>
      </c>
      <c r="I557" s="11">
        <v>45871</v>
      </c>
      <c r="J557" s="9">
        <v>596.80999999999995</v>
      </c>
      <c r="K557" s="9">
        <v>855.93200000000002</v>
      </c>
      <c r="O557" s="11">
        <v>46277</v>
      </c>
      <c r="P557" s="9">
        <v>6594</v>
      </c>
      <c r="Q557" s="9">
        <v>6816.2</v>
      </c>
      <c r="R557" s="9">
        <v>9315</v>
      </c>
      <c r="S557" s="9">
        <v>9515</v>
      </c>
      <c r="T557" s="31">
        <v>10270</v>
      </c>
      <c r="W557" s="16">
        <f t="shared" si="113"/>
        <v>45871</v>
      </c>
      <c r="X557" s="9">
        <f t="shared" si="114"/>
        <v>596.80999999999995</v>
      </c>
      <c r="Y557" s="9">
        <f t="shared" si="115"/>
        <v>855.93200000000002</v>
      </c>
      <c r="AA557" s="16">
        <f t="shared" ref="AA557:AA559" si="171">O557</f>
        <v>46277</v>
      </c>
      <c r="AB557" s="21">
        <f t="shared" ref="AB557:AB559" si="172">IFERROR(IF(P557&lt;&gt;0,P557,AB556),AB556)</f>
        <v>6594</v>
      </c>
      <c r="AC557" s="21">
        <f t="shared" ref="AC557:AC559" si="173">IFERROR(IF(Q557&lt;&gt;0,Q557,AC556),AC556)</f>
        <v>6816.2</v>
      </c>
      <c r="AD557" s="21">
        <f t="shared" ref="AD557:AD559" si="174">IFERROR(IF(R557&lt;&gt;0,R557,AD556),AD556)</f>
        <v>9315</v>
      </c>
      <c r="AE557" s="21">
        <f t="shared" ref="AE557:AE559" si="175">IFERROR(IF(S557&lt;&gt;0,S557,AE556),AE556)</f>
        <v>9515</v>
      </c>
      <c r="AF557" s="21">
        <f t="shared" ref="AF557:AF559" si="176">IFERROR(IF(T557&lt;&gt;0,T557,AF556),AF556)</f>
        <v>10270</v>
      </c>
      <c r="AK557" s="16"/>
      <c r="AL557" s="17"/>
      <c r="AN557" s="16"/>
    </row>
    <row r="558" spans="2:40" x14ac:dyDescent="0.4">
      <c r="B558" s="6">
        <f t="shared" ref="B558:B561" si="177">I610</f>
        <v>46242</v>
      </c>
      <c r="C558" s="8">
        <f t="shared" ref="C558:C561" si="178">Y610-X610</f>
        <v>275.24600000000009</v>
      </c>
      <c r="D558" s="5">
        <f t="shared" ref="D558:D561" si="179">IFERROR(VLOOKUP(B558,$AA:$AF,4,1)-0.855*VLOOKUP(B558,$AA:$AF,2,1)-0.335*VLOOKUP(B558,$AA:$AF,3,1),D557)</f>
        <v>1582.4969999999998</v>
      </c>
      <c r="E558" s="5">
        <f t="shared" ref="E558:E561" si="180">IFERROR(VLOOKUP(B558,$AA:$AF,5,1)-0.855*VLOOKUP(B558,$AA:$AF,2,1)-0.335*VLOOKUP(B558,$AA:$AF,3,1),E557)</f>
        <v>1732.4969999999998</v>
      </c>
      <c r="F558" s="5">
        <f t="shared" ref="F558:F561" si="181">IFERROR(VLOOKUP(B558,$AA:$AF,6,1)-0.855*VLOOKUP(B558,$AA:$AF,2,1)-0.335*VLOOKUP(B558,$AA:$AF,3,1),F557)</f>
        <v>2577.4969999999998</v>
      </c>
      <c r="I558" s="11">
        <v>45878</v>
      </c>
      <c r="J558" s="9">
        <v>577.678</v>
      </c>
      <c r="K558" s="9">
        <v>838.53399999999999</v>
      </c>
      <c r="O558" s="11">
        <v>46284</v>
      </c>
      <c r="P558" s="9">
        <v>7151</v>
      </c>
      <c r="Q558" s="9">
        <v>7150.2</v>
      </c>
      <c r="R558" s="9">
        <v>9630</v>
      </c>
      <c r="S558" s="9">
        <v>9805</v>
      </c>
      <c r="T558" s="31">
        <v>10530</v>
      </c>
      <c r="W558" s="16">
        <f t="shared" si="113"/>
        <v>45878</v>
      </c>
      <c r="X558" s="9">
        <f t="shared" si="114"/>
        <v>577.678</v>
      </c>
      <c r="Y558" s="9">
        <f t="shared" si="115"/>
        <v>838.53399999999999</v>
      </c>
      <c r="AA558" s="16">
        <f t="shared" si="171"/>
        <v>46284</v>
      </c>
      <c r="AB558" s="21">
        <f t="shared" si="172"/>
        <v>7151</v>
      </c>
      <c r="AC558" s="21">
        <f t="shared" si="173"/>
        <v>7150.2</v>
      </c>
      <c r="AD558" s="21">
        <f t="shared" si="174"/>
        <v>9630</v>
      </c>
      <c r="AE558" s="21">
        <f t="shared" si="175"/>
        <v>9805</v>
      </c>
      <c r="AF558" s="21">
        <f t="shared" si="176"/>
        <v>10530</v>
      </c>
      <c r="AK558" s="16"/>
      <c r="AL558" s="17"/>
      <c r="AN558" s="16"/>
    </row>
    <row r="559" spans="2:40" x14ac:dyDescent="0.4">
      <c r="B559" s="6">
        <f t="shared" si="177"/>
        <v>46249</v>
      </c>
      <c r="C559" s="8">
        <f t="shared" si="178"/>
        <v>280.23249999999996</v>
      </c>
      <c r="D559" s="5">
        <f t="shared" si="179"/>
        <v>1559.8679999999997</v>
      </c>
      <c r="E559" s="5">
        <f t="shared" si="180"/>
        <v>1699.8679999999997</v>
      </c>
      <c r="F559" s="5">
        <f t="shared" si="181"/>
        <v>2529.8679999999995</v>
      </c>
      <c r="I559" s="11">
        <v>45885</v>
      </c>
      <c r="J559" s="9">
        <v>568.30200000000002</v>
      </c>
      <c r="K559" s="9">
        <v>830.46799999999996</v>
      </c>
      <c r="O559" s="11">
        <v>46291</v>
      </c>
      <c r="P559" s="9">
        <v>7020</v>
      </c>
      <c r="Q559" s="9">
        <v>7079</v>
      </c>
      <c r="R559" s="9">
        <v>9550</v>
      </c>
      <c r="S559" s="9">
        <v>9725</v>
      </c>
      <c r="T559" s="31">
        <v>10530</v>
      </c>
      <c r="W559" s="16">
        <f t="shared" si="113"/>
        <v>45885</v>
      </c>
      <c r="X559" s="9">
        <f t="shared" si="114"/>
        <v>568.30200000000002</v>
      </c>
      <c r="Y559" s="9">
        <f t="shared" si="115"/>
        <v>830.46799999999996</v>
      </c>
      <c r="AA559" s="16">
        <f t="shared" si="171"/>
        <v>46291</v>
      </c>
      <c r="AB559" s="21">
        <f t="shared" si="172"/>
        <v>7020</v>
      </c>
      <c r="AC559" s="21">
        <f t="shared" si="173"/>
        <v>7079</v>
      </c>
      <c r="AD559" s="21">
        <f t="shared" si="174"/>
        <v>9550</v>
      </c>
      <c r="AE559" s="21">
        <f t="shared" si="175"/>
        <v>9725</v>
      </c>
      <c r="AF559" s="21">
        <f t="shared" si="176"/>
        <v>10530</v>
      </c>
      <c r="AK559" s="16"/>
      <c r="AL559" s="17"/>
      <c r="AN559" s="16"/>
    </row>
    <row r="560" spans="2:40" x14ac:dyDescent="0.4">
      <c r="B560" s="6">
        <f t="shared" si="177"/>
        <v>46256</v>
      </c>
      <c r="C560" s="8">
        <f t="shared" si="178"/>
        <v>286.80999999999995</v>
      </c>
      <c r="D560" s="5">
        <f t="shared" si="179"/>
        <v>1379.4150000000004</v>
      </c>
      <c r="E560" s="5">
        <f t="shared" si="180"/>
        <v>1524.4150000000004</v>
      </c>
      <c r="F560" s="5">
        <f t="shared" si="181"/>
        <v>2299.4150000000004</v>
      </c>
      <c r="I560" s="11">
        <v>45892</v>
      </c>
      <c r="J560" s="9">
        <v>579.97</v>
      </c>
      <c r="K560" s="9">
        <v>843.36599999999999</v>
      </c>
      <c r="O560" s="11"/>
      <c r="P560" s="9"/>
      <c r="Q560" s="9"/>
      <c r="R560" s="9"/>
      <c r="S560" s="9"/>
      <c r="T560" s="31"/>
      <c r="W560" s="16">
        <f t="shared" si="113"/>
        <v>45892</v>
      </c>
      <c r="X560" s="9">
        <f t="shared" si="114"/>
        <v>579.97</v>
      </c>
      <c r="Y560" s="9">
        <f t="shared" si="115"/>
        <v>843.36599999999999</v>
      </c>
      <c r="AA560" s="16"/>
      <c r="AK560" s="16"/>
      <c r="AL560" s="17"/>
      <c r="AN560" s="16"/>
    </row>
    <row r="561" spans="2:40" x14ac:dyDescent="0.4">
      <c r="B561" s="6">
        <f t="shared" si="177"/>
        <v>46263</v>
      </c>
      <c r="C561" s="8">
        <f t="shared" si="178"/>
        <v>254.66800000000001</v>
      </c>
      <c r="D561" s="5">
        <f t="shared" si="179"/>
        <v>1723.412</v>
      </c>
      <c r="E561" s="5">
        <f t="shared" si="180"/>
        <v>1903.412</v>
      </c>
      <c r="F561" s="5">
        <f t="shared" si="181"/>
        <v>2623.4120000000003</v>
      </c>
      <c r="I561" s="11">
        <v>45899</v>
      </c>
      <c r="J561" s="9">
        <v>599.16</v>
      </c>
      <c r="K561" s="9">
        <v>854.76800000000003</v>
      </c>
      <c r="O561" s="11"/>
      <c r="P561" s="9"/>
      <c r="Q561" s="9"/>
      <c r="R561" s="9"/>
      <c r="S561" s="9"/>
      <c r="T561" s="31"/>
      <c r="W561" s="16">
        <f t="shared" si="113"/>
        <v>45899</v>
      </c>
      <c r="X561" s="9">
        <f t="shared" si="114"/>
        <v>599.16</v>
      </c>
      <c r="Y561" s="9">
        <f t="shared" si="115"/>
        <v>854.76800000000003</v>
      </c>
      <c r="AA561" s="16"/>
      <c r="AK561" s="16"/>
      <c r="AL561" s="17"/>
      <c r="AN561" s="16"/>
    </row>
    <row r="562" spans="2:40" x14ac:dyDescent="0.4">
      <c r="B562" s="6">
        <f t="shared" ref="B562:B565" si="182">I614</f>
        <v>46270</v>
      </c>
      <c r="C562" s="8">
        <f t="shared" ref="C562:C565" si="183">Y614-X614</f>
        <v>274.21999999999991</v>
      </c>
      <c r="D562" s="5">
        <f t="shared" ref="D562:D565" si="184">IFERROR(VLOOKUP(B562,$AA:$AF,4,1)-0.855*VLOOKUP(B562,$AA:$AF,2,1)-0.335*VLOOKUP(B562,$AA:$AF,3,1),D561)</f>
        <v>1510.5969999999998</v>
      </c>
      <c r="E562" s="5">
        <f t="shared" ref="E562:E565" si="185">IFERROR(VLOOKUP(B562,$AA:$AF,5,1)-0.855*VLOOKUP(B562,$AA:$AF,2,1)-0.335*VLOOKUP(B562,$AA:$AF,3,1),E561)</f>
        <v>1660.5969999999998</v>
      </c>
      <c r="F562" s="5">
        <f t="shared" ref="F562:F565" si="186">IFERROR(VLOOKUP(B562,$AA:$AF,6,1)-0.855*VLOOKUP(B562,$AA:$AF,2,1)-0.335*VLOOKUP(B562,$AA:$AF,3,1),F561)</f>
        <v>2410.5969999999998</v>
      </c>
      <c r="I562" s="11">
        <v>45906</v>
      </c>
      <c r="J562" s="9">
        <v>602.92200000000003</v>
      </c>
      <c r="K562" s="9">
        <v>839</v>
      </c>
      <c r="O562" s="11"/>
      <c r="P562" s="9"/>
      <c r="Q562" s="9"/>
      <c r="R562" s="9"/>
      <c r="S562" s="9"/>
      <c r="T562" s="31"/>
      <c r="W562" s="16">
        <f t="shared" si="113"/>
        <v>45906</v>
      </c>
      <c r="X562" s="9">
        <f t="shared" si="114"/>
        <v>602.92200000000003</v>
      </c>
      <c r="Y562" s="9">
        <f t="shared" si="115"/>
        <v>839</v>
      </c>
      <c r="AA562" s="16"/>
      <c r="AK562" s="16"/>
      <c r="AL562" s="17"/>
      <c r="AN562" s="16"/>
    </row>
    <row r="563" spans="2:40" x14ac:dyDescent="0.4">
      <c r="B563" s="6">
        <f t="shared" si="182"/>
        <v>46277</v>
      </c>
      <c r="C563" s="8">
        <f t="shared" si="183"/>
        <v>300.38599999999997</v>
      </c>
      <c r="D563" s="5">
        <f t="shared" si="184"/>
        <v>1393.703</v>
      </c>
      <c r="E563" s="5">
        <f t="shared" si="185"/>
        <v>1593.703</v>
      </c>
      <c r="F563" s="5">
        <f t="shared" si="186"/>
        <v>2348.703</v>
      </c>
      <c r="I563" s="11">
        <v>45913</v>
      </c>
      <c r="J563" s="9">
        <v>605.08000000000004</v>
      </c>
      <c r="K563" s="9">
        <v>835.1</v>
      </c>
      <c r="O563" s="11"/>
      <c r="P563" s="9"/>
      <c r="Q563" s="9"/>
      <c r="R563" s="9"/>
      <c r="S563" s="9"/>
      <c r="T563" s="31"/>
      <c r="W563" s="16">
        <f t="shared" si="113"/>
        <v>45913</v>
      </c>
      <c r="X563" s="9">
        <f t="shared" si="114"/>
        <v>605.08000000000004</v>
      </c>
      <c r="Y563" s="9">
        <f t="shared" si="115"/>
        <v>835.1</v>
      </c>
      <c r="AA563" s="16"/>
      <c r="AK563" s="16"/>
      <c r="AL563" s="17"/>
      <c r="AN563" s="16"/>
    </row>
    <row r="564" spans="2:40" x14ac:dyDescent="0.4">
      <c r="B564" s="6">
        <f t="shared" si="182"/>
        <v>46284</v>
      </c>
      <c r="C564" s="8">
        <f t="shared" si="183"/>
        <v>299.38200000000006</v>
      </c>
      <c r="D564" s="5">
        <f t="shared" si="184"/>
        <v>1120.5780000000004</v>
      </c>
      <c r="E564" s="5">
        <f t="shared" si="185"/>
        <v>1295.5780000000004</v>
      </c>
      <c r="F564" s="5">
        <f t="shared" si="186"/>
        <v>2020.5780000000004</v>
      </c>
      <c r="I564" s="11">
        <v>45920</v>
      </c>
      <c r="J564" s="9">
        <v>609.26599999999996</v>
      </c>
      <c r="K564" s="9">
        <v>829.76800000000003</v>
      </c>
      <c r="O564" s="11"/>
      <c r="P564" s="9"/>
      <c r="Q564" s="9"/>
      <c r="R564" s="9"/>
      <c r="S564" s="9"/>
      <c r="T564" s="31"/>
      <c r="W564" s="16">
        <f t="shared" si="113"/>
        <v>45920</v>
      </c>
      <c r="X564" s="9">
        <f t="shared" si="114"/>
        <v>609.26599999999996</v>
      </c>
      <c r="Y564" s="9">
        <f t="shared" si="115"/>
        <v>829.76800000000003</v>
      </c>
      <c r="AA564" s="16"/>
      <c r="AK564" s="16"/>
      <c r="AL564" s="17"/>
      <c r="AN564" s="16"/>
    </row>
    <row r="565" spans="2:40" x14ac:dyDescent="0.4">
      <c r="B565" s="6">
        <f t="shared" si="182"/>
        <v>46291</v>
      </c>
      <c r="C565" s="8">
        <f t="shared" si="183"/>
        <v>310.98666666666668</v>
      </c>
      <c r="D565" s="5">
        <f t="shared" si="184"/>
        <v>1176.4350000000004</v>
      </c>
      <c r="E565" s="5">
        <f t="shared" si="185"/>
        <v>1351.4350000000004</v>
      </c>
      <c r="F565" s="5">
        <f t="shared" si="186"/>
        <v>2156.4350000000004</v>
      </c>
      <c r="I565" s="11">
        <v>45927</v>
      </c>
      <c r="J565" s="9">
        <v>610.50599999999997</v>
      </c>
      <c r="K565" s="9">
        <v>811.19799999999998</v>
      </c>
      <c r="O565" s="11"/>
      <c r="P565" s="9"/>
      <c r="Q565" s="9"/>
      <c r="R565" s="9"/>
      <c r="S565" s="9"/>
      <c r="T565" s="31"/>
      <c r="W565" s="16">
        <f t="shared" si="113"/>
        <v>45927</v>
      </c>
      <c r="X565" s="9">
        <f t="shared" si="114"/>
        <v>610.50599999999997</v>
      </c>
      <c r="Y565" s="9">
        <f t="shared" si="115"/>
        <v>811.19799999999998</v>
      </c>
      <c r="AA565" s="16"/>
      <c r="AK565" s="16"/>
      <c r="AL565" s="17"/>
      <c r="AN565" s="16"/>
    </row>
    <row r="566" spans="2:40" x14ac:dyDescent="0.4">
      <c r="I566" s="11">
        <v>45934</v>
      </c>
      <c r="J566" s="9">
        <v>595.29600000000005</v>
      </c>
      <c r="K566" s="9">
        <v>804.76400000000001</v>
      </c>
      <c r="O566" s="11"/>
      <c r="P566" s="9"/>
      <c r="Q566" s="9"/>
      <c r="R566" s="9"/>
      <c r="S566" s="9"/>
      <c r="T566" s="31"/>
      <c r="W566" s="16">
        <f t="shared" si="113"/>
        <v>45934</v>
      </c>
      <c r="X566" s="9">
        <f t="shared" si="114"/>
        <v>595.29600000000005</v>
      </c>
      <c r="Y566" s="9">
        <f t="shared" si="115"/>
        <v>804.76400000000001</v>
      </c>
      <c r="AA566" s="16"/>
      <c r="AK566" s="16"/>
      <c r="AL566" s="17"/>
      <c r="AN566" s="16"/>
    </row>
    <row r="567" spans="2:40" x14ac:dyDescent="0.4">
      <c r="I567" s="11">
        <v>45941</v>
      </c>
      <c r="J567" s="9">
        <v>589.22199999999998</v>
      </c>
      <c r="K567" s="9">
        <v>803.43200000000002</v>
      </c>
      <c r="O567" s="11"/>
      <c r="P567" s="9"/>
      <c r="Q567" s="9"/>
      <c r="R567" s="9"/>
      <c r="S567" s="9"/>
      <c r="T567" s="31"/>
      <c r="W567" s="16">
        <f t="shared" si="113"/>
        <v>45941</v>
      </c>
      <c r="X567" s="9">
        <f t="shared" si="114"/>
        <v>589.22199999999998</v>
      </c>
      <c r="Y567" s="9">
        <f t="shared" si="115"/>
        <v>803.43200000000002</v>
      </c>
      <c r="AA567" s="16"/>
      <c r="AK567" s="16"/>
      <c r="AL567" s="17"/>
      <c r="AN567" s="16"/>
    </row>
    <row r="568" spans="2:40" x14ac:dyDescent="0.4">
      <c r="I568" s="11">
        <v>45948</v>
      </c>
      <c r="J568" s="9">
        <v>555.42399999999998</v>
      </c>
      <c r="K568" s="9">
        <v>784.2</v>
      </c>
      <c r="O568" s="11"/>
      <c r="P568" s="9"/>
      <c r="Q568" s="9"/>
      <c r="R568" s="9"/>
      <c r="S568" s="9"/>
      <c r="T568" s="31"/>
      <c r="W568" s="16">
        <f t="shared" si="113"/>
        <v>45948</v>
      </c>
      <c r="X568" s="9">
        <f t="shared" si="114"/>
        <v>555.42399999999998</v>
      </c>
      <c r="Y568" s="9">
        <f t="shared" si="115"/>
        <v>784.2</v>
      </c>
      <c r="AA568" s="16"/>
      <c r="AK568" s="16"/>
      <c r="AL568" s="17"/>
      <c r="AN568" s="16"/>
    </row>
    <row r="569" spans="2:40" x14ac:dyDescent="0.4">
      <c r="I569" s="11">
        <v>45955</v>
      </c>
      <c r="J569" s="9">
        <v>567.13</v>
      </c>
      <c r="K569" s="9">
        <v>802.20749999999998</v>
      </c>
      <c r="O569" s="11"/>
      <c r="P569" s="9"/>
      <c r="Q569" s="9"/>
      <c r="R569" s="9"/>
      <c r="S569" s="9"/>
      <c r="T569" s="31"/>
      <c r="W569" s="16">
        <f t="shared" si="113"/>
        <v>45955</v>
      </c>
      <c r="X569" s="9">
        <f t="shared" si="114"/>
        <v>567.13</v>
      </c>
      <c r="Y569" s="9">
        <f t="shared" si="115"/>
        <v>802.20749999999998</v>
      </c>
      <c r="AA569" s="16"/>
      <c r="AK569" s="16"/>
      <c r="AL569" s="17"/>
      <c r="AN569" s="16"/>
    </row>
    <row r="570" spans="2:40" x14ac:dyDescent="0.4">
      <c r="I570" s="11">
        <v>45962</v>
      </c>
      <c r="J570" s="9">
        <v>580.79399999999998</v>
      </c>
      <c r="K570" s="9">
        <v>817.89800000000002</v>
      </c>
      <c r="O570" s="11"/>
      <c r="P570" s="9"/>
      <c r="Q570" s="9"/>
      <c r="R570" s="9"/>
      <c r="S570" s="9"/>
      <c r="T570" s="31"/>
      <c r="W570" s="16">
        <f t="shared" si="113"/>
        <v>45962</v>
      </c>
      <c r="X570" s="9">
        <f t="shared" si="114"/>
        <v>580.79399999999998</v>
      </c>
      <c r="Y570" s="9">
        <f t="shared" si="115"/>
        <v>817.89800000000002</v>
      </c>
      <c r="AA570" s="16"/>
      <c r="AK570" s="16"/>
      <c r="AL570" s="17"/>
      <c r="AN570" s="16"/>
    </row>
    <row r="571" spans="2:40" x14ac:dyDescent="0.4">
      <c r="I571" s="11">
        <v>45969</v>
      </c>
      <c r="J571" s="9">
        <v>585.81200000000001</v>
      </c>
      <c r="K571" s="9">
        <v>819.76599999999996</v>
      </c>
      <c r="O571" s="11"/>
      <c r="P571" s="9"/>
      <c r="Q571" s="9"/>
      <c r="R571" s="9"/>
      <c r="S571" s="9"/>
      <c r="T571" s="31"/>
      <c r="W571" s="16">
        <f t="shared" si="113"/>
        <v>45969</v>
      </c>
      <c r="X571" s="9">
        <f t="shared" si="114"/>
        <v>585.81200000000001</v>
      </c>
      <c r="Y571" s="9">
        <f t="shared" si="115"/>
        <v>819.76599999999996</v>
      </c>
      <c r="AA571" s="16"/>
      <c r="AK571" s="16"/>
      <c r="AL571" s="17"/>
      <c r="AN571" s="16"/>
    </row>
    <row r="572" spans="2:40" x14ac:dyDescent="0.4">
      <c r="I572" s="11">
        <v>45976</v>
      </c>
      <c r="J572" s="9">
        <v>583.95000000000005</v>
      </c>
      <c r="K572" s="9">
        <v>826.46600000000001</v>
      </c>
      <c r="O572" s="11"/>
      <c r="P572" s="9"/>
      <c r="Q572" s="9"/>
      <c r="R572" s="9"/>
      <c r="S572" s="9"/>
      <c r="T572" s="31"/>
      <c r="W572" s="16">
        <f t="shared" si="113"/>
        <v>45976</v>
      </c>
      <c r="X572" s="9">
        <f t="shared" si="114"/>
        <v>583.95000000000005</v>
      </c>
      <c r="Y572" s="9">
        <f t="shared" si="115"/>
        <v>826.46600000000001</v>
      </c>
      <c r="AA572" s="16"/>
      <c r="AK572" s="16"/>
      <c r="AL572" s="17"/>
      <c r="AN572" s="16"/>
    </row>
    <row r="573" spans="2:40" x14ac:dyDescent="0.4">
      <c r="I573" s="11">
        <v>45983</v>
      </c>
      <c r="J573" s="9">
        <v>575.39599999999996</v>
      </c>
      <c r="K573" s="9">
        <v>828.9</v>
      </c>
      <c r="O573" s="11"/>
      <c r="P573" s="9"/>
      <c r="Q573" s="9"/>
      <c r="R573" s="9"/>
      <c r="S573" s="9"/>
      <c r="T573" s="31"/>
      <c r="W573" s="16">
        <f t="shared" si="113"/>
        <v>45983</v>
      </c>
      <c r="X573" s="9">
        <f t="shared" si="114"/>
        <v>575.39599999999996</v>
      </c>
      <c r="Y573" s="9">
        <f t="shared" si="115"/>
        <v>828.9</v>
      </c>
      <c r="AA573" s="16"/>
      <c r="AK573" s="16"/>
      <c r="AL573" s="17"/>
      <c r="AN573" s="16"/>
    </row>
    <row r="574" spans="2:40" x14ac:dyDescent="0.4">
      <c r="I574" s="11">
        <v>45990</v>
      </c>
      <c r="J574" s="9">
        <v>570.78800000000001</v>
      </c>
      <c r="K574" s="9">
        <v>828.8</v>
      </c>
      <c r="O574" s="11"/>
      <c r="P574" s="9"/>
      <c r="Q574" s="9"/>
      <c r="R574" s="9"/>
      <c r="S574" s="9"/>
      <c r="T574" s="31"/>
      <c r="W574" s="16">
        <f t="shared" si="113"/>
        <v>45990</v>
      </c>
      <c r="X574" s="9">
        <f t="shared" si="114"/>
        <v>570.78800000000001</v>
      </c>
      <c r="Y574" s="9">
        <f t="shared" si="115"/>
        <v>828.8</v>
      </c>
      <c r="AA574" s="16"/>
      <c r="AK574" s="16"/>
      <c r="AL574" s="17"/>
      <c r="AN574" s="16"/>
    </row>
    <row r="575" spans="2:40" x14ac:dyDescent="0.4">
      <c r="I575" s="11">
        <v>45997</v>
      </c>
      <c r="J575" s="9">
        <v>571.42600000000004</v>
      </c>
      <c r="K575" s="9">
        <v>846.06600000000003</v>
      </c>
      <c r="O575" s="11"/>
      <c r="P575" s="9"/>
      <c r="Q575" s="9"/>
      <c r="R575" s="9"/>
      <c r="S575" s="9"/>
      <c r="T575" s="31"/>
      <c r="W575" s="16">
        <f t="shared" si="113"/>
        <v>45997</v>
      </c>
      <c r="X575" s="9">
        <f t="shared" si="114"/>
        <v>571.42600000000004</v>
      </c>
      <c r="Y575" s="9">
        <f t="shared" si="115"/>
        <v>846.06600000000003</v>
      </c>
      <c r="AA575" s="16"/>
      <c r="AK575" s="16"/>
      <c r="AL575" s="17"/>
      <c r="AN575" s="16"/>
    </row>
    <row r="576" spans="2:40" x14ac:dyDescent="0.4">
      <c r="I576" s="11">
        <v>46004</v>
      </c>
      <c r="J576" s="9">
        <v>565.69000000000005</v>
      </c>
      <c r="K576" s="9">
        <v>834.53399999999999</v>
      </c>
      <c r="O576" s="11"/>
      <c r="P576" s="9"/>
      <c r="Q576" s="9"/>
      <c r="R576" s="9"/>
      <c r="S576" s="9"/>
      <c r="T576" s="31"/>
      <c r="W576" s="16">
        <f t="shared" si="113"/>
        <v>46004</v>
      </c>
      <c r="X576" s="9">
        <f t="shared" si="114"/>
        <v>565.69000000000005</v>
      </c>
      <c r="Y576" s="9">
        <f t="shared" si="115"/>
        <v>834.53399999999999</v>
      </c>
      <c r="AA576" s="16"/>
      <c r="AK576" s="16"/>
      <c r="AL576" s="17"/>
      <c r="AN576" s="16"/>
    </row>
    <row r="577" spans="9:40" x14ac:dyDescent="0.4">
      <c r="I577" s="11">
        <v>46011</v>
      </c>
      <c r="J577" s="9">
        <v>540.23800000000006</v>
      </c>
      <c r="K577" s="9">
        <v>839.96600000000001</v>
      </c>
      <c r="O577" s="11"/>
      <c r="P577" s="9"/>
      <c r="Q577" s="9"/>
      <c r="R577" s="9"/>
      <c r="S577" s="9"/>
      <c r="T577" s="31"/>
      <c r="W577" s="16">
        <f t="shared" si="113"/>
        <v>46011</v>
      </c>
      <c r="X577" s="9">
        <f t="shared" si="114"/>
        <v>540.23800000000006</v>
      </c>
      <c r="Y577" s="9">
        <f t="shared" si="115"/>
        <v>839.96600000000001</v>
      </c>
      <c r="AA577" s="16"/>
      <c r="AK577" s="16"/>
      <c r="AL577" s="17"/>
      <c r="AN577" s="16"/>
    </row>
    <row r="578" spans="9:40" x14ac:dyDescent="0.4">
      <c r="I578" s="11">
        <v>46018</v>
      </c>
      <c r="J578" s="9">
        <v>544.54750000000001</v>
      </c>
      <c r="K578" s="9">
        <v>901.75</v>
      </c>
      <c r="O578" s="11"/>
      <c r="P578" s="9"/>
      <c r="Q578" s="9"/>
      <c r="R578" s="9"/>
      <c r="S578" s="9"/>
      <c r="T578" s="31"/>
      <c r="W578" s="16">
        <f t="shared" si="113"/>
        <v>46018</v>
      </c>
      <c r="X578" s="9">
        <f t="shared" si="114"/>
        <v>544.54750000000001</v>
      </c>
      <c r="Y578" s="9">
        <f t="shared" si="115"/>
        <v>901.75</v>
      </c>
      <c r="AA578" s="16"/>
      <c r="AK578" s="16"/>
      <c r="AL578" s="17"/>
      <c r="AN578" s="16"/>
    </row>
    <row r="579" spans="9:40" x14ac:dyDescent="0.4">
      <c r="I579" s="11">
        <v>46025</v>
      </c>
      <c r="J579" s="9">
        <v>536.71</v>
      </c>
      <c r="K579" s="9">
        <v>892.99749999999995</v>
      </c>
      <c r="O579" s="11"/>
      <c r="P579" s="9"/>
      <c r="Q579" s="9"/>
      <c r="R579" s="9"/>
      <c r="S579" s="9"/>
      <c r="T579" s="31"/>
      <c r="W579" s="16">
        <f t="shared" si="113"/>
        <v>46025</v>
      </c>
      <c r="X579" s="9">
        <f t="shared" si="114"/>
        <v>536.71</v>
      </c>
      <c r="Y579" s="9">
        <f t="shared" si="115"/>
        <v>892.99749999999995</v>
      </c>
      <c r="AA579" s="16"/>
      <c r="AK579" s="16"/>
      <c r="AL579" s="17"/>
      <c r="AN579" s="16"/>
    </row>
    <row r="580" spans="9:40" x14ac:dyDescent="0.4">
      <c r="I580" s="11">
        <v>46032</v>
      </c>
      <c r="J580" s="9">
        <v>538.17399999999998</v>
      </c>
      <c r="K580" s="9">
        <v>892.26800000000003</v>
      </c>
      <c r="O580" s="11"/>
      <c r="P580" s="9"/>
      <c r="Q580" s="9"/>
      <c r="R580" s="9"/>
      <c r="S580" s="9"/>
      <c r="T580" s="31"/>
      <c r="W580" s="16">
        <f t="shared" si="113"/>
        <v>46032</v>
      </c>
      <c r="X580" s="9">
        <f t="shared" si="114"/>
        <v>538.17399999999998</v>
      </c>
      <c r="Y580" s="9">
        <f t="shared" si="115"/>
        <v>892.26800000000003</v>
      </c>
      <c r="AA580" s="16"/>
      <c r="AK580" s="16"/>
      <c r="AL580" s="17"/>
      <c r="AN580" s="16"/>
    </row>
    <row r="581" spans="9:40" x14ac:dyDescent="0.4">
      <c r="I581" s="11">
        <v>46039</v>
      </c>
      <c r="J581" s="9">
        <v>558.49400000000003</v>
      </c>
      <c r="K581" s="9">
        <v>890.9</v>
      </c>
      <c r="O581" s="11"/>
      <c r="P581" s="9"/>
      <c r="Q581" s="9"/>
      <c r="R581" s="9"/>
      <c r="S581" s="9"/>
      <c r="T581" s="31"/>
      <c r="W581" s="16">
        <f t="shared" si="113"/>
        <v>46039</v>
      </c>
      <c r="X581" s="9">
        <f t="shared" si="114"/>
        <v>558.49400000000003</v>
      </c>
      <c r="Y581" s="9">
        <f t="shared" si="115"/>
        <v>890.9</v>
      </c>
      <c r="AA581" s="16"/>
      <c r="AK581" s="16"/>
      <c r="AL581" s="17"/>
      <c r="AN581" s="16"/>
    </row>
    <row r="582" spans="9:40" x14ac:dyDescent="0.4">
      <c r="I582" s="11">
        <v>46046</v>
      </c>
      <c r="J582" s="9">
        <v>559.26400000000001</v>
      </c>
      <c r="K582" s="9">
        <v>896.66800000000001</v>
      </c>
      <c r="O582" s="11"/>
      <c r="P582" s="9"/>
      <c r="Q582" s="9"/>
      <c r="R582" s="9"/>
      <c r="S582" s="9"/>
      <c r="T582" s="31"/>
      <c r="W582" s="16">
        <f t="shared" ref="W582:W598" si="187">I582</f>
        <v>46046</v>
      </c>
      <c r="X582" s="9">
        <f t="shared" ref="X582:X598" si="188">IFERROR(IF(J582&lt;&gt;0,J582,X581),X581)</f>
        <v>559.26400000000001</v>
      </c>
      <c r="Y582" s="9">
        <f t="shared" ref="Y582:Y598" si="189">IFERROR(IF(K582&lt;&gt;0,K582,Y581),Y581)</f>
        <v>896.66800000000001</v>
      </c>
      <c r="AA582" s="16"/>
      <c r="AK582" s="16"/>
      <c r="AL582" s="17"/>
      <c r="AN582" s="16"/>
    </row>
    <row r="583" spans="9:40" x14ac:dyDescent="0.4">
      <c r="I583" s="11">
        <v>46053</v>
      </c>
      <c r="J583" s="9">
        <v>586.82600000000002</v>
      </c>
      <c r="K583" s="9">
        <v>917.76599999999996</v>
      </c>
      <c r="O583" s="11"/>
      <c r="P583" s="9"/>
      <c r="Q583" s="9"/>
      <c r="R583" s="9"/>
      <c r="S583" s="9"/>
      <c r="T583" s="31"/>
      <c r="W583" s="16">
        <f t="shared" si="187"/>
        <v>46053</v>
      </c>
      <c r="X583" s="9">
        <f t="shared" si="188"/>
        <v>586.82600000000002</v>
      </c>
      <c r="Y583" s="9">
        <f t="shared" si="189"/>
        <v>917.76599999999996</v>
      </c>
      <c r="AA583" s="16"/>
      <c r="AK583" s="16"/>
      <c r="AL583" s="17"/>
      <c r="AN583" s="16"/>
    </row>
    <row r="584" spans="9:40" x14ac:dyDescent="0.4">
      <c r="I584" s="11">
        <v>46060</v>
      </c>
      <c r="J584" s="9">
        <v>600.50800000000004</v>
      </c>
      <c r="K584" s="9">
        <v>895.86599999999999</v>
      </c>
      <c r="O584" s="11"/>
      <c r="P584" s="9"/>
      <c r="Q584" s="9"/>
      <c r="R584" s="9"/>
      <c r="S584" s="9"/>
      <c r="T584" s="31"/>
      <c r="W584" s="16">
        <f t="shared" si="187"/>
        <v>46060</v>
      </c>
      <c r="X584" s="9">
        <f t="shared" si="188"/>
        <v>600.50800000000004</v>
      </c>
      <c r="Y584" s="9">
        <f t="shared" si="189"/>
        <v>895.86599999999999</v>
      </c>
      <c r="AA584" s="16"/>
      <c r="AK584" s="16"/>
      <c r="AL584" s="17"/>
      <c r="AN584" s="16"/>
    </row>
    <row r="585" spans="9:40" x14ac:dyDescent="0.4">
      <c r="I585" s="11">
        <v>46067</v>
      </c>
      <c r="J585" s="9">
        <v>618.42399999999998</v>
      </c>
      <c r="K585" s="9">
        <v>907.2</v>
      </c>
      <c r="O585" s="11"/>
      <c r="P585" s="9"/>
      <c r="Q585" s="9"/>
      <c r="R585" s="9"/>
      <c r="S585" s="9"/>
      <c r="T585" s="31"/>
      <c r="W585" s="16">
        <f t="shared" si="187"/>
        <v>46067</v>
      </c>
      <c r="X585" s="9">
        <f t="shared" si="188"/>
        <v>618.42399999999998</v>
      </c>
      <c r="Y585" s="9">
        <f t="shared" si="189"/>
        <v>907.2</v>
      </c>
      <c r="AA585" s="16"/>
      <c r="AK585" s="16"/>
      <c r="AL585" s="17"/>
      <c r="AN585" s="16"/>
    </row>
    <row r="586" spans="9:40" x14ac:dyDescent="0.4">
      <c r="I586" s="11">
        <v>46074</v>
      </c>
      <c r="J586" s="9">
        <v>615.3366666666667</v>
      </c>
      <c r="K586" s="9">
        <v>918.11333333333334</v>
      </c>
      <c r="O586" s="11"/>
      <c r="P586" s="9"/>
      <c r="Q586" s="9"/>
      <c r="R586" s="9"/>
      <c r="S586" s="9"/>
      <c r="T586" s="31"/>
      <c r="W586" s="16">
        <f t="shared" si="187"/>
        <v>46074</v>
      </c>
      <c r="X586" s="9">
        <f t="shared" si="188"/>
        <v>615.3366666666667</v>
      </c>
      <c r="Y586" s="9">
        <f t="shared" si="189"/>
        <v>918.11333333333334</v>
      </c>
      <c r="AA586" s="16"/>
      <c r="AK586" s="16"/>
      <c r="AL586" s="17"/>
      <c r="AN586" s="16"/>
    </row>
    <row r="587" spans="9:40" x14ac:dyDescent="0.4">
      <c r="I587" s="11">
        <v>46081</v>
      </c>
      <c r="J587" s="9">
        <v>633.92200000000003</v>
      </c>
      <c r="K587" s="9">
        <v>929.47</v>
      </c>
      <c r="O587" s="11"/>
      <c r="P587" s="9"/>
      <c r="Q587" s="9"/>
      <c r="R587" s="9"/>
      <c r="S587" s="9"/>
      <c r="T587" s="31"/>
      <c r="W587" s="16">
        <f t="shared" si="187"/>
        <v>46081</v>
      </c>
      <c r="X587" s="9">
        <f t="shared" si="188"/>
        <v>633.92200000000003</v>
      </c>
      <c r="Y587" s="9">
        <f t="shared" si="189"/>
        <v>929.47</v>
      </c>
      <c r="AA587" s="16"/>
      <c r="AK587" s="16"/>
      <c r="AL587" s="17"/>
      <c r="AN587" s="16"/>
    </row>
    <row r="588" spans="9:40" x14ac:dyDescent="0.4">
      <c r="I588" s="11">
        <v>46088</v>
      </c>
      <c r="J588" s="9">
        <v>795.89599999999996</v>
      </c>
      <c r="K588" s="9">
        <v>1035.1020000000001</v>
      </c>
      <c r="O588" s="11"/>
      <c r="P588" s="9"/>
      <c r="Q588" s="9"/>
      <c r="R588" s="9"/>
      <c r="S588" s="9"/>
      <c r="T588" s="31"/>
      <c r="W588" s="16">
        <f t="shared" si="187"/>
        <v>46088</v>
      </c>
      <c r="X588" s="9">
        <f t="shared" si="188"/>
        <v>795.89599999999996</v>
      </c>
      <c r="Y588" s="9">
        <f t="shared" si="189"/>
        <v>1035.1020000000001</v>
      </c>
      <c r="AA588" s="16"/>
      <c r="AK588" s="16"/>
      <c r="AL588" s="17"/>
      <c r="AN588" s="16"/>
    </row>
    <row r="589" spans="9:40" x14ac:dyDescent="0.4">
      <c r="I589" s="11">
        <v>46095</v>
      </c>
      <c r="J589" s="9">
        <v>1045.364</v>
      </c>
      <c r="K589" s="9">
        <v>1258.598</v>
      </c>
      <c r="O589" s="11"/>
      <c r="P589" s="9"/>
      <c r="Q589" s="9"/>
      <c r="R589" s="9"/>
      <c r="S589" s="9"/>
      <c r="T589" s="31"/>
      <c r="W589" s="16">
        <f t="shared" si="187"/>
        <v>46095</v>
      </c>
      <c r="X589" s="9">
        <f t="shared" si="188"/>
        <v>1045.364</v>
      </c>
      <c r="Y589" s="9">
        <f t="shared" si="189"/>
        <v>1258.598</v>
      </c>
      <c r="AA589" s="16"/>
      <c r="AK589" s="16"/>
      <c r="AL589" s="17"/>
      <c r="AN589" s="16"/>
    </row>
    <row r="590" spans="9:40" x14ac:dyDescent="0.4">
      <c r="I590" s="11">
        <v>46102</v>
      </c>
      <c r="J590" s="9">
        <v>1204.4580000000001</v>
      </c>
      <c r="K590" s="9">
        <v>1254.8699999999999</v>
      </c>
      <c r="O590" s="11"/>
      <c r="P590" s="9"/>
      <c r="Q590" s="9"/>
      <c r="R590" s="9"/>
      <c r="S590" s="9"/>
      <c r="T590" s="31"/>
      <c r="W590" s="16">
        <f t="shared" si="187"/>
        <v>46102</v>
      </c>
      <c r="X590" s="9">
        <f t="shared" si="188"/>
        <v>1204.4580000000001</v>
      </c>
      <c r="Y590" s="9">
        <f t="shared" si="189"/>
        <v>1254.8699999999999</v>
      </c>
      <c r="AA590" s="16"/>
      <c r="AK590" s="16"/>
      <c r="AL590" s="17"/>
      <c r="AN590" s="16"/>
    </row>
    <row r="591" spans="9:40" x14ac:dyDescent="0.4">
      <c r="I591" s="11">
        <v>46109</v>
      </c>
      <c r="J591" s="9">
        <v>1238.548</v>
      </c>
      <c r="K591" s="9">
        <v>1247.27</v>
      </c>
      <c r="O591" s="11"/>
      <c r="P591" s="9"/>
      <c r="Q591" s="9"/>
      <c r="R591" s="9"/>
      <c r="S591" s="9"/>
      <c r="T591" s="31"/>
      <c r="W591" s="16">
        <f t="shared" si="187"/>
        <v>46109</v>
      </c>
      <c r="X591" s="9">
        <f t="shared" si="188"/>
        <v>1238.548</v>
      </c>
      <c r="Y591" s="9">
        <f t="shared" si="189"/>
        <v>1247.27</v>
      </c>
      <c r="AA591" s="16"/>
      <c r="AK591" s="16"/>
      <c r="AL591" s="17"/>
      <c r="AN591" s="16"/>
    </row>
    <row r="592" spans="9:40" x14ac:dyDescent="0.4">
      <c r="I592" s="11">
        <v>46116</v>
      </c>
      <c r="J592" s="9">
        <v>1337.1724999999999</v>
      </c>
      <c r="K592" s="9">
        <v>1247.335</v>
      </c>
      <c r="O592" s="11"/>
      <c r="P592" s="9"/>
      <c r="Q592" s="9"/>
      <c r="R592" s="9"/>
      <c r="S592" s="9"/>
      <c r="T592" s="31"/>
      <c r="W592" s="16">
        <f t="shared" si="187"/>
        <v>46116</v>
      </c>
      <c r="X592" s="9">
        <f t="shared" si="188"/>
        <v>1337.1724999999999</v>
      </c>
      <c r="Y592" s="9">
        <f t="shared" si="189"/>
        <v>1247.335</v>
      </c>
      <c r="AA592" s="16"/>
      <c r="AK592" s="16"/>
      <c r="AL592" s="17"/>
      <c r="AN592" s="16"/>
    </row>
    <row r="593" spans="9:40" x14ac:dyDescent="0.4">
      <c r="I593" s="11">
        <v>46123</v>
      </c>
      <c r="J593" s="9">
        <v>1259.7280000000001</v>
      </c>
      <c r="K593" s="9">
        <v>1215.798</v>
      </c>
      <c r="O593" s="11"/>
      <c r="P593" s="9"/>
      <c r="Q593" s="9"/>
      <c r="R593" s="9"/>
      <c r="S593" s="9"/>
      <c r="T593" s="31"/>
      <c r="W593" s="16">
        <f t="shared" si="187"/>
        <v>46123</v>
      </c>
      <c r="X593" s="9">
        <f t="shared" si="188"/>
        <v>1259.7280000000001</v>
      </c>
      <c r="Y593" s="9">
        <f t="shared" si="189"/>
        <v>1215.798</v>
      </c>
      <c r="AA593" s="16"/>
      <c r="AK593" s="16"/>
      <c r="AL593" s="17"/>
      <c r="AN593" s="16"/>
    </row>
    <row r="594" spans="9:40" x14ac:dyDescent="0.4">
      <c r="I594" s="11">
        <v>46130</v>
      </c>
      <c r="J594" s="9">
        <v>1165.778</v>
      </c>
      <c r="K594" s="9">
        <v>1220.4659999999999</v>
      </c>
      <c r="O594" s="11"/>
      <c r="P594" s="9"/>
      <c r="Q594" s="9"/>
      <c r="R594" s="9"/>
      <c r="S594" s="9"/>
      <c r="T594" s="31"/>
      <c r="W594" s="16">
        <f t="shared" si="187"/>
        <v>46130</v>
      </c>
      <c r="X594" s="9">
        <f t="shared" si="188"/>
        <v>1165.778</v>
      </c>
      <c r="Y594" s="9">
        <f t="shared" si="189"/>
        <v>1220.4659999999999</v>
      </c>
      <c r="AA594" s="16"/>
      <c r="AK594" s="16"/>
      <c r="AL594" s="17"/>
      <c r="AN594" s="16"/>
    </row>
    <row r="595" spans="9:40" x14ac:dyDescent="0.4">
      <c r="I595" s="11">
        <v>46137</v>
      </c>
      <c r="J595" s="9">
        <v>1082.222</v>
      </c>
      <c r="K595" s="9">
        <v>1218.402</v>
      </c>
      <c r="O595" s="11"/>
      <c r="P595" s="9"/>
      <c r="Q595" s="9"/>
      <c r="R595" s="9"/>
      <c r="S595" s="9"/>
      <c r="T595" s="31"/>
      <c r="W595" s="16">
        <f t="shared" si="187"/>
        <v>46137</v>
      </c>
      <c r="X595" s="9">
        <f t="shared" si="188"/>
        <v>1082.222</v>
      </c>
      <c r="Y595" s="9">
        <f t="shared" si="189"/>
        <v>1218.402</v>
      </c>
      <c r="AA595" s="16"/>
      <c r="AK595" s="16"/>
      <c r="AL595" s="17"/>
      <c r="AN595" s="16"/>
    </row>
    <row r="596" spans="9:40" x14ac:dyDescent="0.4">
      <c r="I596" s="11">
        <v>46144</v>
      </c>
      <c r="J596" s="9">
        <v>1160.06</v>
      </c>
      <c r="K596" s="9">
        <v>1260.415</v>
      </c>
      <c r="O596" s="11"/>
      <c r="P596" s="9"/>
      <c r="Q596" s="9"/>
      <c r="R596" s="9"/>
      <c r="S596" s="9"/>
      <c r="T596" s="31"/>
      <c r="W596" s="16">
        <f t="shared" si="187"/>
        <v>46144</v>
      </c>
      <c r="X596" s="9">
        <f t="shared" si="188"/>
        <v>1160.06</v>
      </c>
      <c r="Y596" s="9">
        <f t="shared" si="189"/>
        <v>1260.415</v>
      </c>
      <c r="AA596" s="16"/>
      <c r="AK596" s="16"/>
      <c r="AL596" s="17"/>
      <c r="AN596" s="16"/>
    </row>
    <row r="597" spans="9:40" x14ac:dyDescent="0.4">
      <c r="I597" s="11">
        <v>46151</v>
      </c>
      <c r="J597" s="9">
        <v>1045.076</v>
      </c>
      <c r="K597" s="9">
        <v>1240</v>
      </c>
      <c r="O597" s="11"/>
      <c r="P597" s="9"/>
      <c r="Q597" s="9"/>
      <c r="R597" s="9"/>
      <c r="S597" s="9"/>
      <c r="T597" s="31"/>
      <c r="W597" s="16">
        <f t="shared" si="187"/>
        <v>46151</v>
      </c>
      <c r="X597" s="9">
        <f t="shared" si="188"/>
        <v>1045.076</v>
      </c>
      <c r="Y597" s="9">
        <f t="shared" si="189"/>
        <v>1240</v>
      </c>
      <c r="AA597" s="16"/>
      <c r="AK597" s="16"/>
      <c r="AL597" s="17"/>
      <c r="AN597" s="16"/>
    </row>
    <row r="598" spans="9:40" x14ac:dyDescent="0.4">
      <c r="I598" s="11">
        <v>46158</v>
      </c>
      <c r="J598" s="9">
        <v>1065.134</v>
      </c>
      <c r="K598" s="9">
        <v>1206.6679999999999</v>
      </c>
      <c r="O598" s="11"/>
      <c r="P598" s="9"/>
      <c r="Q598" s="9"/>
      <c r="R598" s="9"/>
      <c r="S598" s="9"/>
      <c r="T598" s="31"/>
      <c r="W598" s="16">
        <f t="shared" si="187"/>
        <v>46158</v>
      </c>
      <c r="X598" s="9">
        <f t="shared" si="188"/>
        <v>1065.134</v>
      </c>
      <c r="Y598" s="9">
        <f t="shared" si="189"/>
        <v>1206.6679999999999</v>
      </c>
      <c r="AA598" s="16"/>
      <c r="AK598" s="16"/>
      <c r="AL598" s="17"/>
      <c r="AN598" s="16"/>
    </row>
    <row r="599" spans="9:40" x14ac:dyDescent="0.4">
      <c r="I599" s="11">
        <v>46165</v>
      </c>
      <c r="J599" s="9">
        <v>981.048</v>
      </c>
      <c r="K599" s="9">
        <v>1182.866</v>
      </c>
      <c r="O599" s="11"/>
      <c r="P599" s="9"/>
      <c r="Q599" s="9"/>
      <c r="R599" s="9"/>
      <c r="S599" s="9"/>
      <c r="T599" s="31"/>
      <c r="W599" s="16">
        <f>I599</f>
        <v>46165</v>
      </c>
      <c r="X599" s="9">
        <f>IFERROR(IF(J599&lt;&gt;0,J599,X598),X598)</f>
        <v>981.048</v>
      </c>
      <c r="Y599" s="9">
        <f>IFERROR(IF(K599&lt;&gt;0,K599,Y598),Y598)</f>
        <v>1182.866</v>
      </c>
      <c r="AA599" s="16"/>
      <c r="AK599" s="16"/>
      <c r="AL599" s="17"/>
      <c r="AN599" s="16"/>
    </row>
    <row r="600" spans="9:40" x14ac:dyDescent="0.4">
      <c r="I600" s="11">
        <v>46172</v>
      </c>
      <c r="J600" s="9">
        <v>824.48249999999996</v>
      </c>
      <c r="K600" s="9">
        <v>1105.375</v>
      </c>
      <c r="O600" s="11"/>
      <c r="P600" s="9"/>
      <c r="Q600" s="9"/>
      <c r="R600" s="9"/>
      <c r="S600" s="9"/>
      <c r="T600" s="31"/>
      <c r="W600" s="16">
        <f t="shared" ref="W600:W601" si="190">I600</f>
        <v>46172</v>
      </c>
      <c r="X600" s="9">
        <f t="shared" ref="X600:X601" si="191">IFERROR(IF(J600&lt;&gt;0,J600,X599),X599)</f>
        <v>824.48249999999996</v>
      </c>
      <c r="Y600" s="9">
        <f t="shared" ref="Y600:Y601" si="192">IFERROR(IF(K600&lt;&gt;0,K600,Y599),Y599)</f>
        <v>1105.375</v>
      </c>
      <c r="AA600" s="16"/>
      <c r="AK600" s="16"/>
      <c r="AL600" s="17"/>
      <c r="AN600" s="16"/>
    </row>
    <row r="601" spans="9:40" x14ac:dyDescent="0.4">
      <c r="I601" s="11">
        <v>46179</v>
      </c>
      <c r="J601" s="9">
        <v>781.9325</v>
      </c>
      <c r="K601" s="9">
        <v>1141.0825</v>
      </c>
      <c r="O601" s="11"/>
      <c r="P601" s="9"/>
      <c r="Q601" s="9"/>
      <c r="R601" s="9"/>
      <c r="S601" s="9"/>
      <c r="T601" s="31"/>
      <c r="W601" s="16">
        <f t="shared" si="190"/>
        <v>46179</v>
      </c>
      <c r="X601" s="9">
        <f t="shared" si="191"/>
        <v>781.9325</v>
      </c>
      <c r="Y601" s="9">
        <f t="shared" si="192"/>
        <v>1141.0825</v>
      </c>
      <c r="AA601" s="16"/>
      <c r="AK601" s="16"/>
      <c r="AL601" s="17"/>
      <c r="AN601" s="16"/>
    </row>
    <row r="602" spans="9:40" x14ac:dyDescent="0.4">
      <c r="I602" s="11">
        <v>46186</v>
      </c>
      <c r="J602" s="9">
        <v>751.16200000000003</v>
      </c>
      <c r="K602" s="9">
        <v>1153.3320000000001</v>
      </c>
      <c r="O602" s="11"/>
      <c r="P602" s="9"/>
      <c r="Q602" s="9"/>
      <c r="R602" s="9"/>
      <c r="S602" s="9"/>
      <c r="T602" s="31"/>
      <c r="W602" s="16">
        <f t="shared" ref="W602:W605" si="193">I602</f>
        <v>46186</v>
      </c>
      <c r="X602" s="9">
        <f t="shared" ref="X602:X605" si="194">IFERROR(IF(J602&lt;&gt;0,J602,X601),X601)</f>
        <v>751.16200000000003</v>
      </c>
      <c r="Y602" s="9">
        <f t="shared" ref="Y602:Y605" si="195">IFERROR(IF(K602&lt;&gt;0,K602,Y601),Y601)</f>
        <v>1153.3320000000001</v>
      </c>
      <c r="AA602" s="16"/>
      <c r="AK602" s="16"/>
      <c r="AL602" s="17"/>
      <c r="AN602" s="16"/>
    </row>
    <row r="603" spans="9:40" x14ac:dyDescent="0.4">
      <c r="I603" s="11">
        <v>46193</v>
      </c>
      <c r="J603" s="9">
        <v>662.25400000000002</v>
      </c>
      <c r="K603" s="9">
        <v>1053.298</v>
      </c>
      <c r="O603" s="11"/>
      <c r="P603" s="9"/>
      <c r="Q603" s="9"/>
      <c r="R603" s="9"/>
      <c r="S603" s="9"/>
      <c r="T603" s="31"/>
      <c r="W603" s="16">
        <f t="shared" si="193"/>
        <v>46193</v>
      </c>
      <c r="X603" s="9">
        <f t="shared" si="194"/>
        <v>662.25400000000002</v>
      </c>
      <c r="Y603" s="9">
        <f t="shared" si="195"/>
        <v>1053.298</v>
      </c>
      <c r="AA603" s="16"/>
      <c r="AK603" s="16"/>
      <c r="AL603" s="17"/>
      <c r="AN603" s="16"/>
    </row>
    <row r="604" spans="9:40" x14ac:dyDescent="0.4">
      <c r="I604" s="11">
        <v>46200</v>
      </c>
      <c r="J604" s="9">
        <v>644.28800000000001</v>
      </c>
      <c r="K604" s="9">
        <v>1014.73</v>
      </c>
      <c r="O604" s="11"/>
      <c r="P604" s="9"/>
      <c r="Q604" s="9"/>
      <c r="R604" s="9"/>
      <c r="S604" s="9"/>
      <c r="T604" s="31"/>
      <c r="W604" s="16">
        <f t="shared" si="193"/>
        <v>46200</v>
      </c>
      <c r="X604" s="9">
        <f t="shared" si="194"/>
        <v>644.28800000000001</v>
      </c>
      <c r="Y604" s="9">
        <f t="shared" si="195"/>
        <v>1014.73</v>
      </c>
      <c r="AA604" s="16"/>
      <c r="AK604" s="16"/>
      <c r="AL604" s="17"/>
      <c r="AN604" s="16"/>
    </row>
    <row r="605" spans="9:40" x14ac:dyDescent="0.4">
      <c r="I605" s="11">
        <v>46207</v>
      </c>
      <c r="J605" s="9">
        <v>660.15800000000002</v>
      </c>
      <c r="K605" s="9">
        <v>986.93200000000002</v>
      </c>
      <c r="O605" s="11"/>
      <c r="P605" s="9"/>
      <c r="Q605" s="9"/>
      <c r="R605" s="9"/>
      <c r="S605" s="9"/>
      <c r="T605" s="31"/>
      <c r="W605" s="16">
        <f t="shared" si="193"/>
        <v>46207</v>
      </c>
      <c r="X605" s="9">
        <f t="shared" si="194"/>
        <v>660.15800000000002</v>
      </c>
      <c r="Y605" s="9">
        <f t="shared" si="195"/>
        <v>986.93200000000002</v>
      </c>
      <c r="AA605" s="16"/>
      <c r="AK605" s="16"/>
      <c r="AL605" s="17"/>
      <c r="AN605" s="16"/>
    </row>
    <row r="606" spans="9:40" x14ac:dyDescent="0.4">
      <c r="I606" s="11">
        <v>46214</v>
      </c>
      <c r="J606" s="9">
        <v>713.59</v>
      </c>
      <c r="K606" s="9">
        <v>1013.47</v>
      </c>
      <c r="O606" s="11"/>
      <c r="P606" s="9"/>
      <c r="Q606" s="9"/>
      <c r="R606" s="9"/>
      <c r="S606" s="9"/>
      <c r="T606" s="31"/>
      <c r="W606" s="16">
        <f t="shared" ref="W606:W608" si="196">I606</f>
        <v>46214</v>
      </c>
      <c r="X606" s="9">
        <f t="shared" ref="X606:X608" si="197">IFERROR(IF(J606&lt;&gt;0,J606,X605),X605)</f>
        <v>713.59</v>
      </c>
      <c r="Y606" s="9">
        <f t="shared" ref="Y606:Y608" si="198">IFERROR(IF(K606&lt;&gt;0,K606,Y605),Y605)</f>
        <v>1013.47</v>
      </c>
      <c r="AA606" s="16"/>
      <c r="AK606" s="16"/>
      <c r="AL606" s="17"/>
      <c r="AN606" s="16"/>
    </row>
    <row r="607" spans="9:40" x14ac:dyDescent="0.4">
      <c r="I607" s="11">
        <v>46221</v>
      </c>
      <c r="J607" s="9">
        <v>823.34199999999998</v>
      </c>
      <c r="K607" s="9">
        <v>1065.066</v>
      </c>
      <c r="O607" s="11"/>
      <c r="P607" s="9"/>
      <c r="Q607" s="9"/>
      <c r="R607" s="9"/>
      <c r="S607" s="9"/>
      <c r="T607" s="31"/>
      <c r="W607" s="16">
        <f t="shared" si="196"/>
        <v>46221</v>
      </c>
      <c r="X607" s="9">
        <f t="shared" si="197"/>
        <v>823.34199999999998</v>
      </c>
      <c r="Y607" s="9">
        <f t="shared" si="198"/>
        <v>1065.066</v>
      </c>
      <c r="AA607" s="16"/>
      <c r="AK607" s="16"/>
      <c r="AL607" s="17"/>
      <c r="AN607" s="16"/>
    </row>
    <row r="608" spans="9:40" x14ac:dyDescent="0.4">
      <c r="I608" s="11">
        <v>46228</v>
      </c>
      <c r="J608" s="9">
        <v>968.44</v>
      </c>
      <c r="K608" s="9">
        <v>1099.7339999999999</v>
      </c>
      <c r="O608" s="11"/>
      <c r="P608" s="9"/>
      <c r="Q608" s="9"/>
      <c r="R608" s="9"/>
      <c r="S608" s="9"/>
      <c r="T608" s="31"/>
      <c r="W608" s="16">
        <f t="shared" si="196"/>
        <v>46228</v>
      </c>
      <c r="X608" s="9">
        <f t="shared" si="197"/>
        <v>968.44</v>
      </c>
      <c r="Y608" s="9">
        <f t="shared" si="198"/>
        <v>1099.7339999999999</v>
      </c>
      <c r="AA608" s="16"/>
      <c r="AK608" s="16"/>
      <c r="AL608" s="17"/>
      <c r="AN608" s="16"/>
    </row>
    <row r="609" spans="9:40" x14ac:dyDescent="0.4">
      <c r="I609" s="11">
        <v>46235</v>
      </c>
      <c r="J609" s="9">
        <v>905.01</v>
      </c>
      <c r="K609" s="9">
        <v>1070.4000000000001</v>
      </c>
      <c r="O609" s="11"/>
      <c r="P609" s="9"/>
      <c r="Q609" s="9"/>
      <c r="R609" s="9"/>
      <c r="S609" s="9"/>
      <c r="T609" s="31"/>
      <c r="W609" s="16">
        <f t="shared" ref="W609" si="199">I609</f>
        <v>46235</v>
      </c>
      <c r="X609" s="9">
        <f t="shared" ref="X609" si="200">IFERROR(IF(J609&lt;&gt;0,J609,X608),X608)</f>
        <v>905.01</v>
      </c>
      <c r="Y609" s="9">
        <f t="shared" ref="Y609" si="201">IFERROR(IF(K609&lt;&gt;0,K609,Y608),Y608)</f>
        <v>1070.4000000000001</v>
      </c>
      <c r="AA609" s="16"/>
      <c r="AK609" s="16"/>
      <c r="AL609" s="17"/>
      <c r="AN609" s="16"/>
    </row>
    <row r="610" spans="9:40" x14ac:dyDescent="0.4">
      <c r="I610" s="11">
        <v>46242</v>
      </c>
      <c r="J610" s="9">
        <v>799.58600000000001</v>
      </c>
      <c r="K610" s="9">
        <v>1074.8320000000001</v>
      </c>
      <c r="O610" s="11"/>
      <c r="P610" s="9"/>
      <c r="Q610" s="9"/>
      <c r="R610" s="9"/>
      <c r="S610" s="9"/>
      <c r="T610" s="31"/>
      <c r="W610" s="16">
        <f t="shared" ref="W610:W614" si="202">I610</f>
        <v>46242</v>
      </c>
      <c r="X610" s="9">
        <f t="shared" ref="X610:X614" si="203">IFERROR(IF(J610&lt;&gt;0,J610,X609),X609)</f>
        <v>799.58600000000001</v>
      </c>
      <c r="Y610" s="9">
        <f t="shared" ref="Y610:Y614" si="204">IFERROR(IF(K610&lt;&gt;0,K610,Y609),Y609)</f>
        <v>1074.8320000000001</v>
      </c>
      <c r="AA610" s="16"/>
      <c r="AK610" s="16"/>
      <c r="AL610" s="17"/>
      <c r="AN610" s="16"/>
    </row>
    <row r="611" spans="9:40" x14ac:dyDescent="0.4">
      <c r="I611" s="11">
        <v>46249</v>
      </c>
      <c r="J611" s="9">
        <v>811.26750000000004</v>
      </c>
      <c r="K611" s="9">
        <v>1091.5</v>
      </c>
      <c r="O611" s="11"/>
      <c r="P611" s="9"/>
      <c r="Q611" s="9"/>
      <c r="R611" s="9"/>
      <c r="S611" s="9"/>
      <c r="T611" s="31"/>
      <c r="W611" s="16">
        <f t="shared" si="202"/>
        <v>46249</v>
      </c>
      <c r="X611" s="9">
        <f t="shared" si="203"/>
        <v>811.26750000000004</v>
      </c>
      <c r="Y611" s="9">
        <f t="shared" si="204"/>
        <v>1091.5</v>
      </c>
      <c r="AA611" s="16"/>
      <c r="AK611" s="16"/>
      <c r="AL611" s="17"/>
      <c r="AN611" s="16"/>
    </row>
    <row r="612" spans="9:40" x14ac:dyDescent="0.4">
      <c r="I612" s="11">
        <v>46256</v>
      </c>
      <c r="J612" s="9">
        <v>821.72</v>
      </c>
      <c r="K612" s="9">
        <v>1108.53</v>
      </c>
      <c r="O612" s="11"/>
      <c r="P612" s="9"/>
      <c r="Q612" s="9"/>
      <c r="R612" s="9"/>
      <c r="S612" s="9"/>
      <c r="T612" s="31"/>
      <c r="W612" s="16">
        <f t="shared" si="202"/>
        <v>46256</v>
      </c>
      <c r="X612" s="9">
        <f t="shared" si="203"/>
        <v>821.72</v>
      </c>
      <c r="Y612" s="9">
        <f t="shared" si="204"/>
        <v>1108.53</v>
      </c>
      <c r="AA612" s="16"/>
      <c r="AK612" s="16"/>
      <c r="AL612" s="17"/>
      <c r="AN612" s="16"/>
    </row>
    <row r="613" spans="9:40" x14ac:dyDescent="0.4">
      <c r="I613" s="11">
        <v>46263</v>
      </c>
      <c r="J613" s="9">
        <v>826.83199999999999</v>
      </c>
      <c r="K613" s="9">
        <v>1081.5</v>
      </c>
      <c r="O613" s="11"/>
      <c r="P613" s="9"/>
      <c r="Q613" s="9"/>
      <c r="R613" s="9"/>
      <c r="S613" s="9"/>
      <c r="T613" s="31"/>
      <c r="W613" s="16">
        <f t="shared" si="202"/>
        <v>46263</v>
      </c>
      <c r="X613" s="9">
        <f t="shared" si="203"/>
        <v>826.83199999999999</v>
      </c>
      <c r="Y613" s="9">
        <f t="shared" si="204"/>
        <v>1081.5</v>
      </c>
      <c r="AA613" s="16"/>
      <c r="AK613" s="16"/>
      <c r="AL613" s="17"/>
      <c r="AN613" s="16"/>
    </row>
    <row r="614" spans="9:40" x14ac:dyDescent="0.4">
      <c r="I614" s="11">
        <v>46270</v>
      </c>
      <c r="J614" s="9">
        <v>871.38</v>
      </c>
      <c r="K614" s="9">
        <v>1145.5999999999999</v>
      </c>
      <c r="O614" s="11"/>
      <c r="P614" s="9"/>
      <c r="Q614" s="9"/>
      <c r="R614" s="9"/>
      <c r="S614" s="9"/>
      <c r="T614" s="31"/>
      <c r="W614" s="16">
        <f t="shared" si="202"/>
        <v>46270</v>
      </c>
      <c r="X614" s="9">
        <f t="shared" si="203"/>
        <v>871.38</v>
      </c>
      <c r="Y614" s="9">
        <f t="shared" si="204"/>
        <v>1145.5999999999999</v>
      </c>
      <c r="AA614" s="16"/>
      <c r="AK614" s="16"/>
      <c r="AL614" s="17"/>
      <c r="AN614" s="16"/>
    </row>
    <row r="615" spans="9:40" x14ac:dyDescent="0.4">
      <c r="I615" s="11">
        <v>46277</v>
      </c>
      <c r="J615" s="9">
        <v>924.68200000000002</v>
      </c>
      <c r="K615" s="9">
        <v>1225.068</v>
      </c>
      <c r="O615" s="11"/>
      <c r="P615" s="9"/>
      <c r="Q615" s="9"/>
      <c r="R615" s="9"/>
      <c r="S615" s="9"/>
      <c r="T615" s="31"/>
      <c r="W615" s="16">
        <f t="shared" ref="W615:W617" si="205">I615</f>
        <v>46277</v>
      </c>
      <c r="X615" s="9">
        <f t="shared" ref="X615:X617" si="206">IFERROR(IF(J615&lt;&gt;0,J615,X614),X614)</f>
        <v>924.68200000000002</v>
      </c>
      <c r="Y615" s="9">
        <f t="shared" ref="Y615:Y617" si="207">IFERROR(IF(K615&lt;&gt;0,K615,Y614),Y614)</f>
        <v>1225.068</v>
      </c>
      <c r="AA615" s="16"/>
      <c r="AK615" s="16"/>
      <c r="AL615" s="17"/>
      <c r="AN615" s="16"/>
    </row>
    <row r="616" spans="9:40" x14ac:dyDescent="0.4">
      <c r="I616" s="11">
        <v>46284</v>
      </c>
      <c r="J616" s="9">
        <v>964.952</v>
      </c>
      <c r="K616" s="9">
        <v>1264.3340000000001</v>
      </c>
      <c r="O616" s="11"/>
      <c r="P616" s="9"/>
      <c r="Q616" s="9"/>
      <c r="R616" s="9"/>
      <c r="S616" s="9"/>
      <c r="T616" s="31"/>
      <c r="W616" s="16">
        <f t="shared" si="205"/>
        <v>46284</v>
      </c>
      <c r="X616" s="9">
        <f t="shared" si="206"/>
        <v>964.952</v>
      </c>
      <c r="Y616" s="9">
        <f t="shared" si="207"/>
        <v>1264.3340000000001</v>
      </c>
      <c r="AA616" s="16"/>
      <c r="AK616" s="16"/>
      <c r="AL616" s="17"/>
      <c r="AN616" s="16"/>
    </row>
    <row r="617" spans="9:40" x14ac:dyDescent="0.4">
      <c r="I617" s="11">
        <v>46291</v>
      </c>
      <c r="J617" s="9">
        <v>923.45666666666671</v>
      </c>
      <c r="K617" s="9">
        <v>1234.4433333333334</v>
      </c>
      <c r="O617" s="11"/>
      <c r="P617" s="9"/>
      <c r="Q617" s="9"/>
      <c r="R617" s="9"/>
      <c r="S617" s="9"/>
      <c r="T617" s="31"/>
      <c r="W617" s="16">
        <f t="shared" si="205"/>
        <v>46291</v>
      </c>
      <c r="X617" s="9">
        <f t="shared" si="206"/>
        <v>923.45666666666671</v>
      </c>
      <c r="Y617" s="9">
        <f t="shared" si="207"/>
        <v>1234.4433333333334</v>
      </c>
      <c r="AA617" s="16"/>
      <c r="AK617" s="16"/>
      <c r="AL617" s="17"/>
      <c r="AN617" s="16"/>
    </row>
    <row r="618" spans="9:40" x14ac:dyDescent="0.4">
      <c r="I618" s="11"/>
      <c r="J618" s="9"/>
      <c r="K618" s="9"/>
      <c r="O618" s="11"/>
      <c r="P618" s="9"/>
      <c r="Q618" s="9"/>
      <c r="R618" s="9"/>
      <c r="S618" s="9"/>
      <c r="T618" s="31"/>
      <c r="W618" s="16"/>
      <c r="X618" s="9"/>
      <c r="Y618" s="9"/>
      <c r="AA618" s="16"/>
      <c r="AK618" s="16"/>
      <c r="AL618" s="17"/>
      <c r="AN618" s="16"/>
    </row>
    <row r="619" spans="9:40" x14ac:dyDescent="0.4">
      <c r="I619" s="11"/>
      <c r="J619" s="9"/>
      <c r="K619" s="9"/>
      <c r="O619" s="11"/>
      <c r="P619" s="9"/>
      <c r="Q619" s="9"/>
      <c r="R619" s="9"/>
      <c r="S619" s="9"/>
      <c r="T619" s="31"/>
      <c r="W619" s="16"/>
      <c r="X619" s="9"/>
      <c r="Y619" s="9"/>
      <c r="AA619" s="16"/>
      <c r="AK619" s="16"/>
      <c r="AL619" s="17"/>
      <c r="AN619" s="16"/>
    </row>
    <row r="620" spans="9:40" x14ac:dyDescent="0.4">
      <c r="I620" s="11"/>
      <c r="J620" s="9"/>
      <c r="K620" s="9"/>
      <c r="O620" s="11"/>
      <c r="P620" s="9"/>
      <c r="Q620" s="9"/>
      <c r="R620" s="9"/>
      <c r="S620" s="9"/>
      <c r="T620" s="31"/>
      <c r="W620" s="16"/>
      <c r="X620" s="9"/>
      <c r="Y620" s="9"/>
      <c r="AA620" s="16"/>
      <c r="AK620" s="16"/>
      <c r="AL620" s="17"/>
      <c r="AN620" s="16"/>
    </row>
    <row r="621" spans="9:40" x14ac:dyDescent="0.4">
      <c r="I621" s="11"/>
      <c r="J621" s="9"/>
      <c r="K621" s="9"/>
      <c r="O621" s="11"/>
      <c r="P621" s="9"/>
      <c r="Q621" s="9"/>
      <c r="R621" s="9"/>
      <c r="S621" s="9"/>
      <c r="T621" s="31"/>
      <c r="W621" s="16"/>
      <c r="X621" s="9"/>
      <c r="Y621" s="9"/>
      <c r="AA621" s="16"/>
      <c r="AK621" s="16"/>
      <c r="AL621" s="17"/>
      <c r="AN621" s="16"/>
    </row>
    <row r="622" spans="9:40" x14ac:dyDescent="0.4">
      <c r="I622" s="11"/>
      <c r="J622" s="9"/>
      <c r="K622" s="9"/>
      <c r="O622" s="11"/>
      <c r="P622" s="9"/>
      <c r="Q622" s="9"/>
      <c r="R622" s="9"/>
      <c r="S622" s="9"/>
      <c r="T622" s="31"/>
      <c r="W622" s="16"/>
      <c r="X622" s="9"/>
      <c r="Y622" s="9"/>
      <c r="AA622" s="16"/>
      <c r="AK622" s="16"/>
      <c r="AL622" s="17"/>
      <c r="AN622" s="16"/>
    </row>
    <row r="623" spans="9:40" x14ac:dyDescent="0.4">
      <c r="I623" s="11"/>
      <c r="J623" s="9"/>
      <c r="K623" s="9"/>
      <c r="O623" s="11"/>
      <c r="P623" s="9"/>
      <c r="Q623" s="9"/>
      <c r="R623" s="9"/>
      <c r="S623" s="9"/>
      <c r="T623" s="31"/>
      <c r="W623" s="16"/>
      <c r="X623" s="9"/>
      <c r="Y623" s="9"/>
      <c r="AA623" s="16"/>
      <c r="AK623" s="16"/>
      <c r="AL623" s="17"/>
      <c r="AN623" s="16"/>
    </row>
    <row r="624" spans="9:40" x14ac:dyDescent="0.4">
      <c r="I624" s="11"/>
      <c r="J624" s="9"/>
      <c r="K624" s="9"/>
      <c r="O624" s="11"/>
      <c r="P624" s="9"/>
      <c r="Q624" s="9"/>
      <c r="R624" s="9"/>
      <c r="S624" s="9"/>
      <c r="T624" s="31"/>
      <c r="W624" s="16"/>
      <c r="X624" s="9"/>
      <c r="Y624" s="9"/>
      <c r="AA624" s="16"/>
      <c r="AK624" s="16"/>
      <c r="AL624" s="17"/>
      <c r="AN624" s="16"/>
    </row>
    <row r="625" spans="9:40" x14ac:dyDescent="0.4">
      <c r="I625" s="11"/>
      <c r="J625" s="9"/>
      <c r="K625" s="9"/>
      <c r="O625" s="11"/>
      <c r="P625" s="9"/>
      <c r="Q625" s="9"/>
      <c r="R625" s="9"/>
      <c r="S625" s="9"/>
      <c r="T625" s="31"/>
      <c r="W625" s="16"/>
      <c r="X625" s="9"/>
      <c r="Y625" s="9"/>
      <c r="AA625" s="16"/>
      <c r="AK625" s="16"/>
      <c r="AL625" s="17"/>
      <c r="AN625" s="16"/>
    </row>
    <row r="626" spans="9:40" x14ac:dyDescent="0.4">
      <c r="I626" s="11"/>
      <c r="J626" s="9"/>
      <c r="K626" s="9"/>
      <c r="O626" s="11"/>
      <c r="P626" s="9"/>
      <c r="Q626" s="9"/>
      <c r="R626" s="9"/>
      <c r="S626" s="9"/>
      <c r="T626" s="31"/>
      <c r="W626" s="16"/>
      <c r="X626" s="9"/>
      <c r="Y626" s="9"/>
      <c r="AA626" s="16"/>
      <c r="AK626" s="16"/>
      <c r="AL626" s="17"/>
      <c r="AN626" s="16"/>
    </row>
    <row r="627" spans="9:40" x14ac:dyDescent="0.4">
      <c r="I627" s="11"/>
      <c r="J627" s="9"/>
      <c r="K627" s="9"/>
      <c r="O627" s="11"/>
      <c r="P627" s="9"/>
      <c r="Q627" s="9"/>
      <c r="R627" s="9"/>
      <c r="S627" s="9"/>
      <c r="T627" s="31"/>
      <c r="W627" s="16"/>
      <c r="X627" s="9"/>
      <c r="Y627" s="9"/>
      <c r="AA627" s="16"/>
      <c r="AK627" s="16"/>
      <c r="AL627" s="17"/>
      <c r="AN627" s="16"/>
    </row>
    <row r="628" spans="9:40" x14ac:dyDescent="0.4">
      <c r="I628" s="11"/>
      <c r="J628" s="9"/>
      <c r="K628" s="9"/>
      <c r="O628" s="11"/>
      <c r="P628" s="9"/>
      <c r="Q628" s="9"/>
      <c r="R628" s="9"/>
      <c r="S628" s="9"/>
      <c r="T628" s="31"/>
      <c r="W628" s="16"/>
      <c r="X628" s="9"/>
      <c r="Y628" s="9"/>
      <c r="AA628" s="16"/>
      <c r="AK628" s="16"/>
      <c r="AL628" s="17"/>
      <c r="AN628" s="16"/>
    </row>
    <row r="629" spans="9:40" x14ac:dyDescent="0.4">
      <c r="I629" s="11"/>
      <c r="J629" s="9"/>
      <c r="K629" s="9"/>
      <c r="O629" s="11"/>
      <c r="P629" s="9"/>
      <c r="Q629" s="9"/>
      <c r="R629" s="9"/>
      <c r="S629" s="9"/>
      <c r="T629" s="31"/>
      <c r="W629" s="16"/>
      <c r="X629" s="9"/>
      <c r="Y629" s="9"/>
      <c r="AA629" s="16"/>
      <c r="AK629" s="16"/>
      <c r="AL629" s="17"/>
      <c r="AN629" s="16"/>
    </row>
    <row r="630" spans="9:40" x14ac:dyDescent="0.4">
      <c r="I630" s="11"/>
      <c r="J630" s="9"/>
      <c r="K630" s="9"/>
      <c r="O630" s="11"/>
      <c r="P630" s="9"/>
      <c r="Q630" s="9"/>
      <c r="R630" s="9"/>
      <c r="S630" s="9"/>
      <c r="T630" s="31"/>
      <c r="W630" s="16"/>
      <c r="X630" s="9"/>
      <c r="Y630" s="9"/>
      <c r="AA630" s="16"/>
      <c r="AK630" s="16"/>
      <c r="AL630" s="17"/>
      <c r="AN630" s="16"/>
    </row>
    <row r="631" spans="9:40" x14ac:dyDescent="0.4">
      <c r="I631" s="11"/>
      <c r="J631" s="9"/>
      <c r="K631" s="9"/>
      <c r="O631" s="11"/>
      <c r="P631" s="9"/>
      <c r="Q631" s="9"/>
      <c r="R631" s="9"/>
      <c r="S631" s="9"/>
      <c r="T631" s="31"/>
      <c r="W631" s="16"/>
      <c r="X631" s="9"/>
      <c r="Y631" s="9"/>
      <c r="AA631" s="16"/>
      <c r="AK631" s="16"/>
      <c r="AL631" s="17"/>
      <c r="AN631" s="16"/>
    </row>
    <row r="632" spans="9:40" x14ac:dyDescent="0.4">
      <c r="I632" s="11"/>
      <c r="J632" s="9"/>
      <c r="K632" s="9"/>
      <c r="O632" s="11"/>
      <c r="P632" s="9"/>
      <c r="Q632" s="9"/>
      <c r="R632" s="9"/>
      <c r="S632" s="9"/>
      <c r="T632" s="31"/>
      <c r="W632" s="16"/>
      <c r="X632" s="9"/>
      <c r="Y632" s="9"/>
      <c r="AA632" s="16"/>
      <c r="AK632" s="16"/>
      <c r="AL632" s="17"/>
      <c r="AN632" s="16"/>
    </row>
    <row r="633" spans="9:40" x14ac:dyDescent="0.4">
      <c r="I633" s="11"/>
      <c r="J633" s="9"/>
      <c r="K633" s="9"/>
      <c r="O633" s="11"/>
      <c r="P633" s="9"/>
      <c r="Q633" s="9"/>
      <c r="R633" s="9"/>
      <c r="S633" s="9"/>
      <c r="T633" s="31"/>
      <c r="W633" s="16"/>
      <c r="X633" s="9"/>
      <c r="Y633" s="9"/>
      <c r="AA633" s="16"/>
      <c r="AK633" s="16"/>
      <c r="AL633" s="17"/>
      <c r="AN633" s="16"/>
    </row>
    <row r="634" spans="9:40" x14ac:dyDescent="0.4">
      <c r="I634" s="11"/>
      <c r="J634" s="9"/>
      <c r="K634" s="9"/>
      <c r="O634" s="11"/>
      <c r="P634" s="9"/>
      <c r="Q634" s="9"/>
      <c r="R634" s="9"/>
      <c r="S634" s="9"/>
      <c r="T634" s="31"/>
      <c r="W634" s="16"/>
      <c r="X634" s="9"/>
      <c r="Y634" s="9"/>
      <c r="AA634" s="16"/>
      <c r="AK634" s="16"/>
      <c r="AL634" s="17"/>
      <c r="AN634" s="16"/>
    </row>
    <row r="635" spans="9:40" x14ac:dyDescent="0.4">
      <c r="I635" s="11"/>
      <c r="J635" s="9"/>
      <c r="K635" s="9"/>
      <c r="O635" s="11"/>
      <c r="P635" s="9"/>
      <c r="Q635" s="9"/>
      <c r="R635" s="9"/>
      <c r="S635" s="9"/>
      <c r="T635" s="31"/>
      <c r="W635" s="16"/>
      <c r="X635" s="9"/>
      <c r="Y635" s="9"/>
      <c r="AA635" s="16"/>
      <c r="AK635" s="16"/>
      <c r="AL635" s="17"/>
      <c r="AN635" s="16"/>
    </row>
    <row r="636" spans="9:40" x14ac:dyDescent="0.4">
      <c r="I636" s="11"/>
      <c r="J636" s="9"/>
      <c r="K636" s="9"/>
      <c r="O636" s="11"/>
      <c r="P636" s="9"/>
      <c r="Q636" s="9"/>
      <c r="R636" s="9"/>
      <c r="S636" s="9"/>
      <c r="T636" s="31"/>
      <c r="W636" s="16"/>
      <c r="X636" s="9"/>
      <c r="Y636" s="9"/>
      <c r="AA636" s="16"/>
      <c r="AK636" s="16"/>
      <c r="AL636" s="17"/>
      <c r="AN636" s="16"/>
    </row>
    <row r="637" spans="9:40" x14ac:dyDescent="0.4">
      <c r="I637" s="11"/>
      <c r="J637" s="9"/>
      <c r="K637" s="9"/>
      <c r="O637" s="11"/>
      <c r="P637" s="9"/>
      <c r="Q637" s="9"/>
      <c r="R637" s="9"/>
      <c r="S637" s="9"/>
      <c r="T637" s="31"/>
      <c r="W637" s="16"/>
      <c r="X637" s="9"/>
      <c r="Y637" s="9"/>
      <c r="AA637" s="16"/>
      <c r="AK637" s="16"/>
      <c r="AL637" s="17"/>
      <c r="AN637" s="16"/>
    </row>
    <row r="638" spans="9:40" x14ac:dyDescent="0.4">
      <c r="I638" s="11"/>
      <c r="J638" s="9"/>
      <c r="K638" s="9"/>
      <c r="O638" s="11"/>
      <c r="P638" s="9"/>
      <c r="Q638" s="9"/>
      <c r="R638" s="9"/>
      <c r="S638" s="9"/>
      <c r="T638" s="31"/>
      <c r="W638" s="16"/>
      <c r="X638" s="9"/>
      <c r="Y638" s="9"/>
      <c r="AA638" s="16"/>
      <c r="AK638" s="16"/>
      <c r="AL638" s="17"/>
      <c r="AN638" s="16"/>
    </row>
    <row r="639" spans="9:40" x14ac:dyDescent="0.4">
      <c r="I639" s="11"/>
      <c r="J639" s="9"/>
      <c r="K639" s="9"/>
      <c r="O639" s="11"/>
      <c r="P639" s="9"/>
      <c r="Q639" s="9"/>
      <c r="R639" s="9"/>
      <c r="S639" s="9"/>
      <c r="T639" s="31"/>
      <c r="W639" s="16"/>
      <c r="X639" s="9"/>
      <c r="Y639" s="9"/>
      <c r="AA639" s="16"/>
      <c r="AK639" s="16"/>
      <c r="AL639" s="17"/>
      <c r="AN639" s="16"/>
    </row>
    <row r="640" spans="9:40" x14ac:dyDescent="0.4">
      <c r="I640" s="11"/>
      <c r="J640" s="9"/>
      <c r="K640" s="9"/>
      <c r="O640" s="11"/>
      <c r="P640" s="9"/>
      <c r="Q640" s="9"/>
      <c r="R640" s="9"/>
      <c r="S640" s="9"/>
      <c r="T640" s="31"/>
      <c r="W640" s="16"/>
      <c r="X640" s="9"/>
      <c r="Y640" s="9"/>
      <c r="AA640" s="16"/>
      <c r="AK640" s="16"/>
      <c r="AL640" s="17"/>
      <c r="AN640" s="16"/>
    </row>
    <row r="641" spans="9:40" x14ac:dyDescent="0.4">
      <c r="I641" s="11"/>
      <c r="J641" s="9"/>
      <c r="K641" s="9"/>
      <c r="O641" s="11"/>
      <c r="P641" s="9"/>
      <c r="Q641" s="9"/>
      <c r="R641" s="9"/>
      <c r="S641" s="9"/>
      <c r="T641" s="31"/>
      <c r="W641" s="16"/>
      <c r="X641" s="9"/>
      <c r="Y641" s="9"/>
      <c r="AA641" s="16"/>
      <c r="AK641" s="16"/>
      <c r="AL641" s="17"/>
      <c r="AN641" s="16"/>
    </row>
    <row r="642" spans="9:40" x14ac:dyDescent="0.4">
      <c r="I642" s="11"/>
      <c r="J642" s="9"/>
      <c r="K642" s="9"/>
      <c r="O642" s="11"/>
      <c r="P642" s="9"/>
      <c r="Q642" s="9"/>
      <c r="R642" s="9"/>
      <c r="S642" s="9"/>
      <c r="T642" s="31"/>
      <c r="W642" s="16"/>
      <c r="X642" s="9"/>
      <c r="Y642" s="9"/>
      <c r="AA642" s="16"/>
      <c r="AK642" s="16"/>
      <c r="AL642" s="17"/>
      <c r="AN642" s="16"/>
    </row>
    <row r="643" spans="9:40" x14ac:dyDescent="0.4">
      <c r="I643" s="11"/>
      <c r="J643" s="9"/>
      <c r="K643" s="9"/>
      <c r="O643" s="11"/>
      <c r="P643" s="9"/>
      <c r="Q643" s="9"/>
      <c r="R643" s="9"/>
      <c r="S643" s="9"/>
      <c r="T643" s="31"/>
      <c r="W643" s="16"/>
      <c r="X643" s="9"/>
      <c r="Y643" s="9"/>
      <c r="AA643" s="16"/>
      <c r="AK643" s="16"/>
      <c r="AL643" s="17"/>
      <c r="AN643" s="16"/>
    </row>
    <row r="644" spans="9:40" x14ac:dyDescent="0.4">
      <c r="I644" s="11"/>
      <c r="J644" s="9"/>
      <c r="K644" s="9"/>
      <c r="O644" s="11"/>
      <c r="P644" s="9"/>
      <c r="Q644" s="9"/>
      <c r="R644" s="9"/>
      <c r="S644" s="9"/>
      <c r="T644" s="31"/>
      <c r="W644" s="16"/>
      <c r="X644" s="9"/>
      <c r="Y644" s="9"/>
      <c r="AA644" s="16"/>
      <c r="AK644" s="16"/>
      <c r="AL644" s="17"/>
      <c r="AN644" s="16"/>
    </row>
    <row r="645" spans="9:40" x14ac:dyDescent="0.4">
      <c r="I645" s="11"/>
      <c r="J645" s="9"/>
      <c r="K645" s="9"/>
      <c r="O645" s="11"/>
      <c r="P645" s="9"/>
      <c r="Q645" s="9"/>
      <c r="R645" s="9"/>
      <c r="S645" s="9"/>
      <c r="T645" s="31"/>
      <c r="W645" s="16"/>
      <c r="X645" s="9"/>
      <c r="Y645" s="9"/>
      <c r="AA645" s="16"/>
      <c r="AK645" s="16"/>
      <c r="AL645" s="17"/>
      <c r="AN645" s="16"/>
    </row>
    <row r="646" spans="9:40" x14ac:dyDescent="0.4">
      <c r="I646" s="11"/>
      <c r="J646" s="9"/>
      <c r="K646" s="9"/>
      <c r="O646" s="11"/>
      <c r="P646" s="9"/>
      <c r="Q646" s="9"/>
      <c r="R646" s="9"/>
      <c r="S646" s="9"/>
      <c r="T646" s="31"/>
      <c r="W646" s="16"/>
      <c r="X646" s="9"/>
      <c r="Y646" s="9"/>
      <c r="AA646" s="16"/>
      <c r="AK646" s="16"/>
      <c r="AL646" s="17"/>
      <c r="AN646" s="16"/>
    </row>
    <row r="647" spans="9:40" x14ac:dyDescent="0.4">
      <c r="I647" s="11"/>
      <c r="J647" s="9"/>
      <c r="K647" s="9"/>
      <c r="O647" s="11"/>
      <c r="P647" s="9"/>
      <c r="Q647" s="9"/>
      <c r="R647" s="9"/>
      <c r="S647" s="9"/>
      <c r="T647" s="31"/>
      <c r="W647" s="16"/>
      <c r="X647" s="9"/>
      <c r="Y647" s="9"/>
      <c r="AA647" s="16"/>
      <c r="AK647" s="16"/>
      <c r="AL647" s="17"/>
      <c r="AN647" s="16"/>
    </row>
    <row r="648" spans="9:40" x14ac:dyDescent="0.4">
      <c r="I648" s="11"/>
      <c r="J648" s="9"/>
      <c r="K648" s="9"/>
      <c r="O648" s="11"/>
      <c r="P648" s="9"/>
      <c r="Q648" s="9"/>
      <c r="R648" s="9"/>
      <c r="S648" s="9"/>
      <c r="T648" s="31"/>
      <c r="W648" s="16"/>
      <c r="X648" s="9"/>
      <c r="Y648" s="9"/>
      <c r="AA648" s="16"/>
      <c r="AK648" s="16"/>
      <c r="AL648" s="17"/>
      <c r="AN648" s="16"/>
    </row>
    <row r="649" spans="9:40" x14ac:dyDescent="0.4">
      <c r="I649" s="11"/>
      <c r="J649" s="9"/>
      <c r="K649" s="9"/>
      <c r="O649" s="11"/>
      <c r="P649" s="9"/>
      <c r="Q649" s="9"/>
      <c r="R649" s="9"/>
      <c r="S649" s="9"/>
      <c r="T649" s="31"/>
      <c r="W649" s="16"/>
      <c r="X649" s="9"/>
      <c r="Y649" s="9"/>
      <c r="AA649" s="16"/>
      <c r="AK649" s="16"/>
      <c r="AL649" s="17"/>
      <c r="AN649" s="16"/>
    </row>
    <row r="650" spans="9:40" x14ac:dyDescent="0.4">
      <c r="I650" s="11"/>
      <c r="J650" s="9"/>
      <c r="K650" s="9"/>
      <c r="O650" s="11"/>
      <c r="P650" s="9"/>
      <c r="Q650" s="9"/>
      <c r="R650" s="9"/>
      <c r="S650" s="9"/>
      <c r="T650" s="31"/>
      <c r="W650" s="16"/>
      <c r="X650" s="9"/>
      <c r="Y650" s="9"/>
      <c r="AA650" s="16"/>
      <c r="AK650" s="16"/>
      <c r="AL650" s="17"/>
      <c r="AN650" s="16"/>
    </row>
    <row r="651" spans="9:40" x14ac:dyDescent="0.4">
      <c r="I651" s="11"/>
      <c r="J651" s="9"/>
      <c r="K651" s="9"/>
      <c r="O651" s="11"/>
      <c r="P651" s="9"/>
      <c r="Q651" s="9"/>
      <c r="R651" s="9"/>
      <c r="S651" s="9"/>
      <c r="T651" s="31"/>
      <c r="W651" s="16"/>
      <c r="X651" s="9"/>
      <c r="Y651" s="9"/>
      <c r="AA651" s="16"/>
      <c r="AK651" s="16"/>
      <c r="AL651" s="17"/>
      <c r="AN651" s="16"/>
    </row>
    <row r="652" spans="9:40" x14ac:dyDescent="0.4">
      <c r="I652" s="11"/>
      <c r="J652" s="9"/>
      <c r="K652" s="9"/>
      <c r="O652" s="11"/>
      <c r="P652" s="9"/>
      <c r="Q652" s="9"/>
      <c r="R652" s="9"/>
      <c r="S652" s="9"/>
      <c r="T652" s="31"/>
      <c r="W652" s="16"/>
      <c r="X652" s="9"/>
      <c r="Y652" s="9"/>
      <c r="AA652" s="16"/>
      <c r="AK652" s="16"/>
      <c r="AL652" s="17"/>
      <c r="AN652" s="16"/>
    </row>
    <row r="653" spans="9:40" x14ac:dyDescent="0.4">
      <c r="I653" s="11"/>
      <c r="J653" s="9"/>
      <c r="K653" s="9"/>
      <c r="O653" s="11"/>
      <c r="P653" s="9"/>
      <c r="Q653" s="9"/>
      <c r="R653" s="9"/>
      <c r="S653" s="9"/>
      <c r="T653" s="31"/>
      <c r="W653" s="16"/>
      <c r="X653" s="9"/>
      <c r="Y653" s="9"/>
      <c r="AA653" s="16"/>
      <c r="AK653" s="16"/>
      <c r="AL653" s="17"/>
      <c r="AN653" s="16"/>
    </row>
    <row r="654" spans="9:40" x14ac:dyDescent="0.4">
      <c r="I654" s="11"/>
      <c r="J654" s="9"/>
      <c r="K654" s="9"/>
      <c r="O654" s="11"/>
      <c r="P654" s="9"/>
      <c r="Q654" s="9"/>
      <c r="R654" s="9"/>
      <c r="S654" s="9"/>
      <c r="T654" s="31"/>
      <c r="W654" s="16"/>
      <c r="X654" s="9"/>
      <c r="Y654" s="9"/>
      <c r="AA654" s="16"/>
      <c r="AK654" s="16"/>
      <c r="AL654" s="17"/>
      <c r="AN654" s="16"/>
    </row>
    <row r="655" spans="9:40" x14ac:dyDescent="0.4">
      <c r="I655" s="11"/>
      <c r="J655" s="9"/>
      <c r="K655" s="9"/>
      <c r="O655" s="11"/>
      <c r="P655" s="9"/>
      <c r="Q655" s="9"/>
      <c r="R655" s="9"/>
      <c r="S655" s="9"/>
      <c r="T655" s="31"/>
      <c r="W655" s="16"/>
      <c r="X655" s="9"/>
      <c r="Y655" s="9"/>
      <c r="AA655" s="16"/>
      <c r="AK655" s="16"/>
      <c r="AL655" s="17"/>
      <c r="AN655" s="16"/>
    </row>
    <row r="656" spans="9:40" x14ac:dyDescent="0.4">
      <c r="I656" s="11"/>
      <c r="J656" s="9"/>
      <c r="K656" s="9"/>
      <c r="O656" s="11"/>
      <c r="P656" s="9"/>
      <c r="Q656" s="9"/>
      <c r="R656" s="9"/>
      <c r="S656" s="9"/>
      <c r="T656" s="31"/>
      <c r="W656" s="16"/>
      <c r="X656" s="9"/>
      <c r="Y656" s="9"/>
      <c r="AA656" s="16"/>
      <c r="AK656" s="16"/>
      <c r="AL656" s="17"/>
      <c r="AN656" s="16"/>
    </row>
    <row r="657" spans="9:40" x14ac:dyDescent="0.4">
      <c r="I657" s="11"/>
      <c r="J657" s="9"/>
      <c r="K657" s="9"/>
      <c r="O657" s="11"/>
      <c r="P657" s="9"/>
      <c r="Q657" s="9"/>
      <c r="R657" s="9"/>
      <c r="S657" s="9"/>
      <c r="T657" s="31"/>
      <c r="W657" s="16"/>
      <c r="X657" s="9"/>
      <c r="Y657" s="9"/>
      <c r="AA657" s="16"/>
      <c r="AK657" s="16"/>
      <c r="AL657" s="17"/>
      <c r="AN657" s="16"/>
    </row>
    <row r="658" spans="9:40" x14ac:dyDescent="0.4">
      <c r="I658" s="11"/>
      <c r="J658" s="9"/>
      <c r="K658" s="9"/>
      <c r="O658" s="11"/>
      <c r="P658" s="9"/>
      <c r="Q658" s="9"/>
      <c r="R658" s="9"/>
      <c r="S658" s="9"/>
      <c r="T658" s="31"/>
      <c r="W658" s="16"/>
      <c r="X658" s="9"/>
      <c r="Y658" s="9"/>
      <c r="AA658" s="16"/>
      <c r="AK658" s="16"/>
      <c r="AL658" s="17"/>
      <c r="AN658" s="16"/>
    </row>
    <row r="659" spans="9:40" x14ac:dyDescent="0.4">
      <c r="I659" s="11"/>
      <c r="J659" s="9"/>
      <c r="K659" s="9"/>
      <c r="O659" s="11"/>
      <c r="P659" s="9"/>
      <c r="Q659" s="9"/>
      <c r="R659" s="9"/>
      <c r="S659" s="9"/>
      <c r="T659" s="31"/>
      <c r="W659" s="16"/>
      <c r="X659" s="9"/>
      <c r="Y659" s="9"/>
      <c r="AA659" s="16"/>
      <c r="AK659" s="16"/>
      <c r="AL659" s="17"/>
      <c r="AN659" s="16"/>
    </row>
    <row r="660" spans="9:40" x14ac:dyDescent="0.4">
      <c r="I660" s="11"/>
      <c r="J660" s="9"/>
      <c r="K660" s="9"/>
      <c r="O660" s="11"/>
      <c r="P660" s="9"/>
      <c r="Q660" s="9"/>
      <c r="R660" s="9"/>
      <c r="S660" s="9"/>
      <c r="T660" s="31"/>
      <c r="W660" s="16"/>
      <c r="X660" s="9"/>
      <c r="Y660" s="9"/>
      <c r="AA660" s="16"/>
      <c r="AK660" s="16"/>
      <c r="AL660" s="17"/>
      <c r="AN660" s="16"/>
    </row>
    <row r="661" spans="9:40" x14ac:dyDescent="0.4">
      <c r="I661" s="11"/>
      <c r="J661" s="9"/>
      <c r="K661" s="9"/>
      <c r="O661" s="11"/>
      <c r="P661" s="9"/>
      <c r="Q661" s="9"/>
      <c r="R661" s="9"/>
      <c r="S661" s="9"/>
      <c r="T661" s="31"/>
      <c r="W661" s="16"/>
      <c r="X661" s="9"/>
      <c r="Y661" s="9"/>
      <c r="AA661" s="16"/>
      <c r="AK661" s="16"/>
      <c r="AL661" s="17"/>
      <c r="AN661" s="16"/>
    </row>
    <row r="662" spans="9:40" x14ac:dyDescent="0.4">
      <c r="I662" s="11"/>
      <c r="J662" s="9"/>
      <c r="K662" s="9"/>
      <c r="O662" s="11"/>
      <c r="P662" s="9"/>
      <c r="Q662" s="9"/>
      <c r="R662" s="9"/>
      <c r="S662" s="9"/>
      <c r="T662" s="31"/>
      <c r="W662" s="16"/>
      <c r="X662" s="9"/>
      <c r="Y662" s="9"/>
      <c r="AA662" s="16"/>
      <c r="AK662" s="16"/>
      <c r="AL662" s="17"/>
      <c r="AN662" s="16"/>
    </row>
    <row r="663" spans="9:40" x14ac:dyDescent="0.4">
      <c r="I663" s="11"/>
      <c r="J663" s="9"/>
      <c r="K663" s="9"/>
      <c r="O663" s="11"/>
      <c r="P663" s="9"/>
      <c r="Q663" s="9"/>
      <c r="R663" s="9"/>
      <c r="S663" s="9"/>
      <c r="T663" s="31"/>
      <c r="W663" s="16"/>
      <c r="X663" s="9"/>
      <c r="Y663" s="9"/>
      <c r="AA663" s="16"/>
      <c r="AK663" s="16"/>
      <c r="AL663" s="17"/>
      <c r="AN663" s="16"/>
    </row>
    <row r="664" spans="9:40" x14ac:dyDescent="0.4">
      <c r="I664" s="11"/>
      <c r="J664" s="9"/>
      <c r="K664" s="9"/>
      <c r="O664" s="11"/>
      <c r="P664" s="9"/>
      <c r="Q664" s="9"/>
      <c r="R664" s="9"/>
      <c r="S664" s="9"/>
      <c r="T664" s="31"/>
      <c r="W664" s="16"/>
      <c r="X664" s="9"/>
      <c r="Y664" s="9"/>
      <c r="AA664" s="16"/>
      <c r="AK664" s="16"/>
      <c r="AL664" s="17"/>
      <c r="AN664" s="16"/>
    </row>
    <row r="665" spans="9:40" x14ac:dyDescent="0.4">
      <c r="I665" s="11"/>
      <c r="J665" s="9"/>
      <c r="K665" s="9"/>
      <c r="O665" s="11"/>
      <c r="P665" s="9"/>
      <c r="Q665" s="9"/>
      <c r="R665" s="9"/>
      <c r="S665" s="9"/>
      <c r="T665" s="31"/>
      <c r="W665" s="16"/>
      <c r="X665" s="9"/>
      <c r="Y665" s="9"/>
      <c r="AA665" s="16"/>
      <c r="AK665" s="16"/>
      <c r="AL665" s="17"/>
      <c r="AN665" s="16"/>
    </row>
    <row r="666" spans="9:40" x14ac:dyDescent="0.4">
      <c r="I666" s="11"/>
      <c r="J666" s="9"/>
      <c r="K666" s="9"/>
      <c r="O666" s="11"/>
      <c r="P666" s="9"/>
      <c r="Q666" s="9"/>
      <c r="R666" s="9"/>
      <c r="S666" s="9"/>
      <c r="T666" s="31"/>
      <c r="W666" s="16"/>
      <c r="X666" s="9"/>
      <c r="Y666" s="9"/>
      <c r="AA666" s="16"/>
      <c r="AK666" s="16"/>
      <c r="AL666" s="17"/>
      <c r="AN666" s="16"/>
    </row>
    <row r="667" spans="9:40" x14ac:dyDescent="0.4">
      <c r="I667" s="11"/>
      <c r="J667" s="9"/>
      <c r="K667" s="9"/>
      <c r="O667" s="11"/>
      <c r="P667" s="9"/>
      <c r="Q667" s="9"/>
      <c r="R667" s="9"/>
      <c r="S667" s="9"/>
      <c r="T667" s="31"/>
      <c r="W667" s="16"/>
      <c r="X667" s="9"/>
      <c r="Y667" s="9"/>
      <c r="AA667" s="16"/>
      <c r="AK667" s="16"/>
      <c r="AL667" s="17"/>
      <c r="AN667" s="16"/>
    </row>
    <row r="668" spans="9:40" x14ac:dyDescent="0.4">
      <c r="I668" s="11"/>
      <c r="J668" s="9"/>
      <c r="K668" s="9"/>
      <c r="O668" s="11"/>
      <c r="P668" s="9"/>
      <c r="Q668" s="9"/>
      <c r="R668" s="9"/>
      <c r="S668" s="9"/>
      <c r="T668" s="31"/>
      <c r="W668" s="16"/>
      <c r="X668" s="9"/>
      <c r="Y668" s="9"/>
      <c r="AA668" s="16"/>
      <c r="AK668" s="16"/>
      <c r="AL668" s="17"/>
      <c r="AN668" s="16"/>
    </row>
    <row r="669" spans="9:40" x14ac:dyDescent="0.4">
      <c r="I669" s="11"/>
      <c r="J669" s="9"/>
      <c r="K669" s="9"/>
      <c r="O669" s="11"/>
      <c r="P669" s="9"/>
      <c r="Q669" s="9"/>
      <c r="R669" s="9"/>
      <c r="S669" s="9"/>
      <c r="T669" s="31"/>
      <c r="W669" s="16"/>
      <c r="X669" s="9"/>
      <c r="Y669" s="9"/>
      <c r="AA669" s="16"/>
      <c r="AK669" s="16"/>
      <c r="AL669" s="17"/>
      <c r="AN669" s="16"/>
    </row>
    <row r="670" spans="9:40" x14ac:dyDescent="0.4">
      <c r="I670" s="11"/>
      <c r="J670" s="9"/>
      <c r="K670" s="9"/>
      <c r="O670" s="11"/>
      <c r="P670" s="9"/>
      <c r="Q670" s="9"/>
      <c r="R670" s="9"/>
      <c r="S670" s="9"/>
      <c r="T670" s="31"/>
      <c r="W670" s="16"/>
      <c r="X670" s="9"/>
      <c r="Y670" s="9"/>
      <c r="AA670" s="16"/>
      <c r="AK670" s="16"/>
      <c r="AL670" s="17"/>
      <c r="AN670" s="16"/>
    </row>
    <row r="671" spans="9:40" x14ac:dyDescent="0.4">
      <c r="I671" s="11"/>
      <c r="J671" s="9"/>
      <c r="K671" s="9"/>
      <c r="O671" s="11"/>
      <c r="P671" s="9"/>
      <c r="Q671" s="9"/>
      <c r="R671" s="9"/>
      <c r="S671" s="9"/>
      <c r="T671" s="31"/>
      <c r="W671" s="16"/>
      <c r="X671" s="9"/>
      <c r="Y671" s="9"/>
      <c r="AA671" s="16"/>
      <c r="AK671" s="16"/>
      <c r="AL671" s="17"/>
      <c r="AN671" s="16"/>
    </row>
    <row r="672" spans="9:40" x14ac:dyDescent="0.4">
      <c r="I672" s="11"/>
      <c r="J672" s="9"/>
      <c r="K672" s="9"/>
      <c r="O672" s="11"/>
      <c r="P672" s="9"/>
      <c r="Q672" s="9"/>
      <c r="R672" s="9"/>
      <c r="S672" s="9"/>
      <c r="T672" s="31"/>
      <c r="W672" s="16"/>
      <c r="X672" s="9"/>
      <c r="Y672" s="9"/>
      <c r="AA672" s="16"/>
      <c r="AK672" s="16"/>
      <c r="AL672" s="17"/>
      <c r="AN672" s="16"/>
    </row>
    <row r="673" spans="9:40" x14ac:dyDescent="0.4">
      <c r="I673" s="11"/>
      <c r="J673" s="9"/>
      <c r="K673" s="9"/>
      <c r="O673" s="11"/>
      <c r="P673" s="9"/>
      <c r="Q673" s="9"/>
      <c r="R673" s="9"/>
      <c r="S673" s="9"/>
      <c r="T673" s="31"/>
      <c r="W673" s="16"/>
      <c r="X673" s="9"/>
      <c r="Y673" s="9"/>
      <c r="AA673" s="16"/>
      <c r="AK673" s="16"/>
      <c r="AL673" s="17"/>
      <c r="AN673" s="16"/>
    </row>
    <row r="674" spans="9:40" x14ac:dyDescent="0.4">
      <c r="I674" s="11"/>
      <c r="J674" s="9"/>
      <c r="K674" s="9"/>
      <c r="O674" s="11"/>
      <c r="P674" s="9"/>
      <c r="Q674" s="9"/>
      <c r="R674" s="9"/>
      <c r="S674" s="9"/>
      <c r="T674" s="31"/>
      <c r="W674" s="16"/>
      <c r="X674" s="9"/>
      <c r="Y674" s="9"/>
      <c r="AA674" s="16"/>
      <c r="AK674" s="16"/>
      <c r="AL674" s="17"/>
      <c r="AN674" s="16"/>
    </row>
    <row r="675" spans="9:40" x14ac:dyDescent="0.4">
      <c r="I675" s="11"/>
      <c r="J675" s="9"/>
      <c r="K675" s="9"/>
      <c r="O675" s="11"/>
      <c r="P675" s="9"/>
      <c r="Q675" s="9"/>
      <c r="R675" s="9"/>
      <c r="S675" s="9"/>
      <c r="T675" s="31"/>
      <c r="W675" s="16"/>
      <c r="X675" s="9"/>
      <c r="Y675" s="9"/>
      <c r="AA675" s="16"/>
      <c r="AK675" s="16"/>
      <c r="AL675" s="17"/>
      <c r="AN675" s="16"/>
    </row>
    <row r="676" spans="9:40" x14ac:dyDescent="0.4">
      <c r="I676" s="11"/>
      <c r="J676" s="9"/>
      <c r="K676" s="9"/>
      <c r="O676" s="11"/>
      <c r="P676" s="9"/>
      <c r="Q676" s="9"/>
      <c r="R676" s="9"/>
      <c r="S676" s="9"/>
      <c r="T676" s="31"/>
      <c r="W676" s="16"/>
      <c r="X676" s="9"/>
      <c r="Y676" s="9"/>
      <c r="AA676" s="16"/>
      <c r="AK676" s="16"/>
      <c r="AL676" s="17"/>
      <c r="AN676" s="16"/>
    </row>
    <row r="677" spans="9:40" x14ac:dyDescent="0.4">
      <c r="I677" s="11"/>
      <c r="J677" s="9"/>
      <c r="K677" s="9"/>
      <c r="O677" s="11"/>
      <c r="P677" s="9"/>
      <c r="Q677" s="9"/>
      <c r="R677" s="9"/>
      <c r="S677" s="9"/>
      <c r="T677" s="31"/>
      <c r="W677" s="16"/>
      <c r="X677" s="9"/>
      <c r="Y677" s="9"/>
      <c r="AA677" s="16"/>
      <c r="AK677" s="16"/>
      <c r="AL677" s="17"/>
      <c r="AN677" s="16"/>
    </row>
    <row r="678" spans="9:40" x14ac:dyDescent="0.4">
      <c r="I678" s="11"/>
      <c r="J678" s="9"/>
      <c r="K678" s="9"/>
      <c r="O678" s="11"/>
      <c r="P678" s="9"/>
      <c r="Q678" s="9"/>
      <c r="R678" s="9"/>
      <c r="S678" s="9"/>
      <c r="T678" s="31"/>
      <c r="W678" s="16"/>
      <c r="X678" s="9"/>
      <c r="Y678" s="9"/>
      <c r="AA678" s="16"/>
      <c r="AK678" s="16"/>
      <c r="AL678" s="17"/>
      <c r="AN678" s="16"/>
    </row>
    <row r="679" spans="9:40" x14ac:dyDescent="0.4">
      <c r="I679" s="11"/>
      <c r="J679" s="9"/>
      <c r="K679" s="9"/>
      <c r="O679" s="11"/>
      <c r="P679" s="9"/>
      <c r="Q679" s="9"/>
      <c r="R679" s="9"/>
      <c r="S679" s="9"/>
      <c r="T679" s="31"/>
      <c r="W679" s="16"/>
      <c r="X679" s="9"/>
      <c r="Y679" s="9"/>
      <c r="AA679" s="16"/>
      <c r="AK679" s="16"/>
      <c r="AL679" s="17"/>
      <c r="AN679" s="16"/>
    </row>
    <row r="680" spans="9:40" x14ac:dyDescent="0.4">
      <c r="I680" s="11"/>
      <c r="J680" s="9"/>
      <c r="K680" s="9"/>
      <c r="O680" s="11"/>
      <c r="P680" s="9"/>
      <c r="Q680" s="9"/>
      <c r="R680" s="9"/>
      <c r="S680" s="9"/>
      <c r="T680" s="31"/>
      <c r="W680" s="16"/>
      <c r="X680" s="9"/>
      <c r="Y680" s="9"/>
      <c r="AA680" s="16"/>
      <c r="AK680" s="16"/>
      <c r="AL680" s="17"/>
      <c r="AN680" s="16"/>
    </row>
    <row r="681" spans="9:40" x14ac:dyDescent="0.4">
      <c r="I681" s="11"/>
      <c r="J681" s="9"/>
      <c r="K681" s="9"/>
      <c r="O681" s="11"/>
      <c r="P681" s="9"/>
      <c r="Q681" s="9"/>
      <c r="R681" s="9"/>
      <c r="S681" s="9"/>
      <c r="T681" s="31"/>
      <c r="W681" s="16"/>
      <c r="X681" s="9"/>
      <c r="Y681" s="9"/>
      <c r="AA681" s="16"/>
      <c r="AK681" s="16"/>
      <c r="AL681" s="17"/>
      <c r="AN681" s="16"/>
    </row>
    <row r="682" spans="9:40" x14ac:dyDescent="0.4">
      <c r="I682" s="11"/>
      <c r="J682" s="9"/>
      <c r="K682" s="9"/>
      <c r="O682" s="11"/>
      <c r="P682" s="9"/>
      <c r="Q682" s="9"/>
      <c r="R682" s="9"/>
      <c r="S682" s="9"/>
      <c r="T682" s="31"/>
      <c r="W682" s="16"/>
      <c r="X682" s="9"/>
      <c r="Y682" s="9"/>
      <c r="AA682" s="16"/>
      <c r="AK682" s="16"/>
      <c r="AL682" s="17"/>
      <c r="AN682" s="16"/>
    </row>
    <row r="683" spans="9:40" x14ac:dyDescent="0.4">
      <c r="I683" s="11"/>
      <c r="J683" s="9"/>
      <c r="K683" s="9"/>
      <c r="O683" s="11"/>
      <c r="P683" s="9"/>
      <c r="Q683" s="9"/>
      <c r="R683" s="9"/>
      <c r="S683" s="9"/>
      <c r="T683" s="31"/>
      <c r="W683" s="16"/>
      <c r="X683" s="9"/>
      <c r="Y683" s="9"/>
      <c r="AA683" s="16"/>
      <c r="AK683" s="16"/>
      <c r="AL683" s="17"/>
      <c r="AN683" s="16"/>
    </row>
    <row r="684" spans="9:40" x14ac:dyDescent="0.4">
      <c r="I684" s="11"/>
      <c r="J684" s="9"/>
      <c r="K684" s="9"/>
      <c r="O684" s="11"/>
      <c r="P684" s="9"/>
      <c r="Q684" s="9"/>
      <c r="R684" s="9"/>
      <c r="S684" s="9"/>
      <c r="T684" s="31"/>
      <c r="W684" s="16"/>
      <c r="X684" s="9"/>
      <c r="Y684" s="9"/>
      <c r="AA684" s="16"/>
      <c r="AK684" s="16"/>
      <c r="AL684" s="17"/>
      <c r="AN684" s="16"/>
    </row>
    <row r="685" spans="9:40" x14ac:dyDescent="0.4">
      <c r="I685" s="11"/>
      <c r="J685" s="9"/>
      <c r="K685" s="9"/>
      <c r="O685" s="11"/>
      <c r="P685" s="9"/>
      <c r="Q685" s="9"/>
      <c r="R685" s="9"/>
      <c r="S685" s="9"/>
      <c r="T685" s="31"/>
      <c r="W685" s="16"/>
      <c r="X685" s="9"/>
      <c r="Y685" s="9"/>
      <c r="AA685" s="16"/>
      <c r="AK685" s="16"/>
      <c r="AL685" s="17"/>
      <c r="AN685" s="16"/>
    </row>
    <row r="686" spans="9:40" x14ac:dyDescent="0.4">
      <c r="I686" s="11"/>
      <c r="J686" s="9"/>
      <c r="K686" s="9"/>
      <c r="O686" s="11"/>
      <c r="P686" s="9"/>
      <c r="Q686" s="9"/>
      <c r="R686" s="9"/>
      <c r="S686" s="9"/>
      <c r="T686" s="31"/>
      <c r="W686" s="16"/>
      <c r="X686" s="9"/>
      <c r="Y686" s="9"/>
      <c r="AA686" s="16"/>
      <c r="AK686" s="16"/>
      <c r="AL686" s="17"/>
      <c r="AN686" s="16"/>
    </row>
    <row r="687" spans="9:40" x14ac:dyDescent="0.4">
      <c r="I687" s="11"/>
      <c r="J687" s="9"/>
      <c r="K687" s="9"/>
      <c r="O687" s="11"/>
      <c r="P687" s="9"/>
      <c r="Q687" s="9"/>
      <c r="R687" s="9"/>
      <c r="S687" s="9"/>
      <c r="T687" s="31"/>
      <c r="W687" s="16"/>
      <c r="X687" s="9"/>
      <c r="Y687" s="9"/>
      <c r="AA687" s="16"/>
      <c r="AK687" s="16"/>
      <c r="AL687" s="17"/>
      <c r="AN687" s="16"/>
    </row>
    <row r="688" spans="9:40" x14ac:dyDescent="0.4">
      <c r="I688" s="11"/>
      <c r="J688" s="9"/>
      <c r="K688" s="9"/>
      <c r="O688" s="11"/>
      <c r="P688" s="9"/>
      <c r="Q688" s="9"/>
      <c r="R688" s="9"/>
      <c r="S688" s="9"/>
      <c r="T688" s="31"/>
      <c r="W688" s="16"/>
      <c r="X688" s="9"/>
      <c r="Y688" s="9"/>
      <c r="AA688" s="16"/>
      <c r="AK688" s="16"/>
      <c r="AL688" s="17"/>
      <c r="AN688" s="16"/>
    </row>
    <row r="689" spans="9:40" x14ac:dyDescent="0.4">
      <c r="I689" s="11"/>
      <c r="J689" s="9"/>
      <c r="K689" s="9"/>
      <c r="O689" s="11"/>
      <c r="P689" s="9"/>
      <c r="Q689" s="9"/>
      <c r="R689" s="9"/>
      <c r="S689" s="9"/>
      <c r="T689" s="31"/>
      <c r="W689" s="16"/>
      <c r="X689" s="9"/>
      <c r="Y689" s="9"/>
      <c r="AA689" s="16"/>
      <c r="AK689" s="16"/>
      <c r="AL689" s="17"/>
      <c r="AN689" s="16"/>
    </row>
    <row r="690" spans="9:40" x14ac:dyDescent="0.4">
      <c r="I690" s="11"/>
      <c r="J690" s="9"/>
      <c r="K690" s="9"/>
      <c r="O690" s="11"/>
      <c r="P690" s="9"/>
      <c r="Q690" s="9"/>
      <c r="R690" s="9"/>
      <c r="S690" s="9"/>
      <c r="T690" s="31"/>
      <c r="W690" s="16"/>
      <c r="X690" s="9"/>
      <c r="Y690" s="9"/>
      <c r="AA690" s="16"/>
      <c r="AK690" s="16"/>
      <c r="AL690" s="17"/>
      <c r="AN690" s="16"/>
    </row>
    <row r="691" spans="9:40" x14ac:dyDescent="0.4">
      <c r="I691" s="11"/>
      <c r="J691" s="9"/>
      <c r="K691" s="9"/>
      <c r="O691" s="11"/>
      <c r="P691" s="9"/>
      <c r="Q691" s="9"/>
      <c r="R691" s="9"/>
      <c r="S691" s="9"/>
      <c r="T691" s="31"/>
      <c r="W691" s="16"/>
      <c r="X691" s="9"/>
      <c r="Y691" s="9"/>
      <c r="AA691" s="16"/>
      <c r="AK691" s="16"/>
      <c r="AL691" s="17"/>
      <c r="AN691" s="16"/>
    </row>
    <row r="692" spans="9:40" x14ac:dyDescent="0.4">
      <c r="I692" s="11"/>
      <c r="J692" s="9"/>
      <c r="K692" s="9"/>
      <c r="O692" s="11"/>
      <c r="P692" s="9"/>
      <c r="Q692" s="9"/>
      <c r="R692" s="9"/>
      <c r="S692" s="9"/>
      <c r="T692" s="31"/>
      <c r="W692" s="16"/>
      <c r="X692" s="9"/>
      <c r="Y692" s="9"/>
      <c r="AA692" s="16"/>
      <c r="AK692" s="16"/>
      <c r="AL692" s="17"/>
      <c r="AN692" s="16"/>
    </row>
    <row r="693" spans="9:40" x14ac:dyDescent="0.4">
      <c r="I693" s="11"/>
      <c r="J693" s="9"/>
      <c r="K693" s="9"/>
      <c r="O693" s="11"/>
      <c r="P693" s="9"/>
      <c r="Q693" s="9"/>
      <c r="R693" s="9"/>
      <c r="S693" s="9"/>
      <c r="T693" s="31"/>
      <c r="W693" s="16"/>
      <c r="X693" s="9"/>
      <c r="Y693" s="9"/>
      <c r="AA693" s="16"/>
      <c r="AK693" s="16"/>
      <c r="AL693" s="17"/>
      <c r="AN693" s="16"/>
    </row>
    <row r="694" spans="9:40" x14ac:dyDescent="0.4">
      <c r="I694" s="11"/>
      <c r="J694" s="9"/>
      <c r="K694" s="9"/>
      <c r="O694" s="11"/>
      <c r="P694" s="9"/>
      <c r="Q694" s="9"/>
      <c r="R694" s="9"/>
      <c r="S694" s="9"/>
      <c r="T694" s="31"/>
      <c r="W694" s="16"/>
      <c r="X694" s="9"/>
      <c r="Y694" s="9"/>
      <c r="AA694" s="16"/>
      <c r="AK694" s="16"/>
      <c r="AL694" s="17"/>
      <c r="AN694" s="16"/>
    </row>
    <row r="695" spans="9:40" x14ac:dyDescent="0.4">
      <c r="I695" s="11"/>
      <c r="J695" s="9"/>
      <c r="K695" s="9"/>
      <c r="O695" s="11"/>
      <c r="P695" s="9"/>
      <c r="Q695" s="9"/>
      <c r="R695" s="9"/>
      <c r="S695" s="9"/>
      <c r="T695" s="31"/>
      <c r="W695" s="16"/>
      <c r="X695" s="9"/>
      <c r="Y695" s="9"/>
      <c r="AA695" s="16"/>
      <c r="AK695" s="16"/>
      <c r="AL695" s="17"/>
      <c r="AN695" s="16"/>
    </row>
    <row r="696" spans="9:40" x14ac:dyDescent="0.4">
      <c r="I696" s="11"/>
      <c r="J696" s="9"/>
      <c r="K696" s="9"/>
      <c r="O696" s="11"/>
      <c r="P696" s="9"/>
      <c r="Q696" s="9"/>
      <c r="R696" s="9"/>
      <c r="S696" s="9"/>
      <c r="T696" s="31"/>
      <c r="W696" s="16"/>
      <c r="X696" s="9"/>
      <c r="Y696" s="9"/>
      <c r="AA696" s="16"/>
      <c r="AK696" s="16"/>
      <c r="AL696" s="17"/>
      <c r="AN696" s="16"/>
    </row>
    <row r="697" spans="9:40" x14ac:dyDescent="0.4">
      <c r="I697" s="11"/>
      <c r="J697" s="9"/>
      <c r="K697" s="9"/>
      <c r="O697" s="11"/>
      <c r="P697" s="9"/>
      <c r="Q697" s="9"/>
      <c r="R697" s="9"/>
      <c r="S697" s="9"/>
      <c r="T697" s="31"/>
      <c r="W697" s="16"/>
      <c r="X697" s="9"/>
      <c r="Y697" s="9"/>
      <c r="AA697" s="16"/>
      <c r="AK697" s="16"/>
      <c r="AL697" s="17"/>
      <c r="AN697" s="16"/>
    </row>
    <row r="698" spans="9:40" x14ac:dyDescent="0.4">
      <c r="I698" s="11"/>
      <c r="J698" s="9"/>
      <c r="K698" s="9"/>
      <c r="O698" s="11"/>
      <c r="P698" s="9"/>
      <c r="Q698" s="9"/>
      <c r="R698" s="9"/>
      <c r="S698" s="9"/>
      <c r="T698" s="31"/>
      <c r="W698" s="16"/>
      <c r="X698" s="9"/>
      <c r="Y698" s="9"/>
      <c r="AA698" s="16"/>
      <c r="AK698" s="16"/>
      <c r="AL698" s="17"/>
      <c r="AN698" s="16"/>
    </row>
    <row r="699" spans="9:40" x14ac:dyDescent="0.4">
      <c r="I699" s="11"/>
      <c r="J699" s="9"/>
      <c r="K699" s="9"/>
      <c r="O699" s="11"/>
      <c r="P699" s="9"/>
      <c r="Q699" s="9"/>
      <c r="R699" s="9"/>
      <c r="S699" s="9"/>
      <c r="T699" s="31"/>
      <c r="W699" s="16"/>
      <c r="X699" s="9"/>
      <c r="Y699" s="9"/>
      <c r="AA699" s="16"/>
      <c r="AK699" s="16"/>
      <c r="AL699" s="17"/>
      <c r="AN699" s="16"/>
    </row>
    <row r="700" spans="9:40" x14ac:dyDescent="0.4">
      <c r="I700" s="11"/>
      <c r="J700" s="9"/>
      <c r="K700" s="9"/>
      <c r="O700" s="11"/>
      <c r="P700" s="9"/>
      <c r="Q700" s="9"/>
      <c r="R700" s="9"/>
      <c r="S700" s="9"/>
      <c r="T700" s="31"/>
      <c r="W700" s="16"/>
      <c r="X700" s="9"/>
      <c r="Y700" s="9"/>
      <c r="AA700" s="16"/>
      <c r="AK700" s="16"/>
      <c r="AL700" s="17"/>
      <c r="AN700" s="16"/>
    </row>
    <row r="701" spans="9:40" x14ac:dyDescent="0.4">
      <c r="I701" s="11"/>
      <c r="J701" s="9"/>
      <c r="K701" s="9"/>
      <c r="O701" s="11"/>
      <c r="P701" s="9"/>
      <c r="Q701" s="9"/>
      <c r="R701" s="9"/>
      <c r="S701" s="9"/>
      <c r="T701" s="31"/>
      <c r="W701" s="16"/>
      <c r="X701" s="9"/>
      <c r="Y701" s="9"/>
      <c r="AA701" s="16"/>
      <c r="AK701" s="16"/>
      <c r="AL701" s="17"/>
      <c r="AN701" s="16"/>
    </row>
    <row r="702" spans="9:40" x14ac:dyDescent="0.4">
      <c r="I702" s="11"/>
      <c r="J702" s="9"/>
      <c r="K702" s="9"/>
      <c r="O702" s="11"/>
      <c r="P702" s="9"/>
      <c r="Q702" s="9"/>
      <c r="R702" s="9"/>
      <c r="S702" s="9"/>
      <c r="T702" s="31"/>
      <c r="W702" s="16"/>
      <c r="X702" s="9"/>
      <c r="Y702" s="9"/>
      <c r="AA702" s="16"/>
      <c r="AK702" s="16"/>
      <c r="AL702" s="17"/>
      <c r="AN702" s="16"/>
    </row>
    <row r="703" spans="9:40" x14ac:dyDescent="0.4">
      <c r="I703" s="11"/>
      <c r="J703" s="9"/>
      <c r="K703" s="9"/>
      <c r="O703" s="11"/>
      <c r="P703" s="9"/>
      <c r="Q703" s="9"/>
      <c r="R703" s="9"/>
      <c r="S703" s="9"/>
      <c r="T703" s="31"/>
      <c r="W703" s="16"/>
      <c r="X703" s="9"/>
      <c r="Y703" s="9"/>
      <c r="AA703" s="16"/>
      <c r="AK703" s="16"/>
      <c r="AL703" s="17"/>
      <c r="AN703" s="16"/>
    </row>
    <row r="704" spans="9:40" x14ac:dyDescent="0.4">
      <c r="I704" s="11"/>
      <c r="J704" s="9"/>
      <c r="K704" s="9"/>
      <c r="O704" s="11"/>
      <c r="P704" s="9"/>
      <c r="Q704" s="9"/>
      <c r="R704" s="9"/>
      <c r="S704" s="9"/>
      <c r="T704" s="31"/>
      <c r="W704" s="16"/>
      <c r="X704" s="9"/>
      <c r="Y704" s="9"/>
      <c r="AA704" s="16"/>
      <c r="AK704" s="16"/>
      <c r="AL704" s="17"/>
      <c r="AN704" s="16"/>
    </row>
    <row r="705" spans="9:40" x14ac:dyDescent="0.4">
      <c r="I705" s="11"/>
      <c r="J705" s="9"/>
      <c r="K705" s="9"/>
      <c r="O705" s="11"/>
      <c r="P705" s="9"/>
      <c r="Q705" s="9"/>
      <c r="R705" s="9"/>
      <c r="S705" s="9"/>
      <c r="T705" s="31"/>
      <c r="W705" s="16"/>
      <c r="X705" s="9"/>
      <c r="Y705" s="9"/>
      <c r="AA705" s="16"/>
      <c r="AK705" s="16"/>
      <c r="AL705" s="17"/>
      <c r="AN705" s="16"/>
    </row>
    <row r="706" spans="9:40" x14ac:dyDescent="0.4">
      <c r="I706" s="11"/>
      <c r="J706" s="9"/>
      <c r="K706" s="9"/>
      <c r="O706" s="11"/>
      <c r="P706" s="9"/>
      <c r="Q706" s="9"/>
      <c r="R706" s="9"/>
      <c r="S706" s="9"/>
      <c r="T706" s="31"/>
      <c r="W706" s="16"/>
      <c r="X706" s="9"/>
      <c r="Y706" s="9"/>
      <c r="AA706" s="16"/>
      <c r="AK706" s="16"/>
      <c r="AL706" s="17"/>
      <c r="AN706" s="16"/>
    </row>
    <row r="707" spans="9:40" x14ac:dyDescent="0.4">
      <c r="I707" s="11"/>
      <c r="J707" s="9"/>
      <c r="K707" s="9"/>
      <c r="O707" s="11"/>
      <c r="P707" s="9"/>
      <c r="Q707" s="9"/>
      <c r="R707" s="9"/>
      <c r="S707" s="9"/>
      <c r="T707" s="31"/>
      <c r="W707" s="16"/>
      <c r="X707" s="9"/>
      <c r="Y707" s="9"/>
      <c r="AA707" s="16"/>
      <c r="AK707" s="16"/>
      <c r="AL707" s="17"/>
      <c r="AN707" s="16"/>
    </row>
    <row r="708" spans="9:40" x14ac:dyDescent="0.4">
      <c r="I708" s="11"/>
      <c r="J708" s="9"/>
      <c r="K708" s="9"/>
      <c r="O708" s="11"/>
      <c r="P708" s="9"/>
      <c r="Q708" s="9"/>
      <c r="R708" s="9"/>
      <c r="S708" s="9"/>
      <c r="T708" s="31"/>
      <c r="W708" s="16"/>
      <c r="X708" s="9"/>
      <c r="Y708" s="9"/>
      <c r="AA708" s="16"/>
      <c r="AK708" s="16"/>
      <c r="AL708" s="17"/>
      <c r="AN708" s="16"/>
    </row>
    <row r="709" spans="9:40" x14ac:dyDescent="0.4">
      <c r="I709" s="11"/>
      <c r="J709" s="9"/>
      <c r="K709" s="9"/>
      <c r="O709" s="11"/>
      <c r="P709" s="9"/>
      <c r="Q709" s="9"/>
      <c r="R709" s="9"/>
      <c r="S709" s="9"/>
      <c r="T709" s="31"/>
      <c r="W709" s="16"/>
      <c r="X709" s="9"/>
      <c r="Y709" s="9"/>
      <c r="AA709" s="16"/>
      <c r="AK709" s="16"/>
      <c r="AL709" s="17"/>
      <c r="AN709" s="16"/>
    </row>
    <row r="710" spans="9:40" x14ac:dyDescent="0.4">
      <c r="I710" s="11"/>
      <c r="J710" s="9"/>
      <c r="K710" s="9"/>
      <c r="O710" s="11"/>
      <c r="P710" s="9"/>
      <c r="Q710" s="9"/>
      <c r="R710" s="9"/>
      <c r="S710" s="9"/>
      <c r="T710" s="31"/>
      <c r="W710" s="16"/>
      <c r="X710" s="9"/>
      <c r="Y710" s="9"/>
      <c r="AA710" s="16"/>
      <c r="AK710" s="16"/>
      <c r="AL710" s="17"/>
      <c r="AN710" s="16"/>
    </row>
    <row r="711" spans="9:40" x14ac:dyDescent="0.4">
      <c r="I711" s="11"/>
      <c r="J711" s="9"/>
      <c r="K711" s="9"/>
      <c r="O711" s="11"/>
      <c r="P711" s="9"/>
      <c r="Q711" s="9"/>
      <c r="R711" s="9"/>
      <c r="S711" s="9"/>
      <c r="T711" s="31"/>
      <c r="W711" s="16"/>
      <c r="X711" s="9"/>
      <c r="Y711" s="9"/>
      <c r="AA711" s="16"/>
      <c r="AK711" s="16"/>
      <c r="AL711" s="17"/>
      <c r="AN711" s="16"/>
    </row>
    <row r="712" spans="9:40" x14ac:dyDescent="0.4">
      <c r="I712" s="11"/>
      <c r="J712" s="9"/>
      <c r="K712" s="9"/>
      <c r="O712" s="11"/>
      <c r="P712" s="9"/>
      <c r="Q712" s="9"/>
      <c r="R712" s="9"/>
      <c r="S712" s="9"/>
      <c r="T712" s="31"/>
      <c r="W712" s="16"/>
      <c r="X712" s="9"/>
      <c r="Y712" s="9"/>
      <c r="AA712" s="16"/>
      <c r="AK712" s="16"/>
      <c r="AL712" s="17"/>
      <c r="AN712" s="16"/>
    </row>
    <row r="713" spans="9:40" x14ac:dyDescent="0.4">
      <c r="I713" s="11"/>
      <c r="J713" s="9"/>
      <c r="K713" s="9"/>
      <c r="O713" s="11"/>
      <c r="P713" s="9"/>
      <c r="Q713" s="9"/>
      <c r="R713" s="9"/>
      <c r="S713" s="9"/>
      <c r="T713" s="31"/>
      <c r="W713" s="16"/>
      <c r="X713" s="9"/>
      <c r="Y713" s="9"/>
      <c r="AA713" s="16"/>
      <c r="AK713" s="16"/>
      <c r="AL713" s="17"/>
      <c r="AN713" s="16"/>
    </row>
    <row r="714" spans="9:40" x14ac:dyDescent="0.4">
      <c r="I714" s="11"/>
      <c r="J714" s="9"/>
      <c r="K714" s="9"/>
      <c r="O714" s="11"/>
      <c r="P714" s="9"/>
      <c r="Q714" s="9"/>
      <c r="R714" s="9"/>
      <c r="S714" s="9"/>
      <c r="T714" s="31"/>
      <c r="W714" s="16"/>
      <c r="X714" s="9"/>
      <c r="Y714" s="9"/>
      <c r="AA714" s="16"/>
      <c r="AK714" s="16"/>
      <c r="AL714" s="17"/>
      <c r="AN714" s="16"/>
    </row>
    <row r="715" spans="9:40" x14ac:dyDescent="0.4">
      <c r="I715" s="11"/>
      <c r="J715" s="9"/>
      <c r="K715" s="9"/>
      <c r="O715" s="11"/>
      <c r="P715" s="9"/>
      <c r="Q715" s="9"/>
      <c r="R715" s="9"/>
      <c r="S715" s="9"/>
      <c r="T715" s="31"/>
      <c r="W715" s="16"/>
      <c r="X715" s="9"/>
      <c r="Y715" s="9"/>
      <c r="AA715" s="16"/>
      <c r="AK715" s="16"/>
      <c r="AL715" s="17"/>
      <c r="AN715" s="16"/>
    </row>
    <row r="716" spans="9:40" x14ac:dyDescent="0.4">
      <c r="I716" s="11"/>
      <c r="J716" s="9"/>
      <c r="K716" s="9"/>
      <c r="O716" s="11"/>
      <c r="P716" s="9"/>
      <c r="Q716" s="9"/>
      <c r="R716" s="9"/>
      <c r="S716" s="9"/>
      <c r="T716" s="31"/>
      <c r="W716" s="16"/>
      <c r="X716" s="9"/>
      <c r="Y716" s="9"/>
      <c r="AA716" s="16"/>
      <c r="AK716" s="16"/>
      <c r="AL716" s="17"/>
      <c r="AN716" s="16"/>
    </row>
    <row r="717" spans="9:40" x14ac:dyDescent="0.4">
      <c r="I717" s="11"/>
      <c r="J717" s="9"/>
      <c r="K717" s="9"/>
      <c r="O717" s="11"/>
      <c r="P717" s="9"/>
      <c r="Q717" s="9"/>
      <c r="R717" s="9"/>
      <c r="S717" s="9"/>
      <c r="T717" s="31"/>
      <c r="W717" s="16"/>
      <c r="X717" s="9"/>
      <c r="Y717" s="9"/>
      <c r="AA717" s="16"/>
      <c r="AK717" s="16"/>
      <c r="AL717" s="17"/>
      <c r="AN717" s="16"/>
    </row>
    <row r="718" spans="9:40" x14ac:dyDescent="0.4">
      <c r="I718" s="11"/>
      <c r="J718" s="9"/>
      <c r="K718" s="9"/>
      <c r="O718" s="11"/>
      <c r="P718" s="9"/>
      <c r="Q718" s="9"/>
      <c r="R718" s="9"/>
      <c r="S718" s="9"/>
      <c r="T718" s="31"/>
      <c r="W718" s="16"/>
      <c r="X718" s="9"/>
      <c r="Y718" s="9"/>
      <c r="AA718" s="16"/>
      <c r="AK718" s="16"/>
      <c r="AL718" s="17"/>
      <c r="AN718" s="16"/>
    </row>
    <row r="719" spans="9:40" x14ac:dyDescent="0.4">
      <c r="I719" s="11"/>
      <c r="J719" s="9"/>
      <c r="K719" s="9"/>
      <c r="O719" s="11"/>
      <c r="P719" s="9"/>
      <c r="Q719" s="9"/>
      <c r="R719" s="9"/>
      <c r="S719" s="9"/>
      <c r="T719" s="31"/>
      <c r="W719" s="16"/>
      <c r="X719" s="9"/>
      <c r="Y719" s="9"/>
      <c r="AA719" s="16"/>
      <c r="AK719" s="16"/>
      <c r="AL719" s="17"/>
      <c r="AN719" s="16"/>
    </row>
    <row r="720" spans="9:40" x14ac:dyDescent="0.4">
      <c r="I720" s="11"/>
      <c r="J720" s="9"/>
      <c r="K720" s="9"/>
      <c r="O720" s="11"/>
      <c r="P720" s="9"/>
      <c r="Q720" s="9"/>
      <c r="R720" s="9"/>
      <c r="S720" s="9"/>
      <c r="T720" s="31"/>
      <c r="W720" s="16"/>
      <c r="X720" s="9"/>
      <c r="Y720" s="9"/>
      <c r="AA720" s="16"/>
      <c r="AK720" s="16"/>
      <c r="AL720" s="17"/>
      <c r="AN720" s="16"/>
    </row>
    <row r="721" spans="9:40" x14ac:dyDescent="0.4">
      <c r="I721" s="11"/>
      <c r="J721" s="9"/>
      <c r="K721" s="9"/>
      <c r="O721" s="11"/>
      <c r="P721" s="9"/>
      <c r="Q721" s="9"/>
      <c r="R721" s="9"/>
      <c r="S721" s="9"/>
      <c r="T721" s="31"/>
      <c r="W721" s="16"/>
      <c r="X721" s="9"/>
      <c r="Y721" s="9"/>
      <c r="AA721" s="16"/>
      <c r="AK721" s="16"/>
      <c r="AL721" s="17"/>
      <c r="AN721" s="16"/>
    </row>
    <row r="722" spans="9:40" x14ac:dyDescent="0.4">
      <c r="I722" s="11"/>
      <c r="J722" s="9"/>
      <c r="K722" s="9"/>
      <c r="O722" s="11"/>
      <c r="P722" s="9"/>
      <c r="Q722" s="9"/>
      <c r="R722" s="9"/>
      <c r="S722" s="9"/>
      <c r="T722" s="31"/>
      <c r="W722" s="16"/>
      <c r="X722" s="9"/>
      <c r="Y722" s="9"/>
      <c r="AA722" s="16"/>
      <c r="AK722" s="16"/>
      <c r="AL722" s="17"/>
      <c r="AN722" s="16"/>
    </row>
    <row r="723" spans="9:40" x14ac:dyDescent="0.4">
      <c r="I723" s="11"/>
      <c r="J723" s="9"/>
      <c r="K723" s="9"/>
      <c r="O723" s="11"/>
      <c r="P723" s="9"/>
      <c r="Q723" s="9"/>
      <c r="R723" s="9"/>
      <c r="S723" s="9"/>
      <c r="T723" s="31"/>
      <c r="W723" s="16"/>
      <c r="X723" s="9"/>
      <c r="Y723" s="9"/>
      <c r="AA723" s="16"/>
      <c r="AK723" s="16"/>
      <c r="AL723" s="17"/>
      <c r="AN723" s="16"/>
    </row>
    <row r="724" spans="9:40" x14ac:dyDescent="0.4">
      <c r="I724" s="11"/>
      <c r="J724" s="9"/>
      <c r="K724" s="9"/>
      <c r="O724" s="11"/>
      <c r="P724" s="9"/>
      <c r="Q724" s="9"/>
      <c r="R724" s="9"/>
      <c r="S724" s="9"/>
      <c r="T724" s="31"/>
      <c r="W724" s="16"/>
      <c r="X724" s="9"/>
      <c r="Y724" s="9"/>
      <c r="AA724" s="16"/>
      <c r="AK724" s="16"/>
      <c r="AL724" s="17"/>
      <c r="AN724" s="16"/>
    </row>
    <row r="725" spans="9:40" x14ac:dyDescent="0.4">
      <c r="I725" s="11"/>
      <c r="J725" s="9"/>
      <c r="K725" s="9"/>
      <c r="O725" s="11"/>
      <c r="P725" s="9"/>
      <c r="Q725" s="9"/>
      <c r="R725" s="9"/>
      <c r="S725" s="9"/>
      <c r="T725" s="31"/>
      <c r="W725" s="16"/>
      <c r="X725" s="9"/>
      <c r="Y725" s="9"/>
      <c r="AA725" s="16"/>
      <c r="AK725" s="16"/>
      <c r="AL725" s="17"/>
      <c r="AN725" s="16"/>
    </row>
    <row r="726" spans="9:40" x14ac:dyDescent="0.4">
      <c r="I726" s="11"/>
      <c r="J726" s="9"/>
      <c r="K726" s="9"/>
      <c r="O726" s="11"/>
      <c r="P726" s="9"/>
      <c r="Q726" s="9"/>
      <c r="R726" s="9"/>
      <c r="S726" s="9"/>
      <c r="T726" s="31"/>
      <c r="W726" s="16"/>
      <c r="X726" s="9"/>
      <c r="Y726" s="9"/>
      <c r="AA726" s="16"/>
      <c r="AK726" s="16"/>
      <c r="AL726" s="17"/>
      <c r="AN726" s="16"/>
    </row>
    <row r="727" spans="9:40" x14ac:dyDescent="0.4">
      <c r="I727" s="11"/>
      <c r="J727" s="9"/>
      <c r="K727" s="9"/>
      <c r="O727" s="11"/>
      <c r="P727" s="9"/>
      <c r="Q727" s="9"/>
      <c r="R727" s="9"/>
      <c r="S727" s="9"/>
      <c r="T727" s="31"/>
      <c r="W727" s="16"/>
      <c r="X727" s="9"/>
      <c r="Y727" s="9"/>
      <c r="AA727" s="16"/>
      <c r="AK727" s="16"/>
      <c r="AL727" s="17"/>
      <c r="AN727" s="16"/>
    </row>
    <row r="728" spans="9:40" x14ac:dyDescent="0.4">
      <c r="I728" s="11"/>
      <c r="J728" s="9"/>
      <c r="K728" s="9"/>
      <c r="O728" s="11"/>
      <c r="P728" s="9"/>
      <c r="Q728" s="9"/>
      <c r="R728" s="9"/>
      <c r="S728" s="9"/>
      <c r="T728" s="31"/>
      <c r="W728" s="16"/>
      <c r="X728" s="9"/>
      <c r="Y728" s="9"/>
      <c r="AA728" s="16"/>
      <c r="AK728" s="16"/>
      <c r="AL728" s="17"/>
      <c r="AN728" s="16"/>
    </row>
    <row r="729" spans="9:40" x14ac:dyDescent="0.4">
      <c r="I729" s="11"/>
      <c r="J729" s="9"/>
      <c r="K729" s="9"/>
      <c r="O729" s="11"/>
      <c r="P729" s="9"/>
      <c r="Q729" s="9"/>
      <c r="R729" s="9"/>
      <c r="S729" s="9"/>
      <c r="T729" s="31"/>
      <c r="W729" s="16"/>
      <c r="X729" s="9"/>
      <c r="Y729" s="9"/>
      <c r="AA729" s="16"/>
      <c r="AK729" s="16"/>
      <c r="AL729" s="17"/>
      <c r="AN729" s="16"/>
    </row>
    <row r="730" spans="9:40" x14ac:dyDescent="0.4">
      <c r="I730" s="11"/>
      <c r="J730" s="9"/>
      <c r="K730" s="9"/>
      <c r="O730" s="11"/>
      <c r="P730" s="9"/>
      <c r="Q730" s="9"/>
      <c r="R730" s="9"/>
      <c r="S730" s="9"/>
      <c r="T730" s="31"/>
      <c r="W730" s="16"/>
      <c r="X730" s="9"/>
      <c r="Y730" s="9"/>
      <c r="AA730" s="16"/>
      <c r="AK730" s="16"/>
      <c r="AL730" s="17"/>
      <c r="AN730" s="16"/>
    </row>
    <row r="731" spans="9:40" x14ac:dyDescent="0.4">
      <c r="I731" s="11"/>
      <c r="J731" s="9"/>
      <c r="K731" s="9"/>
      <c r="O731" s="11"/>
      <c r="P731" s="9"/>
      <c r="Q731" s="9"/>
      <c r="R731" s="9"/>
      <c r="S731" s="9"/>
      <c r="T731" s="31"/>
      <c r="W731" s="16"/>
      <c r="X731" s="9"/>
      <c r="Y731" s="9"/>
      <c r="AA731" s="16"/>
      <c r="AK731" s="16"/>
      <c r="AL731" s="17"/>
      <c r="AN731" s="16"/>
    </row>
    <row r="732" spans="9:40" x14ac:dyDescent="0.4">
      <c r="I732" s="11"/>
      <c r="J732" s="9"/>
      <c r="K732" s="9"/>
      <c r="O732" s="11"/>
      <c r="P732" s="9"/>
      <c r="Q732" s="9"/>
      <c r="R732" s="9"/>
      <c r="S732" s="9"/>
      <c r="T732" s="31"/>
      <c r="W732" s="16"/>
      <c r="X732" s="9"/>
      <c r="Y732" s="9"/>
      <c r="AA732" s="16"/>
      <c r="AK732" s="16"/>
      <c r="AL732" s="17"/>
      <c r="AN732" s="16"/>
    </row>
    <row r="733" spans="9:40" x14ac:dyDescent="0.4">
      <c r="I733" s="11"/>
      <c r="J733" s="9"/>
      <c r="K733" s="9"/>
      <c r="O733" s="11"/>
      <c r="P733" s="9"/>
      <c r="Q733" s="9"/>
      <c r="R733" s="9"/>
      <c r="S733" s="9"/>
      <c r="T733" s="31"/>
      <c r="W733" s="16"/>
      <c r="X733" s="9"/>
      <c r="Y733" s="9"/>
      <c r="AA733" s="16"/>
      <c r="AK733" s="16"/>
      <c r="AL733" s="17"/>
      <c r="AN733" s="16"/>
    </row>
    <row r="734" spans="9:40" x14ac:dyDescent="0.4">
      <c r="I734" s="11"/>
      <c r="J734" s="9"/>
      <c r="K734" s="9"/>
      <c r="O734" s="11"/>
      <c r="P734" s="9"/>
      <c r="Q734" s="9"/>
      <c r="R734" s="9"/>
      <c r="S734" s="9"/>
      <c r="T734" s="31"/>
      <c r="W734" s="16"/>
      <c r="X734" s="9"/>
      <c r="Y734" s="9"/>
      <c r="AA734" s="16"/>
      <c r="AK734" s="16"/>
      <c r="AL734" s="17"/>
      <c r="AN734" s="16"/>
    </row>
    <row r="735" spans="9:40" x14ac:dyDescent="0.4">
      <c r="I735" s="11"/>
      <c r="J735" s="9"/>
      <c r="K735" s="9"/>
      <c r="O735" s="11"/>
      <c r="P735" s="9"/>
      <c r="Q735" s="9"/>
      <c r="R735" s="9"/>
      <c r="S735" s="9"/>
      <c r="T735" s="31"/>
      <c r="W735" s="16"/>
      <c r="X735" s="9"/>
      <c r="Y735" s="9"/>
      <c r="AA735" s="16"/>
      <c r="AK735" s="16"/>
      <c r="AL735" s="17"/>
      <c r="AN735" s="16"/>
    </row>
    <row r="736" spans="9:40" x14ac:dyDescent="0.4">
      <c r="I736" s="11"/>
      <c r="J736" s="9"/>
      <c r="K736" s="9"/>
      <c r="O736" s="11"/>
      <c r="P736" s="9"/>
      <c r="Q736" s="9"/>
      <c r="R736" s="9"/>
      <c r="S736" s="9"/>
      <c r="T736" s="31"/>
      <c r="W736" s="16"/>
      <c r="X736" s="9"/>
      <c r="Y736" s="9"/>
      <c r="AA736" s="16"/>
      <c r="AK736" s="16"/>
      <c r="AL736" s="17"/>
      <c r="AN736" s="16"/>
    </row>
    <row r="737" spans="9:40" x14ac:dyDescent="0.4">
      <c r="I737" s="11"/>
      <c r="J737" s="9"/>
      <c r="K737" s="9"/>
      <c r="O737" s="11"/>
      <c r="P737" s="9"/>
      <c r="Q737" s="9"/>
      <c r="R737" s="9"/>
      <c r="S737" s="9"/>
      <c r="T737" s="31"/>
      <c r="W737" s="16"/>
      <c r="X737" s="9"/>
      <c r="Y737" s="9"/>
      <c r="AA737" s="16"/>
      <c r="AK737" s="16"/>
      <c r="AL737" s="17"/>
      <c r="AN737" s="16"/>
    </row>
    <row r="738" spans="9:40" x14ac:dyDescent="0.4">
      <c r="I738" s="11"/>
      <c r="J738" s="9"/>
      <c r="K738" s="9"/>
      <c r="O738" s="11"/>
      <c r="P738" s="9"/>
      <c r="Q738" s="9"/>
      <c r="R738" s="9"/>
      <c r="S738" s="9"/>
      <c r="T738" s="31"/>
      <c r="W738" s="16"/>
      <c r="X738" s="9"/>
      <c r="Y738" s="9"/>
      <c r="AA738" s="16"/>
      <c r="AK738" s="16"/>
      <c r="AL738" s="17"/>
      <c r="AN738" s="16"/>
    </row>
    <row r="739" spans="9:40" x14ac:dyDescent="0.4">
      <c r="I739" s="11"/>
      <c r="J739" s="9"/>
      <c r="K739" s="9"/>
      <c r="O739" s="11"/>
      <c r="P739" s="9"/>
      <c r="Q739" s="9"/>
      <c r="R739" s="9"/>
      <c r="S739" s="9"/>
      <c r="T739" s="31"/>
      <c r="W739" s="16"/>
      <c r="X739" s="9"/>
      <c r="Y739" s="9"/>
      <c r="AA739" s="16"/>
      <c r="AK739" s="16"/>
      <c r="AL739" s="17"/>
      <c r="AN739" s="16"/>
    </row>
    <row r="740" spans="9:40" x14ac:dyDescent="0.4">
      <c r="I740" s="11"/>
      <c r="J740" s="9"/>
      <c r="K740" s="9"/>
      <c r="O740" s="11"/>
      <c r="P740" s="9"/>
      <c r="Q740" s="9"/>
      <c r="R740" s="9"/>
      <c r="S740" s="9"/>
      <c r="T740" s="31"/>
      <c r="W740" s="16"/>
      <c r="X740" s="9"/>
      <c r="Y740" s="9"/>
      <c r="AA740" s="16"/>
      <c r="AK740" s="16"/>
      <c r="AL740" s="17"/>
      <c r="AN740" s="16"/>
    </row>
    <row r="741" spans="9:40" x14ac:dyDescent="0.4">
      <c r="I741" s="11"/>
      <c r="J741" s="9"/>
      <c r="K741" s="9"/>
      <c r="O741" s="11"/>
      <c r="P741" s="9"/>
      <c r="Q741" s="9"/>
      <c r="R741" s="9"/>
      <c r="S741" s="9"/>
      <c r="T741" s="31"/>
      <c r="W741" s="16"/>
      <c r="X741" s="9"/>
      <c r="Y741" s="9"/>
      <c r="AA741" s="16"/>
      <c r="AK741" s="16"/>
      <c r="AL741" s="17"/>
      <c r="AN741" s="16"/>
    </row>
    <row r="742" spans="9:40" x14ac:dyDescent="0.4">
      <c r="I742" s="11"/>
      <c r="J742" s="9"/>
      <c r="K742" s="9"/>
      <c r="O742" s="11"/>
      <c r="P742" s="9"/>
      <c r="Q742" s="9"/>
      <c r="R742" s="9"/>
      <c r="S742" s="9"/>
      <c r="T742" s="31"/>
      <c r="W742" s="16"/>
      <c r="X742" s="9"/>
      <c r="Y742" s="9"/>
      <c r="AA742" s="16"/>
      <c r="AK742" s="16"/>
      <c r="AL742" s="17"/>
      <c r="AN742" s="16"/>
    </row>
    <row r="743" spans="9:40" x14ac:dyDescent="0.4">
      <c r="I743" s="11"/>
      <c r="J743" s="9"/>
      <c r="K743" s="9"/>
      <c r="O743" s="11"/>
      <c r="P743" s="9"/>
      <c r="Q743" s="9"/>
      <c r="R743" s="9"/>
      <c r="S743" s="9"/>
      <c r="T743" s="31"/>
      <c r="W743" s="16"/>
      <c r="X743" s="9"/>
      <c r="Y743" s="9"/>
      <c r="AA743" s="16"/>
      <c r="AK743" s="16"/>
      <c r="AL743" s="17"/>
      <c r="AN743" s="16"/>
    </row>
    <row r="744" spans="9:40" x14ac:dyDescent="0.4">
      <c r="I744" s="11"/>
      <c r="J744" s="9"/>
      <c r="K744" s="9"/>
      <c r="O744" s="11"/>
      <c r="P744" s="9"/>
      <c r="Q744" s="9"/>
      <c r="R744" s="9"/>
      <c r="S744" s="9"/>
      <c r="T744" s="31"/>
      <c r="W744" s="16"/>
      <c r="X744" s="9"/>
      <c r="Y744" s="9"/>
      <c r="AA744" s="16"/>
      <c r="AK744" s="16"/>
      <c r="AL744" s="17"/>
      <c r="AN744" s="16"/>
    </row>
    <row r="745" spans="9:40" x14ac:dyDescent="0.4">
      <c r="I745" s="11"/>
      <c r="J745" s="9"/>
      <c r="K745" s="9"/>
      <c r="O745" s="11"/>
      <c r="P745" s="9"/>
      <c r="Q745" s="9"/>
      <c r="R745" s="9"/>
      <c r="S745" s="9"/>
      <c r="T745" s="31"/>
      <c r="W745" s="16"/>
      <c r="X745" s="9"/>
      <c r="Y745" s="9"/>
      <c r="AA745" s="16"/>
      <c r="AK745" s="16"/>
      <c r="AL745" s="17"/>
      <c r="AN745" s="16"/>
    </row>
    <row r="746" spans="9:40" x14ac:dyDescent="0.4">
      <c r="I746" s="11"/>
      <c r="J746" s="9"/>
      <c r="K746" s="9"/>
      <c r="O746" s="11"/>
      <c r="P746" s="9"/>
      <c r="Q746" s="9"/>
      <c r="R746" s="9"/>
      <c r="S746" s="9"/>
      <c r="T746" s="31"/>
      <c r="W746" s="16"/>
      <c r="X746" s="9"/>
      <c r="Y746" s="9"/>
      <c r="AA746" s="16"/>
      <c r="AK746" s="16"/>
      <c r="AL746" s="17"/>
      <c r="AN746" s="16"/>
    </row>
    <row r="747" spans="9:40" x14ac:dyDescent="0.4">
      <c r="I747" s="11"/>
      <c r="J747" s="9"/>
      <c r="K747" s="9"/>
      <c r="O747" s="11"/>
      <c r="P747" s="9"/>
      <c r="Q747" s="9"/>
      <c r="R747" s="9"/>
      <c r="S747" s="9"/>
      <c r="T747" s="31"/>
      <c r="W747" s="16"/>
      <c r="X747" s="9"/>
      <c r="Y747" s="9"/>
      <c r="AA747" s="16"/>
      <c r="AK747" s="16"/>
      <c r="AL747" s="17"/>
      <c r="AN747" s="16"/>
    </row>
    <row r="748" spans="9:40" x14ac:dyDescent="0.4">
      <c r="I748" s="11"/>
      <c r="J748" s="9"/>
      <c r="K748" s="9"/>
      <c r="O748" s="11"/>
      <c r="P748" s="9"/>
      <c r="Q748" s="9"/>
      <c r="R748" s="9"/>
      <c r="S748" s="9"/>
      <c r="T748" s="31"/>
      <c r="W748" s="16"/>
      <c r="X748" s="9"/>
      <c r="Y748" s="9"/>
      <c r="AA748" s="16"/>
      <c r="AK748" s="16"/>
      <c r="AL748" s="17"/>
      <c r="AN748" s="16"/>
    </row>
    <row r="749" spans="9:40" x14ac:dyDescent="0.4">
      <c r="I749" s="11"/>
      <c r="J749" s="9"/>
      <c r="K749" s="9"/>
      <c r="O749" s="11"/>
      <c r="P749" s="9"/>
      <c r="Q749" s="9"/>
      <c r="R749" s="9"/>
      <c r="S749" s="9"/>
      <c r="T749" s="31"/>
      <c r="W749" s="16"/>
      <c r="X749" s="9"/>
      <c r="Y749" s="9"/>
      <c r="AA749" s="16"/>
      <c r="AK749" s="16"/>
      <c r="AL749" s="17"/>
      <c r="AN749" s="16"/>
    </row>
    <row r="750" spans="9:40" x14ac:dyDescent="0.4">
      <c r="I750" s="11"/>
      <c r="J750" s="9"/>
      <c r="K750" s="9"/>
      <c r="O750" s="11"/>
      <c r="P750" s="9"/>
      <c r="Q750" s="9"/>
      <c r="R750" s="9"/>
      <c r="S750" s="9"/>
      <c r="T750" s="31"/>
      <c r="W750" s="16"/>
      <c r="X750" s="9"/>
      <c r="Y750" s="9"/>
      <c r="AA750" s="16"/>
      <c r="AK750" s="16"/>
      <c r="AL750" s="17"/>
      <c r="AN750" s="16"/>
    </row>
    <row r="751" spans="9:40" x14ac:dyDescent="0.4">
      <c r="I751" s="11"/>
      <c r="J751" s="9"/>
      <c r="K751" s="9"/>
      <c r="O751" s="11"/>
      <c r="P751" s="9"/>
      <c r="Q751" s="9"/>
      <c r="R751" s="9"/>
      <c r="S751" s="9"/>
      <c r="T751" s="31"/>
      <c r="W751" s="16"/>
      <c r="X751" s="9"/>
      <c r="Y751" s="9"/>
      <c r="AA751" s="16"/>
      <c r="AK751" s="16"/>
      <c r="AL751" s="17"/>
      <c r="AN751" s="16"/>
    </row>
    <row r="752" spans="9:40" x14ac:dyDescent="0.4">
      <c r="I752" s="11"/>
      <c r="J752" s="9"/>
      <c r="K752" s="9"/>
      <c r="O752" s="11"/>
      <c r="P752" s="9"/>
      <c r="Q752" s="9"/>
      <c r="R752" s="9"/>
      <c r="S752" s="9"/>
      <c r="T752" s="31"/>
      <c r="W752" s="16"/>
      <c r="X752" s="9"/>
      <c r="Y752" s="9"/>
      <c r="AA752" s="16"/>
      <c r="AK752" s="16"/>
      <c r="AL752" s="17"/>
      <c r="AN752" s="16"/>
    </row>
    <row r="753" spans="9:40" x14ac:dyDescent="0.4">
      <c r="I753" s="11"/>
      <c r="J753" s="9"/>
      <c r="K753" s="9"/>
      <c r="O753" s="11"/>
      <c r="P753" s="9"/>
      <c r="Q753" s="9"/>
      <c r="R753" s="9"/>
      <c r="S753" s="9"/>
      <c r="T753" s="31"/>
      <c r="W753" s="16"/>
      <c r="X753" s="9"/>
      <c r="Y753" s="9"/>
      <c r="AA753" s="16"/>
      <c r="AK753" s="16"/>
      <c r="AL753" s="17"/>
      <c r="AN753" s="16"/>
    </row>
    <row r="754" spans="9:40" x14ac:dyDescent="0.4">
      <c r="I754" s="11"/>
      <c r="J754" s="9"/>
      <c r="K754" s="9"/>
      <c r="O754" s="11"/>
      <c r="P754" s="9"/>
      <c r="Q754" s="9"/>
      <c r="R754" s="9"/>
      <c r="S754" s="9"/>
      <c r="T754" s="31"/>
      <c r="W754" s="16"/>
      <c r="X754" s="9"/>
      <c r="Y754" s="9"/>
      <c r="AA754" s="16"/>
      <c r="AK754" s="16"/>
      <c r="AL754" s="17"/>
      <c r="AN754" s="16"/>
    </row>
    <row r="755" spans="9:40" x14ac:dyDescent="0.4">
      <c r="I755" s="11"/>
      <c r="J755" s="9"/>
      <c r="K755" s="9"/>
      <c r="O755" s="11"/>
      <c r="P755" s="9"/>
      <c r="Q755" s="9"/>
      <c r="R755" s="9"/>
      <c r="S755" s="9"/>
      <c r="T755" s="31"/>
      <c r="W755" s="16"/>
      <c r="X755" s="9"/>
      <c r="Y755" s="9"/>
      <c r="AA755" s="16"/>
      <c r="AK755" s="16"/>
      <c r="AL755" s="17"/>
      <c r="AN755" s="16"/>
    </row>
    <row r="756" spans="9:40" x14ac:dyDescent="0.4">
      <c r="I756" s="11"/>
      <c r="J756" s="9"/>
      <c r="K756" s="9"/>
      <c r="O756" s="11"/>
      <c r="P756" s="9"/>
      <c r="Q756" s="9"/>
      <c r="R756" s="9"/>
      <c r="S756" s="9"/>
      <c r="T756" s="31"/>
      <c r="W756" s="16"/>
      <c r="X756" s="9"/>
      <c r="Y756" s="9"/>
      <c r="AA756" s="16"/>
      <c r="AK756" s="16"/>
      <c r="AL756" s="17"/>
      <c r="AN756" s="16"/>
    </row>
    <row r="757" spans="9:40" x14ac:dyDescent="0.4">
      <c r="I757" s="11"/>
      <c r="J757" s="9"/>
      <c r="K757" s="9"/>
      <c r="O757" s="11"/>
      <c r="P757" s="9"/>
      <c r="Q757" s="9"/>
      <c r="R757" s="9"/>
      <c r="S757" s="9"/>
      <c r="T757" s="31"/>
      <c r="W757" s="16"/>
      <c r="X757" s="9"/>
      <c r="Y757" s="9"/>
      <c r="AA757" s="16"/>
      <c r="AK757" s="16"/>
      <c r="AL757" s="17"/>
      <c r="AN757" s="16"/>
    </row>
    <row r="758" spans="9:40" x14ac:dyDescent="0.4">
      <c r="I758" s="11"/>
      <c r="J758" s="9"/>
      <c r="K758" s="9"/>
      <c r="O758" s="11"/>
      <c r="P758" s="9"/>
      <c r="Q758" s="9"/>
      <c r="R758" s="9"/>
      <c r="S758" s="9"/>
      <c r="T758" s="31"/>
      <c r="W758" s="16"/>
      <c r="X758" s="9"/>
      <c r="Y758" s="9"/>
      <c r="AA758" s="16"/>
      <c r="AK758" s="16"/>
      <c r="AL758" s="17"/>
      <c r="AN758" s="16"/>
    </row>
    <row r="759" spans="9:40" x14ac:dyDescent="0.4">
      <c r="I759" s="11"/>
      <c r="J759" s="9"/>
      <c r="K759" s="9"/>
      <c r="O759" s="11"/>
      <c r="P759" s="9"/>
      <c r="Q759" s="9"/>
      <c r="R759" s="9"/>
      <c r="S759" s="9"/>
      <c r="T759" s="31"/>
      <c r="W759" s="16"/>
      <c r="X759" s="9"/>
      <c r="Y759" s="9"/>
      <c r="AA759" s="16"/>
      <c r="AK759" s="16"/>
      <c r="AL759" s="17"/>
      <c r="AN759" s="16"/>
    </row>
    <row r="760" spans="9:40" x14ac:dyDescent="0.4">
      <c r="I760" s="11"/>
      <c r="J760" s="9"/>
      <c r="K760" s="9"/>
      <c r="O760" s="11"/>
      <c r="P760" s="9"/>
      <c r="Q760" s="9"/>
      <c r="R760" s="9"/>
      <c r="S760" s="9"/>
      <c r="T760" s="31"/>
      <c r="W760" s="16"/>
      <c r="X760" s="9"/>
      <c r="Y760" s="9"/>
      <c r="AA760" s="16"/>
      <c r="AK760" s="16"/>
      <c r="AL760" s="17"/>
      <c r="AN760" s="16"/>
    </row>
    <row r="761" spans="9:40" x14ac:dyDescent="0.4">
      <c r="I761" s="11"/>
      <c r="J761" s="9"/>
      <c r="K761" s="9"/>
      <c r="O761" s="11"/>
      <c r="P761" s="9"/>
      <c r="Q761" s="9"/>
      <c r="R761" s="9"/>
      <c r="S761" s="9"/>
      <c r="T761" s="31"/>
      <c r="W761" s="16"/>
      <c r="X761" s="9"/>
      <c r="Y761" s="9"/>
      <c r="AA761" s="16"/>
      <c r="AK761" s="16"/>
      <c r="AL761" s="17"/>
      <c r="AN761" s="16"/>
    </row>
    <row r="762" spans="9:40" x14ac:dyDescent="0.4">
      <c r="I762" s="11"/>
      <c r="J762" s="9"/>
      <c r="K762" s="9"/>
      <c r="O762" s="11"/>
      <c r="P762" s="9"/>
      <c r="Q762" s="9"/>
      <c r="R762" s="9"/>
      <c r="S762" s="9"/>
      <c r="T762" s="31"/>
      <c r="W762" s="16"/>
      <c r="X762" s="9"/>
      <c r="Y762" s="9"/>
      <c r="AA762" s="16"/>
      <c r="AK762" s="16"/>
      <c r="AL762" s="17"/>
      <c r="AN762" s="16"/>
    </row>
    <row r="763" spans="9:40" x14ac:dyDescent="0.4">
      <c r="I763" s="11"/>
      <c r="J763" s="9"/>
      <c r="K763" s="9"/>
      <c r="O763" s="11"/>
      <c r="P763" s="9"/>
      <c r="Q763" s="9"/>
      <c r="R763" s="9"/>
      <c r="S763" s="9"/>
      <c r="T763" s="31"/>
      <c r="W763" s="16"/>
      <c r="X763" s="9"/>
      <c r="Y763" s="9"/>
      <c r="AA763" s="16"/>
      <c r="AK763" s="16"/>
      <c r="AL763" s="17"/>
      <c r="AN763" s="16"/>
    </row>
    <row r="764" spans="9:40" x14ac:dyDescent="0.4">
      <c r="I764" s="11"/>
      <c r="J764" s="9"/>
      <c r="K764" s="9"/>
      <c r="O764" s="11"/>
      <c r="P764" s="9"/>
      <c r="Q764" s="9"/>
      <c r="R764" s="9"/>
      <c r="S764" s="9"/>
      <c r="T764" s="31"/>
      <c r="W764" s="16"/>
      <c r="X764" s="9"/>
      <c r="Y764" s="9"/>
      <c r="AA764" s="16"/>
      <c r="AK764" s="16"/>
      <c r="AL764" s="17"/>
      <c r="AN764" s="16"/>
    </row>
    <row r="765" spans="9:40" x14ac:dyDescent="0.4">
      <c r="I765" s="11"/>
      <c r="J765" s="9"/>
      <c r="K765" s="9"/>
      <c r="O765" s="11"/>
      <c r="P765" s="9"/>
      <c r="Q765" s="9"/>
      <c r="R765" s="9"/>
      <c r="S765" s="9"/>
      <c r="T765" s="31"/>
      <c r="W765" s="16"/>
      <c r="X765" s="9"/>
      <c r="Y765" s="9"/>
      <c r="AA765" s="16"/>
      <c r="AK765" s="16"/>
      <c r="AL765" s="17"/>
      <c r="AN765" s="16"/>
    </row>
    <row r="766" spans="9:40" x14ac:dyDescent="0.4">
      <c r="I766" s="11"/>
      <c r="J766" s="9"/>
      <c r="K766" s="9"/>
      <c r="O766" s="11"/>
      <c r="P766" s="9"/>
      <c r="Q766" s="9"/>
      <c r="R766" s="9"/>
      <c r="S766" s="9"/>
      <c r="T766" s="31"/>
      <c r="W766" s="16"/>
      <c r="X766" s="9"/>
      <c r="Y766" s="9"/>
      <c r="AA766" s="16"/>
      <c r="AK766" s="16"/>
      <c r="AL766" s="17"/>
      <c r="AN766" s="16"/>
    </row>
    <row r="767" spans="9:40" x14ac:dyDescent="0.4">
      <c r="I767" s="11"/>
      <c r="J767" s="9"/>
      <c r="K767" s="9"/>
      <c r="O767" s="11"/>
      <c r="P767" s="9"/>
      <c r="Q767" s="9"/>
      <c r="R767" s="9"/>
      <c r="S767" s="9"/>
      <c r="T767" s="31"/>
      <c r="W767" s="16"/>
      <c r="X767" s="9"/>
      <c r="Y767" s="9"/>
      <c r="AA767" s="16"/>
      <c r="AK767" s="16"/>
      <c r="AL767" s="17"/>
      <c r="AN767" s="16"/>
    </row>
    <row r="768" spans="9:40" x14ac:dyDescent="0.4">
      <c r="I768" s="11"/>
      <c r="J768" s="9"/>
      <c r="K768" s="9"/>
      <c r="O768" s="11"/>
      <c r="P768" s="9"/>
      <c r="Q768" s="9"/>
      <c r="R768" s="9"/>
      <c r="S768" s="9"/>
      <c r="T768" s="31"/>
      <c r="W768" s="16"/>
      <c r="X768" s="9"/>
      <c r="Y768" s="9"/>
      <c r="AA768" s="16"/>
      <c r="AK768" s="16"/>
      <c r="AL768" s="17"/>
      <c r="AN768" s="16"/>
    </row>
    <row r="769" spans="9:40" x14ac:dyDescent="0.4">
      <c r="I769" s="11"/>
      <c r="J769" s="9"/>
      <c r="K769" s="9"/>
      <c r="O769" s="11"/>
      <c r="P769" s="9"/>
      <c r="Q769" s="9"/>
      <c r="R769" s="9"/>
      <c r="S769" s="9"/>
      <c r="T769" s="31"/>
      <c r="W769" s="16"/>
      <c r="X769" s="9"/>
      <c r="Y769" s="9"/>
      <c r="AA769" s="16"/>
      <c r="AK769" s="16"/>
      <c r="AL769" s="17"/>
      <c r="AN769" s="16"/>
    </row>
    <row r="770" spans="9:40" x14ac:dyDescent="0.4">
      <c r="I770" s="11"/>
      <c r="J770" s="9"/>
      <c r="K770" s="9"/>
      <c r="O770" s="11"/>
      <c r="P770" s="9"/>
      <c r="Q770" s="9"/>
      <c r="R770" s="9"/>
      <c r="S770" s="9"/>
      <c r="T770" s="31"/>
      <c r="W770" s="16"/>
      <c r="X770" s="9"/>
      <c r="Y770" s="9"/>
      <c r="AA770" s="16"/>
      <c r="AK770" s="16"/>
      <c r="AL770" s="17"/>
      <c r="AN770" s="16"/>
    </row>
    <row r="771" spans="9:40" x14ac:dyDescent="0.4">
      <c r="I771" s="11"/>
      <c r="J771" s="9"/>
      <c r="K771" s="9"/>
      <c r="O771" s="11"/>
      <c r="P771" s="9"/>
      <c r="Q771" s="9"/>
      <c r="R771" s="9"/>
      <c r="S771" s="9"/>
      <c r="T771" s="31"/>
      <c r="W771" s="16"/>
      <c r="X771" s="9"/>
      <c r="Y771" s="9"/>
      <c r="AA771" s="16"/>
      <c r="AK771" s="16"/>
      <c r="AL771" s="17"/>
      <c r="AN771" s="16"/>
    </row>
    <row r="772" spans="9:40" x14ac:dyDescent="0.4">
      <c r="I772" s="11"/>
      <c r="J772" s="9"/>
      <c r="K772" s="9"/>
      <c r="O772" s="11"/>
      <c r="P772" s="9"/>
      <c r="Q772" s="9"/>
      <c r="R772" s="9"/>
      <c r="S772" s="9"/>
      <c r="T772" s="31"/>
      <c r="W772" s="16"/>
      <c r="X772" s="9"/>
      <c r="Y772" s="9"/>
      <c r="AA772" s="16"/>
      <c r="AK772" s="16"/>
      <c r="AL772" s="17"/>
      <c r="AN772" s="16"/>
    </row>
    <row r="773" spans="9:40" x14ac:dyDescent="0.4">
      <c r="I773" s="11"/>
      <c r="J773" s="9"/>
      <c r="K773" s="9"/>
      <c r="O773" s="11"/>
      <c r="P773" s="9"/>
      <c r="Q773" s="9"/>
      <c r="R773" s="9"/>
      <c r="S773" s="9"/>
      <c r="T773" s="31"/>
      <c r="W773" s="16"/>
      <c r="X773" s="9"/>
      <c r="Y773" s="9"/>
      <c r="AA773" s="16"/>
      <c r="AK773" s="16"/>
      <c r="AL773" s="17"/>
      <c r="AN773" s="16"/>
    </row>
    <row r="774" spans="9:40" x14ac:dyDescent="0.4">
      <c r="I774" s="11"/>
      <c r="J774" s="9"/>
      <c r="K774" s="9"/>
      <c r="O774" s="11"/>
      <c r="P774" s="9"/>
      <c r="Q774" s="9"/>
      <c r="R774" s="9"/>
      <c r="S774" s="9"/>
      <c r="T774" s="31"/>
      <c r="W774" s="16"/>
      <c r="X774" s="9"/>
      <c r="Y774" s="9"/>
      <c r="AA774" s="16"/>
      <c r="AK774" s="16"/>
      <c r="AL774" s="17"/>
      <c r="AN774" s="16"/>
    </row>
    <row r="775" spans="9:40" x14ac:dyDescent="0.4">
      <c r="I775" s="11"/>
      <c r="J775" s="9"/>
      <c r="K775" s="9"/>
      <c r="O775" s="11"/>
      <c r="P775" s="9"/>
      <c r="Q775" s="9"/>
      <c r="R775" s="9"/>
      <c r="S775" s="9"/>
      <c r="T775" s="31"/>
      <c r="W775" s="16"/>
      <c r="X775" s="9"/>
      <c r="Y775" s="9"/>
      <c r="AA775" s="16"/>
      <c r="AK775" s="16"/>
      <c r="AL775" s="17"/>
      <c r="AN775" s="16"/>
    </row>
    <row r="776" spans="9:40" x14ac:dyDescent="0.4">
      <c r="I776" s="11"/>
      <c r="J776" s="9"/>
      <c r="K776" s="9"/>
      <c r="O776" s="11"/>
      <c r="P776" s="9"/>
      <c r="Q776" s="9"/>
      <c r="R776" s="9"/>
      <c r="S776" s="9"/>
      <c r="T776" s="31"/>
      <c r="W776" s="16"/>
      <c r="X776" s="9"/>
      <c r="Y776" s="9"/>
      <c r="AA776" s="16"/>
      <c r="AK776" s="16"/>
      <c r="AL776" s="17"/>
      <c r="AN776" s="16"/>
    </row>
    <row r="777" spans="9:40" x14ac:dyDescent="0.4">
      <c r="I777" s="11"/>
      <c r="J777" s="9"/>
      <c r="K777" s="9"/>
      <c r="O777" s="11"/>
      <c r="P777" s="9"/>
      <c r="Q777" s="9"/>
      <c r="R777" s="9"/>
      <c r="S777" s="9"/>
      <c r="T777" s="31"/>
      <c r="W777" s="16"/>
      <c r="X777" s="9"/>
      <c r="Y777" s="9"/>
      <c r="AA777" s="16"/>
      <c r="AK777" s="16"/>
      <c r="AL777" s="17"/>
      <c r="AN777" s="16"/>
    </row>
    <row r="778" spans="9:40" x14ac:dyDescent="0.4">
      <c r="I778" s="11"/>
      <c r="J778" s="9"/>
      <c r="K778" s="9"/>
      <c r="O778" s="11"/>
      <c r="P778" s="9"/>
      <c r="Q778" s="9"/>
      <c r="R778" s="9"/>
      <c r="S778" s="9"/>
      <c r="T778" s="31"/>
      <c r="W778" s="16"/>
      <c r="X778" s="9"/>
      <c r="Y778" s="9"/>
      <c r="AA778" s="16"/>
      <c r="AK778" s="16"/>
      <c r="AL778" s="17"/>
      <c r="AN778" s="16"/>
    </row>
    <row r="779" spans="9:40" x14ac:dyDescent="0.4">
      <c r="I779" s="11"/>
      <c r="J779" s="9"/>
      <c r="K779" s="9"/>
      <c r="O779" s="11"/>
      <c r="P779" s="9"/>
      <c r="Q779" s="9"/>
      <c r="R779" s="9"/>
      <c r="S779" s="9"/>
      <c r="T779" s="31"/>
      <c r="W779" s="16"/>
      <c r="X779" s="9"/>
      <c r="Y779" s="9"/>
      <c r="AA779" s="16"/>
      <c r="AK779" s="16"/>
      <c r="AL779" s="17"/>
      <c r="AN779" s="16"/>
    </row>
    <row r="780" spans="9:40" x14ac:dyDescent="0.4">
      <c r="I780" s="11"/>
      <c r="J780" s="9"/>
      <c r="K780" s="9"/>
      <c r="O780" s="11"/>
      <c r="P780" s="9"/>
      <c r="Q780" s="9"/>
      <c r="R780" s="9"/>
      <c r="S780" s="9"/>
      <c r="T780" s="31"/>
      <c r="W780" s="16"/>
      <c r="X780" s="9"/>
      <c r="Y780" s="9"/>
      <c r="AA780" s="16"/>
      <c r="AK780" s="16"/>
      <c r="AL780" s="17"/>
      <c r="AN780" s="16"/>
    </row>
    <row r="781" spans="9:40" x14ac:dyDescent="0.4">
      <c r="I781" s="11"/>
      <c r="J781" s="9"/>
      <c r="K781" s="9"/>
      <c r="O781" s="11"/>
      <c r="P781" s="9"/>
      <c r="Q781" s="9"/>
      <c r="R781" s="9"/>
      <c r="S781" s="9"/>
      <c r="T781" s="31"/>
      <c r="W781" s="16"/>
      <c r="X781" s="9"/>
      <c r="Y781" s="9"/>
      <c r="AA781" s="16"/>
      <c r="AK781" s="16"/>
      <c r="AL781" s="17"/>
      <c r="AN781" s="16"/>
    </row>
    <row r="782" spans="9:40" x14ac:dyDescent="0.4">
      <c r="I782" s="11"/>
      <c r="J782" s="9"/>
      <c r="K782" s="9"/>
      <c r="O782" s="11"/>
      <c r="P782" s="9"/>
      <c r="Q782" s="9"/>
      <c r="R782" s="9"/>
      <c r="S782" s="9"/>
      <c r="T782" s="31"/>
      <c r="W782" s="16"/>
      <c r="X782" s="9"/>
      <c r="Y782" s="9"/>
      <c r="AA782" s="16"/>
      <c r="AK782" s="16"/>
      <c r="AL782" s="17"/>
      <c r="AN782" s="16"/>
    </row>
    <row r="783" spans="9:40" x14ac:dyDescent="0.4">
      <c r="I783" s="11"/>
      <c r="J783" s="9"/>
      <c r="K783" s="9"/>
      <c r="O783" s="11"/>
      <c r="P783" s="9"/>
      <c r="Q783" s="9"/>
      <c r="R783" s="9"/>
      <c r="S783" s="9"/>
      <c r="T783" s="31"/>
      <c r="W783" s="16"/>
      <c r="X783" s="9"/>
      <c r="Y783" s="9"/>
      <c r="AA783" s="16"/>
      <c r="AK783" s="16"/>
      <c r="AL783" s="17"/>
      <c r="AN783" s="16"/>
    </row>
    <row r="784" spans="9:40" x14ac:dyDescent="0.4">
      <c r="I784" s="11"/>
      <c r="J784" s="9"/>
      <c r="K784" s="9"/>
      <c r="O784" s="11"/>
      <c r="P784" s="9"/>
      <c r="Q784" s="9"/>
      <c r="R784" s="9"/>
      <c r="S784" s="9"/>
      <c r="T784" s="31"/>
      <c r="W784" s="16"/>
      <c r="X784" s="9"/>
      <c r="Y784" s="9"/>
      <c r="AA784" s="16"/>
      <c r="AK784" s="16"/>
      <c r="AL784" s="17"/>
      <c r="AN784" s="16"/>
    </row>
    <row r="785" spans="9:40" x14ac:dyDescent="0.4">
      <c r="I785" s="11"/>
      <c r="J785" s="9"/>
      <c r="K785" s="9"/>
      <c r="O785" s="11"/>
      <c r="P785" s="9"/>
      <c r="Q785" s="9"/>
      <c r="R785" s="9"/>
      <c r="S785" s="9"/>
      <c r="T785" s="31"/>
      <c r="W785" s="16"/>
      <c r="X785" s="9"/>
      <c r="Y785" s="9"/>
      <c r="AA785" s="16"/>
      <c r="AK785" s="16"/>
      <c r="AL785" s="17"/>
      <c r="AN785" s="16"/>
    </row>
    <row r="786" spans="9:40" x14ac:dyDescent="0.4">
      <c r="I786" s="11"/>
      <c r="J786" s="9"/>
      <c r="K786" s="9"/>
      <c r="O786" s="11"/>
      <c r="P786" s="9"/>
      <c r="Q786" s="9"/>
      <c r="R786" s="9"/>
      <c r="S786" s="9"/>
      <c r="T786" s="31"/>
      <c r="W786" s="16"/>
      <c r="X786" s="9"/>
      <c r="Y786" s="9"/>
      <c r="AA786" s="16"/>
      <c r="AK786" s="16"/>
      <c r="AL786" s="17"/>
      <c r="AN786" s="16"/>
    </row>
    <row r="787" spans="9:40" x14ac:dyDescent="0.4">
      <c r="I787" s="11"/>
      <c r="J787" s="9"/>
      <c r="K787" s="9"/>
      <c r="O787" s="11"/>
      <c r="P787" s="9"/>
      <c r="Q787" s="9"/>
      <c r="R787" s="9"/>
      <c r="S787" s="9"/>
      <c r="T787" s="31"/>
      <c r="W787" s="16"/>
      <c r="X787" s="9"/>
      <c r="Y787" s="9"/>
      <c r="AA787" s="16"/>
      <c r="AK787" s="16"/>
      <c r="AL787" s="17"/>
      <c r="AN787" s="16"/>
    </row>
    <row r="788" spans="9:40" x14ac:dyDescent="0.4">
      <c r="I788" s="11"/>
      <c r="J788" s="9"/>
      <c r="K788" s="9"/>
      <c r="O788" s="11"/>
      <c r="P788" s="9"/>
      <c r="Q788" s="9"/>
      <c r="R788" s="9"/>
      <c r="S788" s="9"/>
      <c r="T788" s="31"/>
      <c r="W788" s="16"/>
      <c r="X788" s="9"/>
      <c r="Y788" s="9"/>
      <c r="AA788" s="16"/>
      <c r="AK788" s="16"/>
      <c r="AL788" s="17"/>
      <c r="AN788" s="16"/>
    </row>
    <row r="789" spans="9:40" x14ac:dyDescent="0.4">
      <c r="I789" s="11"/>
      <c r="J789" s="9"/>
      <c r="K789" s="9"/>
      <c r="O789" s="11"/>
      <c r="P789" s="9"/>
      <c r="Q789" s="9"/>
      <c r="R789" s="9"/>
      <c r="S789" s="9"/>
      <c r="T789" s="31"/>
      <c r="W789" s="16"/>
      <c r="X789" s="9"/>
      <c r="Y789" s="9"/>
      <c r="AA789" s="16"/>
      <c r="AK789" s="16"/>
      <c r="AL789" s="17"/>
      <c r="AN789" s="16"/>
    </row>
    <row r="790" spans="9:40" x14ac:dyDescent="0.4">
      <c r="I790" s="11"/>
      <c r="J790" s="9"/>
      <c r="K790" s="9"/>
      <c r="O790" s="11"/>
      <c r="P790" s="9"/>
      <c r="Q790" s="9"/>
      <c r="R790" s="9"/>
      <c r="S790" s="9"/>
      <c r="T790" s="31"/>
      <c r="W790" s="16"/>
      <c r="X790" s="9"/>
      <c r="Y790" s="9"/>
      <c r="AA790" s="16"/>
      <c r="AK790" s="16"/>
      <c r="AL790" s="17"/>
      <c r="AN790" s="16"/>
    </row>
    <row r="791" spans="9:40" x14ac:dyDescent="0.4">
      <c r="I791" s="11"/>
      <c r="J791" s="9"/>
      <c r="K791" s="9"/>
      <c r="O791" s="11"/>
      <c r="P791" s="9"/>
      <c r="Q791" s="9"/>
      <c r="R791" s="9"/>
      <c r="S791" s="9"/>
      <c r="T791" s="31"/>
      <c r="W791" s="16"/>
      <c r="X791" s="9"/>
      <c r="Y791" s="9"/>
      <c r="AA791" s="16"/>
      <c r="AK791" s="16"/>
      <c r="AL791" s="17"/>
      <c r="AN791" s="16"/>
    </row>
    <row r="792" spans="9:40" x14ac:dyDescent="0.4">
      <c r="I792" s="11"/>
      <c r="J792" s="9"/>
      <c r="K792" s="9"/>
      <c r="O792" s="11"/>
      <c r="P792" s="9"/>
      <c r="Q792" s="9"/>
      <c r="R792" s="9"/>
      <c r="S792" s="9"/>
      <c r="T792" s="31"/>
      <c r="W792" s="16"/>
      <c r="X792" s="9"/>
      <c r="Y792" s="9"/>
      <c r="AA792" s="16"/>
      <c r="AK792" s="16"/>
      <c r="AL792" s="17"/>
      <c r="AN792" s="16"/>
    </row>
    <row r="793" spans="9:40" x14ac:dyDescent="0.4">
      <c r="I793" s="11"/>
      <c r="J793" s="9"/>
      <c r="K793" s="9"/>
      <c r="O793" s="11"/>
      <c r="P793" s="9"/>
      <c r="Q793" s="9"/>
      <c r="R793" s="9"/>
      <c r="S793" s="9"/>
      <c r="T793" s="31"/>
      <c r="W793" s="16"/>
      <c r="X793" s="9"/>
      <c r="Y793" s="9"/>
      <c r="AA793" s="16"/>
      <c r="AK793" s="16"/>
      <c r="AL793" s="17"/>
      <c r="AN793" s="16"/>
    </row>
    <row r="794" spans="9:40" x14ac:dyDescent="0.4">
      <c r="I794" s="11"/>
      <c r="J794" s="9"/>
      <c r="K794" s="9"/>
      <c r="O794" s="11"/>
      <c r="P794" s="9"/>
      <c r="Q794" s="9"/>
      <c r="R794" s="9"/>
      <c r="S794" s="9"/>
      <c r="T794" s="31"/>
      <c r="W794" s="16"/>
      <c r="X794" s="9"/>
      <c r="Y794" s="9"/>
      <c r="AA794" s="16"/>
      <c r="AK794" s="16"/>
      <c r="AL794" s="17"/>
      <c r="AN794" s="16"/>
    </row>
    <row r="795" spans="9:40" x14ac:dyDescent="0.4">
      <c r="I795" s="11"/>
      <c r="J795" s="9"/>
      <c r="K795" s="9"/>
      <c r="O795" s="11"/>
      <c r="P795" s="9"/>
      <c r="Q795" s="9"/>
      <c r="R795" s="9"/>
      <c r="S795" s="9"/>
      <c r="T795" s="31"/>
      <c r="W795" s="16"/>
      <c r="X795" s="9"/>
      <c r="Y795" s="9"/>
      <c r="AA795" s="16"/>
      <c r="AK795" s="16"/>
      <c r="AL795" s="17"/>
      <c r="AN795" s="16"/>
    </row>
    <row r="796" spans="9:40" x14ac:dyDescent="0.4">
      <c r="I796" s="11"/>
      <c r="J796" s="9"/>
      <c r="K796" s="9"/>
      <c r="O796" s="11"/>
      <c r="P796" s="9"/>
      <c r="Q796" s="9"/>
      <c r="R796" s="9"/>
      <c r="S796" s="9"/>
      <c r="T796" s="31"/>
      <c r="W796" s="16"/>
      <c r="X796" s="9"/>
      <c r="Y796" s="9"/>
      <c r="AA796" s="16"/>
      <c r="AK796" s="16"/>
      <c r="AL796" s="17"/>
      <c r="AN796" s="16"/>
    </row>
    <row r="797" spans="9:40" x14ac:dyDescent="0.4">
      <c r="I797" s="11"/>
      <c r="J797" s="9"/>
      <c r="K797" s="9"/>
      <c r="O797" s="11"/>
      <c r="P797" s="9"/>
      <c r="Q797" s="9"/>
      <c r="R797" s="9"/>
      <c r="S797" s="9"/>
      <c r="T797" s="31"/>
      <c r="W797" s="16"/>
      <c r="X797" s="9"/>
      <c r="Y797" s="9"/>
      <c r="AA797" s="16"/>
      <c r="AK797" s="16"/>
      <c r="AL797" s="17"/>
      <c r="AN797" s="16"/>
    </row>
    <row r="798" spans="9:40" x14ac:dyDescent="0.4">
      <c r="I798" s="11"/>
      <c r="J798" s="9"/>
      <c r="K798" s="9"/>
      <c r="O798" s="11"/>
      <c r="P798" s="9"/>
      <c r="Q798" s="9"/>
      <c r="R798" s="9"/>
      <c r="S798" s="9"/>
      <c r="T798" s="31"/>
      <c r="W798" s="16"/>
      <c r="X798" s="9"/>
      <c r="Y798" s="9"/>
      <c r="AA798" s="16"/>
      <c r="AK798" s="16"/>
      <c r="AL798" s="17"/>
      <c r="AN798" s="16"/>
    </row>
    <row r="799" spans="9:40" x14ac:dyDescent="0.4">
      <c r="I799" s="11"/>
      <c r="J799" s="9"/>
      <c r="K799" s="9"/>
      <c r="O799" s="11"/>
      <c r="P799" s="9"/>
      <c r="Q799" s="9"/>
      <c r="R799" s="9"/>
      <c r="S799" s="9"/>
      <c r="T799" s="31"/>
      <c r="W799" s="16"/>
      <c r="X799" s="9"/>
      <c r="Y799" s="9"/>
      <c r="AA799" s="16"/>
      <c r="AK799" s="16"/>
      <c r="AL799" s="17"/>
      <c r="AN799" s="16"/>
    </row>
    <row r="800" spans="9:40" x14ac:dyDescent="0.4">
      <c r="I800" s="11"/>
      <c r="J800" s="9"/>
      <c r="K800" s="9"/>
      <c r="O800" s="11"/>
      <c r="P800" s="9"/>
      <c r="Q800" s="9"/>
      <c r="R800" s="9"/>
      <c r="S800" s="9"/>
      <c r="T800" s="31"/>
      <c r="W800" s="16"/>
      <c r="X800" s="9"/>
      <c r="Y800" s="9"/>
      <c r="AA800" s="16"/>
      <c r="AK800" s="16"/>
      <c r="AL800" s="17"/>
      <c r="AN800" s="16"/>
    </row>
    <row r="801" spans="9:40" x14ac:dyDescent="0.4">
      <c r="I801" s="11"/>
      <c r="J801" s="9"/>
      <c r="K801" s="9"/>
      <c r="O801" s="11"/>
      <c r="P801" s="9"/>
      <c r="Q801" s="9"/>
      <c r="R801" s="9"/>
      <c r="S801" s="9"/>
      <c r="T801" s="31"/>
      <c r="W801" s="16"/>
      <c r="X801" s="9"/>
      <c r="Y801" s="9"/>
      <c r="AA801" s="16"/>
      <c r="AK801" s="16"/>
      <c r="AL801" s="17"/>
      <c r="AN801" s="16"/>
    </row>
    <row r="802" spans="9:40" x14ac:dyDescent="0.4">
      <c r="I802" s="11"/>
      <c r="J802" s="9"/>
      <c r="K802" s="9"/>
      <c r="O802" s="11"/>
      <c r="P802" s="9"/>
      <c r="Q802" s="9"/>
      <c r="R802" s="9"/>
      <c r="S802" s="9"/>
      <c r="T802" s="31"/>
      <c r="W802" s="16"/>
      <c r="X802" s="9"/>
      <c r="Y802" s="9"/>
      <c r="AA802" s="16"/>
      <c r="AK802" s="16"/>
      <c r="AL802" s="17"/>
      <c r="AN802" s="16"/>
    </row>
    <row r="803" spans="9:40" x14ac:dyDescent="0.4">
      <c r="I803" s="11"/>
      <c r="J803" s="9"/>
      <c r="K803" s="9"/>
      <c r="O803" s="11"/>
      <c r="P803" s="9"/>
      <c r="Q803" s="9"/>
      <c r="R803" s="9"/>
      <c r="S803" s="9"/>
      <c r="T803" s="31"/>
      <c r="W803" s="16"/>
      <c r="X803" s="9"/>
      <c r="Y803" s="9"/>
      <c r="AA803" s="16"/>
      <c r="AK803" s="16"/>
      <c r="AL803" s="17"/>
      <c r="AN803" s="16"/>
    </row>
    <row r="804" spans="9:40" x14ac:dyDescent="0.4">
      <c r="I804" s="11"/>
      <c r="J804" s="9"/>
      <c r="K804" s="9"/>
      <c r="O804" s="11"/>
      <c r="P804" s="9"/>
      <c r="Q804" s="9"/>
      <c r="R804" s="9"/>
      <c r="S804" s="9"/>
      <c r="T804" s="31"/>
      <c r="W804" s="16"/>
      <c r="X804" s="9"/>
      <c r="Y804" s="9"/>
      <c r="AA804" s="16"/>
      <c r="AK804" s="16"/>
      <c r="AL804" s="17"/>
      <c r="AN804" s="16"/>
    </row>
    <row r="805" spans="9:40" x14ac:dyDescent="0.4">
      <c r="I805" s="11"/>
      <c r="J805" s="9"/>
      <c r="K805" s="9"/>
      <c r="O805" s="11"/>
      <c r="P805" s="9"/>
      <c r="Q805" s="9"/>
      <c r="R805" s="9"/>
      <c r="S805" s="9"/>
      <c r="T805" s="31"/>
      <c r="W805" s="16"/>
      <c r="X805" s="9"/>
      <c r="Y805" s="9"/>
      <c r="AA805" s="16"/>
      <c r="AK805" s="16"/>
      <c r="AL805" s="17"/>
      <c r="AN805" s="16"/>
    </row>
    <row r="806" spans="9:40" x14ac:dyDescent="0.4">
      <c r="I806" s="11"/>
      <c r="J806" s="9"/>
      <c r="K806" s="9"/>
      <c r="O806" s="11"/>
      <c r="P806" s="9"/>
      <c r="Q806" s="9"/>
      <c r="R806" s="9"/>
      <c r="S806" s="9"/>
      <c r="T806" s="31"/>
      <c r="W806" s="16"/>
      <c r="X806" s="9"/>
      <c r="Y806" s="9"/>
      <c r="AA806" s="16"/>
      <c r="AK806" s="16"/>
      <c r="AL806" s="17"/>
      <c r="AN806" s="16"/>
    </row>
    <row r="807" spans="9:40" x14ac:dyDescent="0.4">
      <c r="I807" s="11"/>
      <c r="J807" s="9"/>
      <c r="K807" s="9"/>
      <c r="O807" s="11"/>
      <c r="P807" s="9"/>
      <c r="Q807" s="9"/>
      <c r="R807" s="9"/>
      <c r="S807" s="9"/>
      <c r="T807" s="31"/>
      <c r="W807" s="16"/>
      <c r="X807" s="9"/>
      <c r="Y807" s="9"/>
      <c r="AA807" s="16"/>
      <c r="AK807" s="16"/>
      <c r="AL807" s="17"/>
      <c r="AN807" s="16"/>
    </row>
    <row r="808" spans="9:40" x14ac:dyDescent="0.4">
      <c r="I808" s="11"/>
      <c r="J808" s="9"/>
      <c r="K808" s="9"/>
      <c r="O808" s="11"/>
      <c r="P808" s="9"/>
      <c r="Q808" s="9"/>
      <c r="R808" s="9"/>
      <c r="S808" s="9"/>
      <c r="T808" s="31"/>
      <c r="W808" s="16"/>
      <c r="X808" s="9"/>
      <c r="Y808" s="9"/>
      <c r="AA808" s="16"/>
      <c r="AK808" s="16"/>
      <c r="AL808" s="17"/>
      <c r="AN808" s="16"/>
    </row>
    <row r="809" spans="9:40" x14ac:dyDescent="0.4">
      <c r="I809" s="11"/>
      <c r="J809" s="9"/>
      <c r="K809" s="9"/>
      <c r="O809" s="11"/>
      <c r="P809" s="9"/>
      <c r="Q809" s="9"/>
      <c r="R809" s="9"/>
      <c r="S809" s="9"/>
      <c r="T809" s="31"/>
      <c r="W809" s="16"/>
      <c r="X809" s="9"/>
      <c r="Y809" s="9"/>
      <c r="AA809" s="16"/>
      <c r="AK809" s="16"/>
      <c r="AL809" s="17"/>
      <c r="AN809" s="16"/>
    </row>
    <row r="810" spans="9:40" x14ac:dyDescent="0.4">
      <c r="I810" s="11"/>
      <c r="J810" s="9"/>
      <c r="K810" s="9"/>
      <c r="O810" s="11"/>
      <c r="P810" s="9"/>
      <c r="Q810" s="9"/>
      <c r="R810" s="9"/>
      <c r="S810" s="9"/>
      <c r="T810" s="31"/>
      <c r="W810" s="16"/>
      <c r="X810" s="9"/>
      <c r="Y810" s="9"/>
      <c r="AA810" s="16"/>
      <c r="AK810" s="16"/>
      <c r="AL810" s="17"/>
      <c r="AN810" s="16"/>
    </row>
    <row r="811" spans="9:40" x14ac:dyDescent="0.4">
      <c r="I811" s="11"/>
      <c r="J811" s="9"/>
      <c r="K811" s="9"/>
      <c r="O811" s="11"/>
      <c r="P811" s="9"/>
      <c r="Q811" s="9"/>
      <c r="R811" s="9"/>
      <c r="S811" s="9"/>
      <c r="T811" s="31"/>
      <c r="W811" s="16"/>
      <c r="X811" s="9"/>
      <c r="Y811" s="9"/>
      <c r="AA811" s="16"/>
      <c r="AK811" s="16"/>
      <c r="AL811" s="17"/>
      <c r="AN811" s="16"/>
    </row>
    <row r="812" spans="9:40" x14ac:dyDescent="0.4">
      <c r="I812" s="11"/>
      <c r="J812" s="9"/>
      <c r="K812" s="9"/>
      <c r="O812" s="11"/>
      <c r="P812" s="9"/>
      <c r="Q812" s="9"/>
      <c r="R812" s="9"/>
      <c r="S812" s="9"/>
      <c r="T812" s="31"/>
      <c r="W812" s="16"/>
      <c r="X812" s="9"/>
      <c r="Y812" s="9"/>
      <c r="AA812" s="16"/>
      <c r="AK812" s="16"/>
      <c r="AL812" s="17"/>
      <c r="AN812" s="16"/>
    </row>
    <row r="813" spans="9:40" x14ac:dyDescent="0.4">
      <c r="I813" s="11"/>
      <c r="J813" s="9"/>
      <c r="K813" s="9"/>
      <c r="O813" s="11"/>
      <c r="P813" s="9"/>
      <c r="Q813" s="9"/>
      <c r="R813" s="9"/>
      <c r="S813" s="9"/>
      <c r="T813" s="31"/>
      <c r="W813" s="16"/>
      <c r="X813" s="9"/>
      <c r="Y813" s="9"/>
      <c r="AA813" s="16"/>
      <c r="AK813" s="16"/>
      <c r="AL813" s="17"/>
      <c r="AN813" s="16"/>
    </row>
    <row r="814" spans="9:40" x14ac:dyDescent="0.4">
      <c r="I814" s="11"/>
      <c r="J814" s="9"/>
      <c r="K814" s="9"/>
      <c r="O814" s="11"/>
      <c r="P814" s="9"/>
      <c r="Q814" s="9"/>
      <c r="R814" s="9"/>
      <c r="S814" s="9"/>
      <c r="T814" s="31"/>
      <c r="W814" s="16"/>
      <c r="X814" s="9"/>
      <c r="Y814" s="9"/>
      <c r="AA814" s="16"/>
      <c r="AK814" s="16"/>
      <c r="AL814" s="17"/>
      <c r="AN814" s="16"/>
    </row>
    <row r="815" spans="9:40" x14ac:dyDescent="0.4">
      <c r="I815" s="11"/>
      <c r="J815" s="9"/>
      <c r="K815" s="9"/>
      <c r="O815" s="11"/>
      <c r="P815" s="9"/>
      <c r="Q815" s="9"/>
      <c r="R815" s="9"/>
      <c r="S815" s="9"/>
      <c r="T815" s="31"/>
      <c r="W815" s="16"/>
      <c r="X815" s="9"/>
      <c r="Y815" s="9"/>
      <c r="AA815" s="16"/>
      <c r="AK815" s="16"/>
      <c r="AL815" s="17"/>
      <c r="AN815" s="16"/>
    </row>
    <row r="816" spans="9:40" x14ac:dyDescent="0.4">
      <c r="I816" s="11"/>
      <c r="J816" s="9"/>
      <c r="K816" s="9"/>
      <c r="O816" s="11"/>
      <c r="P816" s="9"/>
      <c r="Q816" s="9"/>
      <c r="R816" s="9"/>
      <c r="S816" s="9"/>
      <c r="T816" s="31"/>
      <c r="W816" s="16"/>
      <c r="X816" s="9"/>
      <c r="Y816" s="9"/>
      <c r="AA816" s="16"/>
      <c r="AK816" s="16"/>
      <c r="AL816" s="17"/>
      <c r="AN816" s="16"/>
    </row>
    <row r="817" spans="9:40" x14ac:dyDescent="0.4">
      <c r="I817" s="11"/>
      <c r="J817" s="9"/>
      <c r="K817" s="9"/>
      <c r="O817" s="11"/>
      <c r="P817" s="9"/>
      <c r="Q817" s="9"/>
      <c r="R817" s="9"/>
      <c r="S817" s="9"/>
      <c r="T817" s="31"/>
      <c r="W817" s="16"/>
      <c r="X817" s="9"/>
      <c r="Y817" s="9"/>
      <c r="AA817" s="16"/>
      <c r="AK817" s="16"/>
      <c r="AL817" s="17"/>
      <c r="AN817" s="16"/>
    </row>
    <row r="818" spans="9:40" x14ac:dyDescent="0.4">
      <c r="I818" s="11"/>
      <c r="J818" s="9"/>
      <c r="K818" s="9"/>
      <c r="O818" s="11"/>
      <c r="P818" s="9"/>
      <c r="Q818" s="9"/>
      <c r="R818" s="9"/>
      <c r="S818" s="9"/>
      <c r="T818" s="31"/>
      <c r="W818" s="16"/>
      <c r="X818" s="9"/>
      <c r="Y818" s="9"/>
      <c r="AA818" s="16"/>
      <c r="AK818" s="16"/>
      <c r="AL818" s="17"/>
      <c r="AN818" s="16"/>
    </row>
    <row r="819" spans="9:40" x14ac:dyDescent="0.4">
      <c r="I819" s="11"/>
      <c r="J819" s="9"/>
      <c r="K819" s="9"/>
      <c r="O819" s="11"/>
      <c r="P819" s="9"/>
      <c r="Q819" s="9"/>
      <c r="R819" s="9"/>
      <c r="S819" s="9"/>
      <c r="T819" s="31"/>
      <c r="W819" s="16"/>
      <c r="X819" s="9"/>
      <c r="Y819" s="9"/>
      <c r="AA819" s="16"/>
      <c r="AK819" s="16"/>
      <c r="AL819" s="17"/>
      <c r="AN819" s="16"/>
    </row>
    <row r="820" spans="9:40" x14ac:dyDescent="0.4">
      <c r="I820" s="11"/>
      <c r="J820" s="9"/>
      <c r="K820" s="9"/>
      <c r="O820" s="11"/>
      <c r="P820" s="9"/>
      <c r="Q820" s="9"/>
      <c r="R820" s="9"/>
      <c r="S820" s="9"/>
      <c r="T820" s="31"/>
      <c r="W820" s="16"/>
      <c r="X820" s="9"/>
      <c r="Y820" s="9"/>
      <c r="AA820" s="16"/>
      <c r="AK820" s="16"/>
      <c r="AL820" s="17"/>
      <c r="AN820" s="16"/>
    </row>
    <row r="821" spans="9:40" x14ac:dyDescent="0.4">
      <c r="I821" s="11"/>
      <c r="J821" s="9"/>
      <c r="K821" s="9"/>
      <c r="O821" s="11"/>
      <c r="P821" s="9"/>
      <c r="Q821" s="9"/>
      <c r="R821" s="9"/>
      <c r="S821" s="9"/>
      <c r="T821" s="31"/>
      <c r="W821" s="16"/>
      <c r="X821" s="9"/>
      <c r="Y821" s="9"/>
      <c r="AA821" s="16"/>
      <c r="AK821" s="16"/>
      <c r="AL821" s="17"/>
      <c r="AN821" s="16"/>
    </row>
    <row r="822" spans="9:40" x14ac:dyDescent="0.4">
      <c r="I822" s="11"/>
      <c r="J822" s="9"/>
      <c r="K822" s="9"/>
      <c r="O822" s="11"/>
      <c r="P822" s="9"/>
      <c r="Q822" s="9"/>
      <c r="R822" s="9"/>
      <c r="S822" s="9"/>
      <c r="T822" s="31"/>
      <c r="W822" s="16"/>
      <c r="X822" s="9"/>
      <c r="Y822" s="9"/>
      <c r="AA822" s="16"/>
      <c r="AK822" s="16"/>
      <c r="AL822" s="17"/>
      <c r="AN822" s="16"/>
    </row>
    <row r="823" spans="9:40" x14ac:dyDescent="0.4">
      <c r="I823" s="11"/>
      <c r="J823" s="9"/>
      <c r="K823" s="9"/>
      <c r="O823" s="11"/>
      <c r="P823" s="9"/>
      <c r="Q823" s="9"/>
      <c r="R823" s="9"/>
      <c r="S823" s="9"/>
      <c r="T823" s="31"/>
      <c r="W823" s="16"/>
      <c r="X823" s="9"/>
      <c r="Y823" s="9"/>
      <c r="AA823" s="16"/>
      <c r="AK823" s="16"/>
      <c r="AL823" s="17"/>
      <c r="AN823" s="16"/>
    </row>
    <row r="824" spans="9:40" x14ac:dyDescent="0.4">
      <c r="I824" s="11"/>
      <c r="J824" s="9"/>
      <c r="K824" s="9"/>
      <c r="O824" s="11"/>
      <c r="P824" s="9"/>
      <c r="Q824" s="9"/>
      <c r="R824" s="9"/>
      <c r="S824" s="9"/>
      <c r="T824" s="31"/>
      <c r="W824" s="16"/>
      <c r="X824" s="9"/>
      <c r="Y824" s="9"/>
      <c r="AA824" s="16"/>
      <c r="AK824" s="16"/>
      <c r="AL824" s="17"/>
      <c r="AN824" s="16"/>
    </row>
    <row r="825" spans="9:40" x14ac:dyDescent="0.4">
      <c r="I825" s="11"/>
      <c r="J825" s="9"/>
      <c r="K825" s="9"/>
      <c r="O825" s="11"/>
      <c r="P825" s="9"/>
      <c r="Q825" s="9"/>
      <c r="R825" s="9"/>
      <c r="S825" s="9"/>
      <c r="T825" s="31"/>
      <c r="W825" s="16"/>
      <c r="X825" s="9"/>
      <c r="Y825" s="9"/>
      <c r="AA825" s="16"/>
      <c r="AK825" s="16"/>
      <c r="AL825" s="17"/>
      <c r="AN825" s="16"/>
    </row>
    <row r="826" spans="9:40" x14ac:dyDescent="0.4">
      <c r="I826" s="11"/>
      <c r="J826" s="9"/>
      <c r="K826" s="9"/>
      <c r="O826" s="11"/>
      <c r="P826" s="9"/>
      <c r="Q826" s="9"/>
      <c r="R826" s="9"/>
      <c r="S826" s="9"/>
      <c r="T826" s="31"/>
      <c r="W826" s="16"/>
      <c r="X826" s="9"/>
      <c r="Y826" s="9"/>
      <c r="AA826" s="16"/>
      <c r="AK826" s="16"/>
      <c r="AL826" s="17"/>
      <c r="AN826" s="16"/>
    </row>
    <row r="827" spans="9:40" x14ac:dyDescent="0.4">
      <c r="I827" s="11"/>
      <c r="J827" s="9"/>
      <c r="K827" s="9"/>
      <c r="O827" s="11"/>
      <c r="P827" s="9"/>
      <c r="Q827" s="9"/>
      <c r="R827" s="9"/>
      <c r="S827" s="9"/>
      <c r="T827" s="31"/>
      <c r="W827" s="16"/>
      <c r="X827" s="9"/>
      <c r="Y827" s="9"/>
      <c r="AA827" s="16"/>
      <c r="AK827" s="16"/>
      <c r="AL827" s="17"/>
      <c r="AN827" s="16"/>
    </row>
    <row r="828" spans="9:40" x14ac:dyDescent="0.4">
      <c r="I828" s="11"/>
      <c r="J828" s="9"/>
      <c r="K828" s="9"/>
      <c r="O828" s="11"/>
      <c r="P828" s="9"/>
      <c r="Q828" s="9"/>
      <c r="R828" s="9"/>
      <c r="S828" s="9"/>
      <c r="T828" s="31"/>
      <c r="W828" s="16"/>
      <c r="X828" s="9"/>
      <c r="Y828" s="9"/>
      <c r="AA828" s="16"/>
      <c r="AK828" s="16"/>
      <c r="AL828" s="17"/>
      <c r="AN828" s="16"/>
    </row>
    <row r="829" spans="9:40" x14ac:dyDescent="0.4">
      <c r="I829" s="11"/>
      <c r="J829" s="9"/>
      <c r="K829" s="9"/>
      <c r="O829" s="11"/>
      <c r="P829" s="9"/>
      <c r="Q829" s="9"/>
      <c r="R829" s="9"/>
      <c r="S829" s="9"/>
      <c r="T829" s="31"/>
      <c r="W829" s="16"/>
      <c r="X829" s="9"/>
      <c r="Y829" s="9"/>
      <c r="AA829" s="16"/>
      <c r="AK829" s="16"/>
      <c r="AL829" s="17"/>
      <c r="AN829" s="16"/>
    </row>
    <row r="830" spans="9:40" x14ac:dyDescent="0.4">
      <c r="I830" s="11"/>
      <c r="J830" s="9"/>
      <c r="K830" s="9"/>
      <c r="O830" s="11"/>
      <c r="P830" s="9"/>
      <c r="Q830" s="9"/>
      <c r="R830" s="9"/>
      <c r="S830" s="9"/>
      <c r="T830" s="31"/>
      <c r="W830" s="16"/>
      <c r="X830" s="9"/>
      <c r="Y830" s="9"/>
      <c r="AA830" s="16"/>
      <c r="AK830" s="16"/>
      <c r="AL830" s="17"/>
      <c r="AN830" s="16"/>
    </row>
    <row r="831" spans="9:40" x14ac:dyDescent="0.4">
      <c r="I831" s="11"/>
      <c r="J831" s="9"/>
      <c r="K831" s="9"/>
      <c r="O831" s="11"/>
      <c r="P831" s="9"/>
      <c r="Q831" s="9"/>
      <c r="R831" s="9"/>
      <c r="S831" s="9"/>
      <c r="T831" s="31"/>
      <c r="W831" s="16"/>
      <c r="X831" s="9"/>
      <c r="Y831" s="9"/>
      <c r="AA831" s="16"/>
      <c r="AK831" s="16"/>
      <c r="AL831" s="17"/>
      <c r="AN831" s="16"/>
    </row>
    <row r="832" spans="9:40" x14ac:dyDescent="0.4">
      <c r="I832" s="11"/>
      <c r="J832" s="9"/>
      <c r="K832" s="9"/>
      <c r="O832" s="11"/>
      <c r="P832" s="9"/>
      <c r="Q832" s="9"/>
      <c r="R832" s="9"/>
      <c r="S832" s="9"/>
      <c r="T832" s="31"/>
      <c r="W832" s="16"/>
      <c r="X832" s="9"/>
      <c r="Y832" s="9"/>
      <c r="AA832" s="16"/>
      <c r="AK832" s="16"/>
      <c r="AL832" s="17"/>
      <c r="AN832" s="16"/>
    </row>
    <row r="833" spans="9:40" x14ac:dyDescent="0.4">
      <c r="I833" s="11"/>
      <c r="J833" s="9"/>
      <c r="K833" s="9"/>
      <c r="O833" s="11"/>
      <c r="P833" s="9"/>
      <c r="Q833" s="9"/>
      <c r="R833" s="9"/>
      <c r="S833" s="9"/>
      <c r="T833" s="31"/>
      <c r="W833" s="16"/>
      <c r="X833" s="9"/>
      <c r="Y833" s="9"/>
      <c r="AA833" s="16"/>
      <c r="AK833" s="16"/>
      <c r="AL833" s="17"/>
      <c r="AN833" s="16"/>
    </row>
    <row r="834" spans="9:40" x14ac:dyDescent="0.4">
      <c r="I834" s="11"/>
      <c r="J834" s="9"/>
      <c r="K834" s="9"/>
      <c r="O834" s="11"/>
      <c r="P834" s="9"/>
      <c r="Q834" s="9"/>
      <c r="R834" s="9"/>
      <c r="S834" s="9"/>
      <c r="T834" s="31"/>
      <c r="W834" s="16"/>
      <c r="X834" s="9"/>
      <c r="Y834" s="9"/>
      <c r="AA834" s="16"/>
      <c r="AK834" s="16"/>
      <c r="AL834" s="17"/>
      <c r="AN834" s="16"/>
    </row>
    <row r="835" spans="9:40" x14ac:dyDescent="0.4">
      <c r="I835" s="11"/>
      <c r="J835" s="9"/>
      <c r="K835" s="9"/>
      <c r="O835" s="11"/>
      <c r="P835" s="9"/>
      <c r="Q835" s="9"/>
      <c r="R835" s="9"/>
      <c r="S835" s="9"/>
      <c r="T835" s="31"/>
      <c r="W835" s="16"/>
      <c r="X835" s="9"/>
      <c r="Y835" s="9"/>
      <c r="AA835" s="16"/>
      <c r="AK835" s="16"/>
      <c r="AL835" s="17"/>
      <c r="AN835" s="16"/>
    </row>
    <row r="836" spans="9:40" x14ac:dyDescent="0.4">
      <c r="I836" s="11"/>
      <c r="J836" s="9"/>
      <c r="K836" s="9"/>
      <c r="O836" s="11"/>
      <c r="P836" s="9"/>
      <c r="Q836" s="9"/>
      <c r="R836" s="9"/>
      <c r="S836" s="9"/>
      <c r="T836" s="31"/>
      <c r="W836" s="16"/>
      <c r="X836" s="9"/>
      <c r="Y836" s="9"/>
      <c r="AA836" s="16"/>
      <c r="AK836" s="16"/>
      <c r="AL836" s="17"/>
      <c r="AN836" s="16"/>
    </row>
    <row r="837" spans="9:40" x14ac:dyDescent="0.4">
      <c r="I837" s="11"/>
      <c r="J837" s="9"/>
      <c r="K837" s="9"/>
      <c r="O837" s="11"/>
      <c r="P837" s="9"/>
      <c r="Q837" s="9"/>
      <c r="R837" s="9"/>
      <c r="S837" s="9"/>
      <c r="T837" s="31"/>
      <c r="W837" s="16"/>
      <c r="X837" s="9"/>
      <c r="Y837" s="9"/>
      <c r="AA837" s="16"/>
      <c r="AK837" s="16"/>
      <c r="AL837" s="17"/>
      <c r="AN837" s="16"/>
    </row>
    <row r="838" spans="9:40" x14ac:dyDescent="0.4">
      <c r="I838" s="11"/>
      <c r="J838" s="9"/>
      <c r="K838" s="9"/>
      <c r="O838" s="11"/>
      <c r="P838" s="9"/>
      <c r="Q838" s="9"/>
      <c r="R838" s="9"/>
      <c r="S838" s="9"/>
      <c r="T838" s="31"/>
      <c r="W838" s="16"/>
      <c r="X838" s="9"/>
      <c r="Y838" s="9"/>
      <c r="AA838" s="16"/>
      <c r="AK838" s="16"/>
      <c r="AL838" s="17"/>
      <c r="AN838" s="16"/>
    </row>
    <row r="839" spans="9:40" x14ac:dyDescent="0.4">
      <c r="I839" s="11"/>
      <c r="J839" s="9"/>
      <c r="K839" s="9"/>
      <c r="O839" s="11"/>
      <c r="P839" s="9"/>
      <c r="Q839" s="9"/>
      <c r="R839" s="9"/>
      <c r="S839" s="9"/>
      <c r="T839" s="31"/>
      <c r="W839" s="16"/>
      <c r="X839" s="9"/>
      <c r="Y839" s="9"/>
      <c r="AA839" s="16"/>
      <c r="AK839" s="16"/>
      <c r="AL839" s="17"/>
      <c r="AN839" s="16"/>
    </row>
    <row r="840" spans="9:40" x14ac:dyDescent="0.4">
      <c r="I840" s="11"/>
      <c r="J840" s="9"/>
      <c r="K840" s="9"/>
      <c r="O840" s="11"/>
      <c r="P840" s="9"/>
      <c r="Q840" s="9"/>
      <c r="R840" s="9"/>
      <c r="S840" s="9"/>
      <c r="T840" s="31"/>
      <c r="W840" s="16"/>
      <c r="X840" s="9"/>
      <c r="Y840" s="9"/>
      <c r="AA840" s="16"/>
      <c r="AK840" s="16"/>
      <c r="AL840" s="17"/>
      <c r="AN840" s="16"/>
    </row>
    <row r="841" spans="9:40" x14ac:dyDescent="0.4">
      <c r="I841" s="11"/>
      <c r="J841" s="9"/>
      <c r="K841" s="9"/>
      <c r="O841" s="11"/>
      <c r="P841" s="9"/>
      <c r="Q841" s="9"/>
      <c r="R841" s="9"/>
      <c r="S841" s="9"/>
      <c r="T841" s="31"/>
      <c r="W841" s="16"/>
      <c r="X841" s="9"/>
      <c r="Y841" s="9"/>
      <c r="AA841" s="16"/>
      <c r="AK841" s="16"/>
      <c r="AL841" s="17"/>
      <c r="AN841" s="16"/>
    </row>
    <row r="842" spans="9:40" x14ac:dyDescent="0.4">
      <c r="I842" s="11"/>
      <c r="J842" s="9"/>
      <c r="K842" s="9"/>
      <c r="O842" s="11"/>
      <c r="P842" s="9"/>
      <c r="Q842" s="9"/>
      <c r="R842" s="9"/>
      <c r="S842" s="9"/>
      <c r="T842" s="31"/>
      <c r="W842" s="16"/>
      <c r="X842" s="9"/>
      <c r="Y842" s="9"/>
      <c r="AA842" s="16"/>
      <c r="AK842" s="16"/>
      <c r="AL842" s="17"/>
      <c r="AN842" s="16"/>
    </row>
    <row r="843" spans="9:40" x14ac:dyDescent="0.4">
      <c r="I843" s="11"/>
      <c r="J843" s="9"/>
      <c r="K843" s="9"/>
      <c r="O843" s="11"/>
      <c r="P843" s="9"/>
      <c r="Q843" s="9"/>
      <c r="R843" s="9"/>
      <c r="S843" s="9"/>
      <c r="T843" s="31"/>
      <c r="W843" s="16"/>
      <c r="X843" s="9"/>
      <c r="Y843" s="9"/>
      <c r="AA843" s="16"/>
      <c r="AK843" s="16"/>
      <c r="AL843" s="17"/>
      <c r="AN843" s="16"/>
    </row>
    <row r="844" spans="9:40" x14ac:dyDescent="0.4">
      <c r="I844" s="11"/>
      <c r="J844" s="9"/>
      <c r="K844" s="9"/>
      <c r="O844" s="11"/>
      <c r="P844" s="9"/>
      <c r="Q844" s="9"/>
      <c r="R844" s="9"/>
      <c r="S844" s="9"/>
      <c r="T844" s="31"/>
      <c r="W844" s="16"/>
      <c r="X844" s="9"/>
      <c r="Y844" s="9"/>
      <c r="AA844" s="16"/>
      <c r="AK844" s="16"/>
      <c r="AL844" s="17"/>
      <c r="AN844" s="16"/>
    </row>
    <row r="845" spans="9:40" x14ac:dyDescent="0.4">
      <c r="I845" s="11"/>
      <c r="J845" s="9"/>
      <c r="K845" s="9"/>
      <c r="O845" s="11"/>
      <c r="P845" s="9"/>
      <c r="Q845" s="9"/>
      <c r="R845" s="9"/>
      <c r="S845" s="9"/>
      <c r="T845" s="31"/>
      <c r="W845" s="16"/>
      <c r="X845" s="9"/>
      <c r="Y845" s="9"/>
      <c r="AA845" s="16"/>
      <c r="AK845" s="16"/>
      <c r="AL845" s="17"/>
      <c r="AN845" s="16"/>
    </row>
    <row r="846" spans="9:40" x14ac:dyDescent="0.4">
      <c r="I846" s="11"/>
      <c r="J846" s="9"/>
      <c r="K846" s="9"/>
      <c r="O846" s="11"/>
      <c r="P846" s="9"/>
      <c r="Q846" s="9"/>
      <c r="R846" s="9"/>
      <c r="S846" s="9"/>
      <c r="T846" s="31"/>
      <c r="W846" s="16"/>
      <c r="X846" s="9"/>
      <c r="Y846" s="9"/>
      <c r="AA846" s="16"/>
      <c r="AK846" s="16"/>
      <c r="AL846" s="17"/>
      <c r="AN846" s="16"/>
    </row>
    <row r="847" spans="9:40" x14ac:dyDescent="0.4">
      <c r="I847" s="11"/>
      <c r="J847" s="9"/>
      <c r="K847" s="9"/>
      <c r="O847" s="11"/>
      <c r="P847" s="9"/>
      <c r="Q847" s="9"/>
      <c r="R847" s="9"/>
      <c r="S847" s="9"/>
      <c r="T847" s="31"/>
      <c r="W847" s="16"/>
      <c r="X847" s="9"/>
      <c r="Y847" s="9"/>
      <c r="AA847" s="16"/>
      <c r="AK847" s="16"/>
      <c r="AL847" s="17"/>
      <c r="AN847" s="16"/>
    </row>
    <row r="848" spans="9:40" x14ac:dyDescent="0.4">
      <c r="I848" s="11"/>
      <c r="J848" s="9"/>
      <c r="K848" s="9"/>
      <c r="O848" s="11"/>
      <c r="P848" s="9"/>
      <c r="Q848" s="9"/>
      <c r="R848" s="9"/>
      <c r="S848" s="9"/>
      <c r="T848" s="31"/>
      <c r="W848" s="16"/>
      <c r="X848" s="9"/>
      <c r="Y848" s="9"/>
      <c r="AA848" s="16"/>
      <c r="AK848" s="16"/>
      <c r="AL848" s="17"/>
      <c r="AN848" s="16"/>
    </row>
    <row r="849" spans="9:40" x14ac:dyDescent="0.4">
      <c r="I849" s="11"/>
      <c r="J849" s="9"/>
      <c r="K849" s="9"/>
      <c r="O849" s="11"/>
      <c r="P849" s="9"/>
      <c r="Q849" s="9"/>
      <c r="R849" s="9"/>
      <c r="S849" s="9"/>
      <c r="T849" s="31"/>
      <c r="W849" s="16"/>
      <c r="X849" s="9"/>
      <c r="Y849" s="9"/>
      <c r="AA849" s="16"/>
      <c r="AK849" s="16"/>
      <c r="AL849" s="17"/>
      <c r="AN849" s="16"/>
    </row>
    <row r="850" spans="9:40" x14ac:dyDescent="0.4">
      <c r="I850" s="11"/>
      <c r="J850" s="9"/>
      <c r="K850" s="9"/>
      <c r="O850" s="11"/>
      <c r="P850" s="9"/>
      <c r="Q850" s="9"/>
      <c r="R850" s="9"/>
      <c r="S850" s="9"/>
      <c r="T850" s="31"/>
      <c r="W850" s="16"/>
      <c r="X850" s="9"/>
      <c r="Y850" s="9"/>
      <c r="AA850" s="16"/>
      <c r="AK850" s="16"/>
      <c r="AL850" s="17"/>
      <c r="AN850" s="16"/>
    </row>
    <row r="851" spans="9:40" x14ac:dyDescent="0.4">
      <c r="I851" s="11"/>
      <c r="J851" s="9"/>
      <c r="K851" s="9"/>
      <c r="O851" s="11"/>
      <c r="P851" s="9"/>
      <c r="Q851" s="9"/>
      <c r="R851" s="9"/>
      <c r="S851" s="9"/>
      <c r="T851" s="31"/>
      <c r="W851" s="16"/>
      <c r="X851" s="9"/>
      <c r="Y851" s="9"/>
      <c r="AA851" s="16"/>
      <c r="AK851" s="16"/>
      <c r="AL851" s="17"/>
      <c r="AN851" s="16"/>
    </row>
    <row r="852" spans="9:40" x14ac:dyDescent="0.4">
      <c r="I852" s="11"/>
      <c r="J852" s="9"/>
      <c r="K852" s="9"/>
      <c r="O852" s="11"/>
      <c r="P852" s="9"/>
      <c r="Q852" s="9"/>
      <c r="R852" s="9"/>
      <c r="S852" s="9"/>
      <c r="T852" s="31"/>
      <c r="W852" s="16"/>
      <c r="X852" s="9"/>
      <c r="Y852" s="9"/>
      <c r="AA852" s="16"/>
      <c r="AK852" s="16"/>
      <c r="AL852" s="17"/>
      <c r="AN852" s="16"/>
    </row>
    <row r="853" spans="9:40" x14ac:dyDescent="0.4">
      <c r="I853" s="11"/>
      <c r="J853" s="9"/>
      <c r="K853" s="9"/>
      <c r="O853" s="11"/>
      <c r="P853" s="9"/>
      <c r="Q853" s="9"/>
      <c r="R853" s="9"/>
      <c r="S853" s="9"/>
      <c r="T853" s="31"/>
      <c r="W853" s="16"/>
      <c r="X853" s="9"/>
      <c r="Y853" s="9"/>
      <c r="AA853" s="16"/>
      <c r="AK853" s="16"/>
      <c r="AL853" s="17"/>
      <c r="AN853" s="16"/>
    </row>
    <row r="854" spans="9:40" x14ac:dyDescent="0.4">
      <c r="I854" s="11"/>
      <c r="J854" s="9"/>
      <c r="K854" s="9"/>
      <c r="O854" s="11"/>
      <c r="P854" s="9"/>
      <c r="Q854" s="9"/>
      <c r="R854" s="9"/>
      <c r="S854" s="9"/>
      <c r="T854" s="31"/>
      <c r="W854" s="16"/>
      <c r="X854" s="9"/>
      <c r="Y854" s="9"/>
      <c r="AA854" s="16"/>
      <c r="AK854" s="16"/>
      <c r="AL854" s="17"/>
      <c r="AN854" s="16"/>
    </row>
    <row r="855" spans="9:40" x14ac:dyDescent="0.4">
      <c r="I855" s="11"/>
      <c r="J855" s="9"/>
      <c r="K855" s="9"/>
      <c r="O855" s="11"/>
      <c r="P855" s="9"/>
      <c r="Q855" s="9"/>
      <c r="R855" s="9"/>
      <c r="S855" s="9"/>
      <c r="T855" s="31"/>
      <c r="W855" s="16"/>
      <c r="X855" s="9"/>
      <c r="Y855" s="9"/>
      <c r="AA855" s="16"/>
      <c r="AK855" s="16"/>
      <c r="AL855" s="17"/>
      <c r="AN855" s="16"/>
    </row>
    <row r="856" spans="9:40" x14ac:dyDescent="0.4">
      <c r="I856" s="11"/>
      <c r="J856" s="9"/>
      <c r="K856" s="9"/>
      <c r="O856" s="11"/>
      <c r="P856" s="9"/>
      <c r="Q856" s="9"/>
      <c r="R856" s="9"/>
      <c r="S856" s="9"/>
      <c r="T856" s="31"/>
      <c r="W856" s="16"/>
      <c r="X856" s="9"/>
      <c r="Y856" s="9"/>
      <c r="AA856" s="16"/>
      <c r="AK856" s="16"/>
      <c r="AL856" s="17"/>
      <c r="AN856" s="16"/>
    </row>
    <row r="857" spans="9:40" x14ac:dyDescent="0.4">
      <c r="I857" s="11"/>
      <c r="J857" s="9"/>
      <c r="K857" s="9"/>
      <c r="O857" s="11"/>
      <c r="P857" s="9"/>
      <c r="Q857" s="9"/>
      <c r="R857" s="9"/>
      <c r="S857" s="9"/>
      <c r="T857" s="31"/>
      <c r="W857" s="16"/>
      <c r="X857" s="9"/>
      <c r="Y857" s="9"/>
      <c r="AA857" s="16"/>
      <c r="AK857" s="16"/>
      <c r="AL857" s="17"/>
      <c r="AN857" s="16"/>
    </row>
    <row r="858" spans="9:40" x14ac:dyDescent="0.4">
      <c r="I858" s="11"/>
      <c r="J858" s="9"/>
      <c r="K858" s="9"/>
      <c r="O858" s="11"/>
      <c r="P858" s="9"/>
      <c r="Q858" s="9"/>
      <c r="R858" s="9"/>
      <c r="S858" s="9"/>
      <c r="T858" s="31"/>
      <c r="W858" s="16"/>
      <c r="X858" s="9"/>
      <c r="Y858" s="9"/>
      <c r="AA858" s="16"/>
      <c r="AK858" s="16"/>
      <c r="AL858" s="17"/>
      <c r="AN858" s="16"/>
    </row>
    <row r="859" spans="9:40" x14ac:dyDescent="0.4">
      <c r="I859" s="11"/>
      <c r="J859" s="9"/>
      <c r="K859" s="9"/>
      <c r="O859" s="11"/>
      <c r="P859" s="9"/>
      <c r="Q859" s="9"/>
      <c r="R859" s="9"/>
      <c r="S859" s="9"/>
      <c r="T859" s="31"/>
      <c r="W859" s="16"/>
      <c r="X859" s="9"/>
      <c r="Y859" s="9"/>
      <c r="AA859" s="16"/>
      <c r="AK859" s="16"/>
      <c r="AL859" s="17"/>
      <c r="AN859" s="16"/>
    </row>
    <row r="860" spans="9:40" x14ac:dyDescent="0.4">
      <c r="I860" s="11"/>
      <c r="J860" s="9"/>
      <c r="K860" s="9"/>
      <c r="O860" s="11"/>
      <c r="P860" s="9"/>
      <c r="Q860" s="9"/>
      <c r="R860" s="9"/>
      <c r="S860" s="9"/>
      <c r="T860" s="31"/>
      <c r="W860" s="16"/>
      <c r="X860" s="9"/>
      <c r="Y860" s="9"/>
      <c r="AA860" s="16"/>
      <c r="AK860" s="16"/>
      <c r="AL860" s="17"/>
      <c r="AN860" s="16"/>
    </row>
    <row r="861" spans="9:40" x14ac:dyDescent="0.4">
      <c r="I861" s="11"/>
      <c r="J861" s="9"/>
      <c r="K861" s="9"/>
      <c r="O861" s="11"/>
      <c r="P861" s="9"/>
      <c r="Q861" s="9"/>
      <c r="R861" s="9"/>
      <c r="S861" s="9"/>
      <c r="T861" s="31"/>
      <c r="W861" s="16"/>
      <c r="X861" s="9"/>
      <c r="Y861" s="9"/>
      <c r="AA861" s="16"/>
      <c r="AK861" s="16"/>
      <c r="AL861" s="17"/>
      <c r="AN861" s="16"/>
    </row>
    <row r="862" spans="9:40" x14ac:dyDescent="0.4">
      <c r="I862" s="11"/>
      <c r="J862" s="9"/>
      <c r="K862" s="9"/>
      <c r="O862" s="11"/>
      <c r="P862" s="9"/>
      <c r="Q862" s="9"/>
      <c r="R862" s="9"/>
      <c r="S862" s="9"/>
      <c r="T862" s="31"/>
      <c r="W862" s="16"/>
      <c r="X862" s="9"/>
      <c r="Y862" s="9"/>
      <c r="AA862" s="16"/>
      <c r="AK862" s="16"/>
      <c r="AL862" s="17"/>
      <c r="AN862" s="16"/>
    </row>
    <row r="863" spans="9:40" x14ac:dyDescent="0.4">
      <c r="I863" s="11"/>
      <c r="J863" s="9"/>
      <c r="K863" s="9"/>
      <c r="O863" s="11"/>
      <c r="P863" s="9"/>
      <c r="Q863" s="9"/>
      <c r="R863" s="9"/>
      <c r="S863" s="9"/>
      <c r="T863" s="31"/>
      <c r="W863" s="16"/>
      <c r="X863" s="9"/>
      <c r="Y863" s="9"/>
      <c r="AA863" s="16"/>
      <c r="AK863" s="16"/>
      <c r="AL863" s="17"/>
      <c r="AN863" s="16"/>
    </row>
    <row r="864" spans="9:40" x14ac:dyDescent="0.4">
      <c r="I864" s="11"/>
      <c r="J864" s="9"/>
      <c r="K864" s="9"/>
      <c r="O864" s="11"/>
      <c r="P864" s="9"/>
      <c r="Q864" s="9"/>
      <c r="R864" s="9"/>
      <c r="S864" s="9"/>
      <c r="T864" s="31"/>
      <c r="W864" s="16"/>
      <c r="X864" s="9"/>
      <c r="Y864" s="9"/>
      <c r="AA864" s="16"/>
      <c r="AK864" s="16"/>
      <c r="AL864" s="17"/>
      <c r="AN864" s="16"/>
    </row>
    <row r="865" spans="9:40" x14ac:dyDescent="0.4">
      <c r="I865" s="11"/>
      <c r="J865" s="9"/>
      <c r="K865" s="9"/>
      <c r="O865" s="11"/>
      <c r="P865" s="9"/>
      <c r="Q865" s="9"/>
      <c r="R865" s="9"/>
      <c r="S865" s="9"/>
      <c r="T865" s="31"/>
      <c r="W865" s="16"/>
      <c r="X865" s="9"/>
      <c r="Y865" s="9"/>
      <c r="AA865" s="16"/>
      <c r="AK865" s="16"/>
      <c r="AL865" s="17"/>
      <c r="AN865" s="16"/>
    </row>
    <row r="866" spans="9:40" x14ac:dyDescent="0.4">
      <c r="I866" s="11"/>
      <c r="J866" s="9"/>
      <c r="K866" s="9"/>
      <c r="O866" s="11"/>
      <c r="P866" s="9"/>
      <c r="Q866" s="9"/>
      <c r="R866" s="9"/>
      <c r="S866" s="9"/>
      <c r="T866" s="31"/>
      <c r="W866" s="16"/>
      <c r="X866" s="9"/>
      <c r="Y866" s="9"/>
      <c r="AA866" s="16"/>
      <c r="AK866" s="16"/>
      <c r="AL866" s="17"/>
      <c r="AN866" s="16"/>
    </row>
    <row r="867" spans="9:40" x14ac:dyDescent="0.4">
      <c r="I867" s="11"/>
      <c r="J867" s="9"/>
      <c r="K867" s="9"/>
      <c r="O867" s="11"/>
      <c r="P867" s="9"/>
      <c r="Q867" s="9"/>
      <c r="R867" s="9"/>
      <c r="S867" s="9"/>
      <c r="T867" s="31"/>
      <c r="W867" s="16"/>
      <c r="X867" s="9"/>
      <c r="Y867" s="9"/>
      <c r="AA867" s="16"/>
      <c r="AK867" s="16"/>
      <c r="AL867" s="17"/>
      <c r="AN867" s="16"/>
    </row>
    <row r="868" spans="9:40" x14ac:dyDescent="0.4">
      <c r="I868" s="11"/>
      <c r="J868" s="9"/>
      <c r="K868" s="9"/>
      <c r="O868" s="11"/>
      <c r="P868" s="9"/>
      <c r="Q868" s="9"/>
      <c r="R868" s="9"/>
      <c r="S868" s="9"/>
      <c r="T868" s="31"/>
      <c r="W868" s="16"/>
      <c r="X868" s="9"/>
      <c r="Y868" s="9"/>
      <c r="AA868" s="16"/>
      <c r="AK868" s="16"/>
      <c r="AL868" s="17"/>
      <c r="AN868" s="16"/>
    </row>
    <row r="869" spans="9:40" x14ac:dyDescent="0.4">
      <c r="I869" s="11"/>
      <c r="J869" s="9"/>
      <c r="K869" s="9"/>
      <c r="O869" s="11"/>
      <c r="P869" s="9"/>
      <c r="Q869" s="9"/>
      <c r="R869" s="9"/>
      <c r="S869" s="9"/>
      <c r="T869" s="31"/>
      <c r="W869" s="16"/>
      <c r="X869" s="9"/>
      <c r="Y869" s="9"/>
      <c r="AA869" s="16"/>
      <c r="AK869" s="16"/>
      <c r="AL869" s="17"/>
      <c r="AN869" s="16"/>
    </row>
    <row r="870" spans="9:40" x14ac:dyDescent="0.4">
      <c r="I870" s="11"/>
      <c r="J870" s="9"/>
      <c r="K870" s="9"/>
      <c r="O870" s="11"/>
      <c r="P870" s="9"/>
      <c r="Q870" s="9"/>
      <c r="R870" s="9"/>
      <c r="S870" s="9"/>
      <c r="T870" s="31"/>
      <c r="W870" s="16"/>
      <c r="X870" s="9"/>
      <c r="Y870" s="9"/>
      <c r="AA870" s="16"/>
      <c r="AK870" s="16"/>
      <c r="AL870" s="17"/>
      <c r="AN870" s="16"/>
    </row>
    <row r="871" spans="9:40" x14ac:dyDescent="0.4">
      <c r="I871" s="11"/>
      <c r="J871" s="9"/>
      <c r="K871" s="9"/>
      <c r="O871" s="11"/>
      <c r="P871" s="9"/>
      <c r="Q871" s="9"/>
      <c r="R871" s="9"/>
      <c r="S871" s="9"/>
      <c r="T871" s="31"/>
      <c r="W871" s="16"/>
      <c r="X871" s="9"/>
      <c r="Y871" s="9"/>
      <c r="AA871" s="16"/>
      <c r="AK871" s="16"/>
      <c r="AL871" s="17"/>
      <c r="AN871" s="16"/>
    </row>
    <row r="872" spans="9:40" x14ac:dyDescent="0.4">
      <c r="I872" s="11"/>
      <c r="J872" s="9"/>
      <c r="K872" s="9"/>
      <c r="O872" s="11"/>
      <c r="P872" s="9"/>
      <c r="Q872" s="9"/>
      <c r="R872" s="9"/>
      <c r="S872" s="9"/>
      <c r="T872" s="31"/>
      <c r="W872" s="16"/>
      <c r="X872" s="9"/>
      <c r="Y872" s="9"/>
      <c r="AA872" s="16"/>
      <c r="AK872" s="16"/>
      <c r="AL872" s="17"/>
      <c r="AN872" s="16"/>
    </row>
    <row r="873" spans="9:40" x14ac:dyDescent="0.4">
      <c r="I873" s="11"/>
      <c r="J873" s="9"/>
      <c r="K873" s="9"/>
      <c r="O873" s="11"/>
      <c r="P873" s="9"/>
      <c r="Q873" s="9"/>
      <c r="R873" s="9"/>
      <c r="S873" s="9"/>
      <c r="T873" s="31"/>
      <c r="W873" s="16"/>
      <c r="X873" s="9"/>
      <c r="Y873" s="9"/>
      <c r="AA873" s="16"/>
      <c r="AK873" s="16"/>
      <c r="AL873" s="17"/>
      <c r="AN873" s="16"/>
    </row>
    <row r="874" spans="9:40" x14ac:dyDescent="0.4">
      <c r="I874" s="11"/>
      <c r="J874" s="9"/>
      <c r="K874" s="9"/>
      <c r="O874" s="11"/>
      <c r="P874" s="9"/>
      <c r="Q874" s="9"/>
      <c r="R874" s="9"/>
      <c r="S874" s="9"/>
      <c r="T874" s="31"/>
      <c r="W874" s="16"/>
      <c r="X874" s="9"/>
      <c r="Y874" s="9"/>
      <c r="AA874" s="16"/>
      <c r="AK874" s="16"/>
      <c r="AL874" s="17"/>
      <c r="AN874" s="16"/>
    </row>
    <row r="875" spans="9:40" x14ac:dyDescent="0.4">
      <c r="I875" s="11"/>
      <c r="J875" s="9"/>
      <c r="K875" s="9"/>
      <c r="O875" s="11"/>
      <c r="P875" s="9"/>
      <c r="Q875" s="9"/>
      <c r="R875" s="9"/>
      <c r="S875" s="9"/>
      <c r="T875" s="31"/>
      <c r="W875" s="16"/>
      <c r="X875" s="9"/>
      <c r="Y875" s="9"/>
      <c r="AA875" s="16"/>
      <c r="AK875" s="16"/>
      <c r="AL875" s="17"/>
      <c r="AN875" s="16"/>
    </row>
    <row r="876" spans="9:40" x14ac:dyDescent="0.4">
      <c r="I876" s="11"/>
      <c r="J876" s="9"/>
      <c r="K876" s="9"/>
      <c r="O876" s="11"/>
      <c r="P876" s="9"/>
      <c r="Q876" s="9"/>
      <c r="R876" s="9"/>
      <c r="S876" s="9"/>
      <c r="T876" s="31"/>
      <c r="W876" s="16"/>
      <c r="X876" s="9"/>
      <c r="Y876" s="9"/>
      <c r="AA876" s="16"/>
      <c r="AK876" s="16"/>
      <c r="AL876" s="17"/>
      <c r="AN876" s="16"/>
    </row>
    <row r="877" spans="9:40" x14ac:dyDescent="0.4">
      <c r="I877" s="11"/>
      <c r="J877" s="9"/>
      <c r="K877" s="9"/>
      <c r="O877" s="11"/>
      <c r="P877" s="9"/>
      <c r="Q877" s="9"/>
      <c r="R877" s="9"/>
      <c r="S877" s="9"/>
      <c r="T877" s="31"/>
      <c r="W877" s="16"/>
      <c r="X877" s="9"/>
      <c r="Y877" s="9"/>
      <c r="AA877" s="16"/>
      <c r="AK877" s="16"/>
      <c r="AL877" s="17"/>
      <c r="AN877" s="16"/>
    </row>
    <row r="878" spans="9:40" x14ac:dyDescent="0.4">
      <c r="I878" s="11"/>
      <c r="J878" s="9"/>
      <c r="K878" s="9"/>
      <c r="O878" s="11"/>
      <c r="P878" s="9"/>
      <c r="Q878" s="9"/>
      <c r="R878" s="9"/>
      <c r="S878" s="9"/>
      <c r="T878" s="31"/>
      <c r="W878" s="16"/>
      <c r="X878" s="9"/>
      <c r="Y878" s="9"/>
      <c r="AA878" s="16"/>
      <c r="AK878" s="16"/>
      <c r="AL878" s="17"/>
      <c r="AN878" s="16"/>
    </row>
    <row r="879" spans="9:40" x14ac:dyDescent="0.4">
      <c r="I879" s="11"/>
      <c r="J879" s="9"/>
      <c r="K879" s="9"/>
      <c r="O879" s="11"/>
      <c r="P879" s="9"/>
      <c r="Q879" s="9"/>
      <c r="R879" s="9"/>
      <c r="S879" s="9"/>
      <c r="T879" s="31"/>
      <c r="W879" s="16"/>
      <c r="X879" s="9"/>
      <c r="Y879" s="9"/>
      <c r="AA879" s="16"/>
      <c r="AK879" s="16"/>
      <c r="AL879" s="17"/>
      <c r="AN879" s="16"/>
    </row>
    <row r="880" spans="9:40" x14ac:dyDescent="0.4">
      <c r="I880" s="11"/>
      <c r="J880" s="9"/>
      <c r="K880" s="9"/>
      <c r="O880" s="11"/>
      <c r="P880" s="9"/>
      <c r="Q880" s="9"/>
      <c r="R880" s="9"/>
      <c r="S880" s="9"/>
      <c r="T880" s="31"/>
      <c r="W880" s="16"/>
      <c r="X880" s="9"/>
      <c r="Y880" s="9"/>
      <c r="AA880" s="16"/>
      <c r="AK880" s="16"/>
      <c r="AL880" s="17"/>
      <c r="AN880" s="16"/>
    </row>
    <row r="881" spans="9:40" x14ac:dyDescent="0.4">
      <c r="I881" s="11"/>
      <c r="J881" s="9"/>
      <c r="K881" s="9"/>
      <c r="O881" s="11"/>
      <c r="P881" s="9"/>
      <c r="Q881" s="9"/>
      <c r="R881" s="9"/>
      <c r="S881" s="9"/>
      <c r="T881" s="31"/>
      <c r="W881" s="16"/>
      <c r="X881" s="9"/>
      <c r="Y881" s="9"/>
      <c r="AA881" s="16"/>
      <c r="AK881" s="16"/>
      <c r="AL881" s="17"/>
      <c r="AN881" s="16"/>
    </row>
    <row r="882" spans="9:40" x14ac:dyDescent="0.4">
      <c r="I882" s="11"/>
      <c r="J882" s="9"/>
      <c r="K882" s="9"/>
      <c r="O882" s="11"/>
      <c r="P882" s="9"/>
      <c r="Q882" s="9"/>
      <c r="R882" s="9"/>
      <c r="S882" s="9"/>
      <c r="T882" s="31"/>
      <c r="W882" s="16"/>
      <c r="X882" s="9"/>
      <c r="Y882" s="9"/>
      <c r="AA882" s="16"/>
      <c r="AK882" s="16"/>
      <c r="AL882" s="17"/>
      <c r="AN882" s="16"/>
    </row>
    <row r="883" spans="9:40" x14ac:dyDescent="0.4">
      <c r="I883" s="11"/>
      <c r="J883" s="9"/>
      <c r="K883" s="9"/>
      <c r="O883" s="11"/>
      <c r="P883" s="9"/>
      <c r="Q883" s="9"/>
      <c r="R883" s="9"/>
      <c r="S883" s="9"/>
      <c r="T883" s="31"/>
      <c r="W883" s="16"/>
      <c r="X883" s="9"/>
      <c r="Y883" s="9"/>
      <c r="AA883" s="16"/>
      <c r="AK883" s="16"/>
      <c r="AL883" s="17"/>
      <c r="AN883" s="16"/>
    </row>
    <row r="884" spans="9:40" x14ac:dyDescent="0.4">
      <c r="I884" s="11"/>
      <c r="J884" s="9"/>
      <c r="K884" s="9"/>
      <c r="O884" s="11"/>
      <c r="P884" s="9"/>
      <c r="Q884" s="9"/>
      <c r="R884" s="9"/>
      <c r="S884" s="9"/>
      <c r="T884" s="31"/>
      <c r="W884" s="16"/>
      <c r="X884" s="9"/>
      <c r="Y884" s="9"/>
      <c r="AA884" s="16"/>
      <c r="AK884" s="16"/>
      <c r="AL884" s="17"/>
      <c r="AN884" s="16"/>
    </row>
    <row r="885" spans="9:40" x14ac:dyDescent="0.4">
      <c r="I885" s="11"/>
      <c r="J885" s="9"/>
      <c r="K885" s="9"/>
      <c r="O885" s="11"/>
      <c r="P885" s="9"/>
      <c r="Q885" s="9"/>
      <c r="R885" s="9"/>
      <c r="S885" s="9"/>
      <c r="T885" s="31"/>
      <c r="W885" s="16"/>
      <c r="X885" s="9"/>
      <c r="Y885" s="9"/>
      <c r="AA885" s="16"/>
      <c r="AK885" s="16"/>
      <c r="AL885" s="17"/>
      <c r="AN885" s="16"/>
    </row>
    <row r="886" spans="9:40" x14ac:dyDescent="0.4">
      <c r="I886" s="11"/>
      <c r="J886" s="9"/>
      <c r="K886" s="9"/>
      <c r="O886" s="11"/>
      <c r="P886" s="9"/>
      <c r="Q886" s="9"/>
      <c r="R886" s="9"/>
      <c r="S886" s="9"/>
      <c r="T886" s="31"/>
      <c r="W886" s="16"/>
      <c r="X886" s="9"/>
      <c r="Y886" s="9"/>
      <c r="AA886" s="16"/>
      <c r="AK886" s="16"/>
      <c r="AL886" s="17"/>
      <c r="AN886" s="16"/>
    </row>
    <row r="887" spans="9:40" x14ac:dyDescent="0.4">
      <c r="I887" s="11"/>
      <c r="J887" s="9"/>
      <c r="K887" s="9"/>
      <c r="O887" s="11"/>
      <c r="P887" s="9"/>
      <c r="Q887" s="9"/>
      <c r="R887" s="9"/>
      <c r="S887" s="9"/>
      <c r="T887" s="31"/>
      <c r="W887" s="16"/>
      <c r="X887" s="9"/>
      <c r="Y887" s="9"/>
      <c r="AA887" s="16"/>
      <c r="AK887" s="16"/>
      <c r="AL887" s="17"/>
      <c r="AN887" s="16"/>
    </row>
    <row r="888" spans="9:40" x14ac:dyDescent="0.4">
      <c r="I888" s="11"/>
      <c r="J888" s="9"/>
      <c r="K888" s="9"/>
      <c r="O888" s="11"/>
      <c r="P888" s="9"/>
      <c r="Q888" s="9"/>
      <c r="R888" s="9"/>
      <c r="S888" s="9"/>
      <c r="T888" s="31"/>
      <c r="W888" s="16"/>
      <c r="X888" s="9"/>
      <c r="Y888" s="9"/>
      <c r="AA888" s="16"/>
      <c r="AK888" s="16"/>
      <c r="AL888" s="17"/>
      <c r="AN888" s="16"/>
    </row>
    <row r="889" spans="9:40" x14ac:dyDescent="0.4">
      <c r="I889" s="11"/>
      <c r="J889" s="9"/>
      <c r="K889" s="9"/>
      <c r="O889" s="11"/>
      <c r="P889" s="9"/>
      <c r="Q889" s="9"/>
      <c r="R889" s="9"/>
      <c r="S889" s="9"/>
      <c r="T889" s="31"/>
      <c r="W889" s="16"/>
      <c r="X889" s="9"/>
      <c r="Y889" s="9"/>
      <c r="AA889" s="16"/>
      <c r="AK889" s="16"/>
      <c r="AL889" s="17"/>
      <c r="AN889" s="16"/>
    </row>
    <row r="890" spans="9:40" x14ac:dyDescent="0.4">
      <c r="I890" s="11"/>
      <c r="J890" s="9"/>
      <c r="K890" s="9"/>
      <c r="O890" s="11"/>
      <c r="P890" s="9"/>
      <c r="Q890" s="9"/>
      <c r="R890" s="9"/>
      <c r="S890" s="9"/>
      <c r="T890" s="31"/>
      <c r="W890" s="16"/>
      <c r="X890" s="9"/>
      <c r="Y890" s="9"/>
      <c r="AA890" s="16"/>
      <c r="AK890" s="16"/>
      <c r="AL890" s="17"/>
      <c r="AN890" s="16"/>
    </row>
    <row r="891" spans="9:40" x14ac:dyDescent="0.4">
      <c r="I891" s="11"/>
      <c r="J891" s="9"/>
      <c r="K891" s="9"/>
      <c r="O891" s="11"/>
      <c r="P891" s="9"/>
      <c r="Q891" s="9"/>
      <c r="R891" s="9"/>
      <c r="S891" s="9"/>
      <c r="T891" s="31"/>
      <c r="W891" s="16"/>
      <c r="X891" s="9"/>
      <c r="Y891" s="9"/>
      <c r="AA891" s="16"/>
      <c r="AK891" s="16"/>
      <c r="AL891" s="17"/>
      <c r="AN891" s="16"/>
    </row>
    <row r="892" spans="9:40" x14ac:dyDescent="0.4">
      <c r="I892" s="11"/>
      <c r="J892" s="9"/>
      <c r="K892" s="9"/>
      <c r="O892" s="11"/>
      <c r="P892" s="9"/>
      <c r="Q892" s="9"/>
      <c r="R892" s="9"/>
      <c r="S892" s="9"/>
      <c r="T892" s="31"/>
      <c r="W892" s="16"/>
      <c r="X892" s="9"/>
      <c r="Y892" s="9"/>
      <c r="AA892" s="16"/>
      <c r="AK892" s="16"/>
      <c r="AL892" s="17"/>
      <c r="AN892" s="16"/>
    </row>
    <row r="893" spans="9:40" x14ac:dyDescent="0.4">
      <c r="I893" s="11"/>
      <c r="J893" s="9"/>
      <c r="K893" s="9"/>
      <c r="O893" s="11"/>
      <c r="P893" s="9"/>
      <c r="Q893" s="9"/>
      <c r="R893" s="9"/>
      <c r="S893" s="9"/>
      <c r="T893" s="31"/>
      <c r="W893" s="16"/>
      <c r="X893" s="9"/>
      <c r="Y893" s="9"/>
      <c r="AA893" s="16"/>
      <c r="AK893" s="16"/>
      <c r="AL893" s="17"/>
      <c r="AN893" s="16"/>
    </row>
    <row r="894" spans="9:40" x14ac:dyDescent="0.4">
      <c r="I894" s="11"/>
      <c r="J894" s="9"/>
      <c r="K894" s="9"/>
      <c r="O894" s="11"/>
      <c r="P894" s="9"/>
      <c r="Q894" s="9"/>
      <c r="R894" s="9"/>
      <c r="S894" s="9"/>
      <c r="T894" s="31"/>
      <c r="W894" s="16"/>
      <c r="X894" s="9"/>
      <c r="Y894" s="9"/>
      <c r="AA894" s="16"/>
      <c r="AK894" s="16"/>
      <c r="AL894" s="17"/>
      <c r="AN894" s="16"/>
    </row>
    <row r="895" spans="9:40" x14ac:dyDescent="0.4">
      <c r="I895" s="11"/>
      <c r="J895" s="9"/>
      <c r="K895" s="9"/>
      <c r="O895" s="11"/>
      <c r="P895" s="9"/>
      <c r="Q895" s="9"/>
      <c r="R895" s="9"/>
      <c r="S895" s="9"/>
      <c r="T895" s="31"/>
      <c r="W895" s="16"/>
      <c r="X895" s="9"/>
      <c r="Y895" s="9"/>
      <c r="AA895" s="16"/>
      <c r="AK895" s="16"/>
      <c r="AL895" s="17"/>
      <c r="AN895" s="16"/>
    </row>
    <row r="896" spans="9:40" x14ac:dyDescent="0.4">
      <c r="I896" s="11"/>
      <c r="J896" s="9"/>
      <c r="K896" s="9"/>
      <c r="O896" s="11"/>
      <c r="P896" s="9"/>
      <c r="Q896" s="9"/>
      <c r="R896" s="9"/>
      <c r="S896" s="9"/>
      <c r="T896" s="31"/>
      <c r="W896" s="16"/>
      <c r="X896" s="9"/>
      <c r="Y896" s="9"/>
      <c r="AA896" s="16"/>
      <c r="AK896" s="16"/>
      <c r="AL896" s="17"/>
      <c r="AN896" s="16"/>
    </row>
    <row r="897" spans="9:40" x14ac:dyDescent="0.4">
      <c r="I897" s="11"/>
      <c r="J897" s="9"/>
      <c r="K897" s="9"/>
      <c r="O897" s="11"/>
      <c r="P897" s="9"/>
      <c r="Q897" s="9"/>
      <c r="R897" s="9"/>
      <c r="S897" s="9"/>
      <c r="T897" s="31"/>
      <c r="W897" s="16"/>
      <c r="X897" s="9"/>
      <c r="Y897" s="9"/>
      <c r="AA897" s="16"/>
      <c r="AK897" s="16"/>
      <c r="AL897" s="17"/>
      <c r="AN897" s="16"/>
    </row>
    <row r="898" spans="9:40" x14ac:dyDescent="0.4">
      <c r="I898" s="11"/>
      <c r="J898" s="9"/>
      <c r="K898" s="9"/>
      <c r="O898" s="11"/>
      <c r="P898" s="9"/>
      <c r="Q898" s="9"/>
      <c r="R898" s="9"/>
      <c r="S898" s="9"/>
      <c r="T898" s="31"/>
      <c r="W898" s="16"/>
      <c r="X898" s="9"/>
      <c r="Y898" s="9"/>
      <c r="AA898" s="16"/>
      <c r="AK898" s="16"/>
      <c r="AL898" s="17"/>
      <c r="AN898" s="16"/>
    </row>
    <row r="899" spans="9:40" x14ac:dyDescent="0.4">
      <c r="I899" s="11"/>
      <c r="J899" s="9"/>
      <c r="K899" s="9"/>
      <c r="O899" s="11"/>
      <c r="P899" s="9"/>
      <c r="Q899" s="9"/>
      <c r="R899" s="9"/>
      <c r="S899" s="9"/>
      <c r="T899" s="31"/>
      <c r="W899" s="16"/>
      <c r="X899" s="9"/>
      <c r="Y899" s="9"/>
      <c r="AA899" s="16"/>
      <c r="AK899" s="16"/>
      <c r="AL899" s="17"/>
      <c r="AN899" s="16"/>
    </row>
    <row r="900" spans="9:40" x14ac:dyDescent="0.4">
      <c r="I900" s="11"/>
      <c r="J900" s="9"/>
      <c r="K900" s="9"/>
      <c r="O900" s="11"/>
      <c r="P900" s="9"/>
      <c r="Q900" s="9"/>
      <c r="R900" s="9"/>
      <c r="S900" s="9"/>
      <c r="T900" s="31"/>
      <c r="W900" s="16"/>
      <c r="X900" s="9"/>
      <c r="Y900" s="9"/>
      <c r="AA900" s="16"/>
      <c r="AK900" s="16"/>
      <c r="AL900" s="17"/>
      <c r="AN900" s="16"/>
    </row>
    <row r="901" spans="9:40" x14ac:dyDescent="0.4">
      <c r="I901" s="11"/>
      <c r="J901" s="9"/>
      <c r="K901" s="9"/>
      <c r="O901" s="11"/>
      <c r="P901" s="9"/>
      <c r="Q901" s="9"/>
      <c r="R901" s="9"/>
      <c r="S901" s="9"/>
      <c r="T901" s="31"/>
      <c r="W901" s="16"/>
      <c r="X901" s="9"/>
      <c r="Y901" s="9"/>
      <c r="AA901" s="16"/>
      <c r="AK901" s="16"/>
      <c r="AL901" s="17"/>
      <c r="AN901" s="16"/>
    </row>
    <row r="902" spans="9:40" x14ac:dyDescent="0.4">
      <c r="I902" s="11"/>
      <c r="J902" s="9"/>
      <c r="K902" s="9"/>
      <c r="O902" s="11"/>
      <c r="P902" s="9"/>
      <c r="Q902" s="9"/>
      <c r="R902" s="9"/>
      <c r="S902" s="9"/>
      <c r="T902" s="31"/>
      <c r="W902" s="16"/>
      <c r="X902" s="9"/>
      <c r="Y902" s="9"/>
      <c r="AA902" s="16"/>
      <c r="AK902" s="16"/>
      <c r="AL902" s="17"/>
      <c r="AN902" s="16"/>
    </row>
    <row r="903" spans="9:40" x14ac:dyDescent="0.4">
      <c r="I903" s="11"/>
      <c r="J903" s="9"/>
      <c r="K903" s="9"/>
      <c r="O903" s="11"/>
      <c r="P903" s="9"/>
      <c r="Q903" s="9"/>
      <c r="R903" s="9"/>
      <c r="S903" s="9"/>
      <c r="T903" s="31"/>
      <c r="W903" s="16"/>
      <c r="X903" s="9"/>
      <c r="Y903" s="9"/>
      <c r="AA903" s="16"/>
      <c r="AK903" s="16"/>
      <c r="AL903" s="17"/>
      <c r="AN903" s="16"/>
    </row>
    <row r="904" spans="9:40" x14ac:dyDescent="0.4">
      <c r="I904" s="11"/>
      <c r="J904" s="9"/>
      <c r="K904" s="9"/>
      <c r="O904" s="11"/>
      <c r="P904" s="9"/>
      <c r="Q904" s="9"/>
      <c r="R904" s="9"/>
      <c r="S904" s="9"/>
      <c r="T904" s="31"/>
      <c r="W904" s="16"/>
      <c r="X904" s="9"/>
      <c r="Y904" s="9"/>
      <c r="AA904" s="16"/>
      <c r="AK904" s="16"/>
      <c r="AL904" s="17"/>
      <c r="AN904" s="16"/>
    </row>
    <row r="905" spans="9:40" x14ac:dyDescent="0.4">
      <c r="I905" s="11"/>
      <c r="J905" s="9"/>
      <c r="K905" s="9"/>
      <c r="O905" s="11"/>
      <c r="P905" s="9"/>
      <c r="Q905" s="9"/>
      <c r="R905" s="9"/>
      <c r="S905" s="9"/>
      <c r="T905" s="31"/>
      <c r="W905" s="16"/>
      <c r="X905" s="9"/>
      <c r="Y905" s="9"/>
      <c r="AA905" s="16"/>
      <c r="AK905" s="16"/>
      <c r="AL905" s="17"/>
      <c r="AN905" s="16"/>
    </row>
    <row r="906" spans="9:40" x14ac:dyDescent="0.4">
      <c r="I906" s="11"/>
      <c r="J906" s="9"/>
      <c r="K906" s="9"/>
      <c r="O906" s="11"/>
      <c r="P906" s="9"/>
      <c r="Q906" s="9"/>
      <c r="R906" s="9"/>
      <c r="S906" s="9"/>
      <c r="T906" s="31"/>
      <c r="W906" s="16"/>
      <c r="X906" s="9"/>
      <c r="Y906" s="9"/>
      <c r="AA906" s="16"/>
      <c r="AK906" s="16"/>
      <c r="AL906" s="17"/>
      <c r="AN906" s="16"/>
    </row>
    <row r="907" spans="9:40" x14ac:dyDescent="0.4">
      <c r="I907" s="11"/>
      <c r="J907" s="9"/>
      <c r="K907" s="9"/>
      <c r="O907" s="11"/>
      <c r="P907" s="9"/>
      <c r="Q907" s="9"/>
      <c r="R907" s="9"/>
      <c r="S907" s="9"/>
      <c r="T907" s="31"/>
      <c r="W907" s="16"/>
      <c r="X907" s="9"/>
      <c r="Y907" s="9"/>
      <c r="AA907" s="16"/>
      <c r="AK907" s="16"/>
      <c r="AL907" s="17"/>
      <c r="AN907" s="16"/>
    </row>
    <row r="908" spans="9:40" x14ac:dyDescent="0.4">
      <c r="I908" s="11"/>
      <c r="J908" s="9"/>
      <c r="K908" s="9"/>
      <c r="O908" s="11"/>
      <c r="P908" s="9"/>
      <c r="Q908" s="9"/>
      <c r="R908" s="9"/>
      <c r="S908" s="9"/>
      <c r="T908" s="31"/>
      <c r="W908" s="16"/>
      <c r="X908" s="9"/>
      <c r="Y908" s="9"/>
      <c r="AA908" s="16"/>
      <c r="AK908" s="16"/>
      <c r="AL908" s="17"/>
      <c r="AN908" s="16"/>
    </row>
    <row r="909" spans="9:40" x14ac:dyDescent="0.4">
      <c r="I909" s="11"/>
      <c r="J909" s="9"/>
      <c r="K909" s="9"/>
      <c r="O909" s="11"/>
      <c r="P909" s="9"/>
      <c r="Q909" s="9"/>
      <c r="R909" s="9"/>
      <c r="S909" s="9"/>
      <c r="T909" s="31"/>
      <c r="W909" s="16"/>
      <c r="X909" s="9"/>
      <c r="Y909" s="9"/>
      <c r="AA909" s="16"/>
      <c r="AK909" s="16"/>
      <c r="AL909" s="17"/>
      <c r="AN909" s="16"/>
    </row>
    <row r="910" spans="9:40" x14ac:dyDescent="0.4">
      <c r="I910" s="11"/>
      <c r="J910" s="9"/>
      <c r="K910" s="9"/>
      <c r="O910" s="11"/>
      <c r="P910" s="9"/>
      <c r="Q910" s="9"/>
      <c r="R910" s="9"/>
      <c r="S910" s="9"/>
      <c r="T910" s="31"/>
      <c r="W910" s="16"/>
      <c r="X910" s="9"/>
      <c r="Y910" s="9"/>
      <c r="AA910" s="16"/>
      <c r="AK910" s="16"/>
      <c r="AL910" s="17"/>
      <c r="AN910" s="16"/>
    </row>
    <row r="911" spans="9:40" x14ac:dyDescent="0.4">
      <c r="I911" s="11"/>
      <c r="J911" s="9"/>
      <c r="K911" s="9"/>
      <c r="O911" s="11"/>
      <c r="P911" s="9"/>
      <c r="Q911" s="9"/>
      <c r="R911" s="9"/>
      <c r="S911" s="9"/>
      <c r="T911" s="31"/>
      <c r="W911" s="16"/>
      <c r="X911" s="9"/>
      <c r="Y911" s="9"/>
      <c r="AA911" s="16"/>
      <c r="AK911" s="16"/>
      <c r="AL911" s="17"/>
      <c r="AN911" s="16"/>
    </row>
    <row r="912" spans="9:40" x14ac:dyDescent="0.4">
      <c r="I912" s="11"/>
      <c r="J912" s="9"/>
      <c r="K912" s="9"/>
      <c r="O912" s="11"/>
      <c r="P912" s="9"/>
      <c r="Q912" s="9"/>
      <c r="R912" s="9"/>
      <c r="S912" s="9"/>
      <c r="T912" s="31"/>
      <c r="W912" s="16"/>
      <c r="X912" s="9"/>
      <c r="Y912" s="9"/>
      <c r="AA912" s="16"/>
      <c r="AK912" s="16"/>
      <c r="AL912" s="17"/>
      <c r="AN912" s="16"/>
    </row>
    <row r="913" spans="9:40" x14ac:dyDescent="0.4">
      <c r="I913" s="11"/>
      <c r="J913" s="9"/>
      <c r="K913" s="9"/>
      <c r="O913" s="11"/>
      <c r="P913" s="9"/>
      <c r="Q913" s="9"/>
      <c r="R913" s="9"/>
      <c r="S913" s="9"/>
      <c r="T913" s="31"/>
      <c r="W913" s="16"/>
      <c r="X913" s="9"/>
      <c r="Y913" s="9"/>
      <c r="AA913" s="16"/>
      <c r="AK913" s="16"/>
      <c r="AL913" s="17"/>
      <c r="AN913" s="16"/>
    </row>
    <row r="914" spans="9:40" x14ac:dyDescent="0.4">
      <c r="I914" s="11"/>
      <c r="J914" s="9"/>
      <c r="K914" s="9"/>
      <c r="O914" s="11"/>
      <c r="P914" s="9"/>
      <c r="Q914" s="9"/>
      <c r="R914" s="9"/>
      <c r="S914" s="9"/>
      <c r="T914" s="31"/>
      <c r="W914" s="16"/>
      <c r="X914" s="9"/>
      <c r="Y914" s="9"/>
      <c r="AA914" s="16"/>
      <c r="AK914" s="16"/>
      <c r="AL914" s="17"/>
      <c r="AN914" s="16"/>
    </row>
    <row r="915" spans="9:40" x14ac:dyDescent="0.4">
      <c r="I915" s="11"/>
      <c r="J915" s="9"/>
      <c r="K915" s="9"/>
      <c r="O915" s="11"/>
      <c r="P915" s="9"/>
      <c r="Q915" s="9"/>
      <c r="R915" s="9"/>
      <c r="S915" s="9"/>
      <c r="T915" s="31"/>
      <c r="W915" s="16"/>
      <c r="X915" s="9"/>
      <c r="Y915" s="9"/>
      <c r="AA915" s="16"/>
      <c r="AK915" s="16"/>
      <c r="AL915" s="17"/>
      <c r="AN915" s="16"/>
    </row>
    <row r="916" spans="9:40" x14ac:dyDescent="0.4">
      <c r="I916" s="11"/>
      <c r="J916" s="9"/>
      <c r="K916" s="9"/>
      <c r="O916" s="11"/>
      <c r="P916" s="9"/>
      <c r="Q916" s="9"/>
      <c r="R916" s="9"/>
      <c r="S916" s="9"/>
      <c r="T916" s="31"/>
      <c r="W916" s="16"/>
      <c r="X916" s="9"/>
      <c r="Y916" s="9"/>
      <c r="AA916" s="16"/>
      <c r="AK916" s="16"/>
      <c r="AL916" s="17"/>
      <c r="AN916" s="16"/>
    </row>
    <row r="917" spans="9:40" x14ac:dyDescent="0.4">
      <c r="I917" s="11"/>
      <c r="J917" s="9"/>
      <c r="K917" s="9"/>
      <c r="O917" s="11"/>
      <c r="P917" s="9"/>
      <c r="Q917" s="9"/>
      <c r="R917" s="9"/>
      <c r="S917" s="9"/>
      <c r="T917" s="31"/>
      <c r="W917" s="16"/>
      <c r="X917" s="9"/>
      <c r="Y917" s="9"/>
      <c r="AA917" s="16"/>
      <c r="AK917" s="16"/>
      <c r="AL917" s="17"/>
      <c r="AN917" s="16"/>
    </row>
    <row r="918" spans="9:40" x14ac:dyDescent="0.4">
      <c r="I918" s="11"/>
      <c r="J918" s="9"/>
      <c r="K918" s="9"/>
      <c r="O918" s="11"/>
      <c r="P918" s="9"/>
      <c r="Q918" s="9"/>
      <c r="R918" s="9"/>
      <c r="S918" s="9"/>
      <c r="T918" s="31"/>
      <c r="W918" s="16"/>
      <c r="X918" s="9"/>
      <c r="Y918" s="9"/>
      <c r="AA918" s="16"/>
      <c r="AK918" s="16"/>
      <c r="AL918" s="17"/>
      <c r="AN918" s="16"/>
    </row>
    <row r="919" spans="9:40" x14ac:dyDescent="0.4">
      <c r="I919" s="11"/>
      <c r="J919" s="9"/>
      <c r="K919" s="9"/>
      <c r="O919" s="11"/>
      <c r="P919" s="9"/>
      <c r="Q919" s="9"/>
      <c r="R919" s="9"/>
      <c r="S919" s="9"/>
      <c r="T919" s="31"/>
      <c r="W919" s="16"/>
      <c r="X919" s="9"/>
      <c r="Y919" s="9"/>
      <c r="AA919" s="16"/>
      <c r="AK919" s="16"/>
      <c r="AL919" s="17"/>
      <c r="AN919" s="16"/>
    </row>
    <row r="920" spans="9:40" x14ac:dyDescent="0.4">
      <c r="I920" s="11"/>
      <c r="J920" s="9"/>
      <c r="K920" s="9"/>
      <c r="O920" s="11"/>
      <c r="P920" s="9"/>
      <c r="Q920" s="9"/>
      <c r="R920" s="9"/>
      <c r="S920" s="9"/>
      <c r="T920" s="31"/>
      <c r="W920" s="16"/>
      <c r="X920" s="9"/>
      <c r="Y920" s="9"/>
      <c r="AA920" s="16"/>
      <c r="AK920" s="16"/>
      <c r="AL920" s="17"/>
      <c r="AN920" s="16"/>
    </row>
    <row r="921" spans="9:40" x14ac:dyDescent="0.4">
      <c r="I921" s="11"/>
      <c r="J921" s="9"/>
      <c r="K921" s="9"/>
      <c r="O921" s="11"/>
      <c r="P921" s="9"/>
      <c r="Q921" s="9"/>
      <c r="R921" s="9"/>
      <c r="S921" s="9"/>
      <c r="T921" s="31"/>
      <c r="W921" s="16"/>
      <c r="X921" s="9"/>
      <c r="Y921" s="9"/>
      <c r="AA921" s="16"/>
      <c r="AK921" s="16"/>
      <c r="AL921" s="17"/>
      <c r="AN921" s="16"/>
    </row>
    <row r="922" spans="9:40" x14ac:dyDescent="0.4">
      <c r="I922" s="11"/>
      <c r="J922" s="9"/>
      <c r="K922" s="9"/>
      <c r="O922" s="11"/>
      <c r="P922" s="9"/>
      <c r="Q922" s="9"/>
      <c r="R922" s="9"/>
      <c r="S922" s="9"/>
      <c r="T922" s="31"/>
      <c r="W922" s="16"/>
      <c r="X922" s="9"/>
      <c r="Y922" s="9"/>
      <c r="AA922" s="16"/>
      <c r="AK922" s="16"/>
      <c r="AL922" s="17"/>
      <c r="AN922" s="16"/>
    </row>
    <row r="923" spans="9:40" x14ac:dyDescent="0.4">
      <c r="I923" s="11"/>
      <c r="J923" s="9"/>
      <c r="K923" s="9"/>
      <c r="O923" s="11"/>
      <c r="P923" s="9"/>
      <c r="Q923" s="9"/>
      <c r="R923" s="9"/>
      <c r="S923" s="9"/>
      <c r="T923" s="31"/>
      <c r="W923" s="16"/>
      <c r="X923" s="9"/>
      <c r="Y923" s="9"/>
      <c r="AA923" s="16"/>
      <c r="AK923" s="16"/>
      <c r="AL923" s="17"/>
      <c r="AN923" s="16"/>
    </row>
    <row r="924" spans="9:40" x14ac:dyDescent="0.4">
      <c r="I924" s="11"/>
      <c r="J924" s="9"/>
      <c r="K924" s="9"/>
      <c r="O924" s="11"/>
      <c r="P924" s="9"/>
      <c r="Q924" s="9"/>
      <c r="R924" s="9"/>
      <c r="S924" s="9"/>
      <c r="T924" s="31"/>
      <c r="W924" s="16"/>
      <c r="X924" s="9"/>
      <c r="Y924" s="9"/>
      <c r="AA924" s="16"/>
      <c r="AK924" s="16"/>
      <c r="AL924" s="17"/>
      <c r="AN924" s="16"/>
    </row>
    <row r="925" spans="9:40" x14ac:dyDescent="0.4">
      <c r="I925" s="11"/>
      <c r="J925" s="9"/>
      <c r="K925" s="9"/>
      <c r="O925" s="11"/>
      <c r="P925" s="9"/>
      <c r="Q925" s="9"/>
      <c r="R925" s="9"/>
      <c r="S925" s="9"/>
      <c r="T925" s="31"/>
      <c r="W925" s="16"/>
      <c r="X925" s="9"/>
      <c r="Y925" s="9"/>
      <c r="AA925" s="16"/>
      <c r="AK925" s="16"/>
      <c r="AL925" s="17"/>
      <c r="AN925" s="16"/>
    </row>
    <row r="926" spans="9:40" x14ac:dyDescent="0.4">
      <c r="I926" s="11"/>
      <c r="J926" s="9"/>
      <c r="K926" s="9"/>
      <c r="O926" s="11"/>
      <c r="P926" s="9"/>
      <c r="Q926" s="9"/>
      <c r="R926" s="9"/>
      <c r="S926" s="9"/>
      <c r="T926" s="31"/>
      <c r="W926" s="16"/>
      <c r="X926" s="9"/>
      <c r="Y926" s="9"/>
      <c r="AA926" s="16"/>
      <c r="AK926" s="16"/>
      <c r="AL926" s="17"/>
      <c r="AN926" s="16"/>
    </row>
    <row r="927" spans="9:40" x14ac:dyDescent="0.4">
      <c r="I927" s="11"/>
      <c r="J927" s="9"/>
      <c r="K927" s="9"/>
      <c r="O927" s="11"/>
      <c r="P927" s="9"/>
      <c r="Q927" s="9"/>
      <c r="R927" s="9"/>
      <c r="S927" s="9"/>
      <c r="T927" s="31"/>
      <c r="W927" s="16"/>
      <c r="X927" s="9"/>
      <c r="Y927" s="9"/>
      <c r="AA927" s="16"/>
      <c r="AK927" s="16"/>
      <c r="AL927" s="17"/>
      <c r="AN927" s="16"/>
    </row>
    <row r="928" spans="9:40" x14ac:dyDescent="0.4">
      <c r="I928" s="11"/>
      <c r="J928" s="9"/>
      <c r="K928" s="9"/>
      <c r="O928" s="11"/>
      <c r="P928" s="9"/>
      <c r="Q928" s="9"/>
      <c r="R928" s="9"/>
      <c r="S928" s="9"/>
      <c r="T928" s="31"/>
      <c r="W928" s="16"/>
      <c r="X928" s="9"/>
      <c r="Y928" s="9"/>
      <c r="AA928" s="16"/>
      <c r="AK928" s="16"/>
      <c r="AL928" s="17"/>
      <c r="AN928" s="16"/>
    </row>
    <row r="929" spans="9:40" x14ac:dyDescent="0.4">
      <c r="I929" s="11"/>
      <c r="J929" s="9"/>
      <c r="K929" s="9"/>
      <c r="O929" s="11"/>
      <c r="P929" s="9"/>
      <c r="Q929" s="9"/>
      <c r="R929" s="9"/>
      <c r="S929" s="9"/>
      <c r="T929" s="31"/>
      <c r="W929" s="16"/>
      <c r="X929" s="9"/>
      <c r="Y929" s="9"/>
      <c r="AA929" s="16"/>
      <c r="AK929" s="16"/>
      <c r="AL929" s="17"/>
      <c r="AN929" s="16"/>
    </row>
    <row r="930" spans="9:40" x14ac:dyDescent="0.4">
      <c r="I930" s="11"/>
      <c r="J930" s="9"/>
      <c r="K930" s="9"/>
      <c r="O930" s="11"/>
      <c r="P930" s="9"/>
      <c r="Q930" s="9"/>
      <c r="R930" s="9"/>
      <c r="S930" s="9"/>
      <c r="T930" s="31"/>
      <c r="W930" s="16"/>
      <c r="X930" s="9"/>
      <c r="Y930" s="9"/>
      <c r="AA930" s="16"/>
      <c r="AK930" s="16"/>
      <c r="AL930" s="17"/>
      <c r="AN930" s="16"/>
    </row>
    <row r="931" spans="9:40" x14ac:dyDescent="0.4">
      <c r="I931" s="11"/>
      <c r="J931" s="9"/>
      <c r="K931" s="9"/>
      <c r="O931" s="11"/>
      <c r="P931" s="9"/>
      <c r="Q931" s="9"/>
      <c r="R931" s="9"/>
      <c r="S931" s="9"/>
      <c r="T931" s="31"/>
      <c r="W931" s="16"/>
      <c r="X931" s="9"/>
      <c r="Y931" s="9"/>
      <c r="AA931" s="16"/>
      <c r="AK931" s="16"/>
      <c r="AL931" s="17"/>
      <c r="AN931" s="16"/>
    </row>
    <row r="932" spans="9:40" x14ac:dyDescent="0.4">
      <c r="I932" s="11"/>
      <c r="J932" s="9"/>
      <c r="K932" s="9"/>
      <c r="O932" s="11"/>
      <c r="P932" s="9"/>
      <c r="Q932" s="9"/>
      <c r="R932" s="9"/>
      <c r="S932" s="9"/>
      <c r="T932" s="31"/>
      <c r="W932" s="16"/>
      <c r="X932" s="9"/>
      <c r="Y932" s="9"/>
      <c r="AA932" s="16"/>
      <c r="AK932" s="16"/>
      <c r="AL932" s="17"/>
      <c r="AN932" s="16"/>
    </row>
    <row r="933" spans="9:40" x14ac:dyDescent="0.4">
      <c r="I933" s="11"/>
      <c r="J933" s="9"/>
      <c r="K933" s="9"/>
      <c r="O933" s="11"/>
      <c r="P933" s="9"/>
      <c r="Q933" s="9"/>
      <c r="R933" s="9"/>
      <c r="S933" s="9"/>
      <c r="T933" s="31"/>
      <c r="W933" s="16"/>
      <c r="X933" s="9"/>
      <c r="Y933" s="9"/>
      <c r="AA933" s="16"/>
      <c r="AK933" s="16"/>
      <c r="AL933" s="17"/>
      <c r="AN933" s="16"/>
    </row>
    <row r="934" spans="9:40" x14ac:dyDescent="0.4">
      <c r="I934" s="11"/>
      <c r="J934" s="9"/>
      <c r="K934" s="9"/>
      <c r="O934" s="11"/>
      <c r="P934" s="9"/>
      <c r="Q934" s="9"/>
      <c r="R934" s="9"/>
      <c r="S934" s="9"/>
      <c r="T934" s="31"/>
      <c r="W934" s="16"/>
      <c r="X934" s="9"/>
      <c r="Y934" s="9"/>
      <c r="AA934" s="16"/>
      <c r="AK934" s="16"/>
      <c r="AL934" s="17"/>
      <c r="AN934" s="16"/>
    </row>
    <row r="935" spans="9:40" x14ac:dyDescent="0.4">
      <c r="I935" s="11"/>
      <c r="J935" s="9"/>
      <c r="K935" s="9"/>
      <c r="O935" s="11"/>
      <c r="P935" s="9"/>
      <c r="Q935" s="9"/>
      <c r="R935" s="9"/>
      <c r="S935" s="9"/>
      <c r="T935" s="31"/>
      <c r="W935" s="16"/>
      <c r="X935" s="9"/>
      <c r="Y935" s="9"/>
      <c r="AA935" s="16"/>
      <c r="AK935" s="16"/>
      <c r="AL935" s="17"/>
      <c r="AN935" s="16"/>
    </row>
    <row r="936" spans="9:40" x14ac:dyDescent="0.4">
      <c r="I936" s="11"/>
      <c r="J936" s="9"/>
      <c r="K936" s="9"/>
      <c r="O936" s="11"/>
      <c r="P936" s="9"/>
      <c r="Q936" s="9"/>
      <c r="R936" s="9"/>
      <c r="S936" s="9"/>
      <c r="T936" s="31"/>
      <c r="W936" s="16"/>
      <c r="X936" s="9"/>
      <c r="Y936" s="9"/>
      <c r="AA936" s="16"/>
      <c r="AK936" s="16"/>
      <c r="AL936" s="17"/>
      <c r="AN936" s="16"/>
    </row>
    <row r="937" spans="9:40" x14ac:dyDescent="0.4">
      <c r="I937" s="11"/>
      <c r="J937" s="9"/>
      <c r="K937" s="9"/>
      <c r="O937" s="11"/>
      <c r="P937" s="9"/>
      <c r="Q937" s="9"/>
      <c r="R937" s="9"/>
      <c r="S937" s="9"/>
      <c r="T937" s="31"/>
      <c r="W937" s="16"/>
      <c r="X937" s="9"/>
      <c r="Y937" s="9"/>
      <c r="AA937" s="16"/>
      <c r="AK937" s="16"/>
      <c r="AL937" s="17"/>
      <c r="AN937" s="16"/>
    </row>
    <row r="938" spans="9:40" x14ac:dyDescent="0.4">
      <c r="I938" s="11"/>
      <c r="J938" s="9"/>
      <c r="K938" s="9"/>
      <c r="O938" s="11"/>
      <c r="P938" s="9"/>
      <c r="Q938" s="9"/>
      <c r="R938" s="9"/>
      <c r="S938" s="9"/>
      <c r="T938" s="31"/>
      <c r="W938" s="16"/>
      <c r="X938" s="9"/>
      <c r="Y938" s="9"/>
      <c r="AA938" s="16"/>
      <c r="AK938" s="16"/>
      <c r="AL938" s="17"/>
      <c r="AN938" s="16"/>
    </row>
    <row r="939" spans="9:40" x14ac:dyDescent="0.4">
      <c r="I939" s="11"/>
      <c r="J939" s="9"/>
      <c r="K939" s="9"/>
      <c r="O939" s="11"/>
      <c r="P939" s="9"/>
      <c r="Q939" s="9"/>
      <c r="R939" s="9"/>
      <c r="S939" s="9"/>
      <c r="T939" s="31"/>
      <c r="W939" s="16"/>
      <c r="X939" s="9"/>
      <c r="Y939" s="9"/>
      <c r="AA939" s="16"/>
      <c r="AK939" s="16"/>
      <c r="AL939" s="17"/>
      <c r="AN939" s="16"/>
    </row>
    <row r="940" spans="9:40" x14ac:dyDescent="0.4">
      <c r="I940" s="11"/>
      <c r="J940" s="9"/>
      <c r="K940" s="9"/>
      <c r="O940" s="11"/>
      <c r="P940" s="9"/>
      <c r="Q940" s="9"/>
      <c r="R940" s="9"/>
      <c r="S940" s="9"/>
      <c r="T940" s="31"/>
      <c r="W940" s="16"/>
      <c r="X940" s="9"/>
      <c r="Y940" s="9"/>
      <c r="AA940" s="16"/>
      <c r="AK940" s="16"/>
      <c r="AL940" s="17"/>
      <c r="AN940" s="16"/>
    </row>
    <row r="941" spans="9:40" x14ac:dyDescent="0.4">
      <c r="I941" s="11"/>
      <c r="J941" s="9"/>
      <c r="K941" s="9"/>
      <c r="O941" s="11"/>
      <c r="P941" s="9"/>
      <c r="Q941" s="9"/>
      <c r="R941" s="9"/>
      <c r="S941" s="9"/>
      <c r="T941" s="31"/>
      <c r="W941" s="16"/>
      <c r="X941" s="9"/>
      <c r="Y941" s="9"/>
      <c r="AA941" s="16"/>
      <c r="AK941" s="16"/>
      <c r="AL941" s="17"/>
      <c r="AN941" s="16"/>
    </row>
    <row r="942" spans="9:40" x14ac:dyDescent="0.4">
      <c r="I942" s="11"/>
      <c r="J942" s="9"/>
      <c r="K942" s="9"/>
      <c r="O942" s="11"/>
      <c r="P942" s="9"/>
      <c r="Q942" s="9"/>
      <c r="R942" s="9"/>
      <c r="S942" s="9"/>
      <c r="T942" s="31"/>
      <c r="W942" s="16"/>
      <c r="X942" s="9"/>
      <c r="Y942" s="9"/>
      <c r="AA942" s="16"/>
      <c r="AK942" s="16"/>
      <c r="AL942" s="17"/>
      <c r="AN942" s="16"/>
    </row>
    <row r="943" spans="9:40" x14ac:dyDescent="0.4">
      <c r="I943" s="11"/>
      <c r="J943" s="9"/>
      <c r="K943" s="9"/>
      <c r="O943" s="11"/>
      <c r="P943" s="9"/>
      <c r="Q943" s="9"/>
      <c r="R943" s="9"/>
      <c r="S943" s="9"/>
      <c r="T943" s="31"/>
      <c r="W943" s="16"/>
      <c r="X943" s="9"/>
      <c r="Y943" s="9"/>
      <c r="AA943" s="16"/>
      <c r="AK943" s="16"/>
      <c r="AL943" s="17"/>
      <c r="AN943" s="16"/>
    </row>
    <row r="944" spans="9:40" x14ac:dyDescent="0.4">
      <c r="I944" s="11"/>
      <c r="J944" s="9"/>
      <c r="K944" s="9"/>
      <c r="O944" s="11"/>
      <c r="P944" s="9"/>
      <c r="Q944" s="9"/>
      <c r="R944" s="9"/>
      <c r="S944" s="9"/>
      <c r="T944" s="31"/>
      <c r="W944" s="16"/>
      <c r="X944" s="9"/>
      <c r="Y944" s="9"/>
      <c r="AA944" s="16"/>
      <c r="AK944" s="16"/>
      <c r="AL944" s="17"/>
      <c r="AN944" s="16"/>
    </row>
    <row r="945" spans="9:40" x14ac:dyDescent="0.4">
      <c r="I945" s="11"/>
      <c r="J945" s="9"/>
      <c r="K945" s="9"/>
      <c r="O945" s="11"/>
      <c r="P945" s="9"/>
      <c r="Q945" s="9"/>
      <c r="R945" s="9"/>
      <c r="S945" s="9"/>
      <c r="T945" s="31"/>
      <c r="W945" s="16"/>
      <c r="X945" s="9"/>
      <c r="Y945" s="9"/>
      <c r="AA945" s="16"/>
      <c r="AK945" s="16"/>
      <c r="AL945" s="17"/>
      <c r="AN945" s="16"/>
    </row>
    <row r="946" spans="9:40" x14ac:dyDescent="0.4">
      <c r="I946" s="11"/>
      <c r="J946" s="9"/>
      <c r="K946" s="9"/>
      <c r="O946" s="11"/>
      <c r="P946" s="9"/>
      <c r="Q946" s="9"/>
      <c r="R946" s="9"/>
      <c r="S946" s="9"/>
      <c r="T946" s="31"/>
      <c r="W946" s="16"/>
      <c r="X946" s="9"/>
      <c r="Y946" s="9"/>
      <c r="AA946" s="16"/>
      <c r="AK946" s="16"/>
      <c r="AL946" s="17"/>
      <c r="AN946" s="16"/>
    </row>
    <row r="947" spans="9:40" x14ac:dyDescent="0.4">
      <c r="I947" s="11"/>
      <c r="J947" s="9"/>
      <c r="K947" s="9"/>
      <c r="O947" s="11"/>
      <c r="P947" s="9"/>
      <c r="Q947" s="9"/>
      <c r="R947" s="9"/>
      <c r="S947" s="9"/>
      <c r="T947" s="31"/>
      <c r="W947" s="16"/>
      <c r="X947" s="9"/>
      <c r="Y947" s="9"/>
      <c r="AA947" s="16"/>
      <c r="AK947" s="16"/>
      <c r="AL947" s="17"/>
      <c r="AN947" s="16"/>
    </row>
    <row r="948" spans="9:40" x14ac:dyDescent="0.4">
      <c r="I948" s="11"/>
      <c r="J948" s="9"/>
      <c r="K948" s="9"/>
      <c r="O948" s="11"/>
      <c r="P948" s="9"/>
      <c r="Q948" s="9"/>
      <c r="R948" s="9"/>
      <c r="S948" s="9"/>
      <c r="T948" s="31"/>
      <c r="W948" s="16"/>
      <c r="X948" s="9"/>
      <c r="Y948" s="9"/>
      <c r="AA948" s="16"/>
      <c r="AK948" s="16"/>
      <c r="AL948" s="17"/>
      <c r="AN948" s="16"/>
    </row>
    <row r="949" spans="9:40" x14ac:dyDescent="0.4">
      <c r="I949" s="11"/>
      <c r="J949" s="9"/>
      <c r="K949" s="9"/>
      <c r="O949" s="11"/>
      <c r="P949" s="9"/>
      <c r="Q949" s="9"/>
      <c r="R949" s="9"/>
      <c r="S949" s="9"/>
      <c r="T949" s="31"/>
      <c r="W949" s="16"/>
      <c r="X949" s="9"/>
      <c r="Y949" s="9"/>
      <c r="AA949" s="16"/>
      <c r="AK949" s="16"/>
      <c r="AL949" s="17"/>
      <c r="AN949" s="16"/>
    </row>
    <row r="950" spans="9:40" x14ac:dyDescent="0.4">
      <c r="I950" s="11"/>
      <c r="J950" s="9"/>
      <c r="K950" s="9"/>
      <c r="O950" s="11"/>
      <c r="P950" s="9"/>
      <c r="Q950" s="9"/>
      <c r="R950" s="9"/>
      <c r="S950" s="9"/>
      <c r="T950" s="31"/>
      <c r="W950" s="16"/>
      <c r="X950" s="9"/>
      <c r="Y950" s="9"/>
      <c r="AA950" s="16"/>
      <c r="AK950" s="16"/>
      <c r="AL950" s="17"/>
      <c r="AN950" s="16"/>
    </row>
    <row r="951" spans="9:40" x14ac:dyDescent="0.4">
      <c r="I951" s="11"/>
      <c r="J951" s="9"/>
      <c r="K951" s="9"/>
      <c r="O951" s="11"/>
      <c r="P951" s="9"/>
      <c r="Q951" s="9"/>
      <c r="R951" s="9"/>
      <c r="S951" s="9"/>
      <c r="T951" s="31"/>
      <c r="W951" s="16"/>
      <c r="X951" s="9"/>
      <c r="Y951" s="9"/>
      <c r="AA951" s="16"/>
      <c r="AK951" s="16"/>
      <c r="AL951" s="17"/>
      <c r="AN951" s="16"/>
    </row>
    <row r="952" spans="9:40" x14ac:dyDescent="0.4">
      <c r="I952" s="11"/>
      <c r="J952" s="9"/>
      <c r="K952" s="9"/>
      <c r="O952" s="11"/>
      <c r="P952" s="9"/>
      <c r="Q952" s="9"/>
      <c r="R952" s="9"/>
      <c r="S952" s="9"/>
      <c r="T952" s="31"/>
      <c r="W952" s="16"/>
      <c r="X952" s="9"/>
      <c r="Y952" s="9"/>
      <c r="AA952" s="16"/>
      <c r="AK952" s="16"/>
      <c r="AL952" s="17"/>
      <c r="AN952" s="16"/>
    </row>
    <row r="953" spans="9:40" x14ac:dyDescent="0.4">
      <c r="I953" s="11"/>
      <c r="J953" s="9"/>
      <c r="K953" s="9"/>
      <c r="O953" s="11"/>
      <c r="P953" s="9"/>
      <c r="Q953" s="9"/>
      <c r="R953" s="9"/>
      <c r="S953" s="9"/>
      <c r="T953" s="31"/>
      <c r="W953" s="16"/>
      <c r="X953" s="9"/>
      <c r="Y953" s="9"/>
      <c r="AA953" s="16"/>
      <c r="AK953" s="16"/>
      <c r="AL953" s="17"/>
      <c r="AN953" s="16"/>
    </row>
    <row r="954" spans="9:40" x14ac:dyDescent="0.4">
      <c r="I954" s="11"/>
      <c r="J954" s="9"/>
      <c r="K954" s="9"/>
      <c r="O954" s="11"/>
      <c r="P954" s="9"/>
      <c r="Q954" s="9"/>
      <c r="R954" s="9"/>
      <c r="S954" s="9"/>
      <c r="T954" s="31"/>
      <c r="W954" s="16"/>
      <c r="X954" s="9"/>
      <c r="Y954" s="9"/>
      <c r="AA954" s="16"/>
      <c r="AK954" s="16"/>
      <c r="AL954" s="17"/>
      <c r="AN954" s="16"/>
    </row>
    <row r="955" spans="9:40" x14ac:dyDescent="0.4">
      <c r="I955" s="11"/>
      <c r="J955" s="9"/>
      <c r="K955" s="9"/>
      <c r="O955" s="11"/>
      <c r="P955" s="9"/>
      <c r="Q955" s="9"/>
      <c r="R955" s="9"/>
      <c r="S955" s="9"/>
      <c r="T955" s="31"/>
      <c r="W955" s="16"/>
      <c r="X955" s="9"/>
      <c r="Y955" s="9"/>
      <c r="AA955" s="16"/>
      <c r="AK955" s="16"/>
      <c r="AL955" s="17"/>
      <c r="AN955" s="16"/>
    </row>
    <row r="956" spans="9:40" x14ac:dyDescent="0.4">
      <c r="I956" s="11"/>
      <c r="J956" s="9"/>
      <c r="K956" s="9"/>
      <c r="O956" s="11"/>
      <c r="P956" s="9"/>
      <c r="Q956" s="9"/>
      <c r="R956" s="9"/>
      <c r="S956" s="9"/>
      <c r="T956" s="31"/>
      <c r="W956" s="16"/>
      <c r="X956" s="9"/>
      <c r="Y956" s="9"/>
      <c r="AA956" s="16"/>
      <c r="AK956" s="16"/>
      <c r="AL956" s="17"/>
      <c r="AN956" s="16"/>
    </row>
    <row r="957" spans="9:40" x14ac:dyDescent="0.4">
      <c r="I957" s="11"/>
      <c r="J957" s="9"/>
      <c r="K957" s="9"/>
      <c r="O957" s="11"/>
      <c r="P957" s="9"/>
      <c r="Q957" s="9"/>
      <c r="R957" s="9"/>
      <c r="S957" s="9"/>
      <c r="T957" s="31"/>
      <c r="W957" s="16"/>
      <c r="X957" s="9"/>
      <c r="Y957" s="9"/>
      <c r="AA957" s="16"/>
      <c r="AK957" s="16"/>
      <c r="AL957" s="17"/>
      <c r="AN957" s="16"/>
    </row>
    <row r="958" spans="9:40" x14ac:dyDescent="0.4">
      <c r="I958" s="11"/>
      <c r="J958" s="9"/>
      <c r="K958" s="9"/>
      <c r="O958" s="11"/>
      <c r="P958" s="9"/>
      <c r="Q958" s="9"/>
      <c r="R958" s="9"/>
      <c r="S958" s="9"/>
      <c r="T958" s="31"/>
      <c r="W958" s="16"/>
      <c r="X958" s="9"/>
      <c r="Y958" s="9"/>
      <c r="AA958" s="16"/>
      <c r="AK958" s="16"/>
      <c r="AL958" s="17"/>
      <c r="AN958" s="16"/>
    </row>
    <row r="959" spans="9:40" x14ac:dyDescent="0.4">
      <c r="I959" s="11"/>
      <c r="J959" s="9"/>
      <c r="K959" s="9"/>
      <c r="O959" s="11"/>
      <c r="P959" s="9"/>
      <c r="Q959" s="9"/>
      <c r="R959" s="9"/>
      <c r="S959" s="9"/>
      <c r="T959" s="31"/>
      <c r="W959" s="16"/>
      <c r="X959" s="9"/>
      <c r="Y959" s="9"/>
      <c r="AA959" s="16"/>
      <c r="AK959" s="16"/>
      <c r="AL959" s="17"/>
      <c r="AN959" s="16"/>
    </row>
    <row r="960" spans="9:40" x14ac:dyDescent="0.4">
      <c r="I960" s="11"/>
      <c r="J960" s="9"/>
      <c r="K960" s="9"/>
      <c r="O960" s="11"/>
      <c r="P960" s="9"/>
      <c r="Q960" s="9"/>
      <c r="R960" s="9"/>
      <c r="S960" s="9"/>
      <c r="T960" s="31"/>
      <c r="W960" s="16"/>
      <c r="X960" s="9"/>
      <c r="Y960" s="9"/>
      <c r="AA960" s="16"/>
      <c r="AK960" s="16"/>
      <c r="AL960" s="17"/>
      <c r="AN960" s="16"/>
    </row>
    <row r="961" spans="9:40" x14ac:dyDescent="0.4">
      <c r="I961" s="11"/>
      <c r="J961" s="9"/>
      <c r="K961" s="9"/>
      <c r="O961" s="11"/>
      <c r="P961" s="9"/>
      <c r="Q961" s="9"/>
      <c r="R961" s="9"/>
      <c r="S961" s="9"/>
      <c r="T961" s="31"/>
      <c r="W961" s="16"/>
      <c r="X961" s="9"/>
      <c r="Y961" s="9"/>
      <c r="AA961" s="16"/>
      <c r="AK961" s="16"/>
      <c r="AL961" s="17"/>
      <c r="AN961" s="16"/>
    </row>
    <row r="962" spans="9:40" x14ac:dyDescent="0.4">
      <c r="I962" s="11"/>
      <c r="J962" s="9"/>
      <c r="K962" s="9"/>
      <c r="O962" s="11"/>
      <c r="P962" s="9"/>
      <c r="Q962" s="9"/>
      <c r="R962" s="9"/>
      <c r="S962" s="9"/>
      <c r="T962" s="31"/>
      <c r="W962" s="16"/>
      <c r="X962" s="9"/>
      <c r="Y962" s="9"/>
      <c r="AA962" s="16"/>
      <c r="AK962" s="16"/>
      <c r="AL962" s="17"/>
      <c r="AN962" s="16"/>
    </row>
    <row r="963" spans="9:40" x14ac:dyDescent="0.4">
      <c r="I963" s="11"/>
      <c r="J963" s="9"/>
      <c r="K963" s="9"/>
      <c r="O963" s="11"/>
      <c r="P963" s="9"/>
      <c r="Q963" s="9"/>
      <c r="R963" s="9"/>
      <c r="S963" s="9"/>
      <c r="T963" s="31"/>
      <c r="W963" s="16"/>
      <c r="X963" s="9"/>
      <c r="Y963" s="9"/>
      <c r="AA963" s="16"/>
      <c r="AK963" s="16"/>
      <c r="AL963" s="17"/>
      <c r="AN963" s="16"/>
    </row>
    <row r="964" spans="9:40" x14ac:dyDescent="0.4">
      <c r="I964" s="11"/>
      <c r="J964" s="9"/>
      <c r="K964" s="9"/>
      <c r="O964" s="11"/>
      <c r="P964" s="9"/>
      <c r="Q964" s="9"/>
      <c r="R964" s="9"/>
      <c r="S964" s="9"/>
      <c r="T964" s="31"/>
      <c r="W964" s="16"/>
      <c r="X964" s="9"/>
      <c r="Y964" s="9"/>
      <c r="AA964" s="16"/>
      <c r="AK964" s="16"/>
      <c r="AL964" s="17"/>
      <c r="AN964" s="16"/>
    </row>
    <row r="965" spans="9:40" x14ac:dyDescent="0.4">
      <c r="I965" s="11"/>
      <c r="J965" s="9"/>
      <c r="K965" s="9"/>
      <c r="O965" s="11"/>
      <c r="P965" s="9"/>
      <c r="Q965" s="9"/>
      <c r="R965" s="9"/>
      <c r="S965" s="9"/>
      <c r="T965" s="31"/>
      <c r="W965" s="16"/>
      <c r="X965" s="9"/>
      <c r="Y965" s="9"/>
      <c r="AA965" s="16"/>
      <c r="AK965" s="16"/>
      <c r="AL965" s="17"/>
      <c r="AN965" s="16"/>
    </row>
    <row r="966" spans="9:40" x14ac:dyDescent="0.4">
      <c r="I966" s="11"/>
      <c r="J966" s="9"/>
      <c r="K966" s="9"/>
      <c r="O966" s="11"/>
      <c r="P966" s="9"/>
      <c r="Q966" s="9"/>
      <c r="R966" s="9"/>
      <c r="S966" s="9"/>
      <c r="T966" s="31"/>
      <c r="W966" s="16"/>
      <c r="X966" s="9"/>
      <c r="Y966" s="9"/>
      <c r="AA966" s="16"/>
      <c r="AK966" s="16"/>
      <c r="AL966" s="17"/>
      <c r="AN966" s="16"/>
    </row>
    <row r="967" spans="9:40" x14ac:dyDescent="0.4">
      <c r="I967" s="11"/>
      <c r="J967" s="9"/>
      <c r="K967" s="9"/>
      <c r="O967" s="11"/>
      <c r="P967" s="9"/>
      <c r="Q967" s="9"/>
      <c r="R967" s="9"/>
      <c r="S967" s="9"/>
      <c r="T967" s="31"/>
      <c r="W967" s="16"/>
      <c r="X967" s="9"/>
      <c r="Y967" s="9"/>
      <c r="AA967" s="16"/>
      <c r="AK967" s="16"/>
      <c r="AL967" s="17"/>
      <c r="AN967" s="16"/>
    </row>
    <row r="968" spans="9:40" x14ac:dyDescent="0.4">
      <c r="I968" s="11"/>
      <c r="J968" s="9"/>
      <c r="K968" s="9"/>
      <c r="O968" s="11"/>
      <c r="P968" s="9"/>
      <c r="Q968" s="9"/>
      <c r="R968" s="9"/>
      <c r="S968" s="9"/>
      <c r="T968" s="31"/>
      <c r="W968" s="16"/>
      <c r="X968" s="9"/>
      <c r="Y968" s="9"/>
      <c r="AA968" s="16"/>
      <c r="AK968" s="16"/>
      <c r="AL968" s="17"/>
      <c r="AN968" s="16"/>
    </row>
    <row r="969" spans="9:40" x14ac:dyDescent="0.4">
      <c r="I969" s="11"/>
      <c r="J969" s="9"/>
      <c r="K969" s="9"/>
      <c r="O969" s="11"/>
      <c r="P969" s="9"/>
      <c r="Q969" s="9"/>
      <c r="R969" s="9"/>
      <c r="S969" s="9"/>
      <c r="T969" s="31"/>
      <c r="W969" s="16"/>
      <c r="X969" s="9"/>
      <c r="Y969" s="9"/>
      <c r="AA969" s="16"/>
      <c r="AK969" s="16"/>
      <c r="AL969" s="17"/>
      <c r="AN969" s="16"/>
    </row>
    <row r="970" spans="9:40" x14ac:dyDescent="0.4">
      <c r="I970" s="11"/>
      <c r="J970" s="9"/>
      <c r="K970" s="9"/>
      <c r="O970" s="11"/>
      <c r="P970" s="9"/>
      <c r="Q970" s="9"/>
      <c r="R970" s="9"/>
      <c r="S970" s="9"/>
      <c r="T970" s="31"/>
      <c r="W970" s="16"/>
      <c r="X970" s="9"/>
      <c r="Y970" s="9"/>
      <c r="AA970" s="16"/>
      <c r="AK970" s="16"/>
      <c r="AL970" s="17"/>
      <c r="AN970" s="16"/>
    </row>
    <row r="971" spans="9:40" x14ac:dyDescent="0.4">
      <c r="I971" s="11"/>
      <c r="J971" s="9"/>
      <c r="K971" s="9"/>
      <c r="O971" s="11"/>
      <c r="P971" s="9"/>
      <c r="Q971" s="9"/>
      <c r="R971" s="9"/>
      <c r="S971" s="9"/>
      <c r="T971" s="31"/>
      <c r="W971" s="16"/>
      <c r="X971" s="9"/>
      <c r="Y971" s="9"/>
      <c r="AA971" s="16"/>
      <c r="AK971" s="16"/>
      <c r="AL971" s="17"/>
      <c r="AN971" s="16"/>
    </row>
    <row r="972" spans="9:40" x14ac:dyDescent="0.4">
      <c r="I972" s="11"/>
      <c r="J972" s="9"/>
      <c r="K972" s="9"/>
      <c r="O972" s="11"/>
      <c r="P972" s="9"/>
      <c r="Q972" s="9"/>
      <c r="R972" s="9"/>
      <c r="S972" s="9"/>
      <c r="T972" s="31"/>
      <c r="W972" s="16"/>
      <c r="X972" s="9"/>
      <c r="Y972" s="9"/>
      <c r="AA972" s="16"/>
      <c r="AK972" s="16"/>
      <c r="AL972" s="17"/>
      <c r="AN972" s="16"/>
    </row>
    <row r="973" spans="9:40" x14ac:dyDescent="0.4">
      <c r="I973" s="11"/>
      <c r="J973" s="9"/>
      <c r="K973" s="9"/>
      <c r="O973" s="11"/>
      <c r="P973" s="9"/>
      <c r="Q973" s="9"/>
      <c r="R973" s="9"/>
      <c r="S973" s="9"/>
      <c r="T973" s="31"/>
      <c r="W973" s="16"/>
      <c r="X973" s="9"/>
      <c r="Y973" s="9"/>
      <c r="AA973" s="16"/>
      <c r="AK973" s="16"/>
      <c r="AL973" s="17"/>
      <c r="AN973" s="16"/>
    </row>
    <row r="974" spans="9:40" x14ac:dyDescent="0.4">
      <c r="I974" s="11"/>
      <c r="J974" s="9"/>
      <c r="K974" s="9"/>
      <c r="O974" s="11"/>
      <c r="P974" s="9"/>
      <c r="Q974" s="9"/>
      <c r="R974" s="9"/>
      <c r="S974" s="9"/>
      <c r="T974" s="31"/>
      <c r="W974" s="16"/>
      <c r="X974" s="9"/>
      <c r="Y974" s="9"/>
      <c r="AA974" s="16"/>
      <c r="AK974" s="16"/>
      <c r="AL974" s="17"/>
      <c r="AN974" s="16"/>
    </row>
    <row r="975" spans="9:40" x14ac:dyDescent="0.4">
      <c r="I975" s="11"/>
      <c r="J975" s="9"/>
      <c r="K975" s="9"/>
      <c r="O975" s="11"/>
      <c r="P975" s="9"/>
      <c r="Q975" s="9"/>
      <c r="R975" s="9"/>
      <c r="S975" s="9"/>
      <c r="T975" s="31"/>
      <c r="W975" s="16"/>
      <c r="X975" s="9"/>
      <c r="Y975" s="9"/>
      <c r="AA975" s="16"/>
      <c r="AK975" s="16"/>
      <c r="AL975" s="17"/>
      <c r="AN975" s="16"/>
    </row>
    <row r="976" spans="9:40" x14ac:dyDescent="0.4">
      <c r="I976" s="11"/>
      <c r="J976" s="9"/>
      <c r="K976" s="9"/>
      <c r="O976" s="11"/>
      <c r="P976" s="9"/>
      <c r="Q976" s="9"/>
      <c r="R976" s="9"/>
      <c r="S976" s="9"/>
      <c r="T976" s="31"/>
      <c r="W976" s="16"/>
      <c r="X976" s="9"/>
      <c r="Y976" s="9"/>
      <c r="AA976" s="16"/>
      <c r="AK976" s="16"/>
      <c r="AL976" s="17"/>
      <c r="AN976" s="16"/>
    </row>
    <row r="977" spans="9:40" x14ac:dyDescent="0.4">
      <c r="I977" s="11"/>
      <c r="J977" s="9"/>
      <c r="K977" s="9"/>
      <c r="O977" s="11"/>
      <c r="P977" s="9"/>
      <c r="Q977" s="9"/>
      <c r="R977" s="9"/>
      <c r="S977" s="9"/>
      <c r="T977" s="31"/>
      <c r="W977" s="16"/>
      <c r="X977" s="9"/>
      <c r="Y977" s="9"/>
      <c r="AA977" s="16"/>
      <c r="AK977" s="16"/>
      <c r="AL977" s="17"/>
      <c r="AN977" s="16"/>
    </row>
    <row r="978" spans="9:40" x14ac:dyDescent="0.4">
      <c r="I978" s="11"/>
      <c r="J978" s="9"/>
      <c r="K978" s="9"/>
      <c r="O978" s="11"/>
      <c r="P978" s="9"/>
      <c r="Q978" s="9"/>
      <c r="R978" s="9"/>
      <c r="S978" s="9"/>
      <c r="T978" s="31"/>
      <c r="W978" s="16"/>
      <c r="X978" s="9"/>
      <c r="Y978" s="9"/>
      <c r="AA978" s="16"/>
      <c r="AK978" s="16"/>
      <c r="AL978" s="17"/>
      <c r="AN978" s="16"/>
    </row>
    <row r="979" spans="9:40" x14ac:dyDescent="0.4">
      <c r="I979" s="11"/>
      <c r="J979" s="9"/>
      <c r="K979" s="9"/>
      <c r="O979" s="11"/>
      <c r="P979" s="9"/>
      <c r="Q979" s="9"/>
      <c r="R979" s="9"/>
      <c r="S979" s="9"/>
      <c r="T979" s="31"/>
      <c r="W979" s="16"/>
      <c r="X979" s="9"/>
      <c r="Y979" s="9"/>
      <c r="AA979" s="16"/>
      <c r="AK979" s="16"/>
      <c r="AL979" s="17"/>
      <c r="AN979" s="16"/>
    </row>
    <row r="980" spans="9:40" x14ac:dyDescent="0.4">
      <c r="I980" s="11"/>
      <c r="J980" s="9"/>
      <c r="K980" s="9"/>
      <c r="O980" s="11"/>
      <c r="P980" s="9"/>
      <c r="Q980" s="9"/>
      <c r="R980" s="9"/>
      <c r="S980" s="9"/>
      <c r="T980" s="31"/>
      <c r="W980" s="16"/>
      <c r="X980" s="9"/>
      <c r="Y980" s="9"/>
      <c r="AA980" s="16"/>
      <c r="AK980" s="16"/>
      <c r="AL980" s="17"/>
      <c r="AN980" s="16"/>
    </row>
    <row r="981" spans="9:40" x14ac:dyDescent="0.4">
      <c r="I981" s="11"/>
      <c r="J981" s="9"/>
      <c r="K981" s="9"/>
      <c r="O981" s="11"/>
      <c r="P981" s="9"/>
      <c r="Q981" s="9"/>
      <c r="R981" s="9"/>
      <c r="S981" s="9"/>
      <c r="T981" s="31"/>
      <c r="W981" s="16"/>
      <c r="X981" s="9"/>
      <c r="Y981" s="9"/>
      <c r="AA981" s="16"/>
      <c r="AK981" s="16"/>
      <c r="AL981" s="17"/>
      <c r="AN981" s="16"/>
    </row>
    <row r="982" spans="9:40" x14ac:dyDescent="0.4">
      <c r="I982" s="11"/>
      <c r="J982" s="9"/>
      <c r="K982" s="9"/>
      <c r="O982" s="11"/>
      <c r="P982" s="9"/>
      <c r="Q982" s="9"/>
      <c r="R982" s="9"/>
      <c r="S982" s="9"/>
      <c r="T982" s="31"/>
      <c r="W982" s="16"/>
      <c r="X982" s="9"/>
      <c r="Y982" s="9"/>
      <c r="AA982" s="16"/>
      <c r="AK982" s="16"/>
      <c r="AL982" s="17"/>
      <c r="AN982" s="16"/>
    </row>
    <row r="983" spans="9:40" x14ac:dyDescent="0.4">
      <c r="I983" s="11"/>
      <c r="J983" s="9"/>
      <c r="K983" s="9"/>
      <c r="O983" s="11"/>
      <c r="P983" s="9"/>
      <c r="Q983" s="9"/>
      <c r="R983" s="9"/>
      <c r="S983" s="9"/>
      <c r="T983" s="31"/>
      <c r="W983" s="16"/>
      <c r="X983" s="9"/>
      <c r="Y983" s="9"/>
      <c r="AA983" s="16"/>
      <c r="AK983" s="16"/>
      <c r="AL983" s="17"/>
      <c r="AN983" s="16"/>
    </row>
    <row r="984" spans="9:40" x14ac:dyDescent="0.4">
      <c r="I984" s="11"/>
      <c r="J984" s="9"/>
      <c r="K984" s="9"/>
      <c r="O984" s="11"/>
      <c r="P984" s="9"/>
      <c r="Q984" s="9"/>
      <c r="R984" s="9"/>
      <c r="S984" s="9"/>
      <c r="T984" s="31"/>
      <c r="W984" s="16"/>
      <c r="X984" s="9"/>
      <c r="Y984" s="9"/>
      <c r="AA984" s="16"/>
      <c r="AK984" s="16"/>
      <c r="AL984" s="17"/>
      <c r="AN984" s="16"/>
    </row>
    <row r="985" spans="9:40" x14ac:dyDescent="0.4">
      <c r="I985" s="11"/>
      <c r="J985" s="9"/>
      <c r="K985" s="9"/>
      <c r="O985" s="11"/>
      <c r="P985" s="9"/>
      <c r="Q985" s="9"/>
      <c r="R985" s="9"/>
      <c r="S985" s="9"/>
      <c r="T985" s="31"/>
      <c r="W985" s="16"/>
      <c r="X985" s="9"/>
      <c r="Y985" s="9"/>
      <c r="AA985" s="16"/>
      <c r="AK985" s="16"/>
      <c r="AL985" s="17"/>
      <c r="AN985" s="16"/>
    </row>
    <row r="986" spans="9:40" x14ac:dyDescent="0.4">
      <c r="I986" s="11"/>
      <c r="J986" s="9"/>
      <c r="K986" s="9"/>
      <c r="O986" s="11"/>
      <c r="P986" s="9"/>
      <c r="Q986" s="9"/>
      <c r="R986" s="9"/>
      <c r="S986" s="9"/>
      <c r="T986" s="31"/>
      <c r="W986" s="16"/>
      <c r="X986" s="9"/>
      <c r="Y986" s="9"/>
      <c r="AA986" s="16"/>
      <c r="AK986" s="16"/>
      <c r="AL986" s="17"/>
      <c r="AN986" s="16"/>
    </row>
    <row r="987" spans="9:40" x14ac:dyDescent="0.4">
      <c r="I987" s="11"/>
      <c r="J987" s="9"/>
      <c r="K987" s="9"/>
      <c r="O987" s="11"/>
      <c r="P987" s="9"/>
      <c r="Q987" s="9"/>
      <c r="R987" s="9"/>
      <c r="S987" s="9"/>
      <c r="T987" s="31"/>
      <c r="W987" s="16"/>
      <c r="X987" s="9"/>
      <c r="Y987" s="9"/>
      <c r="AA987" s="16"/>
      <c r="AK987" s="16"/>
      <c r="AL987" s="17"/>
      <c r="AN987" s="16"/>
    </row>
    <row r="988" spans="9:40" x14ac:dyDescent="0.4">
      <c r="I988" s="11"/>
      <c r="J988" s="9"/>
      <c r="K988" s="9"/>
      <c r="O988" s="11"/>
      <c r="P988" s="9"/>
      <c r="Q988" s="9"/>
      <c r="R988" s="9"/>
      <c r="S988" s="9"/>
      <c r="T988" s="31"/>
      <c r="W988" s="16"/>
      <c r="X988" s="9"/>
      <c r="Y988" s="9"/>
      <c r="AA988" s="16"/>
      <c r="AK988" s="16"/>
      <c r="AL988" s="17"/>
      <c r="AN988" s="16"/>
    </row>
    <row r="989" spans="9:40" x14ac:dyDescent="0.4">
      <c r="I989" s="11"/>
      <c r="J989" s="9"/>
      <c r="K989" s="9"/>
      <c r="O989" s="11"/>
      <c r="P989" s="9"/>
      <c r="Q989" s="9"/>
      <c r="R989" s="9"/>
      <c r="S989" s="9"/>
      <c r="T989" s="31"/>
      <c r="W989" s="16"/>
      <c r="X989" s="9"/>
      <c r="Y989" s="9"/>
      <c r="AA989" s="16"/>
      <c r="AK989" s="16"/>
      <c r="AL989" s="17"/>
      <c r="AN989" s="16"/>
    </row>
    <row r="990" spans="9:40" x14ac:dyDescent="0.4">
      <c r="I990" s="11"/>
      <c r="J990" s="9"/>
      <c r="K990" s="9"/>
      <c r="O990" s="11"/>
      <c r="P990" s="9"/>
      <c r="Q990" s="9"/>
      <c r="R990" s="9"/>
      <c r="S990" s="9"/>
      <c r="T990" s="31"/>
      <c r="W990" s="16"/>
      <c r="X990" s="9"/>
      <c r="Y990" s="9"/>
      <c r="AA990" s="16"/>
      <c r="AK990" s="16"/>
      <c r="AL990" s="17"/>
      <c r="AN990" s="16"/>
    </row>
    <row r="991" spans="9:40" x14ac:dyDescent="0.4">
      <c r="I991" s="11"/>
      <c r="J991" s="9"/>
      <c r="K991" s="9"/>
      <c r="O991" s="11"/>
      <c r="P991" s="9"/>
      <c r="Q991" s="9"/>
      <c r="R991" s="9"/>
      <c r="S991" s="9"/>
      <c r="T991" s="31"/>
      <c r="W991" s="16"/>
      <c r="X991" s="9"/>
      <c r="Y991" s="9"/>
      <c r="AA991" s="16"/>
      <c r="AK991" s="16"/>
      <c r="AL991" s="17"/>
      <c r="AN991" s="16"/>
    </row>
    <row r="992" spans="9:40" x14ac:dyDescent="0.4">
      <c r="I992" s="11"/>
      <c r="J992" s="9"/>
      <c r="K992" s="9"/>
      <c r="O992" s="11"/>
      <c r="P992" s="9"/>
      <c r="Q992" s="9"/>
      <c r="R992" s="9"/>
      <c r="S992" s="9"/>
      <c r="T992" s="31"/>
      <c r="W992" s="16"/>
      <c r="X992" s="9"/>
      <c r="Y992" s="9"/>
      <c r="AA992" s="16"/>
      <c r="AK992" s="16"/>
      <c r="AL992" s="17"/>
      <c r="AN992" s="16"/>
    </row>
    <row r="993" spans="9:40" x14ac:dyDescent="0.4">
      <c r="I993" s="11"/>
      <c r="J993" s="9"/>
      <c r="K993" s="9"/>
      <c r="O993" s="11"/>
      <c r="P993" s="9"/>
      <c r="Q993" s="9"/>
      <c r="R993" s="9"/>
      <c r="S993" s="9"/>
      <c r="T993" s="31"/>
      <c r="W993" s="16"/>
      <c r="X993" s="9"/>
      <c r="Y993" s="9"/>
      <c r="AA993" s="16"/>
      <c r="AK993" s="16"/>
      <c r="AL993" s="17"/>
      <c r="AN993" s="16"/>
    </row>
    <row r="994" spans="9:40" x14ac:dyDescent="0.4">
      <c r="I994" s="11"/>
      <c r="J994" s="9"/>
      <c r="K994" s="9"/>
      <c r="O994" s="11"/>
      <c r="P994" s="9"/>
      <c r="Q994" s="9"/>
      <c r="R994" s="9"/>
      <c r="S994" s="9"/>
      <c r="T994" s="31"/>
      <c r="W994" s="16"/>
      <c r="X994" s="9"/>
      <c r="Y994" s="9"/>
      <c r="AA994" s="16"/>
      <c r="AK994" s="16"/>
      <c r="AL994" s="17"/>
      <c r="AN994" s="16"/>
    </row>
    <row r="995" spans="9:40" x14ac:dyDescent="0.4">
      <c r="I995" s="11"/>
      <c r="J995" s="9"/>
      <c r="K995" s="9"/>
      <c r="O995" s="11"/>
      <c r="P995" s="9"/>
      <c r="Q995" s="9"/>
      <c r="R995" s="9"/>
      <c r="S995" s="9"/>
      <c r="T995" s="31"/>
      <c r="W995" s="16"/>
      <c r="X995" s="9"/>
      <c r="Y995" s="9"/>
      <c r="AA995" s="16"/>
      <c r="AK995" s="16"/>
      <c r="AL995" s="17"/>
      <c r="AN995" s="16"/>
    </row>
    <row r="996" spans="9:40" x14ac:dyDescent="0.4">
      <c r="I996" s="11"/>
      <c r="J996" s="9"/>
      <c r="K996" s="9"/>
      <c r="O996" s="11"/>
      <c r="P996" s="9"/>
      <c r="Q996" s="9"/>
      <c r="R996" s="9"/>
      <c r="S996" s="9"/>
      <c r="T996" s="31"/>
      <c r="W996" s="16"/>
      <c r="X996" s="9"/>
      <c r="Y996" s="9"/>
      <c r="AA996" s="16"/>
      <c r="AK996" s="16"/>
      <c r="AL996" s="17"/>
      <c r="AN996" s="16"/>
    </row>
    <row r="997" spans="9:40" x14ac:dyDescent="0.4">
      <c r="I997" s="11"/>
      <c r="J997" s="9"/>
      <c r="K997" s="9"/>
      <c r="O997" s="11"/>
      <c r="P997" s="9"/>
      <c r="Q997" s="9"/>
      <c r="R997" s="9"/>
      <c r="S997" s="9"/>
      <c r="T997" s="31"/>
      <c r="W997" s="16"/>
      <c r="X997" s="9"/>
      <c r="Y997" s="9"/>
      <c r="AA997" s="16"/>
      <c r="AK997" s="16"/>
      <c r="AL997" s="17"/>
      <c r="AN997" s="16"/>
    </row>
    <row r="998" spans="9:40" x14ac:dyDescent="0.4">
      <c r="I998" s="11"/>
      <c r="J998" s="9"/>
      <c r="K998" s="9"/>
      <c r="O998" s="11"/>
      <c r="P998" s="9"/>
      <c r="Q998" s="9"/>
      <c r="R998" s="9"/>
      <c r="S998" s="9"/>
      <c r="T998" s="31"/>
      <c r="W998" s="16"/>
      <c r="X998" s="9"/>
      <c r="Y998" s="9"/>
      <c r="AA998" s="16"/>
      <c r="AK998" s="16"/>
      <c r="AL998" s="17"/>
      <c r="AN998" s="16"/>
    </row>
    <row r="999" spans="9:40" x14ac:dyDescent="0.4">
      <c r="I999" s="11"/>
      <c r="J999" s="9"/>
      <c r="K999" s="9"/>
      <c r="O999" s="11"/>
      <c r="P999" s="9"/>
      <c r="Q999" s="9"/>
      <c r="R999" s="9"/>
      <c r="S999" s="9"/>
      <c r="T999" s="31"/>
      <c r="W999" s="16"/>
      <c r="X999" s="9"/>
      <c r="Y999" s="9"/>
      <c r="AA999" s="16"/>
      <c r="AK999" s="16"/>
      <c r="AL999" s="17"/>
      <c r="AN999" s="16"/>
    </row>
    <row r="1000" spans="9:40" x14ac:dyDescent="0.4">
      <c r="I1000" s="11"/>
      <c r="J1000" s="9"/>
      <c r="K1000" s="9"/>
      <c r="O1000" s="11"/>
      <c r="P1000" s="9"/>
      <c r="Q1000" s="9"/>
      <c r="R1000" s="9"/>
      <c r="S1000" s="9"/>
      <c r="T1000" s="31"/>
      <c r="W1000" s="16"/>
      <c r="X1000" s="9"/>
      <c r="Y1000" s="9"/>
      <c r="AA1000" s="16"/>
      <c r="AK1000" s="16"/>
      <c r="AL1000" s="17"/>
      <c r="AN1000" s="16"/>
    </row>
    <row r="1001" spans="9:40" x14ac:dyDescent="0.4">
      <c r="I1001" s="11"/>
      <c r="J1001" s="9"/>
      <c r="K1001" s="9"/>
      <c r="O1001" s="11"/>
      <c r="P1001" s="9"/>
      <c r="Q1001" s="9"/>
      <c r="R1001" s="9"/>
      <c r="S1001" s="9"/>
      <c r="T1001" s="31"/>
      <c r="W1001" s="16"/>
      <c r="X1001" s="9"/>
      <c r="Y1001" s="9"/>
      <c r="AA1001" s="16"/>
      <c r="AK1001" s="16"/>
      <c r="AL1001" s="17"/>
      <c r="AN1001" s="16"/>
    </row>
    <row r="1002" spans="9:40" x14ac:dyDescent="0.4">
      <c r="I1002" s="11"/>
      <c r="J1002" s="9"/>
      <c r="K1002" s="9"/>
      <c r="O1002" s="11"/>
      <c r="P1002" s="9"/>
      <c r="Q1002" s="9"/>
      <c r="R1002" s="9"/>
      <c r="S1002" s="9"/>
      <c r="T1002" s="31"/>
      <c r="W1002" s="16"/>
      <c r="X1002" s="9"/>
      <c r="Y1002" s="9"/>
      <c r="AA1002" s="16"/>
      <c r="AK1002" s="16"/>
      <c r="AL1002" s="17"/>
      <c r="AN1002" s="16"/>
    </row>
    <row r="1003" spans="9:40" x14ac:dyDescent="0.4">
      <c r="I1003" s="11"/>
      <c r="J1003" s="9"/>
      <c r="K1003" s="9"/>
      <c r="O1003" s="11"/>
      <c r="P1003" s="9"/>
      <c r="Q1003" s="9"/>
      <c r="R1003" s="9"/>
      <c r="S1003" s="9"/>
      <c r="T1003" s="31"/>
      <c r="W1003" s="16"/>
      <c r="X1003" s="9"/>
      <c r="Y1003" s="9"/>
      <c r="AA1003" s="16"/>
      <c r="AK1003" s="16"/>
      <c r="AL1003" s="17"/>
      <c r="AN1003" s="16"/>
    </row>
    <row r="1004" spans="9:40" x14ac:dyDescent="0.4">
      <c r="I1004" s="11"/>
      <c r="J1004" s="9"/>
      <c r="K1004" s="9"/>
      <c r="O1004" s="11"/>
      <c r="P1004" s="9"/>
      <c r="Q1004" s="9"/>
      <c r="R1004" s="9"/>
      <c r="S1004" s="9"/>
      <c r="T1004" s="31"/>
      <c r="W1004" s="16"/>
      <c r="X1004" s="9"/>
      <c r="Y1004" s="9"/>
      <c r="AA1004" s="16"/>
      <c r="AK1004" s="16"/>
      <c r="AL1004" s="17"/>
      <c r="AN1004" s="16"/>
    </row>
    <row r="1005" spans="9:40" x14ac:dyDescent="0.4">
      <c r="I1005" s="11"/>
      <c r="J1005" s="9"/>
      <c r="K1005" s="9"/>
      <c r="O1005" s="11"/>
      <c r="P1005" s="9"/>
      <c r="Q1005" s="9"/>
      <c r="R1005" s="9"/>
      <c r="S1005" s="9"/>
      <c r="T1005" s="31"/>
      <c r="W1005" s="16"/>
      <c r="X1005" s="9"/>
      <c r="Y1005" s="9"/>
      <c r="AA1005" s="16"/>
      <c r="AK1005" s="16"/>
      <c r="AL1005" s="17"/>
      <c r="AN1005" s="16"/>
    </row>
    <row r="1006" spans="9:40" x14ac:dyDescent="0.4">
      <c r="I1006" s="11"/>
      <c r="J1006" s="9"/>
      <c r="K1006" s="9"/>
      <c r="O1006" s="11"/>
      <c r="P1006" s="9"/>
      <c r="Q1006" s="9"/>
      <c r="R1006" s="9"/>
      <c r="S1006" s="9"/>
      <c r="T1006" s="31"/>
      <c r="W1006" s="16"/>
      <c r="X1006" s="9"/>
      <c r="Y1006" s="9"/>
      <c r="AA1006" s="16"/>
      <c r="AK1006" s="16"/>
      <c r="AL1006" s="17"/>
      <c r="AN1006" s="16"/>
    </row>
    <row r="1007" spans="9:40" x14ac:dyDescent="0.4">
      <c r="I1007" s="11"/>
      <c r="J1007" s="9"/>
      <c r="K1007" s="9"/>
      <c r="O1007" s="11"/>
      <c r="P1007" s="9"/>
      <c r="Q1007" s="9"/>
      <c r="R1007" s="9"/>
      <c r="S1007" s="9"/>
      <c r="T1007" s="31"/>
      <c r="W1007" s="16"/>
      <c r="X1007" s="9"/>
      <c r="Y1007" s="9"/>
      <c r="AA1007" s="16"/>
      <c r="AK1007" s="16"/>
      <c r="AL1007" s="17"/>
      <c r="AN1007" s="16"/>
    </row>
    <row r="1008" spans="9:40" x14ac:dyDescent="0.4">
      <c r="I1008" s="11"/>
      <c r="J1008" s="9"/>
      <c r="K1008" s="9"/>
      <c r="O1008" s="11"/>
      <c r="P1008" s="9"/>
      <c r="Q1008" s="9"/>
      <c r="R1008" s="9"/>
      <c r="S1008" s="9"/>
      <c r="T1008" s="31"/>
      <c r="W1008" s="16"/>
      <c r="X1008" s="9"/>
      <c r="Y1008" s="9"/>
      <c r="AA1008" s="16"/>
      <c r="AK1008" s="16"/>
      <c r="AL1008" s="17"/>
      <c r="AN1008" s="16"/>
    </row>
    <row r="1009" spans="9:40" x14ac:dyDescent="0.4">
      <c r="I1009" s="11"/>
      <c r="J1009" s="9"/>
      <c r="K1009" s="9"/>
      <c r="O1009" s="11"/>
      <c r="P1009" s="9"/>
      <c r="Q1009" s="9"/>
      <c r="R1009" s="9"/>
      <c r="S1009" s="9"/>
      <c r="T1009" s="31"/>
      <c r="W1009" s="16"/>
      <c r="X1009" s="9"/>
      <c r="Y1009" s="9"/>
      <c r="AA1009" s="16"/>
      <c r="AK1009" s="16"/>
      <c r="AL1009" s="17"/>
      <c r="AN1009" s="16"/>
    </row>
    <row r="1010" spans="9:40" x14ac:dyDescent="0.4">
      <c r="I1010" s="11"/>
      <c r="J1010" s="9"/>
      <c r="K1010" s="9"/>
      <c r="O1010" s="11"/>
      <c r="P1010" s="9"/>
      <c r="Q1010" s="9"/>
      <c r="R1010" s="9"/>
      <c r="S1010" s="9"/>
      <c r="T1010" s="31"/>
      <c r="W1010" s="16"/>
      <c r="X1010" s="9"/>
      <c r="Y1010" s="9"/>
      <c r="AA1010" s="16"/>
      <c r="AK1010" s="16"/>
      <c r="AL1010" s="17"/>
      <c r="AN1010" s="16"/>
    </row>
    <row r="1011" spans="9:40" x14ac:dyDescent="0.4">
      <c r="I1011" s="11"/>
      <c r="J1011" s="9"/>
      <c r="K1011" s="9"/>
      <c r="O1011" s="11"/>
      <c r="P1011" s="9"/>
      <c r="Q1011" s="9"/>
      <c r="R1011" s="9"/>
      <c r="S1011" s="9"/>
      <c r="T1011" s="31"/>
      <c r="W1011" s="16"/>
      <c r="X1011" s="9"/>
      <c r="Y1011" s="9"/>
      <c r="AA1011" s="16"/>
      <c r="AK1011" s="16"/>
      <c r="AL1011" s="17"/>
      <c r="AN1011" s="16"/>
    </row>
    <row r="1012" spans="9:40" x14ac:dyDescent="0.4">
      <c r="I1012" s="11"/>
      <c r="J1012" s="9"/>
      <c r="K1012" s="9"/>
      <c r="O1012" s="11"/>
      <c r="P1012" s="9"/>
      <c r="Q1012" s="9"/>
      <c r="R1012" s="9"/>
      <c r="S1012" s="9"/>
      <c r="T1012" s="31"/>
      <c r="W1012" s="16"/>
      <c r="X1012" s="9"/>
      <c r="Y1012" s="9"/>
      <c r="AA1012" s="16"/>
      <c r="AK1012" s="16"/>
      <c r="AL1012" s="17"/>
      <c r="AN1012" s="16"/>
    </row>
    <row r="1013" spans="9:40" x14ac:dyDescent="0.4">
      <c r="I1013" s="11"/>
      <c r="J1013" s="9"/>
      <c r="K1013" s="9"/>
      <c r="O1013" s="11"/>
      <c r="P1013" s="9"/>
      <c r="Q1013" s="9"/>
      <c r="R1013" s="9"/>
      <c r="S1013" s="9"/>
      <c r="T1013" s="31"/>
      <c r="W1013" s="16"/>
      <c r="X1013" s="9"/>
      <c r="Y1013" s="9"/>
      <c r="AA1013" s="16"/>
      <c r="AK1013" s="16"/>
      <c r="AL1013" s="17"/>
      <c r="AN1013" s="16"/>
    </row>
    <row r="1014" spans="9:40" x14ac:dyDescent="0.4">
      <c r="I1014" s="11"/>
      <c r="J1014" s="9"/>
      <c r="K1014" s="9"/>
      <c r="O1014" s="11"/>
      <c r="P1014" s="9"/>
      <c r="Q1014" s="9"/>
      <c r="R1014" s="9"/>
      <c r="S1014" s="9"/>
      <c r="T1014" s="31"/>
      <c r="W1014" s="16"/>
      <c r="X1014" s="9"/>
      <c r="Y1014" s="9"/>
      <c r="AA1014" s="16"/>
      <c r="AK1014" s="16"/>
      <c r="AL1014" s="17"/>
      <c r="AN1014" s="16"/>
    </row>
    <row r="1015" spans="9:40" x14ac:dyDescent="0.4">
      <c r="I1015" s="11"/>
      <c r="J1015" s="9"/>
      <c r="K1015" s="9"/>
      <c r="O1015" s="11"/>
      <c r="P1015" s="9"/>
      <c r="Q1015" s="9"/>
      <c r="R1015" s="9"/>
      <c r="S1015" s="9"/>
      <c r="T1015" s="31"/>
      <c r="W1015" s="16"/>
      <c r="X1015" s="9"/>
      <c r="Y1015" s="9"/>
      <c r="AA1015" s="16"/>
      <c r="AK1015" s="16"/>
      <c r="AL1015" s="17"/>
      <c r="AN1015" s="16"/>
    </row>
    <row r="1016" spans="9:40" x14ac:dyDescent="0.4">
      <c r="I1016" s="11"/>
      <c r="J1016" s="9"/>
      <c r="K1016" s="9"/>
      <c r="O1016" s="11"/>
      <c r="P1016" s="9"/>
      <c r="Q1016" s="9"/>
      <c r="R1016" s="9"/>
      <c r="S1016" s="9"/>
      <c r="T1016" s="31"/>
      <c r="W1016" s="16"/>
      <c r="X1016" s="9"/>
      <c r="Y1016" s="9"/>
      <c r="AA1016" s="16"/>
      <c r="AK1016" s="16"/>
      <c r="AL1016" s="17"/>
      <c r="AN1016" s="16"/>
    </row>
    <row r="1017" spans="9:40" x14ac:dyDescent="0.4">
      <c r="I1017" s="11"/>
      <c r="J1017" s="9"/>
      <c r="K1017" s="9"/>
      <c r="O1017" s="11"/>
      <c r="P1017" s="9"/>
      <c r="Q1017" s="9"/>
      <c r="R1017" s="9"/>
      <c r="S1017" s="9"/>
      <c r="T1017" s="31"/>
      <c r="W1017" s="16"/>
      <c r="X1017" s="9"/>
      <c r="Y1017" s="9"/>
      <c r="AA1017" s="16"/>
      <c r="AK1017" s="16"/>
      <c r="AL1017" s="17"/>
      <c r="AN1017" s="16"/>
    </row>
    <row r="1018" spans="9:40" x14ac:dyDescent="0.4">
      <c r="I1018" s="11"/>
      <c r="J1018" s="9"/>
      <c r="K1018" s="9"/>
      <c r="O1018" s="11"/>
      <c r="P1018" s="9"/>
      <c r="Q1018" s="9"/>
      <c r="R1018" s="9"/>
      <c r="S1018" s="9"/>
      <c r="T1018" s="31"/>
      <c r="W1018" s="16"/>
      <c r="X1018" s="9"/>
      <c r="Y1018" s="9"/>
      <c r="AA1018" s="16"/>
      <c r="AK1018" s="16"/>
      <c r="AL1018" s="17"/>
      <c r="AN1018" s="16"/>
    </row>
    <row r="1019" spans="9:40" x14ac:dyDescent="0.4">
      <c r="I1019" s="11"/>
      <c r="J1019" s="9"/>
      <c r="K1019" s="9"/>
      <c r="O1019" s="11"/>
      <c r="P1019" s="9"/>
      <c r="Q1019" s="9"/>
      <c r="R1019" s="9"/>
      <c r="S1019" s="9"/>
      <c r="T1019" s="31"/>
      <c r="W1019" s="16"/>
      <c r="X1019" s="9"/>
      <c r="Y1019" s="9"/>
      <c r="AA1019" s="16"/>
      <c r="AK1019" s="16"/>
      <c r="AL1019" s="17"/>
      <c r="AN1019" s="16"/>
    </row>
    <row r="1020" spans="9:40" x14ac:dyDescent="0.4">
      <c r="I1020" s="11"/>
      <c r="J1020" s="9"/>
      <c r="K1020" s="9"/>
      <c r="O1020" s="11"/>
      <c r="P1020" s="9"/>
      <c r="Q1020" s="9"/>
      <c r="R1020" s="9"/>
      <c r="S1020" s="9"/>
      <c r="T1020" s="31"/>
      <c r="W1020" s="16"/>
      <c r="X1020" s="9"/>
      <c r="Y1020" s="9"/>
      <c r="AA1020" s="16"/>
      <c r="AK1020" s="16"/>
      <c r="AL1020" s="17"/>
      <c r="AN1020" s="16"/>
    </row>
    <row r="1021" spans="9:40" x14ac:dyDescent="0.4">
      <c r="I1021" s="11"/>
      <c r="J1021" s="9"/>
      <c r="K1021" s="9"/>
      <c r="O1021" s="11"/>
      <c r="P1021" s="9"/>
      <c r="Q1021" s="9"/>
      <c r="R1021" s="9"/>
      <c r="S1021" s="9"/>
      <c r="T1021" s="31"/>
      <c r="W1021" s="16"/>
      <c r="X1021" s="9"/>
      <c r="Y1021" s="9"/>
      <c r="AA1021" s="16"/>
      <c r="AK1021" s="16"/>
      <c r="AL1021" s="17"/>
      <c r="AN1021" s="16"/>
    </row>
    <row r="1022" spans="9:40" x14ac:dyDescent="0.4">
      <c r="I1022" s="11"/>
      <c r="J1022" s="9"/>
      <c r="K1022" s="9"/>
      <c r="O1022" s="11"/>
      <c r="P1022" s="9"/>
      <c r="Q1022" s="9"/>
      <c r="R1022" s="9"/>
      <c r="S1022" s="9"/>
      <c r="T1022" s="31"/>
      <c r="W1022" s="16"/>
      <c r="X1022" s="9"/>
      <c r="Y1022" s="9"/>
      <c r="AA1022" s="16"/>
      <c r="AK1022" s="16"/>
      <c r="AL1022" s="17"/>
      <c r="AN1022" s="16"/>
    </row>
    <row r="1023" spans="9:40" x14ac:dyDescent="0.4">
      <c r="I1023" s="11"/>
      <c r="J1023" s="9"/>
      <c r="K1023" s="9"/>
      <c r="O1023" s="11"/>
      <c r="P1023" s="9"/>
      <c r="Q1023" s="9"/>
      <c r="R1023" s="9"/>
      <c r="S1023" s="9"/>
      <c r="T1023" s="31"/>
      <c r="W1023" s="16"/>
      <c r="X1023" s="9"/>
      <c r="Y1023" s="9"/>
      <c r="AA1023" s="16"/>
      <c r="AK1023" s="16"/>
      <c r="AL1023" s="17"/>
      <c r="AN1023" s="16"/>
    </row>
    <row r="1024" spans="9:40" x14ac:dyDescent="0.4">
      <c r="I1024" s="11"/>
      <c r="J1024" s="9"/>
      <c r="K1024" s="9"/>
      <c r="O1024" s="11"/>
      <c r="P1024" s="9"/>
      <c r="Q1024" s="9"/>
      <c r="R1024" s="9"/>
      <c r="S1024" s="9"/>
      <c r="T1024" s="31"/>
      <c r="W1024" s="16"/>
      <c r="X1024" s="9"/>
      <c r="Y1024" s="9"/>
      <c r="AA1024" s="16"/>
      <c r="AK1024" s="16"/>
      <c r="AL1024" s="17"/>
      <c r="AN1024" s="16"/>
    </row>
    <row r="1025" spans="9:40" x14ac:dyDescent="0.4">
      <c r="I1025" s="11"/>
      <c r="J1025" s="9"/>
      <c r="K1025" s="9"/>
      <c r="O1025" s="11"/>
      <c r="P1025" s="9"/>
      <c r="Q1025" s="9"/>
      <c r="R1025" s="9"/>
      <c r="S1025" s="9"/>
      <c r="T1025" s="31"/>
      <c r="W1025" s="16"/>
      <c r="X1025" s="9"/>
      <c r="Y1025" s="9"/>
      <c r="AA1025" s="16"/>
      <c r="AK1025" s="16"/>
      <c r="AL1025" s="17"/>
      <c r="AN1025" s="16"/>
    </row>
    <row r="1026" spans="9:40" x14ac:dyDescent="0.4">
      <c r="I1026" s="11"/>
      <c r="J1026" s="9"/>
      <c r="K1026" s="9"/>
      <c r="O1026" s="11"/>
      <c r="P1026" s="9"/>
      <c r="Q1026" s="9"/>
      <c r="R1026" s="9"/>
      <c r="S1026" s="9"/>
      <c r="T1026" s="31"/>
      <c r="W1026" s="16"/>
      <c r="X1026" s="9"/>
      <c r="Y1026" s="9"/>
      <c r="AA1026" s="16"/>
      <c r="AK1026" s="16"/>
      <c r="AL1026" s="17"/>
      <c r="AN1026" s="16"/>
    </row>
    <row r="1027" spans="9:40" x14ac:dyDescent="0.4">
      <c r="I1027" s="11"/>
      <c r="J1027" s="9"/>
      <c r="K1027" s="9"/>
      <c r="O1027" s="11"/>
      <c r="P1027" s="9"/>
      <c r="Q1027" s="9"/>
      <c r="R1027" s="9"/>
      <c r="S1027" s="9"/>
      <c r="T1027" s="31"/>
      <c r="W1027" s="16"/>
      <c r="X1027" s="9"/>
      <c r="Y1027" s="9"/>
      <c r="AA1027" s="16"/>
      <c r="AK1027" s="16"/>
      <c r="AL1027" s="17"/>
      <c r="AN1027" s="16"/>
    </row>
    <row r="1028" spans="9:40" x14ac:dyDescent="0.4">
      <c r="I1028" s="11"/>
      <c r="J1028" s="9"/>
      <c r="K1028" s="9"/>
      <c r="O1028" s="11"/>
      <c r="P1028" s="9"/>
      <c r="Q1028" s="9"/>
      <c r="R1028" s="9"/>
      <c r="S1028" s="9"/>
      <c r="T1028" s="31"/>
      <c r="W1028" s="16"/>
      <c r="X1028" s="9"/>
      <c r="Y1028" s="9"/>
      <c r="AA1028" s="16"/>
      <c r="AK1028" s="16"/>
      <c r="AL1028" s="17"/>
      <c r="AN1028" s="16"/>
    </row>
    <row r="1029" spans="9:40" x14ac:dyDescent="0.4">
      <c r="I1029" s="11"/>
      <c r="J1029" s="9"/>
      <c r="K1029" s="9"/>
      <c r="O1029" s="11"/>
      <c r="P1029" s="9"/>
      <c r="Q1029" s="9"/>
      <c r="R1029" s="9"/>
      <c r="S1029" s="9"/>
      <c r="T1029" s="31"/>
      <c r="W1029" s="16"/>
      <c r="X1029" s="9"/>
      <c r="Y1029" s="9"/>
      <c r="AA1029" s="16"/>
      <c r="AK1029" s="16"/>
      <c r="AL1029" s="17"/>
      <c r="AN1029" s="16"/>
    </row>
    <row r="1030" spans="9:40" x14ac:dyDescent="0.4">
      <c r="I1030" s="11"/>
      <c r="J1030" s="9"/>
      <c r="K1030" s="9"/>
      <c r="O1030" s="11"/>
      <c r="P1030" s="9"/>
      <c r="Q1030" s="9"/>
      <c r="R1030" s="9"/>
      <c r="S1030" s="9"/>
      <c r="T1030" s="31"/>
      <c r="W1030" s="16"/>
      <c r="X1030" s="9"/>
      <c r="Y1030" s="9"/>
      <c r="AA1030" s="16"/>
      <c r="AK1030" s="16"/>
      <c r="AL1030" s="17"/>
      <c r="AN1030" s="16"/>
    </row>
    <row r="1031" spans="9:40" x14ac:dyDescent="0.4">
      <c r="I1031" s="11"/>
      <c r="J1031" s="9"/>
      <c r="K1031" s="9"/>
      <c r="O1031" s="11"/>
      <c r="P1031" s="9"/>
      <c r="Q1031" s="9"/>
      <c r="R1031" s="9"/>
      <c r="S1031" s="9"/>
      <c r="T1031" s="31"/>
      <c r="W1031" s="16"/>
      <c r="X1031" s="9"/>
      <c r="Y1031" s="9"/>
      <c r="AA1031" s="16"/>
      <c r="AK1031" s="16"/>
      <c r="AL1031" s="17"/>
      <c r="AN1031" s="16"/>
    </row>
    <row r="1032" spans="9:40" x14ac:dyDescent="0.4">
      <c r="I1032" s="11"/>
      <c r="J1032" s="9"/>
      <c r="K1032" s="9"/>
      <c r="O1032" s="11"/>
      <c r="P1032" s="9"/>
      <c r="Q1032" s="9"/>
      <c r="R1032" s="9"/>
      <c r="S1032" s="9"/>
      <c r="T1032" s="31"/>
      <c r="W1032" s="16"/>
      <c r="X1032" s="9"/>
      <c r="Y1032" s="9"/>
      <c r="AA1032" s="16"/>
      <c r="AK1032" s="16"/>
      <c r="AL1032" s="17"/>
      <c r="AN1032" s="16"/>
    </row>
    <row r="1033" spans="9:40" x14ac:dyDescent="0.4">
      <c r="I1033" s="11"/>
      <c r="J1033" s="9"/>
      <c r="K1033" s="9"/>
      <c r="O1033" s="11"/>
      <c r="P1033" s="9"/>
      <c r="Q1033" s="9"/>
      <c r="R1033" s="9"/>
      <c r="S1033" s="9"/>
      <c r="T1033" s="31"/>
      <c r="W1033" s="16"/>
      <c r="X1033" s="9"/>
      <c r="Y1033" s="9"/>
      <c r="AA1033" s="16"/>
      <c r="AK1033" s="16"/>
      <c r="AL1033" s="17"/>
      <c r="AN1033" s="16"/>
    </row>
    <row r="1034" spans="9:40" x14ac:dyDescent="0.4">
      <c r="I1034" s="11"/>
      <c r="J1034" s="9"/>
      <c r="K1034" s="9"/>
      <c r="O1034" s="11"/>
      <c r="P1034" s="9"/>
      <c r="Q1034" s="9"/>
      <c r="R1034" s="9"/>
      <c r="S1034" s="9"/>
      <c r="T1034" s="31"/>
      <c r="W1034" s="16"/>
      <c r="X1034" s="9"/>
      <c r="Y1034" s="9"/>
      <c r="AA1034" s="16"/>
      <c r="AK1034" s="16"/>
      <c r="AL1034" s="17"/>
      <c r="AN1034" s="16"/>
    </row>
    <row r="1035" spans="9:40" x14ac:dyDescent="0.4">
      <c r="I1035" s="11"/>
      <c r="J1035" s="9"/>
      <c r="K1035" s="9"/>
      <c r="O1035" s="11"/>
      <c r="P1035" s="9"/>
      <c r="Q1035" s="9"/>
      <c r="R1035" s="9"/>
      <c r="S1035" s="9"/>
      <c r="T1035" s="31"/>
      <c r="W1035" s="16"/>
      <c r="X1035" s="9"/>
      <c r="Y1035" s="9"/>
      <c r="AA1035" s="16"/>
      <c r="AK1035" s="16"/>
      <c r="AL1035" s="17"/>
      <c r="AN1035" s="16"/>
    </row>
    <row r="1036" spans="9:40" x14ac:dyDescent="0.4">
      <c r="I1036" s="11"/>
      <c r="J1036" s="9"/>
      <c r="K1036" s="9"/>
      <c r="O1036" s="11"/>
      <c r="P1036" s="9"/>
      <c r="Q1036" s="9"/>
      <c r="R1036" s="9"/>
      <c r="S1036" s="9"/>
      <c r="T1036" s="31"/>
      <c r="W1036" s="16"/>
      <c r="X1036" s="9"/>
      <c r="Y1036" s="9"/>
      <c r="AA1036" s="16"/>
      <c r="AK1036" s="16"/>
      <c r="AL1036" s="17"/>
      <c r="AN1036" s="16"/>
    </row>
    <row r="1037" spans="9:40" x14ac:dyDescent="0.4">
      <c r="I1037" s="11"/>
      <c r="J1037" s="9"/>
      <c r="K1037" s="9"/>
      <c r="O1037" s="11"/>
      <c r="P1037" s="9"/>
      <c r="Q1037" s="9"/>
      <c r="R1037" s="9"/>
      <c r="S1037" s="9"/>
      <c r="T1037" s="31"/>
      <c r="W1037" s="16"/>
      <c r="X1037" s="9"/>
      <c r="Y1037" s="9"/>
      <c r="AA1037" s="16"/>
      <c r="AK1037" s="16"/>
      <c r="AL1037" s="17"/>
      <c r="AN1037" s="16"/>
    </row>
    <row r="1038" spans="9:40" x14ac:dyDescent="0.4">
      <c r="I1038" s="11"/>
      <c r="J1038" s="9"/>
      <c r="K1038" s="9"/>
      <c r="O1038" s="11"/>
      <c r="P1038" s="9"/>
      <c r="Q1038" s="9"/>
      <c r="R1038" s="9"/>
      <c r="S1038" s="9"/>
      <c r="T1038" s="31"/>
      <c r="W1038" s="16"/>
      <c r="X1038" s="9"/>
      <c r="Y1038" s="9"/>
      <c r="AA1038" s="16"/>
      <c r="AK1038" s="16"/>
      <c r="AL1038" s="17"/>
      <c r="AN1038" s="16"/>
    </row>
    <row r="1039" spans="9:40" x14ac:dyDescent="0.4">
      <c r="I1039" s="11"/>
      <c r="J1039" s="9"/>
      <c r="K1039" s="9"/>
      <c r="O1039" s="11"/>
      <c r="P1039" s="9"/>
      <c r="Q1039" s="9"/>
      <c r="R1039" s="9"/>
      <c r="S1039" s="9"/>
      <c r="T1039" s="31"/>
      <c r="W1039" s="16"/>
      <c r="X1039" s="9"/>
      <c r="Y1039" s="9"/>
      <c r="AA1039" s="16"/>
      <c r="AK1039" s="16"/>
      <c r="AL1039" s="17"/>
      <c r="AN1039" s="16"/>
    </row>
    <row r="1040" spans="9:40" x14ac:dyDescent="0.4">
      <c r="I1040" s="11"/>
      <c r="J1040" s="9"/>
      <c r="K1040" s="9"/>
      <c r="O1040" s="11"/>
      <c r="P1040" s="9"/>
      <c r="Q1040" s="9"/>
      <c r="R1040" s="9"/>
      <c r="S1040" s="9"/>
      <c r="T1040" s="31"/>
      <c r="W1040" s="16"/>
      <c r="X1040" s="9"/>
      <c r="Y1040" s="9"/>
      <c r="AA1040" s="16"/>
      <c r="AK1040" s="16"/>
      <c r="AL1040" s="17"/>
      <c r="AN1040" s="16"/>
    </row>
    <row r="1041" spans="9:40" x14ac:dyDescent="0.4">
      <c r="I1041" s="11"/>
      <c r="J1041" s="9"/>
      <c r="K1041" s="9"/>
      <c r="O1041" s="11"/>
      <c r="P1041" s="9"/>
      <c r="Q1041" s="9"/>
      <c r="R1041" s="9"/>
      <c r="S1041" s="9"/>
      <c r="T1041" s="31"/>
      <c r="W1041" s="16"/>
      <c r="X1041" s="9"/>
      <c r="Y1041" s="9"/>
      <c r="AA1041" s="16"/>
      <c r="AK1041" s="16"/>
      <c r="AL1041" s="17"/>
      <c r="AN1041" s="16"/>
    </row>
    <row r="1042" spans="9:40" x14ac:dyDescent="0.4">
      <c r="I1042" s="11"/>
      <c r="J1042" s="9"/>
      <c r="K1042" s="9"/>
      <c r="O1042" s="11"/>
      <c r="P1042" s="9"/>
      <c r="Q1042" s="9"/>
      <c r="R1042" s="9"/>
      <c r="S1042" s="9"/>
      <c r="T1042" s="31"/>
      <c r="W1042" s="16"/>
      <c r="X1042" s="9"/>
      <c r="Y1042" s="9"/>
      <c r="AA1042" s="16"/>
      <c r="AK1042" s="16"/>
      <c r="AL1042" s="17"/>
      <c r="AN1042" s="16"/>
    </row>
    <row r="1043" spans="9:40" x14ac:dyDescent="0.4">
      <c r="I1043" s="11"/>
      <c r="J1043" s="9"/>
      <c r="K1043" s="9"/>
      <c r="O1043" s="11"/>
      <c r="P1043" s="9"/>
      <c r="Q1043" s="9"/>
      <c r="R1043" s="9"/>
      <c r="S1043" s="9"/>
      <c r="T1043" s="31"/>
      <c r="W1043" s="16"/>
      <c r="X1043" s="9"/>
      <c r="Y1043" s="9"/>
      <c r="AA1043" s="16"/>
      <c r="AK1043" s="16"/>
      <c r="AL1043" s="17"/>
      <c r="AN1043" s="16"/>
    </row>
    <row r="1044" spans="9:40" x14ac:dyDescent="0.4">
      <c r="I1044" s="11"/>
      <c r="J1044" s="9"/>
      <c r="K1044" s="9"/>
      <c r="O1044" s="11"/>
      <c r="P1044" s="9"/>
      <c r="Q1044" s="9"/>
      <c r="R1044" s="9"/>
      <c r="S1044" s="9"/>
      <c r="T1044" s="31"/>
      <c r="W1044" s="16"/>
      <c r="X1044" s="9"/>
      <c r="Y1044" s="9"/>
      <c r="AA1044" s="16"/>
      <c r="AK1044" s="16"/>
      <c r="AL1044" s="17"/>
      <c r="AN1044" s="16"/>
    </row>
    <row r="1045" spans="9:40" x14ac:dyDescent="0.4">
      <c r="I1045" s="11"/>
      <c r="J1045" s="9"/>
      <c r="K1045" s="9"/>
      <c r="O1045" s="11"/>
      <c r="P1045" s="9"/>
      <c r="Q1045" s="9"/>
      <c r="R1045" s="9"/>
      <c r="S1045" s="9"/>
      <c r="T1045" s="31"/>
      <c r="W1045" s="16"/>
      <c r="X1045" s="9"/>
      <c r="Y1045" s="9"/>
      <c r="AA1045" s="16"/>
      <c r="AK1045" s="16"/>
      <c r="AL1045" s="17"/>
      <c r="AN1045" s="16"/>
    </row>
    <row r="1046" spans="9:40" x14ac:dyDescent="0.4">
      <c r="I1046" s="11"/>
      <c r="J1046" s="9"/>
      <c r="K1046" s="9"/>
      <c r="O1046" s="11"/>
      <c r="P1046" s="9"/>
      <c r="Q1046" s="9"/>
      <c r="R1046" s="9"/>
      <c r="S1046" s="9"/>
      <c r="T1046" s="31"/>
      <c r="W1046" s="16"/>
      <c r="X1046" s="9"/>
      <c r="Y1046" s="9"/>
      <c r="AA1046" s="16"/>
      <c r="AK1046" s="16"/>
      <c r="AL1046" s="17"/>
      <c r="AN1046" s="16"/>
    </row>
    <row r="1047" spans="9:40" x14ac:dyDescent="0.4">
      <c r="I1047" s="11"/>
      <c r="J1047" s="9"/>
      <c r="K1047" s="9"/>
      <c r="O1047" s="11"/>
      <c r="P1047" s="9"/>
      <c r="Q1047" s="9"/>
      <c r="R1047" s="9"/>
      <c r="S1047" s="9"/>
      <c r="T1047" s="31"/>
      <c r="W1047" s="16"/>
      <c r="X1047" s="9"/>
      <c r="Y1047" s="9"/>
      <c r="AA1047" s="16"/>
      <c r="AK1047" s="16"/>
      <c r="AL1047" s="17"/>
      <c r="AN1047" s="16"/>
    </row>
    <row r="1048" spans="9:40" x14ac:dyDescent="0.4">
      <c r="I1048" s="11"/>
      <c r="J1048" s="9"/>
      <c r="K1048" s="9"/>
      <c r="O1048" s="11"/>
      <c r="P1048" s="9"/>
      <c r="Q1048" s="9"/>
      <c r="R1048" s="9"/>
      <c r="S1048" s="9"/>
      <c r="T1048" s="31"/>
      <c r="W1048" s="16"/>
      <c r="X1048" s="9"/>
      <c r="Y1048" s="9"/>
      <c r="AA1048" s="16"/>
      <c r="AK1048" s="16"/>
      <c r="AL1048" s="17"/>
      <c r="AN1048" s="16"/>
    </row>
    <row r="1049" spans="9:40" x14ac:dyDescent="0.4">
      <c r="I1049" s="11"/>
      <c r="J1049" s="9"/>
      <c r="K1049" s="9"/>
      <c r="O1049" s="11"/>
      <c r="P1049" s="9"/>
      <c r="Q1049" s="9"/>
      <c r="R1049" s="9"/>
      <c r="S1049" s="9"/>
      <c r="T1049" s="31"/>
      <c r="W1049" s="16"/>
      <c r="X1049" s="9"/>
      <c r="Y1049" s="9"/>
      <c r="AA1049" s="16"/>
      <c r="AK1049" s="16"/>
      <c r="AL1049" s="17"/>
      <c r="AN1049" s="16"/>
    </row>
    <row r="1050" spans="9:40" x14ac:dyDescent="0.4">
      <c r="I1050" s="11"/>
      <c r="J1050" s="9"/>
      <c r="K1050" s="9"/>
      <c r="O1050" s="11"/>
      <c r="P1050" s="9"/>
      <c r="Q1050" s="9"/>
      <c r="R1050" s="9"/>
      <c r="S1050" s="9"/>
      <c r="T1050" s="31"/>
      <c r="W1050" s="16"/>
      <c r="X1050" s="9"/>
      <c r="Y1050" s="9"/>
      <c r="AA1050" s="16"/>
      <c r="AK1050" s="16"/>
      <c r="AL1050" s="17"/>
      <c r="AN1050" s="16"/>
    </row>
    <row r="1051" spans="9:40" x14ac:dyDescent="0.4">
      <c r="I1051" s="11"/>
      <c r="J1051" s="9"/>
      <c r="K1051" s="9"/>
      <c r="O1051" s="11"/>
      <c r="P1051" s="9"/>
      <c r="Q1051" s="9"/>
      <c r="R1051" s="9"/>
      <c r="S1051" s="9"/>
      <c r="T1051" s="31"/>
      <c r="W1051" s="16"/>
      <c r="X1051" s="9"/>
      <c r="Y1051" s="9"/>
      <c r="AA1051" s="16"/>
      <c r="AK1051" s="16"/>
      <c r="AL1051" s="17"/>
      <c r="AN1051" s="16"/>
    </row>
    <row r="1052" spans="9:40" x14ac:dyDescent="0.4">
      <c r="I1052" s="11"/>
      <c r="J1052" s="9"/>
      <c r="K1052" s="9"/>
      <c r="O1052" s="11"/>
      <c r="P1052" s="9"/>
      <c r="Q1052" s="9"/>
      <c r="R1052" s="9"/>
      <c r="S1052" s="9"/>
      <c r="T1052" s="31"/>
      <c r="W1052" s="16"/>
      <c r="X1052" s="9"/>
      <c r="Y1052" s="9"/>
      <c r="AA1052" s="16"/>
      <c r="AK1052" s="16"/>
      <c r="AL1052" s="17"/>
      <c r="AN1052" s="16"/>
    </row>
    <row r="1053" spans="9:40" x14ac:dyDescent="0.4">
      <c r="I1053" s="11"/>
      <c r="J1053" s="9"/>
      <c r="K1053" s="9"/>
      <c r="O1053" s="11"/>
      <c r="P1053" s="9"/>
      <c r="Q1053" s="9"/>
      <c r="R1053" s="9"/>
      <c r="S1053" s="9"/>
      <c r="T1053" s="31"/>
      <c r="W1053" s="16"/>
      <c r="X1053" s="9"/>
      <c r="Y1053" s="9"/>
      <c r="AA1053" s="16"/>
      <c r="AK1053" s="16"/>
      <c r="AL1053" s="17"/>
      <c r="AN1053" s="16"/>
    </row>
    <row r="1054" spans="9:40" x14ac:dyDescent="0.4">
      <c r="I1054" s="11"/>
      <c r="J1054" s="9"/>
      <c r="K1054" s="9"/>
      <c r="O1054" s="11"/>
      <c r="P1054" s="9"/>
      <c r="Q1054" s="9"/>
      <c r="R1054" s="9"/>
      <c r="S1054" s="9"/>
      <c r="T1054" s="31"/>
      <c r="W1054" s="16"/>
      <c r="X1054" s="9"/>
      <c r="Y1054" s="9"/>
      <c r="AA1054" s="16"/>
      <c r="AK1054" s="16"/>
      <c r="AL1054" s="17"/>
      <c r="AN1054" s="16"/>
    </row>
    <row r="1055" spans="9:40" x14ac:dyDescent="0.4">
      <c r="I1055" s="11"/>
      <c r="J1055" s="9"/>
      <c r="K1055" s="9"/>
      <c r="O1055" s="11"/>
      <c r="P1055" s="9"/>
      <c r="Q1055" s="9"/>
      <c r="R1055" s="9"/>
      <c r="S1055" s="9"/>
      <c r="T1055" s="31"/>
      <c r="W1055" s="16"/>
      <c r="X1055" s="9"/>
      <c r="Y1055" s="9"/>
      <c r="AA1055" s="16"/>
      <c r="AK1055" s="16"/>
      <c r="AL1055" s="17"/>
      <c r="AN1055" s="16"/>
    </row>
    <row r="1056" spans="9:40" x14ac:dyDescent="0.4">
      <c r="I1056" s="11"/>
      <c r="J1056" s="9"/>
      <c r="K1056" s="9"/>
      <c r="O1056" s="11"/>
      <c r="P1056" s="9"/>
      <c r="Q1056" s="9"/>
      <c r="R1056" s="9"/>
      <c r="S1056" s="9"/>
      <c r="T1056" s="31"/>
      <c r="W1056" s="16"/>
      <c r="X1056" s="9"/>
      <c r="Y1056" s="9"/>
      <c r="AA1056" s="16"/>
      <c r="AK1056" s="16"/>
      <c r="AL1056" s="17"/>
      <c r="AN1056" s="16"/>
    </row>
    <row r="1057" spans="9:40" x14ac:dyDescent="0.4">
      <c r="I1057" s="11"/>
      <c r="J1057" s="9"/>
      <c r="K1057" s="9"/>
      <c r="O1057" s="11"/>
      <c r="P1057" s="9"/>
      <c r="Q1057" s="9"/>
      <c r="R1057" s="9"/>
      <c r="S1057" s="9"/>
      <c r="T1057" s="31"/>
      <c r="W1057" s="16"/>
      <c r="X1057" s="9"/>
      <c r="Y1057" s="9"/>
      <c r="AA1057" s="16"/>
      <c r="AK1057" s="16"/>
      <c r="AL1057" s="17"/>
      <c r="AN1057" s="16"/>
    </row>
    <row r="1058" spans="9:40" x14ac:dyDescent="0.4">
      <c r="I1058" s="11"/>
      <c r="J1058" s="9"/>
      <c r="K1058" s="9"/>
      <c r="O1058" s="11"/>
      <c r="P1058" s="9"/>
      <c r="Q1058" s="9"/>
      <c r="R1058" s="9"/>
      <c r="S1058" s="9"/>
      <c r="T1058" s="31"/>
      <c r="W1058" s="16"/>
      <c r="X1058" s="9"/>
      <c r="Y1058" s="9"/>
      <c r="AA1058" s="16"/>
      <c r="AK1058" s="16"/>
      <c r="AL1058" s="17"/>
      <c r="AN1058" s="16"/>
    </row>
    <row r="1059" spans="9:40" x14ac:dyDescent="0.4">
      <c r="I1059" s="11"/>
      <c r="J1059" s="9"/>
      <c r="K1059" s="9"/>
      <c r="O1059" s="11"/>
      <c r="P1059" s="9"/>
      <c r="Q1059" s="9"/>
      <c r="R1059" s="9"/>
      <c r="S1059" s="9"/>
      <c r="T1059" s="31"/>
      <c r="W1059" s="16"/>
      <c r="X1059" s="9"/>
      <c r="Y1059" s="9"/>
      <c r="AA1059" s="16"/>
      <c r="AK1059" s="16"/>
      <c r="AL1059" s="17"/>
      <c r="AN1059" s="16"/>
    </row>
    <row r="1060" spans="9:40" x14ac:dyDescent="0.4">
      <c r="I1060" s="11"/>
      <c r="J1060" s="9"/>
      <c r="K1060" s="9"/>
      <c r="O1060" s="11"/>
      <c r="P1060" s="9"/>
      <c r="Q1060" s="9"/>
      <c r="R1060" s="9"/>
      <c r="S1060" s="9"/>
      <c r="T1060" s="31"/>
      <c r="W1060" s="16"/>
      <c r="X1060" s="9"/>
      <c r="Y1060" s="9"/>
      <c r="AA1060" s="16"/>
      <c r="AK1060" s="16"/>
      <c r="AL1060" s="17"/>
      <c r="AN1060" s="16"/>
    </row>
    <row r="1061" spans="9:40" x14ac:dyDescent="0.4">
      <c r="I1061" s="11"/>
      <c r="J1061" s="9"/>
      <c r="K1061" s="9"/>
      <c r="O1061" s="11"/>
      <c r="P1061" s="9"/>
      <c r="Q1061" s="9"/>
      <c r="R1061" s="9"/>
      <c r="S1061" s="9"/>
      <c r="T1061" s="31"/>
      <c r="W1061" s="16"/>
      <c r="X1061" s="9"/>
      <c r="Y1061" s="9"/>
      <c r="AA1061" s="16"/>
      <c r="AK1061" s="16"/>
      <c r="AL1061" s="17"/>
      <c r="AN1061" s="16"/>
    </row>
    <row r="1062" spans="9:40" x14ac:dyDescent="0.4">
      <c r="I1062" s="11"/>
      <c r="J1062" s="9"/>
      <c r="K1062" s="9"/>
      <c r="O1062" s="11"/>
      <c r="P1062" s="9"/>
      <c r="Q1062" s="9"/>
      <c r="R1062" s="9"/>
      <c r="S1062" s="9"/>
      <c r="T1062" s="31"/>
      <c r="W1062" s="16"/>
      <c r="X1062" s="9"/>
      <c r="Y1062" s="9"/>
      <c r="AA1062" s="16"/>
      <c r="AK1062" s="16"/>
      <c r="AL1062" s="17"/>
      <c r="AN1062" s="16"/>
    </row>
    <row r="1063" spans="9:40" x14ac:dyDescent="0.4">
      <c r="I1063" s="11"/>
      <c r="J1063" s="9"/>
      <c r="K1063" s="9"/>
      <c r="O1063" s="11"/>
      <c r="P1063" s="9"/>
      <c r="Q1063" s="9"/>
      <c r="R1063" s="9"/>
      <c r="S1063" s="9"/>
      <c r="T1063" s="31"/>
      <c r="W1063" s="16"/>
      <c r="X1063" s="9"/>
      <c r="Y1063" s="9"/>
      <c r="AA1063" s="16"/>
      <c r="AK1063" s="16"/>
      <c r="AL1063" s="17"/>
      <c r="AN1063" s="16"/>
    </row>
    <row r="1064" spans="9:40" x14ac:dyDescent="0.4">
      <c r="I1064" s="11"/>
      <c r="J1064" s="9"/>
      <c r="K1064" s="9"/>
      <c r="O1064" s="11"/>
      <c r="P1064" s="9"/>
      <c r="Q1064" s="9"/>
      <c r="R1064" s="9"/>
      <c r="S1064" s="9"/>
      <c r="T1064" s="31"/>
      <c r="W1064" s="16"/>
      <c r="X1064" s="9"/>
      <c r="Y1064" s="9"/>
      <c r="AA1064" s="16"/>
      <c r="AK1064" s="16"/>
      <c r="AL1064" s="17"/>
      <c r="AN1064" s="16"/>
    </row>
    <row r="1065" spans="9:40" x14ac:dyDescent="0.4">
      <c r="I1065" s="11"/>
      <c r="J1065" s="9"/>
      <c r="K1065" s="9"/>
      <c r="O1065" s="11"/>
      <c r="P1065" s="9"/>
      <c r="Q1065" s="9"/>
      <c r="R1065" s="9"/>
      <c r="S1065" s="9"/>
      <c r="T1065" s="31"/>
      <c r="W1065" s="16"/>
      <c r="X1065" s="9"/>
      <c r="Y1065" s="9"/>
      <c r="AA1065" s="16"/>
      <c r="AK1065" s="16"/>
      <c r="AL1065" s="17"/>
      <c r="AN1065" s="16"/>
    </row>
    <row r="1066" spans="9:40" x14ac:dyDescent="0.4">
      <c r="I1066" s="11"/>
      <c r="J1066" s="9"/>
      <c r="K1066" s="9"/>
      <c r="O1066" s="11"/>
      <c r="P1066" s="9"/>
      <c r="Q1066" s="9"/>
      <c r="R1066" s="9"/>
      <c r="S1066" s="9"/>
      <c r="T1066" s="31"/>
      <c r="W1066" s="16"/>
      <c r="X1066" s="9"/>
      <c r="Y1066" s="9"/>
      <c r="AA1066" s="16"/>
      <c r="AK1066" s="16"/>
      <c r="AL1066" s="17"/>
      <c r="AN1066" s="16"/>
    </row>
    <row r="1067" spans="9:40" x14ac:dyDescent="0.4">
      <c r="I1067" s="11"/>
      <c r="J1067" s="9"/>
      <c r="K1067" s="9"/>
      <c r="O1067" s="11"/>
      <c r="P1067" s="9"/>
      <c r="Q1067" s="9"/>
      <c r="R1067" s="9"/>
      <c r="S1067" s="9"/>
      <c r="T1067" s="31"/>
      <c r="W1067" s="16"/>
      <c r="X1067" s="9"/>
      <c r="Y1067" s="9"/>
      <c r="AA1067" s="16"/>
      <c r="AK1067" s="16"/>
      <c r="AL1067" s="17"/>
      <c r="AN1067" s="16"/>
    </row>
    <row r="1068" spans="9:40" x14ac:dyDescent="0.4">
      <c r="I1068" s="11"/>
      <c r="J1068" s="9"/>
      <c r="K1068" s="9"/>
      <c r="O1068" s="11"/>
      <c r="P1068" s="9"/>
      <c r="Q1068" s="9"/>
      <c r="R1068" s="9"/>
      <c r="S1068" s="9"/>
      <c r="T1068" s="31"/>
      <c r="W1068" s="16"/>
      <c r="X1068" s="9"/>
      <c r="Y1068" s="9"/>
      <c r="AA1068" s="16"/>
      <c r="AK1068" s="16"/>
      <c r="AL1068" s="17"/>
      <c r="AN1068" s="16"/>
    </row>
    <row r="1069" spans="9:40" x14ac:dyDescent="0.4">
      <c r="I1069" s="11"/>
      <c r="J1069" s="9"/>
      <c r="K1069" s="9"/>
      <c r="O1069" s="11"/>
      <c r="P1069" s="9"/>
      <c r="Q1069" s="9"/>
      <c r="R1069" s="9"/>
      <c r="S1069" s="9"/>
      <c r="T1069" s="31"/>
      <c r="W1069" s="16"/>
      <c r="X1069" s="9"/>
      <c r="Y1069" s="9"/>
      <c r="AA1069" s="16"/>
      <c r="AK1069" s="16"/>
      <c r="AL1069" s="17"/>
      <c r="AN1069" s="16"/>
    </row>
    <row r="1070" spans="9:40" x14ac:dyDescent="0.4">
      <c r="I1070" s="11"/>
      <c r="J1070" s="9"/>
      <c r="K1070" s="9"/>
      <c r="O1070" s="11"/>
      <c r="P1070" s="9"/>
      <c r="Q1070" s="9"/>
      <c r="R1070" s="9"/>
      <c r="S1070" s="9"/>
      <c r="T1070" s="31"/>
      <c r="W1070" s="16"/>
      <c r="X1070" s="9"/>
      <c r="Y1070" s="9"/>
      <c r="AA1070" s="16"/>
      <c r="AK1070" s="16"/>
      <c r="AL1070" s="17"/>
      <c r="AN1070" s="16"/>
    </row>
    <row r="1071" spans="9:40" x14ac:dyDescent="0.4">
      <c r="I1071" s="11"/>
      <c r="J1071" s="9"/>
      <c r="K1071" s="9"/>
      <c r="O1071" s="11"/>
      <c r="P1071" s="9"/>
      <c r="Q1071" s="9"/>
      <c r="R1071" s="9"/>
      <c r="S1071" s="9"/>
      <c r="T1071" s="31"/>
      <c r="W1071" s="16"/>
      <c r="X1071" s="9"/>
      <c r="Y1071" s="9"/>
      <c r="AA1071" s="16"/>
      <c r="AK1071" s="16"/>
      <c r="AL1071" s="17"/>
      <c r="AN1071" s="16"/>
    </row>
    <row r="1072" spans="9:40" x14ac:dyDescent="0.4">
      <c r="I1072" s="11"/>
      <c r="J1072" s="9"/>
      <c r="K1072" s="9"/>
      <c r="O1072" s="11"/>
      <c r="P1072" s="9"/>
      <c r="Q1072" s="9"/>
      <c r="R1072" s="9"/>
      <c r="S1072" s="9"/>
      <c r="T1072" s="31"/>
      <c r="W1072" s="16"/>
      <c r="X1072" s="9"/>
      <c r="Y1072" s="9"/>
      <c r="AA1072" s="16"/>
      <c r="AK1072" s="16"/>
      <c r="AL1072" s="17"/>
      <c r="AN1072" s="16"/>
    </row>
    <row r="1073" spans="9:40" x14ac:dyDescent="0.4">
      <c r="I1073" s="11"/>
      <c r="J1073" s="9"/>
      <c r="K1073" s="9"/>
      <c r="O1073" s="11"/>
      <c r="P1073" s="9"/>
      <c r="Q1073" s="9"/>
      <c r="R1073" s="9"/>
      <c r="S1073" s="9"/>
      <c r="T1073" s="31"/>
      <c r="W1073" s="16"/>
      <c r="X1073" s="9"/>
      <c r="Y1073" s="9"/>
      <c r="AA1073" s="16"/>
      <c r="AK1073" s="16"/>
      <c r="AL1073" s="17"/>
      <c r="AN1073" s="16"/>
    </row>
    <row r="1074" spans="9:40" x14ac:dyDescent="0.4">
      <c r="I1074" s="11"/>
      <c r="J1074" s="9"/>
      <c r="K1074" s="9"/>
      <c r="O1074" s="11"/>
      <c r="P1074" s="9"/>
      <c r="Q1074" s="9"/>
      <c r="R1074" s="9"/>
      <c r="S1074" s="9"/>
      <c r="T1074" s="31"/>
      <c r="W1074" s="16"/>
      <c r="X1074" s="9"/>
      <c r="Y1074" s="9"/>
      <c r="AA1074" s="16"/>
      <c r="AK1074" s="16"/>
      <c r="AL1074" s="17"/>
      <c r="AN1074" s="16"/>
    </row>
    <row r="1075" spans="9:40" x14ac:dyDescent="0.4">
      <c r="I1075" s="11"/>
      <c r="J1075" s="9"/>
      <c r="K1075" s="9"/>
      <c r="O1075" s="11"/>
      <c r="P1075" s="9"/>
      <c r="Q1075" s="9"/>
      <c r="R1075" s="9"/>
      <c r="S1075" s="9"/>
      <c r="T1075" s="31"/>
      <c r="W1075" s="16"/>
      <c r="X1075" s="9"/>
      <c r="Y1075" s="9"/>
      <c r="AA1075" s="16"/>
      <c r="AK1075" s="16"/>
      <c r="AL1075" s="17"/>
      <c r="AN1075" s="16"/>
    </row>
    <row r="1076" spans="9:40" x14ac:dyDescent="0.4">
      <c r="I1076" s="11"/>
      <c r="J1076" s="9"/>
      <c r="K1076" s="9"/>
      <c r="O1076" s="11"/>
      <c r="P1076" s="9"/>
      <c r="Q1076" s="9"/>
      <c r="R1076" s="9"/>
      <c r="S1076" s="9"/>
      <c r="T1076" s="31"/>
      <c r="W1076" s="16"/>
      <c r="X1076" s="9"/>
      <c r="Y1076" s="9"/>
      <c r="AA1076" s="16"/>
      <c r="AK1076" s="16"/>
      <c r="AL1076" s="17"/>
      <c r="AN1076" s="16"/>
    </row>
    <row r="1077" spans="9:40" x14ac:dyDescent="0.4">
      <c r="I1077" s="11"/>
      <c r="J1077" s="9"/>
      <c r="K1077" s="9"/>
      <c r="O1077" s="11"/>
      <c r="P1077" s="9"/>
      <c r="Q1077" s="9"/>
      <c r="R1077" s="9"/>
      <c r="S1077" s="9"/>
      <c r="T1077" s="31"/>
      <c r="W1077" s="16"/>
      <c r="X1077" s="9"/>
      <c r="Y1077" s="9"/>
      <c r="AA1077" s="16"/>
      <c r="AK1077" s="16"/>
      <c r="AL1077" s="17"/>
      <c r="AN1077" s="16"/>
    </row>
    <row r="1078" spans="9:40" x14ac:dyDescent="0.4">
      <c r="I1078" s="11"/>
      <c r="J1078" s="9"/>
      <c r="K1078" s="9"/>
      <c r="O1078" s="11"/>
      <c r="P1078" s="9"/>
      <c r="Q1078" s="9"/>
      <c r="R1078" s="9"/>
      <c r="S1078" s="9"/>
      <c r="T1078" s="31"/>
      <c r="W1078" s="16"/>
      <c r="X1078" s="9"/>
      <c r="Y1078" s="9"/>
      <c r="AA1078" s="16"/>
      <c r="AK1078" s="16"/>
      <c r="AL1078" s="17"/>
      <c r="AN1078" s="16"/>
    </row>
    <row r="1079" spans="9:40" x14ac:dyDescent="0.4">
      <c r="I1079" s="11"/>
      <c r="J1079" s="9"/>
      <c r="K1079" s="9"/>
      <c r="O1079" s="11"/>
      <c r="P1079" s="9"/>
      <c r="Q1079" s="9"/>
      <c r="R1079" s="9"/>
      <c r="S1079" s="9"/>
      <c r="T1079" s="31"/>
      <c r="W1079" s="16"/>
      <c r="X1079" s="9"/>
      <c r="Y1079" s="9"/>
      <c r="AA1079" s="16"/>
      <c r="AK1079" s="16"/>
      <c r="AL1079" s="17"/>
      <c r="AN1079" s="16"/>
    </row>
    <row r="1080" spans="9:40" x14ac:dyDescent="0.4">
      <c r="I1080" s="11"/>
      <c r="J1080" s="9"/>
      <c r="K1080" s="9"/>
      <c r="O1080" s="11"/>
      <c r="P1080" s="9"/>
      <c r="Q1080" s="9"/>
      <c r="R1080" s="9"/>
      <c r="S1080" s="9"/>
      <c r="T1080" s="31"/>
      <c r="W1080" s="16"/>
      <c r="X1080" s="9"/>
      <c r="Y1080" s="9"/>
      <c r="AA1080" s="16"/>
      <c r="AK1080" s="16"/>
      <c r="AL1080" s="17"/>
      <c r="AN1080" s="16"/>
    </row>
    <row r="1081" spans="9:40" x14ac:dyDescent="0.4">
      <c r="I1081" s="11"/>
      <c r="J1081" s="9"/>
      <c r="K1081" s="9"/>
      <c r="O1081" s="11"/>
      <c r="P1081" s="9"/>
      <c r="Q1081" s="9"/>
      <c r="R1081" s="9"/>
      <c r="S1081" s="9"/>
      <c r="T1081" s="31"/>
      <c r="W1081" s="16"/>
      <c r="X1081" s="9"/>
      <c r="Y1081" s="9"/>
      <c r="AA1081" s="16"/>
      <c r="AK1081" s="16"/>
      <c r="AL1081" s="17"/>
      <c r="AN1081" s="16"/>
    </row>
    <row r="1082" spans="9:40" x14ac:dyDescent="0.4">
      <c r="I1082" s="11"/>
      <c r="J1082" s="9"/>
      <c r="K1082" s="9"/>
      <c r="O1082" s="11"/>
      <c r="P1082" s="9"/>
      <c r="Q1082" s="9"/>
      <c r="R1082" s="9"/>
      <c r="S1082" s="9"/>
      <c r="T1082" s="31"/>
      <c r="W1082" s="16"/>
      <c r="X1082" s="9"/>
      <c r="Y1082" s="9"/>
      <c r="AA1082" s="16"/>
      <c r="AK1082" s="16"/>
      <c r="AL1082" s="17"/>
      <c r="AN1082" s="16"/>
    </row>
    <row r="1083" spans="9:40" x14ac:dyDescent="0.4">
      <c r="I1083" s="11"/>
      <c r="J1083" s="9"/>
      <c r="K1083" s="9"/>
      <c r="O1083" s="11"/>
      <c r="P1083" s="9"/>
      <c r="Q1083" s="9"/>
      <c r="R1083" s="9"/>
      <c r="S1083" s="9"/>
      <c r="T1083" s="31"/>
      <c r="W1083" s="16"/>
      <c r="X1083" s="9"/>
      <c r="Y1083" s="9"/>
      <c r="AA1083" s="16"/>
      <c r="AK1083" s="16"/>
      <c r="AL1083" s="17"/>
      <c r="AN1083" s="16"/>
    </row>
    <row r="1084" spans="9:40" x14ac:dyDescent="0.4">
      <c r="I1084" s="11"/>
      <c r="J1084" s="9"/>
      <c r="K1084" s="9"/>
      <c r="O1084" s="11"/>
      <c r="P1084" s="9"/>
      <c r="Q1084" s="9"/>
      <c r="R1084" s="9"/>
      <c r="S1084" s="9"/>
      <c r="T1084" s="31"/>
      <c r="W1084" s="16"/>
      <c r="X1084" s="9"/>
      <c r="Y1084" s="9"/>
      <c r="AA1084" s="16"/>
      <c r="AK1084" s="16"/>
      <c r="AL1084" s="17"/>
      <c r="AN1084" s="16"/>
    </row>
    <row r="1085" spans="9:40" x14ac:dyDescent="0.4">
      <c r="I1085" s="11"/>
      <c r="J1085" s="9"/>
      <c r="K1085" s="9"/>
      <c r="O1085" s="11"/>
      <c r="P1085" s="9"/>
      <c r="Q1085" s="9"/>
      <c r="R1085" s="9"/>
      <c r="S1085" s="9"/>
      <c r="T1085" s="31"/>
      <c r="W1085" s="16"/>
      <c r="X1085" s="9"/>
      <c r="Y1085" s="9"/>
      <c r="AA1085" s="16"/>
      <c r="AK1085" s="16"/>
      <c r="AL1085" s="17"/>
      <c r="AN1085" s="16"/>
    </row>
    <row r="1086" spans="9:40" x14ac:dyDescent="0.4">
      <c r="I1086" s="11"/>
      <c r="J1086" s="9"/>
      <c r="K1086" s="9"/>
      <c r="O1086" s="11"/>
      <c r="P1086" s="9"/>
      <c r="Q1086" s="9"/>
      <c r="R1086" s="9"/>
      <c r="S1086" s="9"/>
      <c r="T1086" s="31"/>
      <c r="W1086" s="16"/>
      <c r="X1086" s="9"/>
      <c r="Y1086" s="9"/>
      <c r="AA1086" s="16"/>
      <c r="AK1086" s="16"/>
      <c r="AL1086" s="17"/>
      <c r="AN1086" s="16"/>
    </row>
    <row r="1087" spans="9:40" x14ac:dyDescent="0.4">
      <c r="I1087" s="11"/>
      <c r="J1087" s="9"/>
      <c r="K1087" s="9"/>
      <c r="O1087" s="11"/>
      <c r="P1087" s="9"/>
      <c r="Q1087" s="9"/>
      <c r="R1087" s="9"/>
      <c r="S1087" s="9"/>
      <c r="T1087" s="31"/>
      <c r="W1087" s="16"/>
      <c r="X1087" s="9"/>
      <c r="Y1087" s="9"/>
      <c r="AA1087" s="16"/>
      <c r="AK1087" s="16"/>
      <c r="AL1087" s="17"/>
      <c r="AN1087" s="16"/>
    </row>
    <row r="1088" spans="9:40" x14ac:dyDescent="0.4">
      <c r="I1088" s="11"/>
      <c r="J1088" s="9"/>
      <c r="K1088" s="9"/>
      <c r="O1088" s="11"/>
      <c r="P1088" s="9"/>
      <c r="Q1088" s="9"/>
      <c r="R1088" s="9"/>
      <c r="S1088" s="9"/>
      <c r="T1088" s="31"/>
      <c r="W1088" s="16"/>
      <c r="X1088" s="9"/>
      <c r="Y1088" s="9"/>
      <c r="AA1088" s="16"/>
      <c r="AK1088" s="16"/>
      <c r="AL1088" s="17"/>
      <c r="AN1088" s="16"/>
    </row>
    <row r="1089" spans="9:40" x14ac:dyDescent="0.4">
      <c r="I1089" s="11"/>
      <c r="J1089" s="9"/>
      <c r="K1089" s="9"/>
      <c r="O1089" s="11"/>
      <c r="P1089" s="9"/>
      <c r="Q1089" s="9"/>
      <c r="R1089" s="9"/>
      <c r="S1089" s="9"/>
      <c r="T1089" s="31"/>
      <c r="W1089" s="16"/>
      <c r="X1089" s="9"/>
      <c r="Y1089" s="9"/>
      <c r="AA1089" s="16"/>
      <c r="AK1089" s="16"/>
      <c r="AL1089" s="17"/>
      <c r="AN1089" s="16"/>
    </row>
    <row r="1090" spans="9:40" x14ac:dyDescent="0.4">
      <c r="I1090" s="11"/>
      <c r="J1090" s="9"/>
      <c r="K1090" s="9"/>
      <c r="O1090" s="11"/>
      <c r="P1090" s="9"/>
      <c r="Q1090" s="9"/>
      <c r="R1090" s="9"/>
      <c r="S1090" s="9"/>
      <c r="T1090" s="31"/>
      <c r="W1090" s="16"/>
      <c r="X1090" s="9"/>
      <c r="Y1090" s="9"/>
      <c r="AA1090" s="16"/>
      <c r="AK1090" s="16"/>
      <c r="AL1090" s="17"/>
      <c r="AN1090" s="16"/>
    </row>
    <row r="1091" spans="9:40" x14ac:dyDescent="0.4">
      <c r="I1091" s="11"/>
      <c r="J1091" s="9"/>
      <c r="K1091" s="9"/>
      <c r="O1091" s="11"/>
      <c r="P1091" s="9"/>
      <c r="Q1091" s="9"/>
      <c r="R1091" s="9"/>
      <c r="S1091" s="9"/>
      <c r="T1091" s="31"/>
      <c r="W1091" s="16"/>
      <c r="X1091" s="9"/>
      <c r="Y1091" s="9"/>
      <c r="AA1091" s="16"/>
      <c r="AK1091" s="16"/>
      <c r="AL1091" s="17"/>
      <c r="AN1091" s="16"/>
    </row>
    <row r="1092" spans="9:40" x14ac:dyDescent="0.4">
      <c r="I1092" s="11"/>
      <c r="J1092" s="9"/>
      <c r="K1092" s="9"/>
      <c r="O1092" s="11"/>
      <c r="P1092" s="9"/>
      <c r="Q1092" s="9"/>
      <c r="R1092" s="9"/>
      <c r="S1092" s="9"/>
      <c r="T1092" s="31"/>
      <c r="W1092" s="16"/>
      <c r="X1092" s="9"/>
      <c r="Y1092" s="9"/>
      <c r="AA1092" s="16"/>
      <c r="AK1092" s="16"/>
      <c r="AL1092" s="17"/>
      <c r="AN1092" s="16"/>
    </row>
    <row r="1093" spans="9:40" x14ac:dyDescent="0.4">
      <c r="I1093" s="11"/>
      <c r="J1093" s="9"/>
      <c r="K1093" s="9"/>
      <c r="O1093" s="11"/>
      <c r="P1093" s="9"/>
      <c r="Q1093" s="9"/>
      <c r="R1093" s="9"/>
      <c r="S1093" s="9"/>
      <c r="T1093" s="31"/>
      <c r="W1093" s="16"/>
      <c r="X1093" s="9"/>
      <c r="Y1093" s="9"/>
      <c r="AA1093" s="16"/>
      <c r="AK1093" s="16"/>
      <c r="AL1093" s="17"/>
      <c r="AN1093" s="16"/>
    </row>
    <row r="1094" spans="9:40" x14ac:dyDescent="0.4">
      <c r="I1094" s="11"/>
      <c r="J1094" s="9"/>
      <c r="K1094" s="9"/>
      <c r="O1094" s="11"/>
      <c r="P1094" s="9"/>
      <c r="Q1094" s="9"/>
      <c r="R1094" s="9"/>
      <c r="S1094" s="9"/>
      <c r="T1094" s="31"/>
      <c r="W1094" s="16"/>
      <c r="X1094" s="9"/>
      <c r="Y1094" s="9"/>
      <c r="AA1094" s="16"/>
      <c r="AK1094" s="16"/>
      <c r="AL1094" s="17"/>
      <c r="AN1094" s="16"/>
    </row>
    <row r="1095" spans="9:40" x14ac:dyDescent="0.4">
      <c r="I1095" s="11"/>
      <c r="J1095" s="9"/>
      <c r="K1095" s="9"/>
      <c r="O1095" s="11"/>
      <c r="P1095" s="9"/>
      <c r="Q1095" s="9"/>
      <c r="R1095" s="9"/>
      <c r="S1095" s="9"/>
      <c r="T1095" s="31"/>
      <c r="W1095" s="16"/>
      <c r="X1095" s="9"/>
      <c r="Y1095" s="9"/>
      <c r="AA1095" s="16"/>
      <c r="AK1095" s="16"/>
      <c r="AL1095" s="17"/>
      <c r="AN1095" s="16"/>
    </row>
    <row r="1096" spans="9:40" x14ac:dyDescent="0.4">
      <c r="I1096" s="11"/>
      <c r="J1096" s="9"/>
      <c r="K1096" s="9"/>
      <c r="O1096" s="11"/>
      <c r="P1096" s="9"/>
      <c r="Q1096" s="9"/>
      <c r="R1096" s="9"/>
      <c r="S1096" s="9"/>
      <c r="T1096" s="31"/>
      <c r="W1096" s="16"/>
      <c r="X1096" s="9"/>
      <c r="Y1096" s="9"/>
      <c r="AA1096" s="16"/>
      <c r="AK1096" s="16"/>
      <c r="AL1096" s="17"/>
      <c r="AN1096" s="16"/>
    </row>
    <row r="1097" spans="9:40" x14ac:dyDescent="0.4">
      <c r="I1097" s="11"/>
      <c r="J1097" s="9"/>
      <c r="K1097" s="9"/>
      <c r="O1097" s="11"/>
      <c r="P1097" s="9"/>
      <c r="Q1097" s="9"/>
      <c r="R1097" s="9"/>
      <c r="S1097" s="9"/>
      <c r="T1097" s="31"/>
      <c r="W1097" s="16"/>
      <c r="X1097" s="9"/>
      <c r="Y1097" s="9"/>
      <c r="AA1097" s="16"/>
      <c r="AK1097" s="16"/>
      <c r="AL1097" s="17"/>
      <c r="AN1097" s="16"/>
    </row>
    <row r="1098" spans="9:40" x14ac:dyDescent="0.4">
      <c r="I1098" s="11"/>
      <c r="J1098" s="9"/>
      <c r="K1098" s="9"/>
      <c r="O1098" s="11"/>
      <c r="P1098" s="9"/>
      <c r="Q1098" s="9"/>
      <c r="R1098" s="9"/>
      <c r="S1098" s="9"/>
      <c r="T1098" s="31"/>
      <c r="W1098" s="16"/>
      <c r="X1098" s="9"/>
      <c r="Y1098" s="9"/>
      <c r="AA1098" s="16"/>
      <c r="AK1098" s="16"/>
      <c r="AL1098" s="17"/>
      <c r="AN1098" s="16"/>
    </row>
    <row r="1099" spans="9:40" x14ac:dyDescent="0.4">
      <c r="I1099" s="11"/>
      <c r="J1099" s="9"/>
      <c r="K1099" s="9"/>
      <c r="O1099" s="11"/>
      <c r="P1099" s="9"/>
      <c r="Q1099" s="9"/>
      <c r="R1099" s="9"/>
      <c r="S1099" s="9"/>
      <c r="T1099" s="31"/>
      <c r="W1099" s="16"/>
      <c r="X1099" s="9"/>
      <c r="Y1099" s="9"/>
      <c r="AA1099" s="16"/>
      <c r="AK1099" s="16"/>
      <c r="AL1099" s="17"/>
      <c r="AN1099" s="16"/>
    </row>
    <row r="1100" spans="9:40" x14ac:dyDescent="0.4">
      <c r="I1100" s="11"/>
      <c r="J1100" s="9"/>
      <c r="K1100" s="9"/>
      <c r="O1100" s="11"/>
      <c r="P1100" s="9"/>
      <c r="Q1100" s="9"/>
      <c r="R1100" s="9"/>
      <c r="S1100" s="9"/>
      <c r="T1100" s="31"/>
      <c r="W1100" s="16"/>
      <c r="X1100" s="9"/>
      <c r="Y1100" s="9"/>
      <c r="AA1100" s="16"/>
      <c r="AK1100" s="16"/>
      <c r="AL1100" s="17"/>
      <c r="AN1100" s="16"/>
    </row>
    <row r="1101" spans="9:40" x14ac:dyDescent="0.4">
      <c r="I1101" s="11"/>
      <c r="J1101" s="9"/>
      <c r="K1101" s="9"/>
      <c r="O1101" s="11"/>
      <c r="P1101" s="9"/>
      <c r="Q1101" s="9"/>
      <c r="R1101" s="9"/>
      <c r="S1101" s="9"/>
      <c r="T1101" s="31"/>
      <c r="W1101" s="16"/>
      <c r="X1101" s="9"/>
      <c r="Y1101" s="9"/>
      <c r="AA1101" s="16"/>
      <c r="AK1101" s="16"/>
      <c r="AL1101" s="17"/>
      <c r="AN1101" s="16"/>
    </row>
    <row r="1102" spans="9:40" x14ac:dyDescent="0.4">
      <c r="I1102" s="11"/>
      <c r="J1102" s="9"/>
      <c r="K1102" s="9"/>
      <c r="O1102" s="11"/>
      <c r="P1102" s="9"/>
      <c r="Q1102" s="9"/>
      <c r="R1102" s="9"/>
      <c r="S1102" s="9"/>
      <c r="T1102" s="31"/>
      <c r="W1102" s="16"/>
      <c r="X1102" s="9"/>
      <c r="Y1102" s="9"/>
      <c r="AA1102" s="16"/>
      <c r="AK1102" s="16"/>
      <c r="AL1102" s="17"/>
      <c r="AN1102" s="16"/>
    </row>
    <row r="1103" spans="9:40" x14ac:dyDescent="0.4">
      <c r="I1103" s="11"/>
      <c r="J1103" s="9"/>
      <c r="K1103" s="9"/>
      <c r="O1103" s="11"/>
      <c r="P1103" s="9"/>
      <c r="Q1103" s="9"/>
      <c r="R1103" s="9"/>
      <c r="S1103" s="9"/>
      <c r="T1103" s="31"/>
      <c r="W1103" s="16"/>
      <c r="X1103" s="9"/>
      <c r="Y1103" s="9"/>
      <c r="AA1103" s="16"/>
      <c r="AK1103" s="16"/>
      <c r="AL1103" s="17"/>
      <c r="AN1103" s="16"/>
    </row>
    <row r="1104" spans="9:40" x14ac:dyDescent="0.4">
      <c r="I1104" s="11"/>
      <c r="J1104" s="9"/>
      <c r="K1104" s="9"/>
      <c r="O1104" s="11"/>
      <c r="P1104" s="9"/>
      <c r="Q1104" s="9"/>
      <c r="R1104" s="9"/>
      <c r="S1104" s="9"/>
      <c r="T1104" s="31"/>
      <c r="W1104" s="16"/>
      <c r="X1104" s="9"/>
      <c r="Y1104" s="9"/>
      <c r="AA1104" s="16"/>
      <c r="AK1104" s="16"/>
      <c r="AL1104" s="17"/>
      <c r="AN1104" s="16"/>
    </row>
    <row r="1105" spans="9:40" x14ac:dyDescent="0.4">
      <c r="I1105" s="11"/>
      <c r="J1105" s="9"/>
      <c r="K1105" s="9"/>
      <c r="O1105" s="11"/>
      <c r="P1105" s="9"/>
      <c r="Q1105" s="9"/>
      <c r="R1105" s="9"/>
      <c r="S1105" s="9"/>
      <c r="T1105" s="31"/>
      <c r="W1105" s="16"/>
      <c r="X1105" s="9"/>
      <c r="Y1105" s="9"/>
      <c r="AA1105" s="16"/>
      <c r="AK1105" s="16"/>
      <c r="AL1105" s="17"/>
      <c r="AN1105" s="16"/>
    </row>
    <row r="1106" spans="9:40" x14ac:dyDescent="0.4">
      <c r="I1106" s="11"/>
      <c r="J1106" s="9"/>
      <c r="K1106" s="9"/>
      <c r="O1106" s="11"/>
      <c r="P1106" s="9"/>
      <c r="Q1106" s="9"/>
      <c r="R1106" s="9"/>
      <c r="S1106" s="9"/>
      <c r="T1106" s="31"/>
      <c r="W1106" s="16"/>
      <c r="X1106" s="9"/>
      <c r="Y1106" s="9"/>
      <c r="AA1106" s="16"/>
      <c r="AK1106" s="16"/>
      <c r="AL1106" s="17"/>
      <c r="AN1106" s="16"/>
    </row>
    <row r="1107" spans="9:40" x14ac:dyDescent="0.4">
      <c r="I1107" s="11"/>
      <c r="J1107" s="9"/>
      <c r="K1107" s="9"/>
      <c r="O1107" s="11"/>
      <c r="P1107" s="9"/>
      <c r="Q1107" s="9"/>
      <c r="R1107" s="9"/>
      <c r="S1107" s="9"/>
      <c r="T1107" s="31"/>
      <c r="W1107" s="16"/>
      <c r="X1107" s="9"/>
      <c r="Y1107" s="9"/>
      <c r="AA1107" s="16"/>
      <c r="AK1107" s="16"/>
      <c r="AL1107" s="17"/>
      <c r="AN1107" s="16"/>
    </row>
    <row r="1108" spans="9:40" x14ac:dyDescent="0.4">
      <c r="I1108" s="11"/>
      <c r="J1108" s="9"/>
      <c r="K1108" s="9"/>
      <c r="O1108" s="11"/>
      <c r="P1108" s="9"/>
      <c r="Q1108" s="9"/>
      <c r="R1108" s="9"/>
      <c r="S1108" s="9"/>
      <c r="T1108" s="31"/>
      <c r="W1108" s="16"/>
      <c r="X1108" s="9"/>
      <c r="Y1108" s="9"/>
      <c r="AA1108" s="16"/>
      <c r="AK1108" s="16"/>
      <c r="AL1108" s="17"/>
      <c r="AN1108" s="16"/>
    </row>
    <row r="1109" spans="9:40" x14ac:dyDescent="0.4">
      <c r="I1109" s="11"/>
      <c r="J1109" s="9"/>
      <c r="K1109" s="9"/>
      <c r="O1109" s="11"/>
      <c r="P1109" s="9"/>
      <c r="Q1109" s="9"/>
      <c r="R1109" s="9"/>
      <c r="S1109" s="9"/>
      <c r="T1109" s="31"/>
      <c r="W1109" s="16"/>
      <c r="X1109" s="9"/>
      <c r="Y1109" s="9"/>
      <c r="AA1109" s="16"/>
      <c r="AK1109" s="16"/>
      <c r="AL1109" s="17"/>
      <c r="AN1109" s="16"/>
    </row>
    <row r="1110" spans="9:40" x14ac:dyDescent="0.4">
      <c r="I1110" s="11"/>
      <c r="J1110" s="9"/>
      <c r="K1110" s="9"/>
      <c r="O1110" s="11"/>
      <c r="P1110" s="9"/>
      <c r="Q1110" s="9"/>
      <c r="R1110" s="9"/>
      <c r="S1110" s="9"/>
      <c r="T1110" s="31"/>
      <c r="W1110" s="16"/>
      <c r="X1110" s="9"/>
      <c r="Y1110" s="9"/>
      <c r="AA1110" s="16"/>
      <c r="AK1110" s="16"/>
      <c r="AL1110" s="17"/>
      <c r="AN1110" s="16"/>
    </row>
    <row r="1111" spans="9:40" x14ac:dyDescent="0.4">
      <c r="I1111" s="11"/>
      <c r="J1111" s="9"/>
      <c r="K1111" s="9"/>
      <c r="O1111" s="11"/>
      <c r="P1111" s="9"/>
      <c r="Q1111" s="9"/>
      <c r="R1111" s="9"/>
      <c r="S1111" s="9"/>
      <c r="T1111" s="31"/>
      <c r="W1111" s="16"/>
      <c r="X1111" s="9"/>
      <c r="Y1111" s="9"/>
      <c r="AA1111" s="16"/>
      <c r="AK1111" s="16"/>
      <c r="AL1111" s="17"/>
      <c r="AN1111" s="16"/>
    </row>
    <row r="1112" spans="9:40" x14ac:dyDescent="0.4">
      <c r="I1112" s="11"/>
      <c r="J1112" s="9"/>
      <c r="K1112" s="9"/>
      <c r="O1112" s="11"/>
      <c r="P1112" s="9"/>
      <c r="Q1112" s="9"/>
      <c r="R1112" s="9"/>
      <c r="S1112" s="9"/>
      <c r="T1112" s="31"/>
      <c r="W1112" s="16"/>
      <c r="X1112" s="9"/>
      <c r="Y1112" s="9"/>
      <c r="AA1112" s="16"/>
      <c r="AK1112" s="16"/>
      <c r="AL1112" s="17"/>
      <c r="AN1112" s="16"/>
    </row>
    <row r="1113" spans="9:40" x14ac:dyDescent="0.4">
      <c r="I1113" s="11"/>
      <c r="J1113" s="9"/>
      <c r="K1113" s="9"/>
      <c r="O1113" s="11"/>
      <c r="P1113" s="9"/>
      <c r="Q1113" s="9"/>
      <c r="R1113" s="9"/>
      <c r="S1113" s="9"/>
      <c r="T1113" s="31"/>
      <c r="W1113" s="16"/>
      <c r="X1113" s="9"/>
      <c r="Y1113" s="9"/>
      <c r="AA1113" s="16"/>
      <c r="AK1113" s="16"/>
      <c r="AL1113" s="17"/>
      <c r="AN1113" s="16"/>
    </row>
    <row r="1114" spans="9:40" x14ac:dyDescent="0.4">
      <c r="I1114" s="11"/>
      <c r="J1114" s="9"/>
      <c r="K1114" s="9"/>
      <c r="O1114" s="11"/>
      <c r="P1114" s="9"/>
      <c r="Q1114" s="9"/>
      <c r="R1114" s="9"/>
      <c r="S1114" s="9"/>
      <c r="T1114" s="31"/>
      <c r="W1114" s="16"/>
      <c r="X1114" s="9"/>
      <c r="Y1114" s="9"/>
      <c r="AA1114" s="16"/>
      <c r="AK1114" s="16"/>
      <c r="AL1114" s="17"/>
      <c r="AN1114" s="16"/>
    </row>
    <row r="1115" spans="9:40" x14ac:dyDescent="0.4">
      <c r="I1115" s="11"/>
      <c r="J1115" s="9"/>
      <c r="K1115" s="9"/>
      <c r="O1115" s="11"/>
      <c r="P1115" s="9"/>
      <c r="Q1115" s="9"/>
      <c r="R1115" s="9"/>
      <c r="S1115" s="9"/>
      <c r="T1115" s="31"/>
      <c r="W1115" s="16"/>
      <c r="X1115" s="9"/>
      <c r="Y1115" s="9"/>
      <c r="AA1115" s="16"/>
      <c r="AK1115" s="16"/>
      <c r="AL1115" s="17"/>
      <c r="AN1115" s="16"/>
    </row>
    <row r="1116" spans="9:40" x14ac:dyDescent="0.4">
      <c r="I1116" s="11"/>
      <c r="J1116" s="9"/>
      <c r="K1116" s="9"/>
      <c r="O1116" s="11"/>
      <c r="P1116" s="9"/>
      <c r="Q1116" s="9"/>
      <c r="R1116" s="9"/>
      <c r="S1116" s="9"/>
      <c r="T1116" s="31"/>
      <c r="W1116" s="16"/>
      <c r="X1116" s="9"/>
      <c r="Y1116" s="9"/>
      <c r="AA1116" s="16"/>
      <c r="AK1116" s="16"/>
      <c r="AL1116" s="17"/>
      <c r="AN1116" s="16"/>
    </row>
    <row r="1117" spans="9:40" x14ac:dyDescent="0.4">
      <c r="I1117" s="11"/>
      <c r="J1117" s="9"/>
      <c r="K1117" s="9"/>
      <c r="O1117" s="11"/>
      <c r="P1117" s="9"/>
      <c r="Q1117" s="9"/>
      <c r="R1117" s="9"/>
      <c r="S1117" s="9"/>
      <c r="T1117" s="31"/>
      <c r="W1117" s="16"/>
      <c r="X1117" s="9"/>
      <c r="Y1117" s="9"/>
      <c r="AA1117" s="16"/>
      <c r="AK1117" s="16"/>
      <c r="AL1117" s="17"/>
      <c r="AN1117" s="16"/>
    </row>
    <row r="1118" spans="9:40" x14ac:dyDescent="0.4">
      <c r="I1118" s="11"/>
      <c r="J1118" s="9"/>
      <c r="K1118" s="9"/>
      <c r="O1118" s="11"/>
      <c r="P1118" s="9"/>
      <c r="Q1118" s="9"/>
      <c r="R1118" s="9"/>
      <c r="S1118" s="9"/>
      <c r="T1118" s="31"/>
      <c r="W1118" s="16"/>
      <c r="X1118" s="9"/>
      <c r="Y1118" s="9"/>
      <c r="AA1118" s="16"/>
      <c r="AK1118" s="16"/>
      <c r="AL1118" s="17"/>
      <c r="AN1118" s="16"/>
    </row>
    <row r="1119" spans="9:40" x14ac:dyDescent="0.4">
      <c r="I1119" s="11"/>
      <c r="J1119" s="9"/>
      <c r="K1119" s="9"/>
      <c r="O1119" s="11"/>
      <c r="P1119" s="9"/>
      <c r="Q1119" s="9"/>
      <c r="R1119" s="9"/>
      <c r="S1119" s="9"/>
      <c r="T1119" s="31"/>
      <c r="W1119" s="16"/>
      <c r="X1119" s="9"/>
      <c r="Y1119" s="9"/>
      <c r="AA1119" s="16"/>
      <c r="AK1119" s="16"/>
      <c r="AL1119" s="17"/>
      <c r="AN1119" s="16"/>
    </row>
    <row r="1120" spans="9:40" x14ac:dyDescent="0.4">
      <c r="I1120" s="11"/>
      <c r="J1120" s="9"/>
      <c r="K1120" s="9"/>
      <c r="O1120" s="11"/>
      <c r="P1120" s="9"/>
      <c r="Q1120" s="9"/>
      <c r="R1120" s="9"/>
      <c r="S1120" s="9"/>
      <c r="T1120" s="31"/>
      <c r="W1120" s="16"/>
      <c r="X1120" s="9"/>
      <c r="Y1120" s="9"/>
      <c r="AA1120" s="16"/>
      <c r="AK1120" s="16"/>
      <c r="AL1120" s="17"/>
      <c r="AN1120" s="16"/>
    </row>
    <row r="1121" spans="9:40" x14ac:dyDescent="0.4">
      <c r="I1121" s="11"/>
      <c r="J1121" s="9"/>
      <c r="K1121" s="9"/>
      <c r="O1121" s="11"/>
      <c r="P1121" s="9"/>
      <c r="Q1121" s="9"/>
      <c r="R1121" s="9"/>
      <c r="S1121" s="9"/>
      <c r="T1121" s="31"/>
      <c r="W1121" s="16"/>
      <c r="X1121" s="9"/>
      <c r="Y1121" s="9"/>
      <c r="AA1121" s="16"/>
      <c r="AK1121" s="16"/>
      <c r="AL1121" s="17"/>
      <c r="AN1121" s="16"/>
    </row>
    <row r="1122" spans="9:40" x14ac:dyDescent="0.4">
      <c r="I1122" s="11"/>
      <c r="J1122" s="9"/>
      <c r="K1122" s="9"/>
      <c r="O1122" s="11"/>
      <c r="P1122" s="9"/>
      <c r="Q1122" s="9"/>
      <c r="R1122" s="9"/>
      <c r="S1122" s="9"/>
      <c r="T1122" s="31"/>
      <c r="W1122" s="16"/>
      <c r="X1122" s="9"/>
      <c r="Y1122" s="9"/>
      <c r="AA1122" s="16"/>
      <c r="AK1122" s="16"/>
      <c r="AL1122" s="17"/>
      <c r="AN1122" s="16"/>
    </row>
    <row r="1123" spans="9:40" x14ac:dyDescent="0.4">
      <c r="I1123" s="11"/>
      <c r="J1123" s="9"/>
      <c r="K1123" s="9"/>
      <c r="O1123" s="11"/>
      <c r="P1123" s="9"/>
      <c r="Q1123" s="9"/>
      <c r="R1123" s="9"/>
      <c r="S1123" s="9"/>
      <c r="T1123" s="31"/>
      <c r="W1123" s="16"/>
      <c r="X1123" s="9"/>
      <c r="Y1123" s="9"/>
      <c r="AA1123" s="16"/>
      <c r="AK1123" s="16"/>
      <c r="AL1123" s="17"/>
      <c r="AN1123" s="16"/>
    </row>
    <row r="1124" spans="9:40" x14ac:dyDescent="0.4">
      <c r="I1124" s="11"/>
      <c r="J1124" s="9"/>
      <c r="K1124" s="9"/>
      <c r="O1124" s="11"/>
      <c r="P1124" s="9"/>
      <c r="Q1124" s="9"/>
      <c r="R1124" s="9"/>
      <c r="S1124" s="9"/>
      <c r="T1124" s="31"/>
      <c r="W1124" s="16"/>
      <c r="X1124" s="9"/>
      <c r="Y1124" s="9"/>
      <c r="AA1124" s="16"/>
      <c r="AK1124" s="16"/>
      <c r="AL1124" s="17"/>
      <c r="AN1124" s="16"/>
    </row>
    <row r="1125" spans="9:40" x14ac:dyDescent="0.4">
      <c r="I1125" s="11"/>
      <c r="J1125" s="9"/>
      <c r="K1125" s="9"/>
      <c r="O1125" s="11"/>
      <c r="P1125" s="9"/>
      <c r="Q1125" s="9"/>
      <c r="R1125" s="9"/>
      <c r="S1125" s="9"/>
      <c r="T1125" s="31"/>
      <c r="W1125" s="16"/>
      <c r="X1125" s="9"/>
      <c r="Y1125" s="9"/>
      <c r="AA1125" s="16"/>
      <c r="AK1125" s="16"/>
      <c r="AL1125" s="17"/>
      <c r="AN1125" s="16"/>
    </row>
    <row r="1126" spans="9:40" x14ac:dyDescent="0.4">
      <c r="I1126" s="11"/>
      <c r="J1126" s="9"/>
      <c r="K1126" s="9"/>
      <c r="O1126" s="11"/>
      <c r="P1126" s="9"/>
      <c r="Q1126" s="9"/>
      <c r="R1126" s="9"/>
      <c r="S1126" s="9"/>
      <c r="T1126" s="31"/>
      <c r="W1126" s="16"/>
      <c r="X1126" s="9"/>
      <c r="Y1126" s="9"/>
      <c r="AA1126" s="16"/>
      <c r="AK1126" s="16"/>
      <c r="AL1126" s="17"/>
      <c r="AN1126" s="16"/>
    </row>
    <row r="1127" spans="9:40" x14ac:dyDescent="0.4">
      <c r="I1127" s="11"/>
      <c r="J1127" s="9"/>
      <c r="K1127" s="9"/>
      <c r="O1127" s="11"/>
      <c r="P1127" s="9"/>
      <c r="Q1127" s="9"/>
      <c r="R1127" s="9"/>
      <c r="S1127" s="9"/>
      <c r="T1127" s="31"/>
      <c r="W1127" s="16"/>
      <c r="X1127" s="9"/>
      <c r="Y1127" s="9"/>
      <c r="AA1127" s="16"/>
      <c r="AK1127" s="16"/>
      <c r="AL1127" s="17"/>
      <c r="AN1127" s="16"/>
    </row>
    <row r="1128" spans="9:40" x14ac:dyDescent="0.4">
      <c r="I1128" s="11"/>
      <c r="J1128" s="9"/>
      <c r="K1128" s="9"/>
      <c r="O1128" s="11"/>
      <c r="P1128" s="9"/>
      <c r="Q1128" s="9"/>
      <c r="R1128" s="9"/>
      <c r="S1128" s="9"/>
      <c r="T1128" s="31"/>
      <c r="W1128" s="16"/>
      <c r="X1128" s="9"/>
      <c r="Y1128" s="9"/>
      <c r="AA1128" s="16"/>
      <c r="AK1128" s="16"/>
      <c r="AL1128" s="17"/>
      <c r="AN1128" s="16"/>
    </row>
    <row r="1129" spans="9:40" x14ac:dyDescent="0.4">
      <c r="I1129" s="11"/>
      <c r="J1129" s="9"/>
      <c r="K1129" s="9"/>
      <c r="O1129" s="11"/>
      <c r="P1129" s="9"/>
      <c r="Q1129" s="9"/>
      <c r="R1129" s="9"/>
      <c r="S1129" s="9"/>
      <c r="T1129" s="31"/>
      <c r="W1129" s="16"/>
      <c r="X1129" s="9"/>
      <c r="Y1129" s="9"/>
      <c r="AA1129" s="16"/>
      <c r="AK1129" s="16"/>
      <c r="AL1129" s="17"/>
      <c r="AN1129" s="16"/>
    </row>
    <row r="1130" spans="9:40" x14ac:dyDescent="0.4">
      <c r="I1130" s="11"/>
      <c r="J1130" s="9"/>
      <c r="K1130" s="9"/>
      <c r="O1130" s="11"/>
      <c r="P1130" s="9"/>
      <c r="Q1130" s="9"/>
      <c r="R1130" s="9"/>
      <c r="S1130" s="9"/>
      <c r="T1130" s="31"/>
      <c r="W1130" s="16"/>
      <c r="X1130" s="9"/>
      <c r="Y1130" s="9"/>
      <c r="AA1130" s="16"/>
      <c r="AK1130" s="16"/>
      <c r="AL1130" s="17"/>
      <c r="AN1130" s="16"/>
    </row>
    <row r="1131" spans="9:40" x14ac:dyDescent="0.4">
      <c r="I1131" s="11"/>
      <c r="J1131" s="9"/>
      <c r="K1131" s="9"/>
      <c r="O1131" s="11"/>
      <c r="P1131" s="9"/>
      <c r="Q1131" s="9"/>
      <c r="R1131" s="9"/>
      <c r="S1131" s="9"/>
      <c r="T1131" s="31"/>
      <c r="W1131" s="16"/>
      <c r="X1131" s="9"/>
      <c r="Y1131" s="9"/>
      <c r="AA1131" s="16"/>
      <c r="AK1131" s="16"/>
      <c r="AL1131" s="17"/>
      <c r="AN1131" s="16"/>
    </row>
    <row r="1132" spans="9:40" x14ac:dyDescent="0.4">
      <c r="I1132" s="11"/>
      <c r="J1132" s="9"/>
      <c r="K1132" s="9"/>
      <c r="O1132" s="11"/>
      <c r="P1132" s="9"/>
      <c r="Q1132" s="9"/>
      <c r="R1132" s="9"/>
      <c r="S1132" s="9"/>
      <c r="T1132" s="31"/>
      <c r="W1132" s="16"/>
      <c r="X1132" s="9"/>
      <c r="Y1132" s="9"/>
      <c r="AA1132" s="16"/>
      <c r="AK1132" s="16"/>
      <c r="AL1132" s="17"/>
      <c r="AN1132" s="16"/>
    </row>
    <row r="1133" spans="9:40" x14ac:dyDescent="0.4">
      <c r="I1133" s="11"/>
      <c r="J1133" s="9"/>
      <c r="K1133" s="9"/>
      <c r="O1133" s="11"/>
      <c r="P1133" s="9"/>
      <c r="Q1133" s="9"/>
      <c r="R1133" s="9"/>
      <c r="S1133" s="9"/>
      <c r="T1133" s="31"/>
      <c r="W1133" s="16"/>
      <c r="X1133" s="9"/>
      <c r="Y1133" s="9"/>
      <c r="AA1133" s="16"/>
      <c r="AK1133" s="16"/>
      <c r="AL1133" s="17"/>
      <c r="AN1133" s="16"/>
    </row>
    <row r="1134" spans="9:40" x14ac:dyDescent="0.4">
      <c r="I1134" s="11"/>
      <c r="J1134" s="9"/>
      <c r="K1134" s="9"/>
      <c r="O1134" s="11"/>
      <c r="P1134" s="9"/>
      <c r="Q1134" s="9"/>
      <c r="R1134" s="9"/>
      <c r="S1134" s="9"/>
      <c r="T1134" s="31"/>
      <c r="W1134" s="16"/>
      <c r="X1134" s="9"/>
      <c r="Y1134" s="9"/>
      <c r="AA1134" s="16"/>
      <c r="AK1134" s="16"/>
      <c r="AL1134" s="17"/>
      <c r="AN1134" s="16"/>
    </row>
    <row r="1135" spans="9:40" x14ac:dyDescent="0.4">
      <c r="I1135" s="11"/>
      <c r="J1135" s="9"/>
      <c r="K1135" s="9"/>
      <c r="O1135" s="11"/>
      <c r="P1135" s="9"/>
      <c r="Q1135" s="9"/>
      <c r="R1135" s="9"/>
      <c r="S1135" s="9"/>
      <c r="T1135" s="31"/>
      <c r="W1135" s="16"/>
      <c r="X1135" s="9"/>
      <c r="Y1135" s="9"/>
      <c r="AA1135" s="16"/>
      <c r="AK1135" s="16"/>
      <c r="AL1135" s="17"/>
      <c r="AN1135" s="16"/>
    </row>
    <row r="1136" spans="9:40" x14ac:dyDescent="0.4">
      <c r="I1136" s="11"/>
      <c r="J1136" s="9"/>
      <c r="K1136" s="9"/>
      <c r="O1136" s="11"/>
      <c r="P1136" s="9"/>
      <c r="Q1136" s="9"/>
      <c r="R1136" s="9"/>
      <c r="S1136" s="9"/>
      <c r="T1136" s="31"/>
      <c r="W1136" s="16"/>
      <c r="X1136" s="9"/>
      <c r="Y1136" s="9"/>
      <c r="AA1136" s="16"/>
      <c r="AK1136" s="16"/>
      <c r="AL1136" s="17"/>
      <c r="AN1136" s="16"/>
    </row>
    <row r="1137" spans="9:40" x14ac:dyDescent="0.4">
      <c r="I1137" s="11"/>
      <c r="J1137" s="9"/>
      <c r="K1137" s="9"/>
      <c r="O1137" s="11"/>
      <c r="P1137" s="9"/>
      <c r="Q1137" s="9"/>
      <c r="R1137" s="9"/>
      <c r="S1137" s="9"/>
      <c r="T1137" s="31"/>
      <c r="W1137" s="16"/>
      <c r="X1137" s="9"/>
      <c r="Y1137" s="9"/>
      <c r="AA1137" s="16"/>
      <c r="AK1137" s="16"/>
      <c r="AL1137" s="17"/>
      <c r="AN1137" s="16"/>
    </row>
    <row r="1138" spans="9:40" x14ac:dyDescent="0.4">
      <c r="I1138" s="11"/>
      <c r="J1138" s="9"/>
      <c r="K1138" s="9"/>
      <c r="O1138" s="11"/>
      <c r="P1138" s="9"/>
      <c r="Q1138" s="9"/>
      <c r="R1138" s="9"/>
      <c r="S1138" s="9"/>
      <c r="T1138" s="31"/>
      <c r="W1138" s="16"/>
      <c r="X1138" s="9"/>
      <c r="Y1138" s="9"/>
      <c r="AA1138" s="16"/>
      <c r="AK1138" s="16"/>
      <c r="AL1138" s="17"/>
      <c r="AN1138" s="16"/>
    </row>
    <row r="1139" spans="9:40" x14ac:dyDescent="0.4">
      <c r="I1139" s="11"/>
      <c r="J1139" s="9"/>
      <c r="K1139" s="9"/>
      <c r="O1139" s="11"/>
      <c r="P1139" s="9"/>
      <c r="Q1139" s="9"/>
      <c r="R1139" s="9"/>
      <c r="S1139" s="9"/>
      <c r="T1139" s="31"/>
      <c r="W1139" s="16"/>
      <c r="X1139" s="9"/>
      <c r="Y1139" s="9"/>
      <c r="AA1139" s="16"/>
      <c r="AK1139" s="16"/>
      <c r="AL1139" s="17"/>
      <c r="AN1139" s="16"/>
    </row>
    <row r="1140" spans="9:40" x14ac:dyDescent="0.4">
      <c r="I1140" s="11"/>
      <c r="J1140" s="9"/>
      <c r="K1140" s="9"/>
      <c r="O1140" s="11"/>
      <c r="P1140" s="9"/>
      <c r="Q1140" s="9"/>
      <c r="R1140" s="9"/>
      <c r="S1140" s="9"/>
      <c r="T1140" s="31"/>
      <c r="W1140" s="16"/>
      <c r="X1140" s="9"/>
      <c r="Y1140" s="9"/>
      <c r="AA1140" s="16"/>
      <c r="AK1140" s="16"/>
      <c r="AL1140" s="17"/>
      <c r="AN1140" s="16"/>
    </row>
    <row r="1141" spans="9:40" x14ac:dyDescent="0.4">
      <c r="I1141" s="11"/>
      <c r="J1141" s="9"/>
      <c r="K1141" s="9"/>
      <c r="O1141" s="11"/>
      <c r="P1141" s="9"/>
      <c r="Q1141" s="9"/>
      <c r="R1141" s="9"/>
      <c r="S1141" s="9"/>
      <c r="T1141" s="31"/>
      <c r="W1141" s="16"/>
      <c r="X1141" s="9"/>
      <c r="Y1141" s="9"/>
      <c r="AA1141" s="16"/>
      <c r="AK1141" s="16"/>
      <c r="AL1141" s="17"/>
      <c r="AN1141" s="16"/>
    </row>
    <row r="1142" spans="9:40" x14ac:dyDescent="0.4">
      <c r="I1142" s="11"/>
      <c r="J1142" s="9"/>
      <c r="K1142" s="9"/>
      <c r="O1142" s="11"/>
      <c r="P1142" s="9"/>
      <c r="Q1142" s="9"/>
      <c r="R1142" s="9"/>
      <c r="S1142" s="9"/>
      <c r="T1142" s="31"/>
      <c r="W1142" s="16"/>
      <c r="X1142" s="9"/>
      <c r="Y1142" s="9"/>
      <c r="AA1142" s="16"/>
      <c r="AK1142" s="16"/>
      <c r="AL1142" s="17"/>
      <c r="AN1142" s="16"/>
    </row>
    <row r="1143" spans="9:40" x14ac:dyDescent="0.4">
      <c r="I1143" s="11"/>
      <c r="J1143" s="9"/>
      <c r="K1143" s="9"/>
      <c r="O1143" s="11"/>
      <c r="P1143" s="9"/>
      <c r="Q1143" s="9"/>
      <c r="R1143" s="9"/>
      <c r="S1143" s="9"/>
      <c r="T1143" s="31"/>
      <c r="W1143" s="16"/>
      <c r="X1143" s="9"/>
      <c r="Y1143" s="9"/>
      <c r="AA1143" s="16"/>
      <c r="AK1143" s="16"/>
      <c r="AL1143" s="17"/>
      <c r="AN1143" s="16"/>
    </row>
    <row r="1144" spans="9:40" x14ac:dyDescent="0.4">
      <c r="I1144" s="11"/>
      <c r="J1144" s="9"/>
      <c r="K1144" s="9"/>
      <c r="O1144" s="11"/>
      <c r="P1144" s="9"/>
      <c r="Q1144" s="9"/>
      <c r="R1144" s="9"/>
      <c r="S1144" s="9"/>
      <c r="T1144" s="31"/>
      <c r="W1144" s="16"/>
      <c r="X1144" s="9"/>
      <c r="Y1144" s="9"/>
      <c r="AA1144" s="16"/>
      <c r="AK1144" s="16"/>
      <c r="AL1144" s="17"/>
      <c r="AN1144" s="16"/>
    </row>
    <row r="1145" spans="9:40" x14ac:dyDescent="0.4">
      <c r="I1145" s="11"/>
      <c r="J1145" s="9"/>
      <c r="K1145" s="9"/>
      <c r="O1145" s="11"/>
      <c r="P1145" s="9"/>
      <c r="Q1145" s="9"/>
      <c r="R1145" s="9"/>
      <c r="S1145" s="9"/>
      <c r="T1145" s="31"/>
      <c r="W1145" s="16"/>
      <c r="X1145" s="9"/>
      <c r="Y1145" s="9"/>
      <c r="AA1145" s="16"/>
      <c r="AK1145" s="16"/>
      <c r="AL1145" s="17"/>
      <c r="AN1145" s="16"/>
    </row>
    <row r="1146" spans="9:40" x14ac:dyDescent="0.4">
      <c r="I1146" s="11"/>
      <c r="J1146" s="9"/>
      <c r="K1146" s="9"/>
      <c r="O1146" s="11"/>
      <c r="P1146" s="9"/>
      <c r="Q1146" s="9"/>
      <c r="R1146" s="9"/>
      <c r="S1146" s="9"/>
      <c r="T1146" s="31"/>
      <c r="W1146" s="16"/>
      <c r="X1146" s="9"/>
      <c r="Y1146" s="9"/>
      <c r="AA1146" s="16"/>
      <c r="AK1146" s="16"/>
      <c r="AL1146" s="17"/>
      <c r="AN1146" s="16"/>
    </row>
    <row r="1147" spans="9:40" x14ac:dyDescent="0.4">
      <c r="I1147" s="11"/>
      <c r="J1147" s="9"/>
      <c r="K1147" s="9"/>
      <c r="O1147" s="11"/>
      <c r="P1147" s="9"/>
      <c r="Q1147" s="9"/>
      <c r="R1147" s="9"/>
      <c r="S1147" s="9"/>
      <c r="T1147" s="31"/>
      <c r="W1147" s="16"/>
      <c r="X1147" s="9"/>
      <c r="Y1147" s="9"/>
      <c r="AA1147" s="16"/>
      <c r="AK1147" s="16"/>
      <c r="AL1147" s="17"/>
      <c r="AN1147" s="16"/>
    </row>
    <row r="1148" spans="9:40" x14ac:dyDescent="0.4">
      <c r="I1148" s="11"/>
      <c r="J1148" s="9"/>
      <c r="K1148" s="9"/>
      <c r="O1148" s="11"/>
      <c r="P1148" s="9"/>
      <c r="Q1148" s="9"/>
      <c r="R1148" s="9"/>
      <c r="S1148" s="9"/>
      <c r="T1148" s="31"/>
      <c r="W1148" s="16"/>
      <c r="X1148" s="9"/>
      <c r="Y1148" s="9"/>
      <c r="AA1148" s="16"/>
      <c r="AK1148" s="16"/>
      <c r="AL1148" s="17"/>
      <c r="AN1148" s="16"/>
    </row>
    <row r="1149" spans="9:40" x14ac:dyDescent="0.4">
      <c r="I1149" s="11"/>
      <c r="J1149" s="9"/>
      <c r="K1149" s="9"/>
      <c r="O1149" s="11"/>
      <c r="P1149" s="9"/>
      <c r="Q1149" s="9"/>
      <c r="R1149" s="9"/>
      <c r="S1149" s="9"/>
      <c r="T1149" s="31"/>
      <c r="W1149" s="16"/>
      <c r="X1149" s="9"/>
      <c r="Y1149" s="9"/>
      <c r="AA1149" s="16"/>
      <c r="AK1149" s="16"/>
      <c r="AL1149" s="17"/>
      <c r="AN1149" s="16"/>
    </row>
    <row r="1150" spans="9:40" x14ac:dyDescent="0.4">
      <c r="I1150" s="11"/>
      <c r="J1150" s="9"/>
      <c r="K1150" s="9"/>
      <c r="O1150" s="11"/>
      <c r="P1150" s="9"/>
      <c r="Q1150" s="9"/>
      <c r="R1150" s="9"/>
      <c r="S1150" s="9"/>
      <c r="T1150" s="31"/>
      <c r="W1150" s="16"/>
      <c r="X1150" s="9"/>
      <c r="Y1150" s="9"/>
      <c r="AA1150" s="16"/>
      <c r="AK1150" s="16"/>
      <c r="AL1150" s="17"/>
      <c r="AN1150" s="16"/>
    </row>
    <row r="1151" spans="9:40" x14ac:dyDescent="0.4">
      <c r="I1151" s="11"/>
      <c r="J1151" s="9"/>
      <c r="K1151" s="9"/>
      <c r="O1151" s="11"/>
      <c r="P1151" s="9"/>
      <c r="Q1151" s="9"/>
      <c r="R1151" s="9"/>
      <c r="S1151" s="9"/>
      <c r="T1151" s="31"/>
      <c r="W1151" s="16"/>
      <c r="X1151" s="9"/>
      <c r="Y1151" s="9"/>
      <c r="AA1151" s="16"/>
      <c r="AK1151" s="16"/>
      <c r="AL1151" s="17"/>
      <c r="AN1151" s="16"/>
    </row>
    <row r="1152" spans="9:40" x14ac:dyDescent="0.4">
      <c r="I1152" s="11"/>
      <c r="J1152" s="9"/>
      <c r="K1152" s="9"/>
      <c r="O1152" s="11"/>
      <c r="P1152" s="9"/>
      <c r="Q1152" s="9"/>
      <c r="R1152" s="9"/>
      <c r="S1152" s="9"/>
      <c r="T1152" s="31"/>
      <c r="W1152" s="16"/>
      <c r="X1152" s="9"/>
      <c r="Y1152" s="9"/>
      <c r="AA1152" s="16"/>
      <c r="AK1152" s="16"/>
      <c r="AL1152" s="17"/>
      <c r="AN1152" s="16"/>
    </row>
    <row r="1153" spans="9:40" x14ac:dyDescent="0.4">
      <c r="I1153" s="11"/>
      <c r="J1153" s="9"/>
      <c r="K1153" s="9"/>
      <c r="O1153" s="11"/>
      <c r="P1153" s="9"/>
      <c r="Q1153" s="9"/>
      <c r="R1153" s="9"/>
      <c r="S1153" s="9"/>
      <c r="T1153" s="31"/>
      <c r="W1153" s="16"/>
      <c r="X1153" s="9"/>
      <c r="Y1153" s="9"/>
      <c r="AA1153" s="16"/>
      <c r="AK1153" s="16"/>
      <c r="AL1153" s="17"/>
      <c r="AN1153" s="16"/>
    </row>
    <row r="1154" spans="9:40" x14ac:dyDescent="0.4">
      <c r="I1154" s="11"/>
      <c r="J1154" s="9"/>
      <c r="K1154" s="9"/>
      <c r="O1154" s="11"/>
      <c r="P1154" s="9"/>
      <c r="Q1154" s="9"/>
      <c r="R1154" s="9"/>
      <c r="S1154" s="9"/>
      <c r="T1154" s="31"/>
      <c r="W1154" s="16"/>
      <c r="X1154" s="9"/>
      <c r="Y1154" s="9"/>
      <c r="AA1154" s="16"/>
      <c r="AK1154" s="16"/>
      <c r="AL1154" s="17"/>
      <c r="AN1154" s="16"/>
    </row>
    <row r="1155" spans="9:40" x14ac:dyDescent="0.4">
      <c r="I1155" s="11"/>
      <c r="J1155" s="9"/>
      <c r="K1155" s="9"/>
      <c r="O1155" s="11"/>
      <c r="P1155" s="9"/>
      <c r="Q1155" s="9"/>
      <c r="R1155" s="9"/>
      <c r="S1155" s="9"/>
      <c r="T1155" s="31"/>
      <c r="W1155" s="16"/>
      <c r="X1155" s="9"/>
      <c r="Y1155" s="9"/>
      <c r="AA1155" s="16"/>
      <c r="AK1155" s="16"/>
      <c r="AL1155" s="17"/>
      <c r="AN1155" s="16"/>
    </row>
    <row r="1156" spans="9:40" x14ac:dyDescent="0.4">
      <c r="I1156" s="11"/>
      <c r="J1156" s="9"/>
      <c r="K1156" s="9"/>
      <c r="O1156" s="11"/>
      <c r="P1156" s="9"/>
      <c r="Q1156" s="9"/>
      <c r="R1156" s="9"/>
      <c r="S1156" s="9"/>
      <c r="T1156" s="31"/>
      <c r="W1156" s="16"/>
      <c r="X1156" s="9"/>
      <c r="Y1156" s="9"/>
      <c r="AA1156" s="16"/>
      <c r="AK1156" s="16"/>
      <c r="AL1156" s="17"/>
      <c r="AN1156" s="16"/>
    </row>
    <row r="1157" spans="9:40" x14ac:dyDescent="0.4">
      <c r="I1157" s="11"/>
      <c r="J1157" s="9"/>
      <c r="K1157" s="9"/>
      <c r="O1157" s="11"/>
      <c r="P1157" s="9"/>
      <c r="Q1157" s="9"/>
      <c r="R1157" s="9"/>
      <c r="S1157" s="9"/>
      <c r="T1157" s="31"/>
      <c r="W1157" s="16"/>
      <c r="X1157" s="9"/>
      <c r="Y1157" s="9"/>
      <c r="AA1157" s="16"/>
      <c r="AK1157" s="16"/>
      <c r="AL1157" s="17"/>
      <c r="AN1157" s="16"/>
    </row>
    <row r="1158" spans="9:40" x14ac:dyDescent="0.4">
      <c r="I1158" s="11"/>
      <c r="J1158" s="9"/>
      <c r="K1158" s="9"/>
      <c r="O1158" s="11"/>
      <c r="P1158" s="9"/>
      <c r="Q1158" s="9"/>
      <c r="R1158" s="9"/>
      <c r="S1158" s="9"/>
      <c r="T1158" s="31"/>
      <c r="W1158" s="16"/>
      <c r="X1158" s="9"/>
      <c r="Y1158" s="9"/>
      <c r="AA1158" s="16"/>
      <c r="AK1158" s="16"/>
      <c r="AL1158" s="17"/>
      <c r="AN1158" s="16"/>
    </row>
    <row r="1159" spans="9:40" x14ac:dyDescent="0.4">
      <c r="I1159" s="11"/>
      <c r="J1159" s="9"/>
      <c r="K1159" s="9"/>
      <c r="O1159" s="11"/>
      <c r="P1159" s="9"/>
      <c r="Q1159" s="9"/>
      <c r="R1159" s="9"/>
      <c r="S1159" s="9"/>
      <c r="T1159" s="31"/>
      <c r="W1159" s="16"/>
      <c r="X1159" s="9"/>
      <c r="Y1159" s="9"/>
      <c r="AA1159" s="16"/>
      <c r="AK1159" s="16"/>
      <c r="AL1159" s="17"/>
      <c r="AN1159" s="16"/>
    </row>
    <row r="1160" spans="9:40" x14ac:dyDescent="0.4">
      <c r="I1160" s="11"/>
      <c r="J1160" s="9"/>
      <c r="K1160" s="9"/>
      <c r="O1160" s="11"/>
      <c r="P1160" s="9"/>
      <c r="Q1160" s="9"/>
      <c r="R1160" s="9"/>
      <c r="S1160" s="9"/>
      <c r="T1160" s="31"/>
      <c r="W1160" s="16"/>
      <c r="X1160" s="9"/>
      <c r="Y1160" s="9"/>
      <c r="AA1160" s="16"/>
      <c r="AK1160" s="16"/>
      <c r="AL1160" s="17"/>
      <c r="AN1160" s="16"/>
    </row>
    <row r="1161" spans="9:40" x14ac:dyDescent="0.4">
      <c r="I1161" s="11"/>
      <c r="J1161" s="9"/>
      <c r="K1161" s="9"/>
      <c r="O1161" s="11"/>
      <c r="P1161" s="9"/>
      <c r="Q1161" s="9"/>
      <c r="R1161" s="9"/>
      <c r="S1161" s="9"/>
      <c r="T1161" s="31"/>
      <c r="W1161" s="16"/>
      <c r="X1161" s="9"/>
      <c r="Y1161" s="9"/>
      <c r="AA1161" s="16"/>
      <c r="AK1161" s="16"/>
      <c r="AL1161" s="17"/>
      <c r="AN1161" s="16"/>
    </row>
    <row r="1162" spans="9:40" x14ac:dyDescent="0.4">
      <c r="I1162" s="11"/>
      <c r="J1162" s="9"/>
      <c r="K1162" s="9"/>
      <c r="O1162" s="11"/>
      <c r="P1162" s="9"/>
      <c r="Q1162" s="9"/>
      <c r="R1162" s="9"/>
      <c r="S1162" s="9"/>
      <c r="T1162" s="31"/>
      <c r="W1162" s="16"/>
      <c r="X1162" s="9"/>
      <c r="Y1162" s="9"/>
      <c r="AA1162" s="16"/>
      <c r="AK1162" s="16"/>
      <c r="AL1162" s="17"/>
      <c r="AN1162" s="16"/>
    </row>
    <row r="1163" spans="9:40" x14ac:dyDescent="0.4">
      <c r="I1163" s="11"/>
      <c r="J1163" s="9"/>
      <c r="K1163" s="9"/>
      <c r="O1163" s="11"/>
      <c r="P1163" s="9"/>
      <c r="Q1163" s="9"/>
      <c r="R1163" s="9"/>
      <c r="S1163" s="9"/>
      <c r="T1163" s="31"/>
      <c r="W1163" s="16"/>
      <c r="X1163" s="9"/>
      <c r="Y1163" s="9"/>
      <c r="AA1163" s="16"/>
      <c r="AK1163" s="16"/>
      <c r="AL1163" s="17"/>
      <c r="AN1163" s="16"/>
    </row>
    <row r="1164" spans="9:40" x14ac:dyDescent="0.4">
      <c r="I1164" s="11"/>
      <c r="J1164" s="9"/>
      <c r="K1164" s="9"/>
      <c r="O1164" s="11"/>
      <c r="P1164" s="9"/>
      <c r="Q1164" s="9"/>
      <c r="R1164" s="9"/>
      <c r="S1164" s="9"/>
      <c r="T1164" s="31"/>
      <c r="W1164" s="16"/>
      <c r="X1164" s="9"/>
      <c r="Y1164" s="9"/>
      <c r="AA1164" s="16"/>
      <c r="AK1164" s="16"/>
      <c r="AL1164" s="17"/>
      <c r="AN1164" s="16"/>
    </row>
    <row r="1165" spans="9:40" x14ac:dyDescent="0.4">
      <c r="I1165" s="11"/>
      <c r="J1165" s="9"/>
      <c r="K1165" s="9"/>
      <c r="O1165" s="11"/>
      <c r="P1165" s="9"/>
      <c r="Q1165" s="9"/>
      <c r="R1165" s="9"/>
      <c r="S1165" s="9"/>
      <c r="T1165" s="31"/>
      <c r="W1165" s="16"/>
      <c r="X1165" s="9"/>
      <c r="Y1165" s="9"/>
      <c r="AA1165" s="16"/>
      <c r="AK1165" s="16"/>
      <c r="AL1165" s="17"/>
      <c r="AN1165" s="16"/>
    </row>
    <row r="1166" spans="9:40" x14ac:dyDescent="0.4">
      <c r="I1166" s="11"/>
      <c r="J1166" s="9"/>
      <c r="K1166" s="9"/>
      <c r="O1166" s="11"/>
      <c r="P1166" s="9"/>
      <c r="Q1166" s="9"/>
      <c r="R1166" s="9"/>
      <c r="S1166" s="9"/>
      <c r="T1166" s="31"/>
      <c r="W1166" s="16"/>
      <c r="X1166" s="9"/>
      <c r="Y1166" s="9"/>
      <c r="AA1166" s="16"/>
      <c r="AK1166" s="16"/>
      <c r="AL1166" s="17"/>
      <c r="AN1166" s="16"/>
    </row>
    <row r="1167" spans="9:40" x14ac:dyDescent="0.4">
      <c r="I1167" s="11"/>
      <c r="J1167" s="9"/>
      <c r="K1167" s="9"/>
      <c r="O1167" s="11"/>
      <c r="P1167" s="9"/>
      <c r="Q1167" s="9"/>
      <c r="R1167" s="9"/>
      <c r="S1167" s="9"/>
      <c r="T1167" s="31"/>
      <c r="W1167" s="16"/>
      <c r="X1167" s="9"/>
      <c r="Y1167" s="9"/>
      <c r="AA1167" s="16"/>
      <c r="AK1167" s="16"/>
      <c r="AL1167" s="17"/>
      <c r="AN1167" s="16"/>
    </row>
    <row r="1168" spans="9:40" x14ac:dyDescent="0.4">
      <c r="I1168" s="11"/>
      <c r="J1168" s="9"/>
      <c r="K1168" s="9"/>
      <c r="O1168" s="11"/>
      <c r="P1168" s="9"/>
      <c r="Q1168" s="9"/>
      <c r="R1168" s="9"/>
      <c r="S1168" s="9"/>
      <c r="T1168" s="31"/>
      <c r="W1168" s="16"/>
      <c r="X1168" s="9"/>
      <c r="Y1168" s="9"/>
      <c r="AA1168" s="16"/>
      <c r="AK1168" s="16"/>
      <c r="AL1168" s="17"/>
      <c r="AN1168" s="16"/>
    </row>
    <row r="1169" spans="9:40" x14ac:dyDescent="0.4">
      <c r="I1169" s="11"/>
      <c r="J1169" s="9"/>
      <c r="K1169" s="9"/>
      <c r="O1169" s="11"/>
      <c r="P1169" s="9"/>
      <c r="Q1169" s="9"/>
      <c r="R1169" s="9"/>
      <c r="S1169" s="9"/>
      <c r="T1169" s="31"/>
      <c r="W1169" s="16"/>
      <c r="X1169" s="9"/>
      <c r="Y1169" s="9"/>
      <c r="AA1169" s="16"/>
      <c r="AK1169" s="16"/>
      <c r="AL1169" s="17"/>
      <c r="AN1169" s="16"/>
    </row>
    <row r="1170" spans="9:40" x14ac:dyDescent="0.4">
      <c r="I1170" s="11"/>
      <c r="J1170" s="9"/>
      <c r="K1170" s="9"/>
      <c r="O1170" s="11"/>
      <c r="P1170" s="9"/>
      <c r="Q1170" s="9"/>
      <c r="R1170" s="9"/>
      <c r="S1170" s="9"/>
      <c r="T1170" s="31"/>
      <c r="W1170" s="16"/>
      <c r="X1170" s="9"/>
      <c r="Y1170" s="9"/>
      <c r="AA1170" s="16"/>
      <c r="AK1170" s="16"/>
      <c r="AL1170" s="17"/>
      <c r="AN1170" s="16"/>
    </row>
    <row r="1171" spans="9:40" x14ac:dyDescent="0.4">
      <c r="I1171" s="11"/>
      <c r="J1171" s="9"/>
      <c r="K1171" s="9"/>
      <c r="O1171" s="11"/>
      <c r="P1171" s="9"/>
      <c r="Q1171" s="9"/>
      <c r="R1171" s="9"/>
      <c r="S1171" s="9"/>
      <c r="T1171" s="31"/>
      <c r="W1171" s="16"/>
      <c r="X1171" s="9"/>
      <c r="Y1171" s="9"/>
      <c r="AA1171" s="16"/>
      <c r="AK1171" s="16"/>
      <c r="AL1171" s="17"/>
      <c r="AN1171" s="16"/>
    </row>
    <row r="1172" spans="9:40" x14ac:dyDescent="0.4">
      <c r="I1172" s="11"/>
      <c r="J1172" s="9"/>
      <c r="K1172" s="9"/>
      <c r="O1172" s="11"/>
      <c r="P1172" s="9"/>
      <c r="Q1172" s="9"/>
      <c r="R1172" s="9"/>
      <c r="S1172" s="9"/>
      <c r="T1172" s="31"/>
      <c r="W1172" s="16"/>
      <c r="X1172" s="9"/>
      <c r="Y1172" s="9"/>
      <c r="AA1172" s="16"/>
      <c r="AK1172" s="16"/>
      <c r="AL1172" s="17"/>
      <c r="AN1172" s="16"/>
    </row>
    <row r="1173" spans="9:40" x14ac:dyDescent="0.4">
      <c r="I1173" s="11"/>
      <c r="J1173" s="9"/>
      <c r="K1173" s="9"/>
      <c r="O1173" s="11"/>
      <c r="P1173" s="9"/>
      <c r="Q1173" s="9"/>
      <c r="R1173" s="9"/>
      <c r="S1173" s="9"/>
      <c r="T1173" s="31"/>
      <c r="W1173" s="16"/>
      <c r="X1173" s="9"/>
      <c r="Y1173" s="9"/>
      <c r="AA1173" s="16"/>
      <c r="AK1173" s="16"/>
      <c r="AL1173" s="17"/>
      <c r="AN1173" s="16"/>
    </row>
    <row r="1174" spans="9:40" x14ac:dyDescent="0.4">
      <c r="I1174" s="11"/>
      <c r="J1174" s="9"/>
      <c r="K1174" s="9"/>
      <c r="O1174" s="11"/>
      <c r="P1174" s="9"/>
      <c r="Q1174" s="9"/>
      <c r="R1174" s="9"/>
      <c r="S1174" s="9"/>
      <c r="T1174" s="31"/>
      <c r="W1174" s="16"/>
      <c r="X1174" s="9"/>
      <c r="Y1174" s="9"/>
      <c r="AA1174" s="16"/>
      <c r="AK1174" s="16"/>
      <c r="AL1174" s="17"/>
      <c r="AN1174" s="16"/>
    </row>
    <row r="1175" spans="9:40" x14ac:dyDescent="0.4">
      <c r="I1175" s="11"/>
      <c r="J1175" s="9"/>
      <c r="K1175" s="9"/>
      <c r="O1175" s="11"/>
      <c r="P1175" s="9"/>
      <c r="Q1175" s="9"/>
      <c r="R1175" s="9"/>
      <c r="S1175" s="9"/>
      <c r="T1175" s="31"/>
      <c r="W1175" s="16"/>
      <c r="X1175" s="9"/>
      <c r="Y1175" s="9"/>
      <c r="AA1175" s="16"/>
      <c r="AK1175" s="16"/>
      <c r="AL1175" s="17"/>
      <c r="AN1175" s="16"/>
    </row>
    <row r="1176" spans="9:40" x14ac:dyDescent="0.4">
      <c r="I1176" s="11"/>
      <c r="J1176" s="9"/>
      <c r="K1176" s="9"/>
      <c r="O1176" s="11"/>
      <c r="P1176" s="9"/>
      <c r="Q1176" s="9"/>
      <c r="R1176" s="9"/>
      <c r="S1176" s="9"/>
      <c r="T1176" s="31"/>
      <c r="W1176" s="16"/>
      <c r="X1176" s="9"/>
      <c r="Y1176" s="9"/>
      <c r="AA1176" s="16"/>
      <c r="AK1176" s="16"/>
      <c r="AL1176" s="17"/>
      <c r="AN1176" s="16"/>
    </row>
    <row r="1177" spans="9:40" x14ac:dyDescent="0.4">
      <c r="I1177" s="11"/>
      <c r="J1177" s="9"/>
      <c r="K1177" s="9"/>
      <c r="O1177" s="11"/>
      <c r="P1177" s="9"/>
      <c r="Q1177" s="9"/>
      <c r="R1177" s="9"/>
      <c r="S1177" s="9"/>
      <c r="T1177" s="31"/>
      <c r="W1177" s="16"/>
      <c r="X1177" s="9"/>
      <c r="Y1177" s="9"/>
      <c r="AA1177" s="16"/>
      <c r="AK1177" s="16"/>
      <c r="AL1177" s="17"/>
      <c r="AN1177" s="16"/>
    </row>
    <row r="1178" spans="9:40" x14ac:dyDescent="0.4">
      <c r="I1178" s="11"/>
      <c r="J1178" s="9"/>
      <c r="K1178" s="9"/>
      <c r="O1178" s="11"/>
      <c r="P1178" s="9"/>
      <c r="Q1178" s="9"/>
      <c r="R1178" s="9"/>
      <c r="S1178" s="9"/>
      <c r="T1178" s="31"/>
      <c r="W1178" s="16"/>
      <c r="X1178" s="9"/>
      <c r="Y1178" s="9"/>
      <c r="AA1178" s="16"/>
      <c r="AK1178" s="16"/>
      <c r="AL1178" s="17"/>
      <c r="AN1178" s="16"/>
    </row>
    <row r="1179" spans="9:40" x14ac:dyDescent="0.4">
      <c r="I1179" s="11"/>
      <c r="J1179" s="9"/>
      <c r="K1179" s="9"/>
      <c r="O1179" s="11"/>
      <c r="P1179" s="9"/>
      <c r="Q1179" s="9"/>
      <c r="R1179" s="9"/>
      <c r="S1179" s="9"/>
      <c r="T1179" s="31"/>
      <c r="W1179" s="16"/>
      <c r="X1179" s="9"/>
      <c r="Y1179" s="9"/>
      <c r="AA1179" s="16"/>
      <c r="AK1179" s="16"/>
      <c r="AL1179" s="17"/>
      <c r="AN1179" s="16"/>
    </row>
    <row r="1180" spans="9:40" x14ac:dyDescent="0.4">
      <c r="I1180" s="11"/>
      <c r="J1180" s="9"/>
      <c r="K1180" s="9"/>
      <c r="O1180" s="11"/>
      <c r="P1180" s="9"/>
      <c r="Q1180" s="9"/>
      <c r="R1180" s="9"/>
      <c r="S1180" s="9"/>
      <c r="T1180" s="31"/>
      <c r="W1180" s="16"/>
      <c r="X1180" s="9"/>
      <c r="Y1180" s="9"/>
      <c r="AA1180" s="16"/>
      <c r="AK1180" s="16"/>
      <c r="AL1180" s="17"/>
      <c r="AN1180" s="16"/>
    </row>
    <row r="1181" spans="9:40" x14ac:dyDescent="0.4">
      <c r="I1181" s="11"/>
      <c r="J1181" s="9"/>
      <c r="K1181" s="9"/>
      <c r="O1181" s="11"/>
      <c r="P1181" s="9"/>
      <c r="Q1181" s="9"/>
      <c r="R1181" s="9"/>
      <c r="S1181" s="9"/>
      <c r="T1181" s="31"/>
      <c r="W1181" s="16"/>
      <c r="X1181" s="9"/>
      <c r="Y1181" s="9"/>
      <c r="AA1181" s="16"/>
      <c r="AK1181" s="16"/>
      <c r="AL1181" s="17"/>
      <c r="AN1181" s="16"/>
    </row>
    <row r="1182" spans="9:40" x14ac:dyDescent="0.4">
      <c r="I1182" s="11"/>
      <c r="J1182" s="9"/>
      <c r="K1182" s="9"/>
      <c r="O1182" s="11"/>
      <c r="P1182" s="9"/>
      <c r="Q1182" s="9"/>
      <c r="R1182" s="9"/>
      <c r="S1182" s="9"/>
      <c r="T1182" s="31"/>
      <c r="W1182" s="16"/>
      <c r="X1182" s="9"/>
      <c r="Y1182" s="9"/>
      <c r="AA1182" s="16"/>
      <c r="AK1182" s="16"/>
      <c r="AL1182" s="17"/>
      <c r="AN1182" s="16"/>
    </row>
    <row r="1183" spans="9:40" x14ac:dyDescent="0.4">
      <c r="I1183" s="11"/>
      <c r="J1183" s="9"/>
      <c r="K1183" s="9"/>
      <c r="O1183" s="11"/>
      <c r="P1183" s="9"/>
      <c r="Q1183" s="9"/>
      <c r="R1183" s="9"/>
      <c r="S1183" s="9"/>
      <c r="T1183" s="31"/>
      <c r="W1183" s="16"/>
      <c r="X1183" s="9"/>
      <c r="Y1183" s="9"/>
      <c r="AA1183" s="16"/>
      <c r="AK1183" s="16"/>
      <c r="AL1183" s="17"/>
      <c r="AN1183" s="16"/>
    </row>
    <row r="1184" spans="9:40" x14ac:dyDescent="0.4">
      <c r="I1184" s="11"/>
      <c r="J1184" s="9"/>
      <c r="K1184" s="9"/>
      <c r="O1184" s="11"/>
      <c r="P1184" s="9"/>
      <c r="Q1184" s="9"/>
      <c r="R1184" s="9"/>
      <c r="S1184" s="9"/>
      <c r="T1184" s="31"/>
      <c r="W1184" s="16"/>
      <c r="X1184" s="9"/>
      <c r="Y1184" s="9"/>
      <c r="AA1184" s="16"/>
      <c r="AK1184" s="16"/>
      <c r="AL1184" s="17"/>
      <c r="AN1184" s="16"/>
    </row>
    <row r="1185" spans="9:40" x14ac:dyDescent="0.4">
      <c r="I1185" s="11"/>
      <c r="J1185" s="9"/>
      <c r="K1185" s="9"/>
      <c r="O1185" s="11"/>
      <c r="P1185" s="9"/>
      <c r="Q1185" s="9"/>
      <c r="R1185" s="9"/>
      <c r="S1185" s="9"/>
      <c r="T1185" s="31"/>
      <c r="W1185" s="16"/>
      <c r="X1185" s="9"/>
      <c r="Y1185" s="9"/>
      <c r="AA1185" s="16"/>
      <c r="AK1185" s="16"/>
      <c r="AL1185" s="17"/>
      <c r="AN1185" s="16"/>
    </row>
    <row r="1186" spans="9:40" x14ac:dyDescent="0.4">
      <c r="I1186" s="11"/>
      <c r="J1186" s="9"/>
      <c r="K1186" s="9"/>
      <c r="O1186" s="11"/>
      <c r="P1186" s="9"/>
      <c r="Q1186" s="9"/>
      <c r="R1186" s="9"/>
      <c r="S1186" s="9"/>
      <c r="T1186" s="31"/>
      <c r="W1186" s="16"/>
      <c r="X1186" s="9"/>
      <c r="Y1186" s="9"/>
      <c r="AA1186" s="16"/>
      <c r="AK1186" s="16"/>
      <c r="AL1186" s="17"/>
      <c r="AN1186" s="16"/>
    </row>
    <row r="1187" spans="9:40" x14ac:dyDescent="0.4">
      <c r="I1187" s="11"/>
      <c r="J1187" s="9"/>
      <c r="K1187" s="9"/>
      <c r="O1187" s="11"/>
      <c r="P1187" s="9"/>
      <c r="Q1187" s="9"/>
      <c r="R1187" s="9"/>
      <c r="S1187" s="9"/>
      <c r="T1187" s="31"/>
      <c r="W1187" s="16"/>
      <c r="X1187" s="9"/>
      <c r="Y1187" s="9"/>
      <c r="AA1187" s="16"/>
      <c r="AK1187" s="16"/>
      <c r="AL1187" s="17"/>
      <c r="AN1187" s="16"/>
    </row>
    <row r="1188" spans="9:40" x14ac:dyDescent="0.4">
      <c r="I1188" s="11"/>
      <c r="J1188" s="9"/>
      <c r="K1188" s="9"/>
      <c r="O1188" s="11"/>
      <c r="P1188" s="9"/>
      <c r="Q1188" s="9"/>
      <c r="R1188" s="9"/>
      <c r="S1188" s="9"/>
      <c r="T1188" s="31"/>
      <c r="W1188" s="16"/>
      <c r="X1188" s="9"/>
      <c r="Y1188" s="9"/>
      <c r="AA1188" s="16"/>
      <c r="AK1188" s="16"/>
      <c r="AL1188" s="17"/>
      <c r="AN1188" s="16"/>
    </row>
    <row r="1189" spans="9:40" x14ac:dyDescent="0.4">
      <c r="I1189" s="11"/>
      <c r="J1189" s="9"/>
      <c r="K1189" s="9"/>
      <c r="O1189" s="11"/>
      <c r="P1189" s="9"/>
      <c r="Q1189" s="9"/>
      <c r="R1189" s="9"/>
      <c r="S1189" s="9"/>
      <c r="T1189" s="31"/>
      <c r="W1189" s="16"/>
      <c r="X1189" s="9"/>
      <c r="Y1189" s="9"/>
      <c r="AA1189" s="16"/>
      <c r="AK1189" s="16"/>
      <c r="AL1189" s="17"/>
      <c r="AN1189" s="16"/>
    </row>
    <row r="1190" spans="9:40" x14ac:dyDescent="0.4">
      <c r="I1190" s="11"/>
      <c r="J1190" s="9"/>
      <c r="K1190" s="9"/>
      <c r="O1190" s="11"/>
      <c r="P1190" s="9"/>
      <c r="Q1190" s="9"/>
      <c r="R1190" s="9"/>
      <c r="S1190" s="9"/>
      <c r="T1190" s="31"/>
      <c r="W1190" s="16"/>
      <c r="X1190" s="9"/>
      <c r="Y1190" s="9"/>
      <c r="AA1190" s="16"/>
      <c r="AK1190" s="16"/>
      <c r="AL1190" s="17"/>
      <c r="AN1190" s="16"/>
    </row>
    <row r="1191" spans="9:40" x14ac:dyDescent="0.4">
      <c r="I1191" s="11"/>
      <c r="J1191" s="9"/>
      <c r="K1191" s="9"/>
      <c r="O1191" s="11"/>
      <c r="P1191" s="9"/>
      <c r="Q1191" s="9"/>
      <c r="R1191" s="9"/>
      <c r="S1191" s="9"/>
      <c r="T1191" s="31"/>
      <c r="W1191" s="16"/>
      <c r="X1191" s="9"/>
      <c r="Y1191" s="9"/>
      <c r="AA1191" s="16"/>
      <c r="AK1191" s="16"/>
      <c r="AL1191" s="17"/>
      <c r="AN1191" s="16"/>
    </row>
    <row r="1192" spans="9:40" x14ac:dyDescent="0.4">
      <c r="I1192" s="11"/>
      <c r="J1192" s="9"/>
      <c r="K1192" s="9"/>
      <c r="O1192" s="11"/>
      <c r="P1192" s="9"/>
      <c r="Q1192" s="9"/>
      <c r="R1192" s="9"/>
      <c r="S1192" s="9"/>
      <c r="T1192" s="31"/>
      <c r="W1192" s="16"/>
      <c r="X1192" s="9"/>
      <c r="Y1192" s="9"/>
      <c r="AA1192" s="16"/>
      <c r="AK1192" s="16"/>
      <c r="AL1192" s="17"/>
      <c r="AN1192" s="16"/>
    </row>
    <row r="1193" spans="9:40" x14ac:dyDescent="0.4">
      <c r="I1193" s="11"/>
      <c r="J1193" s="9"/>
      <c r="K1193" s="9"/>
      <c r="O1193" s="11"/>
      <c r="P1193" s="9"/>
      <c r="Q1193" s="9"/>
      <c r="R1193" s="9"/>
      <c r="S1193" s="9"/>
      <c r="T1193" s="31"/>
      <c r="W1193" s="16"/>
      <c r="X1193" s="9"/>
      <c r="Y1193" s="9"/>
      <c r="AA1193" s="16"/>
      <c r="AK1193" s="16"/>
      <c r="AL1193" s="17"/>
      <c r="AN1193" s="16"/>
    </row>
    <row r="1194" spans="9:40" x14ac:dyDescent="0.4">
      <c r="I1194" s="11"/>
      <c r="J1194" s="9"/>
      <c r="K1194" s="9"/>
      <c r="O1194" s="11"/>
      <c r="P1194" s="9"/>
      <c r="Q1194" s="9"/>
      <c r="R1194" s="9"/>
      <c r="S1194" s="9"/>
      <c r="T1194" s="31"/>
      <c r="W1194" s="16"/>
      <c r="X1194" s="9"/>
      <c r="Y1194" s="9"/>
      <c r="AA1194" s="16"/>
      <c r="AK1194" s="16"/>
      <c r="AL1194" s="17"/>
      <c r="AN1194" s="16"/>
    </row>
    <row r="1195" spans="9:40" x14ac:dyDescent="0.4">
      <c r="I1195" s="11"/>
      <c r="J1195" s="9"/>
      <c r="K1195" s="9"/>
      <c r="O1195" s="11"/>
      <c r="P1195" s="9"/>
      <c r="Q1195" s="9"/>
      <c r="R1195" s="9"/>
      <c r="S1195" s="9"/>
      <c r="T1195" s="31"/>
      <c r="W1195" s="16"/>
      <c r="X1195" s="9"/>
      <c r="Y1195" s="9"/>
      <c r="AA1195" s="16"/>
      <c r="AK1195" s="16"/>
      <c r="AL1195" s="17"/>
      <c r="AN1195" s="16"/>
    </row>
    <row r="1196" spans="9:40" x14ac:dyDescent="0.4">
      <c r="I1196" s="11"/>
      <c r="J1196" s="9"/>
      <c r="K1196" s="9"/>
      <c r="O1196" s="11"/>
      <c r="P1196" s="9"/>
      <c r="Q1196" s="9"/>
      <c r="R1196" s="9"/>
      <c r="S1196" s="9"/>
      <c r="T1196" s="31"/>
      <c r="W1196" s="16"/>
      <c r="X1196" s="9"/>
      <c r="Y1196" s="9"/>
      <c r="AA1196" s="16"/>
      <c r="AK1196" s="16"/>
      <c r="AL1196" s="17"/>
      <c r="AN1196" s="16"/>
    </row>
    <row r="1197" spans="9:40" x14ac:dyDescent="0.4">
      <c r="I1197" s="11"/>
      <c r="J1197" s="9"/>
      <c r="K1197" s="9"/>
      <c r="O1197" s="11"/>
      <c r="P1197" s="9"/>
      <c r="Q1197" s="9"/>
      <c r="R1197" s="9"/>
      <c r="S1197" s="9"/>
      <c r="T1197" s="31"/>
      <c r="W1197" s="16"/>
      <c r="X1197" s="9"/>
      <c r="Y1197" s="9"/>
      <c r="AA1197" s="16"/>
      <c r="AK1197" s="16"/>
      <c r="AL1197" s="17"/>
      <c r="AN1197" s="16"/>
    </row>
    <row r="1198" spans="9:40" x14ac:dyDescent="0.4">
      <c r="I1198" s="11"/>
      <c r="J1198" s="9"/>
      <c r="K1198" s="9"/>
      <c r="O1198" s="11"/>
      <c r="P1198" s="9"/>
      <c r="Q1198" s="9"/>
      <c r="R1198" s="9"/>
      <c r="S1198" s="9"/>
      <c r="T1198" s="31"/>
      <c r="W1198" s="16"/>
      <c r="X1198" s="9"/>
      <c r="Y1198" s="9"/>
      <c r="AA1198" s="16"/>
      <c r="AK1198" s="16"/>
      <c r="AL1198" s="17"/>
      <c r="AN1198" s="16"/>
    </row>
    <row r="1199" spans="9:40" x14ac:dyDescent="0.4">
      <c r="I1199" s="11"/>
      <c r="J1199" s="9"/>
      <c r="K1199" s="9"/>
      <c r="O1199" s="11"/>
      <c r="P1199" s="9"/>
      <c r="Q1199" s="9"/>
      <c r="R1199" s="9"/>
      <c r="S1199" s="9"/>
      <c r="T1199" s="31"/>
      <c r="W1199" s="16"/>
      <c r="X1199" s="9"/>
      <c r="Y1199" s="9"/>
      <c r="AA1199" s="16"/>
      <c r="AK1199" s="16"/>
      <c r="AL1199" s="17"/>
      <c r="AN1199" s="16"/>
    </row>
    <row r="1200" spans="9:40" x14ac:dyDescent="0.4">
      <c r="I1200" s="11"/>
      <c r="J1200" s="9"/>
      <c r="K1200" s="9"/>
      <c r="O1200" s="11"/>
      <c r="P1200" s="9"/>
      <c r="Q1200" s="9"/>
      <c r="R1200" s="9"/>
      <c r="S1200" s="9"/>
      <c r="T1200" s="31"/>
      <c r="W1200" s="16"/>
      <c r="X1200" s="9"/>
      <c r="Y1200" s="9"/>
      <c r="AA1200" s="16"/>
      <c r="AK1200" s="16"/>
      <c r="AL1200" s="17"/>
      <c r="AN1200" s="16"/>
    </row>
    <row r="1201" spans="9:40" x14ac:dyDescent="0.4">
      <c r="I1201" s="11"/>
      <c r="J1201" s="9"/>
      <c r="K1201" s="9"/>
      <c r="O1201" s="11"/>
      <c r="P1201" s="9"/>
      <c r="Q1201" s="9"/>
      <c r="R1201" s="9"/>
      <c r="S1201" s="9"/>
      <c r="T1201" s="31"/>
      <c r="W1201" s="16"/>
      <c r="X1201" s="9"/>
      <c r="Y1201" s="9"/>
      <c r="AA1201" s="16"/>
      <c r="AK1201" s="16"/>
      <c r="AL1201" s="17"/>
      <c r="AN1201" s="16"/>
    </row>
    <row r="1202" spans="9:40" x14ac:dyDescent="0.4">
      <c r="I1202" s="11"/>
      <c r="J1202" s="9"/>
      <c r="K1202" s="9"/>
      <c r="O1202" s="11"/>
      <c r="P1202" s="9"/>
      <c r="Q1202" s="9"/>
      <c r="R1202" s="9"/>
      <c r="S1202" s="9"/>
      <c r="T1202" s="31"/>
      <c r="W1202" s="16"/>
      <c r="X1202" s="9"/>
      <c r="Y1202" s="9"/>
      <c r="AA1202" s="16"/>
      <c r="AK1202" s="16"/>
      <c r="AL1202" s="17"/>
      <c r="AN1202" s="16"/>
    </row>
    <row r="1203" spans="9:40" x14ac:dyDescent="0.4">
      <c r="I1203" s="11"/>
      <c r="J1203" s="9"/>
      <c r="K1203" s="9"/>
      <c r="O1203" s="11"/>
      <c r="P1203" s="9"/>
      <c r="Q1203" s="9"/>
      <c r="R1203" s="9"/>
      <c r="S1203" s="9"/>
      <c r="T1203" s="31"/>
      <c r="W1203" s="16"/>
      <c r="X1203" s="9"/>
      <c r="Y1203" s="9"/>
      <c r="AA1203" s="16"/>
      <c r="AK1203" s="16"/>
      <c r="AL1203" s="17"/>
      <c r="AN1203" s="16"/>
    </row>
    <row r="1204" spans="9:40" x14ac:dyDescent="0.4">
      <c r="I1204" s="11"/>
      <c r="J1204" s="9"/>
      <c r="K1204" s="9"/>
      <c r="O1204" s="11"/>
      <c r="P1204" s="9"/>
      <c r="Q1204" s="9"/>
      <c r="R1204" s="9"/>
      <c r="S1204" s="9"/>
      <c r="T1204" s="31"/>
      <c r="W1204" s="16"/>
      <c r="X1204" s="9"/>
      <c r="Y1204" s="9"/>
      <c r="AA1204" s="16"/>
      <c r="AK1204" s="16"/>
      <c r="AL1204" s="17"/>
      <c r="AN1204" s="16"/>
    </row>
    <row r="1205" spans="9:40" x14ac:dyDescent="0.4">
      <c r="I1205" s="11"/>
      <c r="J1205" s="9"/>
      <c r="K1205" s="9"/>
      <c r="O1205" s="11"/>
      <c r="P1205" s="9"/>
      <c r="Q1205" s="9"/>
      <c r="R1205" s="9"/>
      <c r="S1205" s="9"/>
      <c r="T1205" s="31"/>
      <c r="W1205" s="16"/>
      <c r="X1205" s="9"/>
      <c r="Y1205" s="9"/>
      <c r="AA1205" s="16"/>
      <c r="AK1205" s="16"/>
      <c r="AL1205" s="17"/>
      <c r="AN1205" s="16"/>
    </row>
    <row r="1206" spans="9:40" x14ac:dyDescent="0.4">
      <c r="I1206" s="11"/>
      <c r="J1206" s="9"/>
      <c r="K1206" s="9"/>
      <c r="O1206" s="11"/>
      <c r="P1206" s="9"/>
      <c r="Q1206" s="9"/>
      <c r="R1206" s="9"/>
      <c r="S1206" s="9"/>
      <c r="T1206" s="31"/>
      <c r="W1206" s="16"/>
      <c r="X1206" s="9"/>
      <c r="Y1206" s="9"/>
      <c r="AA1206" s="16"/>
      <c r="AK1206" s="16"/>
      <c r="AL1206" s="17"/>
      <c r="AN1206" s="16"/>
    </row>
    <row r="1207" spans="9:40" x14ac:dyDescent="0.4">
      <c r="I1207" s="11"/>
      <c r="J1207" s="9"/>
      <c r="K1207" s="9"/>
      <c r="O1207" s="11"/>
      <c r="P1207" s="9"/>
      <c r="Q1207" s="9"/>
      <c r="R1207" s="9"/>
      <c r="S1207" s="9"/>
      <c r="T1207" s="31"/>
      <c r="W1207" s="16"/>
      <c r="X1207" s="9"/>
      <c r="Y1207" s="9"/>
      <c r="AA1207" s="16"/>
      <c r="AK1207" s="16"/>
      <c r="AL1207" s="17"/>
      <c r="AN1207" s="16"/>
    </row>
    <row r="1208" spans="9:40" x14ac:dyDescent="0.4">
      <c r="I1208" s="11"/>
      <c r="J1208" s="9"/>
      <c r="K1208" s="9"/>
      <c r="O1208" s="11"/>
      <c r="P1208" s="9"/>
      <c r="Q1208" s="9"/>
      <c r="R1208" s="9"/>
      <c r="S1208" s="9"/>
      <c r="T1208" s="31"/>
      <c r="W1208" s="16"/>
      <c r="X1208" s="9"/>
      <c r="Y1208" s="9"/>
      <c r="AA1208" s="16"/>
      <c r="AK1208" s="16"/>
      <c r="AL1208" s="17"/>
      <c r="AN1208" s="16"/>
    </row>
    <row r="1209" spans="9:40" x14ac:dyDescent="0.4">
      <c r="I1209" s="11"/>
      <c r="J1209" s="9"/>
      <c r="K1209" s="9"/>
      <c r="O1209" s="11"/>
      <c r="P1209" s="9"/>
      <c r="Q1209" s="9"/>
      <c r="R1209" s="9"/>
      <c r="S1209" s="9"/>
      <c r="T1209" s="31"/>
      <c r="W1209" s="16"/>
      <c r="X1209" s="9"/>
      <c r="Y1209" s="9"/>
      <c r="AA1209" s="16"/>
      <c r="AK1209" s="16"/>
      <c r="AL1209" s="17"/>
      <c r="AN1209" s="16"/>
    </row>
    <row r="1210" spans="9:40" x14ac:dyDescent="0.4">
      <c r="I1210" s="11"/>
      <c r="J1210" s="9"/>
      <c r="K1210" s="9"/>
      <c r="O1210" s="11"/>
      <c r="P1210" s="9"/>
      <c r="Q1210" s="9"/>
      <c r="R1210" s="9"/>
      <c r="S1210" s="9"/>
      <c r="T1210" s="31"/>
      <c r="W1210" s="16"/>
      <c r="X1210" s="9"/>
      <c r="Y1210" s="9"/>
      <c r="AA1210" s="16"/>
      <c r="AK1210" s="16"/>
      <c r="AL1210" s="17"/>
      <c r="AN1210" s="16"/>
    </row>
    <row r="1211" spans="9:40" x14ac:dyDescent="0.4">
      <c r="I1211" s="11"/>
      <c r="J1211" s="9"/>
      <c r="K1211" s="9"/>
      <c r="O1211" s="11"/>
      <c r="P1211" s="9"/>
      <c r="Q1211" s="9"/>
      <c r="R1211" s="9"/>
      <c r="S1211" s="9"/>
      <c r="T1211" s="31"/>
      <c r="W1211" s="16"/>
      <c r="X1211" s="9"/>
      <c r="Y1211" s="9"/>
      <c r="AA1211" s="16"/>
      <c r="AK1211" s="16"/>
      <c r="AL1211" s="17"/>
      <c r="AN1211" s="16"/>
    </row>
    <row r="1212" spans="9:40" x14ac:dyDescent="0.4">
      <c r="I1212" s="11"/>
      <c r="J1212" s="9"/>
      <c r="K1212" s="9"/>
      <c r="O1212" s="11"/>
      <c r="P1212" s="9"/>
      <c r="Q1212" s="9"/>
      <c r="R1212" s="9"/>
      <c r="S1212" s="9"/>
      <c r="T1212" s="31"/>
      <c r="W1212" s="16"/>
      <c r="X1212" s="9"/>
      <c r="Y1212" s="9"/>
      <c r="AA1212" s="16"/>
      <c r="AK1212" s="16"/>
      <c r="AL1212" s="17"/>
      <c r="AN1212" s="16"/>
    </row>
    <row r="1213" spans="9:40" x14ac:dyDescent="0.4">
      <c r="I1213" s="11"/>
      <c r="J1213" s="9"/>
      <c r="K1213" s="9"/>
      <c r="O1213" s="11"/>
      <c r="P1213" s="9"/>
      <c r="Q1213" s="9"/>
      <c r="R1213" s="9"/>
      <c r="S1213" s="9"/>
      <c r="T1213" s="31"/>
      <c r="W1213" s="16"/>
      <c r="X1213" s="9"/>
      <c r="Y1213" s="9"/>
      <c r="AA1213" s="16"/>
      <c r="AK1213" s="16"/>
      <c r="AL1213" s="17"/>
      <c r="AN1213" s="16"/>
    </row>
    <row r="1214" spans="9:40" x14ac:dyDescent="0.4">
      <c r="I1214" s="11"/>
      <c r="J1214" s="9"/>
      <c r="K1214" s="9"/>
      <c r="O1214" s="11"/>
      <c r="P1214" s="9"/>
      <c r="Q1214" s="9"/>
      <c r="R1214" s="9"/>
      <c r="S1214" s="9"/>
      <c r="T1214" s="31"/>
      <c r="W1214" s="16"/>
      <c r="X1214" s="9"/>
      <c r="Y1214" s="9"/>
      <c r="AA1214" s="16"/>
      <c r="AK1214" s="16"/>
      <c r="AL1214" s="17"/>
      <c r="AN1214" s="16"/>
    </row>
    <row r="1215" spans="9:40" x14ac:dyDescent="0.4">
      <c r="I1215" s="11"/>
      <c r="J1215" s="9"/>
      <c r="K1215" s="9"/>
      <c r="O1215" s="11"/>
      <c r="P1215" s="9"/>
      <c r="Q1215" s="9"/>
      <c r="R1215" s="9"/>
      <c r="S1215" s="9"/>
      <c r="T1215" s="31"/>
      <c r="W1215" s="16"/>
      <c r="X1215" s="9"/>
      <c r="Y1215" s="9"/>
      <c r="AA1215" s="16"/>
      <c r="AK1215" s="16"/>
      <c r="AL1215" s="17"/>
      <c r="AN1215" s="16"/>
    </row>
    <row r="1216" spans="9:40" x14ac:dyDescent="0.4">
      <c r="I1216" s="11"/>
      <c r="J1216" s="9"/>
      <c r="K1216" s="9"/>
      <c r="O1216" s="11"/>
      <c r="P1216" s="9"/>
      <c r="Q1216" s="9"/>
      <c r="R1216" s="9"/>
      <c r="S1216" s="9"/>
      <c r="T1216" s="31"/>
      <c r="W1216" s="16"/>
      <c r="X1216" s="9"/>
      <c r="Y1216" s="9"/>
      <c r="AA1216" s="16"/>
      <c r="AK1216" s="16"/>
      <c r="AL1216" s="17"/>
      <c r="AN1216" s="16"/>
    </row>
    <row r="1217" spans="9:40" x14ac:dyDescent="0.4">
      <c r="I1217" s="11"/>
      <c r="J1217" s="9"/>
      <c r="K1217" s="9"/>
      <c r="O1217" s="11"/>
      <c r="P1217" s="9"/>
      <c r="Q1217" s="9"/>
      <c r="R1217" s="9"/>
      <c r="S1217" s="9"/>
      <c r="T1217" s="31"/>
      <c r="W1217" s="16"/>
      <c r="X1217" s="9"/>
      <c r="Y1217" s="9"/>
      <c r="AA1217" s="16"/>
      <c r="AK1217" s="16"/>
      <c r="AL1217" s="17"/>
      <c r="AN1217" s="16"/>
    </row>
    <row r="1218" spans="9:40" x14ac:dyDescent="0.4">
      <c r="I1218" s="11"/>
      <c r="J1218" s="9"/>
      <c r="K1218" s="9"/>
      <c r="O1218" s="11"/>
      <c r="P1218" s="9"/>
      <c r="Q1218" s="9"/>
      <c r="R1218" s="9"/>
      <c r="S1218" s="9"/>
      <c r="T1218" s="31"/>
      <c r="W1218" s="16"/>
      <c r="X1218" s="9"/>
      <c r="Y1218" s="9"/>
      <c r="AA1218" s="16"/>
      <c r="AK1218" s="16"/>
      <c r="AL1218" s="17"/>
      <c r="AN1218" s="16"/>
    </row>
    <row r="1219" spans="9:40" x14ac:dyDescent="0.4">
      <c r="I1219" s="11"/>
      <c r="J1219" s="9"/>
      <c r="K1219" s="9"/>
      <c r="O1219" s="11"/>
      <c r="P1219" s="9"/>
      <c r="Q1219" s="9"/>
      <c r="R1219" s="9"/>
      <c r="S1219" s="9"/>
      <c r="T1219" s="31"/>
      <c r="W1219" s="16"/>
      <c r="X1219" s="9"/>
      <c r="Y1219" s="9"/>
      <c r="AA1219" s="16"/>
      <c r="AK1219" s="16"/>
      <c r="AL1219" s="17"/>
      <c r="AN1219" s="16"/>
    </row>
    <row r="1220" spans="9:40" x14ac:dyDescent="0.4">
      <c r="I1220" s="11"/>
      <c r="J1220" s="9"/>
      <c r="K1220" s="9"/>
      <c r="O1220" s="11"/>
      <c r="P1220" s="9"/>
      <c r="Q1220" s="9"/>
      <c r="R1220" s="9"/>
      <c r="S1220" s="9"/>
      <c r="T1220" s="31"/>
      <c r="W1220" s="16"/>
      <c r="X1220" s="9"/>
      <c r="Y1220" s="9"/>
      <c r="AA1220" s="16"/>
      <c r="AK1220" s="16"/>
      <c r="AL1220" s="17"/>
      <c r="AN1220" s="16"/>
    </row>
    <row r="1221" spans="9:40" x14ac:dyDescent="0.4">
      <c r="I1221" s="11"/>
      <c r="J1221" s="9"/>
      <c r="K1221" s="9"/>
      <c r="O1221" s="11"/>
      <c r="P1221" s="9"/>
      <c r="Q1221" s="9"/>
      <c r="R1221" s="9"/>
      <c r="S1221" s="9"/>
      <c r="T1221" s="31"/>
      <c r="W1221" s="16"/>
      <c r="X1221" s="9"/>
      <c r="Y1221" s="9"/>
      <c r="AA1221" s="16"/>
      <c r="AK1221" s="16"/>
      <c r="AL1221" s="17"/>
      <c r="AN1221" s="16"/>
    </row>
    <row r="1222" spans="9:40" x14ac:dyDescent="0.4">
      <c r="I1222" s="11"/>
      <c r="J1222" s="9"/>
      <c r="K1222" s="9"/>
      <c r="O1222" s="11"/>
      <c r="P1222" s="9"/>
      <c r="Q1222" s="9"/>
      <c r="R1222" s="9"/>
      <c r="S1222" s="9"/>
      <c r="T1222" s="31"/>
      <c r="W1222" s="16"/>
      <c r="X1222" s="9"/>
      <c r="Y1222" s="9"/>
      <c r="AA1222" s="16"/>
      <c r="AK1222" s="16"/>
      <c r="AL1222" s="17"/>
      <c r="AN1222" s="16"/>
    </row>
    <row r="1223" spans="9:40" x14ac:dyDescent="0.4">
      <c r="I1223" s="11"/>
      <c r="J1223" s="9"/>
      <c r="K1223" s="9"/>
      <c r="O1223" s="11"/>
      <c r="P1223" s="9"/>
      <c r="Q1223" s="9"/>
      <c r="R1223" s="9"/>
      <c r="S1223" s="9"/>
      <c r="T1223" s="31"/>
      <c r="W1223" s="16"/>
      <c r="X1223" s="9"/>
      <c r="Y1223" s="9"/>
      <c r="AA1223" s="16"/>
      <c r="AK1223" s="16"/>
      <c r="AL1223" s="17"/>
      <c r="AN1223" s="16"/>
    </row>
    <row r="1224" spans="9:40" x14ac:dyDescent="0.4">
      <c r="I1224" s="11"/>
      <c r="J1224" s="9"/>
      <c r="K1224" s="9"/>
      <c r="O1224" s="11"/>
      <c r="P1224" s="9"/>
      <c r="Q1224" s="9"/>
      <c r="R1224" s="9"/>
      <c r="S1224" s="9"/>
      <c r="T1224" s="31"/>
      <c r="W1224" s="16"/>
      <c r="X1224" s="9"/>
      <c r="Y1224" s="9"/>
      <c r="AA1224" s="16"/>
      <c r="AK1224" s="16"/>
      <c r="AL1224" s="17"/>
      <c r="AN1224" s="16"/>
    </row>
    <row r="1225" spans="9:40" x14ac:dyDescent="0.4">
      <c r="I1225" s="11"/>
      <c r="J1225" s="9"/>
      <c r="K1225" s="9"/>
      <c r="O1225" s="11"/>
      <c r="P1225" s="9"/>
      <c r="Q1225" s="9"/>
      <c r="R1225" s="9"/>
      <c r="S1225" s="9"/>
      <c r="T1225" s="31"/>
      <c r="W1225" s="16"/>
      <c r="X1225" s="9"/>
      <c r="Y1225" s="9"/>
      <c r="AA1225" s="16"/>
      <c r="AK1225" s="16"/>
      <c r="AL1225" s="17"/>
      <c r="AN1225" s="16"/>
    </row>
    <row r="1226" spans="9:40" x14ac:dyDescent="0.4">
      <c r="I1226" s="11"/>
      <c r="J1226" s="9"/>
      <c r="K1226" s="9"/>
      <c r="O1226" s="11"/>
      <c r="P1226" s="9"/>
      <c r="Q1226" s="9"/>
      <c r="R1226" s="9"/>
      <c r="S1226" s="9"/>
      <c r="T1226" s="31"/>
      <c r="W1226" s="16"/>
      <c r="X1226" s="9"/>
      <c r="Y1226" s="9"/>
      <c r="AA1226" s="16"/>
      <c r="AK1226" s="16"/>
      <c r="AL1226" s="17"/>
      <c r="AN1226" s="16"/>
    </row>
    <row r="1227" spans="9:40" x14ac:dyDescent="0.4">
      <c r="I1227" s="11"/>
      <c r="J1227" s="9"/>
      <c r="K1227" s="9"/>
      <c r="O1227" s="11"/>
      <c r="P1227" s="9"/>
      <c r="Q1227" s="9"/>
      <c r="R1227" s="9"/>
      <c r="S1227" s="9"/>
      <c r="T1227" s="31"/>
      <c r="W1227" s="16"/>
      <c r="X1227" s="9"/>
      <c r="Y1227" s="9"/>
      <c r="AA1227" s="16"/>
      <c r="AK1227" s="16"/>
      <c r="AL1227" s="17"/>
      <c r="AN1227" s="16"/>
    </row>
    <row r="1228" spans="9:40" x14ac:dyDescent="0.4">
      <c r="I1228" s="11"/>
      <c r="J1228" s="9"/>
      <c r="K1228" s="9"/>
      <c r="O1228" s="11"/>
      <c r="P1228" s="9"/>
      <c r="Q1228" s="9"/>
      <c r="R1228" s="9"/>
      <c r="S1228" s="9"/>
      <c r="T1228" s="31"/>
      <c r="W1228" s="16"/>
      <c r="X1228" s="9"/>
      <c r="Y1228" s="9"/>
      <c r="AA1228" s="16"/>
      <c r="AK1228" s="16"/>
      <c r="AL1228" s="17"/>
      <c r="AN1228" s="16"/>
    </row>
    <row r="1229" spans="9:40" x14ac:dyDescent="0.4">
      <c r="I1229" s="11"/>
      <c r="J1229" s="9"/>
      <c r="K1229" s="9"/>
      <c r="O1229" s="11"/>
      <c r="P1229" s="9"/>
      <c r="Q1229" s="9"/>
      <c r="R1229" s="9"/>
      <c r="S1229" s="9"/>
      <c r="T1229" s="31"/>
      <c r="W1229" s="16"/>
      <c r="X1229" s="9"/>
      <c r="Y1229" s="9"/>
      <c r="AA1229" s="16"/>
      <c r="AK1229" s="16"/>
      <c r="AL1229" s="17"/>
      <c r="AN1229" s="16"/>
    </row>
    <row r="1230" spans="9:40" x14ac:dyDescent="0.4">
      <c r="I1230" s="11"/>
      <c r="J1230" s="9"/>
      <c r="K1230" s="9"/>
      <c r="O1230" s="11"/>
      <c r="P1230" s="9"/>
      <c r="Q1230" s="9"/>
      <c r="R1230" s="9"/>
      <c r="S1230" s="9"/>
      <c r="T1230" s="31"/>
      <c r="W1230" s="16"/>
      <c r="X1230" s="9"/>
      <c r="Y1230" s="9"/>
      <c r="AA1230" s="16"/>
      <c r="AK1230" s="16"/>
      <c r="AL1230" s="17"/>
      <c r="AN1230" s="16"/>
    </row>
    <row r="1231" spans="9:40" x14ac:dyDescent="0.4">
      <c r="I1231" s="11"/>
      <c r="J1231" s="9"/>
      <c r="K1231" s="9"/>
      <c r="O1231" s="11"/>
      <c r="P1231" s="9"/>
      <c r="Q1231" s="9"/>
      <c r="R1231" s="9"/>
      <c r="S1231" s="9"/>
      <c r="T1231" s="31"/>
      <c r="W1231" s="16"/>
      <c r="X1231" s="9"/>
      <c r="Y1231" s="9"/>
      <c r="AA1231" s="16"/>
      <c r="AK1231" s="16"/>
      <c r="AL1231" s="17"/>
      <c r="AN1231" s="16"/>
    </row>
    <row r="1232" spans="9:40" x14ac:dyDescent="0.4">
      <c r="I1232" s="11"/>
      <c r="J1232" s="9"/>
      <c r="K1232" s="9"/>
      <c r="O1232" s="11"/>
      <c r="P1232" s="9"/>
      <c r="Q1232" s="9"/>
      <c r="R1232" s="9"/>
      <c r="S1232" s="9"/>
      <c r="T1232" s="31"/>
      <c r="W1232" s="16"/>
      <c r="X1232" s="9"/>
      <c r="Y1232" s="9"/>
      <c r="AA1232" s="16"/>
      <c r="AK1232" s="16"/>
      <c r="AL1232" s="17"/>
      <c r="AN1232" s="16"/>
    </row>
    <row r="1233" spans="9:40" x14ac:dyDescent="0.4">
      <c r="I1233" s="11"/>
      <c r="J1233" s="9"/>
      <c r="K1233" s="9"/>
      <c r="O1233" s="11"/>
      <c r="P1233" s="9"/>
      <c r="Q1233" s="9"/>
      <c r="R1233" s="9"/>
      <c r="S1233" s="9"/>
      <c r="T1233" s="31"/>
      <c r="W1233" s="16"/>
      <c r="X1233" s="9"/>
      <c r="Y1233" s="9"/>
      <c r="AA1233" s="16"/>
      <c r="AK1233" s="16"/>
      <c r="AL1233" s="17"/>
      <c r="AN1233" s="16"/>
    </row>
    <row r="1234" spans="9:40" x14ac:dyDescent="0.4">
      <c r="I1234" s="11"/>
      <c r="J1234" s="9"/>
      <c r="K1234" s="9"/>
      <c r="O1234" s="11"/>
      <c r="P1234" s="9"/>
      <c r="Q1234" s="9"/>
      <c r="R1234" s="9"/>
      <c r="S1234" s="9"/>
      <c r="T1234" s="31"/>
      <c r="W1234" s="16"/>
      <c r="X1234" s="9"/>
      <c r="Y1234" s="9"/>
      <c r="AA1234" s="16"/>
      <c r="AK1234" s="16"/>
      <c r="AL1234" s="17"/>
      <c r="AN1234" s="16"/>
    </row>
    <row r="1235" spans="9:40" x14ac:dyDescent="0.4">
      <c r="I1235" s="11"/>
      <c r="J1235" s="9"/>
      <c r="K1235" s="9"/>
      <c r="O1235" s="11"/>
      <c r="P1235" s="9"/>
      <c r="Q1235" s="9"/>
      <c r="R1235" s="9"/>
      <c r="S1235" s="9"/>
      <c r="T1235" s="31"/>
      <c r="W1235" s="16"/>
      <c r="X1235" s="9"/>
      <c r="Y1235" s="9"/>
      <c r="AA1235" s="16"/>
      <c r="AK1235" s="16"/>
      <c r="AL1235" s="17"/>
      <c r="AN1235" s="16"/>
    </row>
    <row r="1236" spans="9:40" x14ac:dyDescent="0.4">
      <c r="I1236" s="11"/>
      <c r="J1236" s="9"/>
      <c r="K1236" s="9"/>
      <c r="O1236" s="11"/>
      <c r="P1236" s="9"/>
      <c r="Q1236" s="9"/>
      <c r="R1236" s="9"/>
      <c r="S1236" s="9"/>
      <c r="T1236" s="31"/>
      <c r="W1236" s="16"/>
      <c r="X1236" s="9"/>
      <c r="Y1236" s="9"/>
      <c r="AA1236" s="16"/>
      <c r="AK1236" s="16"/>
      <c r="AL1236" s="17"/>
      <c r="AN1236" s="16"/>
    </row>
    <row r="1237" spans="9:40" x14ac:dyDescent="0.4">
      <c r="I1237" s="11"/>
      <c r="J1237" s="9"/>
      <c r="K1237" s="9"/>
      <c r="O1237" s="11"/>
      <c r="P1237" s="9"/>
      <c r="Q1237" s="9"/>
      <c r="R1237" s="9"/>
      <c r="S1237" s="9"/>
      <c r="T1237" s="31"/>
      <c r="W1237" s="16"/>
      <c r="X1237" s="9"/>
      <c r="Y1237" s="9"/>
      <c r="AA1237" s="16"/>
      <c r="AK1237" s="16"/>
      <c r="AL1237" s="17"/>
      <c r="AN1237" s="16"/>
    </row>
    <row r="1238" spans="9:40" x14ac:dyDescent="0.4">
      <c r="I1238" s="11"/>
      <c r="J1238" s="9"/>
      <c r="K1238" s="9"/>
      <c r="O1238" s="11"/>
      <c r="P1238" s="9"/>
      <c r="Q1238" s="9"/>
      <c r="R1238" s="9"/>
      <c r="S1238" s="9"/>
      <c r="T1238" s="31"/>
      <c r="W1238" s="16"/>
      <c r="X1238" s="9"/>
      <c r="Y1238" s="9"/>
      <c r="AA1238" s="16"/>
      <c r="AK1238" s="16"/>
      <c r="AL1238" s="17"/>
      <c r="AN1238" s="16"/>
    </row>
    <row r="1239" spans="9:40" x14ac:dyDescent="0.4">
      <c r="I1239" s="11"/>
      <c r="J1239" s="9"/>
      <c r="K1239" s="9"/>
      <c r="O1239" s="11"/>
      <c r="P1239" s="9"/>
      <c r="Q1239" s="9"/>
      <c r="R1239" s="9"/>
      <c r="S1239" s="9"/>
      <c r="T1239" s="31"/>
      <c r="W1239" s="16"/>
      <c r="X1239" s="9"/>
      <c r="Y1239" s="9"/>
      <c r="AA1239" s="16"/>
      <c r="AK1239" s="16"/>
      <c r="AL1239" s="17"/>
      <c r="AN1239" s="16"/>
    </row>
    <row r="1240" spans="9:40" x14ac:dyDescent="0.4">
      <c r="I1240" s="11"/>
      <c r="J1240" s="9"/>
      <c r="K1240" s="9"/>
      <c r="O1240" s="11"/>
      <c r="P1240" s="9"/>
      <c r="Q1240" s="9"/>
      <c r="R1240" s="9"/>
      <c r="S1240" s="9"/>
      <c r="T1240" s="31"/>
      <c r="W1240" s="16"/>
      <c r="X1240" s="9"/>
      <c r="Y1240" s="9"/>
      <c r="AA1240" s="16"/>
      <c r="AK1240" s="16"/>
      <c r="AL1240" s="17"/>
      <c r="AN1240" s="16"/>
    </row>
    <row r="1241" spans="9:40" x14ac:dyDescent="0.4">
      <c r="I1241" s="11"/>
      <c r="J1241" s="9"/>
      <c r="K1241" s="9"/>
      <c r="O1241" s="11"/>
      <c r="P1241" s="9"/>
      <c r="Q1241" s="9"/>
      <c r="R1241" s="9"/>
      <c r="S1241" s="9"/>
      <c r="T1241" s="31"/>
      <c r="W1241" s="16"/>
      <c r="X1241" s="9"/>
      <c r="Y1241" s="9"/>
      <c r="AA1241" s="16"/>
      <c r="AK1241" s="16"/>
      <c r="AL1241" s="17"/>
      <c r="AN1241" s="16"/>
    </row>
    <row r="1242" spans="9:40" x14ac:dyDescent="0.4">
      <c r="I1242" s="11"/>
      <c r="J1242" s="9"/>
      <c r="K1242" s="9"/>
      <c r="O1242" s="11"/>
      <c r="P1242" s="9"/>
      <c r="Q1242" s="9"/>
      <c r="R1242" s="9"/>
      <c r="S1242" s="9"/>
      <c r="T1242" s="31"/>
      <c r="W1242" s="16"/>
      <c r="X1242" s="9"/>
      <c r="Y1242" s="9"/>
      <c r="AA1242" s="16"/>
      <c r="AK1242" s="16"/>
      <c r="AL1242" s="17"/>
      <c r="AN1242" s="16"/>
    </row>
    <row r="1243" spans="9:40" x14ac:dyDescent="0.4">
      <c r="I1243" s="11"/>
      <c r="J1243" s="9"/>
      <c r="K1243" s="9"/>
      <c r="O1243" s="11"/>
      <c r="P1243" s="9"/>
      <c r="Q1243" s="9"/>
      <c r="R1243" s="9"/>
      <c r="S1243" s="9"/>
      <c r="T1243" s="31"/>
      <c r="W1243" s="16"/>
      <c r="X1243" s="9"/>
      <c r="Y1243" s="9"/>
      <c r="AA1243" s="16"/>
      <c r="AK1243" s="16"/>
      <c r="AL1243" s="17"/>
      <c r="AN1243" s="16"/>
    </row>
    <row r="1244" spans="9:40" x14ac:dyDescent="0.4">
      <c r="I1244" s="11"/>
      <c r="J1244" s="9"/>
      <c r="K1244" s="9"/>
      <c r="O1244" s="11"/>
      <c r="P1244" s="9"/>
      <c r="Q1244" s="9"/>
      <c r="R1244" s="9"/>
      <c r="S1244" s="9"/>
      <c r="T1244" s="31"/>
      <c r="W1244" s="16"/>
      <c r="X1244" s="9"/>
      <c r="Y1244" s="9"/>
      <c r="AA1244" s="16"/>
      <c r="AK1244" s="16"/>
      <c r="AL1244" s="17"/>
      <c r="AN1244" s="16"/>
    </row>
    <row r="1245" spans="9:40" x14ac:dyDescent="0.4">
      <c r="I1245" s="11"/>
      <c r="J1245" s="9"/>
      <c r="K1245" s="9"/>
      <c r="O1245" s="11"/>
      <c r="P1245" s="9"/>
      <c r="Q1245" s="9"/>
      <c r="R1245" s="9"/>
      <c r="S1245" s="9"/>
      <c r="T1245" s="31"/>
      <c r="W1245" s="16"/>
      <c r="X1245" s="9"/>
      <c r="Y1245" s="9"/>
      <c r="AA1245" s="16"/>
      <c r="AK1245" s="16"/>
      <c r="AL1245" s="17"/>
      <c r="AN1245" s="16"/>
    </row>
    <row r="1246" spans="9:40" x14ac:dyDescent="0.4">
      <c r="I1246" s="11"/>
      <c r="J1246" s="9"/>
      <c r="K1246" s="9"/>
      <c r="O1246" s="11"/>
      <c r="P1246" s="9"/>
      <c r="Q1246" s="9"/>
      <c r="R1246" s="9"/>
      <c r="S1246" s="9"/>
      <c r="T1246" s="31"/>
      <c r="W1246" s="16"/>
      <c r="X1246" s="9"/>
      <c r="Y1246" s="9"/>
      <c r="AA1246" s="16"/>
      <c r="AK1246" s="16"/>
      <c r="AL1246" s="17"/>
      <c r="AN1246" s="16"/>
    </row>
    <row r="1247" spans="9:40" x14ac:dyDescent="0.4">
      <c r="I1247" s="11"/>
      <c r="J1247" s="9"/>
      <c r="K1247" s="9"/>
      <c r="O1247" s="11"/>
      <c r="P1247" s="9"/>
      <c r="Q1247" s="9"/>
      <c r="R1247" s="9"/>
      <c r="S1247" s="9"/>
      <c r="T1247" s="31"/>
      <c r="W1247" s="16"/>
      <c r="X1247" s="9"/>
      <c r="Y1247" s="9"/>
      <c r="AA1247" s="16"/>
      <c r="AK1247" s="16"/>
      <c r="AL1247" s="17"/>
      <c r="AN1247" s="16"/>
    </row>
    <row r="1248" spans="9:40" x14ac:dyDescent="0.4">
      <c r="I1248" s="11"/>
      <c r="J1248" s="9"/>
      <c r="K1248" s="9"/>
      <c r="O1248" s="11"/>
      <c r="P1248" s="9"/>
      <c r="Q1248" s="9"/>
      <c r="R1248" s="9"/>
      <c r="S1248" s="9"/>
      <c r="T1248" s="31"/>
      <c r="W1248" s="16"/>
      <c r="X1248" s="9"/>
      <c r="Y1248" s="9"/>
      <c r="AA1248" s="16"/>
      <c r="AK1248" s="16"/>
      <c r="AL1248" s="17"/>
      <c r="AN1248" s="16"/>
    </row>
    <row r="1249" spans="9:40" x14ac:dyDescent="0.4">
      <c r="I1249" s="11"/>
      <c r="J1249" s="9"/>
      <c r="K1249" s="9"/>
      <c r="O1249" s="11"/>
      <c r="P1249" s="9"/>
      <c r="Q1249" s="9"/>
      <c r="R1249" s="9"/>
      <c r="S1249" s="9"/>
      <c r="T1249" s="31"/>
      <c r="W1249" s="16"/>
      <c r="X1249" s="9"/>
      <c r="Y1249" s="9"/>
      <c r="AA1249" s="16"/>
      <c r="AK1249" s="16"/>
      <c r="AL1249" s="17"/>
      <c r="AN1249" s="16"/>
    </row>
    <row r="1250" spans="9:40" x14ac:dyDescent="0.4">
      <c r="I1250" s="11"/>
      <c r="J1250" s="9"/>
      <c r="K1250" s="9"/>
      <c r="O1250" s="11"/>
      <c r="P1250" s="9"/>
      <c r="Q1250" s="9"/>
      <c r="R1250" s="9"/>
      <c r="S1250" s="9"/>
      <c r="T1250" s="31"/>
      <c r="W1250" s="16"/>
      <c r="X1250" s="9"/>
      <c r="Y1250" s="9"/>
      <c r="AA1250" s="16"/>
      <c r="AK1250" s="16"/>
      <c r="AL1250" s="17"/>
      <c r="AN1250" s="16"/>
    </row>
    <row r="1251" spans="9:40" x14ac:dyDescent="0.4">
      <c r="I1251" s="11"/>
      <c r="J1251" s="9"/>
      <c r="K1251" s="9"/>
      <c r="O1251" s="11"/>
      <c r="P1251" s="9"/>
      <c r="Q1251" s="9"/>
      <c r="R1251" s="9"/>
      <c r="S1251" s="9"/>
      <c r="T1251" s="31"/>
      <c r="W1251" s="16"/>
      <c r="X1251" s="9"/>
      <c r="Y1251" s="9"/>
      <c r="AA1251" s="16"/>
      <c r="AK1251" s="16"/>
      <c r="AL1251" s="17"/>
      <c r="AN1251" s="16"/>
    </row>
    <row r="1252" spans="9:40" x14ac:dyDescent="0.4">
      <c r="I1252" s="11"/>
      <c r="J1252" s="9"/>
      <c r="K1252" s="9"/>
      <c r="O1252" s="11"/>
      <c r="P1252" s="9"/>
      <c r="Q1252" s="9"/>
      <c r="R1252" s="9"/>
      <c r="S1252" s="9"/>
      <c r="T1252" s="31"/>
      <c r="W1252" s="16"/>
      <c r="X1252" s="9"/>
      <c r="Y1252" s="9"/>
      <c r="AA1252" s="16"/>
      <c r="AK1252" s="16"/>
      <c r="AL1252" s="17"/>
      <c r="AN1252" s="16"/>
    </row>
    <row r="1253" spans="9:40" x14ac:dyDescent="0.4">
      <c r="I1253" s="11"/>
      <c r="J1253" s="9"/>
      <c r="K1253" s="9"/>
      <c r="O1253" s="11"/>
      <c r="P1253" s="9"/>
      <c r="Q1253" s="9"/>
      <c r="R1253" s="9"/>
      <c r="S1253" s="9"/>
      <c r="T1253" s="31"/>
      <c r="W1253" s="16"/>
      <c r="X1253" s="9"/>
      <c r="Y1253" s="9"/>
      <c r="AA1253" s="16"/>
      <c r="AK1253" s="16"/>
      <c r="AL1253" s="17"/>
      <c r="AN1253" s="16"/>
    </row>
    <row r="1254" spans="9:40" x14ac:dyDescent="0.4">
      <c r="I1254" s="11"/>
      <c r="J1254" s="9"/>
      <c r="K1254" s="9"/>
      <c r="O1254" s="11"/>
      <c r="P1254" s="9"/>
      <c r="Q1254" s="9"/>
      <c r="R1254" s="9"/>
      <c r="S1254" s="9"/>
      <c r="T1254" s="31"/>
      <c r="W1254" s="16"/>
      <c r="X1254" s="9"/>
      <c r="Y1254" s="9"/>
      <c r="AA1254" s="16"/>
      <c r="AK1254" s="16"/>
      <c r="AL1254" s="17"/>
      <c r="AN1254" s="16"/>
    </row>
    <row r="1255" spans="9:40" x14ac:dyDescent="0.4">
      <c r="I1255" s="11"/>
      <c r="J1255" s="9"/>
      <c r="K1255" s="9"/>
      <c r="O1255" s="11"/>
      <c r="P1255" s="9"/>
      <c r="Q1255" s="9"/>
      <c r="R1255" s="9"/>
      <c r="S1255" s="9"/>
      <c r="T1255" s="31"/>
      <c r="W1255" s="16"/>
      <c r="X1255" s="9"/>
      <c r="Y1255" s="9"/>
      <c r="AA1255" s="16"/>
      <c r="AK1255" s="16"/>
      <c r="AL1255" s="17"/>
      <c r="AN1255" s="16"/>
    </row>
    <row r="1256" spans="9:40" x14ac:dyDescent="0.4">
      <c r="I1256" s="11"/>
      <c r="J1256" s="9"/>
      <c r="K1256" s="9"/>
      <c r="O1256" s="11"/>
      <c r="P1256" s="9"/>
      <c r="Q1256" s="9"/>
      <c r="R1256" s="9"/>
      <c r="S1256" s="9"/>
      <c r="T1256" s="31"/>
      <c r="W1256" s="16"/>
      <c r="X1256" s="9"/>
      <c r="Y1256" s="9"/>
      <c r="AA1256" s="16"/>
      <c r="AK1256" s="16"/>
      <c r="AL1256" s="17"/>
      <c r="AN1256" s="16"/>
    </row>
    <row r="1257" spans="9:40" x14ac:dyDescent="0.4">
      <c r="I1257" s="11"/>
      <c r="J1257" s="9"/>
      <c r="K1257" s="9"/>
      <c r="O1257" s="11"/>
      <c r="P1257" s="9"/>
      <c r="Q1257" s="9"/>
      <c r="R1257" s="9"/>
      <c r="S1257" s="9"/>
      <c r="T1257" s="31"/>
      <c r="W1257" s="16"/>
      <c r="X1257" s="9"/>
      <c r="Y1257" s="9"/>
      <c r="AA1257" s="16"/>
      <c r="AK1257" s="16"/>
      <c r="AL1257" s="17"/>
      <c r="AN1257" s="16"/>
    </row>
    <row r="1258" spans="9:40" x14ac:dyDescent="0.4">
      <c r="I1258" s="11"/>
      <c r="J1258" s="9"/>
      <c r="K1258" s="9"/>
      <c r="O1258" s="11"/>
      <c r="P1258" s="9"/>
      <c r="Q1258" s="9"/>
      <c r="R1258" s="9"/>
      <c r="S1258" s="9"/>
      <c r="T1258" s="31"/>
      <c r="W1258" s="16"/>
      <c r="X1258" s="9"/>
      <c r="Y1258" s="9"/>
      <c r="AA1258" s="16"/>
      <c r="AK1258" s="16"/>
      <c r="AL1258" s="17"/>
      <c r="AN1258" s="16"/>
    </row>
    <row r="1259" spans="9:40" x14ac:dyDescent="0.4">
      <c r="I1259" s="11"/>
      <c r="J1259" s="9"/>
      <c r="K1259" s="9"/>
      <c r="O1259" s="11"/>
      <c r="P1259" s="9"/>
      <c r="Q1259" s="9"/>
      <c r="R1259" s="9"/>
      <c r="S1259" s="9"/>
      <c r="T1259" s="31"/>
      <c r="W1259" s="16"/>
      <c r="X1259" s="9"/>
      <c r="Y1259" s="9"/>
      <c r="AA1259" s="16"/>
      <c r="AK1259" s="16"/>
      <c r="AL1259" s="17"/>
      <c r="AN1259" s="16"/>
    </row>
    <row r="1260" spans="9:40" x14ac:dyDescent="0.4">
      <c r="I1260" s="11"/>
      <c r="J1260" s="9"/>
      <c r="K1260" s="9"/>
      <c r="O1260" s="11"/>
      <c r="P1260" s="9"/>
      <c r="Q1260" s="9"/>
      <c r="R1260" s="9"/>
      <c r="S1260" s="9"/>
      <c r="T1260" s="31"/>
      <c r="W1260" s="16"/>
      <c r="X1260" s="9"/>
      <c r="Y1260" s="9"/>
      <c r="AA1260" s="16"/>
      <c r="AK1260" s="16"/>
      <c r="AL1260" s="17"/>
      <c r="AN1260" s="16"/>
    </row>
    <row r="1261" spans="9:40" x14ac:dyDescent="0.4">
      <c r="I1261" s="11"/>
      <c r="J1261" s="9"/>
      <c r="K1261" s="9"/>
      <c r="O1261" s="11"/>
      <c r="P1261" s="9"/>
      <c r="Q1261" s="9"/>
      <c r="R1261" s="9"/>
      <c r="S1261" s="9"/>
      <c r="T1261" s="31"/>
      <c r="W1261" s="16"/>
      <c r="X1261" s="9"/>
      <c r="Y1261" s="9"/>
      <c r="AA1261" s="16"/>
      <c r="AK1261" s="16"/>
      <c r="AL1261" s="17"/>
      <c r="AN1261" s="16"/>
    </row>
    <row r="1262" spans="9:40" x14ac:dyDescent="0.4">
      <c r="I1262" s="11"/>
      <c r="J1262" s="9"/>
      <c r="K1262" s="9"/>
      <c r="O1262" s="11"/>
      <c r="P1262" s="9"/>
      <c r="Q1262" s="9"/>
      <c r="R1262" s="9"/>
      <c r="S1262" s="9"/>
      <c r="T1262" s="31"/>
      <c r="W1262" s="16"/>
      <c r="X1262" s="9"/>
      <c r="Y1262" s="9"/>
      <c r="AA1262" s="16"/>
      <c r="AK1262" s="16"/>
      <c r="AL1262" s="17"/>
      <c r="AN1262" s="16"/>
    </row>
    <row r="1263" spans="9:40" x14ac:dyDescent="0.4">
      <c r="I1263" s="11"/>
      <c r="J1263" s="9"/>
      <c r="K1263" s="9"/>
      <c r="O1263" s="11"/>
      <c r="P1263" s="9"/>
      <c r="Q1263" s="9"/>
      <c r="R1263" s="9"/>
      <c r="S1263" s="9"/>
      <c r="T1263" s="31"/>
      <c r="W1263" s="16"/>
      <c r="X1263" s="9"/>
      <c r="Y1263" s="9"/>
      <c r="AA1263" s="16"/>
      <c r="AK1263" s="16"/>
      <c r="AL1263" s="17"/>
      <c r="AN1263" s="16"/>
    </row>
    <row r="1264" spans="9:40" x14ac:dyDescent="0.4">
      <c r="I1264" s="11"/>
      <c r="J1264" s="9"/>
      <c r="K1264" s="9"/>
      <c r="O1264" s="11"/>
      <c r="P1264" s="9"/>
      <c r="Q1264" s="9"/>
      <c r="R1264" s="9"/>
      <c r="S1264" s="9"/>
      <c r="T1264" s="31"/>
      <c r="W1264" s="16"/>
      <c r="X1264" s="9"/>
      <c r="Y1264" s="9"/>
      <c r="AA1264" s="16"/>
      <c r="AK1264" s="16"/>
      <c r="AL1264" s="17"/>
      <c r="AN1264" s="16"/>
    </row>
    <row r="1265" spans="9:40" x14ac:dyDescent="0.4">
      <c r="I1265" s="11"/>
      <c r="J1265" s="9"/>
      <c r="K1265" s="9"/>
      <c r="O1265" s="11"/>
      <c r="P1265" s="9"/>
      <c r="Q1265" s="9"/>
      <c r="R1265" s="9"/>
      <c r="S1265" s="9"/>
      <c r="T1265" s="31"/>
      <c r="W1265" s="16"/>
      <c r="X1265" s="9"/>
      <c r="Y1265" s="9"/>
      <c r="AA1265" s="16"/>
      <c r="AK1265" s="16"/>
      <c r="AL1265" s="17"/>
      <c r="AN1265" s="16"/>
    </row>
    <row r="1266" spans="9:40" x14ac:dyDescent="0.4">
      <c r="I1266" s="11"/>
      <c r="J1266" s="9"/>
      <c r="K1266" s="9"/>
      <c r="O1266" s="11"/>
      <c r="P1266" s="9"/>
      <c r="Q1266" s="9"/>
      <c r="R1266" s="9"/>
      <c r="S1266" s="9"/>
      <c r="T1266" s="31"/>
      <c r="W1266" s="16"/>
      <c r="X1266" s="9"/>
      <c r="Y1266" s="9"/>
      <c r="AA1266" s="16"/>
      <c r="AK1266" s="16"/>
      <c r="AL1266" s="17"/>
      <c r="AN1266" s="16"/>
    </row>
    <row r="1267" spans="9:40" x14ac:dyDescent="0.4">
      <c r="I1267" s="11"/>
      <c r="J1267" s="9"/>
      <c r="K1267" s="9"/>
      <c r="O1267" s="11"/>
      <c r="P1267" s="9"/>
      <c r="Q1267" s="9"/>
      <c r="R1267" s="9"/>
      <c r="S1267" s="9"/>
      <c r="T1267" s="31"/>
      <c r="W1267" s="16"/>
      <c r="X1267" s="9"/>
      <c r="Y1267" s="9"/>
      <c r="AA1267" s="16"/>
      <c r="AK1267" s="16"/>
      <c r="AL1267" s="17"/>
      <c r="AN1267" s="16"/>
    </row>
    <row r="1268" spans="9:40" x14ac:dyDescent="0.4">
      <c r="I1268" s="11"/>
      <c r="J1268" s="9"/>
      <c r="K1268" s="9"/>
      <c r="O1268" s="11"/>
      <c r="P1268" s="9"/>
      <c r="Q1268" s="9"/>
      <c r="R1268" s="9"/>
      <c r="S1268" s="9"/>
      <c r="T1268" s="31"/>
      <c r="W1268" s="16"/>
      <c r="X1268" s="9"/>
      <c r="Y1268" s="9"/>
      <c r="AA1268" s="16"/>
      <c r="AK1268" s="16"/>
      <c r="AL1268" s="17"/>
      <c r="AN1268" s="16"/>
    </row>
    <row r="1269" spans="9:40" x14ac:dyDescent="0.4">
      <c r="I1269" s="11"/>
      <c r="J1269" s="9"/>
      <c r="K1269" s="9"/>
      <c r="O1269" s="11"/>
      <c r="P1269" s="9"/>
      <c r="Q1269" s="9"/>
      <c r="R1269" s="9"/>
      <c r="S1269" s="9"/>
      <c r="T1269" s="31"/>
      <c r="W1269" s="16"/>
      <c r="X1269" s="9"/>
      <c r="Y1269" s="9"/>
      <c r="AA1269" s="16"/>
      <c r="AK1269" s="16"/>
      <c r="AL1269" s="17"/>
      <c r="AN1269" s="16"/>
    </row>
    <row r="1270" spans="9:40" x14ac:dyDescent="0.4">
      <c r="I1270" s="11"/>
      <c r="J1270" s="9"/>
      <c r="K1270" s="9"/>
      <c r="O1270" s="11"/>
      <c r="P1270" s="9"/>
      <c r="Q1270" s="9"/>
      <c r="R1270" s="9"/>
      <c r="S1270" s="9"/>
      <c r="T1270" s="31"/>
      <c r="W1270" s="16"/>
      <c r="X1270" s="9"/>
      <c r="Y1270" s="9"/>
      <c r="AA1270" s="16"/>
      <c r="AK1270" s="16"/>
      <c r="AL1270" s="17"/>
      <c r="AN1270" s="16"/>
    </row>
    <row r="1271" spans="9:40" x14ac:dyDescent="0.4">
      <c r="I1271" s="11"/>
      <c r="J1271" s="9"/>
      <c r="K1271" s="9"/>
      <c r="O1271" s="11"/>
      <c r="P1271" s="9"/>
      <c r="Q1271" s="9"/>
      <c r="R1271" s="9"/>
      <c r="S1271" s="9"/>
      <c r="T1271" s="31"/>
      <c r="W1271" s="16"/>
      <c r="X1271" s="9"/>
      <c r="Y1271" s="9"/>
      <c r="AA1271" s="16"/>
      <c r="AK1271" s="16"/>
      <c r="AL1271" s="17"/>
      <c r="AN1271" s="16"/>
    </row>
    <row r="1272" spans="9:40" x14ac:dyDescent="0.4">
      <c r="I1272" s="11"/>
      <c r="J1272" s="9"/>
      <c r="K1272" s="9"/>
      <c r="O1272" s="11"/>
      <c r="P1272" s="9"/>
      <c r="Q1272" s="9"/>
      <c r="R1272" s="9"/>
      <c r="S1272" s="9"/>
      <c r="T1272" s="31"/>
      <c r="W1272" s="16"/>
      <c r="X1272" s="9"/>
      <c r="Y1272" s="9"/>
      <c r="AA1272" s="16"/>
      <c r="AK1272" s="16"/>
      <c r="AL1272" s="17"/>
      <c r="AN1272" s="16"/>
    </row>
    <row r="1273" spans="9:40" x14ac:dyDescent="0.4">
      <c r="I1273" s="11"/>
      <c r="J1273" s="9"/>
      <c r="K1273" s="9"/>
      <c r="O1273" s="11"/>
      <c r="P1273" s="9"/>
      <c r="Q1273" s="9"/>
      <c r="R1273" s="9"/>
      <c r="S1273" s="9"/>
      <c r="T1273" s="31"/>
      <c r="W1273" s="16"/>
      <c r="X1273" s="9"/>
      <c r="Y1273" s="9"/>
      <c r="AA1273" s="16"/>
      <c r="AK1273" s="16"/>
      <c r="AL1273" s="17"/>
      <c r="AN1273" s="16"/>
    </row>
    <row r="1274" spans="9:40" x14ac:dyDescent="0.4">
      <c r="I1274" s="11"/>
      <c r="J1274" s="9"/>
      <c r="K1274" s="9"/>
      <c r="O1274" s="11"/>
      <c r="P1274" s="9"/>
      <c r="Q1274" s="9"/>
      <c r="R1274" s="9"/>
      <c r="S1274" s="9"/>
      <c r="T1274" s="31"/>
      <c r="W1274" s="16"/>
      <c r="X1274" s="9"/>
      <c r="Y1274" s="9"/>
      <c r="AA1274" s="16"/>
      <c r="AK1274" s="16"/>
      <c r="AL1274" s="17"/>
      <c r="AN1274" s="16"/>
    </row>
    <row r="1275" spans="9:40" x14ac:dyDescent="0.4">
      <c r="I1275" s="11"/>
      <c r="J1275" s="9"/>
      <c r="K1275" s="9"/>
      <c r="O1275" s="11"/>
      <c r="P1275" s="9"/>
      <c r="Q1275" s="9"/>
      <c r="R1275" s="9"/>
      <c r="S1275" s="9"/>
      <c r="T1275" s="31"/>
      <c r="W1275" s="16"/>
      <c r="X1275" s="9"/>
      <c r="Y1275" s="9"/>
      <c r="AA1275" s="16"/>
      <c r="AK1275" s="16"/>
      <c r="AL1275" s="17"/>
      <c r="AN1275" s="16"/>
    </row>
    <row r="1276" spans="9:40" x14ac:dyDescent="0.4">
      <c r="I1276" s="11"/>
      <c r="J1276" s="9"/>
      <c r="K1276" s="9"/>
      <c r="O1276" s="11"/>
      <c r="P1276" s="9"/>
      <c r="Q1276" s="9"/>
      <c r="R1276" s="9"/>
      <c r="S1276" s="9"/>
      <c r="T1276" s="31"/>
      <c r="W1276" s="16"/>
      <c r="X1276" s="9"/>
      <c r="Y1276" s="9"/>
      <c r="AA1276" s="16"/>
      <c r="AK1276" s="16"/>
      <c r="AL1276" s="17"/>
      <c r="AN1276" s="16"/>
    </row>
    <row r="1277" spans="9:40" x14ac:dyDescent="0.4">
      <c r="I1277" s="11"/>
      <c r="J1277" s="9"/>
      <c r="K1277" s="9"/>
      <c r="O1277" s="11"/>
      <c r="P1277" s="9"/>
      <c r="Q1277" s="9"/>
      <c r="R1277" s="9"/>
      <c r="S1277" s="9"/>
      <c r="T1277" s="31"/>
      <c r="W1277" s="16"/>
      <c r="X1277" s="9"/>
      <c r="Y1277" s="9"/>
      <c r="AA1277" s="16"/>
      <c r="AK1277" s="16"/>
      <c r="AL1277" s="17"/>
      <c r="AN1277" s="16"/>
    </row>
    <row r="1278" spans="9:40" x14ac:dyDescent="0.4">
      <c r="I1278" s="11"/>
      <c r="J1278" s="9"/>
      <c r="K1278" s="9"/>
      <c r="O1278" s="11"/>
      <c r="P1278" s="9"/>
      <c r="Q1278" s="9"/>
      <c r="R1278" s="9"/>
      <c r="S1278" s="9"/>
      <c r="T1278" s="31"/>
      <c r="W1278" s="16"/>
      <c r="X1278" s="9"/>
      <c r="Y1278" s="9"/>
      <c r="AA1278" s="16"/>
      <c r="AK1278" s="16"/>
      <c r="AL1278" s="17"/>
      <c r="AN1278" s="16"/>
    </row>
    <row r="1279" spans="9:40" x14ac:dyDescent="0.4">
      <c r="I1279" s="11"/>
      <c r="J1279" s="9"/>
      <c r="K1279" s="9"/>
      <c r="O1279" s="11"/>
      <c r="P1279" s="9"/>
      <c r="Q1279" s="9"/>
      <c r="R1279" s="9"/>
      <c r="S1279" s="9"/>
      <c r="T1279" s="31"/>
      <c r="W1279" s="16"/>
      <c r="X1279" s="9"/>
      <c r="Y1279" s="9"/>
      <c r="AA1279" s="16"/>
      <c r="AK1279" s="16"/>
      <c r="AL1279" s="17"/>
      <c r="AN1279" s="16"/>
    </row>
    <row r="1280" spans="9:40" x14ac:dyDescent="0.4">
      <c r="I1280" s="11"/>
      <c r="J1280" s="9"/>
      <c r="K1280" s="9"/>
      <c r="O1280" s="11"/>
      <c r="P1280" s="9"/>
      <c r="Q1280" s="9"/>
      <c r="R1280" s="9"/>
      <c r="S1280" s="9"/>
      <c r="T1280" s="31"/>
      <c r="W1280" s="16"/>
      <c r="X1280" s="9"/>
      <c r="Y1280" s="9"/>
      <c r="AA1280" s="16"/>
      <c r="AK1280" s="16"/>
      <c r="AL1280" s="17"/>
      <c r="AN1280" s="16"/>
    </row>
    <row r="1281" spans="9:40" x14ac:dyDescent="0.4">
      <c r="I1281" s="11"/>
      <c r="J1281" s="9"/>
      <c r="K1281" s="9"/>
      <c r="O1281" s="11"/>
      <c r="P1281" s="9"/>
      <c r="Q1281" s="9"/>
      <c r="R1281" s="9"/>
      <c r="S1281" s="9"/>
      <c r="T1281" s="31"/>
      <c r="W1281" s="16"/>
      <c r="X1281" s="9"/>
      <c r="Y1281" s="9"/>
      <c r="AA1281" s="16"/>
      <c r="AK1281" s="16"/>
      <c r="AL1281" s="17"/>
      <c r="AN1281" s="16"/>
    </row>
    <row r="1282" spans="9:40" x14ac:dyDescent="0.4">
      <c r="I1282" s="11"/>
      <c r="J1282" s="9"/>
      <c r="K1282" s="9"/>
      <c r="O1282" s="11"/>
      <c r="P1282" s="9"/>
      <c r="Q1282" s="9"/>
      <c r="R1282" s="9"/>
      <c r="S1282" s="9"/>
      <c r="T1282" s="31"/>
      <c r="W1282" s="16"/>
      <c r="X1282" s="9"/>
      <c r="Y1282" s="9"/>
      <c r="AA1282" s="16"/>
      <c r="AK1282" s="16"/>
      <c r="AL1282" s="17"/>
      <c r="AN1282" s="16"/>
    </row>
    <row r="1283" spans="9:40" x14ac:dyDescent="0.4">
      <c r="I1283" s="11"/>
      <c r="J1283" s="9"/>
      <c r="K1283" s="9"/>
      <c r="O1283" s="11"/>
      <c r="P1283" s="9"/>
      <c r="Q1283" s="9"/>
      <c r="R1283" s="9"/>
      <c r="S1283" s="9"/>
      <c r="T1283" s="31"/>
      <c r="W1283" s="16"/>
      <c r="X1283" s="9"/>
      <c r="Y1283" s="9"/>
      <c r="AA1283" s="16"/>
      <c r="AK1283" s="16"/>
      <c r="AL1283" s="17"/>
      <c r="AN1283" s="16"/>
    </row>
    <row r="1284" spans="9:40" x14ac:dyDescent="0.4">
      <c r="I1284" s="11"/>
      <c r="J1284" s="9"/>
      <c r="K1284" s="9"/>
      <c r="O1284" s="11"/>
      <c r="P1284" s="9"/>
      <c r="Q1284" s="9"/>
      <c r="R1284" s="9"/>
      <c r="S1284" s="9"/>
      <c r="T1284" s="31"/>
      <c r="W1284" s="16"/>
      <c r="X1284" s="9"/>
      <c r="Y1284" s="9"/>
      <c r="AA1284" s="16"/>
      <c r="AK1284" s="16"/>
      <c r="AL1284" s="17"/>
      <c r="AN1284" s="16"/>
    </row>
    <row r="1285" spans="9:40" x14ac:dyDescent="0.4">
      <c r="I1285" s="11"/>
      <c r="J1285" s="9"/>
      <c r="K1285" s="9"/>
      <c r="O1285" s="11"/>
      <c r="P1285" s="9"/>
      <c r="Q1285" s="9"/>
      <c r="R1285" s="9"/>
      <c r="S1285" s="9"/>
      <c r="T1285" s="31"/>
      <c r="W1285" s="16"/>
      <c r="X1285" s="9"/>
      <c r="Y1285" s="9"/>
      <c r="AA1285" s="16"/>
      <c r="AK1285" s="16"/>
      <c r="AL1285" s="17"/>
      <c r="AN1285" s="16"/>
    </row>
    <row r="1286" spans="9:40" x14ac:dyDescent="0.4">
      <c r="I1286" s="11"/>
      <c r="J1286" s="9"/>
      <c r="K1286" s="9"/>
      <c r="O1286" s="11"/>
      <c r="P1286" s="9"/>
      <c r="Q1286" s="9"/>
      <c r="R1286" s="9"/>
      <c r="S1286" s="9"/>
      <c r="T1286" s="31"/>
      <c r="W1286" s="16"/>
      <c r="X1286" s="9"/>
      <c r="Y1286" s="9"/>
      <c r="AA1286" s="16"/>
      <c r="AK1286" s="16"/>
      <c r="AL1286" s="17"/>
      <c r="AN1286" s="16"/>
    </row>
    <row r="1287" spans="9:40" x14ac:dyDescent="0.4">
      <c r="I1287" s="11"/>
      <c r="J1287" s="9"/>
      <c r="K1287" s="9"/>
      <c r="O1287" s="11"/>
      <c r="P1287" s="9"/>
      <c r="Q1287" s="9"/>
      <c r="R1287" s="9"/>
      <c r="S1287" s="9"/>
      <c r="T1287" s="31"/>
      <c r="W1287" s="16"/>
      <c r="X1287" s="9"/>
      <c r="Y1287" s="9"/>
      <c r="AA1287" s="16"/>
      <c r="AK1287" s="16"/>
      <c r="AL1287" s="17"/>
      <c r="AN1287" s="16"/>
    </row>
    <row r="1288" spans="9:40" x14ac:dyDescent="0.4">
      <c r="I1288" s="11"/>
      <c r="J1288" s="9"/>
      <c r="K1288" s="9"/>
      <c r="O1288" s="11"/>
      <c r="P1288" s="9"/>
      <c r="Q1288" s="9"/>
      <c r="R1288" s="9"/>
      <c r="S1288" s="9"/>
      <c r="T1288" s="31"/>
      <c r="W1288" s="16"/>
      <c r="X1288" s="9"/>
      <c r="Y1288" s="9"/>
      <c r="AA1288" s="16"/>
      <c r="AK1288" s="16"/>
      <c r="AL1288" s="17"/>
      <c r="AN1288" s="16"/>
    </row>
    <row r="1289" spans="9:40" x14ac:dyDescent="0.4">
      <c r="I1289" s="11"/>
      <c r="J1289" s="9"/>
      <c r="K1289" s="9"/>
      <c r="O1289" s="11"/>
      <c r="P1289" s="9"/>
      <c r="Q1289" s="9"/>
      <c r="R1289" s="9"/>
      <c r="S1289" s="9"/>
      <c r="T1289" s="31"/>
      <c r="W1289" s="16"/>
      <c r="X1289" s="9"/>
      <c r="Y1289" s="9"/>
      <c r="AA1289" s="16"/>
      <c r="AK1289" s="16"/>
      <c r="AL1289" s="17"/>
      <c r="AN1289" s="16"/>
    </row>
    <row r="1290" spans="9:40" x14ac:dyDescent="0.4">
      <c r="I1290" s="11"/>
      <c r="J1290" s="9"/>
      <c r="K1290" s="9"/>
      <c r="O1290" s="11"/>
      <c r="P1290" s="9"/>
      <c r="Q1290" s="9"/>
      <c r="R1290" s="9"/>
      <c r="S1290" s="9"/>
      <c r="T1290" s="31"/>
      <c r="W1290" s="16"/>
      <c r="X1290" s="9"/>
      <c r="Y1290" s="9"/>
      <c r="AA1290" s="16"/>
      <c r="AK1290" s="16"/>
      <c r="AL1290" s="17"/>
      <c r="AN1290" s="16"/>
    </row>
    <row r="1291" spans="9:40" x14ac:dyDescent="0.4">
      <c r="I1291" s="11"/>
      <c r="J1291" s="9"/>
      <c r="K1291" s="9"/>
      <c r="O1291" s="11"/>
      <c r="P1291" s="9"/>
      <c r="Q1291" s="9"/>
      <c r="R1291" s="9"/>
      <c r="S1291" s="9"/>
      <c r="T1291" s="31"/>
      <c r="W1291" s="16"/>
      <c r="X1291" s="9"/>
      <c r="Y1291" s="9"/>
      <c r="AA1291" s="16"/>
      <c r="AK1291" s="16"/>
      <c r="AL1291" s="17"/>
      <c r="AN1291" s="16"/>
    </row>
    <row r="1292" spans="9:40" x14ac:dyDescent="0.4">
      <c r="I1292" s="11"/>
      <c r="J1292" s="9"/>
      <c r="K1292" s="9"/>
      <c r="O1292" s="11"/>
      <c r="P1292" s="9"/>
      <c r="Q1292" s="9"/>
      <c r="R1292" s="9"/>
      <c r="S1292" s="9"/>
      <c r="T1292" s="31"/>
      <c r="W1292" s="16"/>
      <c r="X1292" s="9"/>
      <c r="Y1292" s="9"/>
      <c r="AA1292" s="16"/>
      <c r="AK1292" s="16"/>
      <c r="AL1292" s="17"/>
      <c r="AN1292" s="16"/>
    </row>
    <row r="1293" spans="9:40" x14ac:dyDescent="0.4">
      <c r="I1293" s="11"/>
      <c r="J1293" s="9"/>
      <c r="K1293" s="9"/>
      <c r="O1293" s="11"/>
      <c r="P1293" s="9"/>
      <c r="Q1293" s="9"/>
      <c r="R1293" s="9"/>
      <c r="S1293" s="9"/>
      <c r="T1293" s="31"/>
      <c r="W1293" s="16"/>
      <c r="X1293" s="9"/>
      <c r="Y1293" s="9"/>
      <c r="AA1293" s="16"/>
      <c r="AK1293" s="16"/>
      <c r="AL1293" s="17"/>
      <c r="AN1293" s="16"/>
    </row>
    <row r="1294" spans="9:40" x14ac:dyDescent="0.4">
      <c r="I1294" s="11"/>
      <c r="J1294" s="9"/>
      <c r="K1294" s="9"/>
      <c r="O1294" s="11"/>
      <c r="P1294" s="9"/>
      <c r="Q1294" s="9"/>
      <c r="R1294" s="9"/>
      <c r="S1294" s="9"/>
      <c r="T1294" s="31"/>
      <c r="W1294" s="16"/>
      <c r="X1294" s="9"/>
      <c r="Y1294" s="9"/>
      <c r="AA1294" s="16"/>
      <c r="AK1294" s="16"/>
      <c r="AL1294" s="17"/>
      <c r="AN1294" s="16"/>
    </row>
    <row r="1295" spans="9:40" x14ac:dyDescent="0.4">
      <c r="I1295" s="11"/>
      <c r="J1295" s="9"/>
      <c r="K1295" s="9"/>
      <c r="O1295" s="11"/>
      <c r="P1295" s="9"/>
      <c r="Q1295" s="9"/>
      <c r="R1295" s="9"/>
      <c r="S1295" s="9"/>
      <c r="T1295" s="31"/>
      <c r="W1295" s="16"/>
      <c r="X1295" s="9"/>
      <c r="Y1295" s="9"/>
      <c r="AA1295" s="16"/>
      <c r="AK1295" s="16"/>
      <c r="AL1295" s="17"/>
      <c r="AN1295" s="16"/>
    </row>
    <row r="1296" spans="9:40" x14ac:dyDescent="0.4">
      <c r="I1296" s="11"/>
      <c r="J1296" s="9"/>
      <c r="K1296" s="9"/>
      <c r="O1296" s="11"/>
      <c r="P1296" s="9"/>
      <c r="Q1296" s="9"/>
      <c r="R1296" s="9"/>
      <c r="S1296" s="9"/>
      <c r="T1296" s="31"/>
      <c r="W1296" s="16"/>
      <c r="X1296" s="9"/>
      <c r="Y1296" s="9"/>
      <c r="AA1296" s="16"/>
      <c r="AK1296" s="16"/>
      <c r="AL1296" s="17"/>
      <c r="AN1296" s="16"/>
    </row>
    <row r="1297" spans="9:40" x14ac:dyDescent="0.4">
      <c r="I1297" s="11"/>
      <c r="J1297" s="9"/>
      <c r="K1297" s="9"/>
      <c r="O1297" s="11"/>
      <c r="P1297" s="9"/>
      <c r="Q1297" s="9"/>
      <c r="R1297" s="9"/>
      <c r="S1297" s="9"/>
      <c r="T1297" s="31"/>
      <c r="W1297" s="16"/>
      <c r="X1297" s="9"/>
      <c r="Y1297" s="9"/>
      <c r="AA1297" s="16"/>
      <c r="AK1297" s="16"/>
      <c r="AL1297" s="17"/>
      <c r="AN1297" s="16"/>
    </row>
    <row r="1298" spans="9:40" x14ac:dyDescent="0.4">
      <c r="I1298" s="11"/>
      <c r="J1298" s="9"/>
      <c r="K1298" s="9"/>
      <c r="O1298" s="11"/>
      <c r="P1298" s="9"/>
      <c r="Q1298" s="9"/>
      <c r="R1298" s="9"/>
      <c r="S1298" s="9"/>
      <c r="T1298" s="31"/>
      <c r="W1298" s="16"/>
      <c r="X1298" s="9"/>
      <c r="Y1298" s="9"/>
      <c r="AA1298" s="16"/>
      <c r="AK1298" s="16"/>
      <c r="AL1298" s="17"/>
      <c r="AN1298" s="16"/>
    </row>
    <row r="1299" spans="9:40" x14ac:dyDescent="0.4">
      <c r="I1299" s="11"/>
      <c r="J1299" s="9"/>
      <c r="K1299" s="9"/>
      <c r="O1299" s="11"/>
      <c r="P1299" s="9"/>
      <c r="Q1299" s="9"/>
      <c r="R1299" s="9"/>
      <c r="S1299" s="9"/>
      <c r="T1299" s="31"/>
      <c r="W1299" s="16"/>
      <c r="X1299" s="9"/>
      <c r="Y1299" s="9"/>
      <c r="AA1299" s="16"/>
      <c r="AK1299" s="16"/>
      <c r="AL1299" s="17"/>
      <c r="AN1299" s="16"/>
    </row>
    <row r="1300" spans="9:40" x14ac:dyDescent="0.4">
      <c r="I1300" s="11"/>
      <c r="J1300" s="9"/>
      <c r="K1300" s="9"/>
      <c r="O1300" s="11"/>
      <c r="P1300" s="9"/>
      <c r="Q1300" s="9"/>
      <c r="R1300" s="9"/>
      <c r="S1300" s="9"/>
      <c r="T1300" s="31"/>
      <c r="W1300" s="16"/>
      <c r="X1300" s="9"/>
      <c r="Y1300" s="9"/>
      <c r="AA1300" s="16"/>
      <c r="AK1300" s="16"/>
      <c r="AL1300" s="17"/>
      <c r="AN1300" s="16"/>
    </row>
    <row r="1301" spans="9:40" x14ac:dyDescent="0.4">
      <c r="I1301" s="11"/>
      <c r="J1301" s="9"/>
      <c r="K1301" s="9"/>
      <c r="O1301" s="11"/>
      <c r="P1301" s="9"/>
      <c r="Q1301" s="9"/>
      <c r="R1301" s="9"/>
      <c r="S1301" s="9"/>
      <c r="T1301" s="31"/>
      <c r="W1301" s="16"/>
      <c r="X1301" s="9"/>
      <c r="Y1301" s="9"/>
      <c r="AA1301" s="16"/>
      <c r="AK1301" s="16"/>
      <c r="AL1301" s="17"/>
      <c r="AN1301" s="16"/>
    </row>
    <row r="1302" spans="9:40" x14ac:dyDescent="0.4">
      <c r="I1302" s="11"/>
      <c r="J1302" s="9"/>
      <c r="K1302" s="9"/>
      <c r="O1302" s="11"/>
      <c r="P1302" s="9"/>
      <c r="Q1302" s="9"/>
      <c r="R1302" s="9"/>
      <c r="S1302" s="9"/>
      <c r="T1302" s="31"/>
      <c r="W1302" s="16"/>
      <c r="X1302" s="9"/>
      <c r="Y1302" s="9"/>
      <c r="AA1302" s="16"/>
      <c r="AK1302" s="16"/>
      <c r="AL1302" s="17"/>
      <c r="AN1302" s="16"/>
    </row>
    <row r="1303" spans="9:40" x14ac:dyDescent="0.4">
      <c r="I1303" s="11"/>
      <c r="J1303" s="9"/>
      <c r="K1303" s="9"/>
      <c r="O1303" s="11"/>
      <c r="P1303" s="9"/>
      <c r="Q1303" s="9"/>
      <c r="R1303" s="9"/>
      <c r="S1303" s="9"/>
      <c r="T1303" s="31"/>
      <c r="W1303" s="16"/>
      <c r="X1303" s="9"/>
      <c r="Y1303" s="9"/>
      <c r="AA1303" s="16"/>
      <c r="AK1303" s="16"/>
      <c r="AL1303" s="17"/>
      <c r="AN1303" s="16"/>
    </row>
    <row r="1304" spans="9:40" x14ac:dyDescent="0.4">
      <c r="I1304" s="11"/>
      <c r="J1304" s="9"/>
      <c r="K1304" s="9"/>
      <c r="O1304" s="11"/>
      <c r="P1304" s="9"/>
      <c r="Q1304" s="9"/>
      <c r="R1304" s="9"/>
      <c r="S1304" s="9"/>
      <c r="T1304" s="31"/>
      <c r="W1304" s="16"/>
      <c r="X1304" s="9"/>
      <c r="Y1304" s="9"/>
      <c r="AA1304" s="16"/>
      <c r="AK1304" s="16"/>
      <c r="AL1304" s="17"/>
      <c r="AN1304" s="16"/>
    </row>
    <row r="1305" spans="9:40" x14ac:dyDescent="0.4">
      <c r="I1305" s="11"/>
      <c r="J1305" s="9"/>
      <c r="K1305" s="9"/>
      <c r="O1305" s="11"/>
      <c r="P1305" s="9"/>
      <c r="Q1305" s="9"/>
      <c r="R1305" s="9"/>
      <c r="S1305" s="9"/>
      <c r="T1305" s="31"/>
      <c r="W1305" s="16"/>
      <c r="X1305" s="9"/>
      <c r="Y1305" s="9"/>
      <c r="AA1305" s="16"/>
      <c r="AK1305" s="16"/>
      <c r="AL1305" s="17"/>
      <c r="AN1305" s="16"/>
    </row>
    <row r="1306" spans="9:40" x14ac:dyDescent="0.4">
      <c r="I1306" s="11"/>
      <c r="J1306" s="9"/>
      <c r="K1306" s="9"/>
      <c r="O1306" s="11"/>
      <c r="P1306" s="9"/>
      <c r="Q1306" s="9"/>
      <c r="R1306" s="9"/>
      <c r="S1306" s="9"/>
      <c r="T1306" s="31"/>
      <c r="W1306" s="16"/>
      <c r="X1306" s="9"/>
      <c r="Y1306" s="9"/>
      <c r="AA1306" s="16"/>
      <c r="AK1306" s="16"/>
      <c r="AL1306" s="17"/>
      <c r="AN1306" s="16"/>
    </row>
    <row r="1307" spans="9:40" x14ac:dyDescent="0.4">
      <c r="I1307" s="11"/>
      <c r="J1307" s="9"/>
      <c r="K1307" s="9"/>
      <c r="O1307" s="11"/>
      <c r="P1307" s="9"/>
      <c r="Q1307" s="9"/>
      <c r="R1307" s="9"/>
      <c r="S1307" s="9"/>
      <c r="T1307" s="31"/>
      <c r="W1307" s="16"/>
      <c r="X1307" s="9"/>
      <c r="Y1307" s="9"/>
      <c r="AA1307" s="16"/>
      <c r="AK1307" s="16"/>
      <c r="AL1307" s="17"/>
      <c r="AN1307" s="16"/>
    </row>
    <row r="1308" spans="9:40" x14ac:dyDescent="0.4">
      <c r="I1308" s="11"/>
      <c r="J1308" s="9"/>
      <c r="K1308" s="9"/>
      <c r="O1308" s="11"/>
      <c r="P1308" s="9"/>
      <c r="Q1308" s="9"/>
      <c r="R1308" s="9"/>
      <c r="S1308" s="9"/>
      <c r="T1308" s="31"/>
      <c r="W1308" s="16"/>
      <c r="X1308" s="9"/>
      <c r="Y1308" s="9"/>
      <c r="AA1308" s="16"/>
      <c r="AK1308" s="16"/>
      <c r="AL1308" s="17"/>
      <c r="AN1308" s="16"/>
    </row>
    <row r="1309" spans="9:40" x14ac:dyDescent="0.4">
      <c r="I1309" s="11"/>
      <c r="J1309" s="9"/>
      <c r="K1309" s="9"/>
      <c r="O1309" s="11"/>
      <c r="P1309" s="9"/>
      <c r="Q1309" s="9"/>
      <c r="R1309" s="9"/>
      <c r="S1309" s="9"/>
      <c r="T1309" s="31"/>
      <c r="W1309" s="16"/>
      <c r="X1309" s="9"/>
      <c r="Y1309" s="9"/>
      <c r="AA1309" s="16"/>
      <c r="AK1309" s="16"/>
      <c r="AL1309" s="17"/>
      <c r="AN1309" s="16"/>
    </row>
    <row r="1310" spans="9:40" x14ac:dyDescent="0.4">
      <c r="I1310" s="11"/>
      <c r="J1310" s="9"/>
      <c r="K1310" s="9"/>
      <c r="O1310" s="11"/>
      <c r="P1310" s="9"/>
      <c r="Q1310" s="9"/>
      <c r="R1310" s="9"/>
      <c r="S1310" s="9"/>
      <c r="T1310" s="31"/>
      <c r="W1310" s="16"/>
      <c r="X1310" s="9"/>
      <c r="Y1310" s="9"/>
      <c r="AA1310" s="16"/>
      <c r="AK1310" s="16"/>
      <c r="AL1310" s="17"/>
      <c r="AN1310" s="16"/>
    </row>
    <row r="1311" spans="9:40" x14ac:dyDescent="0.4">
      <c r="I1311" s="11"/>
      <c r="J1311" s="9"/>
      <c r="K1311" s="9"/>
      <c r="O1311" s="11"/>
      <c r="P1311" s="9"/>
      <c r="Q1311" s="9"/>
      <c r="R1311" s="9"/>
      <c r="S1311" s="9"/>
      <c r="T1311" s="31"/>
      <c r="W1311" s="16"/>
      <c r="X1311" s="9"/>
      <c r="Y1311" s="9"/>
      <c r="AA1311" s="16"/>
      <c r="AK1311" s="16"/>
      <c r="AL1311" s="17"/>
      <c r="AN1311" s="16"/>
    </row>
    <row r="1312" spans="9:40" x14ac:dyDescent="0.4">
      <c r="I1312" s="11"/>
      <c r="J1312" s="9"/>
      <c r="K1312" s="9"/>
      <c r="O1312" s="11"/>
      <c r="P1312" s="9"/>
      <c r="Q1312" s="9"/>
      <c r="R1312" s="9"/>
      <c r="S1312" s="9"/>
      <c r="T1312" s="31"/>
      <c r="W1312" s="16"/>
      <c r="X1312" s="9"/>
      <c r="Y1312" s="9"/>
      <c r="AA1312" s="16"/>
      <c r="AK1312" s="16"/>
      <c r="AL1312" s="17"/>
      <c r="AN1312" s="16"/>
    </row>
    <row r="1313" spans="9:40" x14ac:dyDescent="0.4">
      <c r="I1313" s="11"/>
      <c r="J1313" s="9"/>
      <c r="K1313" s="9"/>
      <c r="O1313" s="11"/>
      <c r="P1313" s="9"/>
      <c r="Q1313" s="9"/>
      <c r="R1313" s="9"/>
      <c r="S1313" s="9"/>
      <c r="T1313" s="31"/>
      <c r="W1313" s="16"/>
      <c r="X1313" s="9"/>
      <c r="Y1313" s="9"/>
      <c r="AA1313" s="16"/>
      <c r="AK1313" s="16"/>
      <c r="AL1313" s="17"/>
      <c r="AN1313" s="16"/>
    </row>
    <row r="1314" spans="9:40" x14ac:dyDescent="0.4">
      <c r="I1314" s="11"/>
      <c r="J1314" s="9"/>
      <c r="K1314" s="9"/>
      <c r="O1314" s="11"/>
      <c r="P1314" s="9"/>
      <c r="Q1314" s="9"/>
      <c r="R1314" s="9"/>
      <c r="S1314" s="9"/>
      <c r="T1314" s="31"/>
      <c r="W1314" s="16"/>
      <c r="X1314" s="9"/>
      <c r="Y1314" s="9"/>
      <c r="AA1314" s="16"/>
      <c r="AK1314" s="16"/>
      <c r="AL1314" s="17"/>
      <c r="AN1314" s="16"/>
    </row>
    <row r="1315" spans="9:40" x14ac:dyDescent="0.4">
      <c r="I1315" s="11"/>
      <c r="J1315" s="9"/>
      <c r="K1315" s="9"/>
      <c r="O1315" s="11"/>
      <c r="P1315" s="9"/>
      <c r="Q1315" s="9"/>
      <c r="R1315" s="9"/>
      <c r="S1315" s="9"/>
      <c r="T1315" s="31"/>
      <c r="W1315" s="16"/>
      <c r="X1315" s="9"/>
      <c r="Y1315" s="9"/>
      <c r="AA1315" s="16"/>
      <c r="AK1315" s="16"/>
      <c r="AL1315" s="17"/>
      <c r="AN1315" s="16"/>
    </row>
    <row r="1316" spans="9:40" x14ac:dyDescent="0.4">
      <c r="I1316" s="11"/>
      <c r="J1316" s="9"/>
      <c r="K1316" s="9"/>
      <c r="O1316" s="11"/>
      <c r="P1316" s="9"/>
      <c r="Q1316" s="9"/>
      <c r="R1316" s="9"/>
      <c r="S1316" s="9"/>
      <c r="T1316" s="31"/>
      <c r="W1316" s="16"/>
      <c r="X1316" s="9"/>
      <c r="Y1316" s="9"/>
      <c r="AA1316" s="16"/>
      <c r="AK1316" s="16"/>
      <c r="AL1316" s="17"/>
      <c r="AN1316" s="16"/>
    </row>
    <row r="1317" spans="9:40" x14ac:dyDescent="0.4">
      <c r="I1317" s="11"/>
      <c r="J1317" s="9"/>
      <c r="K1317" s="9"/>
      <c r="O1317" s="11"/>
      <c r="P1317" s="9"/>
      <c r="Q1317" s="9"/>
      <c r="R1317" s="9"/>
      <c r="S1317" s="9"/>
      <c r="T1317" s="31"/>
      <c r="W1317" s="16"/>
      <c r="X1317" s="9"/>
      <c r="Y1317" s="9"/>
      <c r="AA1317" s="16"/>
      <c r="AK1317" s="16"/>
      <c r="AL1317" s="17"/>
      <c r="AN1317" s="16"/>
    </row>
    <row r="1318" spans="9:40" x14ac:dyDescent="0.4">
      <c r="I1318" s="11"/>
      <c r="J1318" s="9"/>
      <c r="K1318" s="9"/>
      <c r="O1318" s="11"/>
      <c r="P1318" s="9"/>
      <c r="Q1318" s="9"/>
      <c r="R1318" s="9"/>
      <c r="S1318" s="9"/>
      <c r="T1318" s="31"/>
      <c r="W1318" s="16"/>
      <c r="X1318" s="9"/>
      <c r="Y1318" s="9"/>
      <c r="AA1318" s="16"/>
      <c r="AK1318" s="16"/>
      <c r="AL1318" s="17"/>
      <c r="AN1318" s="16"/>
    </row>
    <row r="1319" spans="9:40" x14ac:dyDescent="0.4">
      <c r="I1319" s="11"/>
      <c r="J1319" s="9"/>
      <c r="K1319" s="9"/>
      <c r="O1319" s="11"/>
      <c r="P1319" s="9"/>
      <c r="Q1319" s="9"/>
      <c r="R1319" s="9"/>
      <c r="S1319" s="9"/>
      <c r="T1319" s="31"/>
      <c r="W1319" s="16"/>
      <c r="X1319" s="9"/>
      <c r="Y1319" s="9"/>
      <c r="AA1319" s="16"/>
      <c r="AK1319" s="16"/>
      <c r="AL1319" s="17"/>
      <c r="AN1319" s="16"/>
    </row>
    <row r="1320" spans="9:40" x14ac:dyDescent="0.4">
      <c r="I1320" s="11"/>
      <c r="J1320" s="9"/>
      <c r="K1320" s="9"/>
      <c r="O1320" s="11"/>
      <c r="P1320" s="9"/>
      <c r="Q1320" s="9"/>
      <c r="R1320" s="9"/>
      <c r="S1320" s="9"/>
      <c r="T1320" s="31"/>
      <c r="W1320" s="16"/>
      <c r="X1320" s="9"/>
      <c r="Y1320" s="9"/>
      <c r="AA1320" s="16"/>
      <c r="AK1320" s="16"/>
      <c r="AL1320" s="17"/>
      <c r="AN1320" s="16"/>
    </row>
    <row r="1321" spans="9:40" x14ac:dyDescent="0.4">
      <c r="I1321" s="11"/>
      <c r="J1321" s="9"/>
      <c r="K1321" s="9"/>
      <c r="O1321" s="11"/>
      <c r="P1321" s="9"/>
      <c r="Q1321" s="9"/>
      <c r="R1321" s="9"/>
      <c r="S1321" s="9"/>
      <c r="T1321" s="31"/>
      <c r="W1321" s="16"/>
      <c r="X1321" s="9"/>
      <c r="Y1321" s="9"/>
      <c r="AA1321" s="16"/>
      <c r="AK1321" s="16"/>
      <c r="AL1321" s="17"/>
      <c r="AN1321" s="16"/>
    </row>
    <row r="1322" spans="9:40" x14ac:dyDescent="0.4">
      <c r="I1322" s="11"/>
      <c r="J1322" s="9"/>
      <c r="K1322" s="9"/>
      <c r="O1322" s="11"/>
      <c r="P1322" s="9"/>
      <c r="Q1322" s="9"/>
      <c r="R1322" s="9"/>
      <c r="S1322" s="9"/>
      <c r="T1322" s="31"/>
      <c r="W1322" s="16"/>
      <c r="X1322" s="9"/>
      <c r="Y1322" s="9"/>
      <c r="AA1322" s="16"/>
      <c r="AK1322" s="16"/>
      <c r="AL1322" s="17"/>
      <c r="AN1322" s="16"/>
    </row>
    <row r="1323" spans="9:40" x14ac:dyDescent="0.4">
      <c r="I1323" s="11"/>
      <c r="J1323" s="9"/>
      <c r="K1323" s="9"/>
      <c r="O1323" s="11"/>
      <c r="P1323" s="9"/>
      <c r="Q1323" s="9"/>
      <c r="R1323" s="9"/>
      <c r="S1323" s="9"/>
      <c r="T1323" s="31"/>
      <c r="W1323" s="16"/>
      <c r="X1323" s="9"/>
      <c r="Y1323" s="9"/>
      <c r="AA1323" s="16"/>
      <c r="AK1323" s="16"/>
      <c r="AL1323" s="17"/>
      <c r="AN1323" s="16"/>
    </row>
    <row r="1324" spans="9:40" x14ac:dyDescent="0.4">
      <c r="I1324" s="11"/>
      <c r="J1324" s="9"/>
      <c r="K1324" s="9"/>
      <c r="O1324" s="11"/>
      <c r="P1324" s="9"/>
      <c r="Q1324" s="9"/>
      <c r="R1324" s="9"/>
      <c r="S1324" s="9"/>
      <c r="T1324" s="31"/>
      <c r="W1324" s="16"/>
      <c r="X1324" s="9"/>
      <c r="Y1324" s="9"/>
      <c r="AA1324" s="16"/>
      <c r="AK1324" s="16"/>
      <c r="AL1324" s="17"/>
      <c r="AN1324" s="16"/>
    </row>
    <row r="1325" spans="9:40" x14ac:dyDescent="0.4">
      <c r="I1325" s="11"/>
      <c r="J1325" s="9"/>
      <c r="K1325" s="9"/>
      <c r="O1325" s="11"/>
      <c r="P1325" s="9"/>
      <c r="Q1325" s="9"/>
      <c r="R1325" s="9"/>
      <c r="S1325" s="9"/>
      <c r="T1325" s="31"/>
      <c r="W1325" s="16"/>
      <c r="X1325" s="9"/>
      <c r="Y1325" s="9"/>
      <c r="AA1325" s="16"/>
      <c r="AK1325" s="16"/>
      <c r="AL1325" s="17"/>
      <c r="AN1325" s="16"/>
    </row>
    <row r="1326" spans="9:40" x14ac:dyDescent="0.4">
      <c r="I1326" s="11"/>
      <c r="J1326" s="9"/>
      <c r="K1326" s="9"/>
      <c r="O1326" s="11"/>
      <c r="P1326" s="9"/>
      <c r="Q1326" s="9"/>
      <c r="R1326" s="9"/>
      <c r="S1326" s="9"/>
      <c r="T1326" s="31"/>
      <c r="W1326" s="16"/>
      <c r="X1326" s="9"/>
      <c r="Y1326" s="9"/>
      <c r="AA1326" s="16"/>
      <c r="AK1326" s="16"/>
      <c r="AL1326" s="17"/>
      <c r="AN1326" s="16"/>
    </row>
    <row r="1327" spans="9:40" x14ac:dyDescent="0.4">
      <c r="I1327" s="11"/>
      <c r="J1327" s="9"/>
      <c r="K1327" s="9"/>
      <c r="O1327" s="11"/>
      <c r="P1327" s="9"/>
      <c r="Q1327" s="9"/>
      <c r="R1327" s="9"/>
      <c r="S1327" s="9"/>
      <c r="T1327" s="31"/>
      <c r="W1327" s="16"/>
      <c r="X1327" s="9"/>
      <c r="Y1327" s="9"/>
      <c r="AA1327" s="16"/>
      <c r="AK1327" s="16"/>
      <c r="AL1327" s="17"/>
      <c r="AN1327" s="16"/>
    </row>
    <row r="1328" spans="9:40" x14ac:dyDescent="0.4">
      <c r="I1328" s="11"/>
      <c r="J1328" s="9"/>
      <c r="K1328" s="9"/>
      <c r="O1328" s="11"/>
      <c r="P1328" s="9"/>
      <c r="Q1328" s="9"/>
      <c r="R1328" s="9"/>
      <c r="S1328" s="9"/>
      <c r="T1328" s="31"/>
      <c r="W1328" s="16"/>
      <c r="X1328" s="9"/>
      <c r="Y1328" s="9"/>
      <c r="AA1328" s="16"/>
      <c r="AK1328" s="16"/>
      <c r="AL1328" s="17"/>
      <c r="AN1328" s="16"/>
    </row>
    <row r="1329" spans="9:40" x14ac:dyDescent="0.4">
      <c r="I1329" s="11"/>
      <c r="J1329" s="9"/>
      <c r="K1329" s="9"/>
      <c r="O1329" s="11"/>
      <c r="P1329" s="9"/>
      <c r="Q1329" s="9"/>
      <c r="R1329" s="9"/>
      <c r="S1329" s="9"/>
      <c r="T1329" s="31"/>
      <c r="W1329" s="16"/>
      <c r="X1329" s="9"/>
      <c r="Y1329" s="9"/>
      <c r="AA1329" s="16"/>
      <c r="AK1329" s="16"/>
      <c r="AL1329" s="17"/>
      <c r="AN1329" s="16"/>
    </row>
    <row r="1330" spans="9:40" x14ac:dyDescent="0.4">
      <c r="I1330" s="11"/>
      <c r="J1330" s="9"/>
      <c r="K1330" s="9"/>
      <c r="O1330" s="11"/>
      <c r="P1330" s="9"/>
      <c r="Q1330" s="9"/>
      <c r="R1330" s="9"/>
      <c r="S1330" s="9"/>
      <c r="T1330" s="31"/>
      <c r="W1330" s="16"/>
      <c r="X1330" s="9"/>
      <c r="Y1330" s="9"/>
      <c r="AA1330" s="16"/>
      <c r="AK1330" s="16"/>
      <c r="AL1330" s="17"/>
      <c r="AN1330" s="16"/>
    </row>
    <row r="1331" spans="9:40" x14ac:dyDescent="0.4">
      <c r="I1331" s="11"/>
      <c r="J1331" s="9"/>
      <c r="K1331" s="9"/>
      <c r="O1331" s="11"/>
      <c r="P1331" s="9"/>
      <c r="Q1331" s="9"/>
      <c r="R1331" s="9"/>
      <c r="S1331" s="9"/>
      <c r="T1331" s="31"/>
      <c r="W1331" s="16"/>
      <c r="X1331" s="9"/>
      <c r="Y1331" s="9"/>
      <c r="AA1331" s="16"/>
      <c r="AK1331" s="16"/>
      <c r="AL1331" s="17"/>
      <c r="AN1331" s="16"/>
    </row>
    <row r="1332" spans="9:40" x14ac:dyDescent="0.4">
      <c r="I1332" s="11"/>
      <c r="J1332" s="9"/>
      <c r="K1332" s="9"/>
      <c r="O1332" s="11"/>
      <c r="P1332" s="9"/>
      <c r="Q1332" s="9"/>
      <c r="R1332" s="9"/>
      <c r="S1332" s="9"/>
      <c r="T1332" s="31"/>
      <c r="W1332" s="16"/>
      <c r="X1332" s="9"/>
      <c r="Y1332" s="9"/>
      <c r="AA1332" s="16"/>
      <c r="AK1332" s="16"/>
      <c r="AL1332" s="17"/>
      <c r="AN1332" s="16"/>
    </row>
    <row r="1333" spans="9:40" x14ac:dyDescent="0.4">
      <c r="I1333" s="11"/>
      <c r="J1333" s="9"/>
      <c r="K1333" s="9"/>
      <c r="O1333" s="11"/>
      <c r="P1333" s="9"/>
      <c r="Q1333" s="9"/>
      <c r="R1333" s="9"/>
      <c r="S1333" s="9"/>
      <c r="T1333" s="31"/>
      <c r="W1333" s="16"/>
      <c r="X1333" s="9"/>
      <c r="Y1333" s="9"/>
      <c r="AA1333" s="16"/>
      <c r="AK1333" s="16"/>
      <c r="AL1333" s="17"/>
      <c r="AN1333" s="16"/>
    </row>
    <row r="1334" spans="9:40" x14ac:dyDescent="0.4">
      <c r="I1334" s="11"/>
      <c r="J1334" s="9"/>
      <c r="K1334" s="9"/>
      <c r="O1334" s="11"/>
      <c r="P1334" s="9"/>
      <c r="Q1334" s="9"/>
      <c r="R1334" s="9"/>
      <c r="S1334" s="9"/>
      <c r="T1334" s="31"/>
      <c r="W1334" s="16"/>
      <c r="X1334" s="9"/>
      <c r="Y1334" s="9"/>
      <c r="AA1334" s="16"/>
      <c r="AK1334" s="16"/>
      <c r="AL1334" s="17"/>
      <c r="AN1334" s="16"/>
    </row>
    <row r="1335" spans="9:40" x14ac:dyDescent="0.4">
      <c r="I1335" s="11"/>
      <c r="J1335" s="9"/>
      <c r="K1335" s="9"/>
      <c r="O1335" s="11"/>
      <c r="P1335" s="9"/>
      <c r="Q1335" s="9"/>
      <c r="R1335" s="9"/>
      <c r="S1335" s="9"/>
      <c r="T1335" s="31"/>
      <c r="W1335" s="16"/>
      <c r="X1335" s="9"/>
      <c r="Y1335" s="9"/>
      <c r="AA1335" s="16"/>
      <c r="AK1335" s="16"/>
      <c r="AL1335" s="17"/>
      <c r="AN1335" s="16"/>
    </row>
    <row r="1336" spans="9:40" x14ac:dyDescent="0.4">
      <c r="I1336" s="11"/>
      <c r="J1336" s="9"/>
      <c r="K1336" s="9"/>
      <c r="O1336" s="11"/>
      <c r="P1336" s="9"/>
      <c r="Q1336" s="9"/>
      <c r="R1336" s="9"/>
      <c r="S1336" s="9"/>
      <c r="T1336" s="31"/>
      <c r="W1336" s="16"/>
      <c r="X1336" s="9"/>
      <c r="Y1336" s="9"/>
      <c r="AA1336" s="16"/>
      <c r="AK1336" s="16"/>
      <c r="AL1336" s="17"/>
      <c r="AN1336" s="16"/>
    </row>
    <row r="1337" spans="9:40" x14ac:dyDescent="0.4">
      <c r="I1337" s="11"/>
      <c r="J1337" s="9"/>
      <c r="K1337" s="9"/>
      <c r="O1337" s="11"/>
      <c r="P1337" s="9"/>
      <c r="Q1337" s="9"/>
      <c r="R1337" s="9"/>
      <c r="S1337" s="9"/>
      <c r="T1337" s="31"/>
      <c r="W1337" s="16"/>
      <c r="X1337" s="9"/>
      <c r="Y1337" s="9"/>
      <c r="AA1337" s="16"/>
      <c r="AK1337" s="16"/>
      <c r="AL1337" s="17"/>
      <c r="AN1337" s="16"/>
    </row>
    <row r="1338" spans="9:40" x14ac:dyDescent="0.4">
      <c r="I1338" s="11"/>
      <c r="J1338" s="9"/>
      <c r="K1338" s="9"/>
      <c r="O1338" s="11"/>
      <c r="P1338" s="9"/>
      <c r="Q1338" s="9"/>
      <c r="R1338" s="9"/>
      <c r="S1338" s="9"/>
      <c r="T1338" s="31"/>
      <c r="W1338" s="16"/>
      <c r="X1338" s="9"/>
      <c r="Y1338" s="9"/>
      <c r="AA1338" s="16"/>
      <c r="AK1338" s="16"/>
      <c r="AL1338" s="17"/>
      <c r="AN1338" s="16"/>
    </row>
    <row r="1339" spans="9:40" x14ac:dyDescent="0.4">
      <c r="I1339" s="11"/>
      <c r="J1339" s="9"/>
      <c r="K1339" s="9"/>
      <c r="O1339" s="11"/>
      <c r="P1339" s="9"/>
      <c r="Q1339" s="9"/>
      <c r="R1339" s="9"/>
      <c r="S1339" s="9"/>
      <c r="T1339" s="31"/>
      <c r="W1339" s="16"/>
      <c r="X1339" s="9"/>
      <c r="Y1339" s="9"/>
      <c r="AA1339" s="16"/>
      <c r="AK1339" s="16"/>
      <c r="AL1339" s="17"/>
      <c r="AN1339" s="16"/>
    </row>
    <row r="1340" spans="9:40" x14ac:dyDescent="0.4">
      <c r="I1340" s="11"/>
      <c r="J1340" s="9"/>
      <c r="K1340" s="9"/>
      <c r="O1340" s="11"/>
      <c r="P1340" s="9"/>
      <c r="Q1340" s="9"/>
      <c r="R1340" s="9"/>
      <c r="S1340" s="9"/>
      <c r="T1340" s="31"/>
      <c r="W1340" s="16"/>
      <c r="X1340" s="9"/>
      <c r="Y1340" s="9"/>
      <c r="AA1340" s="16"/>
      <c r="AK1340" s="16"/>
      <c r="AL1340" s="17"/>
      <c r="AN1340" s="16"/>
    </row>
    <row r="1341" spans="9:40" x14ac:dyDescent="0.4">
      <c r="I1341" s="11"/>
      <c r="J1341" s="9"/>
      <c r="K1341" s="9"/>
      <c r="O1341" s="11"/>
      <c r="P1341" s="9"/>
      <c r="Q1341" s="9"/>
      <c r="R1341" s="9"/>
      <c r="S1341" s="9"/>
      <c r="T1341" s="31"/>
      <c r="W1341" s="16"/>
      <c r="X1341" s="9"/>
      <c r="Y1341" s="9"/>
      <c r="AA1341" s="16"/>
      <c r="AK1341" s="16"/>
      <c r="AL1341" s="17"/>
      <c r="AN1341" s="16"/>
    </row>
    <row r="1342" spans="9:40" x14ac:dyDescent="0.4">
      <c r="I1342" s="11"/>
      <c r="J1342" s="9"/>
      <c r="K1342" s="9"/>
      <c r="O1342" s="11"/>
      <c r="P1342" s="9"/>
      <c r="Q1342" s="9"/>
      <c r="R1342" s="9"/>
      <c r="S1342" s="9"/>
      <c r="T1342" s="31"/>
      <c r="W1342" s="16"/>
      <c r="X1342" s="9"/>
      <c r="Y1342" s="9"/>
      <c r="AA1342" s="16"/>
      <c r="AK1342" s="16"/>
      <c r="AL1342" s="17"/>
      <c r="AN1342" s="16"/>
    </row>
    <row r="1343" spans="9:40" x14ac:dyDescent="0.4">
      <c r="I1343" s="11"/>
      <c r="J1343" s="9"/>
      <c r="K1343" s="9"/>
      <c r="O1343" s="11"/>
      <c r="P1343" s="9"/>
      <c r="Q1343" s="9"/>
      <c r="R1343" s="9"/>
      <c r="S1343" s="9"/>
      <c r="T1343" s="31"/>
      <c r="W1343" s="16"/>
      <c r="X1343" s="9"/>
      <c r="Y1343" s="9"/>
      <c r="AA1343" s="16"/>
      <c r="AK1343" s="16"/>
      <c r="AL1343" s="17"/>
      <c r="AN1343" s="16"/>
    </row>
    <row r="1344" spans="9:40" x14ac:dyDescent="0.4">
      <c r="I1344" s="11"/>
      <c r="J1344" s="9"/>
      <c r="K1344" s="9"/>
      <c r="O1344" s="11"/>
      <c r="P1344" s="9"/>
      <c r="Q1344" s="9"/>
      <c r="R1344" s="9"/>
      <c r="S1344" s="9"/>
      <c r="T1344" s="31"/>
      <c r="W1344" s="16"/>
      <c r="X1344" s="9"/>
      <c r="Y1344" s="9"/>
      <c r="AA1344" s="16"/>
      <c r="AK1344" s="16"/>
      <c r="AL1344" s="17"/>
      <c r="AN1344" s="16"/>
    </row>
    <row r="1345" spans="9:40" x14ac:dyDescent="0.4">
      <c r="I1345" s="11"/>
      <c r="J1345" s="9"/>
      <c r="K1345" s="9"/>
      <c r="O1345" s="11"/>
      <c r="P1345" s="9"/>
      <c r="Q1345" s="9"/>
      <c r="R1345" s="9"/>
      <c r="S1345" s="9"/>
      <c r="T1345" s="31"/>
      <c r="W1345" s="16"/>
      <c r="X1345" s="9"/>
      <c r="Y1345" s="9"/>
      <c r="AA1345" s="16"/>
      <c r="AK1345" s="16"/>
      <c r="AL1345" s="17"/>
      <c r="AN1345" s="16"/>
    </row>
    <row r="1346" spans="9:40" x14ac:dyDescent="0.4">
      <c r="I1346" s="11"/>
      <c r="J1346" s="9"/>
      <c r="K1346" s="9"/>
      <c r="O1346" s="11"/>
      <c r="P1346" s="9"/>
      <c r="Q1346" s="9"/>
      <c r="R1346" s="9"/>
      <c r="S1346" s="9"/>
      <c r="T1346" s="31"/>
      <c r="W1346" s="16"/>
      <c r="X1346" s="9"/>
      <c r="Y1346" s="9"/>
      <c r="AA1346" s="16"/>
      <c r="AK1346" s="16"/>
      <c r="AL1346" s="17"/>
      <c r="AN1346" s="16"/>
    </row>
    <row r="1347" spans="9:40" x14ac:dyDescent="0.4">
      <c r="I1347" s="11"/>
      <c r="J1347" s="9"/>
      <c r="K1347" s="9"/>
      <c r="O1347" s="11"/>
      <c r="P1347" s="9"/>
      <c r="Q1347" s="9"/>
      <c r="R1347" s="9"/>
      <c r="S1347" s="9"/>
      <c r="T1347" s="31"/>
      <c r="W1347" s="16"/>
      <c r="X1347" s="9"/>
      <c r="Y1347" s="9"/>
      <c r="AA1347" s="16"/>
      <c r="AK1347" s="16"/>
      <c r="AL1347" s="17"/>
      <c r="AN1347" s="16"/>
    </row>
    <row r="1348" spans="9:40" x14ac:dyDescent="0.4">
      <c r="I1348" s="11"/>
      <c r="J1348" s="9"/>
      <c r="K1348" s="9"/>
      <c r="O1348" s="11"/>
      <c r="P1348" s="9"/>
      <c r="Q1348" s="9"/>
      <c r="R1348" s="9"/>
      <c r="S1348" s="9"/>
      <c r="T1348" s="31"/>
      <c r="W1348" s="16"/>
      <c r="X1348" s="9"/>
      <c r="Y1348" s="9"/>
      <c r="AA1348" s="16"/>
      <c r="AK1348" s="16"/>
      <c r="AL1348" s="17"/>
      <c r="AN1348" s="16"/>
    </row>
    <row r="1349" spans="9:40" x14ac:dyDescent="0.4">
      <c r="I1349" s="11"/>
      <c r="J1349" s="9"/>
      <c r="K1349" s="9"/>
      <c r="O1349" s="11"/>
      <c r="P1349" s="9"/>
      <c r="Q1349" s="9"/>
      <c r="R1349" s="9"/>
      <c r="S1349" s="9"/>
      <c r="T1349" s="31"/>
      <c r="W1349" s="16"/>
      <c r="X1349" s="9"/>
      <c r="Y1349" s="9"/>
      <c r="AA1349" s="16"/>
      <c r="AK1349" s="16"/>
      <c r="AL1349" s="17"/>
      <c r="AN1349" s="16"/>
    </row>
    <row r="1350" spans="9:40" x14ac:dyDescent="0.4">
      <c r="I1350" s="11"/>
      <c r="J1350" s="9"/>
      <c r="K1350" s="9"/>
      <c r="O1350" s="11"/>
      <c r="P1350" s="9"/>
      <c r="Q1350" s="9"/>
      <c r="R1350" s="9"/>
      <c r="S1350" s="9"/>
      <c r="T1350" s="31"/>
      <c r="W1350" s="16"/>
      <c r="X1350" s="9"/>
      <c r="Y1350" s="9"/>
      <c r="AA1350" s="16"/>
      <c r="AK1350" s="16"/>
      <c r="AL1350" s="17"/>
      <c r="AN1350" s="16"/>
    </row>
    <row r="1351" spans="9:40" x14ac:dyDescent="0.4">
      <c r="I1351" s="11"/>
      <c r="J1351" s="9"/>
      <c r="K1351" s="9"/>
      <c r="O1351" s="11"/>
      <c r="P1351" s="9"/>
      <c r="Q1351" s="9"/>
      <c r="R1351" s="9"/>
      <c r="S1351" s="9"/>
      <c r="T1351" s="31"/>
      <c r="W1351" s="16"/>
      <c r="X1351" s="9"/>
      <c r="Y1351" s="9"/>
      <c r="AA1351" s="16"/>
      <c r="AK1351" s="16"/>
      <c r="AL1351" s="17"/>
      <c r="AN1351" s="16"/>
    </row>
    <row r="1352" spans="9:40" x14ac:dyDescent="0.4">
      <c r="I1352" s="11"/>
      <c r="J1352" s="9"/>
      <c r="K1352" s="9"/>
      <c r="O1352" s="11"/>
      <c r="P1352" s="9"/>
      <c r="Q1352" s="9"/>
      <c r="R1352" s="9"/>
      <c r="S1352" s="9"/>
      <c r="T1352" s="31"/>
      <c r="W1352" s="16"/>
      <c r="X1352" s="9"/>
      <c r="Y1352" s="9"/>
      <c r="AA1352" s="16"/>
      <c r="AK1352" s="16"/>
      <c r="AL1352" s="17"/>
      <c r="AN1352" s="16"/>
    </row>
    <row r="1353" spans="9:40" x14ac:dyDescent="0.4">
      <c r="I1353" s="11"/>
      <c r="J1353" s="9"/>
      <c r="K1353" s="9"/>
      <c r="O1353" s="11"/>
      <c r="P1353" s="9"/>
      <c r="Q1353" s="9"/>
      <c r="R1353" s="9"/>
      <c r="S1353" s="9"/>
      <c r="T1353" s="31"/>
      <c r="W1353" s="16"/>
      <c r="X1353" s="9"/>
      <c r="Y1353" s="9"/>
      <c r="AA1353" s="16"/>
      <c r="AK1353" s="16"/>
      <c r="AL1353" s="17"/>
      <c r="AN1353" s="16"/>
    </row>
    <row r="1354" spans="9:40" x14ac:dyDescent="0.4">
      <c r="I1354" s="11"/>
      <c r="J1354" s="9"/>
      <c r="K1354" s="9"/>
      <c r="O1354" s="11"/>
      <c r="P1354" s="9"/>
      <c r="Q1354" s="9"/>
      <c r="R1354" s="9"/>
      <c r="S1354" s="9"/>
      <c r="T1354" s="31"/>
      <c r="W1354" s="16"/>
      <c r="X1354" s="9"/>
      <c r="Y1354" s="9"/>
      <c r="AA1354" s="16"/>
      <c r="AK1354" s="16"/>
      <c r="AL1354" s="17"/>
      <c r="AN1354" s="16"/>
    </row>
    <row r="1355" spans="9:40" x14ac:dyDescent="0.4">
      <c r="I1355" s="11"/>
      <c r="J1355" s="9"/>
      <c r="K1355" s="9"/>
      <c r="O1355" s="11"/>
      <c r="P1355" s="9"/>
      <c r="Q1355" s="9"/>
      <c r="R1355" s="9"/>
      <c r="S1355" s="9"/>
      <c r="T1355" s="31"/>
      <c r="W1355" s="16"/>
      <c r="X1355" s="9"/>
      <c r="Y1355" s="9"/>
      <c r="AA1355" s="16"/>
      <c r="AK1355" s="16"/>
      <c r="AL1355" s="17"/>
      <c r="AN1355" s="16"/>
    </row>
    <row r="1356" spans="9:40" x14ac:dyDescent="0.4">
      <c r="I1356" s="11"/>
      <c r="J1356" s="9"/>
      <c r="K1356" s="9"/>
      <c r="O1356" s="11"/>
      <c r="P1356" s="9"/>
      <c r="Q1356" s="9"/>
      <c r="R1356" s="9"/>
      <c r="S1356" s="9"/>
      <c r="T1356" s="31"/>
      <c r="W1356" s="16"/>
      <c r="X1356" s="9"/>
      <c r="Y1356" s="9"/>
      <c r="AA1356" s="16"/>
      <c r="AK1356" s="16"/>
      <c r="AL1356" s="17"/>
      <c r="AN1356" s="16"/>
    </row>
    <row r="1357" spans="9:40" x14ac:dyDescent="0.4">
      <c r="I1357" s="11"/>
      <c r="J1357" s="9"/>
      <c r="K1357" s="9"/>
      <c r="O1357" s="11"/>
      <c r="P1357" s="9"/>
      <c r="Q1357" s="9"/>
      <c r="R1357" s="9"/>
      <c r="S1357" s="9"/>
      <c r="T1357" s="31"/>
      <c r="W1357" s="16"/>
      <c r="X1357" s="9"/>
      <c r="Y1357" s="9"/>
      <c r="AA1357" s="16"/>
      <c r="AK1357" s="16"/>
      <c r="AL1357" s="17"/>
      <c r="AN1357" s="16"/>
    </row>
    <row r="1358" spans="9:40" x14ac:dyDescent="0.4">
      <c r="I1358" s="11"/>
      <c r="J1358" s="9"/>
      <c r="K1358" s="9"/>
      <c r="O1358" s="11"/>
      <c r="P1358" s="9"/>
      <c r="Q1358" s="9"/>
      <c r="R1358" s="9"/>
      <c r="S1358" s="9"/>
      <c r="T1358" s="31"/>
      <c r="W1358" s="16"/>
      <c r="X1358" s="9"/>
      <c r="Y1358" s="9"/>
      <c r="AA1358" s="16"/>
      <c r="AK1358" s="16"/>
      <c r="AL1358" s="17"/>
      <c r="AN1358" s="16"/>
    </row>
    <row r="1359" spans="9:40" x14ac:dyDescent="0.4">
      <c r="I1359" s="11"/>
      <c r="J1359" s="9"/>
      <c r="K1359" s="9"/>
      <c r="O1359" s="11"/>
      <c r="P1359" s="9"/>
      <c r="Q1359" s="9"/>
      <c r="R1359" s="9"/>
      <c r="S1359" s="9"/>
      <c r="T1359" s="31"/>
      <c r="W1359" s="16"/>
      <c r="X1359" s="9"/>
      <c r="Y1359" s="9"/>
      <c r="AA1359" s="16"/>
      <c r="AK1359" s="16"/>
      <c r="AL1359" s="17"/>
      <c r="AN1359" s="16"/>
    </row>
    <row r="1360" spans="9:40" x14ac:dyDescent="0.4">
      <c r="I1360" s="11"/>
      <c r="J1360" s="9"/>
      <c r="K1360" s="9"/>
      <c r="O1360" s="11"/>
      <c r="P1360" s="9"/>
      <c r="Q1360" s="9"/>
      <c r="R1360" s="9"/>
      <c r="S1360" s="9"/>
      <c r="T1360" s="31"/>
      <c r="W1360" s="16"/>
      <c r="X1360" s="9"/>
      <c r="Y1360" s="9"/>
      <c r="AA1360" s="16"/>
      <c r="AK1360" s="16"/>
      <c r="AL1360" s="17"/>
      <c r="AN1360" s="16"/>
    </row>
    <row r="1361" spans="9:40" x14ac:dyDescent="0.4">
      <c r="I1361" s="11"/>
      <c r="J1361" s="9"/>
      <c r="K1361" s="9"/>
      <c r="O1361" s="11"/>
      <c r="P1361" s="9"/>
      <c r="Q1361" s="9"/>
      <c r="R1361" s="9"/>
      <c r="S1361" s="9"/>
      <c r="T1361" s="31"/>
      <c r="W1361" s="16"/>
      <c r="X1361" s="9"/>
      <c r="Y1361" s="9"/>
      <c r="AA1361" s="16"/>
      <c r="AK1361" s="16"/>
      <c r="AL1361" s="17"/>
      <c r="AN1361" s="16"/>
    </row>
    <row r="1362" spans="9:40" x14ac:dyDescent="0.4">
      <c r="I1362" s="11"/>
      <c r="J1362" s="9"/>
      <c r="K1362" s="9"/>
      <c r="O1362" s="11"/>
      <c r="P1362" s="9"/>
      <c r="Q1362" s="9"/>
      <c r="R1362" s="9"/>
      <c r="S1362" s="9"/>
      <c r="T1362" s="31"/>
      <c r="W1362" s="16"/>
      <c r="X1362" s="9"/>
      <c r="Y1362" s="9"/>
      <c r="AA1362" s="16"/>
      <c r="AK1362" s="16"/>
      <c r="AL1362" s="17"/>
      <c r="AN1362" s="16"/>
    </row>
    <row r="1363" spans="9:40" x14ac:dyDescent="0.4">
      <c r="I1363" s="11"/>
      <c r="J1363" s="9"/>
      <c r="K1363" s="9"/>
      <c r="O1363" s="11"/>
      <c r="P1363" s="9"/>
      <c r="Q1363" s="9"/>
      <c r="R1363" s="9"/>
      <c r="S1363" s="9"/>
      <c r="T1363" s="31"/>
      <c r="W1363" s="16"/>
      <c r="X1363" s="9"/>
      <c r="Y1363" s="9"/>
      <c r="AA1363" s="16"/>
      <c r="AK1363" s="16"/>
      <c r="AL1363" s="17"/>
      <c r="AN1363" s="16"/>
    </row>
    <row r="1364" spans="9:40" x14ac:dyDescent="0.4">
      <c r="I1364" s="11"/>
      <c r="J1364" s="9"/>
      <c r="K1364" s="9"/>
      <c r="O1364" s="11"/>
      <c r="P1364" s="9"/>
      <c r="Q1364" s="9"/>
      <c r="R1364" s="9"/>
      <c r="S1364" s="9"/>
      <c r="T1364" s="31"/>
      <c r="W1364" s="16"/>
      <c r="X1364" s="9"/>
      <c r="Y1364" s="9"/>
      <c r="AA1364" s="16"/>
      <c r="AK1364" s="16"/>
      <c r="AL1364" s="17"/>
      <c r="AN1364" s="16"/>
    </row>
    <row r="1365" spans="9:40" x14ac:dyDescent="0.4">
      <c r="I1365" s="11"/>
      <c r="J1365" s="9"/>
      <c r="K1365" s="9"/>
      <c r="O1365" s="11"/>
      <c r="P1365" s="9"/>
      <c r="Q1365" s="9"/>
      <c r="R1365" s="9"/>
      <c r="S1365" s="9"/>
      <c r="T1365" s="31"/>
      <c r="W1365" s="16"/>
      <c r="X1365" s="9"/>
      <c r="Y1365" s="9"/>
      <c r="AA1365" s="16"/>
      <c r="AK1365" s="16"/>
      <c r="AL1365" s="17"/>
      <c r="AN1365" s="16"/>
    </row>
    <row r="1366" spans="9:40" x14ac:dyDescent="0.4">
      <c r="I1366" s="11"/>
      <c r="J1366" s="9"/>
      <c r="K1366" s="9"/>
      <c r="O1366" s="11"/>
      <c r="P1366" s="9"/>
      <c r="Q1366" s="9"/>
      <c r="R1366" s="9"/>
      <c r="S1366" s="9"/>
      <c r="T1366" s="31"/>
      <c r="W1366" s="16"/>
      <c r="X1366" s="9"/>
      <c r="Y1366" s="9"/>
      <c r="AA1366" s="16"/>
      <c r="AK1366" s="16"/>
      <c r="AL1366" s="17"/>
      <c r="AN1366" s="16"/>
    </row>
    <row r="1367" spans="9:40" x14ac:dyDescent="0.4">
      <c r="I1367" s="11"/>
      <c r="J1367" s="9"/>
      <c r="K1367" s="9"/>
      <c r="O1367" s="11"/>
      <c r="P1367" s="9"/>
      <c r="Q1367" s="9"/>
      <c r="R1367" s="9"/>
      <c r="S1367" s="9"/>
      <c r="T1367" s="31"/>
      <c r="W1367" s="16"/>
      <c r="X1367" s="9"/>
      <c r="Y1367" s="9"/>
      <c r="AA1367" s="16"/>
      <c r="AK1367" s="16"/>
      <c r="AL1367" s="17"/>
      <c r="AN1367" s="16"/>
    </row>
    <row r="1368" spans="9:40" x14ac:dyDescent="0.4">
      <c r="I1368" s="11"/>
      <c r="J1368" s="9"/>
      <c r="K1368" s="9"/>
      <c r="O1368" s="11"/>
      <c r="P1368" s="9"/>
      <c r="Q1368" s="9"/>
      <c r="R1368" s="9"/>
      <c r="S1368" s="9"/>
      <c r="T1368" s="31"/>
      <c r="W1368" s="16"/>
      <c r="X1368" s="9"/>
      <c r="Y1368" s="9"/>
      <c r="AA1368" s="16"/>
      <c r="AK1368" s="16"/>
      <c r="AL1368" s="17"/>
      <c r="AN1368" s="16"/>
    </row>
    <row r="1369" spans="9:40" x14ac:dyDescent="0.4">
      <c r="I1369" s="11"/>
      <c r="J1369" s="9"/>
      <c r="K1369" s="9"/>
      <c r="O1369" s="11"/>
      <c r="P1369" s="9"/>
      <c r="Q1369" s="9"/>
      <c r="R1369" s="9"/>
      <c r="S1369" s="9"/>
      <c r="T1369" s="31"/>
      <c r="W1369" s="16"/>
      <c r="X1369" s="9"/>
      <c r="Y1369" s="9"/>
      <c r="AA1369" s="16"/>
      <c r="AK1369" s="16"/>
      <c r="AL1369" s="17"/>
      <c r="AN1369" s="16"/>
    </row>
    <row r="1370" spans="9:40" x14ac:dyDescent="0.4">
      <c r="I1370" s="11"/>
      <c r="J1370" s="9"/>
      <c r="K1370" s="9"/>
      <c r="O1370" s="11"/>
      <c r="P1370" s="9"/>
      <c r="Q1370" s="9"/>
      <c r="R1370" s="9"/>
      <c r="S1370" s="9"/>
      <c r="T1370" s="31"/>
      <c r="W1370" s="16"/>
      <c r="X1370" s="9"/>
      <c r="Y1370" s="9"/>
      <c r="AA1370" s="16"/>
      <c r="AK1370" s="16"/>
      <c r="AL1370" s="17"/>
      <c r="AN1370" s="16"/>
    </row>
    <row r="1371" spans="9:40" x14ac:dyDescent="0.4">
      <c r="I1371" s="11"/>
      <c r="J1371" s="9"/>
      <c r="K1371" s="9"/>
      <c r="O1371" s="11"/>
      <c r="P1371" s="9"/>
      <c r="Q1371" s="9"/>
      <c r="R1371" s="9"/>
      <c r="S1371" s="9"/>
      <c r="T1371" s="31"/>
      <c r="W1371" s="16"/>
      <c r="X1371" s="9"/>
      <c r="Y1371" s="9"/>
      <c r="AA1371" s="16"/>
      <c r="AK1371" s="16"/>
      <c r="AL1371" s="17"/>
      <c r="AN1371" s="16"/>
    </row>
    <row r="1372" spans="9:40" x14ac:dyDescent="0.4">
      <c r="I1372" s="11"/>
      <c r="J1372" s="9"/>
      <c r="K1372" s="9"/>
      <c r="O1372" s="11"/>
      <c r="P1372" s="9"/>
      <c r="Q1372" s="9"/>
      <c r="R1372" s="9"/>
      <c r="S1372" s="9"/>
      <c r="T1372" s="31"/>
      <c r="W1372" s="16"/>
      <c r="X1372" s="9"/>
      <c r="Y1372" s="9"/>
      <c r="AA1372" s="16"/>
      <c r="AK1372" s="16"/>
      <c r="AL1372" s="17"/>
      <c r="AN1372" s="16"/>
    </row>
    <row r="1373" spans="9:40" x14ac:dyDescent="0.4">
      <c r="I1373" s="11"/>
      <c r="J1373" s="9"/>
      <c r="K1373" s="9"/>
      <c r="O1373" s="11"/>
      <c r="P1373" s="9"/>
      <c r="Q1373" s="9"/>
      <c r="R1373" s="9"/>
      <c r="S1373" s="9"/>
      <c r="T1373" s="31"/>
      <c r="W1373" s="16"/>
      <c r="X1373" s="9"/>
      <c r="Y1373" s="9"/>
      <c r="AA1373" s="16"/>
      <c r="AK1373" s="16"/>
      <c r="AL1373" s="17"/>
      <c r="AN1373" s="16"/>
    </row>
    <row r="1374" spans="9:40" x14ac:dyDescent="0.4">
      <c r="I1374" s="11"/>
      <c r="J1374" s="9"/>
      <c r="K1374" s="9"/>
      <c r="O1374" s="11"/>
      <c r="P1374" s="9"/>
      <c r="Q1374" s="9"/>
      <c r="R1374" s="9"/>
      <c r="S1374" s="9"/>
      <c r="T1374" s="31"/>
      <c r="W1374" s="16"/>
      <c r="X1374" s="9"/>
      <c r="Y1374" s="9"/>
      <c r="AA1374" s="16"/>
      <c r="AK1374" s="16"/>
      <c r="AL1374" s="17"/>
      <c r="AN1374" s="16"/>
    </row>
    <row r="1375" spans="9:40" x14ac:dyDescent="0.4">
      <c r="I1375" s="11"/>
      <c r="J1375" s="9"/>
      <c r="K1375" s="9"/>
      <c r="O1375" s="11"/>
      <c r="P1375" s="9"/>
      <c r="Q1375" s="9"/>
      <c r="R1375" s="9"/>
      <c r="S1375" s="9"/>
      <c r="T1375" s="31"/>
      <c r="W1375" s="16"/>
      <c r="X1375" s="9"/>
      <c r="Y1375" s="9"/>
      <c r="AA1375" s="16"/>
      <c r="AK1375" s="16"/>
      <c r="AL1375" s="17"/>
      <c r="AN1375" s="16"/>
    </row>
    <row r="1376" spans="9:40" x14ac:dyDescent="0.4">
      <c r="I1376" s="11"/>
      <c r="J1376" s="9"/>
      <c r="K1376" s="9"/>
      <c r="O1376" s="11"/>
      <c r="P1376" s="9"/>
      <c r="Q1376" s="9"/>
      <c r="R1376" s="9"/>
      <c r="S1376" s="9"/>
      <c r="T1376" s="31"/>
      <c r="W1376" s="16"/>
      <c r="X1376" s="9"/>
      <c r="Y1376" s="9"/>
      <c r="AA1376" s="16"/>
      <c r="AK1376" s="16"/>
      <c r="AL1376" s="17"/>
      <c r="AN1376" s="16"/>
    </row>
    <row r="1377" spans="9:40" x14ac:dyDescent="0.4">
      <c r="I1377" s="11"/>
      <c r="J1377" s="9"/>
      <c r="K1377" s="9"/>
      <c r="O1377" s="11"/>
      <c r="P1377" s="9"/>
      <c r="Q1377" s="9"/>
      <c r="R1377" s="9"/>
      <c r="S1377" s="9"/>
      <c r="T1377" s="31"/>
      <c r="W1377" s="16"/>
      <c r="X1377" s="9"/>
      <c r="Y1377" s="9"/>
      <c r="AA1377" s="16"/>
      <c r="AK1377" s="16"/>
      <c r="AL1377" s="17"/>
      <c r="AN1377" s="16"/>
    </row>
    <row r="1378" spans="9:40" x14ac:dyDescent="0.4">
      <c r="I1378" s="11"/>
      <c r="J1378" s="9"/>
      <c r="K1378" s="9"/>
      <c r="O1378" s="11"/>
      <c r="P1378" s="9"/>
      <c r="Q1378" s="9"/>
      <c r="R1378" s="9"/>
      <c r="S1378" s="9"/>
      <c r="T1378" s="31"/>
      <c r="W1378" s="16"/>
      <c r="X1378" s="9"/>
      <c r="Y1378" s="9"/>
      <c r="AA1378" s="16"/>
      <c r="AK1378" s="16"/>
      <c r="AL1378" s="17"/>
      <c r="AN1378" s="16"/>
    </row>
    <row r="1379" spans="9:40" x14ac:dyDescent="0.4">
      <c r="I1379" s="11"/>
      <c r="J1379" s="9"/>
      <c r="K1379" s="9"/>
      <c r="O1379" s="11"/>
      <c r="P1379" s="9"/>
      <c r="Q1379" s="9"/>
      <c r="R1379" s="9"/>
      <c r="S1379" s="9"/>
      <c r="T1379" s="31"/>
      <c r="W1379" s="16"/>
      <c r="X1379" s="9"/>
      <c r="Y1379" s="9"/>
      <c r="AA1379" s="16"/>
      <c r="AK1379" s="16"/>
      <c r="AL1379" s="17"/>
      <c r="AN1379" s="16"/>
    </row>
    <row r="1380" spans="9:40" x14ac:dyDescent="0.4">
      <c r="I1380" s="11"/>
      <c r="J1380" s="9"/>
      <c r="K1380" s="9"/>
      <c r="O1380" s="11"/>
      <c r="P1380" s="9"/>
      <c r="Q1380" s="9"/>
      <c r="R1380" s="9"/>
      <c r="S1380" s="9"/>
      <c r="T1380" s="31"/>
      <c r="W1380" s="16"/>
      <c r="X1380" s="9"/>
      <c r="Y1380" s="9"/>
      <c r="AA1380" s="16"/>
      <c r="AK1380" s="16"/>
      <c r="AL1380" s="17"/>
      <c r="AN1380" s="16"/>
    </row>
    <row r="1381" spans="9:40" x14ac:dyDescent="0.4">
      <c r="I1381" s="11"/>
      <c r="J1381" s="9"/>
      <c r="K1381" s="9"/>
      <c r="O1381" s="11"/>
      <c r="P1381" s="9"/>
      <c r="Q1381" s="9"/>
      <c r="R1381" s="9"/>
      <c r="S1381" s="9"/>
      <c r="T1381" s="31"/>
      <c r="W1381" s="16"/>
      <c r="X1381" s="9"/>
      <c r="Y1381" s="9"/>
      <c r="AA1381" s="16"/>
      <c r="AK1381" s="16"/>
      <c r="AL1381" s="17"/>
      <c r="AN1381" s="16"/>
    </row>
    <row r="1382" spans="9:40" x14ac:dyDescent="0.4">
      <c r="I1382" s="11"/>
      <c r="J1382" s="9"/>
      <c r="K1382" s="9"/>
      <c r="O1382" s="11"/>
      <c r="P1382" s="9"/>
      <c r="Q1382" s="9"/>
      <c r="R1382" s="9"/>
      <c r="S1382" s="9"/>
      <c r="T1382" s="31"/>
      <c r="W1382" s="16"/>
      <c r="X1382" s="9"/>
      <c r="Y1382" s="9"/>
      <c r="AA1382" s="16"/>
      <c r="AK1382" s="16"/>
      <c r="AL1382" s="17"/>
      <c r="AN1382" s="16"/>
    </row>
    <row r="1383" spans="9:40" x14ac:dyDescent="0.4">
      <c r="I1383" s="11"/>
      <c r="J1383" s="9"/>
      <c r="K1383" s="9"/>
      <c r="O1383" s="11"/>
      <c r="P1383" s="9"/>
      <c r="Q1383" s="9"/>
      <c r="R1383" s="9"/>
      <c r="S1383" s="9"/>
      <c r="T1383" s="31"/>
      <c r="W1383" s="16"/>
      <c r="X1383" s="9"/>
      <c r="Y1383" s="9"/>
      <c r="AA1383" s="16"/>
      <c r="AK1383" s="16"/>
      <c r="AL1383" s="17"/>
      <c r="AN1383" s="16"/>
    </row>
    <row r="1384" spans="9:40" x14ac:dyDescent="0.4">
      <c r="I1384" s="11"/>
      <c r="J1384" s="9"/>
      <c r="K1384" s="9"/>
      <c r="O1384" s="11"/>
      <c r="P1384" s="9"/>
      <c r="Q1384" s="9"/>
      <c r="R1384" s="9"/>
      <c r="S1384" s="9"/>
      <c r="T1384" s="31"/>
      <c r="W1384" s="16"/>
      <c r="X1384" s="9"/>
      <c r="Y1384" s="9"/>
      <c r="AA1384" s="16"/>
      <c r="AK1384" s="16"/>
      <c r="AL1384" s="17"/>
      <c r="AN1384" s="16"/>
    </row>
    <row r="1385" spans="9:40" x14ac:dyDescent="0.4">
      <c r="I1385" s="11"/>
      <c r="J1385" s="9"/>
      <c r="K1385" s="9"/>
      <c r="O1385" s="11"/>
      <c r="P1385" s="9"/>
      <c r="Q1385" s="9"/>
      <c r="R1385" s="9"/>
      <c r="S1385" s="9"/>
      <c r="T1385" s="31"/>
      <c r="W1385" s="16"/>
      <c r="X1385" s="9"/>
      <c r="Y1385" s="9"/>
      <c r="AA1385" s="16"/>
      <c r="AK1385" s="16"/>
      <c r="AL1385" s="17"/>
      <c r="AN1385" s="16"/>
    </row>
    <row r="1386" spans="9:40" x14ac:dyDescent="0.4">
      <c r="I1386" s="11"/>
      <c r="J1386" s="9"/>
      <c r="K1386" s="9"/>
      <c r="O1386" s="11"/>
      <c r="P1386" s="9"/>
      <c r="Q1386" s="9"/>
      <c r="R1386" s="9"/>
      <c r="S1386" s="9"/>
      <c r="T1386" s="31"/>
      <c r="W1386" s="16"/>
      <c r="X1386" s="9"/>
      <c r="Y1386" s="9"/>
      <c r="AA1386" s="16"/>
      <c r="AK1386" s="16"/>
      <c r="AL1386" s="17"/>
      <c r="AN1386" s="16"/>
    </row>
    <row r="1387" spans="9:40" x14ac:dyDescent="0.4">
      <c r="I1387" s="11"/>
      <c r="J1387" s="9"/>
      <c r="K1387" s="9"/>
      <c r="O1387" s="11"/>
      <c r="P1387" s="9"/>
      <c r="Q1387" s="9"/>
      <c r="R1387" s="9"/>
      <c r="S1387" s="9"/>
      <c r="T1387" s="31"/>
      <c r="W1387" s="16"/>
      <c r="X1387" s="9"/>
      <c r="Y1387" s="9"/>
      <c r="AA1387" s="16"/>
      <c r="AK1387" s="16"/>
      <c r="AL1387" s="17"/>
      <c r="AN1387" s="16"/>
    </row>
    <row r="1388" spans="9:40" x14ac:dyDescent="0.4">
      <c r="I1388" s="11"/>
      <c r="J1388" s="9"/>
      <c r="K1388" s="9"/>
      <c r="O1388" s="11"/>
      <c r="P1388" s="9"/>
      <c r="Q1388" s="9"/>
      <c r="R1388" s="9"/>
      <c r="S1388" s="9"/>
      <c r="T1388" s="31"/>
      <c r="W1388" s="16"/>
      <c r="X1388" s="9"/>
      <c r="Y1388" s="9"/>
      <c r="AA1388" s="16"/>
      <c r="AK1388" s="16"/>
      <c r="AL1388" s="17"/>
      <c r="AN1388" s="16"/>
    </row>
    <row r="1389" spans="9:40" x14ac:dyDescent="0.4">
      <c r="I1389" s="11"/>
      <c r="J1389" s="9"/>
      <c r="K1389" s="9"/>
      <c r="O1389" s="11"/>
      <c r="P1389" s="9"/>
      <c r="Q1389" s="9"/>
      <c r="R1389" s="9"/>
      <c r="S1389" s="9"/>
      <c r="T1389" s="31"/>
      <c r="W1389" s="16"/>
      <c r="X1389" s="9"/>
      <c r="Y1389" s="9"/>
      <c r="AA1389" s="16"/>
      <c r="AK1389" s="16"/>
      <c r="AL1389" s="17"/>
      <c r="AN1389" s="16"/>
    </row>
    <row r="1390" spans="9:40" x14ac:dyDescent="0.4">
      <c r="I1390" s="11"/>
      <c r="J1390" s="9"/>
      <c r="K1390" s="9"/>
      <c r="O1390" s="11"/>
      <c r="P1390" s="9"/>
      <c r="Q1390" s="9"/>
      <c r="R1390" s="9"/>
      <c r="S1390" s="9"/>
      <c r="T1390" s="31"/>
      <c r="W1390" s="16"/>
      <c r="X1390" s="9"/>
      <c r="Y1390" s="9"/>
      <c r="AA1390" s="16"/>
      <c r="AK1390" s="16"/>
      <c r="AL1390" s="17"/>
      <c r="AN1390" s="16"/>
    </row>
    <row r="1391" spans="9:40" x14ac:dyDescent="0.4">
      <c r="I1391" s="11"/>
      <c r="J1391" s="9"/>
      <c r="K1391" s="9"/>
      <c r="O1391" s="11"/>
      <c r="P1391" s="9"/>
      <c r="Q1391" s="9"/>
      <c r="R1391" s="9"/>
      <c r="S1391" s="9"/>
      <c r="T1391" s="31"/>
      <c r="W1391" s="16"/>
      <c r="X1391" s="9"/>
      <c r="Y1391" s="9"/>
      <c r="AA1391" s="16"/>
      <c r="AK1391" s="16"/>
      <c r="AL1391" s="17"/>
      <c r="AN1391" s="16"/>
    </row>
    <row r="1392" spans="9:40" x14ac:dyDescent="0.4">
      <c r="I1392" s="11"/>
      <c r="J1392" s="9"/>
      <c r="K1392" s="9"/>
      <c r="O1392" s="11"/>
      <c r="P1392" s="9"/>
      <c r="Q1392" s="9"/>
      <c r="R1392" s="9"/>
      <c r="S1392" s="9"/>
      <c r="T1392" s="31"/>
      <c r="W1392" s="16"/>
      <c r="X1392" s="9"/>
      <c r="Y1392" s="9"/>
      <c r="AA1392" s="16"/>
      <c r="AK1392" s="16"/>
      <c r="AL1392" s="17"/>
      <c r="AN1392" s="16"/>
    </row>
    <row r="1393" spans="9:40" x14ac:dyDescent="0.4">
      <c r="I1393" s="11"/>
      <c r="J1393" s="9"/>
      <c r="K1393" s="9"/>
      <c r="O1393" s="11"/>
      <c r="P1393" s="9"/>
      <c r="Q1393" s="9"/>
      <c r="R1393" s="9"/>
      <c r="S1393" s="9"/>
      <c r="T1393" s="31"/>
      <c r="W1393" s="16"/>
      <c r="X1393" s="9"/>
      <c r="Y1393" s="9"/>
      <c r="AA1393" s="16"/>
      <c r="AK1393" s="16"/>
      <c r="AL1393" s="17"/>
      <c r="AN1393" s="16"/>
    </row>
    <row r="1394" spans="9:40" x14ac:dyDescent="0.4">
      <c r="I1394" s="11"/>
      <c r="J1394" s="9"/>
      <c r="K1394" s="9"/>
      <c r="O1394" s="11"/>
      <c r="P1394" s="9"/>
      <c r="Q1394" s="9"/>
      <c r="R1394" s="9"/>
      <c r="S1394" s="9"/>
      <c r="T1394" s="31"/>
      <c r="W1394" s="16"/>
      <c r="X1394" s="9"/>
      <c r="Y1394" s="9"/>
      <c r="AA1394" s="16"/>
      <c r="AK1394" s="16"/>
      <c r="AL1394" s="17"/>
      <c r="AN1394" s="16"/>
    </row>
    <row r="1395" spans="9:40" x14ac:dyDescent="0.4">
      <c r="I1395" s="11"/>
      <c r="J1395" s="9"/>
      <c r="K1395" s="9"/>
      <c r="O1395" s="11"/>
      <c r="P1395" s="9"/>
      <c r="Q1395" s="9"/>
      <c r="R1395" s="9"/>
      <c r="S1395" s="9"/>
      <c r="T1395" s="31"/>
      <c r="W1395" s="16"/>
      <c r="X1395" s="9"/>
      <c r="Y1395" s="9"/>
      <c r="AA1395" s="16"/>
      <c r="AK1395" s="16"/>
      <c r="AL1395" s="17"/>
      <c r="AN1395" s="16"/>
    </row>
    <row r="1396" spans="9:40" x14ac:dyDescent="0.4">
      <c r="I1396" s="11"/>
      <c r="J1396" s="9"/>
      <c r="K1396" s="9"/>
      <c r="O1396" s="11"/>
      <c r="P1396" s="9"/>
      <c r="Q1396" s="9"/>
      <c r="R1396" s="9"/>
      <c r="S1396" s="9"/>
      <c r="T1396" s="31"/>
      <c r="W1396" s="16"/>
      <c r="X1396" s="9"/>
      <c r="Y1396" s="9"/>
      <c r="AA1396" s="16"/>
      <c r="AK1396" s="16"/>
      <c r="AL1396" s="17"/>
      <c r="AN1396" s="16"/>
    </row>
    <row r="1397" spans="9:40" x14ac:dyDescent="0.4">
      <c r="I1397" s="11"/>
      <c r="J1397" s="9"/>
      <c r="K1397" s="9"/>
      <c r="O1397" s="11"/>
      <c r="P1397" s="9"/>
      <c r="Q1397" s="9"/>
      <c r="R1397" s="9"/>
      <c r="S1397" s="9"/>
      <c r="T1397" s="31"/>
      <c r="W1397" s="16"/>
      <c r="X1397" s="9"/>
      <c r="Y1397" s="9"/>
      <c r="AA1397" s="16"/>
      <c r="AK1397" s="16"/>
      <c r="AL1397" s="17"/>
      <c r="AN1397" s="16"/>
    </row>
    <row r="1398" spans="9:40" x14ac:dyDescent="0.4">
      <c r="I1398" s="11"/>
      <c r="J1398" s="9"/>
      <c r="K1398" s="9"/>
      <c r="O1398" s="11"/>
      <c r="P1398" s="9"/>
      <c r="Q1398" s="9"/>
      <c r="R1398" s="9"/>
      <c r="S1398" s="9"/>
      <c r="T1398" s="31"/>
      <c r="W1398" s="16"/>
      <c r="X1398" s="9"/>
      <c r="Y1398" s="9"/>
      <c r="AA1398" s="16"/>
      <c r="AK1398" s="16"/>
      <c r="AL1398" s="17"/>
      <c r="AN1398" s="16"/>
    </row>
    <row r="1399" spans="9:40" x14ac:dyDescent="0.4">
      <c r="I1399" s="11"/>
      <c r="J1399" s="9"/>
      <c r="K1399" s="9"/>
      <c r="O1399" s="11"/>
      <c r="P1399" s="9"/>
      <c r="Q1399" s="9"/>
      <c r="R1399" s="9"/>
      <c r="S1399" s="9"/>
      <c r="T1399" s="31"/>
      <c r="W1399" s="16"/>
      <c r="X1399" s="9"/>
      <c r="Y1399" s="9"/>
      <c r="AA1399" s="16"/>
      <c r="AK1399" s="16"/>
      <c r="AL1399" s="17"/>
      <c r="AN1399" s="16"/>
    </row>
    <row r="1400" spans="9:40" x14ac:dyDescent="0.4">
      <c r="I1400" s="11"/>
      <c r="J1400" s="9"/>
      <c r="K1400" s="9"/>
      <c r="O1400" s="11"/>
      <c r="P1400" s="9"/>
      <c r="Q1400" s="9"/>
      <c r="R1400" s="9"/>
      <c r="S1400" s="9"/>
      <c r="T1400" s="31"/>
      <c r="W1400" s="16"/>
      <c r="X1400" s="9"/>
      <c r="Y1400" s="9"/>
      <c r="AA1400" s="16"/>
      <c r="AK1400" s="16"/>
      <c r="AL1400" s="17"/>
      <c r="AN1400" s="16"/>
    </row>
    <row r="1401" spans="9:40" x14ac:dyDescent="0.4">
      <c r="I1401" s="11"/>
      <c r="J1401" s="9"/>
      <c r="K1401" s="9"/>
      <c r="O1401" s="11"/>
      <c r="P1401" s="9"/>
      <c r="Q1401" s="9"/>
      <c r="R1401" s="9"/>
      <c r="S1401" s="9"/>
      <c r="T1401" s="31"/>
      <c r="W1401" s="16"/>
      <c r="X1401" s="9"/>
      <c r="Y1401" s="9"/>
      <c r="AA1401" s="16"/>
      <c r="AK1401" s="16"/>
      <c r="AL1401" s="17"/>
      <c r="AN1401" s="16"/>
    </row>
    <row r="1402" spans="9:40" x14ac:dyDescent="0.4">
      <c r="I1402" s="11"/>
      <c r="J1402" s="9"/>
      <c r="K1402" s="9"/>
      <c r="O1402" s="11"/>
      <c r="P1402" s="9"/>
      <c r="Q1402" s="9"/>
      <c r="R1402" s="9"/>
      <c r="S1402" s="9"/>
      <c r="T1402" s="31"/>
      <c r="W1402" s="16"/>
      <c r="X1402" s="9"/>
      <c r="Y1402" s="9"/>
      <c r="AA1402" s="16"/>
      <c r="AK1402" s="16"/>
      <c r="AL1402" s="17"/>
      <c r="AN1402" s="16"/>
    </row>
    <row r="1403" spans="9:40" x14ac:dyDescent="0.4">
      <c r="I1403" s="11"/>
      <c r="J1403" s="9"/>
      <c r="K1403" s="9"/>
      <c r="O1403" s="11"/>
      <c r="P1403" s="9"/>
      <c r="Q1403" s="9"/>
      <c r="R1403" s="9"/>
      <c r="S1403" s="9"/>
      <c r="T1403" s="31"/>
      <c r="W1403" s="16"/>
      <c r="X1403" s="9"/>
      <c r="Y1403" s="9"/>
      <c r="AA1403" s="16"/>
      <c r="AK1403" s="16"/>
      <c r="AL1403" s="17"/>
      <c r="AN1403" s="16"/>
    </row>
    <row r="1404" spans="9:40" x14ac:dyDescent="0.4">
      <c r="I1404" s="11"/>
      <c r="J1404" s="9"/>
      <c r="K1404" s="9"/>
      <c r="O1404" s="11"/>
      <c r="P1404" s="9"/>
      <c r="Q1404" s="9"/>
      <c r="R1404" s="9"/>
      <c r="S1404" s="9"/>
      <c r="T1404" s="31"/>
      <c r="W1404" s="16"/>
      <c r="X1404" s="9"/>
      <c r="Y1404" s="9"/>
      <c r="AA1404" s="16"/>
      <c r="AK1404" s="16"/>
      <c r="AL1404" s="17"/>
      <c r="AN1404" s="16"/>
    </row>
    <row r="1405" spans="9:40" x14ac:dyDescent="0.4">
      <c r="I1405" s="11"/>
      <c r="J1405" s="9"/>
      <c r="K1405" s="9"/>
      <c r="O1405" s="11"/>
      <c r="P1405" s="9"/>
      <c r="Q1405" s="9"/>
      <c r="R1405" s="9"/>
      <c r="S1405" s="9"/>
      <c r="T1405" s="31"/>
      <c r="W1405" s="16"/>
      <c r="X1405" s="9"/>
      <c r="Y1405" s="9"/>
      <c r="AA1405" s="16"/>
      <c r="AK1405" s="16"/>
      <c r="AL1405" s="17"/>
      <c r="AN1405" s="16"/>
    </row>
    <row r="1406" spans="9:40" x14ac:dyDescent="0.4">
      <c r="I1406" s="11"/>
      <c r="J1406" s="9"/>
      <c r="K1406" s="9"/>
      <c r="O1406" s="11"/>
      <c r="P1406" s="9"/>
      <c r="Q1406" s="9"/>
      <c r="R1406" s="9"/>
      <c r="S1406" s="9"/>
      <c r="T1406" s="31"/>
      <c r="W1406" s="16"/>
      <c r="X1406" s="9"/>
      <c r="Y1406" s="9"/>
      <c r="AA1406" s="16"/>
      <c r="AK1406" s="16"/>
      <c r="AL1406" s="17"/>
      <c r="AN1406" s="16"/>
    </row>
    <row r="1407" spans="9:40" x14ac:dyDescent="0.4">
      <c r="I1407" s="11"/>
      <c r="J1407" s="9"/>
      <c r="K1407" s="9"/>
      <c r="O1407" s="11"/>
      <c r="P1407" s="9"/>
      <c r="Q1407" s="9"/>
      <c r="R1407" s="9"/>
      <c r="S1407" s="9"/>
      <c r="T1407" s="31"/>
      <c r="W1407" s="16"/>
      <c r="X1407" s="9"/>
      <c r="Y1407" s="9"/>
      <c r="AA1407" s="16"/>
      <c r="AK1407" s="16"/>
      <c r="AL1407" s="17"/>
      <c r="AN1407" s="16"/>
    </row>
    <row r="1408" spans="9:40" x14ac:dyDescent="0.4">
      <c r="I1408" s="11"/>
      <c r="J1408" s="9"/>
      <c r="K1408" s="9"/>
      <c r="O1408" s="11"/>
      <c r="P1408" s="9"/>
      <c r="Q1408" s="9"/>
      <c r="R1408" s="9"/>
      <c r="S1408" s="9"/>
      <c r="T1408" s="31"/>
      <c r="W1408" s="16"/>
      <c r="X1408" s="9"/>
      <c r="Y1408" s="9"/>
      <c r="AA1408" s="16"/>
      <c r="AK1408" s="16"/>
      <c r="AL1408" s="17"/>
      <c r="AN1408" s="16"/>
    </row>
    <row r="1409" spans="9:40" x14ac:dyDescent="0.4">
      <c r="I1409" s="11"/>
      <c r="J1409" s="9"/>
      <c r="K1409" s="9"/>
      <c r="O1409" s="11"/>
      <c r="P1409" s="9"/>
      <c r="Q1409" s="9"/>
      <c r="R1409" s="9"/>
      <c r="S1409" s="9"/>
      <c r="T1409" s="31"/>
      <c r="W1409" s="16"/>
      <c r="X1409" s="9"/>
      <c r="Y1409" s="9"/>
      <c r="AA1409" s="16"/>
      <c r="AK1409" s="16"/>
      <c r="AL1409" s="17"/>
      <c r="AN1409" s="16"/>
    </row>
    <row r="1410" spans="9:40" x14ac:dyDescent="0.4">
      <c r="I1410" s="11"/>
      <c r="J1410" s="9"/>
      <c r="K1410" s="9"/>
      <c r="O1410" s="11"/>
      <c r="P1410" s="9"/>
      <c r="Q1410" s="9"/>
      <c r="R1410" s="9"/>
      <c r="S1410" s="9"/>
      <c r="T1410" s="31"/>
      <c r="W1410" s="16"/>
      <c r="X1410" s="9"/>
      <c r="Y1410" s="9"/>
      <c r="AA1410" s="16"/>
      <c r="AK1410" s="16"/>
      <c r="AL1410" s="17"/>
      <c r="AN1410" s="16"/>
    </row>
    <row r="1411" spans="9:40" x14ac:dyDescent="0.4">
      <c r="I1411" s="11"/>
      <c r="J1411" s="9"/>
      <c r="K1411" s="9"/>
      <c r="O1411" s="11"/>
      <c r="P1411" s="9"/>
      <c r="Q1411" s="9"/>
      <c r="R1411" s="9"/>
      <c r="S1411" s="9"/>
      <c r="T1411" s="31"/>
      <c r="W1411" s="16"/>
      <c r="X1411" s="9"/>
      <c r="Y1411" s="9"/>
      <c r="AA1411" s="16"/>
      <c r="AK1411" s="16"/>
      <c r="AL1411" s="17"/>
      <c r="AN1411" s="16"/>
    </row>
    <row r="1412" spans="9:40" x14ac:dyDescent="0.4">
      <c r="I1412" s="11"/>
      <c r="J1412" s="9"/>
      <c r="K1412" s="9"/>
      <c r="O1412" s="11"/>
      <c r="P1412" s="9"/>
      <c r="Q1412" s="9"/>
      <c r="R1412" s="9"/>
      <c r="S1412" s="9"/>
      <c r="T1412" s="31"/>
      <c r="W1412" s="16"/>
      <c r="X1412" s="9"/>
      <c r="Y1412" s="9"/>
      <c r="AA1412" s="16"/>
      <c r="AK1412" s="16"/>
      <c r="AL1412" s="17"/>
      <c r="AN1412" s="16"/>
    </row>
    <row r="1413" spans="9:40" x14ac:dyDescent="0.4">
      <c r="I1413" s="11"/>
      <c r="J1413" s="9"/>
      <c r="K1413" s="9"/>
      <c r="O1413" s="11"/>
      <c r="P1413" s="9"/>
      <c r="Q1413" s="9"/>
      <c r="R1413" s="9"/>
      <c r="S1413" s="9"/>
      <c r="T1413" s="31"/>
      <c r="W1413" s="16"/>
      <c r="X1413" s="9"/>
      <c r="Y1413" s="9"/>
      <c r="AA1413" s="16"/>
      <c r="AK1413" s="16"/>
      <c r="AL1413" s="17"/>
      <c r="AN1413" s="16"/>
    </row>
    <row r="1414" spans="9:40" x14ac:dyDescent="0.4">
      <c r="I1414" s="11"/>
      <c r="J1414" s="9"/>
      <c r="K1414" s="9"/>
      <c r="O1414" s="11"/>
      <c r="P1414" s="9"/>
      <c r="Q1414" s="9"/>
      <c r="R1414" s="9"/>
      <c r="S1414" s="9"/>
      <c r="T1414" s="31"/>
      <c r="W1414" s="16"/>
      <c r="X1414" s="9"/>
      <c r="Y1414" s="9"/>
      <c r="AA1414" s="16"/>
      <c r="AK1414" s="16"/>
      <c r="AL1414" s="17"/>
      <c r="AN1414" s="16"/>
    </row>
    <row r="1415" spans="9:40" x14ac:dyDescent="0.4">
      <c r="I1415" s="11"/>
      <c r="J1415" s="9"/>
      <c r="K1415" s="9"/>
      <c r="O1415" s="11"/>
      <c r="P1415" s="9"/>
      <c r="Q1415" s="9"/>
      <c r="R1415" s="9"/>
      <c r="S1415" s="9"/>
      <c r="T1415" s="31"/>
      <c r="W1415" s="16"/>
      <c r="X1415" s="9"/>
      <c r="Y1415" s="9"/>
      <c r="AA1415" s="16"/>
      <c r="AK1415" s="16"/>
      <c r="AL1415" s="17"/>
      <c r="AN1415" s="16"/>
    </row>
    <row r="1416" spans="9:40" x14ac:dyDescent="0.4">
      <c r="I1416" s="11"/>
      <c r="J1416" s="9"/>
      <c r="K1416" s="9"/>
      <c r="O1416" s="11"/>
      <c r="P1416" s="9"/>
      <c r="Q1416" s="9"/>
      <c r="R1416" s="9"/>
      <c r="S1416" s="9"/>
      <c r="T1416" s="31"/>
      <c r="W1416" s="16"/>
      <c r="X1416" s="9"/>
      <c r="Y1416" s="9"/>
      <c r="AA1416" s="16"/>
      <c r="AK1416" s="16"/>
      <c r="AL1416" s="17"/>
      <c r="AN1416" s="16"/>
    </row>
    <row r="1417" spans="9:40" x14ac:dyDescent="0.4">
      <c r="I1417" s="11"/>
      <c r="J1417" s="9"/>
      <c r="K1417" s="9"/>
      <c r="O1417" s="11"/>
      <c r="P1417" s="9"/>
      <c r="Q1417" s="9"/>
      <c r="R1417" s="9"/>
      <c r="S1417" s="9"/>
      <c r="T1417" s="31"/>
      <c r="W1417" s="16"/>
      <c r="X1417" s="9"/>
      <c r="Y1417" s="9"/>
      <c r="AA1417" s="16"/>
      <c r="AK1417" s="16"/>
      <c r="AL1417" s="17"/>
      <c r="AN1417" s="16"/>
    </row>
    <row r="1418" spans="9:40" x14ac:dyDescent="0.4">
      <c r="I1418" s="11"/>
      <c r="J1418" s="9"/>
      <c r="K1418" s="9"/>
      <c r="O1418" s="11"/>
      <c r="P1418" s="9"/>
      <c r="Q1418" s="9"/>
      <c r="R1418" s="9"/>
      <c r="S1418" s="9"/>
      <c r="T1418" s="31"/>
      <c r="W1418" s="16"/>
      <c r="X1418" s="9"/>
      <c r="Y1418" s="9"/>
      <c r="AA1418" s="16"/>
      <c r="AK1418" s="16"/>
      <c r="AL1418" s="17"/>
      <c r="AN1418" s="16"/>
    </row>
    <row r="1419" spans="9:40" x14ac:dyDescent="0.4">
      <c r="I1419" s="11"/>
      <c r="J1419" s="9"/>
      <c r="K1419" s="9"/>
      <c r="O1419" s="11"/>
      <c r="P1419" s="9"/>
      <c r="Q1419" s="9"/>
      <c r="R1419" s="9"/>
      <c r="S1419" s="9"/>
      <c r="T1419" s="31"/>
      <c r="W1419" s="16"/>
      <c r="X1419" s="9"/>
      <c r="Y1419" s="9"/>
      <c r="AA1419" s="16"/>
      <c r="AK1419" s="16"/>
      <c r="AL1419" s="17"/>
      <c r="AN1419" s="16"/>
    </row>
    <row r="1420" spans="9:40" x14ac:dyDescent="0.4">
      <c r="I1420" s="11"/>
      <c r="J1420" s="9"/>
      <c r="K1420" s="9"/>
      <c r="O1420" s="11"/>
      <c r="P1420" s="9"/>
      <c r="Q1420" s="9"/>
      <c r="R1420" s="9"/>
      <c r="S1420" s="9"/>
      <c r="T1420" s="31"/>
      <c r="W1420" s="16"/>
      <c r="X1420" s="9"/>
      <c r="Y1420" s="9"/>
      <c r="AA1420" s="16"/>
      <c r="AK1420" s="16"/>
      <c r="AL1420" s="17"/>
      <c r="AN1420" s="16"/>
    </row>
    <row r="1421" spans="9:40" x14ac:dyDescent="0.4">
      <c r="I1421" s="11"/>
      <c r="J1421" s="9"/>
      <c r="K1421" s="9"/>
      <c r="O1421" s="11"/>
      <c r="P1421" s="9"/>
      <c r="Q1421" s="9"/>
      <c r="R1421" s="9"/>
      <c r="S1421" s="9"/>
      <c r="T1421" s="31"/>
      <c r="W1421" s="16"/>
      <c r="X1421" s="9"/>
      <c r="Y1421" s="9"/>
      <c r="AA1421" s="16"/>
      <c r="AK1421" s="16"/>
      <c r="AL1421" s="17"/>
      <c r="AN1421" s="16"/>
    </row>
    <row r="1422" spans="9:40" x14ac:dyDescent="0.4">
      <c r="I1422" s="11"/>
      <c r="J1422" s="9"/>
      <c r="K1422" s="9"/>
      <c r="O1422" s="11"/>
      <c r="P1422" s="9"/>
      <c r="Q1422" s="9"/>
      <c r="R1422" s="9"/>
      <c r="S1422" s="9"/>
      <c r="T1422" s="31"/>
      <c r="W1422" s="16"/>
      <c r="X1422" s="9"/>
      <c r="Y1422" s="9"/>
      <c r="AA1422" s="16"/>
      <c r="AK1422" s="16"/>
      <c r="AL1422" s="17"/>
      <c r="AN1422" s="16"/>
    </row>
    <row r="1423" spans="9:40" x14ac:dyDescent="0.4">
      <c r="I1423" s="11"/>
      <c r="J1423" s="9"/>
      <c r="K1423" s="9"/>
      <c r="O1423" s="11"/>
      <c r="P1423" s="9"/>
      <c r="Q1423" s="9"/>
      <c r="R1423" s="9"/>
      <c r="S1423" s="9"/>
      <c r="T1423" s="31"/>
      <c r="W1423" s="16"/>
      <c r="X1423" s="9"/>
      <c r="Y1423" s="9"/>
      <c r="AA1423" s="16"/>
      <c r="AK1423" s="16"/>
      <c r="AL1423" s="17"/>
      <c r="AN1423" s="16"/>
    </row>
    <row r="1424" spans="9:40" x14ac:dyDescent="0.4">
      <c r="I1424" s="11"/>
      <c r="J1424" s="9"/>
      <c r="K1424" s="9"/>
      <c r="O1424" s="11"/>
      <c r="P1424" s="9"/>
      <c r="Q1424" s="9"/>
      <c r="R1424" s="9"/>
      <c r="S1424" s="9"/>
      <c r="T1424" s="31"/>
      <c r="W1424" s="16"/>
      <c r="X1424" s="9"/>
      <c r="Y1424" s="9"/>
      <c r="AA1424" s="16"/>
      <c r="AK1424" s="16"/>
      <c r="AL1424" s="17"/>
      <c r="AN1424" s="16"/>
    </row>
    <row r="1425" spans="9:40" x14ac:dyDescent="0.4">
      <c r="I1425" s="11"/>
      <c r="J1425" s="9"/>
      <c r="K1425" s="9"/>
      <c r="O1425" s="11"/>
      <c r="P1425" s="9"/>
      <c r="Q1425" s="9"/>
      <c r="R1425" s="9"/>
      <c r="S1425" s="9"/>
      <c r="T1425" s="31"/>
      <c r="W1425" s="16"/>
      <c r="X1425" s="9"/>
      <c r="Y1425" s="9"/>
      <c r="AA1425" s="16"/>
      <c r="AK1425" s="16"/>
      <c r="AL1425" s="17"/>
      <c r="AN1425" s="16"/>
    </row>
    <row r="1426" spans="9:40" x14ac:dyDescent="0.4">
      <c r="I1426" s="11"/>
      <c r="J1426" s="9"/>
      <c r="K1426" s="9"/>
      <c r="O1426" s="11"/>
      <c r="P1426" s="9"/>
      <c r="Q1426" s="9"/>
      <c r="R1426" s="9"/>
      <c r="S1426" s="9"/>
      <c r="T1426" s="31"/>
      <c r="W1426" s="16"/>
      <c r="X1426" s="9"/>
      <c r="Y1426" s="9"/>
      <c r="AA1426" s="16"/>
      <c r="AK1426" s="16"/>
      <c r="AL1426" s="17"/>
      <c r="AN1426" s="16"/>
    </row>
    <row r="1427" spans="9:40" x14ac:dyDescent="0.4">
      <c r="I1427" s="11"/>
      <c r="J1427" s="9"/>
      <c r="K1427" s="9"/>
      <c r="O1427" s="11"/>
      <c r="P1427" s="9"/>
      <c r="Q1427" s="9"/>
      <c r="R1427" s="9"/>
      <c r="S1427" s="9"/>
      <c r="T1427" s="31"/>
      <c r="W1427" s="16"/>
      <c r="X1427" s="9"/>
      <c r="Y1427" s="9"/>
      <c r="AA1427" s="16"/>
      <c r="AK1427" s="16"/>
      <c r="AL1427" s="17"/>
      <c r="AN1427" s="16"/>
    </row>
    <row r="1428" spans="9:40" x14ac:dyDescent="0.4">
      <c r="I1428" s="11"/>
      <c r="J1428" s="9"/>
      <c r="K1428" s="9"/>
      <c r="O1428" s="11"/>
      <c r="P1428" s="9"/>
      <c r="Q1428" s="9"/>
      <c r="R1428" s="9"/>
      <c r="S1428" s="9"/>
      <c r="T1428" s="31"/>
      <c r="W1428" s="16"/>
      <c r="X1428" s="9"/>
      <c r="Y1428" s="9"/>
      <c r="AA1428" s="16"/>
      <c r="AK1428" s="16"/>
      <c r="AL1428" s="17"/>
      <c r="AN1428" s="16"/>
    </row>
    <row r="1429" spans="9:40" x14ac:dyDescent="0.4">
      <c r="I1429" s="11"/>
      <c r="J1429" s="9"/>
      <c r="K1429" s="9"/>
      <c r="O1429" s="11"/>
      <c r="P1429" s="9"/>
      <c r="Q1429" s="9"/>
      <c r="R1429" s="9"/>
      <c r="S1429" s="9"/>
      <c r="T1429" s="31"/>
      <c r="W1429" s="16"/>
      <c r="X1429" s="9"/>
      <c r="Y1429" s="9"/>
      <c r="AA1429" s="16"/>
      <c r="AK1429" s="16"/>
      <c r="AL1429" s="17"/>
      <c r="AN1429" s="16"/>
    </row>
    <row r="1430" spans="9:40" x14ac:dyDescent="0.4">
      <c r="I1430" s="11"/>
      <c r="J1430" s="9"/>
      <c r="K1430" s="9"/>
      <c r="O1430" s="11"/>
      <c r="P1430" s="9"/>
      <c r="Q1430" s="9"/>
      <c r="R1430" s="9"/>
      <c r="S1430" s="9"/>
      <c r="T1430" s="31"/>
      <c r="W1430" s="16"/>
      <c r="X1430" s="9"/>
      <c r="Y1430" s="9"/>
      <c r="AA1430" s="16"/>
      <c r="AK1430" s="16"/>
      <c r="AL1430" s="17"/>
      <c r="AN1430" s="16"/>
    </row>
    <row r="1431" spans="9:40" x14ac:dyDescent="0.4">
      <c r="I1431" s="11"/>
      <c r="J1431" s="9"/>
      <c r="K1431" s="9"/>
      <c r="O1431" s="11"/>
      <c r="P1431" s="9"/>
      <c r="Q1431" s="9"/>
      <c r="R1431" s="9"/>
      <c r="S1431" s="9"/>
      <c r="T1431" s="31"/>
      <c r="W1431" s="16"/>
      <c r="X1431" s="9"/>
      <c r="Y1431" s="9"/>
      <c r="AA1431" s="16"/>
      <c r="AK1431" s="16"/>
      <c r="AL1431" s="17"/>
      <c r="AN1431" s="16"/>
    </row>
    <row r="1432" spans="9:40" x14ac:dyDescent="0.4">
      <c r="I1432" s="11"/>
      <c r="J1432" s="9"/>
      <c r="K1432" s="9"/>
      <c r="O1432" s="11"/>
      <c r="P1432" s="9"/>
      <c r="Q1432" s="9"/>
      <c r="R1432" s="9"/>
      <c r="S1432" s="9"/>
      <c r="T1432" s="31"/>
      <c r="W1432" s="16"/>
      <c r="X1432" s="9"/>
      <c r="Y1432" s="9"/>
      <c r="AA1432" s="16"/>
      <c r="AK1432" s="16"/>
      <c r="AL1432" s="17"/>
      <c r="AN1432" s="16"/>
    </row>
    <row r="1433" spans="9:40" x14ac:dyDescent="0.4">
      <c r="I1433" s="11"/>
      <c r="J1433" s="9"/>
      <c r="K1433" s="9"/>
      <c r="O1433" s="11"/>
      <c r="P1433" s="9"/>
      <c r="Q1433" s="9"/>
      <c r="R1433" s="9"/>
      <c r="S1433" s="9"/>
      <c r="T1433" s="31"/>
      <c r="W1433" s="16"/>
      <c r="X1433" s="9"/>
      <c r="Y1433" s="9"/>
      <c r="AA1433" s="16"/>
      <c r="AK1433" s="16"/>
      <c r="AL1433" s="17"/>
      <c r="AN1433" s="16"/>
    </row>
    <row r="1434" spans="9:40" x14ac:dyDescent="0.4">
      <c r="I1434" s="11"/>
      <c r="J1434" s="9"/>
      <c r="K1434" s="9"/>
      <c r="O1434" s="11"/>
      <c r="P1434" s="9"/>
      <c r="Q1434" s="9"/>
      <c r="R1434" s="9"/>
      <c r="S1434" s="9"/>
      <c r="T1434" s="31"/>
      <c r="W1434" s="16"/>
      <c r="X1434" s="9"/>
      <c r="Y1434" s="9"/>
      <c r="AA1434" s="16"/>
      <c r="AK1434" s="16"/>
      <c r="AL1434" s="17"/>
      <c r="AN1434" s="16"/>
    </row>
    <row r="1435" spans="9:40" x14ac:dyDescent="0.4">
      <c r="I1435" s="11"/>
      <c r="J1435" s="9"/>
      <c r="K1435" s="9"/>
      <c r="O1435" s="11"/>
      <c r="P1435" s="9"/>
      <c r="Q1435" s="9"/>
      <c r="R1435" s="9"/>
      <c r="S1435" s="9"/>
      <c r="T1435" s="31"/>
      <c r="W1435" s="16"/>
      <c r="X1435" s="9"/>
      <c r="Y1435" s="9"/>
      <c r="AA1435" s="16"/>
      <c r="AK1435" s="16"/>
      <c r="AL1435" s="17"/>
      <c r="AN1435" s="16"/>
    </row>
    <row r="1436" spans="9:40" x14ac:dyDescent="0.4">
      <c r="I1436" s="11"/>
      <c r="J1436" s="9"/>
      <c r="K1436" s="9"/>
      <c r="O1436" s="11"/>
      <c r="P1436" s="9"/>
      <c r="Q1436" s="9"/>
      <c r="R1436" s="9"/>
      <c r="S1436" s="9"/>
      <c r="T1436" s="31"/>
      <c r="W1436" s="16"/>
      <c r="X1436" s="9"/>
      <c r="Y1436" s="9"/>
      <c r="AA1436" s="16"/>
      <c r="AK1436" s="16"/>
      <c r="AL1436" s="17"/>
      <c r="AN1436" s="16"/>
    </row>
    <row r="1437" spans="9:40" x14ac:dyDescent="0.4">
      <c r="I1437" s="11"/>
      <c r="J1437" s="9"/>
      <c r="K1437" s="9"/>
      <c r="O1437" s="11"/>
      <c r="P1437" s="9"/>
      <c r="Q1437" s="9"/>
      <c r="R1437" s="9"/>
      <c r="S1437" s="9"/>
      <c r="T1437" s="31"/>
      <c r="W1437" s="16"/>
      <c r="X1437" s="9"/>
      <c r="Y1437" s="9"/>
      <c r="AA1437" s="16"/>
      <c r="AK1437" s="16"/>
      <c r="AL1437" s="17"/>
      <c r="AN1437" s="16"/>
    </row>
    <row r="1438" spans="9:40" x14ac:dyDescent="0.4">
      <c r="I1438" s="11"/>
      <c r="J1438" s="9"/>
      <c r="K1438" s="9"/>
      <c r="O1438" s="11"/>
      <c r="P1438" s="9"/>
      <c r="Q1438" s="9"/>
      <c r="R1438" s="9"/>
      <c r="S1438" s="9"/>
      <c r="T1438" s="31"/>
      <c r="W1438" s="16"/>
      <c r="X1438" s="9"/>
      <c r="Y1438" s="9"/>
      <c r="AA1438" s="16"/>
      <c r="AK1438" s="16"/>
      <c r="AL1438" s="17"/>
      <c r="AN1438" s="16"/>
    </row>
    <row r="1439" spans="9:40" x14ac:dyDescent="0.4">
      <c r="I1439" s="11"/>
      <c r="J1439" s="9"/>
      <c r="K1439" s="9"/>
      <c r="O1439" s="11"/>
      <c r="P1439" s="9"/>
      <c r="Q1439" s="9"/>
      <c r="R1439" s="9"/>
      <c r="S1439" s="9"/>
      <c r="T1439" s="31"/>
      <c r="W1439" s="16"/>
      <c r="X1439" s="9"/>
      <c r="Y1439" s="9"/>
      <c r="AA1439" s="16"/>
      <c r="AK1439" s="16"/>
      <c r="AL1439" s="17"/>
      <c r="AN1439" s="16"/>
    </row>
    <row r="1440" spans="9:40" x14ac:dyDescent="0.4">
      <c r="I1440" s="11"/>
      <c r="J1440" s="9"/>
      <c r="K1440" s="9"/>
      <c r="O1440" s="11"/>
      <c r="P1440" s="9"/>
      <c r="Q1440" s="9"/>
      <c r="R1440" s="9"/>
      <c r="S1440" s="9"/>
      <c r="T1440" s="31"/>
      <c r="W1440" s="16"/>
      <c r="X1440" s="9"/>
      <c r="Y1440" s="9"/>
      <c r="AA1440" s="16"/>
      <c r="AK1440" s="16"/>
      <c r="AL1440" s="17"/>
      <c r="AN1440" s="16"/>
    </row>
    <row r="1441" spans="9:40" x14ac:dyDescent="0.4">
      <c r="I1441" s="11"/>
      <c r="J1441" s="9"/>
      <c r="K1441" s="9"/>
      <c r="O1441" s="11"/>
      <c r="P1441" s="9"/>
      <c r="Q1441" s="9"/>
      <c r="R1441" s="9"/>
      <c r="S1441" s="9"/>
      <c r="T1441" s="31"/>
      <c r="W1441" s="16"/>
      <c r="X1441" s="9"/>
      <c r="Y1441" s="9"/>
      <c r="AA1441" s="16"/>
      <c r="AK1441" s="16"/>
      <c r="AL1441" s="17"/>
      <c r="AN1441" s="16"/>
    </row>
    <row r="1442" spans="9:40" x14ac:dyDescent="0.4">
      <c r="I1442" s="11"/>
      <c r="J1442" s="9"/>
      <c r="K1442" s="9"/>
      <c r="O1442" s="11"/>
      <c r="P1442" s="9"/>
      <c r="Q1442" s="9"/>
      <c r="R1442" s="9"/>
      <c r="S1442" s="9"/>
      <c r="T1442" s="31"/>
      <c r="W1442" s="16"/>
      <c r="X1442" s="9"/>
      <c r="Y1442" s="9"/>
      <c r="AA1442" s="16"/>
      <c r="AK1442" s="16"/>
      <c r="AL1442" s="17"/>
      <c r="AN1442" s="16"/>
    </row>
    <row r="1443" spans="9:40" x14ac:dyDescent="0.4">
      <c r="I1443" s="11"/>
      <c r="J1443" s="9"/>
      <c r="K1443" s="9"/>
      <c r="O1443" s="11"/>
      <c r="P1443" s="9"/>
      <c r="Q1443" s="9"/>
      <c r="R1443" s="9"/>
      <c r="S1443" s="9"/>
      <c r="T1443" s="31"/>
      <c r="W1443" s="16"/>
      <c r="X1443" s="9"/>
      <c r="Y1443" s="9"/>
      <c r="AA1443" s="16"/>
      <c r="AK1443" s="16"/>
      <c r="AL1443" s="17"/>
      <c r="AN1443" s="16"/>
    </row>
    <row r="1444" spans="9:40" x14ac:dyDescent="0.4">
      <c r="I1444" s="11"/>
      <c r="J1444" s="9"/>
      <c r="K1444" s="9"/>
      <c r="O1444" s="11"/>
      <c r="P1444" s="9"/>
      <c r="Q1444" s="9"/>
      <c r="R1444" s="9"/>
      <c r="S1444" s="9"/>
      <c r="T1444" s="31"/>
      <c r="W1444" s="16"/>
      <c r="X1444" s="9"/>
      <c r="Y1444" s="9"/>
      <c r="AA1444" s="16"/>
      <c r="AK1444" s="16"/>
      <c r="AL1444" s="17"/>
      <c r="AN1444" s="16"/>
    </row>
    <row r="1445" spans="9:40" x14ac:dyDescent="0.4">
      <c r="I1445" s="11"/>
      <c r="J1445" s="9"/>
      <c r="K1445" s="9"/>
      <c r="O1445" s="11"/>
      <c r="P1445" s="9"/>
      <c r="Q1445" s="9"/>
      <c r="R1445" s="9"/>
      <c r="S1445" s="9"/>
      <c r="T1445" s="31"/>
      <c r="W1445" s="16"/>
      <c r="X1445" s="9"/>
      <c r="Y1445" s="9"/>
      <c r="AA1445" s="16"/>
      <c r="AK1445" s="16"/>
      <c r="AL1445" s="17"/>
      <c r="AN1445" s="16"/>
    </row>
    <row r="1446" spans="9:40" x14ac:dyDescent="0.4">
      <c r="I1446" s="11"/>
      <c r="J1446" s="9"/>
      <c r="K1446" s="9"/>
      <c r="O1446" s="11"/>
      <c r="P1446" s="9"/>
      <c r="Q1446" s="9"/>
      <c r="R1446" s="9"/>
      <c r="S1446" s="9"/>
      <c r="T1446" s="31"/>
      <c r="W1446" s="16"/>
      <c r="X1446" s="9"/>
      <c r="Y1446" s="9"/>
      <c r="AA1446" s="16"/>
      <c r="AK1446" s="16"/>
      <c r="AL1446" s="17"/>
      <c r="AN1446" s="16"/>
    </row>
    <row r="1447" spans="9:40" x14ac:dyDescent="0.4">
      <c r="I1447" s="11"/>
      <c r="J1447" s="9"/>
      <c r="K1447" s="9"/>
      <c r="O1447" s="11"/>
      <c r="P1447" s="9"/>
      <c r="Q1447" s="9"/>
      <c r="R1447" s="9"/>
      <c r="S1447" s="9"/>
      <c r="T1447" s="31"/>
      <c r="W1447" s="16"/>
      <c r="X1447" s="9"/>
      <c r="Y1447" s="9"/>
      <c r="AA1447" s="16"/>
      <c r="AK1447" s="16"/>
      <c r="AL1447" s="17"/>
      <c r="AN1447" s="16"/>
    </row>
    <row r="1448" spans="9:40" x14ac:dyDescent="0.4">
      <c r="I1448" s="11"/>
      <c r="J1448" s="9"/>
      <c r="K1448" s="9"/>
      <c r="O1448" s="11"/>
      <c r="P1448" s="9"/>
      <c r="Q1448" s="9"/>
      <c r="R1448" s="9"/>
      <c r="S1448" s="9"/>
      <c r="T1448" s="31"/>
      <c r="W1448" s="16"/>
      <c r="X1448" s="9"/>
      <c r="Y1448" s="9"/>
      <c r="AA1448" s="16"/>
      <c r="AK1448" s="16"/>
      <c r="AL1448" s="17"/>
      <c r="AN1448" s="16"/>
    </row>
    <row r="1449" spans="9:40" x14ac:dyDescent="0.4">
      <c r="I1449" s="11"/>
      <c r="J1449" s="9"/>
      <c r="K1449" s="9"/>
      <c r="O1449" s="11"/>
      <c r="P1449" s="9"/>
      <c r="Q1449" s="9"/>
      <c r="R1449" s="9"/>
      <c r="S1449" s="9"/>
      <c r="T1449" s="31"/>
      <c r="W1449" s="16"/>
      <c r="X1449" s="9"/>
      <c r="Y1449" s="9"/>
      <c r="AA1449" s="16"/>
      <c r="AK1449" s="16"/>
      <c r="AL1449" s="17"/>
      <c r="AN1449" s="16"/>
    </row>
    <row r="1450" spans="9:40" x14ac:dyDescent="0.4">
      <c r="I1450" s="11"/>
      <c r="J1450" s="9"/>
      <c r="K1450" s="9"/>
      <c r="O1450" s="11"/>
      <c r="P1450" s="9"/>
      <c r="Q1450" s="9"/>
      <c r="R1450" s="9"/>
      <c r="S1450" s="9"/>
      <c r="T1450" s="31"/>
      <c r="W1450" s="16"/>
      <c r="X1450" s="9"/>
      <c r="Y1450" s="9"/>
      <c r="AA1450" s="16"/>
      <c r="AK1450" s="16"/>
      <c r="AL1450" s="17"/>
      <c r="AN1450" s="16"/>
    </row>
    <row r="1451" spans="9:40" x14ac:dyDescent="0.4">
      <c r="I1451" s="11"/>
      <c r="J1451" s="9"/>
      <c r="K1451" s="9"/>
      <c r="O1451" s="11"/>
      <c r="P1451" s="9"/>
      <c r="Q1451" s="9"/>
      <c r="R1451" s="9"/>
      <c r="S1451" s="9"/>
      <c r="T1451" s="31"/>
      <c r="W1451" s="16"/>
      <c r="X1451" s="9"/>
      <c r="Y1451" s="9"/>
      <c r="AA1451" s="16"/>
      <c r="AK1451" s="16"/>
      <c r="AL1451" s="17"/>
      <c r="AN1451" s="16"/>
    </row>
    <row r="1452" spans="9:40" x14ac:dyDescent="0.4">
      <c r="I1452" s="11"/>
      <c r="J1452" s="9"/>
      <c r="K1452" s="9"/>
      <c r="O1452" s="11"/>
      <c r="P1452" s="9"/>
      <c r="Q1452" s="9"/>
      <c r="R1452" s="9"/>
      <c r="S1452" s="9"/>
      <c r="T1452" s="31"/>
      <c r="W1452" s="16"/>
      <c r="X1452" s="9"/>
      <c r="Y1452" s="9"/>
      <c r="AA1452" s="16"/>
      <c r="AK1452" s="16"/>
      <c r="AL1452" s="17"/>
      <c r="AN1452" s="16"/>
    </row>
    <row r="1453" spans="9:40" x14ac:dyDescent="0.4">
      <c r="I1453" s="11"/>
      <c r="J1453" s="9"/>
      <c r="K1453" s="9"/>
      <c r="O1453" s="11"/>
      <c r="P1453" s="9"/>
      <c r="Q1453" s="9"/>
      <c r="R1453" s="9"/>
      <c r="S1453" s="9"/>
      <c r="T1453" s="31"/>
      <c r="W1453" s="16"/>
      <c r="X1453" s="9"/>
      <c r="Y1453" s="9"/>
      <c r="AA1453" s="16"/>
      <c r="AK1453" s="16"/>
      <c r="AL1453" s="17"/>
      <c r="AN1453" s="16"/>
    </row>
    <row r="1454" spans="9:40" x14ac:dyDescent="0.4">
      <c r="I1454" s="11"/>
      <c r="J1454" s="9"/>
      <c r="K1454" s="9"/>
      <c r="O1454" s="11"/>
      <c r="P1454" s="9"/>
      <c r="Q1454" s="9"/>
      <c r="R1454" s="9"/>
      <c r="S1454" s="9"/>
      <c r="T1454" s="31"/>
      <c r="W1454" s="16"/>
      <c r="X1454" s="9"/>
      <c r="Y1454" s="9"/>
      <c r="AA1454" s="16"/>
      <c r="AK1454" s="16"/>
      <c r="AL1454" s="17"/>
      <c r="AN1454" s="16"/>
    </row>
    <row r="1455" spans="9:40" x14ac:dyDescent="0.4">
      <c r="I1455" s="11"/>
      <c r="J1455" s="9"/>
      <c r="K1455" s="9"/>
      <c r="O1455" s="11"/>
      <c r="P1455" s="9"/>
      <c r="Q1455" s="9"/>
      <c r="R1455" s="9"/>
      <c r="S1455" s="9"/>
      <c r="T1455" s="31"/>
      <c r="W1455" s="16"/>
      <c r="X1455" s="9"/>
      <c r="Y1455" s="9"/>
      <c r="AA1455" s="16"/>
      <c r="AK1455" s="16"/>
      <c r="AL1455" s="17"/>
      <c r="AN1455" s="16"/>
    </row>
    <row r="1456" spans="9:40" x14ac:dyDescent="0.4">
      <c r="I1456" s="11"/>
      <c r="J1456" s="9"/>
      <c r="K1456" s="9"/>
      <c r="O1456" s="11"/>
      <c r="P1456" s="9"/>
      <c r="Q1456" s="9"/>
      <c r="R1456" s="9"/>
      <c r="S1456" s="9"/>
      <c r="T1456" s="31"/>
      <c r="W1456" s="16"/>
      <c r="X1456" s="9"/>
      <c r="Y1456" s="9"/>
      <c r="AA1456" s="16"/>
      <c r="AK1456" s="16"/>
      <c r="AL1456" s="17"/>
      <c r="AN1456" s="16"/>
    </row>
    <row r="1457" spans="9:40" x14ac:dyDescent="0.4">
      <c r="I1457" s="11"/>
      <c r="J1457" s="9"/>
      <c r="K1457" s="9"/>
      <c r="O1457" s="11"/>
      <c r="P1457" s="9"/>
      <c r="Q1457" s="9"/>
      <c r="R1457" s="9"/>
      <c r="S1457" s="9"/>
      <c r="T1457" s="31"/>
      <c r="W1457" s="16"/>
      <c r="X1457" s="9"/>
      <c r="Y1457" s="9"/>
      <c r="AA1457" s="16"/>
      <c r="AK1457" s="16"/>
      <c r="AL1457" s="17"/>
      <c r="AN1457" s="16"/>
    </row>
    <row r="1458" spans="9:40" x14ac:dyDescent="0.4">
      <c r="I1458" s="11"/>
      <c r="J1458" s="9"/>
      <c r="K1458" s="9"/>
      <c r="O1458" s="11"/>
      <c r="P1458" s="9"/>
      <c r="Q1458" s="9"/>
      <c r="R1458" s="9"/>
      <c r="S1458" s="9"/>
      <c r="T1458" s="31"/>
      <c r="W1458" s="16"/>
      <c r="X1458" s="9"/>
      <c r="Y1458" s="9"/>
      <c r="AA1458" s="16"/>
      <c r="AK1458" s="16"/>
      <c r="AL1458" s="17"/>
      <c r="AN1458" s="16"/>
    </row>
    <row r="1459" spans="9:40" x14ac:dyDescent="0.4">
      <c r="I1459" s="11"/>
      <c r="J1459" s="9"/>
      <c r="K1459" s="9"/>
      <c r="O1459" s="11"/>
      <c r="P1459" s="9"/>
      <c r="Q1459" s="9"/>
      <c r="R1459" s="9"/>
      <c r="S1459" s="9"/>
      <c r="T1459" s="31"/>
      <c r="W1459" s="16"/>
      <c r="X1459" s="9"/>
      <c r="Y1459" s="9"/>
      <c r="AA1459" s="16"/>
      <c r="AK1459" s="16"/>
      <c r="AL1459" s="17"/>
      <c r="AN1459" s="16"/>
    </row>
    <row r="1460" spans="9:40" x14ac:dyDescent="0.4">
      <c r="I1460" s="11"/>
      <c r="J1460" s="9"/>
      <c r="K1460" s="9"/>
      <c r="O1460" s="11"/>
      <c r="P1460" s="9"/>
      <c r="Q1460" s="9"/>
      <c r="R1460" s="9"/>
      <c r="S1460" s="9"/>
      <c r="T1460" s="31"/>
      <c r="W1460" s="16"/>
      <c r="X1460" s="9"/>
      <c r="Y1460" s="9"/>
      <c r="AA1460" s="16"/>
      <c r="AK1460" s="16"/>
      <c r="AL1460" s="17"/>
      <c r="AN1460" s="16"/>
    </row>
    <row r="1461" spans="9:40" x14ac:dyDescent="0.4">
      <c r="I1461" s="11"/>
      <c r="J1461" s="9"/>
      <c r="K1461" s="9"/>
      <c r="O1461" s="11"/>
      <c r="P1461" s="9"/>
      <c r="Q1461" s="9"/>
      <c r="R1461" s="9"/>
      <c r="S1461" s="9"/>
      <c r="T1461" s="31"/>
      <c r="W1461" s="16"/>
      <c r="X1461" s="9"/>
      <c r="Y1461" s="9"/>
      <c r="AA1461" s="16"/>
      <c r="AK1461" s="16"/>
      <c r="AL1461" s="17"/>
      <c r="AN1461" s="16"/>
    </row>
    <row r="1462" spans="9:40" x14ac:dyDescent="0.4">
      <c r="I1462" s="11"/>
      <c r="J1462" s="9"/>
      <c r="K1462" s="9"/>
      <c r="O1462" s="11"/>
      <c r="P1462" s="9"/>
      <c r="Q1462" s="9"/>
      <c r="R1462" s="9"/>
      <c r="S1462" s="9"/>
      <c r="T1462" s="31"/>
      <c r="W1462" s="16"/>
      <c r="X1462" s="9"/>
      <c r="Y1462" s="9"/>
      <c r="AA1462" s="16"/>
      <c r="AK1462" s="16"/>
      <c r="AL1462" s="17"/>
      <c r="AN1462" s="16"/>
    </row>
    <row r="1463" spans="9:40" x14ac:dyDescent="0.4">
      <c r="I1463" s="11"/>
      <c r="J1463" s="9"/>
      <c r="K1463" s="9"/>
      <c r="O1463" s="11"/>
      <c r="P1463" s="9"/>
      <c r="Q1463" s="9"/>
      <c r="R1463" s="9"/>
      <c r="S1463" s="9"/>
      <c r="T1463" s="31"/>
      <c r="W1463" s="16"/>
      <c r="X1463" s="9"/>
      <c r="Y1463" s="9"/>
      <c r="AA1463" s="16"/>
      <c r="AK1463" s="16"/>
      <c r="AL1463" s="17"/>
      <c r="AN1463" s="16"/>
    </row>
    <row r="1464" spans="9:40" x14ac:dyDescent="0.4">
      <c r="I1464" s="11"/>
      <c r="J1464" s="9"/>
      <c r="K1464" s="9"/>
      <c r="O1464" s="11"/>
      <c r="P1464" s="9"/>
      <c r="Q1464" s="9"/>
      <c r="R1464" s="9"/>
      <c r="S1464" s="9"/>
      <c r="T1464" s="31"/>
      <c r="W1464" s="16"/>
      <c r="X1464" s="9"/>
      <c r="Y1464" s="9"/>
      <c r="AA1464" s="16"/>
      <c r="AK1464" s="16"/>
      <c r="AL1464" s="17"/>
      <c r="AN1464" s="16"/>
    </row>
    <row r="1465" spans="9:40" x14ac:dyDescent="0.4">
      <c r="I1465" s="11"/>
      <c r="J1465" s="9"/>
      <c r="K1465" s="9"/>
      <c r="O1465" s="11"/>
      <c r="P1465" s="9"/>
      <c r="Q1465" s="9"/>
      <c r="R1465" s="9"/>
      <c r="S1465" s="9"/>
      <c r="T1465" s="31"/>
      <c r="W1465" s="16"/>
      <c r="X1465" s="9"/>
      <c r="Y1465" s="9"/>
      <c r="AA1465" s="16"/>
      <c r="AK1465" s="16"/>
      <c r="AL1465" s="17"/>
      <c r="AN1465" s="16"/>
    </row>
    <row r="1466" spans="9:40" x14ac:dyDescent="0.4">
      <c r="I1466" s="11"/>
      <c r="J1466" s="9"/>
      <c r="K1466" s="9"/>
      <c r="O1466" s="11"/>
      <c r="P1466" s="9"/>
      <c r="Q1466" s="9"/>
      <c r="R1466" s="9"/>
      <c r="S1466" s="9"/>
      <c r="T1466" s="31"/>
      <c r="W1466" s="16"/>
      <c r="X1466" s="9"/>
      <c r="Y1466" s="9"/>
      <c r="AA1466" s="16"/>
      <c r="AK1466" s="16"/>
      <c r="AL1466" s="17"/>
      <c r="AN1466" s="16"/>
    </row>
    <row r="1467" spans="9:40" x14ac:dyDescent="0.4">
      <c r="I1467" s="11"/>
      <c r="J1467" s="9"/>
      <c r="K1467" s="9"/>
      <c r="O1467" s="11"/>
      <c r="P1467" s="9"/>
      <c r="Q1467" s="9"/>
      <c r="R1467" s="9"/>
      <c r="S1467" s="9"/>
      <c r="T1467" s="31"/>
      <c r="W1467" s="16"/>
      <c r="X1467" s="9"/>
      <c r="Y1467" s="9"/>
      <c r="AA1467" s="16"/>
      <c r="AK1467" s="16"/>
      <c r="AL1467" s="17"/>
      <c r="AN1467" s="16"/>
    </row>
    <row r="1468" spans="9:40" x14ac:dyDescent="0.4">
      <c r="I1468" s="11"/>
      <c r="J1468" s="9"/>
      <c r="K1468" s="9"/>
      <c r="O1468" s="11"/>
      <c r="P1468" s="9"/>
      <c r="Q1468" s="9"/>
      <c r="R1468" s="9"/>
      <c r="S1468" s="9"/>
      <c r="T1468" s="31"/>
      <c r="W1468" s="16"/>
      <c r="X1468" s="9"/>
      <c r="Y1468" s="9"/>
      <c r="AA1468" s="16"/>
      <c r="AK1468" s="16"/>
      <c r="AL1468" s="17"/>
      <c r="AN1468" s="16"/>
    </row>
    <row r="1469" spans="9:40" x14ac:dyDescent="0.4">
      <c r="I1469" s="11"/>
      <c r="J1469" s="9"/>
      <c r="K1469" s="9"/>
      <c r="O1469" s="11"/>
      <c r="P1469" s="9"/>
      <c r="Q1469" s="9"/>
      <c r="R1469" s="9"/>
      <c r="S1469" s="9"/>
      <c r="T1469" s="31"/>
      <c r="W1469" s="16"/>
      <c r="X1469" s="9"/>
      <c r="Y1469" s="9"/>
      <c r="AA1469" s="16"/>
      <c r="AK1469" s="16"/>
      <c r="AL1469" s="17"/>
      <c r="AN1469" s="16"/>
    </row>
    <row r="1470" spans="9:40" x14ac:dyDescent="0.4">
      <c r="I1470" s="11"/>
      <c r="J1470" s="9"/>
      <c r="K1470" s="9"/>
      <c r="O1470" s="11"/>
      <c r="P1470" s="9"/>
      <c r="Q1470" s="9"/>
      <c r="R1470" s="9"/>
      <c r="S1470" s="9"/>
      <c r="T1470" s="31"/>
      <c r="W1470" s="16"/>
      <c r="X1470" s="9"/>
      <c r="Y1470" s="9"/>
      <c r="AA1470" s="16"/>
      <c r="AK1470" s="16"/>
      <c r="AL1470" s="17"/>
      <c r="AN1470" s="16"/>
    </row>
    <row r="1471" spans="9:40" x14ac:dyDescent="0.4">
      <c r="I1471" s="11"/>
      <c r="J1471" s="9"/>
      <c r="K1471" s="9"/>
      <c r="O1471" s="11"/>
      <c r="P1471" s="9"/>
      <c r="Q1471" s="9"/>
      <c r="R1471" s="9"/>
      <c r="S1471" s="9"/>
      <c r="T1471" s="31"/>
      <c r="W1471" s="16"/>
      <c r="X1471" s="9"/>
      <c r="Y1471" s="9"/>
      <c r="AA1471" s="16"/>
      <c r="AK1471" s="16"/>
      <c r="AL1471" s="17"/>
      <c r="AN1471" s="16"/>
    </row>
    <row r="1472" spans="9:40" x14ac:dyDescent="0.4">
      <c r="I1472" s="11"/>
      <c r="J1472" s="9"/>
      <c r="K1472" s="9"/>
      <c r="O1472" s="11"/>
      <c r="P1472" s="9"/>
      <c r="Q1472" s="9"/>
      <c r="R1472" s="9"/>
      <c r="S1472" s="9"/>
      <c r="T1472" s="31"/>
      <c r="W1472" s="16"/>
      <c r="X1472" s="9"/>
      <c r="Y1472" s="9"/>
      <c r="AA1472" s="16"/>
      <c r="AK1472" s="16"/>
      <c r="AL1472" s="17"/>
      <c r="AN1472" s="16"/>
    </row>
    <row r="1473" spans="9:40" x14ac:dyDescent="0.4">
      <c r="I1473" s="11"/>
      <c r="J1473" s="9"/>
      <c r="K1473" s="9"/>
      <c r="O1473" s="11"/>
      <c r="P1473" s="9"/>
      <c r="Q1473" s="9"/>
      <c r="R1473" s="9"/>
      <c r="S1473" s="9"/>
      <c r="T1473" s="31"/>
      <c r="W1473" s="16"/>
      <c r="X1473" s="9"/>
      <c r="Y1473" s="9"/>
      <c r="AA1473" s="16"/>
      <c r="AK1473" s="16"/>
      <c r="AL1473" s="17"/>
      <c r="AN1473" s="16"/>
    </row>
    <row r="1474" spans="9:40" x14ac:dyDescent="0.4">
      <c r="I1474" s="11"/>
      <c r="J1474" s="9"/>
      <c r="K1474" s="9"/>
      <c r="O1474" s="11"/>
      <c r="P1474" s="9"/>
      <c r="Q1474" s="9"/>
      <c r="R1474" s="9"/>
      <c r="S1474" s="9"/>
      <c r="T1474" s="31"/>
      <c r="W1474" s="16"/>
      <c r="X1474" s="9"/>
      <c r="Y1474" s="9"/>
      <c r="AA1474" s="16"/>
      <c r="AK1474" s="16"/>
      <c r="AL1474" s="17"/>
      <c r="AN1474" s="16"/>
    </row>
    <row r="1475" spans="9:40" x14ac:dyDescent="0.4">
      <c r="I1475" s="11"/>
      <c r="J1475" s="9"/>
      <c r="K1475" s="9"/>
      <c r="O1475" s="11"/>
      <c r="P1475" s="9"/>
      <c r="Q1475" s="9"/>
      <c r="R1475" s="9"/>
      <c r="S1475" s="9"/>
      <c r="T1475" s="31"/>
      <c r="W1475" s="16"/>
      <c r="X1475" s="9"/>
      <c r="Y1475" s="9"/>
      <c r="AA1475" s="16"/>
      <c r="AK1475" s="16"/>
      <c r="AL1475" s="17"/>
      <c r="AN1475" s="16"/>
    </row>
    <row r="1476" spans="9:40" x14ac:dyDescent="0.4">
      <c r="I1476" s="11"/>
      <c r="J1476" s="9"/>
      <c r="K1476" s="9"/>
      <c r="O1476" s="11"/>
      <c r="P1476" s="9"/>
      <c r="Q1476" s="9"/>
      <c r="R1476" s="9"/>
      <c r="S1476" s="9"/>
      <c r="T1476" s="31"/>
      <c r="W1476" s="16"/>
      <c r="X1476" s="9"/>
      <c r="Y1476" s="9"/>
      <c r="AA1476" s="16"/>
      <c r="AK1476" s="16"/>
      <c r="AL1476" s="17"/>
      <c r="AN1476" s="16"/>
    </row>
    <row r="1477" spans="9:40" x14ac:dyDescent="0.4">
      <c r="I1477" s="11"/>
      <c r="J1477" s="9"/>
      <c r="K1477" s="9"/>
      <c r="O1477" s="11"/>
      <c r="P1477" s="9"/>
      <c r="Q1477" s="9"/>
      <c r="R1477" s="9"/>
      <c r="S1477" s="9"/>
      <c r="T1477" s="31"/>
      <c r="W1477" s="16"/>
      <c r="X1477" s="9"/>
      <c r="Y1477" s="9"/>
      <c r="AA1477" s="16"/>
      <c r="AK1477" s="16"/>
      <c r="AL1477" s="17"/>
      <c r="AN1477" s="16"/>
    </row>
    <row r="1478" spans="9:40" x14ac:dyDescent="0.4">
      <c r="I1478" s="11"/>
      <c r="J1478" s="9"/>
      <c r="K1478" s="9"/>
      <c r="O1478" s="11"/>
      <c r="P1478" s="9"/>
      <c r="Q1478" s="9"/>
      <c r="R1478" s="9"/>
      <c r="S1478" s="9"/>
      <c r="T1478" s="31"/>
      <c r="W1478" s="16"/>
      <c r="X1478" s="9"/>
      <c r="Y1478" s="9"/>
      <c r="AA1478" s="16"/>
      <c r="AK1478" s="16"/>
      <c r="AL1478" s="17"/>
      <c r="AN1478" s="16"/>
    </row>
    <row r="1479" spans="9:40" x14ac:dyDescent="0.4">
      <c r="I1479" s="11"/>
      <c r="J1479" s="9"/>
      <c r="K1479" s="9"/>
      <c r="O1479" s="11"/>
      <c r="P1479" s="9"/>
      <c r="Q1479" s="9"/>
      <c r="R1479" s="9"/>
      <c r="S1479" s="9"/>
      <c r="T1479" s="31"/>
      <c r="W1479" s="16"/>
      <c r="X1479" s="9"/>
      <c r="Y1479" s="9"/>
      <c r="AA1479" s="16"/>
      <c r="AK1479" s="16"/>
      <c r="AL1479" s="17"/>
      <c r="AN1479" s="16"/>
    </row>
    <row r="1480" spans="9:40" x14ac:dyDescent="0.4">
      <c r="I1480" s="11"/>
      <c r="J1480" s="9"/>
      <c r="K1480" s="9"/>
      <c r="O1480" s="11"/>
      <c r="P1480" s="9"/>
      <c r="Q1480" s="9"/>
      <c r="R1480" s="9"/>
      <c r="S1480" s="9"/>
      <c r="T1480" s="31"/>
      <c r="W1480" s="16"/>
      <c r="X1480" s="9"/>
      <c r="Y1480" s="9"/>
      <c r="AA1480" s="16"/>
      <c r="AK1480" s="16"/>
      <c r="AL1480" s="17"/>
      <c r="AN1480" s="16"/>
    </row>
    <row r="1481" spans="9:40" x14ac:dyDescent="0.4">
      <c r="I1481" s="11"/>
      <c r="J1481" s="9"/>
      <c r="K1481" s="9"/>
      <c r="O1481" s="11"/>
      <c r="P1481" s="9"/>
      <c r="Q1481" s="9"/>
      <c r="R1481" s="9"/>
      <c r="S1481" s="9"/>
      <c r="T1481" s="31"/>
      <c r="W1481" s="16"/>
      <c r="X1481" s="9"/>
      <c r="Y1481" s="9"/>
      <c r="AA1481" s="16"/>
      <c r="AK1481" s="16"/>
      <c r="AL1481" s="17"/>
      <c r="AN1481" s="16"/>
    </row>
    <row r="1482" spans="9:40" x14ac:dyDescent="0.4">
      <c r="I1482" s="11"/>
      <c r="J1482" s="9"/>
      <c r="K1482" s="9"/>
      <c r="O1482" s="11"/>
      <c r="P1482" s="9"/>
      <c r="Q1482" s="9"/>
      <c r="R1482" s="9"/>
      <c r="S1482" s="9"/>
      <c r="T1482" s="31"/>
      <c r="W1482" s="16"/>
      <c r="X1482" s="9"/>
      <c r="Y1482" s="9"/>
      <c r="AA1482" s="16"/>
      <c r="AK1482" s="16"/>
      <c r="AL1482" s="17"/>
      <c r="AN1482" s="16"/>
    </row>
    <row r="1483" spans="9:40" x14ac:dyDescent="0.4">
      <c r="I1483" s="11"/>
      <c r="J1483" s="9"/>
      <c r="K1483" s="9"/>
      <c r="O1483" s="11"/>
      <c r="P1483" s="9"/>
      <c r="Q1483" s="9"/>
      <c r="R1483" s="9"/>
      <c r="S1483" s="9"/>
      <c r="T1483" s="31"/>
      <c r="W1483" s="16"/>
      <c r="X1483" s="9"/>
      <c r="Y1483" s="9"/>
      <c r="AA1483" s="16"/>
      <c r="AK1483" s="16"/>
      <c r="AL1483" s="17"/>
      <c r="AN1483" s="16"/>
    </row>
    <row r="1484" spans="9:40" x14ac:dyDescent="0.4">
      <c r="I1484" s="11"/>
      <c r="J1484" s="9"/>
      <c r="K1484" s="9"/>
      <c r="O1484" s="11"/>
      <c r="P1484" s="9"/>
      <c r="Q1484" s="9"/>
      <c r="R1484" s="9"/>
      <c r="S1484" s="9"/>
      <c r="T1484" s="31"/>
      <c r="W1484" s="16"/>
      <c r="X1484" s="9"/>
      <c r="Y1484" s="9"/>
      <c r="AA1484" s="16"/>
      <c r="AK1484" s="16"/>
      <c r="AL1484" s="17"/>
      <c r="AN1484" s="16"/>
    </row>
    <row r="1485" spans="9:40" x14ac:dyDescent="0.4">
      <c r="I1485" s="11"/>
      <c r="J1485" s="9"/>
      <c r="K1485" s="9"/>
      <c r="O1485" s="11"/>
      <c r="P1485" s="9"/>
      <c r="Q1485" s="9"/>
      <c r="R1485" s="9"/>
      <c r="S1485" s="9"/>
      <c r="T1485" s="31"/>
      <c r="W1485" s="16"/>
      <c r="X1485" s="9"/>
      <c r="Y1485" s="9"/>
      <c r="AA1485" s="16"/>
      <c r="AK1485" s="16"/>
      <c r="AL1485" s="17"/>
      <c r="AN1485" s="16"/>
    </row>
    <row r="1486" spans="9:40" x14ac:dyDescent="0.4">
      <c r="I1486" s="11"/>
      <c r="J1486" s="9"/>
      <c r="K1486" s="9"/>
      <c r="O1486" s="11"/>
      <c r="P1486" s="9"/>
      <c r="Q1486" s="9"/>
      <c r="R1486" s="9"/>
      <c r="S1486" s="9"/>
      <c r="T1486" s="31"/>
      <c r="W1486" s="16"/>
      <c r="X1486" s="9"/>
      <c r="Y1486" s="9"/>
      <c r="AA1486" s="16"/>
      <c r="AK1486" s="16"/>
      <c r="AL1486" s="17"/>
      <c r="AN1486" s="16"/>
    </row>
    <row r="1487" spans="9:40" x14ac:dyDescent="0.4">
      <c r="I1487" s="11"/>
      <c r="J1487" s="9"/>
      <c r="K1487" s="9"/>
      <c r="O1487" s="11"/>
      <c r="P1487" s="9"/>
      <c r="Q1487" s="9"/>
      <c r="R1487" s="9"/>
      <c r="S1487" s="9"/>
      <c r="T1487" s="31"/>
      <c r="W1487" s="16"/>
      <c r="X1487" s="9"/>
      <c r="Y1487" s="9"/>
      <c r="AA1487" s="16"/>
      <c r="AK1487" s="16"/>
      <c r="AL1487" s="17"/>
      <c r="AN1487" s="16"/>
    </row>
    <row r="1488" spans="9:40" x14ac:dyDescent="0.4">
      <c r="I1488" s="11"/>
      <c r="J1488" s="9"/>
      <c r="K1488" s="9"/>
      <c r="O1488" s="11"/>
      <c r="P1488" s="9"/>
      <c r="Q1488" s="9"/>
      <c r="R1488" s="9"/>
      <c r="S1488" s="9"/>
      <c r="T1488" s="31"/>
      <c r="W1488" s="16"/>
      <c r="X1488" s="9"/>
      <c r="Y1488" s="9"/>
      <c r="AA1488" s="16"/>
      <c r="AK1488" s="16"/>
      <c r="AL1488" s="17"/>
      <c r="AN1488" s="16"/>
    </row>
    <row r="1489" spans="9:40" x14ac:dyDescent="0.4">
      <c r="I1489" s="11"/>
      <c r="J1489" s="9"/>
      <c r="K1489" s="9"/>
      <c r="O1489" s="11"/>
      <c r="P1489" s="9"/>
      <c r="Q1489" s="9"/>
      <c r="R1489" s="9"/>
      <c r="S1489" s="9"/>
      <c r="T1489" s="31"/>
      <c r="W1489" s="16"/>
      <c r="X1489" s="9"/>
      <c r="Y1489" s="9"/>
      <c r="AA1489" s="16"/>
      <c r="AK1489" s="16"/>
      <c r="AL1489" s="17"/>
      <c r="AN1489" s="16"/>
    </row>
    <row r="1490" spans="9:40" x14ac:dyDescent="0.4">
      <c r="I1490" s="11"/>
      <c r="J1490" s="9"/>
      <c r="K1490" s="9"/>
      <c r="O1490" s="11"/>
      <c r="P1490" s="9"/>
      <c r="Q1490" s="9"/>
      <c r="R1490" s="9"/>
      <c r="S1490" s="9"/>
      <c r="T1490" s="31"/>
      <c r="W1490" s="16"/>
      <c r="X1490" s="9"/>
      <c r="Y1490" s="9"/>
      <c r="AA1490" s="16"/>
      <c r="AK1490" s="16"/>
      <c r="AL1490" s="17"/>
      <c r="AN1490" s="16"/>
    </row>
    <row r="1491" spans="9:40" x14ac:dyDescent="0.4">
      <c r="I1491" s="11"/>
      <c r="J1491" s="9"/>
      <c r="K1491" s="9"/>
      <c r="O1491" s="11"/>
      <c r="P1491" s="9"/>
      <c r="Q1491" s="9"/>
      <c r="R1491" s="9"/>
      <c r="S1491" s="9"/>
      <c r="T1491" s="31"/>
      <c r="W1491" s="16"/>
      <c r="X1491" s="9"/>
      <c r="Y1491" s="9"/>
      <c r="AA1491" s="16"/>
      <c r="AK1491" s="16"/>
      <c r="AL1491" s="17"/>
      <c r="AN1491" s="16"/>
    </row>
    <row r="1492" spans="9:40" x14ac:dyDescent="0.4">
      <c r="I1492" s="11"/>
      <c r="J1492" s="9"/>
      <c r="K1492" s="9"/>
      <c r="O1492" s="11"/>
      <c r="P1492" s="9"/>
      <c r="Q1492" s="9"/>
      <c r="R1492" s="9"/>
      <c r="S1492" s="9"/>
      <c r="T1492" s="31"/>
      <c r="W1492" s="16"/>
      <c r="X1492" s="9"/>
      <c r="Y1492" s="9"/>
      <c r="AA1492" s="16"/>
      <c r="AK1492" s="16"/>
      <c r="AL1492" s="17"/>
      <c r="AN1492" s="16"/>
    </row>
    <row r="1493" spans="9:40" x14ac:dyDescent="0.4">
      <c r="I1493" s="11"/>
      <c r="J1493" s="9"/>
      <c r="K1493" s="9"/>
      <c r="O1493" s="11"/>
      <c r="P1493" s="9"/>
      <c r="Q1493" s="9"/>
      <c r="R1493" s="9"/>
      <c r="S1493" s="9"/>
      <c r="T1493" s="31"/>
      <c r="W1493" s="16"/>
      <c r="X1493" s="9"/>
      <c r="Y1493" s="9"/>
      <c r="AA1493" s="16"/>
      <c r="AK1493" s="16"/>
      <c r="AL1493" s="17"/>
      <c r="AN1493" s="16"/>
    </row>
    <row r="1494" spans="9:40" x14ac:dyDescent="0.4">
      <c r="I1494" s="11"/>
      <c r="J1494" s="9"/>
      <c r="K1494" s="9"/>
      <c r="O1494" s="11"/>
      <c r="P1494" s="9"/>
      <c r="Q1494" s="9"/>
      <c r="R1494" s="9"/>
      <c r="S1494" s="9"/>
      <c r="T1494" s="31"/>
      <c r="W1494" s="16"/>
      <c r="X1494" s="9"/>
      <c r="Y1494" s="9"/>
      <c r="AA1494" s="16"/>
      <c r="AK1494" s="16"/>
      <c r="AL1494" s="17"/>
      <c r="AN1494" s="16"/>
    </row>
    <row r="1495" spans="9:40" x14ac:dyDescent="0.4">
      <c r="I1495" s="11"/>
      <c r="J1495" s="9"/>
      <c r="K1495" s="9"/>
      <c r="O1495" s="11"/>
      <c r="P1495" s="9"/>
      <c r="Q1495" s="9"/>
      <c r="R1495" s="9"/>
      <c r="S1495" s="9"/>
      <c r="T1495" s="31"/>
      <c r="W1495" s="16"/>
      <c r="X1495" s="9"/>
      <c r="Y1495" s="9"/>
      <c r="AA1495" s="16"/>
      <c r="AK1495" s="16"/>
      <c r="AL1495" s="17"/>
      <c r="AN1495" s="16"/>
    </row>
    <row r="1496" spans="9:40" x14ac:dyDescent="0.4">
      <c r="I1496" s="11"/>
      <c r="J1496" s="9"/>
      <c r="K1496" s="9"/>
      <c r="O1496" s="11"/>
      <c r="P1496" s="9"/>
      <c r="Q1496" s="9"/>
      <c r="R1496" s="9"/>
      <c r="S1496" s="9"/>
      <c r="T1496" s="31"/>
      <c r="W1496" s="16"/>
      <c r="X1496" s="9"/>
      <c r="Y1496" s="9"/>
      <c r="AA1496" s="16"/>
      <c r="AK1496" s="16"/>
      <c r="AL1496" s="17"/>
      <c r="AN1496" s="16"/>
    </row>
    <row r="1497" spans="9:40" x14ac:dyDescent="0.4">
      <c r="I1497" s="11"/>
      <c r="J1497" s="9"/>
      <c r="K1497" s="9"/>
      <c r="O1497" s="11"/>
      <c r="P1497" s="9"/>
      <c r="Q1497" s="9"/>
      <c r="R1497" s="9"/>
      <c r="S1497" s="9"/>
      <c r="T1497" s="31"/>
      <c r="W1497" s="16"/>
      <c r="X1497" s="9"/>
      <c r="Y1497" s="9"/>
      <c r="AA1497" s="16"/>
      <c r="AK1497" s="16"/>
      <c r="AL1497" s="17"/>
      <c r="AN1497" s="16"/>
    </row>
    <row r="1498" spans="9:40" x14ac:dyDescent="0.4">
      <c r="I1498" s="11"/>
      <c r="J1498" s="9"/>
      <c r="K1498" s="9"/>
      <c r="O1498" s="11"/>
      <c r="P1498" s="9"/>
      <c r="Q1498" s="9"/>
      <c r="R1498" s="9"/>
      <c r="S1498" s="9"/>
      <c r="T1498" s="31"/>
      <c r="W1498" s="16"/>
      <c r="X1498" s="9"/>
      <c r="Y1498" s="9"/>
      <c r="AA1498" s="16"/>
      <c r="AK1498" s="16"/>
      <c r="AL1498" s="17"/>
      <c r="AN1498" s="16"/>
    </row>
    <row r="1499" spans="9:40" x14ac:dyDescent="0.4">
      <c r="I1499" s="11"/>
      <c r="J1499" s="9"/>
      <c r="K1499" s="9"/>
      <c r="O1499" s="11"/>
      <c r="P1499" s="9"/>
      <c r="Q1499" s="9"/>
      <c r="R1499" s="9"/>
      <c r="S1499" s="9"/>
      <c r="T1499" s="31"/>
      <c r="W1499" s="16"/>
      <c r="X1499" s="9"/>
      <c r="Y1499" s="9"/>
      <c r="AA1499" s="16"/>
      <c r="AK1499" s="16"/>
      <c r="AL1499" s="17"/>
      <c r="AN1499" s="16"/>
    </row>
    <row r="1500" spans="9:40" x14ac:dyDescent="0.4">
      <c r="I1500" s="11"/>
      <c r="J1500" s="9"/>
      <c r="K1500" s="9"/>
      <c r="O1500" s="11"/>
      <c r="P1500" s="9"/>
      <c r="Q1500" s="9"/>
      <c r="R1500" s="9"/>
      <c r="S1500" s="9"/>
      <c r="T1500" s="31"/>
      <c r="W1500" s="16"/>
      <c r="X1500" s="9"/>
      <c r="Y1500" s="9"/>
      <c r="AA1500" s="16"/>
      <c r="AK1500" s="16"/>
      <c r="AL1500" s="17"/>
      <c r="AN1500" s="16"/>
    </row>
    <row r="1501" spans="9:40" x14ac:dyDescent="0.4">
      <c r="I1501" s="11"/>
      <c r="J1501" s="9"/>
      <c r="K1501" s="9"/>
      <c r="O1501" s="11"/>
      <c r="P1501" s="9"/>
      <c r="Q1501" s="9"/>
      <c r="R1501" s="9"/>
      <c r="S1501" s="9"/>
      <c r="T1501" s="31"/>
      <c r="W1501" s="16"/>
      <c r="X1501" s="9"/>
      <c r="Y1501" s="9"/>
      <c r="AA1501" s="16"/>
      <c r="AK1501" s="16"/>
      <c r="AL1501" s="17"/>
      <c r="AN1501" s="16"/>
    </row>
    <row r="1502" spans="9:40" x14ac:dyDescent="0.4">
      <c r="I1502" s="11"/>
      <c r="J1502" s="9"/>
      <c r="K1502" s="9"/>
      <c r="O1502" s="11"/>
      <c r="P1502" s="9"/>
      <c r="Q1502" s="9"/>
      <c r="R1502" s="9"/>
      <c r="S1502" s="9"/>
      <c r="T1502" s="31"/>
      <c r="W1502" s="16"/>
      <c r="X1502" s="9"/>
      <c r="Y1502" s="9"/>
      <c r="AA1502" s="16"/>
      <c r="AK1502" s="16"/>
      <c r="AL1502" s="17"/>
      <c r="AN1502" s="16"/>
    </row>
    <row r="1503" spans="9:40" x14ac:dyDescent="0.4">
      <c r="I1503" s="11"/>
      <c r="J1503" s="9"/>
      <c r="K1503" s="9"/>
      <c r="O1503" s="11"/>
      <c r="P1503" s="9"/>
      <c r="Q1503" s="9"/>
      <c r="R1503" s="9"/>
      <c r="S1503" s="9"/>
      <c r="T1503" s="31"/>
      <c r="W1503" s="16"/>
      <c r="X1503" s="9"/>
      <c r="Y1503" s="9"/>
      <c r="AA1503" s="16"/>
      <c r="AK1503" s="16"/>
      <c r="AL1503" s="17"/>
      <c r="AN1503" s="16"/>
    </row>
    <row r="1504" spans="9:40" x14ac:dyDescent="0.4">
      <c r="I1504" s="11"/>
      <c r="J1504" s="9"/>
      <c r="K1504" s="9"/>
      <c r="O1504" s="11"/>
      <c r="P1504" s="9"/>
      <c r="Q1504" s="9"/>
      <c r="R1504" s="9"/>
      <c r="S1504" s="9"/>
      <c r="T1504" s="31"/>
      <c r="W1504" s="16"/>
      <c r="X1504" s="9"/>
      <c r="Y1504" s="9"/>
      <c r="AA1504" s="16"/>
      <c r="AK1504" s="16"/>
      <c r="AL1504" s="17"/>
      <c r="AN1504" s="16"/>
    </row>
    <row r="1505" spans="9:40" x14ac:dyDescent="0.4">
      <c r="I1505" s="11"/>
      <c r="J1505" s="9"/>
      <c r="K1505" s="9"/>
      <c r="O1505" s="11"/>
      <c r="P1505" s="9"/>
      <c r="Q1505" s="9"/>
      <c r="R1505" s="9"/>
      <c r="S1505" s="9"/>
      <c r="T1505" s="31"/>
      <c r="W1505" s="16"/>
      <c r="X1505" s="9"/>
      <c r="Y1505" s="9"/>
      <c r="AA1505" s="16"/>
      <c r="AK1505" s="16"/>
      <c r="AL1505" s="17"/>
      <c r="AN1505" s="16"/>
    </row>
    <row r="1506" spans="9:40" x14ac:dyDescent="0.4">
      <c r="I1506" s="11"/>
      <c r="J1506" s="9"/>
      <c r="K1506" s="9"/>
      <c r="O1506" s="11"/>
      <c r="P1506" s="9"/>
      <c r="Q1506" s="9"/>
      <c r="R1506" s="9"/>
      <c r="S1506" s="9"/>
      <c r="T1506" s="31"/>
      <c r="W1506" s="16"/>
      <c r="X1506" s="9"/>
      <c r="Y1506" s="9"/>
      <c r="AA1506" s="16"/>
      <c r="AK1506" s="16"/>
      <c r="AL1506" s="17"/>
      <c r="AN1506" s="16"/>
    </row>
    <row r="1507" spans="9:40" x14ac:dyDescent="0.4">
      <c r="I1507" s="11"/>
      <c r="J1507" s="9"/>
      <c r="K1507" s="9"/>
      <c r="O1507" s="11"/>
      <c r="P1507" s="9"/>
      <c r="Q1507" s="9"/>
      <c r="R1507" s="9"/>
      <c r="S1507" s="9"/>
      <c r="T1507" s="31"/>
      <c r="W1507" s="16"/>
      <c r="X1507" s="9"/>
      <c r="Y1507" s="9"/>
      <c r="AA1507" s="16"/>
      <c r="AK1507" s="16"/>
      <c r="AL1507" s="17"/>
      <c r="AN1507" s="16"/>
    </row>
    <row r="1508" spans="9:40" x14ac:dyDescent="0.4">
      <c r="I1508" s="11"/>
      <c r="J1508" s="9"/>
      <c r="K1508" s="9"/>
      <c r="O1508" s="11"/>
      <c r="P1508" s="9"/>
      <c r="Q1508" s="9"/>
      <c r="R1508" s="9"/>
      <c r="S1508" s="9"/>
      <c r="T1508" s="31"/>
      <c r="W1508" s="16"/>
      <c r="X1508" s="9"/>
      <c r="Y1508" s="9"/>
      <c r="AA1508" s="16"/>
      <c r="AK1508" s="16"/>
      <c r="AL1508" s="17"/>
      <c r="AN1508" s="16"/>
    </row>
    <row r="1509" spans="9:40" x14ac:dyDescent="0.4">
      <c r="I1509" s="11"/>
      <c r="J1509" s="9"/>
      <c r="K1509" s="9"/>
      <c r="O1509" s="11"/>
      <c r="P1509" s="9"/>
      <c r="Q1509" s="9"/>
      <c r="R1509" s="9"/>
      <c r="S1509" s="9"/>
      <c r="T1509" s="31"/>
      <c r="W1509" s="16"/>
      <c r="X1509" s="9"/>
      <c r="Y1509" s="9"/>
      <c r="AA1509" s="16"/>
      <c r="AK1509" s="16"/>
      <c r="AL1509" s="17"/>
      <c r="AN1509" s="16"/>
    </row>
    <row r="1510" spans="9:40" x14ac:dyDescent="0.4">
      <c r="I1510" s="11"/>
      <c r="J1510" s="9"/>
      <c r="K1510" s="9"/>
      <c r="O1510" s="11"/>
      <c r="P1510" s="9"/>
      <c r="Q1510" s="9"/>
      <c r="R1510" s="9"/>
      <c r="S1510" s="9"/>
      <c r="T1510" s="31"/>
      <c r="W1510" s="16"/>
      <c r="X1510" s="9"/>
      <c r="Y1510" s="9"/>
      <c r="AA1510" s="16"/>
      <c r="AK1510" s="16"/>
      <c r="AL1510" s="17"/>
      <c r="AN1510" s="16"/>
    </row>
    <row r="1511" spans="9:40" x14ac:dyDescent="0.4">
      <c r="I1511" s="11"/>
      <c r="J1511" s="9"/>
      <c r="K1511" s="9"/>
      <c r="O1511" s="11"/>
      <c r="P1511" s="9"/>
      <c r="Q1511" s="9"/>
      <c r="R1511" s="9"/>
      <c r="S1511" s="9"/>
      <c r="T1511" s="31"/>
      <c r="W1511" s="16"/>
      <c r="X1511" s="9"/>
      <c r="Y1511" s="9"/>
      <c r="AA1511" s="16"/>
      <c r="AK1511" s="16"/>
      <c r="AL1511" s="17"/>
      <c r="AN1511" s="16"/>
    </row>
    <row r="1512" spans="9:40" x14ac:dyDescent="0.4">
      <c r="I1512" s="11"/>
      <c r="J1512" s="9"/>
      <c r="K1512" s="9"/>
      <c r="O1512" s="11"/>
      <c r="P1512" s="9"/>
      <c r="Q1512" s="9"/>
      <c r="R1512" s="9"/>
      <c r="S1512" s="9"/>
      <c r="T1512" s="31"/>
      <c r="W1512" s="16"/>
      <c r="X1512" s="9"/>
      <c r="Y1512" s="9"/>
      <c r="AA1512" s="16"/>
      <c r="AK1512" s="16"/>
      <c r="AL1512" s="17"/>
      <c r="AN1512" s="16"/>
    </row>
    <row r="1513" spans="9:40" x14ac:dyDescent="0.4">
      <c r="I1513" s="11"/>
      <c r="J1513" s="9"/>
      <c r="K1513" s="9"/>
      <c r="O1513" s="11"/>
      <c r="P1513" s="9"/>
      <c r="Q1513" s="9"/>
      <c r="R1513" s="9"/>
      <c r="S1513" s="9"/>
      <c r="T1513" s="31"/>
      <c r="W1513" s="16"/>
      <c r="X1513" s="9"/>
      <c r="Y1513" s="9"/>
      <c r="AA1513" s="16"/>
      <c r="AK1513" s="16"/>
      <c r="AL1513" s="17"/>
      <c r="AN1513" s="16"/>
    </row>
    <row r="1514" spans="9:40" x14ac:dyDescent="0.4">
      <c r="I1514" s="11"/>
      <c r="J1514" s="9"/>
      <c r="K1514" s="9"/>
      <c r="O1514" s="11"/>
      <c r="P1514" s="9"/>
      <c r="Q1514" s="9"/>
      <c r="R1514" s="9"/>
      <c r="S1514" s="9"/>
      <c r="T1514" s="31"/>
      <c r="W1514" s="16"/>
      <c r="X1514" s="9"/>
      <c r="Y1514" s="9"/>
      <c r="AA1514" s="16"/>
      <c r="AK1514" s="16"/>
      <c r="AL1514" s="17"/>
      <c r="AN1514" s="16"/>
    </row>
    <row r="1515" spans="9:40" x14ac:dyDescent="0.4">
      <c r="I1515" s="11"/>
      <c r="J1515" s="9"/>
      <c r="K1515" s="9"/>
      <c r="O1515" s="11"/>
      <c r="P1515" s="9"/>
      <c r="Q1515" s="9"/>
      <c r="R1515" s="9"/>
      <c r="S1515" s="9"/>
      <c r="T1515" s="31"/>
      <c r="W1515" s="16"/>
      <c r="X1515" s="9"/>
      <c r="Y1515" s="9"/>
      <c r="AA1515" s="16"/>
      <c r="AK1515" s="16"/>
      <c r="AL1515" s="17"/>
      <c r="AN1515" s="16"/>
    </row>
    <row r="1516" spans="9:40" x14ac:dyDescent="0.4">
      <c r="I1516" s="11"/>
      <c r="J1516" s="9"/>
      <c r="K1516" s="9"/>
      <c r="O1516" s="11"/>
      <c r="P1516" s="9"/>
      <c r="Q1516" s="9"/>
      <c r="R1516" s="9"/>
      <c r="S1516" s="9"/>
      <c r="T1516" s="31"/>
      <c r="W1516" s="16"/>
      <c r="X1516" s="9"/>
      <c r="Y1516" s="9"/>
      <c r="AA1516" s="16"/>
      <c r="AK1516" s="16"/>
      <c r="AL1516" s="17"/>
      <c r="AN1516" s="16"/>
    </row>
    <row r="1517" spans="9:40" x14ac:dyDescent="0.4">
      <c r="I1517" s="11"/>
      <c r="J1517" s="9"/>
      <c r="K1517" s="9"/>
      <c r="O1517" s="11"/>
      <c r="P1517" s="9"/>
      <c r="Q1517" s="9"/>
      <c r="R1517" s="9"/>
      <c r="S1517" s="9"/>
      <c r="T1517" s="31"/>
      <c r="W1517" s="16"/>
      <c r="X1517" s="9"/>
      <c r="Y1517" s="9"/>
      <c r="AA1517" s="16"/>
      <c r="AK1517" s="16"/>
      <c r="AL1517" s="17"/>
      <c r="AN1517" s="16"/>
    </row>
    <row r="1518" spans="9:40" x14ac:dyDescent="0.4">
      <c r="I1518" s="11"/>
      <c r="J1518" s="9"/>
      <c r="K1518" s="9"/>
      <c r="O1518" s="11"/>
      <c r="P1518" s="9"/>
      <c r="Q1518" s="9"/>
      <c r="R1518" s="9"/>
      <c r="S1518" s="9"/>
      <c r="T1518" s="31"/>
      <c r="W1518" s="16"/>
      <c r="X1518" s="9"/>
      <c r="Y1518" s="9"/>
      <c r="AA1518" s="16"/>
      <c r="AK1518" s="16"/>
      <c r="AL1518" s="17"/>
      <c r="AN1518" s="16"/>
    </row>
    <row r="1519" spans="9:40" x14ac:dyDescent="0.4">
      <c r="I1519" s="11"/>
      <c r="J1519" s="9"/>
      <c r="K1519" s="9"/>
      <c r="O1519" s="11"/>
      <c r="P1519" s="9"/>
      <c r="Q1519" s="9"/>
      <c r="R1519" s="9"/>
      <c r="S1519" s="9"/>
      <c r="T1519" s="31"/>
      <c r="W1519" s="16"/>
      <c r="X1519" s="9"/>
      <c r="Y1519" s="9"/>
      <c r="AA1519" s="16"/>
      <c r="AK1519" s="16"/>
      <c r="AL1519" s="17"/>
      <c r="AN1519" s="16"/>
    </row>
    <row r="1520" spans="9:40" x14ac:dyDescent="0.4">
      <c r="I1520" s="11"/>
      <c r="J1520" s="9"/>
      <c r="K1520" s="9"/>
      <c r="O1520" s="11"/>
      <c r="P1520" s="9"/>
      <c r="Q1520" s="9"/>
      <c r="R1520" s="9"/>
      <c r="S1520" s="9"/>
      <c r="T1520" s="31"/>
      <c r="W1520" s="16"/>
      <c r="X1520" s="9"/>
      <c r="Y1520" s="9"/>
      <c r="AA1520" s="16"/>
      <c r="AK1520" s="16"/>
      <c r="AL1520" s="17"/>
      <c r="AN1520" s="16"/>
    </row>
    <row r="1521" spans="9:40" x14ac:dyDescent="0.4">
      <c r="I1521" s="11"/>
      <c r="J1521" s="9"/>
      <c r="K1521" s="9"/>
      <c r="O1521" s="11"/>
      <c r="P1521" s="9"/>
      <c r="Q1521" s="9"/>
      <c r="R1521" s="9"/>
      <c r="S1521" s="9"/>
      <c r="T1521" s="31"/>
      <c r="W1521" s="16"/>
      <c r="X1521" s="9"/>
      <c r="Y1521" s="9"/>
      <c r="AA1521" s="16"/>
      <c r="AK1521" s="16"/>
      <c r="AL1521" s="17"/>
      <c r="AN1521" s="16"/>
    </row>
    <row r="1522" spans="9:40" x14ac:dyDescent="0.4">
      <c r="I1522" s="11"/>
      <c r="J1522" s="9"/>
      <c r="K1522" s="9"/>
      <c r="O1522" s="11"/>
      <c r="P1522" s="9"/>
      <c r="Q1522" s="9"/>
      <c r="R1522" s="9"/>
      <c r="S1522" s="9"/>
      <c r="T1522" s="31"/>
      <c r="W1522" s="16"/>
      <c r="X1522" s="9"/>
      <c r="Y1522" s="9"/>
      <c r="AA1522" s="16"/>
      <c r="AK1522" s="16"/>
      <c r="AL1522" s="17"/>
      <c r="AN1522" s="16"/>
    </row>
    <row r="1523" spans="9:40" x14ac:dyDescent="0.4">
      <c r="I1523" s="11"/>
      <c r="J1523" s="9"/>
      <c r="K1523" s="9"/>
      <c r="O1523" s="11"/>
      <c r="P1523" s="9"/>
      <c r="Q1523" s="9"/>
      <c r="R1523" s="9"/>
      <c r="S1523" s="9"/>
      <c r="T1523" s="31"/>
      <c r="W1523" s="16"/>
      <c r="X1523" s="9"/>
      <c r="Y1523" s="9"/>
      <c r="AA1523" s="16"/>
      <c r="AK1523" s="16"/>
      <c r="AL1523" s="17"/>
      <c r="AN1523" s="16"/>
    </row>
    <row r="1524" spans="9:40" x14ac:dyDescent="0.4">
      <c r="I1524" s="11"/>
      <c r="J1524" s="9"/>
      <c r="K1524" s="9"/>
      <c r="O1524" s="11"/>
      <c r="P1524" s="9"/>
      <c r="Q1524" s="9"/>
      <c r="R1524" s="9"/>
      <c r="S1524" s="9"/>
      <c r="T1524" s="31"/>
      <c r="W1524" s="16"/>
      <c r="X1524" s="9"/>
      <c r="Y1524" s="9"/>
      <c r="AA1524" s="16"/>
      <c r="AK1524" s="16"/>
      <c r="AL1524" s="17"/>
      <c r="AN1524" s="16"/>
    </row>
    <row r="1525" spans="9:40" x14ac:dyDescent="0.4">
      <c r="I1525" s="11"/>
      <c r="J1525" s="9"/>
      <c r="K1525" s="9"/>
      <c r="O1525" s="11"/>
      <c r="P1525" s="9"/>
      <c r="Q1525" s="9"/>
      <c r="R1525" s="9"/>
      <c r="S1525" s="9"/>
      <c r="T1525" s="31"/>
      <c r="W1525" s="16"/>
      <c r="X1525" s="9"/>
      <c r="Y1525" s="9"/>
      <c r="AA1525" s="16"/>
      <c r="AK1525" s="16"/>
      <c r="AL1525" s="17"/>
      <c r="AN1525" s="16"/>
    </row>
    <row r="1526" spans="9:40" x14ac:dyDescent="0.4">
      <c r="I1526" s="11"/>
      <c r="J1526" s="9"/>
      <c r="K1526" s="9"/>
      <c r="O1526" s="11"/>
      <c r="P1526" s="9"/>
      <c r="Q1526" s="9"/>
      <c r="R1526" s="9"/>
      <c r="S1526" s="9"/>
      <c r="T1526" s="31"/>
      <c r="W1526" s="16"/>
      <c r="X1526" s="9"/>
      <c r="Y1526" s="9"/>
      <c r="AA1526" s="16"/>
      <c r="AK1526" s="16"/>
      <c r="AL1526" s="17"/>
      <c r="AN1526" s="16"/>
    </row>
    <row r="1527" spans="9:40" x14ac:dyDescent="0.4">
      <c r="I1527" s="11"/>
      <c r="J1527" s="9"/>
      <c r="K1527" s="9"/>
      <c r="O1527" s="11"/>
      <c r="P1527" s="9"/>
      <c r="Q1527" s="9"/>
      <c r="R1527" s="9"/>
      <c r="S1527" s="9"/>
      <c r="T1527" s="31"/>
      <c r="W1527" s="16"/>
      <c r="X1527" s="9"/>
      <c r="Y1527" s="9"/>
      <c r="AA1527" s="16"/>
      <c r="AK1527" s="16"/>
      <c r="AL1527" s="17"/>
      <c r="AN1527" s="16"/>
    </row>
    <row r="1528" spans="9:40" x14ac:dyDescent="0.4">
      <c r="I1528" s="11"/>
      <c r="J1528" s="9"/>
      <c r="K1528" s="9"/>
      <c r="O1528" s="11"/>
      <c r="P1528" s="9"/>
      <c r="Q1528" s="9"/>
      <c r="R1528" s="9"/>
      <c r="S1528" s="9"/>
      <c r="T1528" s="31"/>
      <c r="W1528" s="16"/>
      <c r="X1528" s="9"/>
      <c r="Y1528" s="9"/>
      <c r="AA1528" s="16"/>
      <c r="AK1528" s="16"/>
      <c r="AL1528" s="17"/>
      <c r="AN1528" s="16"/>
    </row>
    <row r="1529" spans="9:40" x14ac:dyDescent="0.4">
      <c r="I1529" s="11"/>
      <c r="J1529" s="9"/>
      <c r="K1529" s="9"/>
      <c r="O1529" s="11"/>
      <c r="P1529" s="9"/>
      <c r="Q1529" s="9"/>
      <c r="R1529" s="9"/>
      <c r="S1529" s="9"/>
      <c r="T1529" s="31"/>
      <c r="W1529" s="16"/>
      <c r="X1529" s="9"/>
      <c r="Y1529" s="9"/>
      <c r="AA1529" s="16"/>
      <c r="AK1529" s="16"/>
      <c r="AL1529" s="17"/>
      <c r="AN1529" s="16"/>
    </row>
    <row r="1530" spans="9:40" x14ac:dyDescent="0.4">
      <c r="I1530" s="11"/>
      <c r="J1530" s="9"/>
      <c r="K1530" s="9"/>
      <c r="O1530" s="11"/>
      <c r="P1530" s="9"/>
      <c r="Q1530" s="9"/>
      <c r="R1530" s="9"/>
      <c r="S1530" s="9"/>
      <c r="T1530" s="31"/>
      <c r="W1530" s="16"/>
      <c r="X1530" s="9"/>
      <c r="Y1530" s="9"/>
      <c r="AA1530" s="16"/>
      <c r="AK1530" s="16"/>
      <c r="AL1530" s="17"/>
      <c r="AN1530" s="16"/>
    </row>
    <row r="1531" spans="9:40" x14ac:dyDescent="0.4">
      <c r="I1531" s="11"/>
      <c r="J1531" s="9"/>
      <c r="K1531" s="9"/>
      <c r="O1531" s="11"/>
      <c r="P1531" s="9"/>
      <c r="Q1531" s="9"/>
      <c r="R1531" s="9"/>
      <c r="S1531" s="9"/>
      <c r="T1531" s="31"/>
      <c r="W1531" s="16"/>
      <c r="X1531" s="9"/>
      <c r="Y1531" s="9"/>
      <c r="AA1531" s="16"/>
      <c r="AK1531" s="16"/>
      <c r="AL1531" s="17"/>
      <c r="AN1531" s="16"/>
    </row>
    <row r="1532" spans="9:40" x14ac:dyDescent="0.4">
      <c r="I1532" s="11"/>
      <c r="J1532" s="9"/>
      <c r="K1532" s="9"/>
      <c r="O1532" s="11"/>
      <c r="P1532" s="9"/>
      <c r="Q1532" s="9"/>
      <c r="R1532" s="9"/>
      <c r="S1532" s="9"/>
      <c r="T1532" s="31"/>
      <c r="W1532" s="16"/>
      <c r="X1532" s="9"/>
      <c r="Y1532" s="9"/>
      <c r="AA1532" s="16"/>
      <c r="AK1532" s="16"/>
      <c r="AL1532" s="17"/>
      <c r="AN1532" s="16"/>
    </row>
    <row r="1533" spans="9:40" x14ac:dyDescent="0.4">
      <c r="I1533" s="11"/>
      <c r="J1533" s="9"/>
      <c r="K1533" s="9"/>
      <c r="O1533" s="11"/>
      <c r="P1533" s="9"/>
      <c r="Q1533" s="9"/>
      <c r="R1533" s="9"/>
      <c r="S1533" s="9"/>
      <c r="T1533" s="31"/>
      <c r="W1533" s="16"/>
      <c r="X1533" s="9"/>
      <c r="Y1533" s="9"/>
      <c r="AA1533" s="16"/>
      <c r="AK1533" s="16"/>
      <c r="AL1533" s="17"/>
      <c r="AN1533" s="16"/>
    </row>
    <row r="1534" spans="9:40" x14ac:dyDescent="0.4">
      <c r="I1534" s="11"/>
      <c r="J1534" s="9"/>
      <c r="K1534" s="9"/>
      <c r="O1534" s="11"/>
      <c r="P1534" s="9"/>
      <c r="Q1534" s="9"/>
      <c r="R1534" s="9"/>
      <c r="S1534" s="9"/>
      <c r="T1534" s="31"/>
      <c r="W1534" s="16"/>
      <c r="X1534" s="9"/>
      <c r="Y1534" s="9"/>
      <c r="AA1534" s="16"/>
      <c r="AK1534" s="16"/>
      <c r="AL1534" s="17"/>
      <c r="AN1534" s="16"/>
    </row>
    <row r="1535" spans="9:40" x14ac:dyDescent="0.4">
      <c r="I1535" s="11"/>
      <c r="J1535" s="9"/>
      <c r="K1535" s="9"/>
      <c r="O1535" s="11"/>
      <c r="P1535" s="9"/>
      <c r="Q1535" s="9"/>
      <c r="R1535" s="9"/>
      <c r="S1535" s="9"/>
      <c r="T1535" s="31"/>
      <c r="W1535" s="16"/>
      <c r="X1535" s="9"/>
      <c r="Y1535" s="9"/>
      <c r="AA1535" s="16"/>
      <c r="AK1535" s="16"/>
      <c r="AL1535" s="17"/>
      <c r="AN1535" s="16"/>
    </row>
    <row r="1536" spans="9:40" x14ac:dyDescent="0.4">
      <c r="I1536" s="11"/>
      <c r="J1536" s="9"/>
      <c r="K1536" s="9"/>
      <c r="O1536" s="11"/>
      <c r="P1536" s="9"/>
      <c r="Q1536" s="9"/>
      <c r="R1536" s="9"/>
      <c r="S1536" s="9"/>
      <c r="T1536" s="31"/>
      <c r="W1536" s="16"/>
      <c r="X1536" s="9"/>
      <c r="Y1536" s="9"/>
      <c r="AA1536" s="16"/>
      <c r="AK1536" s="16"/>
      <c r="AL1536" s="17"/>
      <c r="AN1536" s="16"/>
    </row>
    <row r="1537" spans="9:40" x14ac:dyDescent="0.4">
      <c r="I1537" s="11"/>
      <c r="J1537" s="9"/>
      <c r="K1537" s="9"/>
      <c r="O1537" s="11"/>
      <c r="P1537" s="9"/>
      <c r="Q1537" s="9"/>
      <c r="R1537" s="9"/>
      <c r="S1537" s="9"/>
      <c r="T1537" s="31"/>
      <c r="W1537" s="16"/>
      <c r="X1537" s="9"/>
      <c r="Y1537" s="9"/>
      <c r="AA1537" s="16"/>
      <c r="AK1537" s="16"/>
      <c r="AL1537" s="17"/>
      <c r="AN1537" s="16"/>
    </row>
    <row r="1538" spans="9:40" x14ac:dyDescent="0.4">
      <c r="I1538" s="11"/>
      <c r="J1538" s="9"/>
      <c r="K1538" s="9"/>
      <c r="O1538" s="11"/>
      <c r="P1538" s="9"/>
      <c r="Q1538" s="9"/>
      <c r="R1538" s="9"/>
      <c r="S1538" s="9"/>
      <c r="T1538" s="31"/>
      <c r="W1538" s="16"/>
      <c r="X1538" s="9"/>
      <c r="Y1538" s="9"/>
      <c r="AA1538" s="16"/>
      <c r="AK1538" s="16"/>
      <c r="AL1538" s="17"/>
      <c r="AN1538" s="16"/>
    </row>
    <row r="1539" spans="9:40" x14ac:dyDescent="0.4">
      <c r="I1539" s="11"/>
      <c r="J1539" s="9"/>
      <c r="K1539" s="9"/>
      <c r="O1539" s="11"/>
      <c r="P1539" s="9"/>
      <c r="Q1539" s="9"/>
      <c r="R1539" s="9"/>
      <c r="S1539" s="9"/>
      <c r="T1539" s="31"/>
      <c r="W1539" s="16"/>
      <c r="X1539" s="9"/>
      <c r="Y1539" s="9"/>
      <c r="AA1539" s="16"/>
      <c r="AK1539" s="16"/>
      <c r="AL1539" s="17"/>
      <c r="AN1539" s="16"/>
    </row>
    <row r="1540" spans="9:40" x14ac:dyDescent="0.4">
      <c r="I1540" s="11"/>
      <c r="J1540" s="9"/>
      <c r="K1540" s="9"/>
      <c r="O1540" s="11"/>
      <c r="P1540" s="9"/>
      <c r="Q1540" s="9"/>
      <c r="R1540" s="9"/>
      <c r="S1540" s="9"/>
      <c r="T1540" s="31"/>
      <c r="W1540" s="16"/>
      <c r="X1540" s="9"/>
      <c r="Y1540" s="9"/>
      <c r="AA1540" s="16"/>
      <c r="AK1540" s="16"/>
      <c r="AL1540" s="17"/>
      <c r="AN1540" s="16"/>
    </row>
    <row r="1541" spans="9:40" x14ac:dyDescent="0.4">
      <c r="I1541" s="11"/>
      <c r="J1541" s="9"/>
      <c r="K1541" s="9"/>
      <c r="O1541" s="11"/>
      <c r="P1541" s="9"/>
      <c r="Q1541" s="9"/>
      <c r="R1541" s="9"/>
      <c r="S1541" s="9"/>
      <c r="T1541" s="31"/>
      <c r="W1541" s="16"/>
      <c r="X1541" s="9"/>
      <c r="Y1541" s="9"/>
      <c r="AA1541" s="16"/>
      <c r="AK1541" s="16"/>
      <c r="AL1541" s="17"/>
      <c r="AN1541" s="16"/>
    </row>
    <row r="1542" spans="9:40" x14ac:dyDescent="0.4">
      <c r="I1542" s="11"/>
      <c r="J1542" s="9"/>
      <c r="K1542" s="9"/>
      <c r="O1542" s="11"/>
      <c r="P1542" s="9"/>
      <c r="Q1542" s="9"/>
      <c r="R1542" s="9"/>
      <c r="S1542" s="9"/>
      <c r="T1542" s="31"/>
      <c r="W1542" s="16"/>
      <c r="X1542" s="9"/>
      <c r="Y1542" s="9"/>
      <c r="AA1542" s="16"/>
      <c r="AK1542" s="16"/>
      <c r="AL1542" s="17"/>
      <c r="AN1542" s="16"/>
    </row>
    <row r="1543" spans="9:40" x14ac:dyDescent="0.4">
      <c r="I1543" s="11"/>
      <c r="J1543" s="9"/>
      <c r="K1543" s="9"/>
      <c r="O1543" s="11"/>
      <c r="P1543" s="9"/>
      <c r="Q1543" s="9"/>
      <c r="R1543" s="9"/>
      <c r="S1543" s="9"/>
      <c r="T1543" s="31"/>
      <c r="W1543" s="16"/>
      <c r="X1543" s="9"/>
      <c r="Y1543" s="9"/>
      <c r="AA1543" s="16"/>
      <c r="AK1543" s="16"/>
      <c r="AL1543" s="17"/>
      <c r="AN1543" s="16"/>
    </row>
    <row r="1544" spans="9:40" x14ac:dyDescent="0.4">
      <c r="I1544" s="11"/>
      <c r="J1544" s="9"/>
      <c r="K1544" s="9"/>
      <c r="O1544" s="11"/>
      <c r="P1544" s="9"/>
      <c r="Q1544" s="9"/>
      <c r="R1544" s="9"/>
      <c r="S1544" s="9"/>
      <c r="T1544" s="31"/>
      <c r="W1544" s="16"/>
      <c r="X1544" s="9"/>
      <c r="Y1544" s="9"/>
      <c r="AA1544" s="16"/>
      <c r="AK1544" s="16"/>
      <c r="AL1544" s="17"/>
      <c r="AN1544" s="16"/>
    </row>
    <row r="1545" spans="9:40" x14ac:dyDescent="0.4">
      <c r="I1545" s="11"/>
      <c r="J1545" s="9"/>
      <c r="K1545" s="9"/>
      <c r="O1545" s="11"/>
      <c r="P1545" s="9"/>
      <c r="Q1545" s="9"/>
      <c r="R1545" s="9"/>
      <c r="S1545" s="9"/>
      <c r="T1545" s="31"/>
      <c r="W1545" s="16"/>
      <c r="X1545" s="9"/>
      <c r="Y1545" s="9"/>
      <c r="AA1545" s="16"/>
      <c r="AK1545" s="16"/>
      <c r="AL1545" s="17"/>
      <c r="AN1545" s="16"/>
    </row>
    <row r="1546" spans="9:40" x14ac:dyDescent="0.4">
      <c r="I1546" s="11"/>
      <c r="J1546" s="9"/>
      <c r="K1546" s="9"/>
      <c r="O1546" s="11"/>
      <c r="P1546" s="9"/>
      <c r="Q1546" s="9"/>
      <c r="R1546" s="9"/>
      <c r="S1546" s="9"/>
      <c r="T1546" s="31"/>
      <c r="W1546" s="16"/>
      <c r="X1546" s="9"/>
      <c r="Y1546" s="9"/>
      <c r="AA1546" s="16"/>
      <c r="AK1546" s="16"/>
      <c r="AL1546" s="17"/>
      <c r="AN1546" s="16"/>
    </row>
    <row r="1547" spans="9:40" x14ac:dyDescent="0.4">
      <c r="I1547" s="11"/>
      <c r="J1547" s="9"/>
      <c r="K1547" s="9"/>
      <c r="O1547" s="11"/>
      <c r="P1547" s="9"/>
      <c r="Q1547" s="9"/>
      <c r="R1547" s="9"/>
      <c r="S1547" s="9"/>
      <c r="T1547" s="31"/>
      <c r="W1547" s="16"/>
      <c r="X1547" s="9"/>
      <c r="Y1547" s="9"/>
      <c r="AA1547" s="16"/>
      <c r="AK1547" s="16"/>
      <c r="AL1547" s="17"/>
      <c r="AN1547" s="16"/>
    </row>
    <row r="1548" spans="9:40" x14ac:dyDescent="0.4">
      <c r="I1548" s="11"/>
      <c r="J1548" s="9"/>
      <c r="K1548" s="9"/>
      <c r="O1548" s="11"/>
      <c r="P1548" s="9"/>
      <c r="Q1548" s="9"/>
      <c r="R1548" s="9"/>
      <c r="S1548" s="9"/>
      <c r="T1548" s="31"/>
      <c r="W1548" s="16"/>
      <c r="X1548" s="9"/>
      <c r="Y1548" s="9"/>
      <c r="AA1548" s="16"/>
      <c r="AK1548" s="16"/>
      <c r="AL1548" s="17"/>
      <c r="AN1548" s="16"/>
    </row>
    <row r="1549" spans="9:40" x14ac:dyDescent="0.4">
      <c r="I1549" s="11"/>
      <c r="J1549" s="9"/>
      <c r="K1549" s="9"/>
      <c r="O1549" s="11"/>
      <c r="P1549" s="9"/>
      <c r="Q1549" s="9"/>
      <c r="R1549" s="9"/>
      <c r="S1549" s="9"/>
      <c r="T1549" s="31"/>
      <c r="W1549" s="16"/>
      <c r="X1549" s="9"/>
      <c r="Y1549" s="9"/>
      <c r="AA1549" s="16"/>
      <c r="AK1549" s="16"/>
      <c r="AL1549" s="17"/>
      <c r="AN1549" s="16"/>
    </row>
    <row r="1550" spans="9:40" x14ac:dyDescent="0.4">
      <c r="I1550" s="11"/>
      <c r="J1550" s="9"/>
      <c r="K1550" s="9"/>
      <c r="O1550" s="11"/>
      <c r="P1550" s="9"/>
      <c r="Q1550" s="9"/>
      <c r="R1550" s="9"/>
      <c r="S1550" s="9"/>
      <c r="T1550" s="31"/>
      <c r="W1550" s="16"/>
      <c r="X1550" s="9"/>
      <c r="Y1550" s="9"/>
      <c r="AA1550" s="16"/>
      <c r="AK1550" s="16"/>
      <c r="AL1550" s="17"/>
      <c r="AN1550" s="16"/>
    </row>
    <row r="1551" spans="9:40" x14ac:dyDescent="0.4">
      <c r="I1551" s="11"/>
      <c r="J1551" s="9"/>
      <c r="K1551" s="9"/>
      <c r="O1551" s="11"/>
      <c r="P1551" s="9"/>
      <c r="Q1551" s="9"/>
      <c r="R1551" s="9"/>
      <c r="S1551" s="9"/>
      <c r="T1551" s="31"/>
      <c r="W1551" s="16"/>
      <c r="X1551" s="9"/>
      <c r="Y1551" s="9"/>
      <c r="AA1551" s="16"/>
      <c r="AK1551" s="16"/>
      <c r="AL1551" s="17"/>
      <c r="AN1551" s="16"/>
    </row>
    <row r="1552" spans="9:40" x14ac:dyDescent="0.4">
      <c r="I1552" s="11"/>
      <c r="J1552" s="9"/>
      <c r="K1552" s="9"/>
      <c r="O1552" s="11"/>
      <c r="P1552" s="9"/>
      <c r="Q1552" s="9"/>
      <c r="R1552" s="9"/>
      <c r="S1552" s="9"/>
      <c r="T1552" s="31"/>
      <c r="W1552" s="16"/>
      <c r="X1552" s="9"/>
      <c r="Y1552" s="9"/>
      <c r="AA1552" s="16"/>
      <c r="AK1552" s="16"/>
      <c r="AL1552" s="17"/>
      <c r="AN1552" s="16"/>
    </row>
    <row r="1553" spans="9:40" x14ac:dyDescent="0.4">
      <c r="I1553" s="11"/>
      <c r="J1553" s="9"/>
      <c r="K1553" s="9"/>
      <c r="O1553" s="11"/>
      <c r="P1553" s="9"/>
      <c r="Q1553" s="9"/>
      <c r="R1553" s="9"/>
      <c r="S1553" s="9"/>
      <c r="T1553" s="31"/>
      <c r="W1553" s="16"/>
      <c r="X1553" s="9"/>
      <c r="Y1553" s="9"/>
      <c r="AA1553" s="16"/>
      <c r="AK1553" s="16"/>
      <c r="AL1553" s="17"/>
      <c r="AN1553" s="16"/>
    </row>
    <row r="1554" spans="9:40" x14ac:dyDescent="0.4">
      <c r="I1554" s="11"/>
      <c r="J1554" s="9"/>
      <c r="K1554" s="9"/>
      <c r="O1554" s="11"/>
      <c r="P1554" s="9"/>
      <c r="Q1554" s="9"/>
      <c r="R1554" s="9"/>
      <c r="S1554" s="9"/>
      <c r="T1554" s="31"/>
      <c r="W1554" s="16"/>
      <c r="X1554" s="9"/>
      <c r="Y1554" s="9"/>
      <c r="AA1554" s="16"/>
      <c r="AK1554" s="16"/>
      <c r="AL1554" s="17"/>
      <c r="AN1554" s="16"/>
    </row>
    <row r="1555" spans="9:40" x14ac:dyDescent="0.4">
      <c r="I1555" s="11"/>
      <c r="J1555" s="9"/>
      <c r="K1555" s="9"/>
      <c r="O1555" s="11"/>
      <c r="P1555" s="9"/>
      <c r="Q1555" s="9"/>
      <c r="R1555" s="9"/>
      <c r="S1555" s="9"/>
      <c r="T1555" s="31"/>
      <c r="W1555" s="16"/>
      <c r="X1555" s="9"/>
      <c r="Y1555" s="9"/>
      <c r="AA1555" s="16"/>
      <c r="AK1555" s="16"/>
      <c r="AL1555" s="17"/>
      <c r="AN1555" s="16"/>
    </row>
    <row r="1556" spans="9:40" x14ac:dyDescent="0.4">
      <c r="I1556" s="11"/>
      <c r="J1556" s="9"/>
      <c r="K1556" s="9"/>
      <c r="O1556" s="11"/>
      <c r="P1556" s="9"/>
      <c r="Q1556" s="9"/>
      <c r="R1556" s="9"/>
      <c r="S1556" s="9"/>
      <c r="T1556" s="31"/>
      <c r="W1556" s="16"/>
      <c r="X1556" s="9"/>
      <c r="Y1556" s="9"/>
      <c r="AA1556" s="16"/>
      <c r="AK1556" s="16"/>
      <c r="AL1556" s="17"/>
      <c r="AN1556" s="16"/>
    </row>
    <row r="1557" spans="9:40" x14ac:dyDescent="0.4">
      <c r="I1557" s="11"/>
      <c r="J1557" s="9"/>
      <c r="K1557" s="9"/>
      <c r="O1557" s="11"/>
      <c r="P1557" s="9"/>
      <c r="Q1557" s="9"/>
      <c r="R1557" s="9"/>
      <c r="S1557" s="9"/>
      <c r="T1557" s="31"/>
      <c r="W1557" s="16"/>
      <c r="X1557" s="9"/>
      <c r="Y1557" s="9"/>
      <c r="AA1557" s="16"/>
      <c r="AK1557" s="16"/>
      <c r="AL1557" s="17"/>
      <c r="AN1557" s="16"/>
    </row>
    <row r="1558" spans="9:40" x14ac:dyDescent="0.4">
      <c r="I1558" s="11"/>
      <c r="J1558" s="9"/>
      <c r="K1558" s="9"/>
      <c r="O1558" s="11"/>
      <c r="P1558" s="9"/>
      <c r="Q1558" s="9"/>
      <c r="R1558" s="9"/>
      <c r="S1558" s="9"/>
      <c r="T1558" s="31"/>
      <c r="W1558" s="16"/>
      <c r="X1558" s="9"/>
      <c r="Y1558" s="9"/>
      <c r="AA1558" s="16"/>
      <c r="AK1558" s="16"/>
      <c r="AL1558" s="17"/>
      <c r="AN1558" s="16"/>
    </row>
    <row r="1559" spans="9:40" x14ac:dyDescent="0.4">
      <c r="I1559" s="11"/>
      <c r="J1559" s="9"/>
      <c r="K1559" s="9"/>
      <c r="O1559" s="11"/>
      <c r="P1559" s="9"/>
      <c r="Q1559" s="9"/>
      <c r="R1559" s="9"/>
      <c r="S1559" s="9"/>
      <c r="T1559" s="31"/>
      <c r="W1559" s="16"/>
      <c r="X1559" s="9"/>
      <c r="Y1559" s="9"/>
      <c r="AA1559" s="16"/>
      <c r="AK1559" s="16"/>
      <c r="AL1559" s="17"/>
      <c r="AN1559" s="16"/>
    </row>
    <row r="1560" spans="9:40" x14ac:dyDescent="0.4">
      <c r="I1560" s="11"/>
      <c r="J1560" s="9"/>
      <c r="K1560" s="9"/>
      <c r="O1560" s="11"/>
      <c r="P1560" s="9"/>
      <c r="Q1560" s="9"/>
      <c r="R1560" s="9"/>
      <c r="S1560" s="9"/>
      <c r="T1560" s="31"/>
      <c r="W1560" s="16"/>
      <c r="X1560" s="9"/>
      <c r="Y1560" s="9"/>
      <c r="AA1560" s="16"/>
      <c r="AK1560" s="16"/>
      <c r="AL1560" s="17"/>
      <c r="AN1560" s="16"/>
    </row>
    <row r="1561" spans="9:40" x14ac:dyDescent="0.4">
      <c r="I1561" s="11"/>
      <c r="J1561" s="9"/>
      <c r="K1561" s="9"/>
      <c r="O1561" s="11"/>
      <c r="P1561" s="9"/>
      <c r="Q1561" s="9"/>
      <c r="R1561" s="9"/>
      <c r="S1561" s="9"/>
      <c r="T1561" s="31"/>
      <c r="W1561" s="16"/>
      <c r="X1561" s="9"/>
      <c r="Y1561" s="9"/>
      <c r="AA1561" s="16"/>
      <c r="AK1561" s="16"/>
      <c r="AL1561" s="17"/>
      <c r="AN1561" s="16"/>
    </row>
    <row r="1562" spans="9:40" x14ac:dyDescent="0.4">
      <c r="I1562" s="11"/>
      <c r="J1562" s="9"/>
      <c r="K1562" s="9"/>
      <c r="O1562" s="11"/>
      <c r="P1562" s="9"/>
      <c r="Q1562" s="9"/>
      <c r="R1562" s="9"/>
      <c r="S1562" s="9"/>
      <c r="T1562" s="31"/>
      <c r="W1562" s="16"/>
      <c r="X1562" s="9"/>
      <c r="Y1562" s="9"/>
      <c r="AA1562" s="16"/>
      <c r="AK1562" s="16"/>
      <c r="AL1562" s="17"/>
      <c r="AN1562" s="16"/>
    </row>
    <row r="1563" spans="9:40" x14ac:dyDescent="0.4">
      <c r="I1563" s="11"/>
      <c r="J1563" s="9"/>
      <c r="K1563" s="9"/>
      <c r="O1563" s="11"/>
      <c r="P1563" s="9"/>
      <c r="Q1563" s="9"/>
      <c r="R1563" s="9"/>
      <c r="S1563" s="9"/>
      <c r="T1563" s="31"/>
      <c r="W1563" s="16"/>
      <c r="X1563" s="9"/>
      <c r="Y1563" s="9"/>
      <c r="AA1563" s="16"/>
      <c r="AK1563" s="16"/>
      <c r="AL1563" s="17"/>
      <c r="AN1563" s="16"/>
    </row>
    <row r="1564" spans="9:40" x14ac:dyDescent="0.4">
      <c r="I1564" s="11"/>
      <c r="J1564" s="9"/>
      <c r="K1564" s="9"/>
      <c r="O1564" s="11"/>
      <c r="P1564" s="9"/>
      <c r="Q1564" s="9"/>
      <c r="R1564" s="9"/>
      <c r="S1564" s="9"/>
      <c r="T1564" s="31"/>
      <c r="W1564" s="16"/>
      <c r="X1564" s="9"/>
      <c r="Y1564" s="9"/>
      <c r="AA1564" s="16"/>
      <c r="AK1564" s="16"/>
      <c r="AL1564" s="17"/>
      <c r="AN1564" s="16"/>
    </row>
    <row r="1565" spans="9:40" x14ac:dyDescent="0.4">
      <c r="I1565" s="11"/>
      <c r="J1565" s="9"/>
      <c r="K1565" s="9"/>
      <c r="O1565" s="11"/>
      <c r="P1565" s="9"/>
      <c r="Q1565" s="9"/>
      <c r="R1565" s="9"/>
      <c r="S1565" s="9"/>
      <c r="T1565" s="31"/>
      <c r="W1565" s="16"/>
      <c r="X1565" s="9"/>
      <c r="Y1565" s="9"/>
      <c r="AA1565" s="16"/>
      <c r="AK1565" s="16"/>
      <c r="AL1565" s="17"/>
      <c r="AN1565" s="16"/>
    </row>
    <row r="1566" spans="9:40" x14ac:dyDescent="0.4">
      <c r="I1566" s="11"/>
      <c r="J1566" s="9"/>
      <c r="K1566" s="9"/>
      <c r="O1566" s="11"/>
      <c r="P1566" s="9"/>
      <c r="Q1566" s="9"/>
      <c r="R1566" s="9"/>
      <c r="S1566" s="9"/>
      <c r="T1566" s="31"/>
      <c r="W1566" s="16"/>
      <c r="X1566" s="9"/>
      <c r="Y1566" s="9"/>
      <c r="AA1566" s="16"/>
      <c r="AK1566" s="16"/>
      <c r="AL1566" s="17"/>
      <c r="AN1566" s="16"/>
    </row>
    <row r="1567" spans="9:40" x14ac:dyDescent="0.4">
      <c r="I1567" s="11"/>
      <c r="J1567" s="9"/>
      <c r="K1567" s="9"/>
      <c r="O1567" s="11"/>
      <c r="P1567" s="9"/>
      <c r="Q1567" s="9"/>
      <c r="R1567" s="9"/>
      <c r="S1567" s="9"/>
      <c r="T1567" s="31"/>
      <c r="W1567" s="16"/>
      <c r="X1567" s="9"/>
      <c r="Y1567" s="9"/>
      <c r="AA1567" s="16"/>
      <c r="AK1567" s="16"/>
      <c r="AL1567" s="17"/>
      <c r="AN1567" s="16"/>
    </row>
    <row r="1568" spans="9:40" x14ac:dyDescent="0.4">
      <c r="I1568" s="11"/>
      <c r="J1568" s="9"/>
      <c r="K1568" s="9"/>
      <c r="O1568" s="11"/>
      <c r="P1568" s="9"/>
      <c r="Q1568" s="9"/>
      <c r="R1568" s="9"/>
      <c r="S1568" s="9"/>
      <c r="T1568" s="31"/>
      <c r="W1568" s="16"/>
      <c r="X1568" s="9"/>
      <c r="Y1568" s="9"/>
      <c r="AA1568" s="16"/>
      <c r="AK1568" s="16"/>
      <c r="AL1568" s="17"/>
      <c r="AN1568" s="16"/>
    </row>
    <row r="1569" spans="9:40" x14ac:dyDescent="0.4">
      <c r="I1569" s="11"/>
      <c r="J1569" s="9"/>
      <c r="K1569" s="9"/>
      <c r="O1569" s="11"/>
      <c r="P1569" s="9"/>
      <c r="Q1569" s="9"/>
      <c r="R1569" s="9"/>
      <c r="S1569" s="9"/>
      <c r="T1569" s="31"/>
      <c r="W1569" s="16"/>
      <c r="X1569" s="9"/>
      <c r="Y1569" s="9"/>
      <c r="AA1569" s="16"/>
      <c r="AK1569" s="16"/>
      <c r="AL1569" s="17"/>
      <c r="AN1569" s="16"/>
    </row>
    <row r="1570" spans="9:40" x14ac:dyDescent="0.4">
      <c r="I1570" s="11"/>
      <c r="J1570" s="9"/>
      <c r="K1570" s="9"/>
      <c r="O1570" s="11"/>
      <c r="P1570" s="9"/>
      <c r="Q1570" s="9"/>
      <c r="R1570" s="9"/>
      <c r="S1570" s="9"/>
      <c r="T1570" s="31"/>
      <c r="W1570" s="16"/>
      <c r="X1570" s="9"/>
      <c r="Y1570" s="9"/>
      <c r="AA1570" s="16"/>
      <c r="AK1570" s="16"/>
      <c r="AL1570" s="17"/>
      <c r="AN1570" s="16"/>
    </row>
    <row r="1571" spans="9:40" x14ac:dyDescent="0.4">
      <c r="I1571" s="11"/>
      <c r="J1571" s="9"/>
      <c r="K1571" s="9"/>
      <c r="O1571" s="11"/>
      <c r="P1571" s="9"/>
      <c r="Q1571" s="9"/>
      <c r="R1571" s="9"/>
      <c r="S1571" s="9"/>
      <c r="T1571" s="31"/>
      <c r="W1571" s="16"/>
      <c r="X1571" s="9"/>
      <c r="Y1571" s="9"/>
      <c r="AA1571" s="16"/>
      <c r="AK1571" s="16"/>
      <c r="AL1571" s="17"/>
      <c r="AN1571" s="16"/>
    </row>
    <row r="1572" spans="9:40" x14ac:dyDescent="0.4">
      <c r="I1572" s="11"/>
      <c r="J1572" s="9"/>
      <c r="K1572" s="9"/>
      <c r="O1572" s="11"/>
      <c r="P1572" s="9"/>
      <c r="Q1572" s="9"/>
      <c r="R1572" s="9"/>
      <c r="S1572" s="9"/>
      <c r="T1572" s="31"/>
      <c r="W1572" s="16"/>
      <c r="X1572" s="9"/>
      <c r="Y1572" s="9"/>
      <c r="AA1572" s="16"/>
      <c r="AK1572" s="16"/>
      <c r="AL1572" s="17"/>
      <c r="AN1572" s="16"/>
    </row>
    <row r="1573" spans="9:40" x14ac:dyDescent="0.4">
      <c r="I1573" s="11"/>
      <c r="J1573" s="9"/>
      <c r="K1573" s="9"/>
      <c r="O1573" s="11"/>
      <c r="P1573" s="9"/>
      <c r="Q1573" s="9"/>
      <c r="R1573" s="9"/>
      <c r="S1573" s="9"/>
      <c r="T1573" s="31"/>
      <c r="W1573" s="16"/>
      <c r="X1573" s="9"/>
      <c r="Y1573" s="9"/>
      <c r="AA1573" s="16"/>
      <c r="AK1573" s="16"/>
      <c r="AL1573" s="17"/>
      <c r="AN1573" s="16"/>
    </row>
    <row r="1574" spans="9:40" x14ac:dyDescent="0.4">
      <c r="I1574" s="11"/>
      <c r="J1574" s="9"/>
      <c r="K1574" s="9"/>
      <c r="O1574" s="11"/>
      <c r="P1574" s="9"/>
      <c r="Q1574" s="9"/>
      <c r="R1574" s="9"/>
      <c r="S1574" s="9"/>
      <c r="T1574" s="31"/>
      <c r="W1574" s="16"/>
      <c r="X1574" s="9"/>
      <c r="Y1574" s="9"/>
      <c r="AA1574" s="16"/>
      <c r="AK1574" s="16"/>
      <c r="AL1574" s="17"/>
      <c r="AN1574" s="16"/>
    </row>
    <row r="1575" spans="9:40" x14ac:dyDescent="0.4">
      <c r="I1575" s="11"/>
      <c r="J1575" s="9"/>
      <c r="K1575" s="9"/>
      <c r="O1575" s="11"/>
      <c r="P1575" s="9"/>
      <c r="Q1575" s="9"/>
      <c r="R1575" s="9"/>
      <c r="S1575" s="9"/>
      <c r="T1575" s="31"/>
      <c r="W1575" s="16"/>
      <c r="X1575" s="9"/>
      <c r="Y1575" s="9"/>
      <c r="AA1575" s="16"/>
      <c r="AK1575" s="16"/>
      <c r="AL1575" s="17"/>
      <c r="AN1575" s="16"/>
    </row>
    <row r="1576" spans="9:40" x14ac:dyDescent="0.4">
      <c r="I1576" s="11"/>
      <c r="J1576" s="9"/>
      <c r="K1576" s="9"/>
      <c r="O1576" s="11"/>
      <c r="P1576" s="9"/>
      <c r="Q1576" s="9"/>
      <c r="R1576" s="9"/>
      <c r="S1576" s="9"/>
      <c r="T1576" s="31"/>
      <c r="W1576" s="16"/>
      <c r="X1576" s="9"/>
      <c r="Y1576" s="9"/>
      <c r="AA1576" s="16"/>
      <c r="AK1576" s="16"/>
      <c r="AL1576" s="17"/>
      <c r="AN1576" s="16"/>
    </row>
    <row r="1577" spans="9:40" x14ac:dyDescent="0.4">
      <c r="I1577" s="11"/>
      <c r="J1577" s="9"/>
      <c r="K1577" s="9"/>
      <c r="O1577" s="11"/>
      <c r="P1577" s="9"/>
      <c r="Q1577" s="9"/>
      <c r="R1577" s="9"/>
      <c r="S1577" s="9"/>
      <c r="T1577" s="31"/>
      <c r="W1577" s="16"/>
      <c r="X1577" s="9"/>
      <c r="Y1577" s="9"/>
      <c r="AA1577" s="16"/>
      <c r="AK1577" s="16"/>
      <c r="AL1577" s="17"/>
      <c r="AN1577" s="16"/>
    </row>
    <row r="1578" spans="9:40" x14ac:dyDescent="0.4">
      <c r="I1578" s="11"/>
      <c r="J1578" s="9"/>
      <c r="K1578" s="9"/>
      <c r="O1578" s="11"/>
      <c r="P1578" s="9"/>
      <c r="Q1578" s="9"/>
      <c r="R1578" s="9"/>
      <c r="S1578" s="9"/>
      <c r="T1578" s="31"/>
      <c r="W1578" s="16"/>
      <c r="X1578" s="9"/>
      <c r="Y1578" s="9"/>
      <c r="AA1578" s="16"/>
      <c r="AK1578" s="16"/>
      <c r="AL1578" s="17"/>
      <c r="AN1578" s="16"/>
    </row>
    <row r="1579" spans="9:40" x14ac:dyDescent="0.4">
      <c r="I1579" s="11"/>
      <c r="J1579" s="9"/>
      <c r="K1579" s="9"/>
      <c r="O1579" s="11"/>
      <c r="P1579" s="9"/>
      <c r="Q1579" s="9"/>
      <c r="R1579" s="9"/>
      <c r="S1579" s="9"/>
      <c r="T1579" s="31"/>
      <c r="W1579" s="16"/>
      <c r="X1579" s="9"/>
      <c r="Y1579" s="9"/>
      <c r="AA1579" s="16"/>
      <c r="AK1579" s="16"/>
      <c r="AL1579" s="17"/>
      <c r="AN1579" s="16"/>
    </row>
    <row r="1580" spans="9:40" x14ac:dyDescent="0.4">
      <c r="I1580" s="11"/>
      <c r="J1580" s="9"/>
      <c r="K1580" s="9"/>
      <c r="O1580" s="11"/>
      <c r="P1580" s="9"/>
      <c r="Q1580" s="9"/>
      <c r="R1580" s="9"/>
      <c r="S1580" s="9"/>
      <c r="T1580" s="31"/>
      <c r="W1580" s="16"/>
      <c r="X1580" s="9"/>
      <c r="Y1580" s="9"/>
      <c r="AA1580" s="16"/>
      <c r="AK1580" s="16"/>
      <c r="AL1580" s="17"/>
      <c r="AN1580" s="16"/>
    </row>
    <row r="1581" spans="9:40" x14ac:dyDescent="0.4">
      <c r="I1581" s="11"/>
      <c r="J1581" s="9"/>
      <c r="K1581" s="9"/>
      <c r="O1581" s="11"/>
      <c r="P1581" s="9"/>
      <c r="Q1581" s="9"/>
      <c r="R1581" s="9"/>
      <c r="S1581" s="9"/>
      <c r="T1581" s="31"/>
      <c r="W1581" s="16"/>
      <c r="X1581" s="9"/>
      <c r="Y1581" s="9"/>
      <c r="AA1581" s="16"/>
      <c r="AK1581" s="16"/>
      <c r="AL1581" s="17"/>
      <c r="AN1581" s="16"/>
    </row>
    <row r="1582" spans="9:40" x14ac:dyDescent="0.4">
      <c r="I1582" s="11"/>
      <c r="J1582" s="9"/>
      <c r="K1582" s="9"/>
      <c r="O1582" s="11"/>
      <c r="P1582" s="9"/>
      <c r="Q1582" s="9"/>
      <c r="R1582" s="9"/>
      <c r="S1582" s="9"/>
      <c r="T1582" s="31"/>
      <c r="W1582" s="16"/>
      <c r="X1582" s="9"/>
      <c r="Y1582" s="9"/>
      <c r="AA1582" s="16"/>
      <c r="AK1582" s="16"/>
      <c r="AL1582" s="17"/>
      <c r="AN1582" s="16"/>
    </row>
    <row r="1583" spans="9:40" x14ac:dyDescent="0.4">
      <c r="I1583" s="11"/>
      <c r="J1583" s="9"/>
      <c r="K1583" s="9"/>
      <c r="O1583" s="11"/>
      <c r="P1583" s="9"/>
      <c r="Q1583" s="9"/>
      <c r="R1583" s="9"/>
      <c r="S1583" s="9"/>
      <c r="T1583" s="31"/>
      <c r="W1583" s="16"/>
      <c r="X1583" s="9"/>
      <c r="Y1583" s="9"/>
      <c r="AA1583" s="16"/>
      <c r="AK1583" s="16"/>
      <c r="AL1583" s="17"/>
      <c r="AN1583" s="16"/>
    </row>
    <row r="1584" spans="9:40" x14ac:dyDescent="0.4">
      <c r="I1584" s="11"/>
      <c r="J1584" s="9"/>
      <c r="K1584" s="9"/>
      <c r="O1584" s="11"/>
      <c r="P1584" s="9"/>
      <c r="Q1584" s="9"/>
      <c r="R1584" s="9"/>
      <c r="S1584" s="9"/>
      <c r="T1584" s="31"/>
      <c r="W1584" s="16"/>
      <c r="X1584" s="9"/>
      <c r="Y1584" s="9"/>
      <c r="AA1584" s="16"/>
      <c r="AK1584" s="16"/>
      <c r="AL1584" s="17"/>
      <c r="AN1584" s="16"/>
    </row>
    <row r="1585" spans="9:40" x14ac:dyDescent="0.4">
      <c r="I1585" s="11"/>
      <c r="J1585" s="9"/>
      <c r="K1585" s="9"/>
      <c r="O1585" s="11"/>
      <c r="P1585" s="9"/>
      <c r="Q1585" s="9"/>
      <c r="R1585" s="9"/>
      <c r="S1585" s="9"/>
      <c r="T1585" s="31"/>
      <c r="W1585" s="16"/>
      <c r="X1585" s="9"/>
      <c r="Y1585" s="9"/>
      <c r="AA1585" s="16"/>
      <c r="AK1585" s="16"/>
      <c r="AL1585" s="17"/>
      <c r="AN1585" s="16"/>
    </row>
    <row r="1586" spans="9:40" x14ac:dyDescent="0.4">
      <c r="I1586" s="11"/>
      <c r="J1586" s="9"/>
      <c r="K1586" s="9"/>
      <c r="O1586" s="11"/>
      <c r="P1586" s="9"/>
      <c r="Q1586" s="9"/>
      <c r="R1586" s="9"/>
      <c r="S1586" s="9"/>
      <c r="T1586" s="31"/>
      <c r="W1586" s="16"/>
      <c r="X1586" s="9"/>
      <c r="Y1586" s="9"/>
      <c r="AA1586" s="16"/>
      <c r="AK1586" s="16"/>
      <c r="AL1586" s="17"/>
      <c r="AN1586" s="16"/>
    </row>
    <row r="1587" spans="9:40" x14ac:dyDescent="0.4">
      <c r="I1587" s="11"/>
      <c r="J1587" s="9"/>
      <c r="K1587" s="9"/>
      <c r="O1587" s="11"/>
      <c r="P1587" s="9"/>
      <c r="Q1587" s="9"/>
      <c r="R1587" s="9"/>
      <c r="S1587" s="9"/>
      <c r="T1587" s="31"/>
      <c r="W1587" s="16"/>
      <c r="X1587" s="9"/>
      <c r="Y1587" s="9"/>
      <c r="AA1587" s="16"/>
      <c r="AK1587" s="16"/>
      <c r="AL1587" s="17"/>
      <c r="AN1587" s="16"/>
    </row>
    <row r="1588" spans="9:40" x14ac:dyDescent="0.4">
      <c r="I1588" s="11"/>
      <c r="J1588" s="9"/>
      <c r="K1588" s="9"/>
      <c r="O1588" s="11"/>
      <c r="P1588" s="9"/>
      <c r="Q1588" s="9"/>
      <c r="R1588" s="9"/>
      <c r="S1588" s="9"/>
      <c r="T1588" s="31"/>
      <c r="W1588" s="16"/>
      <c r="X1588" s="9"/>
      <c r="Y1588" s="9"/>
      <c r="AA1588" s="16"/>
      <c r="AK1588" s="16"/>
      <c r="AL1588" s="17"/>
      <c r="AN1588" s="16"/>
    </row>
    <row r="1589" spans="9:40" x14ac:dyDescent="0.4">
      <c r="I1589" s="11"/>
      <c r="J1589" s="9"/>
      <c r="K1589" s="9"/>
      <c r="O1589" s="11"/>
      <c r="P1589" s="9"/>
      <c r="Q1589" s="9"/>
      <c r="R1589" s="9"/>
      <c r="S1589" s="9"/>
      <c r="T1589" s="31"/>
      <c r="W1589" s="16"/>
      <c r="X1589" s="9"/>
      <c r="Y1589" s="9"/>
      <c r="AA1589" s="16"/>
      <c r="AK1589" s="16"/>
      <c r="AL1589" s="17"/>
      <c r="AN1589" s="16"/>
    </row>
    <row r="1590" spans="9:40" x14ac:dyDescent="0.4">
      <c r="I1590" s="11"/>
      <c r="J1590" s="9"/>
      <c r="K1590" s="9"/>
      <c r="O1590" s="11"/>
      <c r="P1590" s="9"/>
      <c r="Q1590" s="9"/>
      <c r="R1590" s="9"/>
      <c r="S1590" s="9"/>
      <c r="T1590" s="31"/>
      <c r="W1590" s="16"/>
      <c r="X1590" s="9"/>
      <c r="Y1590" s="9"/>
      <c r="AA1590" s="16"/>
      <c r="AK1590" s="16"/>
      <c r="AL1590" s="17"/>
      <c r="AN1590" s="16"/>
    </row>
    <row r="1591" spans="9:40" x14ac:dyDescent="0.4">
      <c r="I1591" s="11"/>
      <c r="J1591" s="9"/>
      <c r="K1591" s="9"/>
      <c r="O1591" s="11"/>
      <c r="P1591" s="9"/>
      <c r="Q1591" s="9"/>
      <c r="R1591" s="9"/>
      <c r="S1591" s="9"/>
      <c r="T1591" s="31"/>
      <c r="W1591" s="16"/>
      <c r="X1591" s="9"/>
      <c r="Y1591" s="9"/>
      <c r="AA1591" s="16"/>
      <c r="AK1591" s="16"/>
      <c r="AL1591" s="17"/>
      <c r="AN1591" s="16"/>
    </row>
    <row r="1592" spans="9:40" x14ac:dyDescent="0.4">
      <c r="I1592" s="11"/>
      <c r="J1592" s="9"/>
      <c r="K1592" s="9"/>
      <c r="O1592" s="11"/>
      <c r="P1592" s="9"/>
      <c r="Q1592" s="9"/>
      <c r="R1592" s="9"/>
      <c r="S1592" s="9"/>
      <c r="T1592" s="31"/>
      <c r="W1592" s="16"/>
      <c r="X1592" s="9"/>
      <c r="Y1592" s="9"/>
      <c r="AA1592" s="16"/>
      <c r="AK1592" s="16"/>
      <c r="AL1592" s="17"/>
      <c r="AN1592" s="16"/>
    </row>
    <row r="1593" spans="9:40" x14ac:dyDescent="0.4">
      <c r="I1593" s="11"/>
      <c r="J1593" s="9"/>
      <c r="K1593" s="9"/>
      <c r="O1593" s="11"/>
      <c r="P1593" s="9"/>
      <c r="Q1593" s="9"/>
      <c r="R1593" s="9"/>
      <c r="S1593" s="9"/>
      <c r="T1593" s="31"/>
      <c r="W1593" s="16"/>
      <c r="X1593" s="9"/>
      <c r="Y1593" s="9"/>
      <c r="AA1593" s="16"/>
      <c r="AK1593" s="16"/>
      <c r="AL1593" s="17"/>
      <c r="AN1593" s="16"/>
    </row>
    <row r="1594" spans="9:40" x14ac:dyDescent="0.4">
      <c r="I1594" s="11"/>
      <c r="J1594" s="9"/>
      <c r="K1594" s="9"/>
      <c r="O1594" s="11"/>
      <c r="P1594" s="9"/>
      <c r="Q1594" s="9"/>
      <c r="R1594" s="9"/>
      <c r="S1594" s="9"/>
      <c r="T1594" s="31"/>
      <c r="W1594" s="16"/>
      <c r="X1594" s="9"/>
      <c r="Y1594" s="9"/>
      <c r="AA1594" s="16"/>
      <c r="AK1594" s="16"/>
      <c r="AL1594" s="17"/>
      <c r="AN1594" s="16"/>
    </row>
    <row r="1595" spans="9:40" x14ac:dyDescent="0.4">
      <c r="I1595" s="11"/>
      <c r="J1595" s="9"/>
      <c r="K1595" s="9"/>
      <c r="O1595" s="11"/>
      <c r="P1595" s="9"/>
      <c r="Q1595" s="9"/>
      <c r="R1595" s="9"/>
      <c r="S1595" s="9"/>
      <c r="T1595" s="31"/>
      <c r="W1595" s="16"/>
      <c r="X1595" s="9"/>
      <c r="Y1595" s="9"/>
      <c r="AA1595" s="16"/>
      <c r="AK1595" s="16"/>
      <c r="AL1595" s="17"/>
      <c r="AN1595" s="16"/>
    </row>
    <row r="1596" spans="9:40" x14ac:dyDescent="0.4">
      <c r="I1596" s="11"/>
      <c r="J1596" s="9"/>
      <c r="K1596" s="9"/>
      <c r="O1596" s="11"/>
      <c r="P1596" s="9"/>
      <c r="Q1596" s="9"/>
      <c r="R1596" s="9"/>
      <c r="S1596" s="9"/>
      <c r="T1596" s="31"/>
      <c r="W1596" s="16"/>
      <c r="X1596" s="9"/>
      <c r="Y1596" s="9"/>
      <c r="AA1596" s="16"/>
      <c r="AK1596" s="16"/>
      <c r="AL1596" s="17"/>
      <c r="AN1596" s="16"/>
    </row>
    <row r="1597" spans="9:40" x14ac:dyDescent="0.4">
      <c r="I1597" s="11"/>
      <c r="J1597" s="9"/>
      <c r="K1597" s="9"/>
      <c r="O1597" s="11"/>
      <c r="P1597" s="9"/>
      <c r="Q1597" s="9"/>
      <c r="R1597" s="9"/>
      <c r="S1597" s="9"/>
      <c r="T1597" s="31"/>
      <c r="W1597" s="16"/>
      <c r="X1597" s="9"/>
      <c r="Y1597" s="9"/>
      <c r="AA1597" s="16"/>
      <c r="AK1597" s="16"/>
      <c r="AL1597" s="17"/>
      <c r="AN1597" s="16"/>
    </row>
    <row r="1598" spans="9:40" x14ac:dyDescent="0.4">
      <c r="I1598" s="11"/>
      <c r="J1598" s="9"/>
      <c r="K1598" s="9"/>
      <c r="O1598" s="11"/>
      <c r="P1598" s="9"/>
      <c r="Q1598" s="9"/>
      <c r="R1598" s="9"/>
      <c r="S1598" s="9"/>
      <c r="T1598" s="31"/>
      <c r="W1598" s="16"/>
      <c r="X1598" s="9"/>
      <c r="Y1598" s="9"/>
      <c r="AA1598" s="16"/>
      <c r="AK1598" s="16"/>
      <c r="AL1598" s="17"/>
      <c r="AN1598" s="16"/>
    </row>
    <row r="1599" spans="9:40" x14ac:dyDescent="0.4">
      <c r="I1599" s="11"/>
      <c r="J1599" s="9"/>
      <c r="K1599" s="9"/>
      <c r="O1599" s="11"/>
      <c r="P1599" s="9"/>
      <c r="Q1599" s="9"/>
      <c r="R1599" s="9"/>
      <c r="S1599" s="9"/>
      <c r="T1599" s="31"/>
      <c r="W1599" s="16"/>
      <c r="X1599" s="9"/>
      <c r="Y1599" s="9"/>
      <c r="AA1599" s="16"/>
      <c r="AK1599" s="16"/>
      <c r="AL1599" s="17"/>
      <c r="AN1599" s="16"/>
    </row>
    <row r="1600" spans="9:40" x14ac:dyDescent="0.4">
      <c r="I1600" s="11"/>
      <c r="J1600" s="9"/>
      <c r="K1600" s="9"/>
      <c r="O1600" s="11"/>
      <c r="P1600" s="9"/>
      <c r="Q1600" s="9"/>
      <c r="R1600" s="9"/>
      <c r="S1600" s="9"/>
      <c r="T1600" s="31"/>
      <c r="W1600" s="16"/>
      <c r="X1600" s="9"/>
      <c r="Y1600" s="9"/>
      <c r="AA1600" s="16"/>
      <c r="AK1600" s="16"/>
      <c r="AL1600" s="17"/>
      <c r="AN1600" s="16"/>
    </row>
    <row r="1601" spans="9:40" x14ac:dyDescent="0.4">
      <c r="I1601" s="11"/>
      <c r="J1601" s="9"/>
      <c r="K1601" s="9"/>
      <c r="O1601" s="11"/>
      <c r="P1601" s="9"/>
      <c r="Q1601" s="9"/>
      <c r="R1601" s="9"/>
      <c r="S1601" s="9"/>
      <c r="T1601" s="31"/>
      <c r="W1601" s="16"/>
      <c r="X1601" s="9"/>
      <c r="Y1601" s="9"/>
      <c r="AA1601" s="16"/>
      <c r="AK1601" s="16"/>
      <c r="AL1601" s="17"/>
      <c r="AN1601" s="16"/>
    </row>
    <row r="1602" spans="9:40" x14ac:dyDescent="0.4">
      <c r="I1602" s="11"/>
      <c r="J1602" s="9"/>
      <c r="K1602" s="9"/>
      <c r="O1602" s="11"/>
      <c r="P1602" s="9"/>
      <c r="Q1602" s="9"/>
      <c r="R1602" s="9"/>
      <c r="S1602" s="9"/>
      <c r="T1602" s="31"/>
      <c r="W1602" s="16"/>
      <c r="X1602" s="9"/>
      <c r="Y1602" s="9"/>
      <c r="AA1602" s="16"/>
      <c r="AK1602" s="16"/>
      <c r="AL1602" s="17"/>
      <c r="AN1602" s="16"/>
    </row>
    <row r="1603" spans="9:40" x14ac:dyDescent="0.4">
      <c r="I1603" s="11"/>
      <c r="J1603" s="9"/>
      <c r="K1603" s="9"/>
      <c r="O1603" s="11"/>
      <c r="P1603" s="9"/>
      <c r="Q1603" s="9"/>
      <c r="R1603" s="9"/>
      <c r="S1603" s="9"/>
      <c r="T1603" s="31"/>
      <c r="W1603" s="16"/>
      <c r="X1603" s="9"/>
      <c r="Y1603" s="9"/>
      <c r="AA1603" s="16"/>
      <c r="AK1603" s="16"/>
      <c r="AL1603" s="17"/>
      <c r="AN1603" s="16"/>
    </row>
    <row r="1604" spans="9:40" x14ac:dyDescent="0.4">
      <c r="I1604" s="11"/>
      <c r="J1604" s="9"/>
      <c r="K1604" s="9"/>
      <c r="O1604" s="11"/>
      <c r="P1604" s="9"/>
      <c r="Q1604" s="9"/>
      <c r="R1604" s="9"/>
      <c r="S1604" s="9"/>
      <c r="T1604" s="31"/>
      <c r="W1604" s="16"/>
      <c r="X1604" s="9"/>
      <c r="Y1604" s="9"/>
      <c r="AA1604" s="16"/>
      <c r="AK1604" s="16"/>
      <c r="AL1604" s="17"/>
      <c r="AN1604" s="16"/>
    </row>
    <row r="1605" spans="9:40" x14ac:dyDescent="0.4">
      <c r="I1605" s="11"/>
      <c r="J1605" s="9"/>
      <c r="K1605" s="9"/>
      <c r="O1605" s="11"/>
      <c r="P1605" s="9"/>
      <c r="Q1605" s="9"/>
      <c r="R1605" s="9"/>
      <c r="S1605" s="9"/>
      <c r="T1605" s="31"/>
      <c r="W1605" s="16"/>
      <c r="X1605" s="9"/>
      <c r="Y1605" s="9"/>
      <c r="AA1605" s="16"/>
      <c r="AK1605" s="16"/>
      <c r="AL1605" s="17"/>
      <c r="AN1605" s="16"/>
    </row>
    <row r="1606" spans="9:40" x14ac:dyDescent="0.4">
      <c r="I1606" s="11"/>
      <c r="J1606" s="9"/>
      <c r="K1606" s="9"/>
      <c r="O1606" s="11"/>
      <c r="P1606" s="9"/>
      <c r="Q1606" s="9"/>
      <c r="R1606" s="9"/>
      <c r="S1606" s="9"/>
      <c r="T1606" s="31"/>
      <c r="W1606" s="16"/>
      <c r="X1606" s="9"/>
      <c r="Y1606" s="9"/>
      <c r="AA1606" s="16"/>
      <c r="AK1606" s="16"/>
      <c r="AL1606" s="17"/>
      <c r="AN1606" s="16"/>
    </row>
    <row r="1607" spans="9:40" x14ac:dyDescent="0.4">
      <c r="I1607" s="11"/>
      <c r="J1607" s="9"/>
      <c r="K1607" s="9"/>
      <c r="O1607" s="11"/>
      <c r="P1607" s="9"/>
      <c r="Q1607" s="9"/>
      <c r="R1607" s="9"/>
      <c r="S1607" s="9"/>
      <c r="T1607" s="31"/>
      <c r="W1607" s="16"/>
      <c r="X1607" s="9"/>
      <c r="Y1607" s="9"/>
      <c r="AA1607" s="16"/>
      <c r="AK1607" s="16"/>
      <c r="AL1607" s="17"/>
      <c r="AN1607" s="16"/>
    </row>
    <row r="1608" spans="9:40" x14ac:dyDescent="0.4">
      <c r="I1608" s="11"/>
      <c r="J1608" s="9"/>
      <c r="K1608" s="9"/>
      <c r="O1608" s="11"/>
      <c r="P1608" s="9"/>
      <c r="Q1608" s="9"/>
      <c r="R1608" s="9"/>
      <c r="S1608" s="9"/>
      <c r="T1608" s="31"/>
      <c r="W1608" s="16"/>
      <c r="X1608" s="9"/>
      <c r="Y1608" s="9"/>
      <c r="AA1608" s="16"/>
      <c r="AK1608" s="16"/>
      <c r="AL1608" s="17"/>
      <c r="AN1608" s="16"/>
    </row>
    <row r="1609" spans="9:40" x14ac:dyDescent="0.4">
      <c r="I1609" s="11"/>
      <c r="J1609" s="9"/>
      <c r="K1609" s="9"/>
      <c r="O1609" s="11"/>
      <c r="P1609" s="9"/>
      <c r="Q1609" s="9"/>
      <c r="R1609" s="9"/>
      <c r="S1609" s="9"/>
      <c r="T1609" s="31"/>
      <c r="W1609" s="16"/>
      <c r="X1609" s="9"/>
      <c r="Y1609" s="9"/>
      <c r="AA1609" s="16"/>
      <c r="AK1609" s="16"/>
      <c r="AL1609" s="17"/>
      <c r="AN1609" s="16"/>
    </row>
    <row r="1610" spans="9:40" x14ac:dyDescent="0.4">
      <c r="I1610" s="11"/>
      <c r="J1610" s="9"/>
      <c r="K1610" s="9"/>
      <c r="O1610" s="11"/>
      <c r="P1610" s="9"/>
      <c r="Q1610" s="9"/>
      <c r="R1610" s="9"/>
      <c r="S1610" s="9"/>
      <c r="T1610" s="31"/>
      <c r="W1610" s="16"/>
      <c r="X1610" s="9"/>
      <c r="Y1610" s="9"/>
      <c r="AA1610" s="16"/>
      <c r="AK1610" s="16"/>
      <c r="AL1610" s="17"/>
      <c r="AN1610" s="16"/>
    </row>
    <row r="1611" spans="9:40" x14ac:dyDescent="0.4">
      <c r="I1611" s="11"/>
      <c r="J1611" s="9"/>
      <c r="K1611" s="9"/>
      <c r="O1611" s="11"/>
      <c r="P1611" s="9"/>
      <c r="Q1611" s="9"/>
      <c r="R1611" s="9"/>
      <c r="S1611" s="9"/>
      <c r="T1611" s="31"/>
      <c r="W1611" s="16"/>
      <c r="X1611" s="9"/>
      <c r="Y1611" s="9"/>
      <c r="AA1611" s="16"/>
      <c r="AK1611" s="16"/>
      <c r="AL1611" s="17"/>
      <c r="AN1611" s="16"/>
    </row>
    <row r="1612" spans="9:40" x14ac:dyDescent="0.4">
      <c r="I1612" s="11"/>
      <c r="J1612" s="9"/>
      <c r="K1612" s="9"/>
      <c r="O1612" s="11"/>
      <c r="P1612" s="9"/>
      <c r="Q1612" s="9"/>
      <c r="R1612" s="9"/>
      <c r="S1612" s="9"/>
      <c r="T1612" s="31"/>
      <c r="W1612" s="16"/>
      <c r="X1612" s="9"/>
      <c r="Y1612" s="9"/>
      <c r="AA1612" s="16"/>
      <c r="AK1612" s="16"/>
      <c r="AL1612" s="17"/>
      <c r="AN1612" s="16"/>
    </row>
    <row r="1613" spans="9:40" x14ac:dyDescent="0.4">
      <c r="I1613" s="11"/>
      <c r="J1613" s="9"/>
      <c r="K1613" s="9"/>
      <c r="O1613" s="11"/>
      <c r="P1613" s="9"/>
      <c r="Q1613" s="9"/>
      <c r="R1613" s="9"/>
      <c r="S1613" s="9"/>
      <c r="T1613" s="31"/>
      <c r="W1613" s="16"/>
      <c r="X1613" s="9"/>
      <c r="Y1613" s="9"/>
      <c r="AA1613" s="16"/>
      <c r="AK1613" s="16"/>
      <c r="AL1613" s="17"/>
      <c r="AN1613" s="16"/>
    </row>
    <row r="1614" spans="9:40" x14ac:dyDescent="0.4">
      <c r="I1614" s="11"/>
      <c r="J1614" s="9"/>
      <c r="K1614" s="9"/>
      <c r="O1614" s="11"/>
      <c r="P1614" s="9"/>
      <c r="Q1614" s="9"/>
      <c r="R1614" s="9"/>
      <c r="S1614" s="9"/>
      <c r="T1614" s="31"/>
      <c r="W1614" s="16"/>
      <c r="X1614" s="9"/>
      <c r="Y1614" s="9"/>
      <c r="AA1614" s="16"/>
      <c r="AK1614" s="16"/>
      <c r="AL1614" s="17"/>
      <c r="AN1614" s="16"/>
    </row>
    <row r="1615" spans="9:40" x14ac:dyDescent="0.4">
      <c r="I1615" s="11"/>
      <c r="J1615" s="9"/>
      <c r="K1615" s="9"/>
      <c r="O1615" s="11"/>
      <c r="P1615" s="9"/>
      <c r="Q1615" s="9"/>
      <c r="R1615" s="9"/>
      <c r="S1615" s="9"/>
      <c r="T1615" s="31"/>
      <c r="W1615" s="16"/>
      <c r="X1615" s="9"/>
      <c r="Y1615" s="9"/>
      <c r="AA1615" s="16"/>
      <c r="AK1615" s="16"/>
      <c r="AL1615" s="17"/>
      <c r="AN1615" s="16"/>
    </row>
    <row r="1616" spans="9:40" x14ac:dyDescent="0.4">
      <c r="I1616" s="11"/>
      <c r="J1616" s="9"/>
      <c r="K1616" s="9"/>
      <c r="O1616" s="11"/>
      <c r="P1616" s="9"/>
      <c r="Q1616" s="9"/>
      <c r="R1616" s="9"/>
      <c r="S1616" s="9"/>
      <c r="T1616" s="31"/>
      <c r="W1616" s="16"/>
      <c r="X1616" s="9"/>
      <c r="Y1616" s="9"/>
      <c r="AA1616" s="16"/>
      <c r="AK1616" s="16"/>
      <c r="AL1616" s="17"/>
      <c r="AN1616" s="16"/>
    </row>
    <row r="1617" spans="9:40" x14ac:dyDescent="0.4">
      <c r="I1617" s="11"/>
      <c r="J1617" s="9"/>
      <c r="K1617" s="9"/>
      <c r="O1617" s="11"/>
      <c r="P1617" s="9"/>
      <c r="Q1617" s="9"/>
      <c r="R1617" s="9"/>
      <c r="S1617" s="9"/>
      <c r="T1617" s="31"/>
      <c r="W1617" s="16"/>
      <c r="X1617" s="9"/>
      <c r="Y1617" s="9"/>
      <c r="AA1617" s="16"/>
      <c r="AK1617" s="16"/>
      <c r="AL1617" s="17"/>
      <c r="AN1617" s="16"/>
    </row>
    <row r="1618" spans="9:40" x14ac:dyDescent="0.4">
      <c r="I1618" s="11"/>
      <c r="J1618" s="9"/>
      <c r="K1618" s="9"/>
      <c r="O1618" s="11"/>
      <c r="P1618" s="9"/>
      <c r="Q1618" s="9"/>
      <c r="R1618" s="9"/>
      <c r="S1618" s="9"/>
      <c r="T1618" s="31"/>
      <c r="W1618" s="16"/>
      <c r="X1618" s="9"/>
      <c r="Y1618" s="9"/>
      <c r="AA1618" s="16"/>
      <c r="AK1618" s="16"/>
      <c r="AL1618" s="17"/>
      <c r="AN1618" s="16"/>
    </row>
    <row r="1619" spans="9:40" x14ac:dyDescent="0.4">
      <c r="I1619" s="11"/>
      <c r="J1619" s="9"/>
      <c r="K1619" s="9"/>
      <c r="O1619" s="11"/>
      <c r="P1619" s="9"/>
      <c r="Q1619" s="9"/>
      <c r="R1619" s="9"/>
      <c r="S1619" s="9"/>
      <c r="T1619" s="31"/>
      <c r="W1619" s="16"/>
      <c r="X1619" s="9"/>
      <c r="Y1619" s="9"/>
      <c r="AA1619" s="16"/>
      <c r="AK1619" s="16"/>
      <c r="AL1619" s="17"/>
      <c r="AN1619" s="16"/>
    </row>
    <row r="1620" spans="9:40" x14ac:dyDescent="0.4">
      <c r="I1620" s="11"/>
      <c r="J1620" s="9"/>
      <c r="K1620" s="9"/>
      <c r="O1620" s="11"/>
      <c r="P1620" s="9"/>
      <c r="Q1620" s="9"/>
      <c r="R1620" s="9"/>
      <c r="S1620" s="9"/>
      <c r="T1620" s="31"/>
      <c r="W1620" s="16"/>
      <c r="X1620" s="9"/>
      <c r="Y1620" s="9"/>
      <c r="AA1620" s="16"/>
      <c r="AK1620" s="16"/>
      <c r="AL1620" s="17"/>
      <c r="AN1620" s="16"/>
    </row>
    <row r="1621" spans="9:40" x14ac:dyDescent="0.4">
      <c r="I1621" s="11"/>
      <c r="J1621" s="9"/>
      <c r="K1621" s="9"/>
      <c r="O1621" s="11"/>
      <c r="P1621" s="9"/>
      <c r="Q1621" s="9"/>
      <c r="R1621" s="9"/>
      <c r="S1621" s="9"/>
      <c r="T1621" s="31"/>
      <c r="W1621" s="16"/>
      <c r="X1621" s="9"/>
      <c r="Y1621" s="9"/>
      <c r="AA1621" s="16"/>
      <c r="AK1621" s="16"/>
      <c r="AL1621" s="17"/>
      <c r="AN1621" s="16"/>
    </row>
    <row r="1622" spans="9:40" x14ac:dyDescent="0.4">
      <c r="I1622" s="11"/>
      <c r="J1622" s="9"/>
      <c r="K1622" s="9"/>
      <c r="O1622" s="11"/>
      <c r="P1622" s="9"/>
      <c r="Q1622" s="9"/>
      <c r="R1622" s="9"/>
      <c r="S1622" s="9"/>
      <c r="T1622" s="31"/>
      <c r="W1622" s="16"/>
      <c r="X1622" s="9"/>
      <c r="Y1622" s="9"/>
      <c r="AA1622" s="16"/>
      <c r="AK1622" s="16"/>
      <c r="AL1622" s="17"/>
      <c r="AN1622" s="16"/>
    </row>
    <row r="1623" spans="9:40" x14ac:dyDescent="0.4">
      <c r="I1623" s="11"/>
      <c r="J1623" s="9"/>
      <c r="K1623" s="9"/>
      <c r="O1623" s="11"/>
      <c r="P1623" s="9"/>
      <c r="Q1623" s="9"/>
      <c r="R1623" s="9"/>
      <c r="S1623" s="9"/>
      <c r="T1623" s="31"/>
      <c r="W1623" s="16"/>
      <c r="X1623" s="9"/>
      <c r="Y1623" s="9"/>
      <c r="AA1623" s="16"/>
      <c r="AK1623" s="16"/>
      <c r="AL1623" s="17"/>
      <c r="AN1623" s="16"/>
    </row>
    <row r="1624" spans="9:40" x14ac:dyDescent="0.4">
      <c r="I1624" s="11"/>
      <c r="J1624" s="9"/>
      <c r="K1624" s="9"/>
      <c r="O1624" s="11"/>
      <c r="P1624" s="9"/>
      <c r="Q1624" s="9"/>
      <c r="R1624" s="9"/>
      <c r="S1624" s="9"/>
      <c r="T1624" s="31"/>
      <c r="W1624" s="16"/>
      <c r="X1624" s="9"/>
      <c r="Y1624" s="9"/>
      <c r="AA1624" s="16"/>
      <c r="AK1624" s="16"/>
      <c r="AL1624" s="17"/>
      <c r="AN1624" s="16"/>
    </row>
    <row r="1625" spans="9:40" x14ac:dyDescent="0.4">
      <c r="I1625" s="11"/>
      <c r="J1625" s="9"/>
      <c r="K1625" s="9"/>
      <c r="O1625" s="11"/>
      <c r="P1625" s="9"/>
      <c r="Q1625" s="9"/>
      <c r="R1625" s="9"/>
      <c r="S1625" s="9"/>
      <c r="T1625" s="31"/>
      <c r="W1625" s="16"/>
      <c r="X1625" s="9"/>
      <c r="Y1625" s="9"/>
      <c r="AA1625" s="16"/>
      <c r="AK1625" s="16"/>
      <c r="AL1625" s="17"/>
      <c r="AN1625" s="16"/>
    </row>
    <row r="1626" spans="9:40" x14ac:dyDescent="0.4">
      <c r="I1626" s="11"/>
      <c r="J1626" s="9"/>
      <c r="K1626" s="9"/>
      <c r="O1626" s="11"/>
      <c r="P1626" s="9"/>
      <c r="Q1626" s="9"/>
      <c r="R1626" s="9"/>
      <c r="S1626" s="9"/>
      <c r="T1626" s="31"/>
      <c r="W1626" s="16"/>
      <c r="X1626" s="9"/>
      <c r="Y1626" s="9"/>
      <c r="AA1626" s="16"/>
      <c r="AK1626" s="16"/>
      <c r="AL1626" s="17"/>
      <c r="AN1626" s="16"/>
    </row>
    <row r="1627" spans="9:40" x14ac:dyDescent="0.4">
      <c r="I1627" s="11"/>
      <c r="J1627" s="9"/>
      <c r="K1627" s="9"/>
      <c r="O1627" s="11"/>
      <c r="P1627" s="9"/>
      <c r="Q1627" s="9"/>
      <c r="R1627" s="9"/>
      <c r="S1627" s="9"/>
      <c r="T1627" s="31"/>
      <c r="W1627" s="16"/>
      <c r="X1627" s="9"/>
      <c r="Y1627" s="9"/>
      <c r="AA1627" s="16"/>
      <c r="AK1627" s="16"/>
      <c r="AL1627" s="17"/>
      <c r="AN1627" s="16"/>
    </row>
    <row r="1628" spans="9:40" x14ac:dyDescent="0.4">
      <c r="I1628" s="11"/>
      <c r="J1628" s="9"/>
      <c r="K1628" s="9"/>
      <c r="O1628" s="11"/>
      <c r="P1628" s="9"/>
      <c r="Q1628" s="9"/>
      <c r="R1628" s="9"/>
      <c r="S1628" s="9"/>
      <c r="T1628" s="31"/>
      <c r="W1628" s="16"/>
      <c r="X1628" s="9"/>
      <c r="Y1628" s="9"/>
      <c r="AA1628" s="16"/>
      <c r="AK1628" s="16"/>
      <c r="AL1628" s="17"/>
      <c r="AN1628" s="16"/>
    </row>
    <row r="1629" spans="9:40" x14ac:dyDescent="0.4">
      <c r="I1629" s="11"/>
      <c r="J1629" s="9"/>
      <c r="K1629" s="9"/>
      <c r="O1629" s="11"/>
      <c r="P1629" s="9"/>
      <c r="Q1629" s="9"/>
      <c r="R1629" s="9"/>
      <c r="S1629" s="9"/>
      <c r="T1629" s="31"/>
      <c r="W1629" s="16"/>
      <c r="X1629" s="9"/>
      <c r="Y1629" s="9"/>
      <c r="AA1629" s="16"/>
      <c r="AK1629" s="16"/>
      <c r="AL1629" s="17"/>
      <c r="AN1629" s="16"/>
    </row>
    <row r="1630" spans="9:40" x14ac:dyDescent="0.4">
      <c r="I1630" s="11"/>
      <c r="J1630" s="9"/>
      <c r="K1630" s="9"/>
      <c r="O1630" s="11"/>
      <c r="P1630" s="9"/>
      <c r="Q1630" s="9"/>
      <c r="R1630" s="9"/>
      <c r="S1630" s="9"/>
      <c r="T1630" s="31"/>
      <c r="W1630" s="16"/>
      <c r="X1630" s="9"/>
      <c r="Y1630" s="9"/>
      <c r="AA1630" s="16"/>
      <c r="AK1630" s="16"/>
      <c r="AL1630" s="17"/>
      <c r="AN1630" s="16"/>
    </row>
    <row r="1631" spans="9:40" x14ac:dyDescent="0.4">
      <c r="I1631" s="11"/>
      <c r="J1631" s="9"/>
      <c r="K1631" s="9"/>
      <c r="O1631" s="11"/>
      <c r="P1631" s="9"/>
      <c r="Q1631" s="9"/>
      <c r="R1631" s="9"/>
      <c r="S1631" s="9"/>
      <c r="T1631" s="31"/>
      <c r="W1631" s="16"/>
      <c r="X1631" s="9"/>
      <c r="Y1631" s="9"/>
      <c r="AA1631" s="16"/>
      <c r="AK1631" s="16"/>
      <c r="AL1631" s="17"/>
      <c r="AN1631" s="16"/>
    </row>
    <row r="1632" spans="9:40" x14ac:dyDescent="0.4">
      <c r="I1632" s="11"/>
      <c r="J1632" s="9"/>
      <c r="K1632" s="9"/>
      <c r="O1632" s="11"/>
      <c r="P1632" s="9"/>
      <c r="Q1632" s="9"/>
      <c r="R1632" s="9"/>
      <c r="S1632" s="9"/>
      <c r="T1632" s="31"/>
      <c r="W1632" s="16"/>
      <c r="X1632" s="9"/>
      <c r="Y1632" s="9"/>
      <c r="AA1632" s="16"/>
      <c r="AK1632" s="16"/>
      <c r="AL1632" s="17"/>
      <c r="AN1632" s="16"/>
    </row>
    <row r="1633" spans="9:40" x14ac:dyDescent="0.4">
      <c r="I1633" s="11"/>
      <c r="J1633" s="9"/>
      <c r="K1633" s="9"/>
      <c r="O1633" s="11"/>
      <c r="P1633" s="9"/>
      <c r="Q1633" s="9"/>
      <c r="R1633" s="9"/>
      <c r="S1633" s="9"/>
      <c r="T1633" s="31"/>
      <c r="W1633" s="16"/>
      <c r="X1633" s="9"/>
      <c r="Y1633" s="9"/>
      <c r="AA1633" s="16"/>
      <c r="AK1633" s="16"/>
      <c r="AL1633" s="17"/>
      <c r="AN1633" s="16"/>
    </row>
    <row r="1634" spans="9:40" x14ac:dyDescent="0.4">
      <c r="I1634" s="11"/>
      <c r="J1634" s="9"/>
      <c r="K1634" s="9"/>
      <c r="O1634" s="11"/>
      <c r="P1634" s="9"/>
      <c r="Q1634" s="9"/>
      <c r="R1634" s="9"/>
      <c r="S1634" s="9"/>
      <c r="T1634" s="31"/>
      <c r="W1634" s="16"/>
      <c r="X1634" s="9"/>
      <c r="Y1634" s="9"/>
      <c r="AA1634" s="16"/>
      <c r="AK1634" s="16"/>
      <c r="AL1634" s="17"/>
      <c r="AN1634" s="16"/>
    </row>
    <row r="1635" spans="9:40" x14ac:dyDescent="0.4">
      <c r="I1635" s="11"/>
      <c r="J1635" s="9"/>
      <c r="K1635" s="9"/>
      <c r="O1635" s="11"/>
      <c r="P1635" s="9"/>
      <c r="Q1635" s="9"/>
      <c r="R1635" s="9"/>
      <c r="S1635" s="9"/>
      <c r="T1635" s="31"/>
      <c r="W1635" s="16"/>
      <c r="X1635" s="9"/>
      <c r="Y1635" s="9"/>
      <c r="AA1635" s="16"/>
      <c r="AK1635" s="16"/>
      <c r="AL1635" s="17"/>
      <c r="AN1635" s="16"/>
    </row>
    <row r="1636" spans="9:40" x14ac:dyDescent="0.4">
      <c r="I1636" s="11"/>
      <c r="J1636" s="9"/>
      <c r="K1636" s="9"/>
      <c r="O1636" s="11"/>
      <c r="P1636" s="9"/>
      <c r="Q1636" s="9"/>
      <c r="R1636" s="9"/>
      <c r="S1636" s="9"/>
      <c r="T1636" s="31"/>
      <c r="W1636" s="16"/>
      <c r="X1636" s="9"/>
      <c r="Y1636" s="9"/>
      <c r="AA1636" s="16"/>
      <c r="AK1636" s="16"/>
      <c r="AL1636" s="17"/>
      <c r="AN1636" s="16"/>
    </row>
    <row r="1637" spans="9:40" x14ac:dyDescent="0.4">
      <c r="I1637" s="11"/>
      <c r="J1637" s="9"/>
      <c r="K1637" s="9"/>
      <c r="O1637" s="11"/>
      <c r="P1637" s="9"/>
      <c r="Q1637" s="9"/>
      <c r="R1637" s="9"/>
      <c r="S1637" s="9"/>
      <c r="T1637" s="31"/>
      <c r="W1637" s="16"/>
      <c r="X1637" s="9"/>
      <c r="Y1637" s="9"/>
      <c r="AA1637" s="16"/>
      <c r="AK1637" s="16"/>
      <c r="AL1637" s="17"/>
      <c r="AN1637" s="16"/>
    </row>
    <row r="1638" spans="9:40" x14ac:dyDescent="0.4">
      <c r="I1638" s="11"/>
      <c r="J1638" s="9"/>
      <c r="K1638" s="9"/>
      <c r="O1638" s="11"/>
      <c r="P1638" s="9"/>
      <c r="Q1638" s="9"/>
      <c r="R1638" s="9"/>
      <c r="S1638" s="9"/>
      <c r="T1638" s="31"/>
      <c r="W1638" s="16"/>
      <c r="X1638" s="9"/>
      <c r="Y1638" s="9"/>
      <c r="AA1638" s="16"/>
      <c r="AK1638" s="16"/>
      <c r="AL1638" s="17"/>
      <c r="AN1638" s="16"/>
    </row>
    <row r="1639" spans="9:40" x14ac:dyDescent="0.4">
      <c r="I1639" s="11"/>
      <c r="J1639" s="9"/>
      <c r="K1639" s="9"/>
      <c r="O1639" s="11"/>
      <c r="P1639" s="9"/>
      <c r="Q1639" s="9"/>
      <c r="R1639" s="9"/>
      <c r="S1639" s="9"/>
      <c r="T1639" s="31"/>
      <c r="W1639" s="16"/>
      <c r="X1639" s="9"/>
      <c r="Y1639" s="9"/>
      <c r="AA1639" s="16"/>
      <c r="AK1639" s="16"/>
      <c r="AL1639" s="17"/>
      <c r="AN1639" s="16"/>
    </row>
    <row r="1640" spans="9:40" x14ac:dyDescent="0.4">
      <c r="I1640" s="11"/>
      <c r="J1640" s="9"/>
      <c r="K1640" s="9"/>
      <c r="O1640" s="11"/>
      <c r="P1640" s="9"/>
      <c r="Q1640" s="9"/>
      <c r="R1640" s="9"/>
      <c r="S1640" s="9"/>
      <c r="T1640" s="31"/>
      <c r="W1640" s="16"/>
      <c r="X1640" s="9"/>
      <c r="Y1640" s="9"/>
      <c r="AA1640" s="16"/>
      <c r="AK1640" s="16"/>
      <c r="AL1640" s="17"/>
      <c r="AN1640" s="16"/>
    </row>
    <row r="1641" spans="9:40" x14ac:dyDescent="0.4">
      <c r="I1641" s="11"/>
      <c r="J1641" s="9"/>
      <c r="K1641" s="9"/>
      <c r="O1641" s="11"/>
      <c r="P1641" s="9"/>
      <c r="Q1641" s="9"/>
      <c r="R1641" s="9"/>
      <c r="S1641" s="9"/>
      <c r="T1641" s="31"/>
      <c r="W1641" s="16"/>
      <c r="X1641" s="9"/>
      <c r="Y1641" s="9"/>
      <c r="AA1641" s="16"/>
      <c r="AK1641" s="16"/>
      <c r="AL1641" s="17"/>
      <c r="AN1641" s="16"/>
    </row>
    <row r="1642" spans="9:40" x14ac:dyDescent="0.4">
      <c r="I1642" s="11"/>
      <c r="J1642" s="9"/>
      <c r="K1642" s="9"/>
      <c r="O1642" s="11"/>
      <c r="P1642" s="9"/>
      <c r="Q1642" s="9"/>
      <c r="R1642" s="9"/>
      <c r="S1642" s="9"/>
      <c r="T1642" s="31"/>
      <c r="W1642" s="16"/>
      <c r="X1642" s="9"/>
      <c r="Y1642" s="9"/>
      <c r="AA1642" s="16"/>
      <c r="AK1642" s="16"/>
      <c r="AL1642" s="17"/>
      <c r="AN1642" s="16"/>
    </row>
    <row r="1643" spans="9:40" x14ac:dyDescent="0.4">
      <c r="I1643" s="11"/>
      <c r="J1643" s="9"/>
      <c r="K1643" s="9"/>
      <c r="O1643" s="11"/>
      <c r="P1643" s="9"/>
      <c r="Q1643" s="9"/>
      <c r="R1643" s="9"/>
      <c r="S1643" s="9"/>
      <c r="T1643" s="31"/>
      <c r="W1643" s="16"/>
      <c r="X1643" s="9"/>
      <c r="Y1643" s="9"/>
      <c r="AA1643" s="16"/>
      <c r="AK1643" s="16"/>
      <c r="AL1643" s="17"/>
      <c r="AN1643" s="16"/>
    </row>
    <row r="1644" spans="9:40" x14ac:dyDescent="0.4">
      <c r="I1644" s="11"/>
      <c r="J1644" s="9"/>
      <c r="K1644" s="9"/>
      <c r="O1644" s="11"/>
      <c r="P1644" s="9"/>
      <c r="Q1644" s="9"/>
      <c r="R1644" s="9"/>
      <c r="S1644" s="9"/>
      <c r="T1644" s="31"/>
      <c r="W1644" s="16"/>
      <c r="X1644" s="9"/>
      <c r="Y1644" s="9"/>
      <c r="AA1644" s="16"/>
      <c r="AK1644" s="16"/>
      <c r="AL1644" s="17"/>
      <c r="AN1644" s="16"/>
    </row>
    <row r="1645" spans="9:40" x14ac:dyDescent="0.4">
      <c r="I1645" s="11"/>
      <c r="J1645" s="9"/>
      <c r="K1645" s="9"/>
      <c r="O1645" s="11"/>
      <c r="P1645" s="9"/>
      <c r="Q1645" s="9"/>
      <c r="R1645" s="9"/>
      <c r="S1645" s="9"/>
      <c r="T1645" s="31"/>
      <c r="W1645" s="16"/>
      <c r="X1645" s="9"/>
      <c r="Y1645" s="9"/>
      <c r="AA1645" s="16"/>
      <c r="AK1645" s="16"/>
      <c r="AL1645" s="17"/>
      <c r="AN1645" s="16"/>
    </row>
    <row r="1646" spans="9:40" x14ac:dyDescent="0.4">
      <c r="I1646" s="11"/>
      <c r="J1646" s="9"/>
      <c r="K1646" s="9"/>
      <c r="O1646" s="11"/>
      <c r="P1646" s="9"/>
      <c r="Q1646" s="9"/>
      <c r="R1646" s="9"/>
      <c r="S1646" s="9"/>
      <c r="T1646" s="31"/>
      <c r="W1646" s="16"/>
      <c r="X1646" s="9"/>
      <c r="Y1646" s="9"/>
      <c r="AA1646" s="16"/>
      <c r="AK1646" s="16"/>
      <c r="AL1646" s="17"/>
      <c r="AN1646" s="16"/>
    </row>
    <row r="1647" spans="9:40" x14ac:dyDescent="0.4">
      <c r="I1647" s="11"/>
      <c r="J1647" s="9"/>
      <c r="K1647" s="9"/>
      <c r="O1647" s="11"/>
      <c r="P1647" s="9"/>
      <c r="Q1647" s="9"/>
      <c r="R1647" s="9"/>
      <c r="S1647" s="9"/>
      <c r="T1647" s="31"/>
      <c r="W1647" s="16"/>
      <c r="X1647" s="9"/>
      <c r="Y1647" s="9"/>
      <c r="AA1647" s="16"/>
      <c r="AK1647" s="16"/>
      <c r="AL1647" s="17"/>
      <c r="AN1647" s="16"/>
    </row>
    <row r="1648" spans="9:40" x14ac:dyDescent="0.4">
      <c r="I1648" s="11"/>
      <c r="J1648" s="9"/>
      <c r="K1648" s="9"/>
      <c r="O1648" s="11"/>
      <c r="P1648" s="9"/>
      <c r="Q1648" s="9"/>
      <c r="R1648" s="9"/>
      <c r="S1648" s="9"/>
      <c r="T1648" s="31"/>
      <c r="W1648" s="16"/>
      <c r="X1648" s="9"/>
      <c r="Y1648" s="9"/>
      <c r="AA1648" s="16"/>
      <c r="AK1648" s="16"/>
      <c r="AL1648" s="17"/>
      <c r="AN1648" s="16"/>
    </row>
    <row r="1649" spans="9:40" x14ac:dyDescent="0.4">
      <c r="I1649" s="11"/>
      <c r="J1649" s="9"/>
      <c r="K1649" s="9"/>
      <c r="O1649" s="11"/>
      <c r="P1649" s="9"/>
      <c r="Q1649" s="9"/>
      <c r="R1649" s="9"/>
      <c r="S1649" s="9"/>
      <c r="T1649" s="31"/>
      <c r="W1649" s="16"/>
      <c r="X1649" s="9"/>
      <c r="Y1649" s="9"/>
      <c r="AA1649" s="16"/>
      <c r="AK1649" s="16"/>
      <c r="AL1649" s="17"/>
      <c r="AN1649" s="16"/>
    </row>
    <row r="1650" spans="9:40" x14ac:dyDescent="0.4">
      <c r="I1650" s="11"/>
      <c r="J1650" s="9"/>
      <c r="K1650" s="9"/>
      <c r="O1650" s="11"/>
      <c r="P1650" s="9"/>
      <c r="Q1650" s="9"/>
      <c r="R1650" s="9"/>
      <c r="S1650" s="9"/>
      <c r="T1650" s="31"/>
      <c r="W1650" s="16"/>
      <c r="X1650" s="9"/>
      <c r="Y1650" s="9"/>
      <c r="AA1650" s="16"/>
      <c r="AK1650" s="16"/>
      <c r="AL1650" s="17"/>
      <c r="AN1650" s="16"/>
    </row>
    <row r="1651" spans="9:40" x14ac:dyDescent="0.4">
      <c r="I1651" s="11"/>
      <c r="J1651" s="9"/>
      <c r="K1651" s="9"/>
      <c r="O1651" s="11"/>
      <c r="P1651" s="9"/>
      <c r="Q1651" s="9"/>
      <c r="R1651" s="9"/>
      <c r="S1651" s="9"/>
      <c r="T1651" s="31"/>
      <c r="W1651" s="16"/>
      <c r="X1651" s="9"/>
      <c r="Y1651" s="9"/>
      <c r="AA1651" s="16"/>
      <c r="AK1651" s="16"/>
      <c r="AL1651" s="17"/>
      <c r="AN1651" s="16"/>
    </row>
    <row r="1652" spans="9:40" x14ac:dyDescent="0.4">
      <c r="I1652" s="11"/>
      <c r="J1652" s="9"/>
      <c r="K1652" s="9"/>
      <c r="O1652" s="11"/>
      <c r="P1652" s="9"/>
      <c r="Q1652" s="9"/>
      <c r="R1652" s="9"/>
      <c r="S1652" s="9"/>
      <c r="T1652" s="31"/>
      <c r="W1652" s="16"/>
      <c r="X1652" s="9"/>
      <c r="Y1652" s="9"/>
      <c r="AA1652" s="16"/>
      <c r="AK1652" s="16"/>
      <c r="AL1652" s="17"/>
      <c r="AN1652" s="16"/>
    </row>
    <row r="1653" spans="9:40" x14ac:dyDescent="0.4">
      <c r="I1653" s="11"/>
      <c r="J1653" s="9"/>
      <c r="K1653" s="9"/>
      <c r="O1653" s="11"/>
      <c r="P1653" s="9"/>
      <c r="Q1653" s="9"/>
      <c r="R1653" s="9"/>
      <c r="S1653" s="9"/>
      <c r="T1653" s="31"/>
      <c r="W1653" s="16"/>
      <c r="X1653" s="9"/>
      <c r="Y1653" s="9"/>
      <c r="AA1653" s="16"/>
      <c r="AK1653" s="16"/>
      <c r="AL1653" s="17"/>
      <c r="AN1653" s="16"/>
    </row>
    <row r="1654" spans="9:40" x14ac:dyDescent="0.4">
      <c r="I1654" s="11"/>
      <c r="J1654" s="9"/>
      <c r="K1654" s="9"/>
      <c r="O1654" s="11"/>
      <c r="P1654" s="9"/>
      <c r="Q1654" s="9"/>
      <c r="R1654" s="9"/>
      <c r="S1654" s="9"/>
      <c r="T1654" s="31"/>
      <c r="W1654" s="16"/>
      <c r="X1654" s="9"/>
      <c r="Y1654" s="9"/>
      <c r="AA1654" s="16"/>
      <c r="AK1654" s="16"/>
      <c r="AL1654" s="17"/>
      <c r="AN1654" s="16"/>
    </row>
    <row r="1655" spans="9:40" x14ac:dyDescent="0.4">
      <c r="I1655" s="11"/>
      <c r="J1655" s="9"/>
      <c r="K1655" s="9"/>
      <c r="O1655" s="11"/>
      <c r="P1655" s="9"/>
      <c r="Q1655" s="9"/>
      <c r="R1655" s="9"/>
      <c r="S1655" s="9"/>
      <c r="T1655" s="31"/>
      <c r="W1655" s="16"/>
      <c r="X1655" s="9"/>
      <c r="Y1655" s="9"/>
      <c r="AA1655" s="16"/>
      <c r="AK1655" s="16"/>
      <c r="AL1655" s="17"/>
      <c r="AN1655" s="16"/>
    </row>
    <row r="1656" spans="9:40" x14ac:dyDescent="0.4">
      <c r="I1656" s="11"/>
      <c r="J1656" s="9"/>
      <c r="K1656" s="9"/>
      <c r="O1656" s="11"/>
      <c r="P1656" s="9"/>
      <c r="Q1656" s="9"/>
      <c r="R1656" s="9"/>
      <c r="S1656" s="9"/>
      <c r="T1656" s="31"/>
      <c r="W1656" s="16"/>
      <c r="X1656" s="9"/>
      <c r="Y1656" s="9"/>
      <c r="AA1656" s="16"/>
      <c r="AK1656" s="16"/>
      <c r="AL1656" s="17"/>
      <c r="AN1656" s="16"/>
    </row>
    <row r="1657" spans="9:40" x14ac:dyDescent="0.4">
      <c r="I1657" s="11"/>
      <c r="J1657" s="9"/>
      <c r="K1657" s="9"/>
      <c r="O1657" s="11"/>
      <c r="P1657" s="9"/>
      <c r="Q1657" s="9"/>
      <c r="R1657" s="9"/>
      <c r="S1657" s="9"/>
      <c r="T1657" s="31"/>
      <c r="W1657" s="16"/>
      <c r="X1657" s="9"/>
      <c r="Y1657" s="9"/>
      <c r="AA1657" s="16"/>
      <c r="AK1657" s="16"/>
      <c r="AL1657" s="17"/>
      <c r="AN1657" s="16"/>
    </row>
    <row r="1658" spans="9:40" x14ac:dyDescent="0.4">
      <c r="I1658" s="11"/>
      <c r="J1658" s="9"/>
      <c r="K1658" s="9"/>
      <c r="O1658" s="11"/>
      <c r="P1658" s="9"/>
      <c r="Q1658" s="9"/>
      <c r="R1658" s="9"/>
      <c r="S1658" s="9"/>
      <c r="T1658" s="31"/>
      <c r="W1658" s="16"/>
      <c r="X1658" s="9"/>
      <c r="Y1658" s="9"/>
      <c r="AA1658" s="16"/>
      <c r="AK1658" s="16"/>
      <c r="AL1658" s="17"/>
      <c r="AN1658" s="16"/>
    </row>
    <row r="1659" spans="9:40" x14ac:dyDescent="0.4">
      <c r="I1659" s="11"/>
      <c r="J1659" s="9"/>
      <c r="K1659" s="9"/>
      <c r="O1659" s="11"/>
      <c r="P1659" s="9"/>
      <c r="Q1659" s="9"/>
      <c r="R1659" s="9"/>
      <c r="S1659" s="9"/>
      <c r="T1659" s="31"/>
      <c r="W1659" s="16"/>
      <c r="X1659" s="9"/>
      <c r="Y1659" s="9"/>
      <c r="AA1659" s="16"/>
      <c r="AK1659" s="16"/>
      <c r="AL1659" s="17"/>
      <c r="AN1659" s="16"/>
    </row>
    <row r="1660" spans="9:40" x14ac:dyDescent="0.4">
      <c r="I1660" s="11"/>
      <c r="J1660" s="9"/>
      <c r="K1660" s="9"/>
      <c r="O1660" s="11"/>
      <c r="P1660" s="9"/>
      <c r="Q1660" s="9"/>
      <c r="R1660" s="9"/>
      <c r="S1660" s="9"/>
      <c r="T1660" s="31"/>
      <c r="W1660" s="16"/>
      <c r="X1660" s="9"/>
      <c r="Y1660" s="9"/>
      <c r="AA1660" s="16"/>
      <c r="AK1660" s="16"/>
      <c r="AL1660" s="17"/>
      <c r="AN1660" s="16"/>
    </row>
    <row r="1661" spans="9:40" x14ac:dyDescent="0.4">
      <c r="I1661" s="11"/>
      <c r="J1661" s="9"/>
      <c r="K1661" s="9"/>
      <c r="O1661" s="11"/>
      <c r="P1661" s="9"/>
      <c r="Q1661" s="9"/>
      <c r="R1661" s="9"/>
      <c r="S1661" s="9"/>
      <c r="T1661" s="31"/>
      <c r="W1661" s="16"/>
      <c r="X1661" s="9"/>
      <c r="Y1661" s="9"/>
      <c r="AA1661" s="16"/>
      <c r="AK1661" s="16"/>
      <c r="AL1661" s="17"/>
      <c r="AN1661" s="16"/>
    </row>
    <row r="1662" spans="9:40" x14ac:dyDescent="0.4">
      <c r="I1662" s="11"/>
      <c r="J1662" s="9"/>
      <c r="K1662" s="9"/>
      <c r="O1662" s="11"/>
      <c r="P1662" s="9"/>
      <c r="Q1662" s="9"/>
      <c r="R1662" s="9"/>
      <c r="S1662" s="9"/>
      <c r="T1662" s="31"/>
      <c r="W1662" s="16"/>
      <c r="X1662" s="9"/>
      <c r="Y1662" s="9"/>
      <c r="AA1662" s="16"/>
      <c r="AK1662" s="16"/>
      <c r="AL1662" s="17"/>
      <c r="AN1662" s="16"/>
    </row>
    <row r="1663" spans="9:40" x14ac:dyDescent="0.4">
      <c r="I1663" s="11"/>
      <c r="J1663" s="9"/>
      <c r="K1663" s="9"/>
      <c r="O1663" s="11"/>
      <c r="P1663" s="9"/>
      <c r="Q1663" s="9"/>
      <c r="R1663" s="9"/>
      <c r="S1663" s="9"/>
      <c r="T1663" s="31"/>
      <c r="W1663" s="16"/>
      <c r="X1663" s="9"/>
      <c r="Y1663" s="9"/>
      <c r="AA1663" s="16"/>
      <c r="AK1663" s="16"/>
      <c r="AL1663" s="17"/>
      <c r="AN1663" s="16"/>
    </row>
    <row r="1664" spans="9:40" x14ac:dyDescent="0.4">
      <c r="I1664" s="11"/>
      <c r="J1664" s="9"/>
      <c r="K1664" s="9"/>
      <c r="O1664" s="11"/>
      <c r="P1664" s="9"/>
      <c r="Q1664" s="9"/>
      <c r="R1664" s="9"/>
      <c r="S1664" s="9"/>
      <c r="T1664" s="31"/>
      <c r="W1664" s="16"/>
      <c r="X1664" s="9"/>
      <c r="Y1664" s="9"/>
      <c r="AA1664" s="16"/>
      <c r="AK1664" s="16"/>
      <c r="AL1664" s="17"/>
      <c r="AN1664" s="16"/>
    </row>
    <row r="1665" spans="9:40" x14ac:dyDescent="0.4">
      <c r="I1665" s="11"/>
      <c r="J1665" s="9"/>
      <c r="K1665" s="9"/>
      <c r="O1665" s="11"/>
      <c r="P1665" s="9"/>
      <c r="Q1665" s="9"/>
      <c r="R1665" s="9"/>
      <c r="S1665" s="9"/>
      <c r="T1665" s="31"/>
      <c r="W1665" s="16"/>
      <c r="X1665" s="9"/>
      <c r="Y1665" s="9"/>
      <c r="AA1665" s="16"/>
      <c r="AK1665" s="16"/>
      <c r="AL1665" s="17"/>
      <c r="AN1665" s="16"/>
    </row>
    <row r="1666" spans="9:40" x14ac:dyDescent="0.4">
      <c r="I1666" s="11"/>
      <c r="J1666" s="9"/>
      <c r="K1666" s="9"/>
      <c r="O1666" s="11"/>
      <c r="P1666" s="9"/>
      <c r="Q1666" s="9"/>
      <c r="R1666" s="9"/>
      <c r="S1666" s="9"/>
      <c r="T1666" s="31"/>
      <c r="W1666" s="16"/>
      <c r="X1666" s="9"/>
      <c r="Y1666" s="9"/>
      <c r="AA1666" s="16"/>
      <c r="AK1666" s="16"/>
      <c r="AL1666" s="17"/>
      <c r="AN1666" s="16"/>
    </row>
    <row r="1667" spans="9:40" x14ac:dyDescent="0.4">
      <c r="I1667" s="11"/>
      <c r="J1667" s="9"/>
      <c r="K1667" s="9"/>
      <c r="O1667" s="11"/>
      <c r="P1667" s="9"/>
      <c r="Q1667" s="9"/>
      <c r="R1667" s="9"/>
      <c r="S1667" s="9"/>
      <c r="T1667" s="31"/>
      <c r="W1667" s="16"/>
      <c r="X1667" s="9"/>
      <c r="Y1667" s="9"/>
      <c r="AA1667" s="16"/>
      <c r="AK1667" s="16"/>
      <c r="AL1667" s="17"/>
      <c r="AN1667" s="16"/>
    </row>
    <row r="1668" spans="9:40" x14ac:dyDescent="0.4">
      <c r="I1668" s="11"/>
      <c r="J1668" s="9"/>
      <c r="K1668" s="9"/>
      <c r="O1668" s="11"/>
      <c r="P1668" s="9"/>
      <c r="Q1668" s="9"/>
      <c r="R1668" s="9"/>
      <c r="S1668" s="9"/>
      <c r="T1668" s="31"/>
      <c r="W1668" s="16"/>
      <c r="X1668" s="9"/>
      <c r="Y1668" s="9"/>
      <c r="AA1668" s="16"/>
      <c r="AK1668" s="16"/>
      <c r="AL1668" s="17"/>
      <c r="AN1668" s="16"/>
    </row>
    <row r="1669" spans="9:40" x14ac:dyDescent="0.4">
      <c r="I1669" s="11"/>
      <c r="J1669" s="9"/>
      <c r="K1669" s="9"/>
      <c r="O1669" s="11"/>
      <c r="P1669" s="9"/>
      <c r="Q1669" s="9"/>
      <c r="R1669" s="9"/>
      <c r="S1669" s="9"/>
      <c r="T1669" s="31"/>
      <c r="W1669" s="16"/>
      <c r="X1669" s="9"/>
      <c r="Y1669" s="9"/>
      <c r="AA1669" s="16"/>
      <c r="AK1669" s="16"/>
      <c r="AL1669" s="17"/>
      <c r="AN1669" s="16"/>
    </row>
    <row r="1670" spans="9:40" x14ac:dyDescent="0.4">
      <c r="I1670" s="11"/>
      <c r="J1670" s="9"/>
      <c r="K1670" s="9"/>
      <c r="O1670" s="11"/>
      <c r="P1670" s="9"/>
      <c r="Q1670" s="9"/>
      <c r="R1670" s="9"/>
      <c r="S1670" s="9"/>
      <c r="T1670" s="31"/>
      <c r="W1670" s="16"/>
      <c r="X1670" s="9"/>
      <c r="Y1670" s="9"/>
      <c r="AA1670" s="16"/>
      <c r="AK1670" s="16"/>
      <c r="AL1670" s="17"/>
      <c r="AN1670" s="16"/>
    </row>
    <row r="1671" spans="9:40" x14ac:dyDescent="0.4">
      <c r="I1671" s="11"/>
      <c r="J1671" s="9"/>
      <c r="K1671" s="9"/>
      <c r="O1671" s="11"/>
      <c r="P1671" s="9"/>
      <c r="Q1671" s="9"/>
      <c r="R1671" s="9"/>
      <c r="S1671" s="9"/>
      <c r="T1671" s="31"/>
      <c r="W1671" s="16"/>
      <c r="X1671" s="9"/>
      <c r="Y1671" s="9"/>
      <c r="AA1671" s="16"/>
      <c r="AK1671" s="16"/>
      <c r="AL1671" s="17"/>
      <c r="AN1671" s="16"/>
    </row>
    <row r="1672" spans="9:40" x14ac:dyDescent="0.4">
      <c r="I1672" s="11"/>
      <c r="J1672" s="9"/>
      <c r="K1672" s="9"/>
      <c r="O1672" s="11"/>
      <c r="P1672" s="9"/>
      <c r="Q1672" s="9"/>
      <c r="R1672" s="9"/>
      <c r="S1672" s="9"/>
      <c r="T1672" s="31"/>
      <c r="W1672" s="16"/>
      <c r="X1672" s="9"/>
      <c r="Y1672" s="9"/>
      <c r="AA1672" s="16"/>
      <c r="AK1672" s="16"/>
      <c r="AL1672" s="17"/>
      <c r="AN1672" s="16"/>
    </row>
    <row r="1673" spans="9:40" x14ac:dyDescent="0.4">
      <c r="I1673" s="11"/>
      <c r="J1673" s="9"/>
      <c r="K1673" s="9"/>
      <c r="O1673" s="11"/>
      <c r="P1673" s="9"/>
      <c r="Q1673" s="9"/>
      <c r="R1673" s="9"/>
      <c r="S1673" s="9"/>
      <c r="T1673" s="31"/>
      <c r="W1673" s="16"/>
      <c r="X1673" s="9"/>
      <c r="Y1673" s="9"/>
      <c r="AA1673" s="16"/>
      <c r="AK1673" s="16"/>
      <c r="AL1673" s="17"/>
      <c r="AN1673" s="16"/>
    </row>
    <row r="1674" spans="9:40" x14ac:dyDescent="0.4">
      <c r="I1674" s="11"/>
      <c r="J1674" s="9"/>
      <c r="K1674" s="9"/>
      <c r="O1674" s="11"/>
      <c r="P1674" s="9"/>
      <c r="Q1674" s="9"/>
      <c r="R1674" s="9"/>
      <c r="S1674" s="9"/>
      <c r="T1674" s="31"/>
      <c r="W1674" s="16"/>
      <c r="X1674" s="9"/>
      <c r="Y1674" s="9"/>
      <c r="AA1674" s="16"/>
      <c r="AK1674" s="16"/>
      <c r="AL1674" s="17"/>
      <c r="AN1674" s="16"/>
    </row>
    <row r="1675" spans="9:40" x14ac:dyDescent="0.4">
      <c r="I1675" s="11"/>
      <c r="J1675" s="9"/>
      <c r="K1675" s="9"/>
      <c r="O1675" s="11"/>
      <c r="P1675" s="9"/>
      <c r="Q1675" s="9"/>
      <c r="R1675" s="9"/>
      <c r="S1675" s="9"/>
      <c r="T1675" s="31"/>
      <c r="W1675" s="16"/>
      <c r="X1675" s="9"/>
      <c r="Y1675" s="9"/>
      <c r="AA1675" s="16"/>
      <c r="AK1675" s="16"/>
      <c r="AL1675" s="17"/>
      <c r="AN1675" s="16"/>
    </row>
    <row r="1676" spans="9:40" x14ac:dyDescent="0.4">
      <c r="I1676" s="11"/>
      <c r="J1676" s="9"/>
      <c r="K1676" s="9"/>
      <c r="O1676" s="11"/>
      <c r="P1676" s="9"/>
      <c r="Q1676" s="9"/>
      <c r="R1676" s="9"/>
      <c r="S1676" s="9"/>
      <c r="T1676" s="31"/>
      <c r="W1676" s="16"/>
      <c r="X1676" s="9"/>
      <c r="Y1676" s="9"/>
      <c r="AA1676" s="16"/>
      <c r="AK1676" s="16"/>
      <c r="AL1676" s="17"/>
      <c r="AN1676" s="16"/>
    </row>
    <row r="1677" spans="9:40" x14ac:dyDescent="0.4">
      <c r="I1677" s="11"/>
      <c r="J1677" s="9"/>
      <c r="K1677" s="9"/>
      <c r="O1677" s="11"/>
      <c r="P1677" s="9"/>
      <c r="Q1677" s="9"/>
      <c r="R1677" s="9"/>
      <c r="S1677" s="9"/>
      <c r="T1677" s="31"/>
      <c r="W1677" s="16"/>
      <c r="X1677" s="9"/>
      <c r="Y1677" s="9"/>
      <c r="AA1677" s="16"/>
      <c r="AK1677" s="16"/>
      <c r="AL1677" s="17"/>
      <c r="AN1677" s="16"/>
    </row>
    <row r="1678" spans="9:40" x14ac:dyDescent="0.4">
      <c r="I1678" s="11"/>
      <c r="J1678" s="9"/>
      <c r="K1678" s="9"/>
      <c r="O1678" s="11"/>
      <c r="P1678" s="9"/>
      <c r="Q1678" s="9"/>
      <c r="R1678" s="9"/>
      <c r="S1678" s="9"/>
      <c r="T1678" s="31"/>
      <c r="W1678" s="16"/>
      <c r="X1678" s="9"/>
      <c r="Y1678" s="9"/>
      <c r="AA1678" s="16"/>
      <c r="AK1678" s="16"/>
      <c r="AL1678" s="17"/>
      <c r="AN1678" s="16"/>
    </row>
    <row r="1679" spans="9:40" x14ac:dyDescent="0.4">
      <c r="I1679" s="11"/>
      <c r="J1679" s="9"/>
      <c r="K1679" s="9"/>
      <c r="O1679" s="11"/>
      <c r="P1679" s="9"/>
      <c r="Q1679" s="9"/>
      <c r="R1679" s="9"/>
      <c r="S1679" s="9"/>
      <c r="T1679" s="31"/>
      <c r="W1679" s="16"/>
      <c r="X1679" s="9"/>
      <c r="Y1679" s="9"/>
      <c r="AA1679" s="16"/>
      <c r="AK1679" s="16"/>
      <c r="AL1679" s="17"/>
      <c r="AN1679" s="16"/>
    </row>
    <row r="1680" spans="9:40" x14ac:dyDescent="0.4">
      <c r="I1680" s="11"/>
      <c r="J1680" s="9"/>
      <c r="K1680" s="9"/>
      <c r="O1680" s="11"/>
      <c r="P1680" s="9"/>
      <c r="Q1680" s="9"/>
      <c r="R1680" s="9"/>
      <c r="S1680" s="9"/>
      <c r="T1680" s="31"/>
      <c r="W1680" s="16"/>
      <c r="X1680" s="9"/>
      <c r="Y1680" s="9"/>
      <c r="AA1680" s="16"/>
      <c r="AK1680" s="16"/>
      <c r="AL1680" s="17"/>
      <c r="AN1680" s="16"/>
    </row>
    <row r="1681" spans="9:40" x14ac:dyDescent="0.4">
      <c r="I1681" s="11"/>
      <c r="J1681" s="9"/>
      <c r="K1681" s="9"/>
      <c r="O1681" s="11"/>
      <c r="P1681" s="9"/>
      <c r="Q1681" s="9"/>
      <c r="R1681" s="9"/>
      <c r="S1681" s="9"/>
      <c r="T1681" s="31"/>
      <c r="W1681" s="16"/>
      <c r="X1681" s="9"/>
      <c r="Y1681" s="9"/>
      <c r="AA1681" s="16"/>
      <c r="AK1681" s="16"/>
      <c r="AL1681" s="17"/>
      <c r="AN1681" s="16"/>
    </row>
    <row r="1682" spans="9:40" x14ac:dyDescent="0.4">
      <c r="I1682" s="11"/>
      <c r="J1682" s="9"/>
      <c r="K1682" s="9"/>
      <c r="O1682" s="11"/>
      <c r="P1682" s="9"/>
      <c r="Q1682" s="9"/>
      <c r="R1682" s="9"/>
      <c r="S1682" s="9"/>
      <c r="T1682" s="31"/>
      <c r="W1682" s="16"/>
      <c r="X1682" s="9"/>
      <c r="Y1682" s="9"/>
      <c r="AA1682" s="16"/>
      <c r="AK1682" s="16"/>
      <c r="AL1682" s="17"/>
      <c r="AN1682" s="16"/>
    </row>
    <row r="1683" spans="9:40" x14ac:dyDescent="0.4">
      <c r="I1683" s="11"/>
      <c r="J1683" s="9"/>
      <c r="K1683" s="9"/>
      <c r="O1683" s="11"/>
      <c r="P1683" s="9"/>
      <c r="Q1683" s="9"/>
      <c r="R1683" s="9"/>
      <c r="S1683" s="9"/>
      <c r="T1683" s="31"/>
      <c r="W1683" s="16"/>
      <c r="X1683" s="9"/>
      <c r="Y1683" s="9"/>
      <c r="AA1683" s="16"/>
      <c r="AK1683" s="16"/>
      <c r="AL1683" s="17"/>
      <c r="AN1683" s="16"/>
    </row>
    <row r="1684" spans="9:40" x14ac:dyDescent="0.4">
      <c r="I1684" s="11"/>
      <c r="J1684" s="9"/>
      <c r="K1684" s="9"/>
      <c r="O1684" s="11"/>
      <c r="P1684" s="9"/>
      <c r="Q1684" s="9"/>
      <c r="R1684" s="9"/>
      <c r="S1684" s="9"/>
      <c r="T1684" s="31"/>
      <c r="W1684" s="16"/>
      <c r="X1684" s="9"/>
      <c r="Y1684" s="9"/>
      <c r="AA1684" s="16"/>
      <c r="AK1684" s="16"/>
      <c r="AL1684" s="17"/>
      <c r="AN1684" s="16"/>
    </row>
    <row r="1685" spans="9:40" x14ac:dyDescent="0.4">
      <c r="I1685" s="11"/>
      <c r="J1685" s="9"/>
      <c r="K1685" s="9"/>
      <c r="O1685" s="11"/>
      <c r="P1685" s="9"/>
      <c r="Q1685" s="9"/>
      <c r="R1685" s="9"/>
      <c r="S1685" s="9"/>
      <c r="T1685" s="31"/>
      <c r="W1685" s="16"/>
      <c r="X1685" s="9"/>
      <c r="Y1685" s="9"/>
      <c r="AA1685" s="16"/>
      <c r="AK1685" s="16"/>
      <c r="AL1685" s="17"/>
      <c r="AN1685" s="16"/>
    </row>
    <row r="1686" spans="9:40" x14ac:dyDescent="0.4">
      <c r="I1686" s="11"/>
      <c r="J1686" s="9"/>
      <c r="K1686" s="9"/>
      <c r="O1686" s="11"/>
      <c r="P1686" s="9"/>
      <c r="Q1686" s="9"/>
      <c r="R1686" s="9"/>
      <c r="S1686" s="9"/>
      <c r="T1686" s="31"/>
      <c r="W1686" s="16"/>
      <c r="X1686" s="9"/>
      <c r="Y1686" s="9"/>
      <c r="AA1686" s="16"/>
      <c r="AK1686" s="16"/>
      <c r="AL1686" s="17"/>
      <c r="AN1686" s="16"/>
    </row>
    <row r="1687" spans="9:40" x14ac:dyDescent="0.4">
      <c r="I1687" s="11"/>
      <c r="J1687" s="9"/>
      <c r="K1687" s="9"/>
      <c r="O1687" s="11"/>
      <c r="P1687" s="9"/>
      <c r="Q1687" s="9"/>
      <c r="R1687" s="9"/>
      <c r="S1687" s="9"/>
      <c r="T1687" s="31"/>
      <c r="W1687" s="16"/>
      <c r="X1687" s="9"/>
      <c r="Y1687" s="9"/>
      <c r="AA1687" s="16"/>
      <c r="AK1687" s="16"/>
      <c r="AL1687" s="17"/>
      <c r="AN1687" s="16"/>
    </row>
    <row r="1688" spans="9:40" x14ac:dyDescent="0.4">
      <c r="I1688" s="11"/>
      <c r="J1688" s="9"/>
      <c r="K1688" s="9"/>
      <c r="O1688" s="11"/>
      <c r="P1688" s="9"/>
      <c r="Q1688" s="9"/>
      <c r="R1688" s="9"/>
      <c r="S1688" s="9"/>
      <c r="T1688" s="31"/>
      <c r="W1688" s="16"/>
      <c r="X1688" s="9"/>
      <c r="Y1688" s="9"/>
      <c r="AA1688" s="16"/>
      <c r="AK1688" s="16"/>
      <c r="AL1688" s="17"/>
      <c r="AN1688" s="16"/>
    </row>
    <row r="1689" spans="9:40" x14ac:dyDescent="0.4">
      <c r="I1689" s="11"/>
      <c r="J1689" s="9"/>
      <c r="K1689" s="9"/>
      <c r="O1689" s="11"/>
      <c r="P1689" s="9"/>
      <c r="Q1689" s="9"/>
      <c r="R1689" s="9"/>
      <c r="S1689" s="9"/>
      <c r="T1689" s="31"/>
      <c r="W1689" s="16"/>
      <c r="X1689" s="9"/>
      <c r="Y1689" s="9"/>
      <c r="AA1689" s="16"/>
      <c r="AK1689" s="16"/>
      <c r="AL1689" s="17"/>
      <c r="AN1689" s="16"/>
    </row>
    <row r="1690" spans="9:40" x14ac:dyDescent="0.4">
      <c r="I1690" s="11"/>
      <c r="J1690" s="9"/>
      <c r="K1690" s="9"/>
      <c r="O1690" s="11"/>
      <c r="P1690" s="9"/>
      <c r="Q1690" s="9"/>
      <c r="R1690" s="9"/>
      <c r="S1690" s="9"/>
      <c r="T1690" s="31"/>
      <c r="W1690" s="16"/>
      <c r="X1690" s="9"/>
      <c r="Y1690" s="9"/>
      <c r="AA1690" s="16"/>
      <c r="AK1690" s="16"/>
      <c r="AL1690" s="17"/>
      <c r="AN1690" s="16"/>
    </row>
    <row r="1691" spans="9:40" x14ac:dyDescent="0.4">
      <c r="I1691" s="11"/>
      <c r="J1691" s="9"/>
      <c r="K1691" s="9"/>
      <c r="O1691" s="11"/>
      <c r="P1691" s="9"/>
      <c r="Q1691" s="9"/>
      <c r="R1691" s="9"/>
      <c r="S1691" s="9"/>
      <c r="T1691" s="31"/>
      <c r="W1691" s="16"/>
      <c r="X1691" s="9"/>
      <c r="Y1691" s="9"/>
      <c r="AA1691" s="16"/>
      <c r="AK1691" s="16"/>
      <c r="AL1691" s="17"/>
      <c r="AN1691" s="16"/>
    </row>
    <row r="1692" spans="9:40" x14ac:dyDescent="0.4">
      <c r="I1692" s="11"/>
      <c r="J1692" s="9"/>
      <c r="K1692" s="9"/>
      <c r="O1692" s="11"/>
      <c r="P1692" s="9"/>
      <c r="Q1692" s="9"/>
      <c r="R1692" s="9"/>
      <c r="S1692" s="9"/>
      <c r="T1692" s="31"/>
      <c r="W1692" s="16"/>
      <c r="X1692" s="9"/>
      <c r="Y1692" s="9"/>
      <c r="AA1692" s="16"/>
      <c r="AK1692" s="16"/>
      <c r="AL1692" s="17"/>
      <c r="AN1692" s="16"/>
    </row>
    <row r="1693" spans="9:40" x14ac:dyDescent="0.4">
      <c r="I1693" s="11"/>
      <c r="J1693" s="9"/>
      <c r="K1693" s="9"/>
      <c r="O1693" s="11"/>
      <c r="P1693" s="9"/>
      <c r="Q1693" s="9"/>
      <c r="R1693" s="9"/>
      <c r="S1693" s="9"/>
      <c r="T1693" s="31"/>
      <c r="W1693" s="16"/>
      <c r="X1693" s="9"/>
      <c r="Y1693" s="9"/>
      <c r="AA1693" s="16"/>
      <c r="AK1693" s="16"/>
      <c r="AL1693" s="17"/>
      <c r="AN1693" s="16"/>
    </row>
    <row r="1694" spans="9:40" x14ac:dyDescent="0.4">
      <c r="I1694" s="11"/>
      <c r="J1694" s="9"/>
      <c r="K1694" s="9"/>
      <c r="O1694" s="11"/>
      <c r="P1694" s="9"/>
      <c r="Q1694" s="9"/>
      <c r="R1694" s="9"/>
      <c r="S1694" s="9"/>
      <c r="T1694" s="31"/>
      <c r="W1694" s="16"/>
      <c r="X1694" s="9"/>
      <c r="Y1694" s="9"/>
      <c r="AA1694" s="16"/>
      <c r="AK1694" s="16"/>
      <c r="AL1694" s="17"/>
      <c r="AN1694" s="16"/>
    </row>
    <row r="1695" spans="9:40" x14ac:dyDescent="0.4">
      <c r="I1695" s="11"/>
      <c r="J1695" s="9"/>
      <c r="K1695" s="9"/>
      <c r="O1695" s="11"/>
      <c r="P1695" s="9"/>
      <c r="Q1695" s="9"/>
      <c r="R1695" s="9"/>
      <c r="S1695" s="9"/>
      <c r="T1695" s="31"/>
      <c r="W1695" s="16"/>
      <c r="X1695" s="9"/>
      <c r="Y1695" s="9"/>
      <c r="AA1695" s="16"/>
      <c r="AK1695" s="16"/>
      <c r="AL1695" s="17"/>
      <c r="AN1695" s="16"/>
    </row>
    <row r="1696" spans="9:40" x14ac:dyDescent="0.4">
      <c r="I1696" s="11"/>
      <c r="J1696" s="9"/>
      <c r="K1696" s="9"/>
      <c r="O1696" s="11"/>
      <c r="P1696" s="9"/>
      <c r="Q1696" s="9"/>
      <c r="R1696" s="9"/>
      <c r="S1696" s="9"/>
      <c r="T1696" s="31"/>
      <c r="W1696" s="16"/>
      <c r="X1696" s="9"/>
      <c r="Y1696" s="9"/>
      <c r="AA1696" s="16"/>
      <c r="AK1696" s="16"/>
      <c r="AL1696" s="17"/>
      <c r="AN1696" s="16"/>
    </row>
    <row r="1697" spans="9:40" x14ac:dyDescent="0.4">
      <c r="I1697" s="11"/>
      <c r="J1697" s="9"/>
      <c r="K1697" s="9"/>
      <c r="O1697" s="11"/>
      <c r="P1697" s="9"/>
      <c r="Q1697" s="9"/>
      <c r="R1697" s="9"/>
      <c r="S1697" s="9"/>
      <c r="T1697" s="31"/>
      <c r="W1697" s="16"/>
      <c r="X1697" s="9"/>
      <c r="Y1697" s="9"/>
      <c r="AA1697" s="16"/>
      <c r="AK1697" s="16"/>
      <c r="AL1697" s="17"/>
      <c r="AN1697" s="16"/>
    </row>
    <row r="1698" spans="9:40" x14ac:dyDescent="0.4">
      <c r="I1698" s="11"/>
      <c r="J1698" s="9"/>
      <c r="K1698" s="9"/>
      <c r="O1698" s="11"/>
      <c r="P1698" s="9"/>
      <c r="Q1698" s="9"/>
      <c r="R1698" s="9"/>
      <c r="S1698" s="9"/>
      <c r="T1698" s="31"/>
      <c r="W1698" s="16"/>
      <c r="X1698" s="9"/>
      <c r="Y1698" s="9"/>
      <c r="AA1698" s="16"/>
      <c r="AK1698" s="16"/>
      <c r="AL1698" s="17"/>
      <c r="AN1698" s="16"/>
    </row>
    <row r="1699" spans="9:40" x14ac:dyDescent="0.4">
      <c r="I1699" s="11"/>
      <c r="J1699" s="9"/>
      <c r="K1699" s="9"/>
      <c r="O1699" s="11"/>
      <c r="P1699" s="9"/>
      <c r="Q1699" s="9"/>
      <c r="R1699" s="9"/>
      <c r="S1699" s="9"/>
      <c r="T1699" s="31"/>
      <c r="W1699" s="16"/>
      <c r="X1699" s="9"/>
      <c r="Y1699" s="9"/>
      <c r="AA1699" s="16"/>
      <c r="AK1699" s="16"/>
      <c r="AL1699" s="17"/>
      <c r="AN1699" s="16"/>
    </row>
    <row r="1700" spans="9:40" x14ac:dyDescent="0.4">
      <c r="I1700" s="11"/>
      <c r="J1700" s="9"/>
      <c r="K1700" s="9"/>
      <c r="O1700" s="11"/>
      <c r="P1700" s="9"/>
      <c r="Q1700" s="9"/>
      <c r="R1700" s="9"/>
      <c r="S1700" s="9"/>
      <c r="T1700" s="31"/>
      <c r="W1700" s="16"/>
      <c r="X1700" s="9"/>
      <c r="Y1700" s="9"/>
      <c r="AA1700" s="16"/>
      <c r="AK1700" s="16"/>
      <c r="AL1700" s="17"/>
      <c r="AN1700" s="16"/>
    </row>
    <row r="1701" spans="9:40" x14ac:dyDescent="0.4">
      <c r="I1701" s="11"/>
      <c r="J1701" s="9"/>
      <c r="K1701" s="9"/>
      <c r="O1701" s="11"/>
      <c r="P1701" s="9"/>
      <c r="Q1701" s="9"/>
      <c r="R1701" s="9"/>
      <c r="S1701" s="9"/>
      <c r="T1701" s="31"/>
      <c r="W1701" s="16"/>
      <c r="X1701" s="9"/>
      <c r="Y1701" s="9"/>
      <c r="AA1701" s="16"/>
      <c r="AK1701" s="16"/>
      <c r="AL1701" s="17"/>
      <c r="AN1701" s="16"/>
    </row>
    <row r="1702" spans="9:40" x14ac:dyDescent="0.4">
      <c r="I1702" s="11"/>
      <c r="J1702" s="9"/>
      <c r="K1702" s="9"/>
      <c r="O1702" s="11"/>
      <c r="P1702" s="9"/>
      <c r="Q1702" s="9"/>
      <c r="R1702" s="9"/>
      <c r="S1702" s="9"/>
      <c r="T1702" s="31"/>
      <c r="W1702" s="16"/>
      <c r="X1702" s="9"/>
      <c r="Y1702" s="9"/>
      <c r="AA1702" s="16"/>
      <c r="AK1702" s="16"/>
      <c r="AL1702" s="17"/>
      <c r="AN1702" s="16"/>
    </row>
    <row r="1703" spans="9:40" x14ac:dyDescent="0.4">
      <c r="I1703" s="11"/>
      <c r="J1703" s="9"/>
      <c r="K1703" s="9"/>
      <c r="O1703" s="11"/>
      <c r="P1703" s="9"/>
      <c r="Q1703" s="9"/>
      <c r="R1703" s="9"/>
      <c r="S1703" s="9"/>
      <c r="T1703" s="31"/>
      <c r="W1703" s="16"/>
      <c r="X1703" s="9"/>
      <c r="Y1703" s="9"/>
      <c r="AA1703" s="16"/>
      <c r="AK1703" s="16"/>
      <c r="AL1703" s="17"/>
      <c r="AN1703" s="16"/>
    </row>
    <row r="1704" spans="9:40" x14ac:dyDescent="0.4">
      <c r="I1704" s="11"/>
      <c r="J1704" s="9"/>
      <c r="K1704" s="9"/>
      <c r="O1704" s="11"/>
      <c r="P1704" s="9"/>
      <c r="Q1704" s="9"/>
      <c r="R1704" s="9"/>
      <c r="S1704" s="9"/>
      <c r="T1704" s="31"/>
      <c r="W1704" s="16"/>
      <c r="X1704" s="9"/>
      <c r="Y1704" s="9"/>
      <c r="AA1704" s="16"/>
      <c r="AK1704" s="16"/>
      <c r="AL1704" s="17"/>
      <c r="AN1704" s="16"/>
    </row>
    <row r="1705" spans="9:40" x14ac:dyDescent="0.4">
      <c r="I1705" s="11"/>
      <c r="J1705" s="9"/>
      <c r="K1705" s="9"/>
      <c r="O1705" s="11"/>
      <c r="P1705" s="9"/>
      <c r="Q1705" s="9"/>
      <c r="R1705" s="9"/>
      <c r="S1705" s="9"/>
      <c r="T1705" s="31"/>
      <c r="W1705" s="16"/>
      <c r="X1705" s="9"/>
      <c r="Y1705" s="9"/>
      <c r="AA1705" s="16"/>
      <c r="AK1705" s="16"/>
      <c r="AL1705" s="17"/>
      <c r="AN1705" s="16"/>
    </row>
    <row r="1706" spans="9:40" x14ac:dyDescent="0.4">
      <c r="I1706" s="11"/>
      <c r="J1706" s="9"/>
      <c r="K1706" s="9"/>
      <c r="O1706" s="11"/>
      <c r="P1706" s="9"/>
      <c r="Q1706" s="9"/>
      <c r="R1706" s="9"/>
      <c r="S1706" s="9"/>
      <c r="T1706" s="31"/>
      <c r="W1706" s="16"/>
      <c r="X1706" s="9"/>
      <c r="Y1706" s="9"/>
      <c r="AA1706" s="16"/>
      <c r="AK1706" s="16"/>
      <c r="AL1706" s="17"/>
      <c r="AN1706" s="16"/>
    </row>
    <row r="1707" spans="9:40" x14ac:dyDescent="0.4">
      <c r="I1707" s="11"/>
      <c r="J1707" s="9"/>
      <c r="K1707" s="9"/>
      <c r="O1707" s="11"/>
      <c r="P1707" s="9"/>
      <c r="Q1707" s="9"/>
      <c r="R1707" s="9"/>
      <c r="S1707" s="9"/>
      <c r="T1707" s="31"/>
      <c r="W1707" s="16"/>
      <c r="X1707" s="9"/>
      <c r="Y1707" s="9"/>
      <c r="AA1707" s="16"/>
      <c r="AK1707" s="16"/>
      <c r="AL1707" s="17"/>
      <c r="AN1707" s="16"/>
    </row>
    <row r="1708" spans="9:40" x14ac:dyDescent="0.4">
      <c r="I1708" s="11"/>
      <c r="J1708" s="9"/>
      <c r="K1708" s="9"/>
      <c r="O1708" s="11"/>
      <c r="P1708" s="9"/>
      <c r="Q1708" s="9"/>
      <c r="R1708" s="9"/>
      <c r="S1708" s="9"/>
      <c r="T1708" s="31"/>
      <c r="W1708" s="16"/>
      <c r="X1708" s="9"/>
      <c r="Y1708" s="9"/>
      <c r="AA1708" s="16"/>
      <c r="AK1708" s="16"/>
      <c r="AL1708" s="17"/>
      <c r="AN1708" s="16"/>
    </row>
    <row r="1709" spans="9:40" x14ac:dyDescent="0.4">
      <c r="I1709" s="11"/>
      <c r="J1709" s="9"/>
      <c r="K1709" s="9"/>
      <c r="O1709" s="11"/>
      <c r="P1709" s="9"/>
      <c r="Q1709" s="9"/>
      <c r="R1709" s="9"/>
      <c r="S1709" s="9"/>
      <c r="T1709" s="31"/>
      <c r="W1709" s="16"/>
      <c r="X1709" s="9"/>
      <c r="Y1709" s="9"/>
      <c r="AA1709" s="16"/>
      <c r="AK1709" s="16"/>
      <c r="AL1709" s="17"/>
      <c r="AN1709" s="16"/>
    </row>
    <row r="1710" spans="9:40" x14ac:dyDescent="0.4">
      <c r="I1710" s="11"/>
      <c r="J1710" s="9"/>
      <c r="K1710" s="9"/>
      <c r="O1710" s="11"/>
      <c r="P1710" s="9"/>
      <c r="Q1710" s="9"/>
      <c r="R1710" s="9"/>
      <c r="S1710" s="9"/>
      <c r="T1710" s="31"/>
      <c r="W1710" s="16"/>
      <c r="X1710" s="9"/>
      <c r="Y1710" s="9"/>
      <c r="AA1710" s="16"/>
      <c r="AK1710" s="16"/>
      <c r="AL1710" s="17"/>
      <c r="AN1710" s="16"/>
    </row>
    <row r="1711" spans="9:40" x14ac:dyDescent="0.4">
      <c r="I1711" s="11"/>
      <c r="J1711" s="9"/>
      <c r="K1711" s="9"/>
      <c r="O1711" s="11"/>
      <c r="P1711" s="9"/>
      <c r="Q1711" s="9"/>
      <c r="R1711" s="9"/>
      <c r="S1711" s="9"/>
      <c r="T1711" s="31"/>
      <c r="W1711" s="16"/>
      <c r="X1711" s="9"/>
      <c r="Y1711" s="9"/>
      <c r="AA1711" s="16"/>
      <c r="AK1711" s="16"/>
      <c r="AL1711" s="17"/>
      <c r="AN1711" s="16"/>
    </row>
    <row r="1712" spans="9:40" x14ac:dyDescent="0.4">
      <c r="I1712" s="11"/>
      <c r="J1712" s="9"/>
      <c r="K1712" s="9"/>
      <c r="O1712" s="11"/>
      <c r="P1712" s="9"/>
      <c r="Q1712" s="9"/>
      <c r="R1712" s="9"/>
      <c r="S1712" s="9"/>
      <c r="T1712" s="31"/>
      <c r="W1712" s="16"/>
      <c r="X1712" s="9"/>
      <c r="Y1712" s="9"/>
      <c r="AA1712" s="16"/>
      <c r="AK1712" s="16"/>
      <c r="AL1712" s="17"/>
      <c r="AN1712" s="16"/>
    </row>
    <row r="1713" spans="9:40" x14ac:dyDescent="0.4">
      <c r="I1713" s="11"/>
      <c r="J1713" s="9"/>
      <c r="K1713" s="9"/>
      <c r="O1713" s="11"/>
      <c r="P1713" s="9"/>
      <c r="Q1713" s="9"/>
      <c r="R1713" s="9"/>
      <c r="S1713" s="9"/>
      <c r="T1713" s="31"/>
      <c r="W1713" s="16"/>
      <c r="X1713" s="9"/>
      <c r="Y1713" s="9"/>
      <c r="AA1713" s="16"/>
      <c r="AK1713" s="16"/>
      <c r="AL1713" s="17"/>
      <c r="AN1713" s="16"/>
    </row>
    <row r="1714" spans="9:40" x14ac:dyDescent="0.4">
      <c r="I1714" s="11"/>
      <c r="J1714" s="9"/>
      <c r="K1714" s="9"/>
      <c r="O1714" s="11"/>
      <c r="P1714" s="9"/>
      <c r="Q1714" s="9"/>
      <c r="R1714" s="9"/>
      <c r="S1714" s="9"/>
      <c r="T1714" s="31"/>
      <c r="W1714" s="16"/>
      <c r="X1714" s="9"/>
      <c r="Y1714" s="9"/>
      <c r="AA1714" s="16"/>
      <c r="AK1714" s="16"/>
      <c r="AL1714" s="17"/>
      <c r="AN1714" s="16"/>
    </row>
    <row r="1715" spans="9:40" x14ac:dyDescent="0.4">
      <c r="I1715" s="11"/>
      <c r="J1715" s="9"/>
      <c r="K1715" s="9"/>
      <c r="O1715" s="11"/>
      <c r="P1715" s="9"/>
      <c r="Q1715" s="9"/>
      <c r="R1715" s="9"/>
      <c r="S1715" s="9"/>
      <c r="T1715" s="31"/>
      <c r="W1715" s="16"/>
      <c r="X1715" s="9"/>
      <c r="Y1715" s="9"/>
      <c r="AA1715" s="16"/>
      <c r="AK1715" s="16"/>
      <c r="AL1715" s="17"/>
      <c r="AN1715" s="16"/>
    </row>
    <row r="1716" spans="9:40" x14ac:dyDescent="0.4">
      <c r="I1716" s="11"/>
      <c r="J1716" s="9"/>
      <c r="K1716" s="9"/>
      <c r="O1716" s="11"/>
      <c r="P1716" s="9"/>
      <c r="Q1716" s="9"/>
      <c r="R1716" s="9"/>
      <c r="S1716" s="9"/>
      <c r="T1716" s="31"/>
      <c r="W1716" s="16"/>
      <c r="X1716" s="9"/>
      <c r="Y1716" s="9"/>
      <c r="AA1716" s="16"/>
      <c r="AK1716" s="16"/>
      <c r="AL1716" s="17"/>
      <c r="AN1716" s="16"/>
    </row>
    <row r="1717" spans="9:40" x14ac:dyDescent="0.4">
      <c r="I1717" s="11"/>
      <c r="J1717" s="9"/>
      <c r="K1717" s="9"/>
      <c r="O1717" s="11"/>
      <c r="P1717" s="9"/>
      <c r="Q1717" s="9"/>
      <c r="R1717" s="9"/>
      <c r="S1717" s="9"/>
      <c r="T1717" s="31"/>
      <c r="W1717" s="16"/>
      <c r="X1717" s="9"/>
      <c r="Y1717" s="9"/>
      <c r="AA1717" s="16"/>
      <c r="AK1717" s="16"/>
      <c r="AL1717" s="17"/>
      <c r="AN1717" s="16"/>
    </row>
    <row r="1718" spans="9:40" x14ac:dyDescent="0.4">
      <c r="I1718" s="11"/>
      <c r="J1718" s="9"/>
      <c r="K1718" s="9"/>
      <c r="O1718" s="11"/>
      <c r="P1718" s="9"/>
      <c r="Q1718" s="9"/>
      <c r="R1718" s="9"/>
      <c r="S1718" s="9"/>
      <c r="T1718" s="31"/>
      <c r="W1718" s="16"/>
      <c r="X1718" s="9"/>
      <c r="Y1718" s="9"/>
      <c r="AA1718" s="16"/>
      <c r="AK1718" s="16"/>
      <c r="AL1718" s="17"/>
      <c r="AN1718" s="16"/>
    </row>
    <row r="1719" spans="9:40" x14ac:dyDescent="0.4">
      <c r="I1719" s="11"/>
      <c r="J1719" s="9"/>
      <c r="K1719" s="9"/>
      <c r="O1719" s="11"/>
      <c r="P1719" s="9"/>
      <c r="Q1719" s="9"/>
      <c r="R1719" s="9"/>
      <c r="S1719" s="9"/>
      <c r="T1719" s="31"/>
      <c r="W1719" s="16"/>
      <c r="X1719" s="9"/>
      <c r="Y1719" s="9"/>
      <c r="AA1719" s="16"/>
      <c r="AK1719" s="16"/>
      <c r="AL1719" s="17"/>
      <c r="AN1719" s="16"/>
    </row>
    <row r="1720" spans="9:40" x14ac:dyDescent="0.4">
      <c r="I1720" s="11"/>
      <c r="J1720" s="9"/>
      <c r="K1720" s="9"/>
      <c r="O1720" s="11"/>
      <c r="P1720" s="9"/>
      <c r="Q1720" s="9"/>
      <c r="R1720" s="9"/>
      <c r="S1720" s="9"/>
      <c r="T1720" s="31"/>
      <c r="W1720" s="16"/>
      <c r="X1720" s="9"/>
      <c r="Y1720" s="9"/>
      <c r="AA1720" s="16"/>
      <c r="AK1720" s="16"/>
      <c r="AL1720" s="17"/>
      <c r="AN1720" s="16"/>
    </row>
    <row r="1721" spans="9:40" x14ac:dyDescent="0.4">
      <c r="I1721" s="11"/>
      <c r="J1721" s="9"/>
      <c r="K1721" s="9"/>
      <c r="O1721" s="11"/>
      <c r="P1721" s="9"/>
      <c r="Q1721" s="9"/>
      <c r="R1721" s="9"/>
      <c r="S1721" s="9"/>
      <c r="T1721" s="31"/>
      <c r="W1721" s="16"/>
      <c r="X1721" s="9"/>
      <c r="Y1721" s="9"/>
      <c r="AA1721" s="16"/>
      <c r="AK1721" s="16"/>
      <c r="AL1721" s="17"/>
      <c r="AN1721" s="16"/>
    </row>
    <row r="1722" spans="9:40" x14ac:dyDescent="0.4">
      <c r="I1722" s="11"/>
      <c r="J1722" s="9"/>
      <c r="K1722" s="9"/>
      <c r="O1722" s="11"/>
      <c r="P1722" s="9"/>
      <c r="Q1722" s="9"/>
      <c r="R1722" s="9"/>
      <c r="S1722" s="9"/>
      <c r="T1722" s="31"/>
      <c r="W1722" s="16"/>
      <c r="X1722" s="9"/>
      <c r="Y1722" s="9"/>
      <c r="AA1722" s="16"/>
      <c r="AK1722" s="16"/>
      <c r="AL1722" s="17"/>
      <c r="AN1722" s="16"/>
    </row>
    <row r="1723" spans="9:40" x14ac:dyDescent="0.4">
      <c r="I1723" s="11"/>
      <c r="J1723" s="9"/>
      <c r="K1723" s="9"/>
      <c r="O1723" s="11"/>
      <c r="P1723" s="9"/>
      <c r="Q1723" s="9"/>
      <c r="R1723" s="9"/>
      <c r="S1723" s="9"/>
      <c r="T1723" s="31"/>
      <c r="W1723" s="16"/>
      <c r="X1723" s="9"/>
      <c r="Y1723" s="9"/>
      <c r="AA1723" s="16"/>
      <c r="AK1723" s="16"/>
      <c r="AL1723" s="17"/>
      <c r="AN1723" s="16"/>
    </row>
    <row r="1724" spans="9:40" x14ac:dyDescent="0.4">
      <c r="I1724" s="11"/>
      <c r="J1724" s="9"/>
      <c r="K1724" s="9"/>
      <c r="O1724" s="11"/>
      <c r="P1724" s="9"/>
      <c r="Q1724" s="9"/>
      <c r="R1724" s="9"/>
      <c r="S1724" s="9"/>
      <c r="T1724" s="31"/>
      <c r="W1724" s="16"/>
      <c r="X1724" s="9"/>
      <c r="Y1724" s="9"/>
      <c r="AA1724" s="16"/>
      <c r="AK1724" s="16"/>
      <c r="AL1724" s="17"/>
      <c r="AN1724" s="16"/>
    </row>
    <row r="1725" spans="9:40" x14ac:dyDescent="0.4">
      <c r="I1725" s="11"/>
      <c r="J1725" s="9"/>
      <c r="K1725" s="9"/>
      <c r="O1725" s="11"/>
      <c r="P1725" s="9"/>
      <c r="Q1725" s="9"/>
      <c r="R1725" s="9"/>
      <c r="S1725" s="9"/>
      <c r="T1725" s="31"/>
      <c r="W1725" s="16"/>
      <c r="X1725" s="9"/>
      <c r="Y1725" s="9"/>
      <c r="AA1725" s="16"/>
      <c r="AK1725" s="16"/>
      <c r="AL1725" s="17"/>
      <c r="AN1725" s="16"/>
    </row>
    <row r="1726" spans="9:40" x14ac:dyDescent="0.4">
      <c r="I1726" s="11"/>
      <c r="J1726" s="9"/>
      <c r="K1726" s="9"/>
      <c r="O1726" s="11"/>
      <c r="P1726" s="9"/>
      <c r="Q1726" s="9"/>
      <c r="R1726" s="9"/>
      <c r="S1726" s="9"/>
      <c r="T1726" s="31"/>
      <c r="W1726" s="16"/>
      <c r="X1726" s="9"/>
      <c r="Y1726" s="9"/>
      <c r="AA1726" s="16"/>
      <c r="AK1726" s="16"/>
      <c r="AL1726" s="17"/>
      <c r="AN1726" s="16"/>
    </row>
    <row r="1727" spans="9:40" x14ac:dyDescent="0.4">
      <c r="I1727" s="11"/>
      <c r="J1727" s="9"/>
      <c r="K1727" s="9"/>
      <c r="O1727" s="11"/>
      <c r="P1727" s="9"/>
      <c r="Q1727" s="9"/>
      <c r="R1727" s="9"/>
      <c r="S1727" s="9"/>
      <c r="T1727" s="31"/>
      <c r="W1727" s="16"/>
      <c r="X1727" s="9"/>
      <c r="Y1727" s="9"/>
      <c r="AA1727" s="16"/>
      <c r="AK1727" s="16"/>
      <c r="AL1727" s="17"/>
      <c r="AN1727" s="16"/>
    </row>
    <row r="1728" spans="9:40" x14ac:dyDescent="0.4">
      <c r="I1728" s="11"/>
      <c r="J1728" s="9"/>
      <c r="K1728" s="9"/>
      <c r="O1728" s="11"/>
      <c r="P1728" s="9"/>
      <c r="Q1728" s="9"/>
      <c r="R1728" s="9"/>
      <c r="S1728" s="9"/>
      <c r="T1728" s="31"/>
      <c r="W1728" s="16"/>
      <c r="X1728" s="9"/>
      <c r="Y1728" s="9"/>
      <c r="AA1728" s="16"/>
      <c r="AK1728" s="16"/>
      <c r="AL1728" s="17"/>
      <c r="AN1728" s="16"/>
    </row>
    <row r="1729" spans="9:40" x14ac:dyDescent="0.4">
      <c r="I1729" s="11"/>
      <c r="J1729" s="9"/>
      <c r="K1729" s="9"/>
      <c r="O1729" s="11"/>
      <c r="P1729" s="9"/>
      <c r="Q1729" s="9"/>
      <c r="R1729" s="9"/>
      <c r="S1729" s="9"/>
      <c r="T1729" s="31"/>
      <c r="W1729" s="16"/>
      <c r="X1729" s="9"/>
      <c r="Y1729" s="9"/>
      <c r="AA1729" s="16"/>
      <c r="AK1729" s="16"/>
      <c r="AL1729" s="17"/>
      <c r="AN1729" s="16"/>
    </row>
    <row r="1730" spans="9:40" x14ac:dyDescent="0.4">
      <c r="I1730" s="11"/>
      <c r="J1730" s="9"/>
      <c r="K1730" s="9"/>
      <c r="O1730" s="11"/>
      <c r="P1730" s="9"/>
      <c r="Q1730" s="9"/>
      <c r="R1730" s="9"/>
      <c r="S1730" s="9"/>
      <c r="T1730" s="31"/>
      <c r="W1730" s="16"/>
      <c r="X1730" s="9"/>
      <c r="Y1730" s="9"/>
      <c r="AA1730" s="16"/>
      <c r="AK1730" s="16"/>
      <c r="AL1730" s="17"/>
      <c r="AN1730" s="16"/>
    </row>
    <row r="1731" spans="9:40" x14ac:dyDescent="0.4">
      <c r="I1731" s="11"/>
      <c r="J1731" s="9"/>
      <c r="K1731" s="9"/>
      <c r="O1731" s="11"/>
      <c r="P1731" s="9"/>
      <c r="Q1731" s="9"/>
      <c r="R1731" s="9"/>
      <c r="S1731" s="9"/>
      <c r="T1731" s="31"/>
      <c r="W1731" s="16"/>
      <c r="X1731" s="9"/>
      <c r="Y1731" s="9"/>
      <c r="AA1731" s="16"/>
      <c r="AK1731" s="16"/>
      <c r="AL1731" s="17"/>
      <c r="AN1731" s="16"/>
    </row>
    <row r="1732" spans="9:40" x14ac:dyDescent="0.4">
      <c r="I1732" s="11"/>
      <c r="J1732" s="9"/>
      <c r="K1732" s="9"/>
      <c r="O1732" s="11"/>
      <c r="P1732" s="9"/>
      <c r="Q1732" s="9"/>
      <c r="R1732" s="9"/>
      <c r="S1732" s="9"/>
      <c r="T1732" s="31"/>
      <c r="W1732" s="16"/>
      <c r="X1732" s="9"/>
      <c r="Y1732" s="9"/>
      <c r="AA1732" s="16"/>
      <c r="AK1732" s="16"/>
      <c r="AL1732" s="17"/>
      <c r="AN1732" s="16"/>
    </row>
    <row r="1733" spans="9:40" x14ac:dyDescent="0.4">
      <c r="I1733" s="11"/>
      <c r="J1733" s="9"/>
      <c r="K1733" s="9"/>
      <c r="O1733" s="11"/>
      <c r="P1733" s="9"/>
      <c r="Q1733" s="9"/>
      <c r="R1733" s="9"/>
      <c r="S1733" s="9"/>
      <c r="T1733" s="31"/>
      <c r="W1733" s="16"/>
      <c r="X1733" s="9"/>
      <c r="Y1733" s="9"/>
      <c r="AA1733" s="16"/>
      <c r="AK1733" s="16"/>
      <c r="AL1733" s="17"/>
      <c r="AN1733" s="16"/>
    </row>
    <row r="1734" spans="9:40" x14ac:dyDescent="0.4">
      <c r="I1734" s="11"/>
      <c r="J1734" s="9"/>
      <c r="K1734" s="9"/>
      <c r="O1734" s="11"/>
      <c r="P1734" s="9"/>
      <c r="Q1734" s="9"/>
      <c r="R1734" s="9"/>
      <c r="S1734" s="9"/>
      <c r="T1734" s="31"/>
      <c r="W1734" s="16"/>
      <c r="X1734" s="9"/>
      <c r="Y1734" s="9"/>
      <c r="AA1734" s="16"/>
      <c r="AK1734" s="16"/>
      <c r="AL1734" s="17"/>
      <c r="AN1734" s="16"/>
    </row>
    <row r="1735" spans="9:40" x14ac:dyDescent="0.4">
      <c r="I1735" s="11"/>
      <c r="J1735" s="9"/>
      <c r="K1735" s="9"/>
      <c r="O1735" s="11"/>
      <c r="P1735" s="9"/>
      <c r="Q1735" s="9"/>
      <c r="R1735" s="9"/>
      <c r="S1735" s="9"/>
      <c r="T1735" s="31"/>
      <c r="W1735" s="16"/>
      <c r="X1735" s="9"/>
      <c r="Y1735" s="9"/>
      <c r="AA1735" s="16"/>
      <c r="AK1735" s="16"/>
      <c r="AL1735" s="17"/>
      <c r="AN1735" s="16"/>
    </row>
    <row r="1736" spans="9:40" x14ac:dyDescent="0.4">
      <c r="I1736" s="11"/>
      <c r="J1736" s="9"/>
      <c r="K1736" s="9"/>
      <c r="O1736" s="11"/>
      <c r="P1736" s="9"/>
      <c r="Q1736" s="9"/>
      <c r="R1736" s="9"/>
      <c r="S1736" s="9"/>
      <c r="T1736" s="31"/>
      <c r="W1736" s="16"/>
      <c r="X1736" s="9"/>
      <c r="Y1736" s="9"/>
      <c r="AA1736" s="16"/>
      <c r="AK1736" s="16"/>
      <c r="AL1736" s="17"/>
      <c r="AN1736" s="16"/>
    </row>
    <row r="1737" spans="9:40" x14ac:dyDescent="0.4">
      <c r="I1737" s="11"/>
      <c r="J1737" s="9"/>
      <c r="K1737" s="9"/>
      <c r="O1737" s="11"/>
      <c r="P1737" s="9"/>
      <c r="Q1737" s="9"/>
      <c r="R1737" s="9"/>
      <c r="S1737" s="9"/>
      <c r="T1737" s="31"/>
      <c r="W1737" s="16"/>
      <c r="X1737" s="9"/>
      <c r="Y1737" s="9"/>
      <c r="AA1737" s="16"/>
      <c r="AK1737" s="16"/>
      <c r="AL1737" s="17"/>
      <c r="AN1737" s="16"/>
    </row>
    <row r="1738" spans="9:40" x14ac:dyDescent="0.4">
      <c r="I1738" s="11"/>
      <c r="J1738" s="9"/>
      <c r="K1738" s="9"/>
      <c r="O1738" s="11"/>
      <c r="P1738" s="9"/>
      <c r="Q1738" s="9"/>
      <c r="R1738" s="9"/>
      <c r="S1738" s="9"/>
      <c r="T1738" s="31"/>
      <c r="W1738" s="16"/>
      <c r="X1738" s="9"/>
      <c r="Y1738" s="9"/>
      <c r="AA1738" s="16"/>
      <c r="AK1738" s="16"/>
      <c r="AL1738" s="17"/>
      <c r="AN1738" s="16"/>
    </row>
    <row r="1739" spans="9:40" x14ac:dyDescent="0.4">
      <c r="I1739" s="11"/>
      <c r="J1739" s="9"/>
      <c r="K1739" s="9"/>
      <c r="O1739" s="11"/>
      <c r="P1739" s="9"/>
      <c r="Q1739" s="9"/>
      <c r="R1739" s="9"/>
      <c r="S1739" s="9"/>
      <c r="T1739" s="31"/>
      <c r="W1739" s="16"/>
      <c r="X1739" s="9"/>
      <c r="Y1739" s="9"/>
      <c r="AA1739" s="16"/>
      <c r="AK1739" s="16"/>
      <c r="AL1739" s="17"/>
      <c r="AN1739" s="16"/>
    </row>
    <row r="1740" spans="9:40" x14ac:dyDescent="0.4">
      <c r="I1740" s="11"/>
      <c r="J1740" s="9"/>
      <c r="K1740" s="9"/>
      <c r="O1740" s="11"/>
      <c r="P1740" s="9"/>
      <c r="Q1740" s="9"/>
      <c r="R1740" s="9"/>
      <c r="S1740" s="9"/>
      <c r="T1740" s="31"/>
      <c r="W1740" s="16"/>
      <c r="X1740" s="9"/>
      <c r="Y1740" s="9"/>
      <c r="AA1740" s="16"/>
      <c r="AK1740" s="16"/>
      <c r="AL1740" s="17"/>
      <c r="AN1740" s="16"/>
    </row>
    <row r="1741" spans="9:40" x14ac:dyDescent="0.4">
      <c r="I1741" s="11"/>
      <c r="J1741" s="9"/>
      <c r="K1741" s="9"/>
      <c r="O1741" s="11"/>
      <c r="P1741" s="9"/>
      <c r="Q1741" s="9"/>
      <c r="R1741" s="9"/>
      <c r="S1741" s="9"/>
      <c r="T1741" s="31"/>
      <c r="W1741" s="16"/>
      <c r="X1741" s="9"/>
      <c r="Y1741" s="9"/>
      <c r="AA1741" s="16"/>
      <c r="AK1741" s="16"/>
      <c r="AL1741" s="17"/>
      <c r="AN1741" s="16"/>
    </row>
    <row r="1742" spans="9:40" x14ac:dyDescent="0.4">
      <c r="I1742" s="11"/>
      <c r="J1742" s="9"/>
      <c r="K1742" s="9"/>
      <c r="O1742" s="11"/>
      <c r="P1742" s="9"/>
      <c r="Q1742" s="9"/>
      <c r="R1742" s="9"/>
      <c r="S1742" s="9"/>
      <c r="T1742" s="31"/>
      <c r="W1742" s="16"/>
      <c r="X1742" s="9"/>
      <c r="Y1742" s="9"/>
      <c r="AA1742" s="16"/>
      <c r="AK1742" s="16"/>
      <c r="AL1742" s="17"/>
      <c r="AN1742" s="16"/>
    </row>
    <row r="1743" spans="9:40" x14ac:dyDescent="0.4">
      <c r="I1743" s="11"/>
      <c r="J1743" s="9"/>
      <c r="K1743" s="9"/>
      <c r="O1743" s="11"/>
      <c r="P1743" s="9"/>
      <c r="Q1743" s="9"/>
      <c r="R1743" s="9"/>
      <c r="S1743" s="9"/>
      <c r="T1743" s="31"/>
      <c r="W1743" s="16"/>
      <c r="X1743" s="9"/>
      <c r="Y1743" s="9"/>
      <c r="AA1743" s="16"/>
      <c r="AK1743" s="16"/>
      <c r="AL1743" s="17"/>
      <c r="AN1743" s="16"/>
    </row>
    <row r="1744" spans="9:40" x14ac:dyDescent="0.4">
      <c r="I1744" s="11"/>
      <c r="J1744" s="9"/>
      <c r="K1744" s="9"/>
      <c r="O1744" s="11"/>
      <c r="P1744" s="9"/>
      <c r="Q1744" s="9"/>
      <c r="R1744" s="9"/>
      <c r="S1744" s="9"/>
      <c r="T1744" s="31"/>
      <c r="W1744" s="16"/>
      <c r="X1744" s="9"/>
      <c r="Y1744" s="9"/>
      <c r="AA1744" s="16"/>
      <c r="AK1744" s="16"/>
      <c r="AL1744" s="17"/>
      <c r="AN1744" s="16"/>
    </row>
    <row r="1745" spans="9:40" x14ac:dyDescent="0.4">
      <c r="I1745" s="11"/>
      <c r="J1745" s="9"/>
      <c r="K1745" s="9"/>
      <c r="O1745" s="11"/>
      <c r="P1745" s="9"/>
      <c r="Q1745" s="9"/>
      <c r="R1745" s="9"/>
      <c r="S1745" s="9"/>
      <c r="T1745" s="31"/>
      <c r="W1745" s="16"/>
      <c r="X1745" s="9"/>
      <c r="Y1745" s="9"/>
      <c r="AA1745" s="16"/>
      <c r="AK1745" s="16"/>
      <c r="AL1745" s="17"/>
      <c r="AN1745" s="16"/>
    </row>
    <row r="1746" spans="9:40" x14ac:dyDescent="0.4">
      <c r="I1746" s="11"/>
      <c r="J1746" s="9"/>
      <c r="K1746" s="9"/>
      <c r="O1746" s="11"/>
      <c r="P1746" s="9"/>
      <c r="Q1746" s="9"/>
      <c r="R1746" s="9"/>
      <c r="S1746" s="9"/>
      <c r="T1746" s="31"/>
      <c r="W1746" s="16"/>
      <c r="X1746" s="9"/>
      <c r="Y1746" s="9"/>
      <c r="AA1746" s="16"/>
      <c r="AK1746" s="16"/>
      <c r="AL1746" s="17"/>
      <c r="AN1746" s="16"/>
    </row>
    <row r="1747" spans="9:40" x14ac:dyDescent="0.4">
      <c r="I1747" s="11"/>
      <c r="J1747" s="9"/>
      <c r="K1747" s="9"/>
      <c r="O1747" s="11"/>
      <c r="P1747" s="9"/>
      <c r="Q1747" s="9"/>
      <c r="R1747" s="9"/>
      <c r="S1747" s="9"/>
      <c r="T1747" s="31"/>
      <c r="W1747" s="16"/>
      <c r="X1747" s="9"/>
      <c r="Y1747" s="9"/>
      <c r="AA1747" s="16"/>
      <c r="AK1747" s="16"/>
      <c r="AL1747" s="17"/>
      <c r="AN1747" s="16"/>
    </row>
    <row r="1748" spans="9:40" x14ac:dyDescent="0.4">
      <c r="I1748" s="11"/>
      <c r="J1748" s="9"/>
      <c r="K1748" s="9"/>
      <c r="O1748" s="11"/>
      <c r="P1748" s="9"/>
      <c r="Q1748" s="9"/>
      <c r="R1748" s="9"/>
      <c r="S1748" s="9"/>
      <c r="T1748" s="31"/>
      <c r="W1748" s="16"/>
      <c r="X1748" s="9"/>
      <c r="Y1748" s="9"/>
      <c r="AA1748" s="16"/>
      <c r="AK1748" s="16"/>
      <c r="AL1748" s="17"/>
      <c r="AN1748" s="16"/>
    </row>
    <row r="1749" spans="9:40" x14ac:dyDescent="0.4">
      <c r="I1749" s="11"/>
      <c r="J1749" s="9"/>
      <c r="K1749" s="9"/>
      <c r="O1749" s="11"/>
      <c r="P1749" s="9"/>
      <c r="Q1749" s="9"/>
      <c r="R1749" s="9"/>
      <c r="S1749" s="9"/>
      <c r="T1749" s="31"/>
      <c r="W1749" s="16"/>
      <c r="X1749" s="9"/>
      <c r="Y1749" s="9"/>
      <c r="AA1749" s="16"/>
      <c r="AK1749" s="16"/>
      <c r="AL1749" s="17"/>
      <c r="AN1749" s="16"/>
    </row>
    <row r="1750" spans="9:40" x14ac:dyDescent="0.4">
      <c r="I1750" s="11"/>
      <c r="J1750" s="9"/>
      <c r="K1750" s="9"/>
      <c r="O1750" s="11"/>
      <c r="P1750" s="9"/>
      <c r="Q1750" s="9"/>
      <c r="R1750" s="9"/>
      <c r="S1750" s="9"/>
      <c r="T1750" s="31"/>
      <c r="W1750" s="16"/>
      <c r="X1750" s="9"/>
      <c r="Y1750" s="9"/>
      <c r="AA1750" s="16"/>
      <c r="AK1750" s="16"/>
      <c r="AL1750" s="17"/>
      <c r="AN1750" s="16"/>
    </row>
    <row r="1751" spans="9:40" x14ac:dyDescent="0.4">
      <c r="I1751" s="11"/>
      <c r="J1751" s="9"/>
      <c r="K1751" s="9"/>
      <c r="O1751" s="11"/>
      <c r="P1751" s="9"/>
      <c r="Q1751" s="9"/>
      <c r="R1751" s="9"/>
      <c r="S1751" s="9"/>
      <c r="T1751" s="31"/>
      <c r="W1751" s="16"/>
      <c r="X1751" s="9"/>
      <c r="Y1751" s="9"/>
      <c r="AA1751" s="16"/>
      <c r="AK1751" s="16"/>
      <c r="AL1751" s="17"/>
      <c r="AN1751" s="16"/>
    </row>
    <row r="1752" spans="9:40" x14ac:dyDescent="0.4">
      <c r="I1752" s="11"/>
      <c r="J1752" s="9"/>
      <c r="K1752" s="9"/>
      <c r="O1752" s="11"/>
      <c r="P1752" s="9"/>
      <c r="Q1752" s="9"/>
      <c r="R1752" s="9"/>
      <c r="S1752" s="9"/>
      <c r="T1752" s="31"/>
      <c r="W1752" s="16"/>
      <c r="X1752" s="9"/>
      <c r="Y1752" s="9"/>
      <c r="AA1752" s="16"/>
      <c r="AK1752" s="16"/>
      <c r="AL1752" s="17"/>
      <c r="AN1752" s="16"/>
    </row>
    <row r="1753" spans="9:40" x14ac:dyDescent="0.4">
      <c r="I1753" s="11"/>
      <c r="J1753" s="9"/>
      <c r="K1753" s="9"/>
      <c r="O1753" s="11"/>
      <c r="P1753" s="9"/>
      <c r="Q1753" s="9"/>
      <c r="R1753" s="9"/>
      <c r="S1753" s="9"/>
      <c r="T1753" s="31"/>
      <c r="W1753" s="16"/>
      <c r="X1753" s="9"/>
      <c r="Y1753" s="9"/>
      <c r="AA1753" s="16"/>
      <c r="AK1753" s="16"/>
      <c r="AL1753" s="17"/>
      <c r="AN1753" s="16"/>
    </row>
    <row r="1754" spans="9:40" x14ac:dyDescent="0.4">
      <c r="I1754" s="11"/>
      <c r="J1754" s="9"/>
      <c r="K1754" s="9"/>
      <c r="O1754" s="11"/>
      <c r="P1754" s="9"/>
      <c r="Q1754" s="9"/>
      <c r="R1754" s="9"/>
      <c r="S1754" s="9"/>
      <c r="T1754" s="31"/>
      <c r="W1754" s="16"/>
      <c r="X1754" s="9"/>
      <c r="Y1754" s="9"/>
      <c r="AA1754" s="16"/>
      <c r="AK1754" s="16"/>
      <c r="AL1754" s="17"/>
      <c r="AN1754" s="16"/>
    </row>
    <row r="1755" spans="9:40" x14ac:dyDescent="0.4">
      <c r="I1755" s="11"/>
      <c r="J1755" s="9"/>
      <c r="K1755" s="9"/>
      <c r="O1755" s="11"/>
      <c r="P1755" s="9"/>
      <c r="Q1755" s="9"/>
      <c r="R1755" s="9"/>
      <c r="S1755" s="9"/>
      <c r="T1755" s="31"/>
      <c r="W1755" s="16"/>
      <c r="X1755" s="9"/>
      <c r="Y1755" s="9"/>
      <c r="AA1755" s="16"/>
      <c r="AK1755" s="16"/>
      <c r="AL1755" s="17"/>
      <c r="AN1755" s="16"/>
    </row>
    <row r="1756" spans="9:40" x14ac:dyDescent="0.4">
      <c r="I1756" s="11"/>
      <c r="J1756" s="9"/>
      <c r="K1756" s="9"/>
      <c r="O1756" s="11"/>
      <c r="P1756" s="9"/>
      <c r="Q1756" s="9"/>
      <c r="R1756" s="9"/>
      <c r="S1756" s="9"/>
      <c r="T1756" s="31"/>
      <c r="W1756" s="16"/>
      <c r="X1756" s="9"/>
      <c r="Y1756" s="9"/>
      <c r="AA1756" s="16"/>
      <c r="AK1756" s="16"/>
      <c r="AL1756" s="17"/>
      <c r="AN1756" s="16"/>
    </row>
    <row r="1757" spans="9:40" x14ac:dyDescent="0.4">
      <c r="I1757" s="11"/>
      <c r="J1757" s="9"/>
      <c r="K1757" s="9"/>
      <c r="O1757" s="11"/>
      <c r="P1757" s="9"/>
      <c r="Q1757" s="9"/>
      <c r="R1757" s="9"/>
      <c r="S1757" s="9"/>
      <c r="T1757" s="31"/>
      <c r="W1757" s="16"/>
      <c r="X1757" s="9"/>
      <c r="Y1757" s="9"/>
      <c r="AA1757" s="16"/>
      <c r="AK1757" s="16"/>
      <c r="AL1757" s="17"/>
      <c r="AN1757" s="16"/>
    </row>
    <row r="1758" spans="9:40" x14ac:dyDescent="0.4">
      <c r="I1758" s="11"/>
      <c r="J1758" s="9"/>
      <c r="K1758" s="9"/>
      <c r="O1758" s="11"/>
      <c r="P1758" s="9"/>
      <c r="Q1758" s="9"/>
      <c r="R1758" s="9"/>
      <c r="S1758" s="9"/>
      <c r="T1758" s="31"/>
      <c r="W1758" s="16"/>
      <c r="X1758" s="9"/>
      <c r="Y1758" s="9"/>
      <c r="AA1758" s="16"/>
      <c r="AK1758" s="16"/>
      <c r="AL1758" s="17"/>
      <c r="AN1758" s="16"/>
    </row>
    <row r="1759" spans="9:40" x14ac:dyDescent="0.4">
      <c r="I1759" s="11"/>
      <c r="J1759" s="9"/>
      <c r="K1759" s="9"/>
      <c r="O1759" s="11"/>
      <c r="P1759" s="9"/>
      <c r="Q1759" s="9"/>
      <c r="R1759" s="9"/>
      <c r="S1759" s="9"/>
      <c r="T1759" s="31"/>
      <c r="W1759" s="16"/>
      <c r="X1759" s="9"/>
      <c r="Y1759" s="9"/>
      <c r="AA1759" s="16"/>
      <c r="AK1759" s="16"/>
      <c r="AL1759" s="17"/>
      <c r="AN1759" s="16"/>
    </row>
    <row r="1760" spans="9:40" x14ac:dyDescent="0.4">
      <c r="I1760" s="11"/>
      <c r="J1760" s="9"/>
      <c r="K1760" s="9"/>
      <c r="O1760" s="11"/>
      <c r="P1760" s="9"/>
      <c r="Q1760" s="9"/>
      <c r="R1760" s="9"/>
      <c r="S1760" s="9"/>
      <c r="T1760" s="31"/>
      <c r="W1760" s="16"/>
      <c r="X1760" s="9"/>
      <c r="Y1760" s="9"/>
      <c r="AA1760" s="16"/>
      <c r="AK1760" s="16"/>
      <c r="AL1760" s="17"/>
      <c r="AN1760" s="16"/>
    </row>
    <row r="1761" spans="9:40" x14ac:dyDescent="0.4">
      <c r="I1761" s="11"/>
      <c r="J1761" s="9"/>
      <c r="K1761" s="9"/>
      <c r="O1761" s="11"/>
      <c r="P1761" s="9"/>
      <c r="Q1761" s="9"/>
      <c r="R1761" s="9"/>
      <c r="S1761" s="9"/>
      <c r="T1761" s="31"/>
      <c r="W1761" s="16"/>
      <c r="X1761" s="9"/>
      <c r="Y1761" s="9"/>
      <c r="AA1761" s="16"/>
      <c r="AK1761" s="16"/>
      <c r="AL1761" s="17"/>
      <c r="AN1761" s="16"/>
    </row>
    <row r="1762" spans="9:40" x14ac:dyDescent="0.4">
      <c r="I1762" s="11"/>
      <c r="J1762" s="9"/>
      <c r="K1762" s="9"/>
      <c r="O1762" s="11"/>
      <c r="P1762" s="9"/>
      <c r="Q1762" s="9"/>
      <c r="R1762" s="9"/>
      <c r="S1762" s="9"/>
      <c r="T1762" s="31"/>
      <c r="W1762" s="16"/>
      <c r="X1762" s="9"/>
      <c r="Y1762" s="9"/>
      <c r="AA1762" s="16"/>
      <c r="AK1762" s="16"/>
      <c r="AL1762" s="17"/>
      <c r="AN1762" s="16"/>
    </row>
    <row r="1763" spans="9:40" x14ac:dyDescent="0.4">
      <c r="I1763" s="11"/>
      <c r="J1763" s="9"/>
      <c r="K1763" s="9"/>
      <c r="O1763" s="11"/>
      <c r="P1763" s="9"/>
      <c r="Q1763" s="9"/>
      <c r="R1763" s="9"/>
      <c r="S1763" s="9"/>
      <c r="T1763" s="31"/>
      <c r="W1763" s="16"/>
      <c r="X1763" s="9"/>
      <c r="Y1763" s="9"/>
      <c r="AA1763" s="16"/>
      <c r="AK1763" s="16"/>
      <c r="AL1763" s="17"/>
      <c r="AN1763" s="16"/>
    </row>
    <row r="1764" spans="9:40" x14ac:dyDescent="0.4">
      <c r="I1764" s="11"/>
      <c r="J1764" s="9"/>
      <c r="K1764" s="9"/>
      <c r="O1764" s="11"/>
      <c r="P1764" s="9"/>
      <c r="Q1764" s="9"/>
      <c r="R1764" s="9"/>
      <c r="S1764" s="9"/>
      <c r="T1764" s="31"/>
      <c r="W1764" s="16"/>
      <c r="X1764" s="9"/>
      <c r="Y1764" s="9"/>
      <c r="AA1764" s="16"/>
      <c r="AK1764" s="16"/>
      <c r="AL1764" s="17"/>
      <c r="AN1764" s="16"/>
    </row>
    <row r="1765" spans="9:40" x14ac:dyDescent="0.4">
      <c r="I1765" s="11"/>
      <c r="J1765" s="9"/>
      <c r="K1765" s="9"/>
      <c r="O1765" s="11"/>
      <c r="P1765" s="9"/>
      <c r="Q1765" s="9"/>
      <c r="R1765" s="9"/>
      <c r="S1765" s="9"/>
      <c r="T1765" s="31"/>
      <c r="W1765" s="16"/>
      <c r="X1765" s="9"/>
      <c r="Y1765" s="9"/>
      <c r="AA1765" s="16"/>
      <c r="AK1765" s="16"/>
      <c r="AL1765" s="17"/>
      <c r="AN1765" s="16"/>
    </row>
    <row r="1766" spans="9:40" x14ac:dyDescent="0.4">
      <c r="I1766" s="11"/>
      <c r="J1766" s="9"/>
      <c r="K1766" s="9"/>
      <c r="O1766" s="11"/>
      <c r="P1766" s="9"/>
      <c r="Q1766" s="9"/>
      <c r="R1766" s="9"/>
      <c r="S1766" s="9"/>
      <c r="T1766" s="31"/>
      <c r="W1766" s="16"/>
      <c r="X1766" s="9"/>
      <c r="Y1766" s="9"/>
      <c r="AA1766" s="16"/>
      <c r="AK1766" s="16"/>
      <c r="AL1766" s="17"/>
      <c r="AN1766" s="16"/>
    </row>
    <row r="1767" spans="9:40" x14ac:dyDescent="0.4">
      <c r="I1767" s="11"/>
      <c r="J1767" s="9"/>
      <c r="K1767" s="9"/>
      <c r="O1767" s="11"/>
      <c r="P1767" s="9"/>
      <c r="Q1767" s="9"/>
      <c r="R1767" s="9"/>
      <c r="S1767" s="9"/>
      <c r="T1767" s="31"/>
      <c r="W1767" s="16"/>
      <c r="X1767" s="9"/>
      <c r="Y1767" s="9"/>
      <c r="AA1767" s="16"/>
      <c r="AK1767" s="16"/>
      <c r="AL1767" s="17"/>
      <c r="AN1767" s="16"/>
    </row>
    <row r="1768" spans="9:40" x14ac:dyDescent="0.4">
      <c r="I1768" s="11"/>
      <c r="J1768" s="9"/>
      <c r="K1768" s="9"/>
      <c r="O1768" s="11"/>
      <c r="P1768" s="9"/>
      <c r="Q1768" s="9"/>
      <c r="R1768" s="9"/>
      <c r="S1768" s="9"/>
      <c r="T1768" s="31"/>
      <c r="W1768" s="16"/>
      <c r="X1768" s="9"/>
      <c r="Y1768" s="9"/>
      <c r="AA1768" s="16"/>
      <c r="AK1768" s="16"/>
      <c r="AL1768" s="17"/>
      <c r="AN1768" s="16"/>
    </row>
    <row r="1769" spans="9:40" x14ac:dyDescent="0.4">
      <c r="I1769" s="11"/>
      <c r="J1769" s="9"/>
      <c r="K1769" s="9"/>
      <c r="O1769" s="11"/>
      <c r="P1769" s="9"/>
      <c r="Q1769" s="9"/>
      <c r="R1769" s="9"/>
      <c r="S1769" s="9"/>
      <c r="T1769" s="31"/>
      <c r="W1769" s="16"/>
      <c r="X1769" s="9"/>
      <c r="Y1769" s="9"/>
      <c r="AA1769" s="16"/>
      <c r="AK1769" s="16"/>
      <c r="AL1769" s="17"/>
      <c r="AN1769" s="16"/>
    </row>
    <row r="1770" spans="9:40" x14ac:dyDescent="0.4">
      <c r="I1770" s="11"/>
      <c r="J1770" s="9"/>
      <c r="K1770" s="9"/>
      <c r="O1770" s="11"/>
      <c r="P1770" s="9"/>
      <c r="Q1770" s="9"/>
      <c r="R1770" s="9"/>
      <c r="S1770" s="9"/>
      <c r="T1770" s="31"/>
      <c r="W1770" s="16"/>
      <c r="X1770" s="9"/>
      <c r="Y1770" s="9"/>
      <c r="AA1770" s="16"/>
      <c r="AK1770" s="16"/>
      <c r="AL1770" s="17"/>
      <c r="AN1770" s="16"/>
    </row>
    <row r="1771" spans="9:40" x14ac:dyDescent="0.4">
      <c r="I1771" s="11"/>
      <c r="J1771" s="9"/>
      <c r="K1771" s="9"/>
      <c r="O1771" s="11"/>
      <c r="P1771" s="9"/>
      <c r="Q1771" s="9"/>
      <c r="R1771" s="9"/>
      <c r="S1771" s="9"/>
      <c r="T1771" s="31"/>
      <c r="W1771" s="16"/>
      <c r="X1771" s="9"/>
      <c r="Y1771" s="9"/>
      <c r="AA1771" s="16"/>
      <c r="AK1771" s="16"/>
      <c r="AL1771" s="17"/>
      <c r="AN1771" s="16"/>
    </row>
    <row r="1772" spans="9:40" x14ac:dyDescent="0.4">
      <c r="I1772" s="11"/>
      <c r="J1772" s="9"/>
      <c r="K1772" s="9"/>
      <c r="O1772" s="11"/>
      <c r="P1772" s="9"/>
      <c r="Q1772" s="9"/>
      <c r="R1772" s="9"/>
      <c r="S1772" s="9"/>
      <c r="T1772" s="31"/>
      <c r="W1772" s="16"/>
      <c r="X1772" s="9"/>
      <c r="Y1772" s="9"/>
      <c r="AA1772" s="16"/>
      <c r="AK1772" s="16"/>
      <c r="AL1772" s="17"/>
      <c r="AN1772" s="16"/>
    </row>
    <row r="1773" spans="9:40" x14ac:dyDescent="0.4">
      <c r="I1773" s="11"/>
      <c r="J1773" s="9"/>
      <c r="K1773" s="9"/>
      <c r="O1773" s="11"/>
      <c r="P1773" s="9"/>
      <c r="Q1773" s="9"/>
      <c r="R1773" s="9"/>
      <c r="S1773" s="9"/>
      <c r="T1773" s="31"/>
      <c r="W1773" s="16"/>
      <c r="X1773" s="9"/>
      <c r="Y1773" s="9"/>
      <c r="AA1773" s="16"/>
      <c r="AK1773" s="16"/>
      <c r="AL1773" s="17"/>
      <c r="AN1773" s="16"/>
    </row>
    <row r="1774" spans="9:40" x14ac:dyDescent="0.4">
      <c r="I1774" s="11"/>
      <c r="J1774" s="9"/>
      <c r="K1774" s="9"/>
      <c r="O1774" s="11"/>
      <c r="P1774" s="9"/>
      <c r="Q1774" s="9"/>
      <c r="R1774" s="9"/>
      <c r="S1774" s="9"/>
      <c r="T1774" s="31"/>
      <c r="W1774" s="16"/>
      <c r="X1774" s="9"/>
      <c r="Y1774" s="9"/>
      <c r="AA1774" s="16"/>
      <c r="AK1774" s="16"/>
      <c r="AL1774" s="17"/>
      <c r="AN1774" s="16"/>
    </row>
    <row r="1775" spans="9:40" x14ac:dyDescent="0.4">
      <c r="I1775" s="11"/>
      <c r="J1775" s="9"/>
      <c r="K1775" s="9"/>
      <c r="O1775" s="11"/>
      <c r="P1775" s="9"/>
      <c r="Q1775" s="9"/>
      <c r="R1775" s="9"/>
      <c r="S1775" s="9"/>
      <c r="T1775" s="31"/>
      <c r="W1775" s="16"/>
      <c r="X1775" s="9"/>
      <c r="Y1775" s="9"/>
      <c r="AA1775" s="16"/>
      <c r="AK1775" s="16"/>
      <c r="AL1775" s="17"/>
      <c r="AN1775" s="16"/>
    </row>
    <row r="1776" spans="9:40" x14ac:dyDescent="0.4">
      <c r="I1776" s="11"/>
      <c r="J1776" s="9"/>
      <c r="K1776" s="9"/>
      <c r="O1776" s="11"/>
      <c r="P1776" s="9"/>
      <c r="Q1776" s="9"/>
      <c r="R1776" s="9"/>
      <c r="S1776" s="9"/>
      <c r="T1776" s="31"/>
      <c r="W1776" s="16"/>
      <c r="X1776" s="9"/>
      <c r="Y1776" s="9"/>
      <c r="AA1776" s="16"/>
      <c r="AK1776" s="16"/>
      <c r="AL1776" s="17"/>
      <c r="AN1776" s="16"/>
    </row>
    <row r="1777" spans="9:40" x14ac:dyDescent="0.4">
      <c r="I1777" s="11"/>
      <c r="J1777" s="9"/>
      <c r="K1777" s="9"/>
      <c r="O1777" s="11"/>
      <c r="P1777" s="9"/>
      <c r="Q1777" s="9"/>
      <c r="R1777" s="9"/>
      <c r="S1777" s="9"/>
      <c r="T1777" s="31"/>
      <c r="W1777" s="16"/>
      <c r="X1777" s="9"/>
      <c r="Y1777" s="9"/>
      <c r="AA1777" s="16"/>
      <c r="AK1777" s="16"/>
      <c r="AL1777" s="17"/>
      <c r="AN1777" s="16"/>
    </row>
    <row r="1778" spans="9:40" x14ac:dyDescent="0.4">
      <c r="I1778" s="11"/>
      <c r="J1778" s="9"/>
      <c r="K1778" s="9"/>
      <c r="O1778" s="11"/>
      <c r="P1778" s="9"/>
      <c r="Q1778" s="9"/>
      <c r="R1778" s="9"/>
      <c r="S1778" s="9"/>
      <c r="T1778" s="31"/>
      <c r="W1778" s="16"/>
      <c r="X1778" s="9"/>
      <c r="Y1778" s="9"/>
      <c r="AA1778" s="16"/>
      <c r="AK1778" s="16"/>
      <c r="AL1778" s="17"/>
      <c r="AN1778" s="16"/>
    </row>
    <row r="1779" spans="9:40" x14ac:dyDescent="0.4">
      <c r="I1779" s="11"/>
      <c r="J1779" s="9"/>
      <c r="K1779" s="9"/>
      <c r="O1779" s="11"/>
      <c r="P1779" s="9"/>
      <c r="Q1779" s="9"/>
      <c r="R1779" s="9"/>
      <c r="S1779" s="9"/>
      <c r="T1779" s="31"/>
      <c r="W1779" s="16"/>
      <c r="X1779" s="9"/>
      <c r="Y1779" s="9"/>
      <c r="AA1779" s="16"/>
      <c r="AK1779" s="16"/>
      <c r="AL1779" s="17"/>
      <c r="AN1779" s="16"/>
    </row>
    <row r="1780" spans="9:40" x14ac:dyDescent="0.4">
      <c r="I1780" s="11"/>
      <c r="J1780" s="9"/>
      <c r="K1780" s="9"/>
      <c r="O1780" s="11"/>
      <c r="P1780" s="9"/>
      <c r="Q1780" s="9"/>
      <c r="R1780" s="9"/>
      <c r="S1780" s="9"/>
      <c r="T1780" s="31"/>
      <c r="W1780" s="16"/>
      <c r="X1780" s="9"/>
      <c r="Y1780" s="9"/>
      <c r="AA1780" s="16"/>
      <c r="AK1780" s="16"/>
      <c r="AL1780" s="17"/>
      <c r="AN1780" s="16"/>
    </row>
    <row r="1781" spans="9:40" x14ac:dyDescent="0.4">
      <c r="I1781" s="11"/>
      <c r="J1781" s="9"/>
      <c r="K1781" s="9"/>
      <c r="O1781" s="11"/>
      <c r="P1781" s="9"/>
      <c r="Q1781" s="9"/>
      <c r="R1781" s="9"/>
      <c r="S1781" s="9"/>
      <c r="T1781" s="31"/>
      <c r="W1781" s="16"/>
      <c r="X1781" s="9"/>
      <c r="Y1781" s="9"/>
      <c r="AA1781" s="16"/>
      <c r="AK1781" s="16"/>
      <c r="AL1781" s="17"/>
      <c r="AN1781" s="16"/>
    </row>
    <row r="1782" spans="9:40" x14ac:dyDescent="0.4">
      <c r="I1782" s="11"/>
      <c r="J1782" s="9"/>
      <c r="K1782" s="9"/>
      <c r="O1782" s="11"/>
      <c r="P1782" s="9"/>
      <c r="Q1782" s="9"/>
      <c r="R1782" s="9"/>
      <c r="S1782" s="9"/>
      <c r="T1782" s="31"/>
      <c r="W1782" s="16"/>
      <c r="X1782" s="9"/>
      <c r="Y1782" s="9"/>
      <c r="AA1782" s="16"/>
      <c r="AK1782" s="16"/>
      <c r="AL1782" s="17"/>
      <c r="AN1782" s="16"/>
    </row>
    <row r="1783" spans="9:40" x14ac:dyDescent="0.4">
      <c r="I1783" s="11"/>
      <c r="J1783" s="9"/>
      <c r="K1783" s="9"/>
      <c r="O1783" s="11"/>
      <c r="P1783" s="9"/>
      <c r="Q1783" s="9"/>
      <c r="R1783" s="9"/>
      <c r="S1783" s="9"/>
      <c r="T1783" s="31"/>
      <c r="W1783" s="16"/>
      <c r="X1783" s="9"/>
      <c r="Y1783" s="9"/>
      <c r="AA1783" s="16"/>
      <c r="AK1783" s="16"/>
      <c r="AL1783" s="17"/>
      <c r="AN1783" s="16"/>
    </row>
    <row r="1784" spans="9:40" x14ac:dyDescent="0.4">
      <c r="I1784" s="11"/>
      <c r="J1784" s="9"/>
      <c r="K1784" s="9"/>
      <c r="O1784" s="11"/>
      <c r="P1784" s="9"/>
      <c r="Q1784" s="9"/>
      <c r="R1784" s="9"/>
      <c r="S1784" s="9"/>
      <c r="T1784" s="31"/>
      <c r="W1784" s="16"/>
      <c r="X1784" s="9"/>
      <c r="Y1784" s="9"/>
      <c r="AA1784" s="16"/>
      <c r="AK1784" s="16"/>
      <c r="AL1784" s="17"/>
      <c r="AN1784" s="16"/>
    </row>
    <row r="1785" spans="9:40" x14ac:dyDescent="0.4">
      <c r="I1785" s="11"/>
      <c r="J1785" s="9"/>
      <c r="K1785" s="9"/>
      <c r="O1785" s="11"/>
      <c r="P1785" s="9"/>
      <c r="Q1785" s="9"/>
      <c r="R1785" s="9"/>
      <c r="S1785" s="9"/>
      <c r="T1785" s="31"/>
      <c r="W1785" s="16"/>
      <c r="X1785" s="9"/>
      <c r="Y1785" s="9"/>
      <c r="AA1785" s="16"/>
      <c r="AK1785" s="16"/>
      <c r="AL1785" s="17"/>
      <c r="AN1785" s="16"/>
    </row>
    <row r="1786" spans="9:40" x14ac:dyDescent="0.4">
      <c r="I1786" s="11"/>
      <c r="J1786" s="9"/>
      <c r="K1786" s="9"/>
      <c r="O1786" s="11"/>
      <c r="P1786" s="9"/>
      <c r="Q1786" s="9"/>
      <c r="R1786" s="9"/>
      <c r="S1786" s="9"/>
      <c r="T1786" s="31"/>
      <c r="W1786" s="16"/>
      <c r="X1786" s="9"/>
      <c r="Y1786" s="9"/>
      <c r="AA1786" s="16"/>
      <c r="AK1786" s="16"/>
      <c r="AL1786" s="17"/>
      <c r="AN1786" s="16"/>
    </row>
    <row r="1787" spans="9:40" x14ac:dyDescent="0.4">
      <c r="I1787" s="11"/>
      <c r="J1787" s="9"/>
      <c r="K1787" s="9"/>
      <c r="O1787" s="11"/>
      <c r="P1787" s="9"/>
      <c r="Q1787" s="9"/>
      <c r="R1787" s="9"/>
      <c r="S1787" s="9"/>
      <c r="T1787" s="31"/>
      <c r="W1787" s="16"/>
      <c r="X1787" s="9"/>
      <c r="Y1787" s="9"/>
      <c r="AA1787" s="16"/>
      <c r="AK1787" s="16"/>
      <c r="AL1787" s="17"/>
      <c r="AN1787" s="16"/>
    </row>
    <row r="1788" spans="9:40" x14ac:dyDescent="0.4">
      <c r="I1788" s="11"/>
      <c r="J1788" s="9"/>
      <c r="K1788" s="9"/>
      <c r="O1788" s="11"/>
      <c r="P1788" s="9"/>
      <c r="Q1788" s="9"/>
      <c r="R1788" s="9"/>
      <c r="S1788" s="9"/>
      <c r="T1788" s="31"/>
      <c r="W1788" s="16"/>
      <c r="X1788" s="9"/>
      <c r="Y1788" s="9"/>
      <c r="AA1788" s="16"/>
      <c r="AK1788" s="16"/>
      <c r="AL1788" s="17"/>
      <c r="AN1788" s="16"/>
    </row>
    <row r="1789" spans="9:40" x14ac:dyDescent="0.4">
      <c r="I1789" s="11"/>
      <c r="J1789" s="9"/>
      <c r="K1789" s="9"/>
      <c r="O1789" s="11"/>
      <c r="P1789" s="9"/>
      <c r="Q1789" s="9"/>
      <c r="R1789" s="9"/>
      <c r="S1789" s="9"/>
      <c r="T1789" s="31"/>
      <c r="W1789" s="16"/>
      <c r="X1789" s="9"/>
      <c r="Y1789" s="9"/>
      <c r="AA1789" s="16"/>
      <c r="AK1789" s="16"/>
      <c r="AL1789" s="17"/>
      <c r="AN1789" s="16"/>
    </row>
    <row r="1790" spans="9:40" x14ac:dyDescent="0.4">
      <c r="I1790" s="11"/>
      <c r="J1790" s="9"/>
      <c r="K1790" s="9"/>
      <c r="O1790" s="11"/>
      <c r="P1790" s="9"/>
      <c r="Q1790" s="9"/>
      <c r="R1790" s="9"/>
      <c r="S1790" s="9"/>
      <c r="T1790" s="31"/>
      <c r="W1790" s="16"/>
      <c r="X1790" s="9"/>
      <c r="Y1790" s="9"/>
      <c r="AA1790" s="16"/>
      <c r="AK1790" s="16"/>
      <c r="AL1790" s="17"/>
      <c r="AN1790" s="16"/>
    </row>
    <row r="1791" spans="9:40" x14ac:dyDescent="0.4">
      <c r="I1791" s="11"/>
      <c r="J1791" s="9"/>
      <c r="K1791" s="9"/>
      <c r="O1791" s="11"/>
      <c r="P1791" s="9"/>
      <c r="Q1791" s="9"/>
      <c r="R1791" s="9"/>
      <c r="S1791" s="9"/>
      <c r="T1791" s="31"/>
      <c r="W1791" s="16"/>
      <c r="X1791" s="9"/>
      <c r="Y1791" s="9"/>
      <c r="AA1791" s="16"/>
      <c r="AK1791" s="16"/>
      <c r="AL1791" s="17"/>
      <c r="AN1791" s="16"/>
    </row>
    <row r="1792" spans="9:40" x14ac:dyDescent="0.4">
      <c r="I1792" s="11"/>
      <c r="J1792" s="9"/>
      <c r="K1792" s="9"/>
      <c r="O1792" s="11"/>
      <c r="P1792" s="9"/>
      <c r="Q1792" s="9"/>
      <c r="R1792" s="9"/>
      <c r="S1792" s="9"/>
      <c r="T1792" s="31"/>
      <c r="W1792" s="16"/>
      <c r="X1792" s="9"/>
      <c r="Y1792" s="9"/>
      <c r="AA1792" s="16"/>
      <c r="AK1792" s="16"/>
      <c r="AL1792" s="17"/>
      <c r="AN1792" s="16"/>
    </row>
    <row r="1793" spans="9:40" x14ac:dyDescent="0.4">
      <c r="I1793" s="11"/>
      <c r="J1793" s="9"/>
      <c r="K1793" s="9"/>
      <c r="O1793" s="11"/>
      <c r="P1793" s="9"/>
      <c r="Q1793" s="9"/>
      <c r="R1793" s="9"/>
      <c r="S1793" s="9"/>
      <c r="T1793" s="31"/>
      <c r="W1793" s="16"/>
      <c r="X1793" s="9"/>
      <c r="Y1793" s="9"/>
      <c r="AA1793" s="16"/>
      <c r="AK1793" s="16"/>
      <c r="AL1793" s="17"/>
      <c r="AN1793" s="16"/>
    </row>
    <row r="1794" spans="9:40" x14ac:dyDescent="0.4">
      <c r="I1794" s="11"/>
      <c r="J1794" s="9"/>
      <c r="K1794" s="9"/>
      <c r="O1794" s="11"/>
      <c r="P1794" s="9"/>
      <c r="Q1794" s="9"/>
      <c r="R1794" s="9"/>
      <c r="S1794" s="9"/>
      <c r="T1794" s="31"/>
      <c r="W1794" s="16"/>
      <c r="X1794" s="9"/>
      <c r="Y1794" s="9"/>
      <c r="AA1794" s="16"/>
      <c r="AK1794" s="16"/>
      <c r="AL1794" s="17"/>
      <c r="AN1794" s="16"/>
    </row>
    <row r="1795" spans="9:40" x14ac:dyDescent="0.4">
      <c r="I1795" s="11"/>
      <c r="J1795" s="9"/>
      <c r="K1795" s="9"/>
      <c r="O1795" s="11"/>
      <c r="P1795" s="9"/>
      <c r="Q1795" s="9"/>
      <c r="R1795" s="9"/>
      <c r="S1795" s="9"/>
      <c r="T1795" s="31"/>
      <c r="W1795" s="16"/>
      <c r="X1795" s="9"/>
      <c r="Y1795" s="9"/>
      <c r="AA1795" s="16"/>
      <c r="AK1795" s="16"/>
      <c r="AL1795" s="17"/>
      <c r="AN1795" s="16"/>
    </row>
    <row r="1796" spans="9:40" x14ac:dyDescent="0.4">
      <c r="I1796" s="11"/>
      <c r="J1796" s="9"/>
      <c r="K1796" s="9"/>
      <c r="O1796" s="11"/>
      <c r="P1796" s="9"/>
      <c r="Q1796" s="9"/>
      <c r="R1796" s="9"/>
      <c r="S1796" s="9"/>
      <c r="T1796" s="31"/>
      <c r="W1796" s="16"/>
      <c r="X1796" s="9"/>
      <c r="Y1796" s="9"/>
      <c r="AA1796" s="16"/>
      <c r="AK1796" s="16"/>
      <c r="AL1796" s="17"/>
      <c r="AN1796" s="16"/>
    </row>
    <row r="1797" spans="9:40" x14ac:dyDescent="0.4">
      <c r="I1797" s="11"/>
      <c r="J1797" s="9"/>
      <c r="K1797" s="9"/>
      <c r="O1797" s="11"/>
      <c r="P1797" s="9"/>
      <c r="Q1797" s="9"/>
      <c r="R1797" s="9"/>
      <c r="S1797" s="9"/>
      <c r="T1797" s="31"/>
      <c r="W1797" s="16"/>
      <c r="X1797" s="9"/>
      <c r="Y1797" s="9"/>
      <c r="AA1797" s="16"/>
      <c r="AK1797" s="16"/>
      <c r="AL1797" s="17"/>
      <c r="AN1797" s="16"/>
    </row>
    <row r="1798" spans="9:40" x14ac:dyDescent="0.4">
      <c r="I1798" s="11"/>
      <c r="J1798" s="9"/>
      <c r="K1798" s="9"/>
      <c r="O1798" s="11"/>
      <c r="P1798" s="9"/>
      <c r="Q1798" s="9"/>
      <c r="R1798" s="9"/>
      <c r="S1798" s="9"/>
      <c r="T1798" s="31"/>
      <c r="W1798" s="16"/>
      <c r="X1798" s="9"/>
      <c r="Y1798" s="9"/>
      <c r="AA1798" s="16"/>
      <c r="AK1798" s="16"/>
      <c r="AL1798" s="17"/>
      <c r="AN1798" s="16"/>
    </row>
    <row r="1799" spans="9:40" x14ac:dyDescent="0.4">
      <c r="I1799" s="11"/>
      <c r="J1799" s="9"/>
      <c r="K1799" s="9"/>
      <c r="O1799" s="11"/>
      <c r="P1799" s="9"/>
      <c r="Q1799" s="9"/>
      <c r="R1799" s="9"/>
      <c r="S1799" s="9"/>
      <c r="T1799" s="31"/>
      <c r="W1799" s="16"/>
      <c r="X1799" s="9"/>
      <c r="Y1799" s="9"/>
      <c r="AA1799" s="16"/>
      <c r="AK1799" s="16"/>
      <c r="AL1799" s="17"/>
      <c r="AN1799" s="16"/>
    </row>
    <row r="1800" spans="9:40" x14ac:dyDescent="0.4">
      <c r="I1800" s="11"/>
      <c r="J1800" s="9"/>
      <c r="K1800" s="9"/>
      <c r="O1800" s="11"/>
      <c r="P1800" s="9"/>
      <c r="Q1800" s="9"/>
      <c r="R1800" s="9"/>
      <c r="S1800" s="9"/>
      <c r="T1800" s="31"/>
      <c r="W1800" s="16"/>
      <c r="X1800" s="9"/>
      <c r="Y1800" s="9"/>
      <c r="AA1800" s="16"/>
      <c r="AK1800" s="16"/>
      <c r="AL1800" s="17"/>
      <c r="AN1800" s="16"/>
    </row>
    <row r="1801" spans="9:40" x14ac:dyDescent="0.4">
      <c r="I1801" s="11"/>
      <c r="J1801" s="9"/>
      <c r="K1801" s="9"/>
      <c r="O1801" s="11"/>
      <c r="P1801" s="9"/>
      <c r="Q1801" s="9"/>
      <c r="R1801" s="9"/>
      <c r="S1801" s="9"/>
      <c r="T1801" s="31"/>
      <c r="W1801" s="16"/>
      <c r="X1801" s="9"/>
      <c r="Y1801" s="9"/>
      <c r="AA1801" s="16"/>
      <c r="AK1801" s="16"/>
      <c r="AL1801" s="17"/>
      <c r="AN1801" s="16"/>
    </row>
    <row r="1802" spans="9:40" x14ac:dyDescent="0.4">
      <c r="I1802" s="11"/>
      <c r="J1802" s="9"/>
      <c r="K1802" s="9"/>
      <c r="O1802" s="11"/>
      <c r="P1802" s="9"/>
      <c r="Q1802" s="9"/>
      <c r="R1802" s="9"/>
      <c r="S1802" s="9"/>
      <c r="T1802" s="31"/>
      <c r="W1802" s="16"/>
      <c r="X1802" s="9"/>
      <c r="Y1802" s="9"/>
      <c r="AA1802" s="16"/>
      <c r="AK1802" s="16"/>
      <c r="AL1802" s="17"/>
      <c r="AN1802" s="16"/>
    </row>
    <row r="1803" spans="9:40" x14ac:dyDescent="0.4">
      <c r="I1803" s="11"/>
      <c r="J1803" s="9"/>
      <c r="K1803" s="9"/>
      <c r="O1803" s="11"/>
      <c r="P1803" s="9"/>
      <c r="Q1803" s="9"/>
      <c r="R1803" s="9"/>
      <c r="S1803" s="9"/>
      <c r="T1803" s="31"/>
      <c r="W1803" s="16"/>
      <c r="X1803" s="9"/>
      <c r="Y1803" s="9"/>
      <c r="AA1803" s="16"/>
      <c r="AK1803" s="16"/>
      <c r="AL1803" s="17"/>
      <c r="AN1803" s="16"/>
    </row>
    <row r="1804" spans="9:40" x14ac:dyDescent="0.4">
      <c r="I1804" s="11"/>
      <c r="J1804" s="9"/>
      <c r="K1804" s="9"/>
      <c r="O1804" s="11"/>
      <c r="P1804" s="9"/>
      <c r="Q1804" s="9"/>
      <c r="R1804" s="9"/>
      <c r="S1804" s="9"/>
      <c r="T1804" s="31"/>
      <c r="W1804" s="16"/>
      <c r="X1804" s="9"/>
      <c r="Y1804" s="9"/>
      <c r="AA1804" s="16"/>
      <c r="AK1804" s="16"/>
      <c r="AL1804" s="17"/>
      <c r="AN1804" s="16"/>
    </row>
    <row r="1805" spans="9:40" x14ac:dyDescent="0.4">
      <c r="I1805" s="11"/>
      <c r="J1805" s="9"/>
      <c r="K1805" s="9"/>
      <c r="O1805" s="11"/>
      <c r="P1805" s="9"/>
      <c r="Q1805" s="9"/>
      <c r="R1805" s="9"/>
      <c r="S1805" s="9"/>
      <c r="T1805" s="31"/>
      <c r="W1805" s="16"/>
      <c r="X1805" s="9"/>
      <c r="Y1805" s="9"/>
      <c r="AA1805" s="16"/>
      <c r="AK1805" s="16"/>
      <c r="AL1805" s="17"/>
      <c r="AN1805" s="16"/>
    </row>
    <row r="1806" spans="9:40" x14ac:dyDescent="0.4">
      <c r="I1806" s="11"/>
      <c r="J1806" s="9"/>
      <c r="K1806" s="9"/>
      <c r="O1806" s="11"/>
      <c r="P1806" s="9"/>
      <c r="Q1806" s="9"/>
      <c r="R1806" s="9"/>
      <c r="S1806" s="9"/>
      <c r="T1806" s="31"/>
      <c r="W1806" s="16"/>
      <c r="X1806" s="9"/>
      <c r="Y1806" s="9"/>
      <c r="AA1806" s="16"/>
      <c r="AK1806" s="16"/>
      <c r="AL1806" s="17"/>
      <c r="AN1806" s="16"/>
    </row>
    <row r="1807" spans="9:40" x14ac:dyDescent="0.4">
      <c r="I1807" s="11"/>
      <c r="J1807" s="9"/>
      <c r="K1807" s="9"/>
      <c r="O1807" s="11"/>
      <c r="P1807" s="9"/>
      <c r="Q1807" s="9"/>
      <c r="R1807" s="9"/>
      <c r="S1807" s="9"/>
      <c r="T1807" s="31"/>
      <c r="W1807" s="16"/>
      <c r="X1807" s="9"/>
      <c r="Y1807" s="9"/>
      <c r="AA1807" s="16"/>
      <c r="AK1807" s="16"/>
      <c r="AL1807" s="17"/>
      <c r="AN1807" s="16"/>
    </row>
    <row r="1808" spans="9:40" x14ac:dyDescent="0.4">
      <c r="I1808" s="11"/>
      <c r="J1808" s="9"/>
      <c r="K1808" s="9"/>
      <c r="O1808" s="11"/>
      <c r="P1808" s="9"/>
      <c r="Q1808" s="9"/>
      <c r="R1808" s="9"/>
      <c r="S1808" s="9"/>
      <c r="T1808" s="31"/>
      <c r="W1808" s="16"/>
      <c r="X1808" s="9"/>
      <c r="Y1808" s="9"/>
      <c r="AA1808" s="16"/>
      <c r="AK1808" s="16"/>
      <c r="AL1808" s="17"/>
      <c r="AN1808" s="16"/>
    </row>
    <row r="1809" spans="9:40" x14ac:dyDescent="0.4">
      <c r="I1809" s="11"/>
      <c r="J1809" s="9"/>
      <c r="K1809" s="9"/>
      <c r="O1809" s="11"/>
      <c r="P1809" s="9"/>
      <c r="Q1809" s="9"/>
      <c r="R1809" s="9"/>
      <c r="S1809" s="9"/>
      <c r="T1809" s="31"/>
      <c r="W1809" s="16"/>
      <c r="X1809" s="9"/>
      <c r="Y1809" s="9"/>
      <c r="AA1809" s="16"/>
      <c r="AK1809" s="16"/>
      <c r="AL1809" s="17"/>
      <c r="AN1809" s="16"/>
    </row>
    <row r="1810" spans="9:40" x14ac:dyDescent="0.4">
      <c r="I1810" s="11"/>
      <c r="J1810" s="9"/>
      <c r="K1810" s="9"/>
      <c r="O1810" s="11"/>
      <c r="P1810" s="9"/>
      <c r="Q1810" s="9"/>
      <c r="R1810" s="9"/>
      <c r="S1810" s="9"/>
      <c r="T1810" s="31"/>
      <c r="W1810" s="16"/>
      <c r="X1810" s="9"/>
      <c r="Y1810" s="9"/>
      <c r="AA1810" s="16"/>
      <c r="AK1810" s="16"/>
      <c r="AL1810" s="17"/>
      <c r="AN1810" s="16"/>
    </row>
    <row r="1811" spans="9:40" x14ac:dyDescent="0.4">
      <c r="I1811" s="11"/>
      <c r="J1811" s="9"/>
      <c r="K1811" s="9"/>
      <c r="O1811" s="11"/>
      <c r="P1811" s="9"/>
      <c r="Q1811" s="9"/>
      <c r="R1811" s="9"/>
      <c r="S1811" s="9"/>
      <c r="T1811" s="31"/>
      <c r="W1811" s="16"/>
      <c r="X1811" s="9"/>
      <c r="Y1811" s="9"/>
      <c r="AA1811" s="16"/>
      <c r="AK1811" s="16"/>
      <c r="AL1811" s="17"/>
      <c r="AN1811" s="16"/>
    </row>
    <row r="1812" spans="9:40" x14ac:dyDescent="0.4">
      <c r="I1812" s="11"/>
      <c r="J1812" s="9"/>
      <c r="K1812" s="9"/>
      <c r="O1812" s="11"/>
      <c r="P1812" s="9"/>
      <c r="Q1812" s="9"/>
      <c r="R1812" s="9"/>
      <c r="S1812" s="9"/>
      <c r="T1812" s="31"/>
      <c r="W1812" s="16"/>
      <c r="X1812" s="9"/>
      <c r="Y1812" s="9"/>
      <c r="AA1812" s="16"/>
      <c r="AK1812" s="16"/>
      <c r="AL1812" s="17"/>
      <c r="AN1812" s="16"/>
    </row>
    <row r="1813" spans="9:40" x14ac:dyDescent="0.4">
      <c r="I1813" s="11"/>
      <c r="J1813" s="9"/>
      <c r="K1813" s="9"/>
      <c r="O1813" s="11"/>
      <c r="P1813" s="9"/>
      <c r="Q1813" s="9"/>
      <c r="R1813" s="9"/>
      <c r="S1813" s="9"/>
      <c r="T1813" s="31"/>
      <c r="W1813" s="16"/>
      <c r="X1813" s="9"/>
      <c r="Y1813" s="9"/>
      <c r="AA1813" s="16"/>
      <c r="AK1813" s="16"/>
      <c r="AL1813" s="17"/>
      <c r="AN1813" s="16"/>
    </row>
    <row r="1814" spans="9:40" x14ac:dyDescent="0.4">
      <c r="I1814" s="11"/>
      <c r="J1814" s="9"/>
      <c r="K1814" s="9"/>
      <c r="O1814" s="11"/>
      <c r="P1814" s="9"/>
      <c r="Q1814" s="9"/>
      <c r="R1814" s="9"/>
      <c r="S1814" s="9"/>
      <c r="T1814" s="31"/>
      <c r="W1814" s="16"/>
      <c r="X1814" s="9"/>
      <c r="Y1814" s="9"/>
      <c r="AA1814" s="16"/>
      <c r="AK1814" s="16"/>
      <c r="AL1814" s="17"/>
      <c r="AN1814" s="16"/>
    </row>
    <row r="1815" spans="9:40" x14ac:dyDescent="0.4">
      <c r="I1815" s="11"/>
      <c r="J1815" s="9"/>
      <c r="K1815" s="9"/>
      <c r="O1815" s="11"/>
      <c r="P1815" s="9"/>
      <c r="Q1815" s="9"/>
      <c r="R1815" s="9"/>
      <c r="S1815" s="9"/>
      <c r="T1815" s="31"/>
      <c r="W1815" s="16"/>
      <c r="X1815" s="9"/>
      <c r="Y1815" s="9"/>
      <c r="AA1815" s="16"/>
      <c r="AK1815" s="16"/>
      <c r="AL1815" s="17"/>
      <c r="AN1815" s="16"/>
    </row>
    <row r="1816" spans="9:40" x14ac:dyDescent="0.4">
      <c r="I1816" s="11"/>
      <c r="J1816" s="9"/>
      <c r="K1816" s="9"/>
      <c r="O1816" s="11"/>
      <c r="P1816" s="9"/>
      <c r="Q1816" s="9"/>
      <c r="R1816" s="9"/>
      <c r="S1816" s="9"/>
      <c r="T1816" s="31"/>
      <c r="W1816" s="16"/>
      <c r="X1816" s="9"/>
      <c r="Y1816" s="9"/>
      <c r="AA1816" s="16"/>
      <c r="AK1816" s="16"/>
      <c r="AL1816" s="17"/>
      <c r="AN1816" s="16"/>
    </row>
    <row r="1817" spans="9:40" x14ac:dyDescent="0.4">
      <c r="I1817" s="11"/>
      <c r="J1817" s="9"/>
      <c r="K1817" s="9"/>
      <c r="O1817" s="11"/>
      <c r="P1817" s="9"/>
      <c r="Q1817" s="9"/>
      <c r="R1817" s="9"/>
      <c r="S1817" s="9"/>
      <c r="T1817" s="31"/>
      <c r="W1817" s="16"/>
      <c r="X1817" s="9"/>
      <c r="Y1817" s="9"/>
      <c r="AA1817" s="16"/>
      <c r="AK1817" s="16"/>
      <c r="AL1817" s="17"/>
      <c r="AN1817" s="16"/>
    </row>
    <row r="1818" spans="9:40" x14ac:dyDescent="0.4">
      <c r="I1818" s="11"/>
      <c r="J1818" s="9"/>
      <c r="K1818" s="9"/>
      <c r="O1818" s="11"/>
      <c r="P1818" s="9"/>
      <c r="Q1818" s="9"/>
      <c r="R1818" s="9"/>
      <c r="S1818" s="9"/>
      <c r="T1818" s="31"/>
      <c r="W1818" s="16"/>
      <c r="X1818" s="9"/>
      <c r="Y1818" s="9"/>
      <c r="AA1818" s="16"/>
      <c r="AK1818" s="16"/>
      <c r="AL1818" s="17"/>
      <c r="AN1818" s="16"/>
    </row>
    <row r="1819" spans="9:40" x14ac:dyDescent="0.4">
      <c r="I1819" s="11"/>
      <c r="J1819" s="9"/>
      <c r="K1819" s="9"/>
      <c r="O1819" s="11"/>
      <c r="P1819" s="9"/>
      <c r="Q1819" s="9"/>
      <c r="R1819" s="9"/>
      <c r="S1819" s="9"/>
      <c r="T1819" s="31"/>
      <c r="W1819" s="16"/>
      <c r="X1819" s="9"/>
      <c r="Y1819" s="9"/>
      <c r="AA1819" s="16"/>
      <c r="AK1819" s="16"/>
      <c r="AL1819" s="17"/>
      <c r="AN1819" s="16"/>
    </row>
    <row r="1820" spans="9:40" x14ac:dyDescent="0.4">
      <c r="I1820" s="11"/>
      <c r="J1820" s="9"/>
      <c r="K1820" s="9"/>
      <c r="O1820" s="11"/>
      <c r="P1820" s="9"/>
      <c r="Q1820" s="9"/>
      <c r="R1820" s="9"/>
      <c r="S1820" s="9"/>
      <c r="T1820" s="31"/>
      <c r="W1820" s="16"/>
      <c r="X1820" s="9"/>
      <c r="Y1820" s="9"/>
      <c r="AA1820" s="16"/>
      <c r="AK1820" s="16"/>
      <c r="AL1820" s="17"/>
      <c r="AN1820" s="16"/>
    </row>
    <row r="1821" spans="9:40" x14ac:dyDescent="0.4">
      <c r="I1821" s="11"/>
      <c r="J1821" s="9"/>
      <c r="K1821" s="9"/>
      <c r="O1821" s="11"/>
      <c r="P1821" s="9"/>
      <c r="Q1821" s="9"/>
      <c r="R1821" s="9"/>
      <c r="S1821" s="9"/>
      <c r="T1821" s="31"/>
      <c r="W1821" s="16"/>
      <c r="X1821" s="9"/>
      <c r="Y1821" s="9"/>
      <c r="AA1821" s="16"/>
      <c r="AK1821" s="16"/>
      <c r="AL1821" s="17"/>
      <c r="AN1821" s="16"/>
    </row>
    <row r="1822" spans="9:40" x14ac:dyDescent="0.4">
      <c r="I1822" s="11"/>
      <c r="J1822" s="9"/>
      <c r="K1822" s="9"/>
      <c r="O1822" s="11"/>
      <c r="P1822" s="9"/>
      <c r="Q1822" s="9"/>
      <c r="R1822" s="9"/>
      <c r="S1822" s="9"/>
      <c r="T1822" s="31"/>
      <c r="W1822" s="16"/>
      <c r="X1822" s="9"/>
      <c r="Y1822" s="9"/>
      <c r="AA1822" s="16"/>
      <c r="AK1822" s="16"/>
      <c r="AL1822" s="17"/>
      <c r="AN1822" s="16"/>
    </row>
    <row r="1823" spans="9:40" x14ac:dyDescent="0.4">
      <c r="I1823" s="11"/>
      <c r="J1823" s="9"/>
      <c r="K1823" s="9"/>
      <c r="O1823" s="11"/>
      <c r="P1823" s="9"/>
      <c r="Q1823" s="9"/>
      <c r="R1823" s="9"/>
      <c r="S1823" s="9"/>
      <c r="T1823" s="31"/>
      <c r="W1823" s="16"/>
      <c r="X1823" s="9"/>
      <c r="Y1823" s="9"/>
      <c r="AA1823" s="16"/>
      <c r="AK1823" s="16"/>
      <c r="AL1823" s="17"/>
      <c r="AN1823" s="16"/>
    </row>
    <row r="1824" spans="9:40" x14ac:dyDescent="0.4">
      <c r="I1824" s="11"/>
      <c r="J1824" s="9"/>
      <c r="K1824" s="9"/>
      <c r="O1824" s="11"/>
      <c r="P1824" s="9"/>
      <c r="Q1824" s="9"/>
      <c r="R1824" s="9"/>
      <c r="S1824" s="9"/>
      <c r="T1824" s="31"/>
      <c r="W1824" s="16"/>
      <c r="X1824" s="9"/>
      <c r="Y1824" s="9"/>
      <c r="AA1824" s="16"/>
      <c r="AK1824" s="16"/>
      <c r="AL1824" s="17"/>
      <c r="AN1824" s="16"/>
    </row>
    <row r="1825" spans="9:40" x14ac:dyDescent="0.4">
      <c r="I1825" s="11"/>
      <c r="J1825" s="9"/>
      <c r="K1825" s="9"/>
      <c r="O1825" s="11"/>
      <c r="P1825" s="9"/>
      <c r="Q1825" s="9"/>
      <c r="R1825" s="9"/>
      <c r="S1825" s="9"/>
      <c r="T1825" s="31"/>
      <c r="W1825" s="16"/>
      <c r="X1825" s="9"/>
      <c r="Y1825" s="9"/>
      <c r="AA1825" s="16"/>
      <c r="AK1825" s="16"/>
      <c r="AL1825" s="17"/>
      <c r="AN1825" s="16"/>
    </row>
    <row r="1826" spans="9:40" x14ac:dyDescent="0.4">
      <c r="I1826" s="11"/>
      <c r="J1826" s="9"/>
      <c r="K1826" s="9"/>
      <c r="O1826" s="11"/>
      <c r="P1826" s="9"/>
      <c r="Q1826" s="9"/>
      <c r="R1826" s="9"/>
      <c r="S1826" s="9"/>
      <c r="T1826" s="31"/>
      <c r="W1826" s="16"/>
      <c r="X1826" s="9"/>
      <c r="Y1826" s="9"/>
      <c r="AA1826" s="16"/>
      <c r="AK1826" s="16"/>
      <c r="AL1826" s="17"/>
      <c r="AN1826" s="16"/>
    </row>
    <row r="1827" spans="9:40" x14ac:dyDescent="0.4">
      <c r="I1827" s="11"/>
      <c r="J1827" s="9"/>
      <c r="K1827" s="9"/>
      <c r="O1827" s="11"/>
      <c r="P1827" s="9"/>
      <c r="Q1827" s="9"/>
      <c r="R1827" s="9"/>
      <c r="S1827" s="9"/>
      <c r="T1827" s="31"/>
      <c r="W1827" s="16"/>
      <c r="X1827" s="9"/>
      <c r="Y1827" s="9"/>
      <c r="AA1827" s="16"/>
      <c r="AK1827" s="16"/>
      <c r="AL1827" s="17"/>
      <c r="AN1827" s="16"/>
    </row>
    <row r="1828" spans="9:40" x14ac:dyDescent="0.4">
      <c r="I1828" s="11"/>
      <c r="J1828" s="9"/>
      <c r="K1828" s="9"/>
      <c r="O1828" s="11"/>
      <c r="P1828" s="9"/>
      <c r="Q1828" s="9"/>
      <c r="R1828" s="9"/>
      <c r="S1828" s="9"/>
      <c r="T1828" s="31"/>
      <c r="W1828" s="16"/>
      <c r="X1828" s="9"/>
      <c r="Y1828" s="9"/>
      <c r="AA1828" s="16"/>
      <c r="AK1828" s="16"/>
      <c r="AL1828" s="17"/>
      <c r="AN1828" s="16"/>
    </row>
    <row r="1829" spans="9:40" x14ac:dyDescent="0.4">
      <c r="I1829" s="11"/>
      <c r="J1829" s="9"/>
      <c r="K1829" s="9"/>
      <c r="O1829" s="11"/>
      <c r="P1829" s="9"/>
      <c r="Q1829" s="9"/>
      <c r="R1829" s="9"/>
      <c r="S1829" s="9"/>
      <c r="T1829" s="31"/>
      <c r="W1829" s="16"/>
      <c r="X1829" s="9"/>
      <c r="Y1829" s="9"/>
      <c r="AA1829" s="16"/>
      <c r="AK1829" s="16"/>
      <c r="AL1829" s="17"/>
      <c r="AN1829" s="16"/>
    </row>
    <row r="1830" spans="9:40" x14ac:dyDescent="0.4">
      <c r="I1830" s="11"/>
      <c r="J1830" s="9"/>
      <c r="K1830" s="9"/>
      <c r="O1830" s="11"/>
      <c r="P1830" s="9"/>
      <c r="Q1830" s="9"/>
      <c r="R1830" s="9"/>
      <c r="S1830" s="9"/>
      <c r="T1830" s="31"/>
      <c r="W1830" s="16"/>
      <c r="X1830" s="9"/>
      <c r="Y1830" s="9"/>
      <c r="AA1830" s="16"/>
      <c r="AK1830" s="16"/>
      <c r="AL1830" s="17"/>
      <c r="AN1830" s="16"/>
    </row>
    <row r="1831" spans="9:40" x14ac:dyDescent="0.4">
      <c r="I1831" s="11"/>
      <c r="J1831" s="9"/>
      <c r="K1831" s="9"/>
      <c r="O1831" s="11"/>
      <c r="P1831" s="9"/>
      <c r="Q1831" s="9"/>
      <c r="R1831" s="9"/>
      <c r="S1831" s="9"/>
      <c r="T1831" s="31"/>
      <c r="W1831" s="16"/>
      <c r="X1831" s="9"/>
      <c r="Y1831" s="9"/>
      <c r="AA1831" s="16"/>
      <c r="AK1831" s="16"/>
      <c r="AL1831" s="17"/>
      <c r="AN1831" s="16"/>
    </row>
    <row r="1832" spans="9:40" x14ac:dyDescent="0.4">
      <c r="I1832" s="11"/>
      <c r="J1832" s="9"/>
      <c r="K1832" s="9"/>
      <c r="O1832" s="11"/>
      <c r="P1832" s="9"/>
      <c r="Q1832" s="9"/>
      <c r="R1832" s="9"/>
      <c r="S1832" s="9"/>
      <c r="T1832" s="31"/>
      <c r="W1832" s="16"/>
      <c r="X1832" s="9"/>
      <c r="Y1832" s="9"/>
      <c r="AA1832" s="16"/>
      <c r="AK1832" s="16"/>
      <c r="AL1832" s="17"/>
      <c r="AN1832" s="16"/>
    </row>
    <row r="1833" spans="9:40" x14ac:dyDescent="0.4">
      <c r="I1833" s="11"/>
      <c r="J1833" s="9"/>
      <c r="K1833" s="9"/>
      <c r="O1833" s="11"/>
      <c r="P1833" s="9"/>
      <c r="Q1833" s="9"/>
      <c r="R1833" s="9"/>
      <c r="S1833" s="9"/>
      <c r="T1833" s="31"/>
      <c r="W1833" s="16"/>
      <c r="X1833" s="9"/>
      <c r="Y1833" s="9"/>
      <c r="AA1833" s="16"/>
      <c r="AK1833" s="16"/>
      <c r="AL1833" s="17"/>
      <c r="AN1833" s="16"/>
    </row>
    <row r="1834" spans="9:40" x14ac:dyDescent="0.4">
      <c r="I1834" s="11"/>
      <c r="J1834" s="9"/>
      <c r="K1834" s="9"/>
      <c r="O1834" s="11"/>
      <c r="P1834" s="9"/>
      <c r="Q1834" s="9"/>
      <c r="R1834" s="9"/>
      <c r="S1834" s="9"/>
      <c r="T1834" s="31"/>
      <c r="W1834" s="16"/>
      <c r="X1834" s="9"/>
      <c r="Y1834" s="9"/>
      <c r="AA1834" s="16"/>
      <c r="AK1834" s="16"/>
      <c r="AL1834" s="17"/>
      <c r="AN1834" s="16"/>
    </row>
    <row r="1835" spans="9:40" x14ac:dyDescent="0.4">
      <c r="I1835" s="11"/>
      <c r="J1835" s="9"/>
      <c r="K1835" s="9"/>
      <c r="O1835" s="11"/>
      <c r="P1835" s="9"/>
      <c r="Q1835" s="9"/>
      <c r="R1835" s="9"/>
      <c r="S1835" s="9"/>
      <c r="T1835" s="31"/>
      <c r="W1835" s="16"/>
      <c r="X1835" s="9"/>
      <c r="Y1835" s="9"/>
      <c r="AA1835" s="16"/>
      <c r="AK1835" s="16"/>
      <c r="AL1835" s="17"/>
      <c r="AN1835" s="16"/>
    </row>
    <row r="1836" spans="9:40" x14ac:dyDescent="0.4">
      <c r="I1836" s="11"/>
      <c r="J1836" s="9"/>
      <c r="K1836" s="9"/>
      <c r="O1836" s="11"/>
      <c r="P1836" s="9"/>
      <c r="Q1836" s="9"/>
      <c r="R1836" s="9"/>
      <c r="S1836" s="9"/>
      <c r="T1836" s="31"/>
      <c r="W1836" s="16"/>
      <c r="X1836" s="9"/>
      <c r="Y1836" s="9"/>
      <c r="AA1836" s="16"/>
      <c r="AK1836" s="16"/>
      <c r="AL1836" s="17"/>
      <c r="AN1836" s="16"/>
    </row>
    <row r="1837" spans="9:40" x14ac:dyDescent="0.4">
      <c r="I1837" s="11"/>
      <c r="J1837" s="9"/>
      <c r="K1837" s="9"/>
      <c r="O1837" s="11"/>
      <c r="P1837" s="9"/>
      <c r="Q1837" s="9"/>
      <c r="R1837" s="9"/>
      <c r="S1837" s="9"/>
      <c r="T1837" s="31"/>
      <c r="W1837" s="16"/>
      <c r="X1837" s="9"/>
      <c r="Y1837" s="9"/>
      <c r="AA1837" s="16"/>
      <c r="AK1837" s="16"/>
      <c r="AL1837" s="17"/>
      <c r="AN1837" s="16"/>
    </row>
    <row r="1838" spans="9:40" x14ac:dyDescent="0.4">
      <c r="I1838" s="11"/>
      <c r="J1838" s="9"/>
      <c r="K1838" s="9"/>
      <c r="O1838" s="11"/>
      <c r="P1838" s="9"/>
      <c r="Q1838" s="9"/>
      <c r="R1838" s="9"/>
      <c r="S1838" s="9"/>
      <c r="T1838" s="31"/>
      <c r="W1838" s="16"/>
      <c r="X1838" s="9"/>
      <c r="Y1838" s="9"/>
      <c r="AA1838" s="16"/>
      <c r="AK1838" s="16"/>
      <c r="AL1838" s="17"/>
      <c r="AN1838" s="16"/>
    </row>
    <row r="1839" spans="9:40" x14ac:dyDescent="0.4">
      <c r="I1839" s="11"/>
      <c r="J1839" s="9"/>
      <c r="K1839" s="9"/>
      <c r="O1839" s="11"/>
      <c r="P1839" s="9"/>
      <c r="Q1839" s="9"/>
      <c r="R1839" s="9"/>
      <c r="S1839" s="9"/>
      <c r="T1839" s="31"/>
      <c r="W1839" s="16"/>
      <c r="X1839" s="9"/>
      <c r="Y1839" s="9"/>
      <c r="AA1839" s="16"/>
      <c r="AK1839" s="16"/>
      <c r="AL1839" s="17"/>
      <c r="AN1839" s="16"/>
    </row>
    <row r="1840" spans="9:40" x14ac:dyDescent="0.4">
      <c r="I1840" s="11"/>
      <c r="J1840" s="9"/>
      <c r="K1840" s="9"/>
      <c r="O1840" s="11"/>
      <c r="P1840" s="9"/>
      <c r="Q1840" s="9"/>
      <c r="R1840" s="9"/>
      <c r="S1840" s="9"/>
      <c r="T1840" s="31"/>
      <c r="W1840" s="16"/>
      <c r="X1840" s="9"/>
      <c r="Y1840" s="9"/>
      <c r="AA1840" s="16"/>
      <c r="AK1840" s="16"/>
      <c r="AL1840" s="17"/>
      <c r="AN1840" s="16"/>
    </row>
    <row r="1841" spans="9:40" x14ac:dyDescent="0.4">
      <c r="I1841" s="11"/>
      <c r="J1841" s="9"/>
      <c r="K1841" s="9"/>
      <c r="O1841" s="11"/>
      <c r="P1841" s="9"/>
      <c r="Q1841" s="9"/>
      <c r="R1841" s="9"/>
      <c r="S1841" s="9"/>
      <c r="T1841" s="31"/>
      <c r="W1841" s="16"/>
      <c r="X1841" s="9"/>
      <c r="Y1841" s="9"/>
      <c r="AA1841" s="16"/>
      <c r="AK1841" s="16"/>
      <c r="AL1841" s="17"/>
      <c r="AN1841" s="16"/>
    </row>
    <row r="1842" spans="9:40" x14ac:dyDescent="0.4">
      <c r="I1842" s="11"/>
      <c r="J1842" s="9"/>
      <c r="K1842" s="9"/>
      <c r="O1842" s="11"/>
      <c r="P1842" s="9"/>
      <c r="Q1842" s="9"/>
      <c r="R1842" s="9"/>
      <c r="S1842" s="9"/>
      <c r="T1842" s="31"/>
      <c r="W1842" s="16"/>
      <c r="X1842" s="9"/>
      <c r="Y1842" s="9"/>
      <c r="AA1842" s="16"/>
      <c r="AK1842" s="16"/>
      <c r="AL1842" s="17"/>
      <c r="AN1842" s="16"/>
    </row>
    <row r="1843" spans="9:40" x14ac:dyDescent="0.4">
      <c r="I1843" s="11"/>
      <c r="J1843" s="9"/>
      <c r="K1843" s="9"/>
      <c r="O1843" s="11"/>
      <c r="P1843" s="9"/>
      <c r="Q1843" s="9"/>
      <c r="R1843" s="9"/>
      <c r="S1843" s="9"/>
      <c r="T1843" s="31"/>
      <c r="W1843" s="16"/>
      <c r="X1843" s="9"/>
      <c r="Y1843" s="9"/>
      <c r="AA1843" s="16"/>
      <c r="AK1843" s="16"/>
      <c r="AL1843" s="17"/>
      <c r="AN1843" s="16"/>
    </row>
    <row r="1844" spans="9:40" x14ac:dyDescent="0.4">
      <c r="I1844" s="11"/>
      <c r="J1844" s="9"/>
      <c r="K1844" s="9"/>
      <c r="O1844" s="11"/>
      <c r="P1844" s="9"/>
      <c r="Q1844" s="9"/>
      <c r="R1844" s="9"/>
      <c r="S1844" s="9"/>
      <c r="T1844" s="31"/>
      <c r="W1844" s="16"/>
      <c r="X1844" s="9"/>
      <c r="Y1844" s="9"/>
      <c r="AA1844" s="16"/>
      <c r="AK1844" s="16"/>
      <c r="AL1844" s="17"/>
      <c r="AN1844" s="16"/>
    </row>
    <row r="1845" spans="9:40" x14ac:dyDescent="0.4">
      <c r="I1845" s="11"/>
      <c r="J1845" s="9"/>
      <c r="K1845" s="9"/>
      <c r="O1845" s="11"/>
      <c r="P1845" s="9"/>
      <c r="Q1845" s="9"/>
      <c r="R1845" s="9"/>
      <c r="S1845" s="9"/>
      <c r="T1845" s="31"/>
      <c r="W1845" s="16"/>
      <c r="X1845" s="9"/>
      <c r="Y1845" s="9"/>
      <c r="AA1845" s="16"/>
      <c r="AK1845" s="16"/>
      <c r="AL1845" s="17"/>
      <c r="AN1845" s="16"/>
    </row>
    <row r="1846" spans="9:40" x14ac:dyDescent="0.4">
      <c r="I1846" s="11"/>
      <c r="J1846" s="9"/>
      <c r="K1846" s="9"/>
      <c r="O1846" s="11"/>
      <c r="P1846" s="9"/>
      <c r="Q1846" s="9"/>
      <c r="R1846" s="9"/>
      <c r="S1846" s="9"/>
      <c r="T1846" s="31"/>
      <c r="W1846" s="16"/>
      <c r="X1846" s="9"/>
      <c r="Y1846" s="9"/>
      <c r="AA1846" s="16"/>
      <c r="AK1846" s="16"/>
      <c r="AL1846" s="17"/>
      <c r="AN1846" s="16"/>
    </row>
    <row r="1847" spans="9:40" x14ac:dyDescent="0.4">
      <c r="I1847" s="11"/>
      <c r="J1847" s="9"/>
      <c r="K1847" s="9"/>
      <c r="O1847" s="11"/>
      <c r="P1847" s="9"/>
      <c r="Q1847" s="9"/>
      <c r="R1847" s="9"/>
      <c r="S1847" s="9"/>
      <c r="T1847" s="31"/>
      <c r="W1847" s="16"/>
      <c r="X1847" s="9"/>
      <c r="Y1847" s="9"/>
      <c r="AA1847" s="16"/>
      <c r="AK1847" s="16"/>
      <c r="AL1847" s="17"/>
      <c r="AN1847" s="16"/>
    </row>
    <row r="1848" spans="9:40" x14ac:dyDescent="0.4">
      <c r="I1848" s="11"/>
      <c r="J1848" s="9"/>
      <c r="K1848" s="9"/>
      <c r="O1848" s="11"/>
      <c r="P1848" s="9"/>
      <c r="Q1848" s="9"/>
      <c r="R1848" s="9"/>
      <c r="S1848" s="9"/>
      <c r="T1848" s="31"/>
      <c r="W1848" s="16"/>
      <c r="X1848" s="9"/>
      <c r="Y1848" s="9"/>
      <c r="AA1848" s="16"/>
      <c r="AK1848" s="16"/>
      <c r="AL1848" s="17"/>
      <c r="AN1848" s="16"/>
    </row>
    <row r="1849" spans="9:40" x14ac:dyDescent="0.4">
      <c r="I1849" s="11"/>
      <c r="J1849" s="9"/>
      <c r="K1849" s="9"/>
      <c r="O1849" s="11"/>
      <c r="P1849" s="9"/>
      <c r="Q1849" s="9"/>
      <c r="R1849" s="9"/>
      <c r="S1849" s="9"/>
      <c r="T1849" s="31"/>
      <c r="W1849" s="16"/>
      <c r="X1849" s="9"/>
      <c r="Y1849" s="9"/>
      <c r="AA1849" s="16"/>
      <c r="AK1849" s="16"/>
      <c r="AL1849" s="17"/>
      <c r="AN1849" s="16"/>
    </row>
    <row r="1850" spans="9:40" x14ac:dyDescent="0.4">
      <c r="I1850" s="11"/>
      <c r="J1850" s="9"/>
      <c r="K1850" s="9"/>
      <c r="O1850" s="11"/>
      <c r="P1850" s="9"/>
      <c r="Q1850" s="9"/>
      <c r="R1850" s="9"/>
      <c r="S1850" s="9"/>
      <c r="T1850" s="31"/>
      <c r="W1850" s="16"/>
      <c r="X1850" s="9"/>
      <c r="Y1850" s="9"/>
      <c r="AA1850" s="16"/>
      <c r="AK1850" s="16"/>
      <c r="AL1850" s="17"/>
      <c r="AN1850" s="16"/>
    </row>
    <row r="1851" spans="9:40" x14ac:dyDescent="0.4">
      <c r="I1851" s="11"/>
      <c r="J1851" s="9"/>
      <c r="K1851" s="9"/>
      <c r="O1851" s="11"/>
      <c r="P1851" s="9"/>
      <c r="Q1851" s="9"/>
      <c r="R1851" s="9"/>
      <c r="S1851" s="9"/>
      <c r="T1851" s="31"/>
      <c r="W1851" s="16"/>
      <c r="X1851" s="9"/>
      <c r="Y1851" s="9"/>
      <c r="AA1851" s="16"/>
      <c r="AK1851" s="16"/>
      <c r="AL1851" s="17"/>
      <c r="AN1851" s="16"/>
    </row>
    <row r="1852" spans="9:40" x14ac:dyDescent="0.4">
      <c r="I1852" s="11"/>
      <c r="J1852" s="9"/>
      <c r="K1852" s="9"/>
      <c r="O1852" s="11"/>
      <c r="P1852" s="9"/>
      <c r="Q1852" s="9"/>
      <c r="R1852" s="9"/>
      <c r="S1852" s="9"/>
      <c r="T1852" s="31"/>
      <c r="W1852" s="16"/>
      <c r="X1852" s="9"/>
      <c r="Y1852" s="9"/>
      <c r="AA1852" s="16"/>
      <c r="AK1852" s="16"/>
      <c r="AL1852" s="17"/>
      <c r="AN1852" s="16"/>
    </row>
    <row r="1853" spans="9:40" x14ac:dyDescent="0.4">
      <c r="I1853" s="11"/>
      <c r="J1853" s="9"/>
      <c r="K1853" s="9"/>
      <c r="O1853" s="11"/>
      <c r="P1853" s="9"/>
      <c r="Q1853" s="9"/>
      <c r="R1853" s="9"/>
      <c r="S1853" s="9"/>
      <c r="T1853" s="31"/>
      <c r="W1853" s="16"/>
      <c r="X1853" s="9"/>
      <c r="Y1853" s="9"/>
      <c r="AA1853" s="16"/>
      <c r="AK1853" s="16"/>
      <c r="AL1853" s="17"/>
      <c r="AN1853" s="16"/>
    </row>
    <row r="1854" spans="9:40" x14ac:dyDescent="0.4">
      <c r="I1854" s="11"/>
      <c r="J1854" s="9"/>
      <c r="K1854" s="9"/>
      <c r="O1854" s="11"/>
      <c r="P1854" s="9"/>
      <c r="Q1854" s="9"/>
      <c r="R1854" s="9"/>
      <c r="S1854" s="9"/>
      <c r="T1854" s="31"/>
      <c r="W1854" s="16"/>
      <c r="X1854" s="9"/>
      <c r="Y1854" s="9"/>
      <c r="AA1854" s="16"/>
      <c r="AK1854" s="16"/>
      <c r="AL1854" s="17"/>
      <c r="AN1854" s="16"/>
    </row>
    <row r="1855" spans="9:40" x14ac:dyDescent="0.4">
      <c r="I1855" s="11"/>
      <c r="J1855" s="9"/>
      <c r="K1855" s="9"/>
      <c r="O1855" s="11"/>
      <c r="P1855" s="9"/>
      <c r="Q1855" s="9"/>
      <c r="R1855" s="9"/>
      <c r="S1855" s="9"/>
      <c r="T1855" s="31"/>
      <c r="W1855" s="16"/>
      <c r="X1855" s="9"/>
      <c r="Y1855" s="9"/>
      <c r="AA1855" s="16"/>
      <c r="AK1855" s="16"/>
      <c r="AL1855" s="17"/>
      <c r="AN1855" s="16"/>
    </row>
    <row r="1856" spans="9:40" x14ac:dyDescent="0.4">
      <c r="I1856" s="11"/>
      <c r="J1856" s="9"/>
      <c r="K1856" s="9"/>
      <c r="O1856" s="11"/>
      <c r="P1856" s="9"/>
      <c r="Q1856" s="9"/>
      <c r="R1856" s="9"/>
      <c r="S1856" s="9"/>
      <c r="T1856" s="31"/>
      <c r="W1856" s="16"/>
      <c r="X1856" s="9"/>
      <c r="Y1856" s="9"/>
      <c r="AA1856" s="16"/>
      <c r="AK1856" s="16"/>
      <c r="AL1856" s="17"/>
      <c r="AN1856" s="16"/>
    </row>
    <row r="1857" spans="9:40" x14ac:dyDescent="0.4">
      <c r="I1857" s="11"/>
      <c r="J1857" s="9"/>
      <c r="K1857" s="9"/>
      <c r="O1857" s="11"/>
      <c r="P1857" s="9"/>
      <c r="Q1857" s="9"/>
      <c r="R1857" s="9"/>
      <c r="S1857" s="9"/>
      <c r="T1857" s="31"/>
      <c r="W1857" s="16"/>
      <c r="X1857" s="9"/>
      <c r="Y1857" s="9"/>
      <c r="AA1857" s="16"/>
      <c r="AK1857" s="16"/>
      <c r="AL1857" s="17"/>
      <c r="AN1857" s="16"/>
    </row>
    <row r="1858" spans="9:40" x14ac:dyDescent="0.4">
      <c r="I1858" s="11"/>
      <c r="J1858" s="9"/>
      <c r="K1858" s="9"/>
      <c r="O1858" s="11"/>
      <c r="P1858" s="9"/>
      <c r="Q1858" s="9"/>
      <c r="R1858" s="9"/>
      <c r="S1858" s="9"/>
      <c r="T1858" s="31"/>
      <c r="W1858" s="16"/>
      <c r="X1858" s="9"/>
      <c r="Y1858" s="9"/>
      <c r="AA1858" s="16"/>
      <c r="AK1858" s="16"/>
      <c r="AL1858" s="17"/>
      <c r="AN1858" s="16"/>
    </row>
    <row r="1859" spans="9:40" x14ac:dyDescent="0.4">
      <c r="I1859" s="11"/>
      <c r="J1859" s="9"/>
      <c r="K1859" s="9"/>
      <c r="O1859" s="11"/>
      <c r="P1859" s="9"/>
      <c r="Q1859" s="9"/>
      <c r="R1859" s="9"/>
      <c r="S1859" s="9"/>
      <c r="T1859" s="31"/>
      <c r="W1859" s="16"/>
      <c r="X1859" s="9"/>
      <c r="Y1859" s="9"/>
      <c r="AA1859" s="16"/>
      <c r="AK1859" s="16"/>
      <c r="AL1859" s="17"/>
      <c r="AN1859" s="16"/>
    </row>
    <row r="1860" spans="9:40" x14ac:dyDescent="0.4">
      <c r="I1860" s="11"/>
      <c r="J1860" s="9"/>
      <c r="K1860" s="9"/>
      <c r="O1860" s="11"/>
      <c r="P1860" s="9"/>
      <c r="Q1860" s="9"/>
      <c r="R1860" s="9"/>
      <c r="S1860" s="9"/>
      <c r="T1860" s="31"/>
      <c r="W1860" s="16"/>
      <c r="X1860" s="9"/>
      <c r="Y1860" s="9"/>
      <c r="AA1860" s="16"/>
      <c r="AK1860" s="16"/>
      <c r="AL1860" s="17"/>
      <c r="AN1860" s="16"/>
    </row>
    <row r="1861" spans="9:40" x14ac:dyDescent="0.4">
      <c r="I1861" s="11"/>
      <c r="J1861" s="9"/>
      <c r="K1861" s="9"/>
      <c r="O1861" s="11"/>
      <c r="P1861" s="9"/>
      <c r="Q1861" s="9"/>
      <c r="R1861" s="9"/>
      <c r="S1861" s="9"/>
      <c r="T1861" s="31"/>
      <c r="W1861" s="16"/>
      <c r="X1861" s="9"/>
      <c r="Y1861" s="9"/>
      <c r="AA1861" s="16"/>
      <c r="AK1861" s="16"/>
      <c r="AL1861" s="17"/>
      <c r="AN1861" s="16"/>
    </row>
    <row r="1862" spans="9:40" x14ac:dyDescent="0.4">
      <c r="I1862" s="11"/>
      <c r="J1862" s="9"/>
      <c r="K1862" s="9"/>
      <c r="O1862" s="11"/>
      <c r="P1862" s="9"/>
      <c r="Q1862" s="9"/>
      <c r="R1862" s="9"/>
      <c r="S1862" s="9"/>
      <c r="T1862" s="31"/>
      <c r="W1862" s="16"/>
      <c r="X1862" s="9"/>
      <c r="Y1862" s="9"/>
      <c r="AA1862" s="16"/>
      <c r="AK1862" s="16"/>
      <c r="AL1862" s="17"/>
      <c r="AN1862" s="16"/>
    </row>
    <row r="1863" spans="9:40" x14ac:dyDescent="0.4">
      <c r="I1863" s="11"/>
      <c r="J1863" s="9"/>
      <c r="K1863" s="9"/>
      <c r="O1863" s="11"/>
      <c r="P1863" s="9"/>
      <c r="Q1863" s="9"/>
      <c r="R1863" s="9"/>
      <c r="S1863" s="9"/>
      <c r="T1863" s="31"/>
      <c r="W1863" s="16"/>
      <c r="X1863" s="9"/>
      <c r="Y1863" s="9"/>
      <c r="AA1863" s="16"/>
      <c r="AK1863" s="16"/>
      <c r="AL1863" s="17"/>
      <c r="AN1863" s="16"/>
    </row>
    <row r="1864" spans="9:40" x14ac:dyDescent="0.4">
      <c r="I1864" s="11"/>
      <c r="J1864" s="9"/>
      <c r="K1864" s="9"/>
      <c r="O1864" s="11"/>
      <c r="P1864" s="9"/>
      <c r="Q1864" s="9"/>
      <c r="R1864" s="9"/>
      <c r="S1864" s="9"/>
      <c r="T1864" s="31"/>
      <c r="W1864" s="16"/>
      <c r="X1864" s="9"/>
      <c r="Y1864" s="9"/>
      <c r="AA1864" s="16"/>
      <c r="AK1864" s="16"/>
      <c r="AL1864" s="17"/>
      <c r="AN1864" s="16"/>
    </row>
    <row r="1865" spans="9:40" x14ac:dyDescent="0.4">
      <c r="I1865" s="11"/>
      <c r="J1865" s="9"/>
      <c r="K1865" s="9"/>
      <c r="O1865" s="11"/>
      <c r="P1865" s="9"/>
      <c r="Q1865" s="9"/>
      <c r="R1865" s="9"/>
      <c r="S1865" s="9"/>
      <c r="T1865" s="31"/>
      <c r="W1865" s="16"/>
      <c r="X1865" s="9"/>
      <c r="Y1865" s="9"/>
      <c r="AA1865" s="16"/>
      <c r="AK1865" s="16"/>
      <c r="AL1865" s="17"/>
      <c r="AN1865" s="16"/>
    </row>
    <row r="1866" spans="9:40" x14ac:dyDescent="0.4">
      <c r="I1866" s="11"/>
      <c r="J1866" s="9"/>
      <c r="K1866" s="9"/>
      <c r="O1866" s="11"/>
      <c r="P1866" s="9"/>
      <c r="Q1866" s="9"/>
      <c r="R1866" s="9"/>
      <c r="S1866" s="9"/>
      <c r="T1866" s="31"/>
      <c r="W1866" s="16"/>
      <c r="X1866" s="9"/>
      <c r="Y1866" s="9"/>
      <c r="AA1866" s="16"/>
      <c r="AK1866" s="16"/>
      <c r="AL1866" s="17"/>
      <c r="AN1866" s="16"/>
    </row>
    <row r="1867" spans="9:40" x14ac:dyDescent="0.4">
      <c r="I1867" s="11"/>
      <c r="J1867" s="9"/>
      <c r="K1867" s="9"/>
      <c r="O1867" s="11"/>
      <c r="P1867" s="9"/>
      <c r="Q1867" s="9"/>
      <c r="R1867" s="9"/>
      <c r="S1867" s="9"/>
      <c r="T1867" s="31"/>
      <c r="W1867" s="16"/>
      <c r="X1867" s="9"/>
      <c r="Y1867" s="9"/>
      <c r="AA1867" s="16"/>
      <c r="AK1867" s="16"/>
      <c r="AL1867" s="17"/>
      <c r="AN1867" s="16"/>
    </row>
    <row r="1868" spans="9:40" x14ac:dyDescent="0.4">
      <c r="I1868" s="11"/>
      <c r="J1868" s="9"/>
      <c r="K1868" s="9"/>
      <c r="O1868" s="11"/>
      <c r="P1868" s="9"/>
      <c r="Q1868" s="9"/>
      <c r="R1868" s="9"/>
      <c r="S1868" s="9"/>
      <c r="T1868" s="31"/>
      <c r="W1868" s="16"/>
      <c r="X1868" s="9"/>
      <c r="Y1868" s="9"/>
      <c r="AA1868" s="16"/>
      <c r="AK1868" s="16"/>
      <c r="AL1868" s="17"/>
      <c r="AN1868" s="16"/>
    </row>
    <row r="1869" spans="9:40" x14ac:dyDescent="0.4">
      <c r="I1869" s="11"/>
      <c r="J1869" s="9"/>
      <c r="K1869" s="9"/>
      <c r="O1869" s="11"/>
      <c r="P1869" s="9"/>
      <c r="Q1869" s="9"/>
      <c r="R1869" s="9"/>
      <c r="S1869" s="9"/>
      <c r="T1869" s="31"/>
      <c r="W1869" s="16"/>
      <c r="X1869" s="9"/>
      <c r="Y1869" s="9"/>
      <c r="AA1869" s="16"/>
      <c r="AK1869" s="16"/>
      <c r="AL1869" s="17"/>
      <c r="AN1869" s="16"/>
    </row>
    <row r="1870" spans="9:40" x14ac:dyDescent="0.4">
      <c r="I1870" s="11"/>
      <c r="J1870" s="9"/>
      <c r="K1870" s="9"/>
      <c r="O1870" s="11"/>
      <c r="P1870" s="9"/>
      <c r="Q1870" s="9"/>
      <c r="R1870" s="9"/>
      <c r="S1870" s="9"/>
      <c r="T1870" s="31"/>
      <c r="W1870" s="16"/>
      <c r="X1870" s="9"/>
      <c r="Y1870" s="9"/>
      <c r="AA1870" s="16"/>
      <c r="AK1870" s="16"/>
      <c r="AL1870" s="17"/>
      <c r="AN1870" s="16"/>
    </row>
    <row r="1871" spans="9:40" x14ac:dyDescent="0.4">
      <c r="I1871" s="11"/>
      <c r="J1871" s="9"/>
      <c r="K1871" s="9"/>
      <c r="O1871" s="11"/>
      <c r="P1871" s="9"/>
      <c r="Q1871" s="9"/>
      <c r="R1871" s="9"/>
      <c r="S1871" s="9"/>
      <c r="T1871" s="31"/>
      <c r="W1871" s="16"/>
      <c r="X1871" s="9"/>
      <c r="Y1871" s="9"/>
      <c r="AA1871" s="16"/>
      <c r="AK1871" s="16"/>
      <c r="AL1871" s="17"/>
      <c r="AN1871" s="16"/>
    </row>
    <row r="1872" spans="9:40" x14ac:dyDescent="0.4">
      <c r="I1872" s="11"/>
      <c r="J1872" s="9"/>
      <c r="K1872" s="9"/>
      <c r="O1872" s="11"/>
      <c r="P1872" s="9"/>
      <c r="Q1872" s="9"/>
      <c r="R1872" s="9"/>
      <c r="S1872" s="9"/>
      <c r="T1872" s="31"/>
      <c r="W1872" s="16"/>
      <c r="X1872" s="9"/>
      <c r="Y1872" s="9"/>
      <c r="AA1872" s="16"/>
      <c r="AK1872" s="16"/>
      <c r="AL1872" s="17"/>
      <c r="AN1872" s="16"/>
    </row>
    <row r="1873" spans="9:40" x14ac:dyDescent="0.4">
      <c r="I1873" s="11"/>
      <c r="J1873" s="9"/>
      <c r="K1873" s="9"/>
      <c r="O1873" s="11"/>
      <c r="P1873" s="9"/>
      <c r="Q1873" s="9"/>
      <c r="R1873" s="9"/>
      <c r="S1873" s="9"/>
      <c r="T1873" s="31"/>
      <c r="W1873" s="16"/>
      <c r="X1873" s="9"/>
      <c r="Y1873" s="9"/>
      <c r="AA1873" s="16"/>
      <c r="AK1873" s="16"/>
      <c r="AL1873" s="17"/>
      <c r="AN1873" s="16"/>
    </row>
    <row r="1874" spans="9:40" x14ac:dyDescent="0.4">
      <c r="I1874" s="11"/>
      <c r="J1874" s="9"/>
      <c r="K1874" s="9"/>
      <c r="O1874" s="11"/>
      <c r="P1874" s="9"/>
      <c r="Q1874" s="9"/>
      <c r="R1874" s="9"/>
      <c r="S1874" s="9"/>
      <c r="T1874" s="31"/>
      <c r="W1874" s="16"/>
      <c r="X1874" s="9"/>
      <c r="Y1874" s="9"/>
      <c r="AA1874" s="16"/>
      <c r="AK1874" s="16"/>
      <c r="AL1874" s="17"/>
      <c r="AN1874" s="16"/>
    </row>
    <row r="1875" spans="9:40" x14ac:dyDescent="0.4">
      <c r="I1875" s="11"/>
      <c r="J1875" s="9"/>
      <c r="K1875" s="9"/>
      <c r="O1875" s="11"/>
      <c r="P1875" s="9"/>
      <c r="Q1875" s="9"/>
      <c r="R1875" s="9"/>
      <c r="S1875" s="9"/>
      <c r="T1875" s="31"/>
      <c r="W1875" s="16"/>
      <c r="X1875" s="9"/>
      <c r="Y1875" s="9"/>
      <c r="AA1875" s="16"/>
      <c r="AK1875" s="16"/>
      <c r="AL1875" s="17"/>
      <c r="AN1875" s="16"/>
    </row>
    <row r="1876" spans="9:40" x14ac:dyDescent="0.4">
      <c r="I1876" s="11"/>
      <c r="J1876" s="9"/>
      <c r="K1876" s="9"/>
      <c r="O1876" s="11"/>
      <c r="P1876" s="9"/>
      <c r="Q1876" s="9"/>
      <c r="R1876" s="9"/>
      <c r="S1876" s="9"/>
      <c r="T1876" s="31"/>
      <c r="W1876" s="16"/>
      <c r="X1876" s="9"/>
      <c r="Y1876" s="9"/>
      <c r="AA1876" s="16"/>
      <c r="AK1876" s="16"/>
      <c r="AL1876" s="17"/>
      <c r="AN1876" s="16"/>
    </row>
    <row r="1877" spans="9:40" x14ac:dyDescent="0.4">
      <c r="I1877" s="11"/>
      <c r="J1877" s="9"/>
      <c r="K1877" s="9"/>
      <c r="O1877" s="11"/>
      <c r="P1877" s="9"/>
      <c r="Q1877" s="9"/>
      <c r="R1877" s="9"/>
      <c r="S1877" s="9"/>
      <c r="T1877" s="31"/>
      <c r="W1877" s="16"/>
      <c r="X1877" s="9"/>
      <c r="Y1877" s="9"/>
      <c r="AA1877" s="16"/>
      <c r="AK1877" s="16"/>
      <c r="AL1877" s="17"/>
      <c r="AN1877" s="16"/>
    </row>
    <row r="1878" spans="9:40" x14ac:dyDescent="0.4">
      <c r="I1878" s="11"/>
      <c r="J1878" s="9"/>
      <c r="K1878" s="9"/>
      <c r="O1878" s="11"/>
      <c r="P1878" s="9"/>
      <c r="Q1878" s="9"/>
      <c r="R1878" s="9"/>
      <c r="S1878" s="9"/>
      <c r="T1878" s="31"/>
      <c r="W1878" s="16"/>
      <c r="X1878" s="9"/>
      <c r="Y1878" s="9"/>
      <c r="AA1878" s="16"/>
      <c r="AK1878" s="16"/>
      <c r="AL1878" s="17"/>
      <c r="AN1878" s="16"/>
    </row>
    <row r="1879" spans="9:40" x14ac:dyDescent="0.4">
      <c r="I1879" s="11"/>
      <c r="J1879" s="9"/>
      <c r="K1879" s="9"/>
      <c r="O1879" s="11"/>
      <c r="P1879" s="9"/>
      <c r="Q1879" s="9"/>
      <c r="R1879" s="9"/>
      <c r="S1879" s="9"/>
      <c r="T1879" s="31"/>
      <c r="W1879" s="16"/>
      <c r="X1879" s="9"/>
      <c r="Y1879" s="9"/>
      <c r="AA1879" s="16"/>
      <c r="AK1879" s="16"/>
      <c r="AL1879" s="17"/>
      <c r="AN1879" s="16"/>
    </row>
    <row r="1880" spans="9:40" x14ac:dyDescent="0.4">
      <c r="I1880" s="11"/>
      <c r="J1880" s="9"/>
      <c r="K1880" s="9"/>
      <c r="O1880" s="11"/>
      <c r="P1880" s="9"/>
      <c r="Q1880" s="9"/>
      <c r="R1880" s="9"/>
      <c r="S1880" s="9"/>
      <c r="T1880" s="31"/>
      <c r="W1880" s="16"/>
      <c r="X1880" s="9"/>
      <c r="Y1880" s="9"/>
      <c r="AA1880" s="16"/>
      <c r="AK1880" s="16"/>
      <c r="AL1880" s="17"/>
      <c r="AN1880" s="16"/>
    </row>
    <row r="1881" spans="9:40" x14ac:dyDescent="0.4">
      <c r="I1881" s="11"/>
      <c r="J1881" s="9"/>
      <c r="K1881" s="9"/>
      <c r="O1881" s="11"/>
      <c r="P1881" s="9"/>
      <c r="Q1881" s="9"/>
      <c r="R1881" s="9"/>
      <c r="S1881" s="9"/>
      <c r="T1881" s="31"/>
      <c r="W1881" s="16"/>
      <c r="X1881" s="9"/>
      <c r="Y1881" s="9"/>
      <c r="AA1881" s="16"/>
      <c r="AK1881" s="16"/>
      <c r="AL1881" s="17"/>
      <c r="AN1881" s="16"/>
    </row>
    <row r="1882" spans="9:40" x14ac:dyDescent="0.4">
      <c r="I1882" s="11"/>
      <c r="J1882" s="9"/>
      <c r="K1882" s="9"/>
      <c r="O1882" s="11"/>
      <c r="P1882" s="9"/>
      <c r="Q1882" s="9"/>
      <c r="R1882" s="9"/>
      <c r="S1882" s="9"/>
      <c r="T1882" s="31"/>
      <c r="W1882" s="16"/>
      <c r="X1882" s="9"/>
      <c r="Y1882" s="9"/>
      <c r="AA1882" s="16"/>
      <c r="AK1882" s="16"/>
      <c r="AL1882" s="17"/>
      <c r="AN1882" s="16"/>
    </row>
    <row r="1883" spans="9:40" x14ac:dyDescent="0.4">
      <c r="I1883" s="11"/>
      <c r="J1883" s="9"/>
      <c r="K1883" s="9"/>
      <c r="O1883" s="11"/>
      <c r="P1883" s="9"/>
      <c r="Q1883" s="9"/>
      <c r="R1883" s="9"/>
      <c r="S1883" s="9"/>
      <c r="T1883" s="31"/>
      <c r="W1883" s="16"/>
      <c r="X1883" s="9"/>
      <c r="Y1883" s="9"/>
      <c r="AA1883" s="16"/>
      <c r="AK1883" s="16"/>
      <c r="AL1883" s="17"/>
      <c r="AN1883" s="16"/>
    </row>
    <row r="1884" spans="9:40" x14ac:dyDescent="0.4">
      <c r="I1884" s="11"/>
      <c r="J1884" s="9"/>
      <c r="K1884" s="9"/>
      <c r="O1884" s="11"/>
      <c r="P1884" s="9"/>
      <c r="Q1884" s="9"/>
      <c r="R1884" s="9"/>
      <c r="S1884" s="9"/>
      <c r="T1884" s="31"/>
      <c r="W1884" s="16"/>
      <c r="X1884" s="9"/>
      <c r="Y1884" s="9"/>
      <c r="AA1884" s="16"/>
      <c r="AK1884" s="16"/>
      <c r="AL1884" s="17"/>
      <c r="AN1884" s="16"/>
    </row>
    <row r="1885" spans="9:40" x14ac:dyDescent="0.4">
      <c r="I1885" s="11"/>
      <c r="J1885" s="9"/>
      <c r="K1885" s="9"/>
      <c r="O1885" s="11"/>
      <c r="P1885" s="9"/>
      <c r="Q1885" s="9"/>
      <c r="R1885" s="9"/>
      <c r="S1885" s="9"/>
      <c r="T1885" s="31"/>
      <c r="W1885" s="16"/>
      <c r="X1885" s="9"/>
      <c r="Y1885" s="9"/>
      <c r="AA1885" s="16"/>
      <c r="AK1885" s="16"/>
      <c r="AL1885" s="17"/>
      <c r="AN1885" s="16"/>
    </row>
    <row r="1886" spans="9:40" x14ac:dyDescent="0.4">
      <c r="I1886" s="11"/>
      <c r="J1886" s="9"/>
      <c r="K1886" s="9"/>
      <c r="O1886" s="11"/>
      <c r="P1886" s="9"/>
      <c r="Q1886" s="9"/>
      <c r="R1886" s="9"/>
      <c r="S1886" s="9"/>
      <c r="T1886" s="31"/>
      <c r="W1886" s="16"/>
      <c r="X1886" s="9"/>
      <c r="Y1886" s="9"/>
      <c r="AA1886" s="16"/>
      <c r="AK1886" s="16"/>
      <c r="AL1886" s="17"/>
      <c r="AN1886" s="16"/>
    </row>
    <row r="1887" spans="9:40" x14ac:dyDescent="0.4">
      <c r="I1887" s="11"/>
      <c r="J1887" s="9"/>
      <c r="K1887" s="9"/>
      <c r="O1887" s="11"/>
      <c r="P1887" s="9"/>
      <c r="Q1887" s="9"/>
      <c r="R1887" s="9"/>
      <c r="S1887" s="9"/>
      <c r="T1887" s="31"/>
      <c r="W1887" s="16"/>
      <c r="X1887" s="9"/>
      <c r="Y1887" s="9"/>
      <c r="AA1887" s="16"/>
      <c r="AK1887" s="16"/>
      <c r="AL1887" s="17"/>
      <c r="AN1887" s="16"/>
    </row>
    <row r="1888" spans="9:40" x14ac:dyDescent="0.4">
      <c r="I1888" s="11"/>
      <c r="J1888" s="9"/>
      <c r="K1888" s="9"/>
      <c r="O1888" s="11"/>
      <c r="P1888" s="9"/>
      <c r="Q1888" s="9"/>
      <c r="R1888" s="9"/>
      <c r="S1888" s="9"/>
      <c r="T1888" s="31"/>
      <c r="W1888" s="16"/>
      <c r="X1888" s="9"/>
      <c r="Y1888" s="9"/>
      <c r="AA1888" s="16"/>
      <c r="AK1888" s="16"/>
      <c r="AL1888" s="17"/>
      <c r="AN1888" s="16"/>
    </row>
    <row r="1889" spans="9:40" x14ac:dyDescent="0.4">
      <c r="I1889" s="11"/>
      <c r="J1889" s="9"/>
      <c r="K1889" s="9"/>
      <c r="O1889" s="11"/>
      <c r="P1889" s="9"/>
      <c r="Q1889" s="9"/>
      <c r="R1889" s="9"/>
      <c r="S1889" s="9"/>
      <c r="T1889" s="31"/>
      <c r="W1889" s="16"/>
      <c r="X1889" s="9"/>
      <c r="Y1889" s="9"/>
      <c r="AA1889" s="16"/>
      <c r="AK1889" s="16"/>
      <c r="AL1889" s="17"/>
      <c r="AN1889" s="16"/>
    </row>
    <row r="1890" spans="9:40" x14ac:dyDescent="0.4">
      <c r="I1890" s="11"/>
      <c r="J1890" s="9"/>
      <c r="K1890" s="9"/>
      <c r="O1890" s="11"/>
      <c r="P1890" s="9"/>
      <c r="Q1890" s="9"/>
      <c r="R1890" s="9"/>
      <c r="S1890" s="9"/>
      <c r="T1890" s="31"/>
      <c r="W1890" s="16"/>
      <c r="X1890" s="9"/>
      <c r="Y1890" s="9"/>
      <c r="AA1890" s="16"/>
      <c r="AK1890" s="16"/>
      <c r="AL1890" s="17"/>
      <c r="AN1890" s="16"/>
    </row>
    <row r="1891" spans="9:40" x14ac:dyDescent="0.4">
      <c r="I1891" s="11"/>
      <c r="J1891" s="9"/>
      <c r="K1891" s="9"/>
      <c r="O1891" s="11"/>
      <c r="P1891" s="9"/>
      <c r="Q1891" s="9"/>
      <c r="R1891" s="9"/>
      <c r="S1891" s="9"/>
      <c r="T1891" s="31"/>
      <c r="W1891" s="16"/>
      <c r="X1891" s="9"/>
      <c r="Y1891" s="9"/>
      <c r="AA1891" s="16"/>
      <c r="AK1891" s="16"/>
      <c r="AL1891" s="17"/>
      <c r="AN1891" s="16"/>
    </row>
    <row r="1892" spans="9:40" x14ac:dyDescent="0.4">
      <c r="I1892" s="11"/>
      <c r="J1892" s="9"/>
      <c r="K1892" s="9"/>
      <c r="O1892" s="11"/>
      <c r="P1892" s="9"/>
      <c r="Q1892" s="9"/>
      <c r="R1892" s="9"/>
      <c r="S1892" s="9"/>
      <c r="T1892" s="31"/>
      <c r="W1892" s="16"/>
      <c r="X1892" s="9"/>
      <c r="Y1892" s="9"/>
      <c r="AA1892" s="16"/>
      <c r="AK1892" s="16"/>
      <c r="AL1892" s="17"/>
      <c r="AN1892" s="16"/>
    </row>
    <row r="1893" spans="9:40" x14ac:dyDescent="0.4">
      <c r="I1893" s="11"/>
      <c r="J1893" s="9"/>
      <c r="K1893" s="9"/>
      <c r="O1893" s="11"/>
      <c r="P1893" s="9"/>
      <c r="Q1893" s="9"/>
      <c r="R1893" s="9"/>
      <c r="S1893" s="9"/>
      <c r="T1893" s="31"/>
      <c r="W1893" s="16"/>
      <c r="X1893" s="9"/>
      <c r="Y1893" s="9"/>
      <c r="AA1893" s="16"/>
      <c r="AK1893" s="16"/>
      <c r="AL1893" s="17"/>
      <c r="AN1893" s="16"/>
    </row>
    <row r="1894" spans="9:40" x14ac:dyDescent="0.4">
      <c r="I1894" s="11"/>
      <c r="J1894" s="9"/>
      <c r="K1894" s="9"/>
      <c r="O1894" s="11"/>
      <c r="P1894" s="9"/>
      <c r="Q1894" s="9"/>
      <c r="R1894" s="9"/>
      <c r="S1894" s="9"/>
      <c r="T1894" s="31"/>
      <c r="W1894" s="16"/>
      <c r="X1894" s="9"/>
      <c r="Y1894" s="9"/>
      <c r="AA1894" s="16"/>
      <c r="AK1894" s="16"/>
      <c r="AL1894" s="17"/>
      <c r="AN1894" s="16"/>
    </row>
    <row r="1895" spans="9:40" x14ac:dyDescent="0.4">
      <c r="I1895" s="11"/>
      <c r="J1895" s="9"/>
      <c r="K1895" s="9"/>
      <c r="O1895" s="11"/>
      <c r="P1895" s="9"/>
      <c r="Q1895" s="9"/>
      <c r="R1895" s="9"/>
      <c r="S1895" s="9"/>
      <c r="T1895" s="31"/>
      <c r="W1895" s="16"/>
      <c r="X1895" s="9"/>
      <c r="Y1895" s="9"/>
      <c r="AA1895" s="16"/>
      <c r="AK1895" s="16"/>
      <c r="AL1895" s="17"/>
      <c r="AN1895" s="16"/>
    </row>
    <row r="1896" spans="9:40" x14ac:dyDescent="0.4">
      <c r="I1896" s="11"/>
      <c r="J1896" s="9"/>
      <c r="K1896" s="9"/>
      <c r="O1896" s="11"/>
      <c r="P1896" s="9"/>
      <c r="Q1896" s="9"/>
      <c r="R1896" s="9"/>
      <c r="S1896" s="9"/>
      <c r="T1896" s="31"/>
      <c r="W1896" s="16"/>
      <c r="X1896" s="9"/>
      <c r="Y1896" s="9"/>
      <c r="AA1896" s="16"/>
      <c r="AK1896" s="16"/>
      <c r="AL1896" s="17"/>
      <c r="AN1896" s="16"/>
    </row>
    <row r="1897" spans="9:40" x14ac:dyDescent="0.4">
      <c r="I1897" s="11"/>
      <c r="J1897" s="9"/>
      <c r="K1897" s="9"/>
      <c r="O1897" s="11"/>
      <c r="P1897" s="9"/>
      <c r="Q1897" s="9"/>
      <c r="R1897" s="9"/>
      <c r="S1897" s="9"/>
      <c r="T1897" s="31"/>
      <c r="W1897" s="16"/>
      <c r="X1897" s="9"/>
      <c r="Y1897" s="9"/>
      <c r="AA1897" s="16"/>
      <c r="AK1897" s="16"/>
      <c r="AL1897" s="17"/>
      <c r="AN1897" s="16"/>
    </row>
    <row r="1898" spans="9:40" x14ac:dyDescent="0.4">
      <c r="I1898" s="11"/>
      <c r="J1898" s="9"/>
      <c r="K1898" s="9"/>
      <c r="O1898" s="11"/>
      <c r="P1898" s="9"/>
      <c r="Q1898" s="9"/>
      <c r="R1898" s="9"/>
      <c r="S1898" s="9"/>
      <c r="T1898" s="31"/>
      <c r="W1898" s="16"/>
      <c r="X1898" s="9"/>
      <c r="Y1898" s="9"/>
      <c r="AA1898" s="16"/>
      <c r="AK1898" s="16"/>
      <c r="AL1898" s="17"/>
      <c r="AN1898" s="16"/>
    </row>
    <row r="1899" spans="9:40" x14ac:dyDescent="0.4">
      <c r="I1899" s="11"/>
      <c r="J1899" s="9"/>
      <c r="K1899" s="9"/>
      <c r="O1899" s="11"/>
      <c r="P1899" s="9"/>
      <c r="Q1899" s="9"/>
      <c r="R1899" s="9"/>
      <c r="S1899" s="9"/>
      <c r="T1899" s="31"/>
      <c r="W1899" s="16"/>
      <c r="X1899" s="9"/>
      <c r="Y1899" s="9"/>
      <c r="AA1899" s="16"/>
      <c r="AK1899" s="16"/>
      <c r="AL1899" s="17"/>
      <c r="AN1899" s="16"/>
    </row>
    <row r="1900" spans="9:40" x14ac:dyDescent="0.4">
      <c r="I1900" s="11"/>
      <c r="J1900" s="9"/>
      <c r="K1900" s="9"/>
      <c r="O1900" s="11"/>
      <c r="P1900" s="9"/>
      <c r="Q1900" s="9"/>
      <c r="R1900" s="9"/>
      <c r="S1900" s="9"/>
      <c r="T1900" s="31"/>
      <c r="W1900" s="16"/>
      <c r="X1900" s="9"/>
      <c r="Y1900" s="9"/>
      <c r="AA1900" s="16"/>
      <c r="AK1900" s="16"/>
      <c r="AL1900" s="17"/>
      <c r="AN1900" s="16"/>
    </row>
    <row r="1901" spans="9:40" x14ac:dyDescent="0.4">
      <c r="I1901" s="11"/>
      <c r="J1901" s="9"/>
      <c r="K1901" s="9"/>
      <c r="O1901" s="11"/>
      <c r="P1901" s="9"/>
      <c r="Q1901" s="9"/>
      <c r="R1901" s="9"/>
      <c r="S1901" s="9"/>
      <c r="T1901" s="31"/>
      <c r="W1901" s="16"/>
      <c r="X1901" s="9"/>
      <c r="Y1901" s="9"/>
      <c r="AA1901" s="16"/>
      <c r="AK1901" s="16"/>
      <c r="AL1901" s="17"/>
      <c r="AN1901" s="16"/>
    </row>
    <row r="1902" spans="9:40" x14ac:dyDescent="0.4">
      <c r="I1902" s="11"/>
      <c r="J1902" s="9"/>
      <c r="K1902" s="9"/>
      <c r="O1902" s="11"/>
      <c r="P1902" s="9"/>
      <c r="Q1902" s="9"/>
      <c r="R1902" s="9"/>
      <c r="S1902" s="9"/>
      <c r="T1902" s="31"/>
      <c r="W1902" s="16"/>
      <c r="X1902" s="9"/>
      <c r="Y1902" s="9"/>
      <c r="AA1902" s="16"/>
      <c r="AK1902" s="16"/>
      <c r="AL1902" s="17"/>
      <c r="AN1902" s="16"/>
    </row>
    <row r="1903" spans="9:40" x14ac:dyDescent="0.4">
      <c r="I1903" s="11"/>
      <c r="J1903" s="9"/>
      <c r="K1903" s="9"/>
      <c r="O1903" s="11"/>
      <c r="P1903" s="9"/>
      <c r="Q1903" s="9"/>
      <c r="R1903" s="9"/>
      <c r="S1903" s="9"/>
      <c r="T1903" s="31"/>
      <c r="W1903" s="16"/>
      <c r="X1903" s="9"/>
      <c r="Y1903" s="9"/>
      <c r="AA1903" s="16"/>
      <c r="AK1903" s="16"/>
      <c r="AL1903" s="17"/>
      <c r="AN1903" s="16"/>
    </row>
    <row r="1904" spans="9:40" x14ac:dyDescent="0.4">
      <c r="I1904" s="11"/>
      <c r="J1904" s="9"/>
      <c r="K1904" s="9"/>
      <c r="O1904" s="11"/>
      <c r="P1904" s="9"/>
      <c r="Q1904" s="9"/>
      <c r="R1904" s="9"/>
      <c r="S1904" s="9"/>
      <c r="T1904" s="31"/>
      <c r="W1904" s="16"/>
      <c r="X1904" s="9"/>
      <c r="Y1904" s="9"/>
      <c r="AA1904" s="16"/>
      <c r="AK1904" s="16"/>
      <c r="AL1904" s="17"/>
      <c r="AN1904" s="16"/>
    </row>
    <row r="1905" spans="9:40" x14ac:dyDescent="0.4">
      <c r="I1905" s="11"/>
      <c r="J1905" s="9"/>
      <c r="K1905" s="9"/>
      <c r="O1905" s="11"/>
      <c r="P1905" s="9"/>
      <c r="Q1905" s="9"/>
      <c r="R1905" s="9"/>
      <c r="S1905" s="9"/>
      <c r="T1905" s="31"/>
      <c r="W1905" s="16"/>
      <c r="X1905" s="9"/>
      <c r="Y1905" s="9"/>
      <c r="AA1905" s="16"/>
      <c r="AK1905" s="16"/>
      <c r="AL1905" s="17"/>
      <c r="AN1905" s="16"/>
    </row>
    <row r="1906" spans="9:40" x14ac:dyDescent="0.4">
      <c r="I1906" s="11"/>
      <c r="J1906" s="9"/>
      <c r="K1906" s="9"/>
      <c r="O1906" s="11"/>
      <c r="P1906" s="9"/>
      <c r="Q1906" s="9"/>
      <c r="R1906" s="9"/>
      <c r="S1906" s="9"/>
      <c r="T1906" s="31"/>
      <c r="W1906" s="16"/>
      <c r="X1906" s="9"/>
      <c r="Y1906" s="9"/>
      <c r="AA1906" s="16"/>
      <c r="AK1906" s="16"/>
      <c r="AL1906" s="17"/>
      <c r="AN1906" s="16"/>
    </row>
    <row r="1907" spans="9:40" x14ac:dyDescent="0.4">
      <c r="I1907" s="11"/>
      <c r="J1907" s="9"/>
      <c r="K1907" s="9"/>
      <c r="O1907" s="11"/>
      <c r="P1907" s="9"/>
      <c r="Q1907" s="9"/>
      <c r="R1907" s="9"/>
      <c r="S1907" s="9"/>
      <c r="T1907" s="31"/>
      <c r="W1907" s="16"/>
      <c r="X1907" s="9"/>
      <c r="Y1907" s="9"/>
      <c r="AA1907" s="16"/>
      <c r="AK1907" s="16"/>
      <c r="AL1907" s="17"/>
      <c r="AN1907" s="16"/>
    </row>
    <row r="1908" spans="9:40" x14ac:dyDescent="0.4">
      <c r="I1908" s="11"/>
      <c r="J1908" s="9"/>
      <c r="K1908" s="9"/>
      <c r="O1908" s="11"/>
      <c r="P1908" s="9"/>
      <c r="Q1908" s="9"/>
      <c r="R1908" s="9"/>
      <c r="S1908" s="9"/>
      <c r="T1908" s="31"/>
      <c r="W1908" s="16"/>
      <c r="X1908" s="9"/>
      <c r="Y1908" s="9"/>
      <c r="AA1908" s="16"/>
      <c r="AK1908" s="16"/>
      <c r="AL1908" s="17"/>
      <c r="AN1908" s="16"/>
    </row>
    <row r="1909" spans="9:40" x14ac:dyDescent="0.4">
      <c r="I1909" s="11"/>
      <c r="J1909" s="9"/>
      <c r="K1909" s="9"/>
      <c r="O1909" s="11"/>
      <c r="P1909" s="9"/>
      <c r="Q1909" s="9"/>
      <c r="R1909" s="9"/>
      <c r="S1909" s="9"/>
      <c r="T1909" s="31"/>
      <c r="W1909" s="16"/>
      <c r="X1909" s="9"/>
      <c r="Y1909" s="9"/>
      <c r="AA1909" s="16"/>
      <c r="AK1909" s="16"/>
      <c r="AL1909" s="17"/>
      <c r="AN1909" s="16"/>
    </row>
    <row r="1910" spans="9:40" x14ac:dyDescent="0.4">
      <c r="I1910" s="11"/>
      <c r="J1910" s="9"/>
      <c r="K1910" s="9"/>
      <c r="O1910" s="11"/>
      <c r="P1910" s="9"/>
      <c r="Q1910" s="9"/>
      <c r="R1910" s="9"/>
      <c r="S1910" s="9"/>
      <c r="T1910" s="31"/>
      <c r="W1910" s="16"/>
      <c r="X1910" s="9"/>
      <c r="Y1910" s="9"/>
      <c r="AA1910" s="16"/>
      <c r="AK1910" s="16"/>
      <c r="AL1910" s="17"/>
      <c r="AN1910" s="16"/>
    </row>
    <row r="1911" spans="9:40" x14ac:dyDescent="0.4">
      <c r="I1911" s="11"/>
      <c r="J1911" s="9"/>
      <c r="K1911" s="9"/>
      <c r="O1911" s="11"/>
      <c r="P1911" s="9"/>
      <c r="Q1911" s="9"/>
      <c r="R1911" s="9"/>
      <c r="S1911" s="9"/>
      <c r="T1911" s="31"/>
      <c r="W1911" s="16"/>
      <c r="X1911" s="9"/>
      <c r="Y1911" s="9"/>
      <c r="AA1911" s="16"/>
      <c r="AK1911" s="16"/>
      <c r="AL1911" s="17"/>
      <c r="AN1911" s="16"/>
    </row>
    <row r="1912" spans="9:40" x14ac:dyDescent="0.4">
      <c r="I1912" s="11"/>
      <c r="J1912" s="9"/>
      <c r="K1912" s="9"/>
      <c r="O1912" s="11"/>
      <c r="P1912" s="9"/>
      <c r="Q1912" s="9"/>
      <c r="R1912" s="9"/>
      <c r="S1912" s="9"/>
      <c r="T1912" s="31"/>
      <c r="W1912" s="16"/>
      <c r="X1912" s="9"/>
      <c r="Y1912" s="9"/>
      <c r="AA1912" s="16"/>
      <c r="AK1912" s="16"/>
      <c r="AL1912" s="17"/>
      <c r="AN1912" s="16"/>
    </row>
    <row r="1913" spans="9:40" x14ac:dyDescent="0.4">
      <c r="I1913" s="11"/>
      <c r="J1913" s="9"/>
      <c r="K1913" s="9"/>
      <c r="O1913" s="11"/>
      <c r="P1913" s="9"/>
      <c r="Q1913" s="9"/>
      <c r="R1913" s="9"/>
      <c r="S1913" s="9"/>
      <c r="T1913" s="31"/>
      <c r="W1913" s="16"/>
      <c r="X1913" s="9"/>
      <c r="Y1913" s="9"/>
      <c r="AA1913" s="16"/>
      <c r="AK1913" s="16"/>
      <c r="AL1913" s="17"/>
      <c r="AN1913" s="16"/>
    </row>
    <row r="1914" spans="9:40" x14ac:dyDescent="0.4">
      <c r="I1914" s="11"/>
      <c r="J1914" s="9"/>
      <c r="K1914" s="9"/>
      <c r="O1914" s="11"/>
      <c r="P1914" s="9"/>
      <c r="Q1914" s="9"/>
      <c r="R1914" s="9"/>
      <c r="S1914" s="9"/>
      <c r="T1914" s="31"/>
      <c r="W1914" s="16"/>
      <c r="X1914" s="9"/>
      <c r="Y1914" s="9"/>
      <c r="AA1914" s="16"/>
      <c r="AK1914" s="16"/>
      <c r="AL1914" s="17"/>
      <c r="AN1914" s="16"/>
    </row>
    <row r="1915" spans="9:40" x14ac:dyDescent="0.4">
      <c r="I1915" s="11"/>
      <c r="J1915" s="9"/>
      <c r="K1915" s="9"/>
      <c r="O1915" s="11"/>
      <c r="P1915" s="9"/>
      <c r="Q1915" s="9"/>
      <c r="R1915" s="9"/>
      <c r="S1915" s="9"/>
      <c r="T1915" s="31"/>
      <c r="W1915" s="16"/>
      <c r="X1915" s="9"/>
      <c r="Y1915" s="9"/>
      <c r="AA1915" s="16"/>
      <c r="AK1915" s="16"/>
      <c r="AL1915" s="17"/>
      <c r="AN1915" s="16"/>
    </row>
    <row r="1916" spans="9:40" x14ac:dyDescent="0.4">
      <c r="I1916" s="11"/>
      <c r="J1916" s="9"/>
      <c r="K1916" s="9"/>
      <c r="O1916" s="11"/>
      <c r="P1916" s="9"/>
      <c r="Q1916" s="9"/>
      <c r="R1916" s="9"/>
      <c r="S1916" s="9"/>
      <c r="T1916" s="31"/>
      <c r="W1916" s="16"/>
      <c r="X1916" s="9"/>
      <c r="Y1916" s="9"/>
      <c r="AA1916" s="16"/>
      <c r="AK1916" s="16"/>
      <c r="AL1916" s="17"/>
      <c r="AN1916" s="16"/>
    </row>
    <row r="1917" spans="9:40" x14ac:dyDescent="0.4">
      <c r="I1917" s="11"/>
      <c r="J1917" s="9"/>
      <c r="K1917" s="9"/>
      <c r="O1917" s="11"/>
      <c r="P1917" s="9"/>
      <c r="Q1917" s="9"/>
      <c r="R1917" s="9"/>
      <c r="S1917" s="9"/>
      <c r="T1917" s="31"/>
      <c r="W1917" s="16"/>
      <c r="X1917" s="9"/>
      <c r="Y1917" s="9"/>
      <c r="AA1917" s="16"/>
      <c r="AK1917" s="16"/>
      <c r="AL1917" s="17"/>
      <c r="AN1917" s="16"/>
    </row>
    <row r="1918" spans="9:40" x14ac:dyDescent="0.4">
      <c r="I1918" s="11"/>
      <c r="J1918" s="9"/>
      <c r="K1918" s="9"/>
      <c r="O1918" s="11"/>
      <c r="P1918" s="9"/>
      <c r="Q1918" s="9"/>
      <c r="R1918" s="9"/>
      <c r="S1918" s="9"/>
      <c r="T1918" s="31"/>
      <c r="W1918" s="16"/>
      <c r="X1918" s="9"/>
      <c r="Y1918" s="9"/>
      <c r="AA1918" s="16"/>
      <c r="AK1918" s="16"/>
      <c r="AL1918" s="17"/>
      <c r="AN1918" s="16"/>
    </row>
    <row r="1919" spans="9:40" x14ac:dyDescent="0.4">
      <c r="I1919" s="11"/>
      <c r="J1919" s="9"/>
      <c r="K1919" s="9"/>
      <c r="O1919" s="11"/>
      <c r="P1919" s="9"/>
      <c r="Q1919" s="9"/>
      <c r="R1919" s="9"/>
      <c r="S1919" s="9"/>
      <c r="T1919" s="31"/>
      <c r="W1919" s="16"/>
      <c r="X1919" s="9"/>
      <c r="Y1919" s="9"/>
      <c r="AA1919" s="16"/>
      <c r="AK1919" s="16"/>
      <c r="AL1919" s="17"/>
      <c r="AN1919" s="16"/>
    </row>
    <row r="1920" spans="9:40" x14ac:dyDescent="0.4">
      <c r="I1920" s="11"/>
      <c r="J1920" s="9"/>
      <c r="K1920" s="9"/>
      <c r="O1920" s="11"/>
      <c r="P1920" s="9"/>
      <c r="Q1920" s="9"/>
      <c r="R1920" s="9"/>
      <c r="S1920" s="9"/>
      <c r="T1920" s="31"/>
      <c r="W1920" s="16"/>
      <c r="X1920" s="9"/>
      <c r="Y1920" s="9"/>
      <c r="AA1920" s="16"/>
      <c r="AK1920" s="16"/>
      <c r="AL1920" s="17"/>
      <c r="AN1920" s="16"/>
    </row>
    <row r="1921" spans="9:40" x14ac:dyDescent="0.4">
      <c r="I1921" s="11"/>
      <c r="J1921" s="9"/>
      <c r="K1921" s="9"/>
      <c r="O1921" s="11"/>
      <c r="P1921" s="9"/>
      <c r="Q1921" s="9"/>
      <c r="R1921" s="9"/>
      <c r="S1921" s="9"/>
      <c r="T1921" s="31"/>
      <c r="W1921" s="16"/>
      <c r="X1921" s="9"/>
      <c r="Y1921" s="9"/>
      <c r="AA1921" s="16"/>
      <c r="AK1921" s="16"/>
      <c r="AL1921" s="17"/>
      <c r="AN1921" s="16"/>
    </row>
    <row r="1922" spans="9:40" x14ac:dyDescent="0.4">
      <c r="I1922" s="11"/>
      <c r="J1922" s="9"/>
      <c r="K1922" s="9"/>
      <c r="O1922" s="11"/>
      <c r="P1922" s="9"/>
      <c r="Q1922" s="9"/>
      <c r="R1922" s="9"/>
      <c r="S1922" s="9"/>
      <c r="T1922" s="31"/>
      <c r="W1922" s="16"/>
      <c r="X1922" s="9"/>
      <c r="Y1922" s="9"/>
      <c r="AA1922" s="16"/>
      <c r="AK1922" s="16"/>
      <c r="AL1922" s="17"/>
      <c r="AN1922" s="16"/>
    </row>
    <row r="1923" spans="9:40" x14ac:dyDescent="0.4">
      <c r="I1923" s="11"/>
      <c r="J1923" s="9"/>
      <c r="K1923" s="9"/>
      <c r="O1923" s="11"/>
      <c r="P1923" s="9"/>
      <c r="Q1923" s="9"/>
      <c r="R1923" s="9"/>
      <c r="S1923" s="9"/>
      <c r="T1923" s="31"/>
      <c r="W1923" s="16"/>
      <c r="X1923" s="9"/>
      <c r="Y1923" s="9"/>
      <c r="AA1923" s="16"/>
      <c r="AK1923" s="16"/>
      <c r="AL1923" s="17"/>
      <c r="AN1923" s="16"/>
    </row>
    <row r="1924" spans="9:40" x14ac:dyDescent="0.4">
      <c r="I1924" s="11"/>
      <c r="J1924" s="9"/>
      <c r="K1924" s="9"/>
      <c r="O1924" s="11"/>
      <c r="P1924" s="9"/>
      <c r="Q1924" s="9"/>
      <c r="R1924" s="9"/>
      <c r="S1924" s="9"/>
      <c r="T1924" s="31"/>
      <c r="W1924" s="16"/>
      <c r="X1924" s="9"/>
      <c r="Y1924" s="9"/>
      <c r="AA1924" s="16"/>
      <c r="AK1924" s="16"/>
      <c r="AL1924" s="17"/>
      <c r="AN1924" s="16"/>
    </row>
    <row r="1925" spans="9:40" x14ac:dyDescent="0.4">
      <c r="I1925" s="11"/>
      <c r="J1925" s="9"/>
      <c r="K1925" s="9"/>
      <c r="O1925" s="11"/>
      <c r="P1925" s="9"/>
      <c r="Q1925" s="9"/>
      <c r="R1925" s="9"/>
      <c r="S1925" s="9"/>
      <c r="T1925" s="31"/>
      <c r="W1925" s="16"/>
      <c r="X1925" s="9"/>
      <c r="Y1925" s="9"/>
      <c r="AA1925" s="16"/>
      <c r="AK1925" s="16"/>
      <c r="AL1925" s="17"/>
      <c r="AN1925" s="16"/>
    </row>
    <row r="1926" spans="9:40" x14ac:dyDescent="0.4">
      <c r="I1926" s="11"/>
      <c r="J1926" s="9"/>
      <c r="K1926" s="9"/>
      <c r="O1926" s="11"/>
      <c r="P1926" s="9"/>
      <c r="Q1926" s="9"/>
      <c r="R1926" s="9"/>
      <c r="S1926" s="9"/>
      <c r="T1926" s="31"/>
      <c r="W1926" s="16"/>
      <c r="X1926" s="9"/>
      <c r="Y1926" s="9"/>
      <c r="AA1926" s="16"/>
      <c r="AK1926" s="16"/>
      <c r="AL1926" s="17"/>
      <c r="AN1926" s="16"/>
    </row>
    <row r="1927" spans="9:40" x14ac:dyDescent="0.4">
      <c r="I1927" s="11"/>
      <c r="J1927" s="9"/>
      <c r="K1927" s="9"/>
      <c r="O1927" s="11"/>
      <c r="P1927" s="9"/>
      <c r="Q1927" s="9"/>
      <c r="R1927" s="9"/>
      <c r="S1927" s="9"/>
      <c r="T1927" s="31"/>
      <c r="W1927" s="16"/>
      <c r="X1927" s="9"/>
      <c r="Y1927" s="9"/>
      <c r="AA1927" s="16"/>
      <c r="AK1927" s="16"/>
      <c r="AL1927" s="17"/>
      <c r="AN1927" s="16"/>
    </row>
    <row r="1928" spans="9:40" x14ac:dyDescent="0.4">
      <c r="I1928" s="11"/>
      <c r="J1928" s="9"/>
      <c r="K1928" s="9"/>
      <c r="O1928" s="11"/>
      <c r="P1928" s="9"/>
      <c r="Q1928" s="9"/>
      <c r="R1928" s="9"/>
      <c r="S1928" s="9"/>
      <c r="T1928" s="31"/>
      <c r="W1928" s="16"/>
      <c r="X1928" s="9"/>
      <c r="Y1928" s="9"/>
      <c r="AA1928" s="16"/>
      <c r="AK1928" s="16"/>
      <c r="AL1928" s="17"/>
      <c r="AN1928" s="16"/>
    </row>
    <row r="1929" spans="9:40" x14ac:dyDescent="0.4">
      <c r="I1929" s="11"/>
      <c r="J1929" s="9"/>
      <c r="K1929" s="9"/>
      <c r="O1929" s="11"/>
      <c r="P1929" s="9"/>
      <c r="Q1929" s="9"/>
      <c r="R1929" s="9"/>
      <c r="S1929" s="9"/>
      <c r="T1929" s="31"/>
      <c r="W1929" s="16"/>
      <c r="X1929" s="9"/>
      <c r="Y1929" s="9"/>
      <c r="AA1929" s="16"/>
      <c r="AK1929" s="16"/>
      <c r="AL1929" s="17"/>
      <c r="AN1929" s="16"/>
    </row>
    <row r="1930" spans="9:40" x14ac:dyDescent="0.4">
      <c r="I1930" s="11"/>
      <c r="J1930" s="9"/>
      <c r="K1930" s="9"/>
      <c r="O1930" s="11"/>
      <c r="P1930" s="9"/>
      <c r="Q1930" s="9"/>
      <c r="R1930" s="9"/>
      <c r="S1930" s="9"/>
      <c r="T1930" s="31"/>
      <c r="W1930" s="16"/>
      <c r="X1930" s="9"/>
      <c r="Y1930" s="9"/>
      <c r="AA1930" s="16"/>
      <c r="AK1930" s="16"/>
      <c r="AL1930" s="17"/>
      <c r="AN1930" s="16"/>
    </row>
    <row r="1931" spans="9:40" x14ac:dyDescent="0.4">
      <c r="I1931" s="11"/>
      <c r="J1931" s="9"/>
      <c r="K1931" s="9"/>
      <c r="O1931" s="11"/>
      <c r="P1931" s="9"/>
      <c r="Q1931" s="9"/>
      <c r="R1931" s="9"/>
      <c r="S1931" s="9"/>
      <c r="T1931" s="31"/>
      <c r="W1931" s="16"/>
      <c r="X1931" s="9"/>
      <c r="Y1931" s="9"/>
      <c r="AA1931" s="16"/>
      <c r="AK1931" s="16"/>
      <c r="AL1931" s="17"/>
      <c r="AN1931" s="16"/>
    </row>
    <row r="1932" spans="9:40" x14ac:dyDescent="0.4">
      <c r="I1932" s="11"/>
      <c r="J1932" s="9"/>
      <c r="K1932" s="9"/>
      <c r="O1932" s="11"/>
      <c r="P1932" s="9"/>
      <c r="Q1932" s="9"/>
      <c r="R1932" s="9"/>
      <c r="S1932" s="9"/>
      <c r="T1932" s="31"/>
      <c r="W1932" s="16"/>
      <c r="X1932" s="9"/>
      <c r="Y1932" s="9"/>
      <c r="AA1932" s="16"/>
      <c r="AK1932" s="16"/>
      <c r="AL1932" s="17"/>
      <c r="AN1932" s="16"/>
    </row>
    <row r="1933" spans="9:40" x14ac:dyDescent="0.4">
      <c r="I1933" s="11"/>
      <c r="J1933" s="9"/>
      <c r="K1933" s="9"/>
      <c r="O1933" s="11"/>
      <c r="P1933" s="9"/>
      <c r="Q1933" s="9"/>
      <c r="R1933" s="9"/>
      <c r="S1933" s="9"/>
      <c r="T1933" s="31"/>
      <c r="W1933" s="16"/>
      <c r="X1933" s="9"/>
      <c r="Y1933" s="9"/>
      <c r="AA1933" s="16"/>
      <c r="AK1933" s="16"/>
      <c r="AL1933" s="17"/>
      <c r="AN1933" s="16"/>
    </row>
    <row r="1934" spans="9:40" x14ac:dyDescent="0.4">
      <c r="I1934" s="11"/>
      <c r="J1934" s="9"/>
      <c r="K1934" s="9"/>
      <c r="O1934" s="11"/>
      <c r="P1934" s="9"/>
      <c r="Q1934" s="9"/>
      <c r="R1934" s="9"/>
      <c r="S1934" s="9"/>
      <c r="T1934" s="31"/>
      <c r="W1934" s="16"/>
      <c r="X1934" s="9"/>
      <c r="Y1934" s="9"/>
      <c r="AA1934" s="16"/>
      <c r="AK1934" s="16"/>
      <c r="AL1934" s="17"/>
      <c r="AN1934" s="16"/>
    </row>
    <row r="1935" spans="9:40" x14ac:dyDescent="0.4">
      <c r="I1935" s="11"/>
      <c r="J1935" s="9"/>
      <c r="K1935" s="9"/>
      <c r="O1935" s="11"/>
      <c r="P1935" s="9"/>
      <c r="Q1935" s="9"/>
      <c r="R1935" s="9"/>
      <c r="S1935" s="9"/>
      <c r="T1935" s="31"/>
      <c r="W1935" s="16"/>
      <c r="X1935" s="9"/>
      <c r="Y1935" s="9"/>
      <c r="AA1935" s="16"/>
      <c r="AK1935" s="16"/>
      <c r="AL1935" s="17"/>
      <c r="AN1935" s="16"/>
    </row>
    <row r="1936" spans="9:40" x14ac:dyDescent="0.4">
      <c r="I1936" s="11"/>
      <c r="J1936" s="9"/>
      <c r="K1936" s="9"/>
      <c r="O1936" s="11"/>
      <c r="P1936" s="9"/>
      <c r="Q1936" s="9"/>
      <c r="R1936" s="9"/>
      <c r="S1936" s="9"/>
      <c r="T1936" s="31"/>
      <c r="W1936" s="16"/>
      <c r="X1936" s="9"/>
      <c r="Y1936" s="9"/>
      <c r="AA1936" s="16"/>
      <c r="AK1936" s="16"/>
      <c r="AL1936" s="17"/>
      <c r="AN1936" s="16"/>
    </row>
    <row r="1937" spans="9:40" x14ac:dyDescent="0.4">
      <c r="I1937" s="11"/>
      <c r="J1937" s="9"/>
      <c r="K1937" s="9"/>
      <c r="O1937" s="11"/>
      <c r="P1937" s="9"/>
      <c r="Q1937" s="9"/>
      <c r="R1937" s="9"/>
      <c r="S1937" s="9"/>
      <c r="T1937" s="31"/>
      <c r="W1937" s="16"/>
      <c r="X1937" s="9"/>
      <c r="Y1937" s="9"/>
      <c r="AA1937" s="16"/>
      <c r="AK1937" s="16"/>
      <c r="AL1937" s="17"/>
      <c r="AN1937" s="16"/>
    </row>
    <row r="1938" spans="9:40" x14ac:dyDescent="0.4">
      <c r="I1938" s="11"/>
      <c r="J1938" s="9"/>
      <c r="K1938" s="9"/>
      <c r="O1938" s="11"/>
      <c r="P1938" s="9"/>
      <c r="Q1938" s="9"/>
      <c r="R1938" s="9"/>
      <c r="S1938" s="9"/>
      <c r="T1938" s="31"/>
      <c r="W1938" s="16"/>
      <c r="X1938" s="9"/>
      <c r="Y1938" s="9"/>
      <c r="AA1938" s="16"/>
      <c r="AK1938" s="16"/>
      <c r="AL1938" s="17"/>
      <c r="AN1938" s="16"/>
    </row>
    <row r="1939" spans="9:40" x14ac:dyDescent="0.4">
      <c r="I1939" s="11"/>
      <c r="J1939" s="9"/>
      <c r="K1939" s="9"/>
      <c r="O1939" s="11"/>
      <c r="P1939" s="9"/>
      <c r="Q1939" s="9"/>
      <c r="R1939" s="9"/>
      <c r="S1939" s="9"/>
      <c r="T1939" s="31"/>
      <c r="W1939" s="16"/>
      <c r="X1939" s="9"/>
      <c r="Y1939" s="9"/>
      <c r="AA1939" s="16"/>
      <c r="AK1939" s="16"/>
      <c r="AL1939" s="17"/>
      <c r="AN1939" s="16"/>
    </row>
    <row r="1940" spans="9:40" x14ac:dyDescent="0.4">
      <c r="I1940" s="11"/>
      <c r="J1940" s="9"/>
      <c r="K1940" s="9"/>
      <c r="O1940" s="11"/>
      <c r="P1940" s="9"/>
      <c r="Q1940" s="9"/>
      <c r="R1940" s="9"/>
      <c r="S1940" s="9"/>
      <c r="T1940" s="31"/>
      <c r="W1940" s="16"/>
      <c r="X1940" s="9"/>
      <c r="Y1940" s="9"/>
      <c r="AA1940" s="16"/>
      <c r="AK1940" s="16"/>
      <c r="AL1940" s="17"/>
      <c r="AN1940" s="16"/>
    </row>
    <row r="1941" spans="9:40" x14ac:dyDescent="0.4">
      <c r="I1941" s="11"/>
      <c r="J1941" s="9"/>
      <c r="K1941" s="9"/>
      <c r="O1941" s="11"/>
      <c r="P1941" s="9"/>
      <c r="Q1941" s="9"/>
      <c r="R1941" s="9"/>
      <c r="S1941" s="9"/>
      <c r="T1941" s="31"/>
      <c r="W1941" s="16"/>
      <c r="X1941" s="9"/>
      <c r="Y1941" s="9"/>
      <c r="AA1941" s="16"/>
      <c r="AK1941" s="16"/>
      <c r="AL1941" s="17"/>
      <c r="AN1941" s="16"/>
    </row>
    <row r="1942" spans="9:40" x14ac:dyDescent="0.4">
      <c r="I1942" s="11"/>
      <c r="J1942" s="9"/>
      <c r="K1942" s="9"/>
      <c r="O1942" s="11"/>
      <c r="P1942" s="9"/>
      <c r="Q1942" s="9"/>
      <c r="R1942" s="9"/>
      <c r="S1942" s="9"/>
      <c r="T1942" s="31"/>
      <c r="W1942" s="16"/>
      <c r="X1942" s="9"/>
      <c r="Y1942" s="9"/>
      <c r="AA1942" s="16"/>
      <c r="AK1942" s="16"/>
      <c r="AL1942" s="17"/>
      <c r="AN1942" s="16"/>
    </row>
    <row r="1943" spans="9:40" x14ac:dyDescent="0.4">
      <c r="I1943" s="11"/>
      <c r="J1943" s="9"/>
      <c r="K1943" s="9"/>
      <c r="O1943" s="11"/>
      <c r="P1943" s="9"/>
      <c r="Q1943" s="9"/>
      <c r="R1943" s="9"/>
      <c r="S1943" s="9"/>
      <c r="T1943" s="31"/>
      <c r="W1943" s="16"/>
      <c r="X1943" s="9"/>
      <c r="Y1943" s="9"/>
      <c r="AA1943" s="16"/>
      <c r="AK1943" s="16"/>
      <c r="AL1943" s="17"/>
      <c r="AN1943" s="16"/>
    </row>
    <row r="1944" spans="9:40" x14ac:dyDescent="0.4">
      <c r="I1944" s="11"/>
      <c r="J1944" s="9"/>
      <c r="K1944" s="9"/>
      <c r="O1944" s="11"/>
      <c r="P1944" s="9"/>
      <c r="Q1944" s="9"/>
      <c r="R1944" s="9"/>
      <c r="S1944" s="9"/>
      <c r="T1944" s="31"/>
      <c r="W1944" s="16"/>
      <c r="X1944" s="9"/>
      <c r="Y1944" s="9"/>
      <c r="AA1944" s="16"/>
      <c r="AK1944" s="16"/>
      <c r="AL1944" s="17"/>
      <c r="AN1944" s="16"/>
    </row>
    <row r="1945" spans="9:40" x14ac:dyDescent="0.4">
      <c r="I1945" s="11"/>
      <c r="J1945" s="9"/>
      <c r="K1945" s="9"/>
      <c r="O1945" s="11"/>
      <c r="P1945" s="9"/>
      <c r="Q1945" s="9"/>
      <c r="R1945" s="9"/>
      <c r="S1945" s="9"/>
      <c r="T1945" s="31"/>
      <c r="W1945" s="16"/>
      <c r="X1945" s="9"/>
      <c r="Y1945" s="9"/>
      <c r="AA1945" s="16"/>
      <c r="AK1945" s="16"/>
      <c r="AL1945" s="17"/>
      <c r="AN1945" s="16"/>
    </row>
    <row r="1946" spans="9:40" x14ac:dyDescent="0.4">
      <c r="I1946" s="11"/>
      <c r="J1946" s="9"/>
      <c r="K1946" s="9"/>
      <c r="O1946" s="11"/>
      <c r="P1946" s="9"/>
      <c r="Q1946" s="9"/>
      <c r="R1946" s="9"/>
      <c r="S1946" s="9"/>
      <c r="T1946" s="31"/>
      <c r="W1946" s="16"/>
      <c r="X1946" s="9"/>
      <c r="Y1946" s="9"/>
      <c r="AA1946" s="16"/>
      <c r="AK1946" s="16"/>
      <c r="AL1946" s="17"/>
      <c r="AN1946" s="16"/>
    </row>
    <row r="1947" spans="9:40" x14ac:dyDescent="0.4">
      <c r="I1947" s="11"/>
      <c r="J1947" s="9"/>
      <c r="K1947" s="9"/>
      <c r="O1947" s="11"/>
      <c r="P1947" s="9"/>
      <c r="Q1947" s="9"/>
      <c r="R1947" s="9"/>
      <c r="S1947" s="9"/>
      <c r="T1947" s="31"/>
      <c r="W1947" s="16"/>
      <c r="X1947" s="9"/>
      <c r="Y1947" s="9"/>
      <c r="AA1947" s="16"/>
      <c r="AK1947" s="16"/>
      <c r="AL1947" s="17"/>
      <c r="AN1947" s="16"/>
    </row>
    <row r="1948" spans="9:40" x14ac:dyDescent="0.4">
      <c r="I1948" s="11"/>
      <c r="J1948" s="9"/>
      <c r="K1948" s="9"/>
      <c r="O1948" s="11"/>
      <c r="P1948" s="9"/>
      <c r="Q1948" s="9"/>
      <c r="R1948" s="9"/>
      <c r="S1948" s="9"/>
      <c r="T1948" s="31"/>
      <c r="W1948" s="16"/>
      <c r="X1948" s="9"/>
      <c r="Y1948" s="9"/>
      <c r="AA1948" s="16"/>
      <c r="AK1948" s="16"/>
      <c r="AL1948" s="17"/>
      <c r="AN1948" s="16"/>
    </row>
    <row r="1949" spans="9:40" x14ac:dyDescent="0.4">
      <c r="I1949" s="11"/>
      <c r="J1949" s="9"/>
      <c r="K1949" s="9"/>
      <c r="O1949" s="11"/>
      <c r="P1949" s="9"/>
      <c r="Q1949" s="9"/>
      <c r="R1949" s="9"/>
      <c r="S1949" s="9"/>
      <c r="T1949" s="31"/>
      <c r="W1949" s="16"/>
      <c r="X1949" s="9"/>
      <c r="Y1949" s="9"/>
      <c r="AA1949" s="16"/>
      <c r="AK1949" s="16"/>
      <c r="AL1949" s="17"/>
      <c r="AN1949" s="16"/>
    </row>
    <row r="1950" spans="9:40" x14ac:dyDescent="0.4">
      <c r="I1950" s="11"/>
      <c r="J1950" s="9"/>
      <c r="K1950" s="9"/>
      <c r="O1950" s="11"/>
      <c r="P1950" s="9"/>
      <c r="Q1950" s="9"/>
      <c r="R1950" s="9"/>
      <c r="S1950" s="9"/>
      <c r="T1950" s="31"/>
      <c r="W1950" s="16"/>
      <c r="X1950" s="9"/>
      <c r="Y1950" s="9"/>
      <c r="AA1950" s="16"/>
      <c r="AK1950" s="16"/>
      <c r="AL1950" s="17"/>
      <c r="AN1950" s="16"/>
    </row>
    <row r="1951" spans="9:40" x14ac:dyDescent="0.4">
      <c r="I1951" s="11"/>
      <c r="J1951" s="9"/>
      <c r="K1951" s="9"/>
      <c r="O1951" s="11"/>
      <c r="P1951" s="9"/>
      <c r="Q1951" s="9"/>
      <c r="R1951" s="9"/>
      <c r="S1951" s="9"/>
      <c r="T1951" s="31"/>
      <c r="W1951" s="16"/>
      <c r="X1951" s="9"/>
      <c r="Y1951" s="9"/>
      <c r="AA1951" s="16"/>
      <c r="AK1951" s="16"/>
      <c r="AL1951" s="17"/>
      <c r="AN1951" s="16"/>
    </row>
    <row r="1952" spans="9:40" x14ac:dyDescent="0.4">
      <c r="I1952" s="11"/>
      <c r="J1952" s="9"/>
      <c r="K1952" s="9"/>
      <c r="O1952" s="11"/>
      <c r="P1952" s="9"/>
      <c r="Q1952" s="9"/>
      <c r="R1952" s="9"/>
      <c r="S1952" s="9"/>
      <c r="T1952" s="31"/>
      <c r="W1952" s="16"/>
      <c r="X1952" s="9"/>
      <c r="Y1952" s="9"/>
      <c r="AA1952" s="16"/>
      <c r="AK1952" s="16"/>
      <c r="AL1952" s="17"/>
      <c r="AN1952" s="16"/>
    </row>
    <row r="1953" spans="9:40" x14ac:dyDescent="0.4">
      <c r="I1953" s="11"/>
      <c r="J1953" s="9"/>
      <c r="K1953" s="9"/>
      <c r="O1953" s="11"/>
      <c r="P1953" s="9"/>
      <c r="Q1953" s="9"/>
      <c r="R1953" s="9"/>
      <c r="S1953" s="9"/>
      <c r="T1953" s="31"/>
      <c r="W1953" s="16"/>
      <c r="X1953" s="9"/>
      <c r="Y1953" s="9"/>
      <c r="AA1953" s="16"/>
      <c r="AK1953" s="16"/>
      <c r="AL1953" s="17"/>
      <c r="AN1953" s="16"/>
    </row>
    <row r="1954" spans="9:40" x14ac:dyDescent="0.4">
      <c r="I1954" s="11"/>
      <c r="J1954" s="9"/>
      <c r="K1954" s="9"/>
      <c r="O1954" s="11"/>
      <c r="P1954" s="9"/>
      <c r="Q1954" s="9"/>
      <c r="R1954" s="9"/>
      <c r="S1954" s="9"/>
      <c r="T1954" s="31"/>
      <c r="W1954" s="16"/>
      <c r="X1954" s="9"/>
      <c r="Y1954" s="9"/>
      <c r="AA1954" s="16"/>
      <c r="AK1954" s="16"/>
      <c r="AL1954" s="17"/>
      <c r="AN1954" s="16"/>
    </row>
    <row r="1955" spans="9:40" x14ac:dyDescent="0.4">
      <c r="I1955" s="11"/>
      <c r="J1955" s="9"/>
      <c r="K1955" s="9"/>
      <c r="O1955" s="11"/>
      <c r="P1955" s="9"/>
      <c r="Q1955" s="9"/>
      <c r="R1955" s="9"/>
      <c r="S1955" s="9"/>
      <c r="T1955" s="31"/>
      <c r="W1955" s="16"/>
      <c r="X1955" s="9"/>
      <c r="Y1955" s="9"/>
      <c r="AA1955" s="16"/>
      <c r="AK1955" s="16"/>
      <c r="AL1955" s="17"/>
      <c r="AN1955" s="16"/>
    </row>
    <row r="1956" spans="9:40" x14ac:dyDescent="0.4">
      <c r="I1956" s="11"/>
      <c r="J1956" s="9"/>
      <c r="K1956" s="9"/>
      <c r="O1956" s="11"/>
      <c r="P1956" s="9"/>
      <c r="Q1956" s="9"/>
      <c r="R1956" s="9"/>
      <c r="S1956" s="9"/>
      <c r="T1956" s="31"/>
      <c r="W1956" s="16"/>
      <c r="X1956" s="9"/>
      <c r="Y1956" s="9"/>
      <c r="AA1956" s="16"/>
      <c r="AK1956" s="16"/>
      <c r="AL1956" s="17"/>
      <c r="AN1956" s="16"/>
    </row>
    <row r="1957" spans="9:40" x14ac:dyDescent="0.4">
      <c r="I1957" s="11"/>
      <c r="J1957" s="9"/>
      <c r="K1957" s="9"/>
      <c r="O1957" s="11"/>
      <c r="P1957" s="9"/>
      <c r="Q1957" s="9"/>
      <c r="R1957" s="9"/>
      <c r="S1957" s="9"/>
      <c r="T1957" s="31"/>
      <c r="W1957" s="16"/>
      <c r="X1957" s="9"/>
      <c r="Y1957" s="9"/>
      <c r="AA1957" s="16"/>
      <c r="AK1957" s="16"/>
      <c r="AL1957" s="17"/>
      <c r="AN1957" s="16"/>
    </row>
    <row r="1958" spans="9:40" x14ac:dyDescent="0.4">
      <c r="I1958" s="11"/>
      <c r="J1958" s="9"/>
      <c r="K1958" s="9"/>
      <c r="O1958" s="11"/>
      <c r="P1958" s="9"/>
      <c r="Q1958" s="9"/>
      <c r="R1958" s="9"/>
      <c r="S1958" s="9"/>
      <c r="T1958" s="31"/>
      <c r="W1958" s="16"/>
      <c r="X1958" s="9"/>
      <c r="Y1958" s="9"/>
      <c r="AA1958" s="16"/>
      <c r="AK1958" s="16"/>
      <c r="AL1958" s="17"/>
      <c r="AN1958" s="16"/>
    </row>
    <row r="1959" spans="9:40" x14ac:dyDescent="0.4">
      <c r="I1959" s="11"/>
      <c r="J1959" s="9"/>
      <c r="K1959" s="9"/>
      <c r="O1959" s="11"/>
      <c r="P1959" s="9"/>
      <c r="Q1959" s="9"/>
      <c r="R1959" s="9"/>
      <c r="S1959" s="9"/>
      <c r="T1959" s="31"/>
      <c r="W1959" s="16"/>
      <c r="X1959" s="9"/>
      <c r="Y1959" s="9"/>
      <c r="AA1959" s="16"/>
      <c r="AK1959" s="16"/>
      <c r="AL1959" s="17"/>
      <c r="AN1959" s="16"/>
    </row>
    <row r="1960" spans="9:40" x14ac:dyDescent="0.4">
      <c r="I1960" s="11"/>
      <c r="J1960" s="9"/>
      <c r="K1960" s="9"/>
      <c r="O1960" s="11"/>
      <c r="P1960" s="9"/>
      <c r="Q1960" s="9"/>
      <c r="R1960" s="9"/>
      <c r="S1960" s="9"/>
      <c r="T1960" s="31"/>
      <c r="W1960" s="16"/>
      <c r="X1960" s="9"/>
      <c r="Y1960" s="9"/>
      <c r="AA1960" s="16"/>
      <c r="AK1960" s="16"/>
      <c r="AL1960" s="17"/>
      <c r="AN1960" s="16"/>
    </row>
    <row r="1961" spans="9:40" x14ac:dyDescent="0.4">
      <c r="I1961" s="11"/>
      <c r="J1961" s="9"/>
      <c r="K1961" s="9"/>
      <c r="O1961" s="11"/>
      <c r="P1961" s="9"/>
      <c r="Q1961" s="9"/>
      <c r="R1961" s="9"/>
      <c r="S1961" s="9"/>
      <c r="T1961" s="31"/>
      <c r="W1961" s="16"/>
      <c r="X1961" s="9"/>
      <c r="Y1961" s="9"/>
      <c r="AA1961" s="16"/>
      <c r="AK1961" s="16"/>
      <c r="AL1961" s="17"/>
      <c r="AN1961" s="16"/>
    </row>
    <row r="1962" spans="9:40" x14ac:dyDescent="0.4">
      <c r="I1962" s="11"/>
      <c r="J1962" s="9"/>
      <c r="K1962" s="9"/>
      <c r="O1962" s="11"/>
      <c r="P1962" s="9"/>
      <c r="Q1962" s="9"/>
      <c r="R1962" s="9"/>
      <c r="S1962" s="9"/>
      <c r="T1962" s="31"/>
      <c r="W1962" s="16"/>
      <c r="X1962" s="9"/>
      <c r="Y1962" s="9"/>
      <c r="AA1962" s="16"/>
      <c r="AK1962" s="16"/>
      <c r="AL1962" s="17"/>
      <c r="AN1962" s="16"/>
    </row>
    <row r="1963" spans="9:40" x14ac:dyDescent="0.4">
      <c r="I1963" s="11"/>
      <c r="J1963" s="9"/>
      <c r="K1963" s="9"/>
      <c r="O1963" s="11"/>
      <c r="P1963" s="9"/>
      <c r="Q1963" s="9"/>
      <c r="R1963" s="9"/>
      <c r="S1963" s="9"/>
      <c r="T1963" s="31"/>
      <c r="W1963" s="16"/>
      <c r="X1963" s="9"/>
      <c r="Y1963" s="9"/>
      <c r="AA1963" s="16"/>
      <c r="AK1963" s="16"/>
      <c r="AL1963" s="17"/>
      <c r="AN1963" s="16"/>
    </row>
    <row r="1964" spans="9:40" x14ac:dyDescent="0.4">
      <c r="I1964" s="11"/>
      <c r="J1964" s="9"/>
      <c r="K1964" s="9"/>
      <c r="O1964" s="11"/>
      <c r="P1964" s="9"/>
      <c r="Q1964" s="9"/>
      <c r="R1964" s="9"/>
      <c r="S1964" s="9"/>
      <c r="T1964" s="31"/>
      <c r="W1964" s="16"/>
      <c r="X1964" s="9"/>
      <c r="Y1964" s="9"/>
      <c r="AA1964" s="16"/>
      <c r="AK1964" s="16"/>
      <c r="AL1964" s="17"/>
      <c r="AN1964" s="16"/>
    </row>
    <row r="1965" spans="9:40" x14ac:dyDescent="0.4">
      <c r="I1965" s="11"/>
      <c r="J1965" s="9"/>
      <c r="K1965" s="9"/>
      <c r="O1965" s="11"/>
      <c r="P1965" s="9"/>
      <c r="Q1965" s="9"/>
      <c r="R1965" s="9"/>
      <c r="S1965" s="9"/>
      <c r="T1965" s="31"/>
      <c r="W1965" s="16"/>
      <c r="X1965" s="9"/>
      <c r="Y1965" s="9"/>
      <c r="AA1965" s="16"/>
      <c r="AK1965" s="16"/>
      <c r="AL1965" s="17"/>
      <c r="AN1965" s="16"/>
    </row>
    <row r="1966" spans="9:40" x14ac:dyDescent="0.4">
      <c r="I1966" s="11"/>
      <c r="J1966" s="9"/>
      <c r="K1966" s="9"/>
      <c r="O1966" s="11"/>
      <c r="P1966" s="9"/>
      <c r="Q1966" s="9"/>
      <c r="R1966" s="9"/>
      <c r="S1966" s="9"/>
      <c r="T1966" s="31"/>
      <c r="W1966" s="16"/>
      <c r="X1966" s="9"/>
      <c r="Y1966" s="9"/>
      <c r="AA1966" s="16"/>
      <c r="AK1966" s="16"/>
      <c r="AL1966" s="17"/>
      <c r="AN1966" s="16"/>
    </row>
    <row r="1967" spans="9:40" x14ac:dyDescent="0.4">
      <c r="I1967" s="11"/>
      <c r="J1967" s="9"/>
      <c r="K1967" s="9"/>
      <c r="O1967" s="11"/>
      <c r="P1967" s="9"/>
      <c r="Q1967" s="9"/>
      <c r="R1967" s="9"/>
      <c r="S1967" s="9"/>
      <c r="T1967" s="31"/>
      <c r="W1967" s="16"/>
      <c r="X1967" s="9"/>
      <c r="Y1967" s="9"/>
      <c r="AA1967" s="16"/>
      <c r="AK1967" s="16"/>
      <c r="AL1967" s="17"/>
      <c r="AN1967" s="16"/>
    </row>
    <row r="1968" spans="9:40" x14ac:dyDescent="0.4">
      <c r="I1968" s="11"/>
      <c r="J1968" s="9"/>
      <c r="K1968" s="9"/>
      <c r="O1968" s="11"/>
      <c r="P1968" s="9"/>
      <c r="Q1968" s="9"/>
      <c r="R1968" s="9"/>
      <c r="S1968" s="9"/>
      <c r="T1968" s="31"/>
      <c r="W1968" s="16"/>
      <c r="X1968" s="9"/>
      <c r="Y1968" s="9"/>
      <c r="AA1968" s="16"/>
      <c r="AK1968" s="16"/>
      <c r="AL1968" s="17"/>
      <c r="AN1968" s="16"/>
    </row>
    <row r="1969" spans="9:40" x14ac:dyDescent="0.4">
      <c r="I1969" s="11"/>
      <c r="J1969" s="9"/>
      <c r="K1969" s="9"/>
      <c r="O1969" s="11"/>
      <c r="P1969" s="9"/>
      <c r="Q1969" s="9"/>
      <c r="R1969" s="9"/>
      <c r="S1969" s="9"/>
      <c r="T1969" s="31"/>
      <c r="W1969" s="16"/>
      <c r="X1969" s="9"/>
      <c r="Y1969" s="9"/>
      <c r="AA1969" s="16"/>
      <c r="AK1969" s="16"/>
      <c r="AL1969" s="17"/>
      <c r="AN1969" s="16"/>
    </row>
    <row r="1970" spans="9:40" x14ac:dyDescent="0.4">
      <c r="I1970" s="11"/>
      <c r="J1970" s="9"/>
      <c r="K1970" s="9"/>
      <c r="O1970" s="11"/>
      <c r="P1970" s="9"/>
      <c r="Q1970" s="9"/>
      <c r="R1970" s="9"/>
      <c r="S1970" s="9"/>
      <c r="T1970" s="31"/>
      <c r="W1970" s="16"/>
      <c r="X1970" s="9"/>
      <c r="Y1970" s="9"/>
      <c r="AA1970" s="16"/>
      <c r="AK1970" s="16"/>
      <c r="AL1970" s="17"/>
      <c r="AN1970" s="16"/>
    </row>
    <row r="1971" spans="9:40" x14ac:dyDescent="0.4">
      <c r="I1971" s="11"/>
      <c r="J1971" s="9"/>
      <c r="K1971" s="9"/>
      <c r="O1971" s="11"/>
      <c r="P1971" s="9"/>
      <c r="Q1971" s="9"/>
      <c r="R1971" s="9"/>
      <c r="S1971" s="9"/>
      <c r="T1971" s="31"/>
      <c r="W1971" s="16"/>
      <c r="X1971" s="9"/>
      <c r="Y1971" s="9"/>
      <c r="AA1971" s="16"/>
      <c r="AK1971" s="16"/>
      <c r="AL1971" s="17"/>
      <c r="AN1971" s="16"/>
    </row>
    <row r="1972" spans="9:40" x14ac:dyDescent="0.4">
      <c r="I1972" s="11"/>
      <c r="J1972" s="9"/>
      <c r="K1972" s="9"/>
      <c r="O1972" s="11"/>
      <c r="P1972" s="9"/>
      <c r="Q1972" s="9"/>
      <c r="R1972" s="9"/>
      <c r="S1972" s="9"/>
      <c r="T1972" s="31"/>
      <c r="W1972" s="16"/>
      <c r="X1972" s="9"/>
      <c r="Y1972" s="9"/>
      <c r="AA1972" s="16"/>
      <c r="AK1972" s="16"/>
      <c r="AL1972" s="17"/>
      <c r="AN1972" s="16"/>
    </row>
    <row r="1973" spans="9:40" x14ac:dyDescent="0.4">
      <c r="I1973" s="11"/>
      <c r="J1973" s="9"/>
      <c r="K1973" s="9"/>
      <c r="O1973" s="11"/>
      <c r="P1973" s="9"/>
      <c r="Q1973" s="9"/>
      <c r="R1973" s="9"/>
      <c r="S1973" s="9"/>
      <c r="T1973" s="31"/>
      <c r="W1973" s="16"/>
      <c r="X1973" s="9"/>
      <c r="Y1973" s="9"/>
      <c r="AA1973" s="16"/>
      <c r="AK1973" s="16"/>
      <c r="AL1973" s="17"/>
      <c r="AN1973" s="16"/>
    </row>
    <row r="1974" spans="9:40" x14ac:dyDescent="0.4">
      <c r="I1974" s="11"/>
      <c r="J1974" s="9"/>
      <c r="K1974" s="9"/>
      <c r="O1974" s="11"/>
      <c r="P1974" s="9"/>
      <c r="Q1974" s="9"/>
      <c r="R1974" s="9"/>
      <c r="S1974" s="9"/>
      <c r="T1974" s="31"/>
      <c r="W1974" s="16"/>
      <c r="X1974" s="9"/>
      <c r="Y1974" s="9"/>
      <c r="AA1974" s="16"/>
      <c r="AK1974" s="16"/>
      <c r="AL1974" s="17"/>
      <c r="AN1974" s="16"/>
    </row>
    <row r="1975" spans="9:40" x14ac:dyDescent="0.4">
      <c r="I1975" s="11"/>
      <c r="J1975" s="9"/>
      <c r="K1975" s="9"/>
      <c r="O1975" s="11"/>
      <c r="P1975" s="9"/>
      <c r="Q1975" s="9"/>
      <c r="R1975" s="9"/>
      <c r="S1975" s="9"/>
      <c r="T1975" s="31"/>
      <c r="W1975" s="16"/>
      <c r="X1975" s="9"/>
      <c r="Y1975" s="9"/>
      <c r="AA1975" s="16"/>
      <c r="AK1975" s="16"/>
      <c r="AL1975" s="17"/>
      <c r="AN1975" s="16"/>
    </row>
    <row r="1976" spans="9:40" x14ac:dyDescent="0.4">
      <c r="I1976" s="11"/>
      <c r="J1976" s="9"/>
      <c r="K1976" s="9"/>
      <c r="O1976" s="11"/>
      <c r="P1976" s="9"/>
      <c r="Q1976" s="9"/>
      <c r="R1976" s="9"/>
      <c r="S1976" s="9"/>
      <c r="T1976" s="31"/>
      <c r="W1976" s="16"/>
      <c r="X1976" s="9"/>
      <c r="Y1976" s="9"/>
      <c r="AA1976" s="16"/>
      <c r="AK1976" s="16"/>
      <c r="AL1976" s="17"/>
      <c r="AN1976" s="16"/>
    </row>
    <row r="1977" spans="9:40" x14ac:dyDescent="0.4">
      <c r="I1977" s="11"/>
      <c r="J1977" s="9"/>
      <c r="K1977" s="9"/>
      <c r="O1977" s="11"/>
      <c r="P1977" s="9"/>
      <c r="Q1977" s="9"/>
      <c r="R1977" s="9"/>
      <c r="S1977" s="9"/>
      <c r="T1977" s="31"/>
      <c r="W1977" s="16"/>
      <c r="X1977" s="9"/>
      <c r="Y1977" s="9"/>
      <c r="AA1977" s="16"/>
      <c r="AK1977" s="16"/>
      <c r="AL1977" s="17"/>
      <c r="AN1977" s="16"/>
    </row>
    <row r="1978" spans="9:40" x14ac:dyDescent="0.4">
      <c r="I1978" s="11"/>
      <c r="J1978" s="9"/>
      <c r="K1978" s="9"/>
      <c r="O1978" s="11"/>
      <c r="P1978" s="9"/>
      <c r="Q1978" s="9"/>
      <c r="R1978" s="9"/>
      <c r="S1978" s="9"/>
      <c r="T1978" s="31"/>
      <c r="W1978" s="16"/>
      <c r="X1978" s="9"/>
      <c r="Y1978" s="9"/>
      <c r="AA1978" s="16"/>
      <c r="AK1978" s="16"/>
      <c r="AL1978" s="17"/>
      <c r="AN1978" s="16"/>
    </row>
    <row r="1979" spans="9:40" x14ac:dyDescent="0.4">
      <c r="I1979" s="11"/>
      <c r="J1979" s="9"/>
      <c r="K1979" s="9"/>
      <c r="O1979" s="11"/>
      <c r="P1979" s="9"/>
      <c r="Q1979" s="9"/>
      <c r="R1979" s="9"/>
      <c r="S1979" s="9"/>
      <c r="T1979" s="31"/>
      <c r="W1979" s="16"/>
      <c r="X1979" s="9"/>
      <c r="Y1979" s="9"/>
      <c r="AA1979" s="16"/>
      <c r="AK1979" s="16"/>
      <c r="AL1979" s="17"/>
      <c r="AN1979" s="16"/>
    </row>
    <row r="1980" spans="9:40" x14ac:dyDescent="0.4">
      <c r="I1980" s="11"/>
      <c r="J1980" s="9"/>
      <c r="K1980" s="9"/>
      <c r="O1980" s="11"/>
      <c r="P1980" s="9"/>
      <c r="Q1980" s="9"/>
      <c r="R1980" s="9"/>
      <c r="S1980" s="9"/>
      <c r="T1980" s="31"/>
      <c r="W1980" s="16"/>
      <c r="X1980" s="9"/>
      <c r="Y1980" s="9"/>
      <c r="AA1980" s="16"/>
      <c r="AK1980" s="16"/>
      <c r="AL1980" s="17"/>
      <c r="AN1980" s="16"/>
    </row>
    <row r="1981" spans="9:40" x14ac:dyDescent="0.4">
      <c r="I1981" s="11"/>
      <c r="J1981" s="9"/>
      <c r="K1981" s="9"/>
      <c r="O1981" s="11"/>
      <c r="P1981" s="9"/>
      <c r="Q1981" s="9"/>
      <c r="R1981" s="9"/>
      <c r="S1981" s="9"/>
      <c r="T1981" s="31"/>
      <c r="W1981" s="16"/>
      <c r="X1981" s="9"/>
      <c r="Y1981" s="9"/>
      <c r="AA1981" s="16"/>
      <c r="AK1981" s="16"/>
      <c r="AL1981" s="17"/>
      <c r="AN1981" s="16"/>
    </row>
    <row r="1982" spans="9:40" x14ac:dyDescent="0.4">
      <c r="I1982" s="11"/>
      <c r="J1982" s="9"/>
      <c r="K1982" s="9"/>
      <c r="O1982" s="11"/>
      <c r="P1982" s="9"/>
      <c r="Q1982" s="9"/>
      <c r="R1982" s="9"/>
      <c r="S1982" s="9"/>
      <c r="T1982" s="31"/>
      <c r="W1982" s="16"/>
      <c r="X1982" s="9"/>
      <c r="Y1982" s="9"/>
      <c r="AA1982" s="16"/>
      <c r="AK1982" s="16"/>
      <c r="AL1982" s="17"/>
      <c r="AN1982" s="16"/>
    </row>
    <row r="1983" spans="9:40" x14ac:dyDescent="0.4">
      <c r="I1983" s="11"/>
      <c r="J1983" s="9"/>
      <c r="K1983" s="9"/>
      <c r="O1983" s="11"/>
      <c r="P1983" s="9"/>
      <c r="Q1983" s="9"/>
      <c r="R1983" s="9"/>
      <c r="S1983" s="9"/>
      <c r="T1983" s="31"/>
      <c r="W1983" s="16"/>
      <c r="X1983" s="9"/>
      <c r="Y1983" s="9"/>
      <c r="AA1983" s="16"/>
      <c r="AK1983" s="16"/>
      <c r="AL1983" s="17"/>
      <c r="AN1983" s="16"/>
    </row>
    <row r="1984" spans="9:40" x14ac:dyDescent="0.4">
      <c r="I1984" s="11"/>
      <c r="J1984" s="9"/>
      <c r="K1984" s="9"/>
      <c r="O1984" s="11"/>
      <c r="P1984" s="9"/>
      <c r="Q1984" s="9"/>
      <c r="R1984" s="9"/>
      <c r="S1984" s="9"/>
      <c r="T1984" s="31"/>
      <c r="W1984" s="16"/>
      <c r="X1984" s="9"/>
      <c r="Y1984" s="9"/>
      <c r="AA1984" s="16"/>
      <c r="AK1984" s="16"/>
      <c r="AL1984" s="17"/>
      <c r="AN1984" s="16"/>
    </row>
    <row r="1985" spans="9:40" x14ac:dyDescent="0.4">
      <c r="I1985" s="11"/>
      <c r="J1985" s="9"/>
      <c r="K1985" s="9"/>
      <c r="O1985" s="11"/>
      <c r="P1985" s="9"/>
      <c r="Q1985" s="9"/>
      <c r="R1985" s="9"/>
      <c r="S1985" s="9"/>
      <c r="T1985" s="31"/>
      <c r="W1985" s="16"/>
      <c r="X1985" s="9"/>
      <c r="Y1985" s="9"/>
      <c r="AA1985" s="16"/>
      <c r="AK1985" s="16"/>
      <c r="AL1985" s="17"/>
      <c r="AN1985" s="16"/>
    </row>
    <row r="1986" spans="9:40" x14ac:dyDescent="0.4">
      <c r="I1986" s="11"/>
      <c r="J1986" s="9"/>
      <c r="K1986" s="9"/>
      <c r="O1986" s="11"/>
      <c r="P1986" s="9"/>
      <c r="Q1986" s="9"/>
      <c r="R1986" s="9"/>
      <c r="S1986" s="9"/>
      <c r="T1986" s="31"/>
      <c r="W1986" s="16"/>
      <c r="X1986" s="9"/>
      <c r="Y1986" s="9"/>
      <c r="AA1986" s="16"/>
      <c r="AK1986" s="16"/>
      <c r="AL1986" s="17"/>
      <c r="AN1986" s="16"/>
    </row>
    <row r="1987" spans="9:40" x14ac:dyDescent="0.4">
      <c r="I1987" s="11"/>
      <c r="J1987" s="9"/>
      <c r="K1987" s="9"/>
      <c r="O1987" s="11"/>
      <c r="P1987" s="9"/>
      <c r="Q1987" s="9"/>
      <c r="R1987" s="9"/>
      <c r="S1987" s="9"/>
      <c r="T1987" s="31"/>
      <c r="W1987" s="16"/>
      <c r="X1987" s="9"/>
      <c r="Y1987" s="9"/>
      <c r="AA1987" s="16"/>
      <c r="AK1987" s="16"/>
      <c r="AL1987" s="17"/>
      <c r="AN1987" s="16"/>
    </row>
    <row r="1988" spans="9:40" x14ac:dyDescent="0.4">
      <c r="I1988" s="11"/>
      <c r="J1988" s="9"/>
      <c r="K1988" s="9"/>
      <c r="O1988" s="11"/>
      <c r="P1988" s="9"/>
      <c r="Q1988" s="9"/>
      <c r="R1988" s="9"/>
      <c r="S1988" s="9"/>
      <c r="T1988" s="31"/>
      <c r="W1988" s="16"/>
      <c r="X1988" s="9"/>
      <c r="Y1988" s="9"/>
      <c r="AA1988" s="16"/>
      <c r="AK1988" s="16"/>
      <c r="AL1988" s="17"/>
      <c r="AN1988" s="16"/>
    </row>
    <row r="1989" spans="9:40" x14ac:dyDescent="0.4">
      <c r="I1989" s="11"/>
      <c r="J1989" s="9"/>
      <c r="K1989" s="9"/>
      <c r="O1989" s="11"/>
      <c r="P1989" s="9"/>
      <c r="Q1989" s="9"/>
      <c r="R1989" s="9"/>
      <c r="S1989" s="9"/>
      <c r="T1989" s="31"/>
      <c r="W1989" s="16"/>
      <c r="X1989" s="9"/>
      <c r="Y1989" s="9"/>
      <c r="AA1989" s="16"/>
      <c r="AK1989" s="16"/>
      <c r="AL1989" s="17"/>
      <c r="AN1989" s="16"/>
    </row>
    <row r="1990" spans="9:40" x14ac:dyDescent="0.4">
      <c r="I1990" s="11"/>
      <c r="J1990" s="9"/>
      <c r="K1990" s="9"/>
      <c r="O1990" s="11"/>
      <c r="P1990" s="9"/>
      <c r="Q1990" s="9"/>
      <c r="R1990" s="9"/>
      <c r="S1990" s="9"/>
      <c r="T1990" s="31"/>
      <c r="W1990" s="16"/>
      <c r="X1990" s="9"/>
      <c r="Y1990" s="9"/>
      <c r="AA1990" s="16"/>
      <c r="AK1990" s="16"/>
      <c r="AL1990" s="17"/>
      <c r="AN1990" s="16"/>
    </row>
    <row r="1991" spans="9:40" x14ac:dyDescent="0.4">
      <c r="I1991" s="11"/>
      <c r="J1991" s="9"/>
      <c r="K1991" s="9"/>
      <c r="O1991" s="11"/>
      <c r="P1991" s="9"/>
      <c r="Q1991" s="9"/>
      <c r="R1991" s="9"/>
      <c r="S1991" s="9"/>
      <c r="T1991" s="31"/>
      <c r="W1991" s="16"/>
      <c r="X1991" s="9"/>
      <c r="Y1991" s="9"/>
      <c r="AA1991" s="16"/>
      <c r="AK1991" s="16"/>
      <c r="AL1991" s="17"/>
      <c r="AN1991" s="16"/>
    </row>
    <row r="1992" spans="9:40" x14ac:dyDescent="0.4">
      <c r="I1992" s="11"/>
      <c r="J1992" s="9"/>
      <c r="K1992" s="9"/>
      <c r="O1992" s="11"/>
      <c r="P1992" s="9"/>
      <c r="Q1992" s="9"/>
      <c r="R1992" s="9"/>
      <c r="S1992" s="9"/>
      <c r="T1992" s="31"/>
      <c r="W1992" s="16"/>
      <c r="X1992" s="9"/>
      <c r="Y1992" s="9"/>
      <c r="AA1992" s="16"/>
      <c r="AK1992" s="16"/>
      <c r="AL1992" s="17"/>
      <c r="AN1992" s="16"/>
    </row>
    <row r="1993" spans="9:40" x14ac:dyDescent="0.4">
      <c r="I1993" s="11"/>
      <c r="J1993" s="9"/>
      <c r="K1993" s="9"/>
      <c r="O1993" s="11"/>
      <c r="P1993" s="9"/>
      <c r="Q1993" s="9"/>
      <c r="R1993" s="9"/>
      <c r="S1993" s="9"/>
      <c r="T1993" s="31"/>
      <c r="W1993" s="16"/>
      <c r="X1993" s="9"/>
      <c r="Y1993" s="9"/>
      <c r="AA1993" s="16"/>
      <c r="AK1993" s="16"/>
      <c r="AL1993" s="17"/>
      <c r="AN1993" s="16"/>
    </row>
    <row r="1994" spans="9:40" x14ac:dyDescent="0.4">
      <c r="I1994" s="11"/>
      <c r="J1994" s="9"/>
      <c r="K1994" s="9"/>
      <c r="O1994" s="11"/>
      <c r="P1994" s="9"/>
      <c r="Q1994" s="9"/>
      <c r="R1994" s="9"/>
      <c r="S1994" s="9"/>
      <c r="T1994" s="31"/>
      <c r="W1994" s="16"/>
      <c r="X1994" s="9"/>
      <c r="Y1994" s="9"/>
      <c r="AA1994" s="16"/>
      <c r="AK1994" s="16"/>
      <c r="AL1994" s="17"/>
      <c r="AN1994" s="16"/>
    </row>
    <row r="1995" spans="9:40" x14ac:dyDescent="0.4">
      <c r="I1995" s="11"/>
      <c r="J1995" s="9"/>
      <c r="K1995" s="9"/>
      <c r="O1995" s="11"/>
      <c r="P1995" s="9"/>
      <c r="Q1995" s="9"/>
      <c r="R1995" s="9"/>
      <c r="S1995" s="9"/>
      <c r="T1995" s="31"/>
      <c r="W1995" s="16"/>
      <c r="X1995" s="9"/>
      <c r="Y1995" s="9"/>
      <c r="AA1995" s="16"/>
      <c r="AK1995" s="16"/>
      <c r="AL1995" s="17"/>
      <c r="AN1995" s="16"/>
    </row>
    <row r="1996" spans="9:40" x14ac:dyDescent="0.4">
      <c r="I1996" s="11"/>
      <c r="J1996" s="9"/>
      <c r="K1996" s="9"/>
      <c r="O1996" s="11"/>
      <c r="P1996" s="9"/>
      <c r="Q1996" s="9"/>
      <c r="R1996" s="9"/>
      <c r="S1996" s="9"/>
      <c r="T1996" s="31"/>
      <c r="W1996" s="16"/>
      <c r="X1996" s="9"/>
      <c r="Y1996" s="9"/>
      <c r="AA1996" s="16"/>
      <c r="AK1996" s="16"/>
      <c r="AL1996" s="17"/>
      <c r="AN1996" s="16"/>
    </row>
    <row r="1997" spans="9:40" x14ac:dyDescent="0.4">
      <c r="I1997" s="11"/>
      <c r="J1997" s="9"/>
      <c r="K1997" s="9"/>
      <c r="O1997" s="11"/>
      <c r="P1997" s="9"/>
      <c r="Q1997" s="9"/>
      <c r="R1997" s="9"/>
      <c r="S1997" s="9"/>
      <c r="T1997" s="31"/>
      <c r="W1997" s="16"/>
      <c r="X1997" s="9"/>
      <c r="Y1997" s="9"/>
      <c r="AA1997" s="16"/>
      <c r="AK1997" s="16"/>
      <c r="AL1997" s="17"/>
      <c r="AN1997" s="16"/>
    </row>
    <row r="1998" spans="9:40" x14ac:dyDescent="0.4">
      <c r="I1998" s="11"/>
      <c r="J1998" s="9"/>
      <c r="K1998" s="9"/>
      <c r="O1998" s="11"/>
      <c r="P1998" s="9"/>
      <c r="Q1998" s="9"/>
      <c r="R1998" s="9"/>
      <c r="S1998" s="9"/>
      <c r="T1998" s="31"/>
      <c r="W1998" s="16"/>
      <c r="X1998" s="9"/>
      <c r="Y1998" s="9"/>
      <c r="AA1998" s="16"/>
      <c r="AK1998" s="16"/>
      <c r="AL1998" s="17"/>
      <c r="AN1998" s="16"/>
    </row>
    <row r="1999" spans="9:40" x14ac:dyDescent="0.4">
      <c r="I1999" s="11"/>
      <c r="J1999" s="9"/>
      <c r="K1999" s="9"/>
      <c r="O1999" s="11"/>
      <c r="P1999" s="9"/>
      <c r="Q1999" s="9"/>
      <c r="R1999" s="9"/>
      <c r="S1999" s="9"/>
      <c r="T1999" s="31"/>
      <c r="W1999" s="16"/>
      <c r="X1999" s="9"/>
      <c r="Y1999" s="9"/>
      <c r="AA1999" s="16"/>
      <c r="AK1999" s="16"/>
      <c r="AL1999" s="17"/>
      <c r="AN1999" s="16"/>
    </row>
    <row r="2000" spans="9:40" x14ac:dyDescent="0.4">
      <c r="I2000" s="11"/>
      <c r="J2000" s="9"/>
      <c r="K2000" s="9"/>
      <c r="O2000" s="11"/>
      <c r="P2000" s="9"/>
      <c r="Q2000" s="9"/>
      <c r="R2000" s="9"/>
      <c r="S2000" s="9"/>
      <c r="T2000" s="31"/>
      <c r="W2000" s="16"/>
      <c r="X2000" s="9"/>
      <c r="Y2000" s="9"/>
      <c r="AA2000" s="16"/>
      <c r="AK2000" s="16"/>
      <c r="AL2000" s="17"/>
      <c r="AN2000" s="16"/>
    </row>
    <row r="2001" spans="9:40" x14ac:dyDescent="0.4">
      <c r="I2001" s="11"/>
      <c r="J2001" s="9"/>
      <c r="K2001" s="9"/>
      <c r="O2001" s="11"/>
      <c r="P2001" s="9"/>
      <c r="Q2001" s="9"/>
      <c r="R2001" s="9"/>
      <c r="S2001" s="9"/>
      <c r="T2001" s="31"/>
      <c r="W2001" s="16"/>
      <c r="X2001" s="9"/>
      <c r="Y2001" s="9"/>
      <c r="AA2001" s="16"/>
      <c r="AK2001" s="16"/>
      <c r="AL2001" s="17"/>
      <c r="AN2001" s="16"/>
    </row>
    <row r="2002" spans="9:40" x14ac:dyDescent="0.4">
      <c r="I2002" s="11"/>
      <c r="J2002" s="9"/>
      <c r="K2002" s="9"/>
      <c r="O2002" s="11"/>
      <c r="P2002" s="9"/>
      <c r="Q2002" s="9"/>
      <c r="R2002" s="9"/>
      <c r="S2002" s="9"/>
      <c r="T2002" s="31"/>
      <c r="W2002" s="16"/>
      <c r="X2002" s="9"/>
      <c r="Y2002" s="9"/>
      <c r="AA2002" s="16"/>
      <c r="AK2002" s="16"/>
      <c r="AL2002" s="17"/>
      <c r="AN2002" s="16"/>
    </row>
    <row r="2003" spans="9:40" x14ac:dyDescent="0.4">
      <c r="I2003" s="11"/>
      <c r="J2003" s="9"/>
      <c r="K2003" s="9"/>
      <c r="O2003" s="11"/>
      <c r="P2003" s="9"/>
      <c r="Q2003" s="9"/>
      <c r="R2003" s="9"/>
      <c r="S2003" s="9"/>
      <c r="T2003" s="31"/>
      <c r="W2003" s="16"/>
      <c r="X2003" s="9"/>
      <c r="Y2003" s="9"/>
      <c r="AA2003" s="16"/>
      <c r="AK2003" s="16"/>
      <c r="AL2003" s="17"/>
      <c r="AN2003" s="16"/>
    </row>
    <row r="2004" spans="9:40" x14ac:dyDescent="0.4">
      <c r="I2004" s="11"/>
      <c r="J2004" s="9"/>
      <c r="K2004" s="9"/>
      <c r="O2004" s="11"/>
      <c r="P2004" s="9"/>
      <c r="Q2004" s="9"/>
      <c r="R2004" s="9"/>
      <c r="S2004" s="9"/>
      <c r="T2004" s="31"/>
      <c r="W2004" s="16"/>
      <c r="X2004" s="9"/>
      <c r="Y2004" s="9"/>
      <c r="AA2004" s="16"/>
      <c r="AK2004" s="16"/>
      <c r="AL2004" s="17"/>
      <c r="AN2004" s="16"/>
    </row>
    <row r="2005" spans="9:40" x14ac:dyDescent="0.4">
      <c r="I2005" s="11"/>
      <c r="J2005" s="9"/>
      <c r="K2005" s="9"/>
      <c r="O2005" s="11"/>
      <c r="P2005" s="9"/>
      <c r="Q2005" s="9"/>
      <c r="R2005" s="9"/>
      <c r="S2005" s="9"/>
      <c r="T2005" s="31"/>
      <c r="W2005" s="16"/>
      <c r="X2005" s="9"/>
      <c r="Y2005" s="9"/>
      <c r="AA2005" s="16"/>
      <c r="AK2005" s="16"/>
      <c r="AL2005" s="17"/>
      <c r="AN2005" s="16"/>
    </row>
    <row r="2006" spans="9:40" x14ac:dyDescent="0.4">
      <c r="I2006" s="11"/>
      <c r="J2006" s="9"/>
      <c r="K2006" s="9"/>
      <c r="O2006" s="11"/>
      <c r="P2006" s="9"/>
      <c r="Q2006" s="9"/>
      <c r="R2006" s="9"/>
      <c r="S2006" s="9"/>
      <c r="T2006" s="31"/>
      <c r="W2006" s="16"/>
      <c r="X2006" s="9"/>
      <c r="Y2006" s="9"/>
      <c r="AA2006" s="16"/>
      <c r="AK2006" s="16"/>
      <c r="AL2006" s="17"/>
      <c r="AN2006" s="16"/>
    </row>
    <row r="2007" spans="9:40" x14ac:dyDescent="0.4">
      <c r="I2007" s="11"/>
      <c r="J2007" s="9"/>
      <c r="K2007" s="9"/>
      <c r="O2007" s="11"/>
      <c r="P2007" s="9"/>
      <c r="Q2007" s="9"/>
      <c r="R2007" s="9"/>
      <c r="S2007" s="9"/>
      <c r="T2007" s="31"/>
      <c r="W2007" s="16"/>
      <c r="X2007" s="9"/>
      <c r="Y2007" s="9"/>
      <c r="AA2007" s="16"/>
      <c r="AK2007" s="16"/>
      <c r="AL2007" s="17"/>
      <c r="AN2007" s="16"/>
    </row>
    <row r="2008" spans="9:40" x14ac:dyDescent="0.4">
      <c r="I2008" s="11"/>
      <c r="J2008" s="9"/>
      <c r="K2008" s="9"/>
      <c r="O2008" s="11"/>
      <c r="P2008" s="9"/>
      <c r="Q2008" s="9"/>
      <c r="R2008" s="9"/>
      <c r="S2008" s="9"/>
      <c r="T2008" s="31"/>
      <c r="W2008" s="16"/>
      <c r="X2008" s="9"/>
      <c r="Y2008" s="9"/>
      <c r="AA2008" s="16"/>
      <c r="AK2008" s="16"/>
      <c r="AL2008" s="17"/>
      <c r="AN2008" s="16"/>
    </row>
    <row r="2009" spans="9:40" x14ac:dyDescent="0.4">
      <c r="I2009" s="11"/>
      <c r="J2009" s="9"/>
      <c r="K2009" s="9"/>
      <c r="O2009" s="11"/>
      <c r="P2009" s="9"/>
      <c r="Q2009" s="9"/>
      <c r="R2009" s="9"/>
      <c r="S2009" s="9"/>
      <c r="T2009" s="31"/>
      <c r="W2009" s="16"/>
      <c r="X2009" s="9"/>
      <c r="Y2009" s="9"/>
      <c r="AA2009" s="16"/>
      <c r="AK2009" s="16"/>
      <c r="AL2009" s="17"/>
      <c r="AN2009" s="16"/>
    </row>
    <row r="2010" spans="9:40" x14ac:dyDescent="0.4">
      <c r="I2010" s="11"/>
      <c r="J2010" s="9"/>
      <c r="K2010" s="9"/>
      <c r="O2010" s="11"/>
      <c r="P2010" s="9"/>
      <c r="Q2010" s="9"/>
      <c r="R2010" s="9"/>
      <c r="S2010" s="9"/>
      <c r="T2010" s="31"/>
      <c r="W2010" s="16"/>
      <c r="X2010" s="9"/>
      <c r="Y2010" s="9"/>
      <c r="AA2010" s="16"/>
      <c r="AK2010" s="16"/>
      <c r="AL2010" s="17"/>
      <c r="AN2010" s="16"/>
    </row>
    <row r="2011" spans="9:40" x14ac:dyDescent="0.4">
      <c r="I2011" s="11"/>
      <c r="J2011" s="9"/>
      <c r="K2011" s="9"/>
      <c r="O2011" s="11"/>
      <c r="P2011" s="9"/>
      <c r="Q2011" s="9"/>
      <c r="R2011" s="9"/>
      <c r="S2011" s="9"/>
      <c r="T2011" s="31"/>
      <c r="W2011" s="16"/>
      <c r="X2011" s="9"/>
      <c r="Y2011" s="9"/>
      <c r="AA2011" s="16"/>
      <c r="AK2011" s="16"/>
      <c r="AL2011" s="17"/>
      <c r="AN2011" s="16"/>
    </row>
    <row r="2012" spans="9:40" x14ac:dyDescent="0.4">
      <c r="I2012" s="11"/>
      <c r="J2012" s="9"/>
      <c r="K2012" s="9"/>
      <c r="O2012" s="11"/>
      <c r="P2012" s="9"/>
      <c r="Q2012" s="9"/>
      <c r="R2012" s="9"/>
      <c r="S2012" s="9"/>
      <c r="T2012" s="31"/>
      <c r="W2012" s="16"/>
      <c r="X2012" s="9"/>
      <c r="Y2012" s="9"/>
      <c r="AA2012" s="16"/>
      <c r="AK2012" s="16"/>
      <c r="AL2012" s="17"/>
      <c r="AN2012" s="16"/>
    </row>
    <row r="2013" spans="9:40" x14ac:dyDescent="0.4">
      <c r="I2013" s="11"/>
      <c r="J2013" s="9"/>
      <c r="K2013" s="9"/>
      <c r="O2013" s="11"/>
      <c r="P2013" s="9"/>
      <c r="Q2013" s="9"/>
      <c r="R2013" s="9"/>
      <c r="S2013" s="9"/>
      <c r="T2013" s="31"/>
      <c r="W2013" s="16"/>
      <c r="X2013" s="9"/>
      <c r="Y2013" s="9"/>
      <c r="AA2013" s="16"/>
      <c r="AK2013" s="16"/>
      <c r="AL2013" s="17"/>
      <c r="AN2013" s="16"/>
    </row>
    <row r="2014" spans="9:40" x14ac:dyDescent="0.4">
      <c r="I2014" s="11"/>
      <c r="J2014" s="9"/>
      <c r="K2014" s="9"/>
      <c r="O2014" s="11"/>
      <c r="P2014" s="9"/>
      <c r="Q2014" s="9"/>
      <c r="R2014" s="9"/>
      <c r="S2014" s="9"/>
      <c r="T2014" s="31"/>
      <c r="W2014" s="16"/>
      <c r="X2014" s="9"/>
      <c r="Y2014" s="9"/>
      <c r="AA2014" s="16"/>
      <c r="AK2014" s="16"/>
      <c r="AL2014" s="17"/>
      <c r="AN2014" s="16"/>
    </row>
    <row r="2015" spans="9:40" x14ac:dyDescent="0.4">
      <c r="I2015" s="11"/>
      <c r="J2015" s="9"/>
      <c r="K2015" s="9"/>
      <c r="O2015" s="11"/>
      <c r="P2015" s="9"/>
      <c r="Q2015" s="9"/>
      <c r="R2015" s="9"/>
      <c r="S2015" s="9"/>
      <c r="T2015" s="31"/>
      <c r="W2015" s="16"/>
      <c r="X2015" s="9"/>
      <c r="Y2015" s="9"/>
      <c r="AA2015" s="16"/>
      <c r="AK2015" s="16"/>
      <c r="AL2015" s="17"/>
      <c r="AN2015" s="16"/>
    </row>
    <row r="2016" spans="9:40" x14ac:dyDescent="0.4">
      <c r="I2016" s="11"/>
      <c r="J2016" s="9"/>
      <c r="K2016" s="9"/>
      <c r="O2016" s="11"/>
      <c r="P2016" s="9"/>
      <c r="Q2016" s="9"/>
      <c r="R2016" s="9"/>
      <c r="S2016" s="9"/>
      <c r="T2016" s="31"/>
      <c r="W2016" s="16"/>
      <c r="X2016" s="9"/>
      <c r="Y2016" s="9"/>
      <c r="AA2016" s="16"/>
      <c r="AK2016" s="16"/>
      <c r="AL2016" s="17"/>
      <c r="AN2016" s="16"/>
    </row>
    <row r="2017" spans="9:40" x14ac:dyDescent="0.4">
      <c r="I2017" s="11"/>
      <c r="J2017" s="9"/>
      <c r="K2017" s="9"/>
      <c r="O2017" s="11"/>
      <c r="P2017" s="9"/>
      <c r="Q2017" s="9"/>
      <c r="R2017" s="9"/>
      <c r="S2017" s="9"/>
      <c r="T2017" s="31"/>
      <c r="W2017" s="16"/>
      <c r="X2017" s="9"/>
      <c r="Y2017" s="9"/>
      <c r="AA2017" s="16"/>
      <c r="AK2017" s="16"/>
      <c r="AL2017" s="17"/>
      <c r="AN2017" s="16"/>
    </row>
    <row r="2018" spans="9:40" x14ac:dyDescent="0.4">
      <c r="I2018" s="11"/>
      <c r="J2018" s="9"/>
      <c r="K2018" s="9"/>
      <c r="O2018" s="11"/>
      <c r="P2018" s="9"/>
      <c r="Q2018" s="9"/>
      <c r="R2018" s="9"/>
      <c r="S2018" s="9"/>
      <c r="T2018" s="31"/>
      <c r="W2018" s="16"/>
      <c r="X2018" s="9"/>
      <c r="Y2018" s="9"/>
      <c r="AA2018" s="16"/>
      <c r="AK2018" s="16"/>
      <c r="AL2018" s="17"/>
      <c r="AN2018" s="16"/>
    </row>
    <row r="2019" spans="9:40" x14ac:dyDescent="0.4">
      <c r="I2019" s="11"/>
      <c r="J2019" s="9"/>
      <c r="K2019" s="9"/>
      <c r="O2019" s="11"/>
      <c r="P2019" s="9"/>
      <c r="Q2019" s="9"/>
      <c r="R2019" s="9"/>
      <c r="S2019" s="9"/>
      <c r="T2019" s="31"/>
      <c r="W2019" s="16"/>
      <c r="X2019" s="9"/>
      <c r="Y2019" s="9"/>
      <c r="AA2019" s="16"/>
      <c r="AK2019" s="16"/>
      <c r="AL2019" s="17"/>
      <c r="AN2019" s="16"/>
    </row>
    <row r="2020" spans="9:40" x14ac:dyDescent="0.4">
      <c r="I2020" s="11"/>
      <c r="J2020" s="9"/>
      <c r="K2020" s="9"/>
      <c r="O2020" s="11"/>
      <c r="P2020" s="9"/>
      <c r="Q2020" s="9"/>
      <c r="R2020" s="9"/>
      <c r="S2020" s="9"/>
      <c r="T2020" s="31"/>
      <c r="W2020" s="16"/>
      <c r="X2020" s="9"/>
      <c r="Y2020" s="9"/>
      <c r="AA2020" s="16"/>
      <c r="AK2020" s="16"/>
      <c r="AL2020" s="17"/>
      <c r="AN2020" s="16"/>
    </row>
    <row r="2021" spans="9:40" x14ac:dyDescent="0.4">
      <c r="I2021" s="11"/>
      <c r="J2021" s="9"/>
      <c r="K2021" s="9"/>
      <c r="O2021" s="11"/>
      <c r="P2021" s="9"/>
      <c r="Q2021" s="9"/>
      <c r="R2021" s="9"/>
      <c r="S2021" s="9"/>
      <c r="T2021" s="31"/>
      <c r="W2021" s="16"/>
      <c r="X2021" s="9"/>
      <c r="Y2021" s="9"/>
      <c r="AA2021" s="16"/>
      <c r="AK2021" s="16"/>
      <c r="AL2021" s="17"/>
      <c r="AN2021" s="16"/>
    </row>
    <row r="2022" spans="9:40" x14ac:dyDescent="0.4">
      <c r="I2022" s="11"/>
      <c r="J2022" s="9"/>
      <c r="K2022" s="9"/>
      <c r="O2022" s="11"/>
      <c r="P2022" s="9"/>
      <c r="Q2022" s="9"/>
      <c r="R2022" s="9"/>
      <c r="S2022" s="9"/>
      <c r="T2022" s="31"/>
      <c r="W2022" s="16"/>
      <c r="X2022" s="9"/>
      <c r="Y2022" s="9"/>
      <c r="AA2022" s="16"/>
      <c r="AK2022" s="16"/>
      <c r="AL2022" s="17"/>
      <c r="AN2022" s="16"/>
    </row>
    <row r="2023" spans="9:40" x14ac:dyDescent="0.4">
      <c r="I2023" s="11"/>
      <c r="J2023" s="9"/>
      <c r="K2023" s="9"/>
      <c r="O2023" s="11"/>
      <c r="P2023" s="9"/>
      <c r="Q2023" s="9"/>
      <c r="R2023" s="9"/>
      <c r="S2023" s="9"/>
      <c r="T2023" s="31"/>
      <c r="W2023" s="16"/>
      <c r="X2023" s="9"/>
      <c r="Y2023" s="9"/>
      <c r="AA2023" s="16"/>
      <c r="AK2023" s="16"/>
      <c r="AL2023" s="17"/>
      <c r="AN2023" s="16"/>
    </row>
    <row r="2024" spans="9:40" x14ac:dyDescent="0.4">
      <c r="I2024" s="11"/>
      <c r="J2024" s="9"/>
      <c r="K2024" s="9"/>
      <c r="O2024" s="11"/>
      <c r="P2024" s="9"/>
      <c r="Q2024" s="9"/>
      <c r="R2024" s="9"/>
      <c r="S2024" s="9"/>
      <c r="T2024" s="31"/>
      <c r="W2024" s="16"/>
      <c r="X2024" s="9"/>
      <c r="Y2024" s="9"/>
      <c r="AA2024" s="16"/>
      <c r="AK2024" s="16"/>
      <c r="AL2024" s="17"/>
      <c r="AN2024" s="16"/>
    </row>
    <row r="2025" spans="9:40" x14ac:dyDescent="0.4">
      <c r="I2025" s="11"/>
      <c r="J2025" s="9"/>
      <c r="K2025" s="9"/>
      <c r="O2025" s="11"/>
      <c r="P2025" s="9"/>
      <c r="Q2025" s="9"/>
      <c r="R2025" s="9"/>
      <c r="S2025" s="9"/>
      <c r="T2025" s="31"/>
      <c r="W2025" s="16"/>
      <c r="X2025" s="9"/>
      <c r="Y2025" s="9"/>
      <c r="AA2025" s="16"/>
      <c r="AK2025" s="16"/>
      <c r="AL2025" s="17"/>
      <c r="AN2025" s="16"/>
    </row>
    <row r="2026" spans="9:40" x14ac:dyDescent="0.4">
      <c r="I2026" s="11"/>
      <c r="J2026" s="9"/>
      <c r="K2026" s="9"/>
      <c r="O2026" s="11"/>
      <c r="P2026" s="9"/>
      <c r="Q2026" s="9"/>
      <c r="R2026" s="9"/>
      <c r="S2026" s="9"/>
      <c r="T2026" s="31"/>
      <c r="W2026" s="16"/>
      <c r="X2026" s="9"/>
      <c r="Y2026" s="9"/>
      <c r="AA2026" s="16"/>
      <c r="AK2026" s="16"/>
      <c r="AL2026" s="17"/>
      <c r="AN2026" s="16"/>
    </row>
    <row r="2027" spans="9:40" x14ac:dyDescent="0.4">
      <c r="I2027" s="11"/>
      <c r="J2027" s="9"/>
      <c r="K2027" s="9"/>
      <c r="O2027" s="11"/>
      <c r="P2027" s="9"/>
      <c r="Q2027" s="9"/>
      <c r="R2027" s="9"/>
      <c r="S2027" s="9"/>
      <c r="T2027" s="31"/>
      <c r="W2027" s="16"/>
      <c r="X2027" s="9"/>
      <c r="Y2027" s="9"/>
      <c r="AA2027" s="16"/>
      <c r="AK2027" s="16"/>
      <c r="AL2027" s="17"/>
      <c r="AN2027" s="16"/>
    </row>
    <row r="2028" spans="9:40" x14ac:dyDescent="0.4">
      <c r="I2028" s="11"/>
      <c r="J2028" s="9"/>
      <c r="K2028" s="9"/>
      <c r="O2028" s="11"/>
      <c r="P2028" s="9"/>
      <c r="Q2028" s="9"/>
      <c r="R2028" s="9"/>
      <c r="S2028" s="9"/>
      <c r="T2028" s="31"/>
      <c r="W2028" s="16"/>
      <c r="X2028" s="9"/>
      <c r="Y2028" s="9"/>
      <c r="AA2028" s="16"/>
      <c r="AK2028" s="16"/>
      <c r="AL2028" s="17"/>
      <c r="AN2028" s="16"/>
    </row>
    <row r="2029" spans="9:40" x14ac:dyDescent="0.4">
      <c r="I2029" s="11"/>
      <c r="J2029" s="9"/>
      <c r="K2029" s="9"/>
      <c r="O2029" s="11"/>
      <c r="P2029" s="9"/>
      <c r="Q2029" s="9"/>
      <c r="R2029" s="9"/>
      <c r="S2029" s="9"/>
      <c r="T2029" s="31"/>
      <c r="W2029" s="16"/>
      <c r="X2029" s="9"/>
      <c r="Y2029" s="9"/>
      <c r="AA2029" s="16"/>
      <c r="AK2029" s="16"/>
      <c r="AL2029" s="17"/>
      <c r="AN2029" s="16"/>
    </row>
    <row r="2030" spans="9:40" x14ac:dyDescent="0.4">
      <c r="I2030" s="11"/>
      <c r="J2030" s="9"/>
      <c r="K2030" s="9"/>
      <c r="O2030" s="11"/>
      <c r="P2030" s="9"/>
      <c r="Q2030" s="9"/>
      <c r="R2030" s="9"/>
      <c r="S2030" s="9"/>
      <c r="T2030" s="31"/>
      <c r="W2030" s="16"/>
      <c r="X2030" s="9"/>
      <c r="Y2030" s="9"/>
      <c r="AA2030" s="16"/>
      <c r="AK2030" s="16"/>
      <c r="AL2030" s="17"/>
      <c r="AN2030" s="16"/>
    </row>
    <row r="2031" spans="9:40" x14ac:dyDescent="0.4">
      <c r="I2031" s="11"/>
      <c r="J2031" s="9"/>
      <c r="K2031" s="9"/>
      <c r="O2031" s="11"/>
      <c r="P2031" s="9"/>
      <c r="Q2031" s="9"/>
      <c r="R2031" s="9"/>
      <c r="S2031" s="9"/>
      <c r="T2031" s="31"/>
      <c r="W2031" s="16"/>
      <c r="X2031" s="9"/>
      <c r="Y2031" s="9"/>
      <c r="AA2031" s="16"/>
      <c r="AK2031" s="16"/>
      <c r="AL2031" s="17"/>
      <c r="AN2031" s="16"/>
    </row>
    <row r="2032" spans="9:40" x14ac:dyDescent="0.4">
      <c r="I2032" s="11"/>
      <c r="J2032" s="9"/>
      <c r="K2032" s="9"/>
      <c r="O2032" s="11"/>
      <c r="P2032" s="9"/>
      <c r="Q2032" s="9"/>
      <c r="R2032" s="9"/>
      <c r="S2032" s="9"/>
      <c r="T2032" s="31"/>
      <c r="W2032" s="16"/>
      <c r="X2032" s="9"/>
      <c r="Y2032" s="9"/>
      <c r="AA2032" s="16"/>
      <c r="AK2032" s="16"/>
      <c r="AL2032" s="17"/>
      <c r="AN2032" s="16"/>
    </row>
    <row r="2033" spans="9:40" x14ac:dyDescent="0.4">
      <c r="I2033" s="11"/>
      <c r="J2033" s="9"/>
      <c r="K2033" s="9"/>
      <c r="O2033" s="11"/>
      <c r="P2033" s="9"/>
      <c r="Q2033" s="9"/>
      <c r="R2033" s="9"/>
      <c r="S2033" s="9"/>
      <c r="T2033" s="31"/>
      <c r="W2033" s="16"/>
      <c r="X2033" s="9"/>
      <c r="Y2033" s="9"/>
      <c r="AA2033" s="16"/>
      <c r="AK2033" s="16"/>
      <c r="AL2033" s="17"/>
      <c r="AN2033" s="16"/>
    </row>
    <row r="2034" spans="9:40" x14ac:dyDescent="0.4">
      <c r="I2034" s="11"/>
      <c r="J2034" s="9"/>
      <c r="K2034" s="9"/>
      <c r="O2034" s="11"/>
      <c r="P2034" s="9"/>
      <c r="Q2034" s="9"/>
      <c r="R2034" s="9"/>
      <c r="S2034" s="9"/>
      <c r="T2034" s="31"/>
      <c r="W2034" s="16"/>
      <c r="X2034" s="9"/>
      <c r="Y2034" s="9"/>
      <c r="AA2034" s="16"/>
      <c r="AK2034" s="16"/>
      <c r="AL2034" s="17"/>
      <c r="AN2034" s="16"/>
    </row>
    <row r="2035" spans="9:40" x14ac:dyDescent="0.4">
      <c r="I2035" s="11"/>
      <c r="J2035" s="9"/>
      <c r="K2035" s="9"/>
      <c r="O2035" s="11"/>
      <c r="P2035" s="9"/>
      <c r="Q2035" s="9"/>
      <c r="R2035" s="9"/>
      <c r="S2035" s="9"/>
      <c r="T2035" s="31"/>
      <c r="W2035" s="16"/>
      <c r="X2035" s="9"/>
      <c r="Y2035" s="9"/>
      <c r="AA2035" s="16"/>
      <c r="AK2035" s="16"/>
      <c r="AL2035" s="17"/>
      <c r="AN2035" s="16"/>
    </row>
    <row r="2036" spans="9:40" x14ac:dyDescent="0.4">
      <c r="I2036" s="11"/>
      <c r="J2036" s="9"/>
      <c r="K2036" s="9"/>
      <c r="O2036" s="11"/>
      <c r="P2036" s="9"/>
      <c r="Q2036" s="9"/>
      <c r="R2036" s="9"/>
      <c r="S2036" s="9"/>
      <c r="T2036" s="31"/>
      <c r="W2036" s="16"/>
      <c r="X2036" s="9"/>
      <c r="Y2036" s="9"/>
      <c r="AA2036" s="16"/>
      <c r="AK2036" s="16"/>
      <c r="AL2036" s="17"/>
      <c r="AN2036" s="16"/>
    </row>
    <row r="2037" spans="9:40" x14ac:dyDescent="0.4">
      <c r="I2037" s="11"/>
      <c r="J2037" s="9"/>
      <c r="K2037" s="9"/>
      <c r="O2037" s="11"/>
      <c r="P2037" s="9"/>
      <c r="Q2037" s="9"/>
      <c r="R2037" s="9"/>
      <c r="S2037" s="9"/>
      <c r="T2037" s="31"/>
      <c r="W2037" s="16"/>
      <c r="X2037" s="9"/>
      <c r="Y2037" s="9"/>
      <c r="AA2037" s="16"/>
      <c r="AK2037" s="16"/>
      <c r="AL2037" s="17"/>
      <c r="AN2037" s="16"/>
    </row>
    <row r="2038" spans="9:40" x14ac:dyDescent="0.4">
      <c r="I2038" s="11"/>
      <c r="J2038" s="9"/>
      <c r="K2038" s="9"/>
      <c r="O2038" s="11"/>
      <c r="P2038" s="9"/>
      <c r="Q2038" s="9"/>
      <c r="R2038" s="9"/>
      <c r="S2038" s="9"/>
      <c r="T2038" s="31"/>
      <c r="W2038" s="16"/>
      <c r="X2038" s="9"/>
      <c r="Y2038" s="9"/>
      <c r="AA2038" s="16"/>
      <c r="AK2038" s="16"/>
      <c r="AL2038" s="17"/>
      <c r="AN2038" s="16"/>
    </row>
    <row r="2039" spans="9:40" x14ac:dyDescent="0.4">
      <c r="I2039" s="11"/>
      <c r="J2039" s="9"/>
      <c r="K2039" s="9"/>
      <c r="O2039" s="11"/>
      <c r="P2039" s="9"/>
      <c r="Q2039" s="9"/>
      <c r="R2039" s="9"/>
      <c r="S2039" s="9"/>
      <c r="T2039" s="31"/>
      <c r="W2039" s="16"/>
      <c r="X2039" s="9"/>
      <c r="Y2039" s="9"/>
      <c r="AA2039" s="16"/>
      <c r="AK2039" s="16"/>
      <c r="AL2039" s="17"/>
      <c r="AN2039" s="16"/>
    </row>
    <row r="2040" spans="9:40" x14ac:dyDescent="0.4">
      <c r="I2040" s="11"/>
      <c r="J2040" s="9"/>
      <c r="K2040" s="9"/>
      <c r="O2040" s="11"/>
      <c r="P2040" s="9"/>
      <c r="Q2040" s="9"/>
      <c r="R2040" s="9"/>
      <c r="S2040" s="9"/>
      <c r="T2040" s="31"/>
      <c r="W2040" s="16"/>
      <c r="X2040" s="9"/>
      <c r="Y2040" s="9"/>
      <c r="AA2040" s="16"/>
      <c r="AK2040" s="16"/>
      <c r="AL2040" s="17"/>
      <c r="AN2040" s="16"/>
    </row>
    <row r="2041" spans="9:40" x14ac:dyDescent="0.4">
      <c r="I2041" s="11"/>
      <c r="J2041" s="9"/>
      <c r="K2041" s="9"/>
      <c r="O2041" s="11"/>
      <c r="P2041" s="9"/>
      <c r="Q2041" s="9"/>
      <c r="R2041" s="9"/>
      <c r="S2041" s="9"/>
      <c r="T2041" s="31"/>
      <c r="W2041" s="16"/>
      <c r="X2041" s="9"/>
      <c r="Y2041" s="9"/>
      <c r="AA2041" s="16"/>
      <c r="AK2041" s="16"/>
      <c r="AL2041" s="17"/>
      <c r="AN2041" s="16"/>
    </row>
    <row r="2042" spans="9:40" x14ac:dyDescent="0.4">
      <c r="I2042" s="11"/>
      <c r="J2042" s="9"/>
      <c r="K2042" s="9"/>
      <c r="O2042" s="11"/>
      <c r="P2042" s="9"/>
      <c r="Q2042" s="9"/>
      <c r="R2042" s="9"/>
      <c r="S2042" s="9"/>
      <c r="T2042" s="31"/>
      <c r="W2042" s="16"/>
      <c r="X2042" s="9"/>
      <c r="Y2042" s="9"/>
      <c r="AA2042" s="16"/>
      <c r="AK2042" s="16"/>
      <c r="AL2042" s="17"/>
      <c r="AN2042" s="16"/>
    </row>
    <row r="2043" spans="9:40" x14ac:dyDescent="0.4">
      <c r="I2043" s="11"/>
      <c r="J2043" s="9"/>
      <c r="K2043" s="9"/>
      <c r="O2043" s="11"/>
      <c r="P2043" s="9"/>
      <c r="Q2043" s="9"/>
      <c r="R2043" s="9"/>
      <c r="S2043" s="9"/>
      <c r="T2043" s="31"/>
      <c r="W2043" s="16"/>
      <c r="X2043" s="9"/>
      <c r="Y2043" s="9"/>
      <c r="AA2043" s="16"/>
      <c r="AK2043" s="16"/>
      <c r="AL2043" s="17"/>
      <c r="AN2043" s="16"/>
    </row>
    <row r="2044" spans="9:40" x14ac:dyDescent="0.4">
      <c r="I2044" s="11"/>
      <c r="J2044" s="9"/>
      <c r="K2044" s="9"/>
      <c r="O2044" s="11"/>
      <c r="P2044" s="9"/>
      <c r="Q2044" s="9"/>
      <c r="R2044" s="9"/>
      <c r="S2044" s="9"/>
      <c r="T2044" s="31"/>
      <c r="W2044" s="16"/>
      <c r="X2044" s="9"/>
      <c r="Y2044" s="9"/>
      <c r="AA2044" s="16"/>
      <c r="AK2044" s="16"/>
      <c r="AL2044" s="17"/>
      <c r="AN2044" s="16"/>
    </row>
    <row r="2045" spans="9:40" x14ac:dyDescent="0.4">
      <c r="I2045" s="11"/>
      <c r="J2045" s="9"/>
      <c r="K2045" s="9"/>
      <c r="O2045" s="11"/>
      <c r="P2045" s="9"/>
      <c r="Q2045" s="9"/>
      <c r="R2045" s="9"/>
      <c r="S2045" s="9"/>
      <c r="T2045" s="31"/>
      <c r="W2045" s="16"/>
      <c r="X2045" s="9"/>
      <c r="Y2045" s="9"/>
      <c r="AA2045" s="16"/>
      <c r="AK2045" s="16"/>
      <c r="AL2045" s="17"/>
      <c r="AN2045" s="16"/>
    </row>
    <row r="2046" spans="9:40" x14ac:dyDescent="0.4">
      <c r="I2046" s="11"/>
      <c r="J2046" s="9"/>
      <c r="K2046" s="9"/>
      <c r="O2046" s="11"/>
      <c r="P2046" s="9"/>
      <c r="Q2046" s="9"/>
      <c r="R2046" s="9"/>
      <c r="S2046" s="9"/>
      <c r="T2046" s="31"/>
      <c r="W2046" s="16"/>
      <c r="X2046" s="9"/>
      <c r="Y2046" s="9"/>
      <c r="AA2046" s="16"/>
      <c r="AK2046" s="16"/>
      <c r="AL2046" s="17"/>
      <c r="AN2046" s="16"/>
    </row>
    <row r="2047" spans="9:40" x14ac:dyDescent="0.4">
      <c r="I2047" s="11"/>
      <c r="J2047" s="9"/>
      <c r="K2047" s="9"/>
      <c r="O2047" s="11"/>
      <c r="P2047" s="9"/>
      <c r="Q2047" s="9"/>
      <c r="R2047" s="9"/>
      <c r="S2047" s="9"/>
      <c r="T2047" s="31"/>
      <c r="W2047" s="16"/>
      <c r="X2047" s="9"/>
      <c r="Y2047" s="9"/>
      <c r="AA2047" s="16"/>
      <c r="AK2047" s="16"/>
      <c r="AL2047" s="17"/>
      <c r="AN2047" s="16"/>
    </row>
    <row r="2048" spans="9:40" x14ac:dyDescent="0.4">
      <c r="I2048" s="11"/>
      <c r="J2048" s="9"/>
      <c r="K2048" s="9"/>
      <c r="O2048" s="11"/>
      <c r="P2048" s="9"/>
      <c r="Q2048" s="9"/>
      <c r="R2048" s="9"/>
      <c r="S2048" s="9"/>
      <c r="T2048" s="31"/>
      <c r="W2048" s="16"/>
      <c r="X2048" s="9"/>
      <c r="Y2048" s="9"/>
      <c r="AA2048" s="16"/>
      <c r="AK2048" s="16"/>
      <c r="AL2048" s="17"/>
      <c r="AN2048" s="16"/>
    </row>
    <row r="2049" spans="9:40" x14ac:dyDescent="0.4">
      <c r="I2049" s="11"/>
      <c r="J2049" s="9"/>
      <c r="K2049" s="9"/>
      <c r="O2049" s="11"/>
      <c r="P2049" s="9"/>
      <c r="Q2049" s="9"/>
      <c r="R2049" s="9"/>
      <c r="S2049" s="9"/>
      <c r="T2049" s="31"/>
      <c r="W2049" s="16"/>
      <c r="X2049" s="9"/>
      <c r="Y2049" s="9"/>
      <c r="AA2049" s="16"/>
      <c r="AK2049" s="16"/>
      <c r="AL2049" s="17"/>
      <c r="AN2049" s="16"/>
    </row>
    <row r="2050" spans="9:40" x14ac:dyDescent="0.4">
      <c r="I2050" s="11"/>
      <c r="J2050" s="9"/>
      <c r="K2050" s="9"/>
      <c r="O2050" s="11"/>
      <c r="P2050" s="9"/>
      <c r="Q2050" s="9"/>
      <c r="R2050" s="9"/>
      <c r="S2050" s="9"/>
      <c r="T2050" s="31"/>
      <c r="W2050" s="16"/>
      <c r="X2050" s="9"/>
      <c r="Y2050" s="9"/>
      <c r="AA2050" s="16"/>
      <c r="AK2050" s="16"/>
      <c r="AL2050" s="17"/>
      <c r="AN2050" s="16"/>
    </row>
    <row r="2051" spans="9:40" x14ac:dyDescent="0.4">
      <c r="I2051" s="11"/>
      <c r="J2051" s="9"/>
      <c r="K2051" s="9"/>
      <c r="O2051" s="11"/>
      <c r="P2051" s="9"/>
      <c r="Q2051" s="9"/>
      <c r="R2051" s="9"/>
      <c r="S2051" s="9"/>
      <c r="T2051" s="31"/>
      <c r="W2051" s="16"/>
      <c r="X2051" s="9"/>
      <c r="Y2051" s="9"/>
      <c r="AA2051" s="16"/>
      <c r="AK2051" s="16"/>
      <c r="AL2051" s="17"/>
      <c r="AN2051" s="16"/>
    </row>
    <row r="2052" spans="9:40" x14ac:dyDescent="0.4">
      <c r="I2052" s="11"/>
      <c r="J2052" s="9"/>
      <c r="K2052" s="9"/>
      <c r="O2052" s="11"/>
      <c r="P2052" s="9"/>
      <c r="Q2052" s="9"/>
      <c r="R2052" s="9"/>
      <c r="S2052" s="9"/>
      <c r="T2052" s="31"/>
      <c r="W2052" s="16"/>
      <c r="X2052" s="9"/>
      <c r="Y2052" s="9"/>
      <c r="AA2052" s="16"/>
      <c r="AK2052" s="16"/>
      <c r="AL2052" s="17"/>
      <c r="AN2052" s="16"/>
    </row>
    <row r="2053" spans="9:40" x14ac:dyDescent="0.4">
      <c r="I2053" s="11"/>
      <c r="J2053" s="9"/>
      <c r="K2053" s="9"/>
      <c r="O2053" s="11"/>
      <c r="P2053" s="9"/>
      <c r="Q2053" s="9"/>
      <c r="R2053" s="9"/>
      <c r="S2053" s="9"/>
      <c r="T2053" s="31"/>
      <c r="W2053" s="16"/>
      <c r="X2053" s="9"/>
      <c r="Y2053" s="9"/>
      <c r="AA2053" s="16"/>
      <c r="AK2053" s="16"/>
      <c r="AL2053" s="17"/>
      <c r="AN2053" s="16"/>
    </row>
    <row r="2054" spans="9:40" x14ac:dyDescent="0.4">
      <c r="I2054" s="11"/>
      <c r="J2054" s="9"/>
      <c r="K2054" s="9"/>
      <c r="O2054" s="11"/>
      <c r="P2054" s="9"/>
      <c r="Q2054" s="9"/>
      <c r="R2054" s="9"/>
      <c r="S2054" s="9"/>
      <c r="T2054" s="31"/>
      <c r="W2054" s="16"/>
      <c r="X2054" s="9"/>
      <c r="Y2054" s="9"/>
      <c r="AA2054" s="16"/>
      <c r="AK2054" s="16"/>
      <c r="AL2054" s="17"/>
      <c r="AN2054" s="16"/>
    </row>
    <row r="2055" spans="9:40" x14ac:dyDescent="0.4">
      <c r="I2055" s="11"/>
      <c r="J2055" s="9"/>
      <c r="K2055" s="9"/>
      <c r="O2055" s="11"/>
      <c r="P2055" s="9"/>
      <c r="Q2055" s="9"/>
      <c r="R2055" s="9"/>
      <c r="S2055" s="9"/>
      <c r="T2055" s="31"/>
      <c r="W2055" s="16"/>
      <c r="X2055" s="9"/>
      <c r="Y2055" s="9"/>
      <c r="AA2055" s="16"/>
      <c r="AK2055" s="16"/>
      <c r="AL2055" s="17"/>
      <c r="AN2055" s="16"/>
    </row>
    <row r="2056" spans="9:40" x14ac:dyDescent="0.4">
      <c r="I2056" s="11"/>
      <c r="J2056" s="9"/>
      <c r="K2056" s="9"/>
      <c r="O2056" s="11"/>
      <c r="P2056" s="9"/>
      <c r="Q2056" s="9"/>
      <c r="R2056" s="9"/>
      <c r="S2056" s="9"/>
      <c r="T2056" s="31"/>
      <c r="W2056" s="16"/>
      <c r="X2056" s="9"/>
      <c r="Y2056" s="9"/>
      <c r="AA2056" s="16"/>
      <c r="AK2056" s="16"/>
      <c r="AL2056" s="17"/>
      <c r="AN2056" s="16"/>
    </row>
    <row r="2057" spans="9:40" x14ac:dyDescent="0.4">
      <c r="I2057" s="11"/>
      <c r="J2057" s="9"/>
      <c r="K2057" s="9"/>
      <c r="O2057" s="11"/>
      <c r="P2057" s="9"/>
      <c r="Q2057" s="9"/>
      <c r="R2057" s="9"/>
      <c r="S2057" s="9"/>
      <c r="T2057" s="31"/>
      <c r="W2057" s="16"/>
      <c r="X2057" s="9"/>
      <c r="Y2057" s="9"/>
      <c r="AA2057" s="16"/>
      <c r="AK2057" s="16"/>
      <c r="AL2057" s="17"/>
      <c r="AN2057" s="16"/>
    </row>
    <row r="2058" spans="9:40" x14ac:dyDescent="0.4">
      <c r="I2058" s="11"/>
      <c r="J2058" s="9"/>
      <c r="K2058" s="9"/>
      <c r="O2058" s="11"/>
      <c r="P2058" s="9"/>
      <c r="Q2058" s="9"/>
      <c r="R2058" s="9"/>
      <c r="S2058" s="9"/>
      <c r="T2058" s="31"/>
      <c r="W2058" s="16"/>
      <c r="X2058" s="9"/>
      <c r="Y2058" s="9"/>
      <c r="AA2058" s="16"/>
      <c r="AK2058" s="16"/>
      <c r="AL2058" s="17"/>
      <c r="AN2058" s="16"/>
    </row>
    <row r="2059" spans="9:40" x14ac:dyDescent="0.4">
      <c r="I2059" s="11"/>
      <c r="J2059" s="9"/>
      <c r="K2059" s="9"/>
      <c r="O2059" s="11"/>
      <c r="P2059" s="9"/>
      <c r="Q2059" s="9"/>
      <c r="R2059" s="9"/>
      <c r="S2059" s="9"/>
      <c r="T2059" s="31"/>
      <c r="W2059" s="16"/>
      <c r="X2059" s="9"/>
      <c r="Y2059" s="9"/>
      <c r="AA2059" s="16"/>
      <c r="AK2059" s="16"/>
      <c r="AL2059" s="17"/>
      <c r="AN2059" s="16"/>
    </row>
    <row r="2060" spans="9:40" x14ac:dyDescent="0.4">
      <c r="I2060" s="11"/>
      <c r="J2060" s="9"/>
      <c r="K2060" s="9"/>
      <c r="O2060" s="11"/>
      <c r="P2060" s="9"/>
      <c r="Q2060" s="9"/>
      <c r="R2060" s="9"/>
      <c r="S2060" s="9"/>
      <c r="T2060" s="31"/>
      <c r="W2060" s="16"/>
      <c r="X2060" s="9"/>
      <c r="Y2060" s="9"/>
      <c r="AA2060" s="16"/>
      <c r="AK2060" s="16"/>
      <c r="AL2060" s="17"/>
      <c r="AN2060" s="16"/>
    </row>
    <row r="2061" spans="9:40" x14ac:dyDescent="0.4">
      <c r="I2061" s="11"/>
      <c r="J2061" s="9"/>
      <c r="K2061" s="9"/>
      <c r="O2061" s="11"/>
      <c r="P2061" s="9"/>
      <c r="Q2061" s="9"/>
      <c r="R2061" s="9"/>
      <c r="S2061" s="9"/>
      <c r="T2061" s="31"/>
      <c r="W2061" s="16"/>
      <c r="X2061" s="9"/>
      <c r="Y2061" s="9"/>
      <c r="AA2061" s="16"/>
      <c r="AK2061" s="16"/>
      <c r="AL2061" s="17"/>
      <c r="AN2061" s="16"/>
    </row>
    <row r="2062" spans="9:40" x14ac:dyDescent="0.4">
      <c r="I2062" s="11"/>
      <c r="J2062" s="9"/>
      <c r="K2062" s="9"/>
      <c r="O2062" s="11"/>
      <c r="P2062" s="9"/>
      <c r="Q2062" s="9"/>
      <c r="R2062" s="9"/>
      <c r="S2062" s="9"/>
      <c r="T2062" s="31"/>
      <c r="W2062" s="16"/>
      <c r="X2062" s="9"/>
      <c r="Y2062" s="9"/>
      <c r="AA2062" s="16"/>
      <c r="AK2062" s="16"/>
      <c r="AL2062" s="17"/>
      <c r="AN2062" s="16"/>
    </row>
    <row r="2063" spans="9:40" x14ac:dyDescent="0.4">
      <c r="I2063" s="11"/>
      <c r="J2063" s="9"/>
      <c r="K2063" s="9"/>
      <c r="O2063" s="11"/>
      <c r="P2063" s="9"/>
      <c r="Q2063" s="9"/>
      <c r="R2063" s="9"/>
      <c r="S2063" s="9"/>
      <c r="T2063" s="31"/>
      <c r="W2063" s="16"/>
      <c r="X2063" s="9"/>
      <c r="Y2063" s="9"/>
      <c r="AA2063" s="16"/>
      <c r="AK2063" s="16"/>
      <c r="AL2063" s="17"/>
      <c r="AN2063" s="16"/>
    </row>
    <row r="2064" spans="9:40" x14ac:dyDescent="0.4">
      <c r="I2064" s="11"/>
      <c r="J2064" s="9"/>
      <c r="K2064" s="9"/>
      <c r="O2064" s="11"/>
      <c r="P2064" s="9"/>
      <c r="Q2064" s="9"/>
      <c r="R2064" s="9"/>
      <c r="S2064" s="9"/>
      <c r="T2064" s="31"/>
      <c r="W2064" s="16"/>
      <c r="X2064" s="9"/>
      <c r="Y2064" s="9"/>
      <c r="AA2064" s="16"/>
      <c r="AK2064" s="16"/>
      <c r="AL2064" s="17"/>
      <c r="AN2064" s="16"/>
    </row>
    <row r="2065" spans="9:40" x14ac:dyDescent="0.4">
      <c r="I2065" s="11"/>
      <c r="J2065" s="9"/>
      <c r="K2065" s="9"/>
      <c r="O2065" s="11"/>
      <c r="P2065" s="9"/>
      <c r="Q2065" s="9"/>
      <c r="R2065" s="9"/>
      <c r="S2065" s="9"/>
      <c r="T2065" s="31"/>
      <c r="W2065" s="16"/>
      <c r="X2065" s="9"/>
      <c r="Y2065" s="9"/>
      <c r="AA2065" s="16"/>
      <c r="AK2065" s="16"/>
      <c r="AL2065" s="17"/>
      <c r="AN2065" s="16"/>
    </row>
    <row r="2066" spans="9:40" x14ac:dyDescent="0.4">
      <c r="I2066" s="11"/>
      <c r="J2066" s="9"/>
      <c r="K2066" s="9"/>
      <c r="O2066" s="11"/>
      <c r="P2066" s="9"/>
      <c r="Q2066" s="9"/>
      <c r="R2066" s="9"/>
      <c r="S2066" s="9"/>
      <c r="T2066" s="31"/>
      <c r="W2066" s="16"/>
      <c r="X2066" s="9"/>
      <c r="Y2066" s="9"/>
      <c r="AA2066" s="16"/>
      <c r="AK2066" s="16"/>
      <c r="AL2066" s="17"/>
      <c r="AN2066" s="16"/>
    </row>
    <row r="2067" spans="9:40" x14ac:dyDescent="0.4">
      <c r="I2067" s="11"/>
      <c r="J2067" s="9"/>
      <c r="K2067" s="9"/>
      <c r="O2067" s="11"/>
      <c r="P2067" s="9"/>
      <c r="Q2067" s="9"/>
      <c r="R2067" s="9"/>
      <c r="S2067" s="9"/>
      <c r="T2067" s="31"/>
      <c r="W2067" s="16"/>
      <c r="X2067" s="9"/>
      <c r="Y2067" s="9"/>
      <c r="AA2067" s="16"/>
      <c r="AK2067" s="16"/>
      <c r="AL2067" s="17"/>
      <c r="AN2067" s="16"/>
    </row>
    <row r="2068" spans="9:40" x14ac:dyDescent="0.4">
      <c r="I2068" s="11"/>
      <c r="J2068" s="9"/>
      <c r="K2068" s="9"/>
      <c r="O2068" s="11"/>
      <c r="P2068" s="9"/>
      <c r="Q2068" s="9"/>
      <c r="R2068" s="9"/>
      <c r="S2068" s="9"/>
      <c r="T2068" s="31"/>
      <c r="W2068" s="16"/>
      <c r="X2068" s="9"/>
      <c r="Y2068" s="9"/>
      <c r="AA2068" s="16"/>
      <c r="AK2068" s="16"/>
      <c r="AL2068" s="17"/>
      <c r="AN2068" s="16"/>
    </row>
    <row r="2069" spans="9:40" x14ac:dyDescent="0.4">
      <c r="I2069" s="11"/>
      <c r="J2069" s="9"/>
      <c r="K2069" s="9"/>
      <c r="O2069" s="11"/>
      <c r="P2069" s="9"/>
      <c r="Q2069" s="9"/>
      <c r="R2069" s="9"/>
      <c r="S2069" s="9"/>
      <c r="T2069" s="31"/>
      <c r="W2069" s="16"/>
      <c r="X2069" s="9"/>
      <c r="Y2069" s="9"/>
      <c r="AA2069" s="16"/>
      <c r="AK2069" s="16"/>
      <c r="AL2069" s="17"/>
      <c r="AN2069" s="16"/>
    </row>
    <row r="2070" spans="9:40" x14ac:dyDescent="0.4">
      <c r="I2070" s="11"/>
      <c r="J2070" s="9"/>
      <c r="K2070" s="9"/>
      <c r="O2070" s="11"/>
      <c r="P2070" s="9"/>
      <c r="Q2070" s="9"/>
      <c r="R2070" s="9"/>
      <c r="S2070" s="9"/>
      <c r="T2070" s="31"/>
      <c r="W2070" s="16"/>
      <c r="X2070" s="9"/>
      <c r="Y2070" s="9"/>
      <c r="AA2070" s="16"/>
      <c r="AK2070" s="16"/>
      <c r="AL2070" s="17"/>
      <c r="AN2070" s="16"/>
    </row>
    <row r="2071" spans="9:40" x14ac:dyDescent="0.4">
      <c r="I2071" s="11"/>
      <c r="J2071" s="9"/>
      <c r="K2071" s="9"/>
      <c r="O2071" s="11"/>
      <c r="P2071" s="9"/>
      <c r="Q2071" s="9"/>
      <c r="R2071" s="9"/>
      <c r="S2071" s="9"/>
      <c r="T2071" s="31"/>
      <c r="W2071" s="16"/>
      <c r="X2071" s="9"/>
      <c r="Y2071" s="9"/>
      <c r="AA2071" s="16"/>
      <c r="AK2071" s="16"/>
      <c r="AL2071" s="17"/>
      <c r="AN2071" s="16"/>
    </row>
    <row r="2072" spans="9:40" x14ac:dyDescent="0.4">
      <c r="I2072" s="11"/>
      <c r="J2072" s="9"/>
      <c r="K2072" s="9"/>
      <c r="O2072" s="11"/>
      <c r="P2072" s="9"/>
      <c r="Q2072" s="9"/>
      <c r="R2072" s="9"/>
      <c r="S2072" s="9"/>
      <c r="T2072" s="31"/>
      <c r="W2072" s="16"/>
      <c r="X2072" s="9"/>
      <c r="Y2072" s="9"/>
      <c r="AA2072" s="16"/>
      <c r="AK2072" s="16"/>
      <c r="AL2072" s="17"/>
      <c r="AN2072" s="16"/>
    </row>
    <row r="2073" spans="9:40" x14ac:dyDescent="0.4">
      <c r="I2073" s="11"/>
      <c r="J2073" s="9"/>
      <c r="K2073" s="9"/>
      <c r="O2073" s="11"/>
      <c r="P2073" s="9"/>
      <c r="Q2073" s="9"/>
      <c r="R2073" s="9"/>
      <c r="S2073" s="9"/>
      <c r="T2073" s="31"/>
      <c r="W2073" s="16"/>
      <c r="X2073" s="9"/>
      <c r="Y2073" s="9"/>
      <c r="AA2073" s="16"/>
      <c r="AK2073" s="16"/>
      <c r="AL2073" s="17"/>
      <c r="AN2073" s="16"/>
    </row>
    <row r="2074" spans="9:40" x14ac:dyDescent="0.4">
      <c r="I2074" s="11"/>
      <c r="J2074" s="9"/>
      <c r="K2074" s="9"/>
      <c r="O2074" s="11"/>
      <c r="P2074" s="9"/>
      <c r="Q2074" s="9"/>
      <c r="R2074" s="9"/>
      <c r="S2074" s="9"/>
      <c r="T2074" s="31"/>
      <c r="W2074" s="16"/>
      <c r="X2074" s="9"/>
      <c r="Y2074" s="9"/>
      <c r="AA2074" s="16"/>
      <c r="AK2074" s="16"/>
      <c r="AL2074" s="17"/>
      <c r="AN2074" s="16"/>
    </row>
    <row r="2075" spans="9:40" x14ac:dyDescent="0.4">
      <c r="I2075" s="11"/>
      <c r="J2075" s="9"/>
      <c r="K2075" s="9"/>
      <c r="O2075" s="11"/>
      <c r="P2075" s="9"/>
      <c r="Q2075" s="9"/>
      <c r="R2075" s="9"/>
      <c r="S2075" s="9"/>
      <c r="T2075" s="31"/>
      <c r="W2075" s="16"/>
      <c r="X2075" s="9"/>
      <c r="Y2075" s="9"/>
      <c r="AA2075" s="16"/>
      <c r="AK2075" s="16"/>
      <c r="AL2075" s="17"/>
      <c r="AN2075" s="16"/>
    </row>
    <row r="2076" spans="9:40" x14ac:dyDescent="0.4">
      <c r="I2076" s="11"/>
      <c r="J2076" s="9"/>
      <c r="K2076" s="9"/>
      <c r="O2076" s="11"/>
      <c r="P2076" s="9"/>
      <c r="Q2076" s="9"/>
      <c r="R2076" s="9"/>
      <c r="S2076" s="9"/>
      <c r="T2076" s="31"/>
      <c r="W2076" s="16"/>
      <c r="X2076" s="9"/>
      <c r="Y2076" s="9"/>
      <c r="AA2076" s="16"/>
      <c r="AK2076" s="16"/>
      <c r="AL2076" s="17"/>
      <c r="AN2076" s="16"/>
    </row>
    <row r="2077" spans="9:40" x14ac:dyDescent="0.4">
      <c r="I2077" s="11"/>
      <c r="J2077" s="9"/>
      <c r="K2077" s="9"/>
      <c r="O2077" s="11"/>
      <c r="P2077" s="9"/>
      <c r="Q2077" s="9"/>
      <c r="R2077" s="9"/>
      <c r="S2077" s="9"/>
      <c r="T2077" s="31"/>
      <c r="W2077" s="16"/>
      <c r="X2077" s="9"/>
      <c r="Y2077" s="9"/>
      <c r="AA2077" s="16"/>
      <c r="AK2077" s="16"/>
      <c r="AL2077" s="17"/>
      <c r="AN2077" s="16"/>
    </row>
    <row r="2078" spans="9:40" x14ac:dyDescent="0.4">
      <c r="I2078" s="11"/>
      <c r="J2078" s="9"/>
      <c r="K2078" s="9"/>
      <c r="O2078" s="11"/>
      <c r="P2078" s="9"/>
      <c r="Q2078" s="9"/>
      <c r="R2078" s="9"/>
      <c r="S2078" s="9"/>
      <c r="T2078" s="31"/>
      <c r="W2078" s="16"/>
      <c r="X2078" s="9"/>
      <c r="Y2078" s="9"/>
      <c r="AA2078" s="16"/>
      <c r="AK2078" s="16"/>
      <c r="AL2078" s="17"/>
      <c r="AN2078" s="16"/>
    </row>
    <row r="2079" spans="9:40" x14ac:dyDescent="0.4">
      <c r="I2079" s="11"/>
      <c r="J2079" s="9"/>
      <c r="K2079" s="9"/>
      <c r="O2079" s="11"/>
      <c r="P2079" s="9"/>
      <c r="Q2079" s="9"/>
      <c r="R2079" s="9"/>
      <c r="S2079" s="9"/>
      <c r="T2079" s="31"/>
      <c r="W2079" s="16"/>
      <c r="X2079" s="9"/>
      <c r="Y2079" s="9"/>
      <c r="AA2079" s="16"/>
      <c r="AK2079" s="16"/>
      <c r="AL2079" s="17"/>
      <c r="AN2079" s="16"/>
    </row>
    <row r="2080" spans="9:40" x14ac:dyDescent="0.4">
      <c r="I2080" s="11"/>
      <c r="J2080" s="9"/>
      <c r="K2080" s="9"/>
      <c r="O2080" s="11"/>
      <c r="P2080" s="9"/>
      <c r="Q2080" s="9"/>
      <c r="R2080" s="9"/>
      <c r="S2080" s="9"/>
      <c r="T2080" s="31"/>
      <c r="W2080" s="16"/>
      <c r="X2080" s="9"/>
      <c r="Y2080" s="9"/>
      <c r="AA2080" s="16"/>
      <c r="AK2080" s="16"/>
      <c r="AL2080" s="17"/>
      <c r="AN2080" s="16"/>
    </row>
    <row r="2081" spans="9:40" x14ac:dyDescent="0.4">
      <c r="I2081" s="11"/>
      <c r="J2081" s="9"/>
      <c r="K2081" s="9"/>
      <c r="O2081" s="11"/>
      <c r="P2081" s="9"/>
      <c r="Q2081" s="9"/>
      <c r="R2081" s="9"/>
      <c r="S2081" s="9"/>
      <c r="T2081" s="31"/>
      <c r="W2081" s="16"/>
      <c r="X2081" s="9"/>
      <c r="Y2081" s="9"/>
      <c r="AA2081" s="16"/>
      <c r="AK2081" s="16"/>
      <c r="AL2081" s="17"/>
      <c r="AN2081" s="16"/>
    </row>
    <row r="2082" spans="9:40" x14ac:dyDescent="0.4">
      <c r="I2082" s="11"/>
      <c r="J2082" s="9"/>
      <c r="K2082" s="9"/>
      <c r="O2082" s="11"/>
      <c r="P2082" s="9"/>
      <c r="Q2082" s="9"/>
      <c r="R2082" s="9"/>
      <c r="S2082" s="9"/>
      <c r="T2082" s="31"/>
      <c r="W2082" s="16"/>
      <c r="X2082" s="9"/>
      <c r="Y2082" s="9"/>
      <c r="AA2082" s="16"/>
      <c r="AK2082" s="16"/>
      <c r="AL2082" s="17"/>
      <c r="AN2082" s="16"/>
    </row>
    <row r="2083" spans="9:40" x14ac:dyDescent="0.4">
      <c r="I2083" s="11"/>
      <c r="J2083" s="9"/>
      <c r="K2083" s="9"/>
      <c r="O2083" s="11"/>
      <c r="P2083" s="9"/>
      <c r="Q2083" s="9"/>
      <c r="R2083" s="9"/>
      <c r="S2083" s="9"/>
      <c r="T2083" s="31"/>
      <c r="W2083" s="16"/>
      <c r="X2083" s="9"/>
      <c r="Y2083" s="9"/>
      <c r="AA2083" s="16"/>
      <c r="AK2083" s="16"/>
      <c r="AL2083" s="17"/>
      <c r="AN2083" s="16"/>
    </row>
    <row r="2084" spans="9:40" x14ac:dyDescent="0.4">
      <c r="I2084" s="11"/>
      <c r="J2084" s="9"/>
      <c r="K2084" s="9"/>
      <c r="O2084" s="11"/>
      <c r="P2084" s="9"/>
      <c r="Q2084" s="9"/>
      <c r="R2084" s="9"/>
      <c r="S2084" s="9"/>
      <c r="T2084" s="31"/>
      <c r="W2084" s="16"/>
      <c r="X2084" s="9"/>
      <c r="Y2084" s="9"/>
      <c r="AA2084" s="16"/>
      <c r="AK2084" s="16"/>
      <c r="AL2084" s="17"/>
      <c r="AN2084" s="16"/>
    </row>
    <row r="2085" spans="9:40" x14ac:dyDescent="0.4">
      <c r="I2085" s="11"/>
      <c r="J2085" s="9"/>
      <c r="K2085" s="9"/>
      <c r="O2085" s="11"/>
      <c r="P2085" s="9"/>
      <c r="Q2085" s="9"/>
      <c r="R2085" s="9"/>
      <c r="S2085" s="9"/>
      <c r="T2085" s="31"/>
      <c r="W2085" s="16"/>
      <c r="X2085" s="9"/>
      <c r="Y2085" s="9"/>
      <c r="AA2085" s="16"/>
      <c r="AK2085" s="16"/>
      <c r="AL2085" s="17"/>
      <c r="AN2085" s="16"/>
    </row>
    <row r="2086" spans="9:40" x14ac:dyDescent="0.4">
      <c r="I2086" s="11"/>
      <c r="J2086" s="9"/>
      <c r="K2086" s="9"/>
      <c r="O2086" s="11"/>
      <c r="P2086" s="9"/>
      <c r="Q2086" s="9"/>
      <c r="R2086" s="9"/>
      <c r="S2086" s="9"/>
      <c r="T2086" s="31"/>
      <c r="W2086" s="16"/>
      <c r="X2086" s="9"/>
      <c r="Y2086" s="9"/>
      <c r="AA2086" s="16"/>
      <c r="AK2086" s="16"/>
      <c r="AL2086" s="17"/>
      <c r="AN2086" s="16"/>
    </row>
    <row r="2087" spans="9:40" x14ac:dyDescent="0.4">
      <c r="I2087" s="11"/>
      <c r="J2087" s="9"/>
      <c r="K2087" s="9"/>
      <c r="O2087" s="11"/>
      <c r="P2087" s="9"/>
      <c r="Q2087" s="9"/>
      <c r="R2087" s="9"/>
      <c r="S2087" s="9"/>
      <c r="T2087" s="31"/>
      <c r="W2087" s="16"/>
      <c r="X2087" s="9"/>
      <c r="Y2087" s="9"/>
      <c r="AA2087" s="16"/>
      <c r="AK2087" s="16"/>
      <c r="AL2087" s="17"/>
      <c r="AN2087" s="16"/>
    </row>
    <row r="2088" spans="9:40" x14ac:dyDescent="0.4">
      <c r="I2088" s="11"/>
      <c r="J2088" s="9"/>
      <c r="K2088" s="9"/>
      <c r="O2088" s="11"/>
      <c r="P2088" s="9"/>
      <c r="Q2088" s="9"/>
      <c r="R2088" s="9"/>
      <c r="S2088" s="9"/>
      <c r="T2088" s="31"/>
      <c r="W2088" s="16"/>
      <c r="X2088" s="9"/>
      <c r="Y2088" s="9"/>
      <c r="AA2088" s="16"/>
      <c r="AK2088" s="16"/>
      <c r="AL2088" s="17"/>
      <c r="AN2088" s="16"/>
    </row>
    <row r="2089" spans="9:40" x14ac:dyDescent="0.4">
      <c r="I2089" s="11"/>
      <c r="J2089" s="9"/>
      <c r="K2089" s="9"/>
      <c r="O2089" s="11"/>
      <c r="P2089" s="9"/>
      <c r="Q2089" s="9"/>
      <c r="R2089" s="9"/>
      <c r="S2089" s="9"/>
      <c r="T2089" s="31"/>
      <c r="W2089" s="16"/>
      <c r="X2089" s="9"/>
      <c r="Y2089" s="9"/>
      <c r="AA2089" s="16"/>
      <c r="AK2089" s="16"/>
      <c r="AL2089" s="17"/>
      <c r="AN2089" s="16"/>
    </row>
    <row r="2090" spans="9:40" x14ac:dyDescent="0.4">
      <c r="I2090" s="11"/>
      <c r="J2090" s="9"/>
      <c r="K2090" s="9"/>
      <c r="O2090" s="11"/>
      <c r="P2090" s="9"/>
      <c r="Q2090" s="9"/>
      <c r="R2090" s="9"/>
      <c r="S2090" s="9"/>
      <c r="T2090" s="31"/>
      <c r="W2090" s="16"/>
      <c r="X2090" s="9"/>
      <c r="Y2090" s="9"/>
      <c r="AA2090" s="16"/>
      <c r="AK2090" s="16"/>
      <c r="AL2090" s="17"/>
      <c r="AN2090" s="16"/>
    </row>
    <row r="2091" spans="9:40" x14ac:dyDescent="0.4">
      <c r="I2091" s="11"/>
      <c r="J2091" s="9"/>
      <c r="K2091" s="9"/>
      <c r="O2091" s="11"/>
      <c r="P2091" s="9"/>
      <c r="Q2091" s="9"/>
      <c r="R2091" s="9"/>
      <c r="S2091" s="9"/>
      <c r="T2091" s="31"/>
      <c r="W2091" s="16"/>
      <c r="X2091" s="9"/>
      <c r="Y2091" s="9"/>
      <c r="AA2091" s="16"/>
      <c r="AK2091" s="16"/>
      <c r="AL2091" s="17"/>
      <c r="AN2091" s="16"/>
    </row>
    <row r="2092" spans="9:40" x14ac:dyDescent="0.4">
      <c r="I2092" s="11"/>
      <c r="J2092" s="9"/>
      <c r="K2092" s="9"/>
      <c r="O2092" s="11"/>
      <c r="P2092" s="9"/>
      <c r="Q2092" s="9"/>
      <c r="R2092" s="9"/>
      <c r="S2092" s="9"/>
      <c r="T2092" s="31"/>
      <c r="W2092" s="16"/>
      <c r="X2092" s="9"/>
      <c r="Y2092" s="9"/>
      <c r="AA2092" s="16"/>
      <c r="AK2092" s="16"/>
      <c r="AL2092" s="17"/>
      <c r="AN2092" s="16"/>
    </row>
    <row r="2093" spans="9:40" x14ac:dyDescent="0.4">
      <c r="I2093" s="11"/>
      <c r="J2093" s="9"/>
      <c r="K2093" s="9"/>
      <c r="O2093" s="11"/>
      <c r="P2093" s="9"/>
      <c r="Q2093" s="9"/>
      <c r="R2093" s="9"/>
      <c r="S2093" s="9"/>
      <c r="T2093" s="31"/>
      <c r="W2093" s="16"/>
      <c r="X2093" s="9"/>
      <c r="Y2093" s="9"/>
      <c r="AA2093" s="16"/>
      <c r="AK2093" s="16"/>
      <c r="AL2093" s="17"/>
      <c r="AN2093" s="16"/>
    </row>
    <row r="2094" spans="9:40" x14ac:dyDescent="0.4">
      <c r="I2094" s="11"/>
      <c r="J2094" s="9"/>
      <c r="K2094" s="9"/>
      <c r="O2094" s="11"/>
      <c r="P2094" s="9"/>
      <c r="Q2094" s="9"/>
      <c r="R2094" s="9"/>
      <c r="S2094" s="9"/>
      <c r="T2094" s="31"/>
      <c r="W2094" s="16"/>
      <c r="X2094" s="9"/>
      <c r="Y2094" s="9"/>
      <c r="AA2094" s="16"/>
      <c r="AK2094" s="16"/>
      <c r="AL2094" s="17"/>
      <c r="AN2094" s="16"/>
    </row>
    <row r="2095" spans="9:40" x14ac:dyDescent="0.4">
      <c r="I2095" s="11"/>
      <c r="J2095" s="9"/>
      <c r="K2095" s="9"/>
      <c r="O2095" s="11"/>
      <c r="P2095" s="9"/>
      <c r="Q2095" s="9"/>
      <c r="R2095" s="9"/>
      <c r="S2095" s="9"/>
      <c r="T2095" s="31"/>
      <c r="W2095" s="16"/>
      <c r="X2095" s="9"/>
      <c r="Y2095" s="9"/>
      <c r="AA2095" s="16"/>
      <c r="AK2095" s="16"/>
      <c r="AL2095" s="17"/>
      <c r="AN2095" s="16"/>
    </row>
    <row r="2096" spans="9:40" x14ac:dyDescent="0.4">
      <c r="I2096" s="11"/>
      <c r="J2096" s="9"/>
      <c r="K2096" s="9"/>
      <c r="O2096" s="11"/>
      <c r="P2096" s="9"/>
      <c r="Q2096" s="9"/>
      <c r="R2096" s="9"/>
      <c r="S2096" s="9"/>
      <c r="T2096" s="31"/>
      <c r="W2096" s="16"/>
      <c r="X2096" s="9"/>
      <c r="Y2096" s="9"/>
      <c r="AA2096" s="16"/>
      <c r="AK2096" s="16"/>
      <c r="AL2096" s="17"/>
      <c r="AN2096" s="16"/>
    </row>
    <row r="2097" spans="9:40" x14ac:dyDescent="0.4">
      <c r="I2097" s="11"/>
      <c r="J2097" s="9"/>
      <c r="K2097" s="9"/>
      <c r="O2097" s="11"/>
      <c r="P2097" s="9"/>
      <c r="Q2097" s="9"/>
      <c r="R2097" s="9"/>
      <c r="S2097" s="9"/>
      <c r="T2097" s="31"/>
      <c r="W2097" s="16"/>
      <c r="X2097" s="9"/>
      <c r="Y2097" s="9"/>
      <c r="AA2097" s="16"/>
      <c r="AK2097" s="16"/>
      <c r="AL2097" s="17"/>
      <c r="AN2097" s="16"/>
    </row>
    <row r="2098" spans="9:40" x14ac:dyDescent="0.4">
      <c r="I2098" s="11"/>
      <c r="J2098" s="9"/>
      <c r="K2098" s="9"/>
      <c r="O2098" s="11"/>
      <c r="P2098" s="9"/>
      <c r="Q2098" s="9"/>
      <c r="R2098" s="9"/>
      <c r="S2098" s="9"/>
      <c r="T2098" s="31"/>
      <c r="W2098" s="16"/>
      <c r="X2098" s="9"/>
      <c r="Y2098" s="9"/>
      <c r="AA2098" s="16"/>
      <c r="AK2098" s="16"/>
      <c r="AL2098" s="17"/>
      <c r="AN2098" s="16"/>
    </row>
    <row r="2099" spans="9:40" x14ac:dyDescent="0.4">
      <c r="I2099" s="11"/>
      <c r="J2099" s="9"/>
      <c r="K2099" s="9"/>
      <c r="O2099" s="11"/>
      <c r="P2099" s="9"/>
      <c r="Q2099" s="9"/>
      <c r="R2099" s="9"/>
      <c r="S2099" s="9"/>
      <c r="T2099" s="31"/>
      <c r="W2099" s="16"/>
      <c r="X2099" s="9"/>
      <c r="Y2099" s="9"/>
      <c r="AA2099" s="16"/>
      <c r="AK2099" s="16"/>
      <c r="AL2099" s="17"/>
      <c r="AN2099" s="16"/>
    </row>
    <row r="2100" spans="9:40" x14ac:dyDescent="0.4">
      <c r="I2100" s="11"/>
      <c r="J2100" s="9"/>
      <c r="K2100" s="9"/>
      <c r="O2100" s="11"/>
      <c r="P2100" s="9"/>
      <c r="Q2100" s="9"/>
      <c r="R2100" s="9"/>
      <c r="S2100" s="9"/>
      <c r="T2100" s="31"/>
      <c r="W2100" s="16"/>
      <c r="X2100" s="9"/>
      <c r="Y2100" s="9"/>
      <c r="AA2100" s="16"/>
      <c r="AK2100" s="16"/>
      <c r="AL2100" s="17"/>
      <c r="AN2100" s="16"/>
    </row>
    <row r="2101" spans="9:40" x14ac:dyDescent="0.4">
      <c r="I2101" s="11"/>
      <c r="J2101" s="9"/>
      <c r="K2101" s="9"/>
      <c r="O2101" s="11"/>
      <c r="P2101" s="9"/>
      <c r="Q2101" s="9"/>
      <c r="R2101" s="9"/>
      <c r="S2101" s="9"/>
      <c r="T2101" s="31"/>
      <c r="W2101" s="16"/>
      <c r="X2101" s="9"/>
      <c r="Y2101" s="9"/>
      <c r="AA2101" s="16"/>
      <c r="AK2101" s="16"/>
      <c r="AL2101" s="17"/>
      <c r="AN2101" s="16"/>
    </row>
    <row r="2102" spans="9:40" x14ac:dyDescent="0.4">
      <c r="I2102" s="11"/>
      <c r="J2102" s="9"/>
      <c r="K2102" s="9"/>
      <c r="O2102" s="11"/>
      <c r="P2102" s="9"/>
      <c r="Q2102" s="9"/>
      <c r="R2102" s="9"/>
      <c r="S2102" s="9"/>
      <c r="T2102" s="31"/>
      <c r="W2102" s="16"/>
      <c r="X2102" s="9"/>
      <c r="Y2102" s="9"/>
      <c r="AA2102" s="16"/>
      <c r="AK2102" s="16"/>
      <c r="AL2102" s="17"/>
      <c r="AN2102" s="16"/>
    </row>
    <row r="2103" spans="9:40" x14ac:dyDescent="0.4">
      <c r="I2103" s="11"/>
      <c r="J2103" s="9"/>
      <c r="K2103" s="9"/>
      <c r="O2103" s="11"/>
      <c r="P2103" s="9"/>
      <c r="Q2103" s="9"/>
      <c r="R2103" s="9"/>
      <c r="S2103" s="9"/>
      <c r="T2103" s="31"/>
      <c r="W2103" s="16"/>
      <c r="X2103" s="9"/>
      <c r="Y2103" s="9"/>
      <c r="AA2103" s="16"/>
      <c r="AK2103" s="16"/>
      <c r="AL2103" s="17"/>
      <c r="AN2103" s="16"/>
    </row>
    <row r="2104" spans="9:40" x14ac:dyDescent="0.4">
      <c r="I2104" s="11"/>
      <c r="J2104" s="9"/>
      <c r="K2104" s="9"/>
      <c r="O2104" s="11"/>
      <c r="P2104" s="9"/>
      <c r="Q2104" s="9"/>
      <c r="R2104" s="9"/>
      <c r="S2104" s="9"/>
      <c r="T2104" s="31"/>
      <c r="W2104" s="16"/>
      <c r="X2104" s="9"/>
      <c r="Y2104" s="9"/>
      <c r="AA2104" s="16"/>
      <c r="AK2104" s="16"/>
      <c r="AL2104" s="17"/>
      <c r="AN2104" s="16"/>
    </row>
    <row r="2105" spans="9:40" x14ac:dyDescent="0.4">
      <c r="I2105" s="11"/>
      <c r="J2105" s="9"/>
      <c r="K2105" s="9"/>
      <c r="O2105" s="11"/>
      <c r="P2105" s="9"/>
      <c r="Q2105" s="9"/>
      <c r="R2105" s="9"/>
      <c r="S2105" s="9"/>
      <c r="T2105" s="31"/>
      <c r="W2105" s="16"/>
      <c r="X2105" s="9"/>
      <c r="Y2105" s="9"/>
      <c r="AA2105" s="16"/>
      <c r="AK2105" s="16"/>
      <c r="AL2105" s="17"/>
      <c r="AN2105" s="16"/>
    </row>
    <row r="2106" spans="9:40" x14ac:dyDescent="0.4">
      <c r="I2106" s="11"/>
      <c r="J2106" s="9"/>
      <c r="K2106" s="9"/>
      <c r="O2106" s="11"/>
      <c r="P2106" s="9"/>
      <c r="Q2106" s="9"/>
      <c r="R2106" s="9"/>
      <c r="S2106" s="9"/>
      <c r="T2106" s="31"/>
      <c r="W2106" s="16"/>
      <c r="X2106" s="9"/>
      <c r="Y2106" s="9"/>
      <c r="AA2106" s="16"/>
      <c r="AK2106" s="16"/>
      <c r="AL2106" s="17"/>
      <c r="AN2106" s="16"/>
    </row>
    <row r="2107" spans="9:40" x14ac:dyDescent="0.4">
      <c r="I2107" s="11"/>
      <c r="J2107" s="9"/>
      <c r="K2107" s="9"/>
      <c r="O2107" s="11"/>
      <c r="P2107" s="9"/>
      <c r="Q2107" s="9"/>
      <c r="R2107" s="9"/>
      <c r="S2107" s="9"/>
      <c r="T2107" s="31"/>
      <c r="W2107" s="16"/>
      <c r="X2107" s="9"/>
      <c r="Y2107" s="9"/>
      <c r="AA2107" s="16"/>
      <c r="AK2107" s="16"/>
      <c r="AL2107" s="17"/>
      <c r="AN2107" s="16"/>
    </row>
    <row r="2108" spans="9:40" x14ac:dyDescent="0.4">
      <c r="I2108" s="11"/>
      <c r="J2108" s="9"/>
      <c r="K2108" s="9"/>
      <c r="O2108" s="11"/>
      <c r="P2108" s="9"/>
      <c r="Q2108" s="9"/>
      <c r="R2108" s="9"/>
      <c r="S2108" s="9"/>
      <c r="T2108" s="31"/>
      <c r="W2108" s="16"/>
      <c r="X2108" s="9"/>
      <c r="Y2108" s="9"/>
      <c r="AA2108" s="16"/>
      <c r="AK2108" s="16"/>
      <c r="AL2108" s="17"/>
      <c r="AN2108" s="16"/>
    </row>
    <row r="2109" spans="9:40" x14ac:dyDescent="0.4">
      <c r="I2109" s="11"/>
      <c r="J2109" s="9"/>
      <c r="K2109" s="9"/>
      <c r="O2109" s="11"/>
      <c r="P2109" s="9"/>
      <c r="Q2109" s="9"/>
      <c r="R2109" s="9"/>
      <c r="S2109" s="9"/>
      <c r="T2109" s="31"/>
      <c r="W2109" s="16"/>
      <c r="X2109" s="9"/>
      <c r="Y2109" s="9"/>
      <c r="AA2109" s="16"/>
      <c r="AK2109" s="16"/>
      <c r="AL2109" s="17"/>
      <c r="AN2109" s="16"/>
    </row>
    <row r="2110" spans="9:40" x14ac:dyDescent="0.4">
      <c r="I2110" s="11"/>
      <c r="J2110" s="9"/>
      <c r="K2110" s="9"/>
      <c r="O2110" s="11"/>
      <c r="P2110" s="9"/>
      <c r="Q2110" s="9"/>
      <c r="R2110" s="9"/>
      <c r="S2110" s="9"/>
      <c r="T2110" s="31"/>
      <c r="W2110" s="16"/>
      <c r="X2110" s="9"/>
      <c r="Y2110" s="9"/>
      <c r="AA2110" s="16"/>
      <c r="AK2110" s="16"/>
      <c r="AL2110" s="17"/>
      <c r="AN2110" s="16"/>
    </row>
    <row r="2111" spans="9:40" x14ac:dyDescent="0.4">
      <c r="I2111" s="11"/>
      <c r="J2111" s="9"/>
      <c r="K2111" s="9"/>
      <c r="O2111" s="11"/>
      <c r="P2111" s="9"/>
      <c r="Q2111" s="9"/>
      <c r="R2111" s="9"/>
      <c r="S2111" s="9"/>
      <c r="T2111" s="31"/>
      <c r="W2111" s="16"/>
      <c r="X2111" s="9"/>
      <c r="Y2111" s="9"/>
      <c r="AA2111" s="16"/>
      <c r="AK2111" s="16"/>
      <c r="AL2111" s="17"/>
      <c r="AN2111" s="16"/>
    </row>
    <row r="2112" spans="9:40" x14ac:dyDescent="0.4">
      <c r="I2112" s="11"/>
      <c r="J2112" s="9"/>
      <c r="K2112" s="9"/>
      <c r="O2112" s="11"/>
      <c r="P2112" s="9"/>
      <c r="Q2112" s="9"/>
      <c r="R2112" s="9"/>
      <c r="S2112" s="9"/>
      <c r="T2112" s="31"/>
      <c r="W2112" s="16"/>
      <c r="X2112" s="9"/>
      <c r="Y2112" s="9"/>
      <c r="AA2112" s="16"/>
      <c r="AK2112" s="16"/>
      <c r="AL2112" s="17"/>
      <c r="AN2112" s="16"/>
    </row>
    <row r="2113" spans="9:40" x14ac:dyDescent="0.4">
      <c r="I2113" s="11"/>
      <c r="J2113" s="9"/>
      <c r="K2113" s="9"/>
      <c r="O2113" s="11"/>
      <c r="P2113" s="9"/>
      <c r="Q2113" s="9"/>
      <c r="R2113" s="9"/>
      <c r="S2113" s="9"/>
      <c r="T2113" s="31"/>
      <c r="W2113" s="16"/>
      <c r="X2113" s="9"/>
      <c r="Y2113" s="9"/>
      <c r="AA2113" s="16"/>
      <c r="AK2113" s="16"/>
      <c r="AL2113" s="17"/>
      <c r="AN2113" s="16"/>
    </row>
    <row r="2114" spans="9:40" x14ac:dyDescent="0.4">
      <c r="I2114" s="11"/>
      <c r="J2114" s="9"/>
      <c r="K2114" s="9"/>
      <c r="O2114" s="11"/>
      <c r="P2114" s="9"/>
      <c r="Q2114" s="9"/>
      <c r="R2114" s="9"/>
      <c r="S2114" s="9"/>
      <c r="T2114" s="31"/>
      <c r="W2114" s="16"/>
      <c r="X2114" s="9"/>
      <c r="Y2114" s="9"/>
      <c r="AA2114" s="16"/>
      <c r="AK2114" s="16"/>
      <c r="AL2114" s="17"/>
      <c r="AN2114" s="16"/>
    </row>
    <row r="2115" spans="9:40" x14ac:dyDescent="0.4">
      <c r="I2115" s="11"/>
      <c r="J2115" s="9"/>
      <c r="K2115" s="9"/>
      <c r="O2115" s="11"/>
      <c r="P2115" s="9"/>
      <c r="Q2115" s="9"/>
      <c r="R2115" s="9"/>
      <c r="S2115" s="9"/>
      <c r="T2115" s="31"/>
      <c r="W2115" s="16"/>
      <c r="X2115" s="9"/>
      <c r="Y2115" s="9"/>
      <c r="AA2115" s="16"/>
      <c r="AK2115" s="16"/>
      <c r="AL2115" s="17"/>
      <c r="AN2115" s="16"/>
    </row>
    <row r="2116" spans="9:40" x14ac:dyDescent="0.4">
      <c r="I2116" s="11"/>
      <c r="J2116" s="9"/>
      <c r="K2116" s="9"/>
      <c r="O2116" s="11"/>
      <c r="P2116" s="9"/>
      <c r="Q2116" s="9"/>
      <c r="R2116" s="9"/>
      <c r="S2116" s="9"/>
      <c r="T2116" s="31"/>
      <c r="W2116" s="16"/>
      <c r="X2116" s="9"/>
      <c r="Y2116" s="9"/>
      <c r="AA2116" s="16"/>
      <c r="AK2116" s="16"/>
      <c r="AL2116" s="17"/>
      <c r="AN2116" s="16"/>
    </row>
    <row r="2117" spans="9:40" x14ac:dyDescent="0.4">
      <c r="I2117" s="11"/>
      <c r="J2117" s="9"/>
      <c r="K2117" s="9"/>
      <c r="O2117" s="11"/>
      <c r="P2117" s="9"/>
      <c r="Q2117" s="9"/>
      <c r="R2117" s="9"/>
      <c r="S2117" s="9"/>
      <c r="T2117" s="31"/>
      <c r="W2117" s="16"/>
      <c r="X2117" s="9"/>
      <c r="Y2117" s="9"/>
      <c r="AA2117" s="16"/>
      <c r="AK2117" s="16"/>
      <c r="AL2117" s="17"/>
      <c r="AN2117" s="16"/>
    </row>
    <row r="2118" spans="9:40" x14ac:dyDescent="0.4">
      <c r="I2118" s="11"/>
      <c r="J2118" s="9"/>
      <c r="K2118" s="9"/>
      <c r="O2118" s="11"/>
      <c r="P2118" s="9"/>
      <c r="Q2118" s="9"/>
      <c r="R2118" s="9"/>
      <c r="S2118" s="9"/>
      <c r="T2118" s="31"/>
      <c r="W2118" s="16"/>
      <c r="X2118" s="9"/>
      <c r="Y2118" s="9"/>
      <c r="AA2118" s="16"/>
      <c r="AK2118" s="16"/>
      <c r="AL2118" s="17"/>
      <c r="AN2118" s="16"/>
    </row>
    <row r="2119" spans="9:40" x14ac:dyDescent="0.4">
      <c r="I2119" s="11"/>
      <c r="J2119" s="9"/>
      <c r="K2119" s="9"/>
      <c r="O2119" s="11"/>
      <c r="P2119" s="9"/>
      <c r="Q2119" s="9"/>
      <c r="R2119" s="9"/>
      <c r="S2119" s="9"/>
      <c r="T2119" s="31"/>
      <c r="W2119" s="16"/>
      <c r="X2119" s="9"/>
      <c r="Y2119" s="9"/>
      <c r="AA2119" s="16"/>
      <c r="AK2119" s="16"/>
      <c r="AL2119" s="17"/>
      <c r="AN2119" s="16"/>
    </row>
    <row r="2120" spans="9:40" x14ac:dyDescent="0.4">
      <c r="I2120" s="11"/>
      <c r="J2120" s="9"/>
      <c r="K2120" s="9"/>
      <c r="O2120" s="11"/>
      <c r="P2120" s="9"/>
      <c r="Q2120" s="9"/>
      <c r="R2120" s="9"/>
      <c r="S2120" s="9"/>
      <c r="T2120" s="31"/>
      <c r="W2120" s="16"/>
      <c r="X2120" s="9"/>
      <c r="Y2120" s="9"/>
      <c r="AA2120" s="16"/>
      <c r="AK2120" s="16"/>
      <c r="AL2120" s="17"/>
      <c r="AN2120" s="16"/>
    </row>
    <row r="2121" spans="9:40" x14ac:dyDescent="0.4">
      <c r="I2121" s="11"/>
      <c r="J2121" s="9"/>
      <c r="K2121" s="9"/>
      <c r="O2121" s="11"/>
      <c r="P2121" s="9"/>
      <c r="Q2121" s="9"/>
      <c r="R2121" s="9"/>
      <c r="S2121" s="9"/>
      <c r="T2121" s="31"/>
      <c r="W2121" s="16"/>
      <c r="X2121" s="9"/>
      <c r="Y2121" s="9"/>
      <c r="AA2121" s="16"/>
      <c r="AK2121" s="16"/>
      <c r="AL2121" s="17"/>
      <c r="AN2121" s="16"/>
    </row>
    <row r="2122" spans="9:40" x14ac:dyDescent="0.4">
      <c r="I2122" s="11"/>
      <c r="J2122" s="9"/>
      <c r="K2122" s="9"/>
      <c r="O2122" s="11"/>
      <c r="P2122" s="9"/>
      <c r="Q2122" s="9"/>
      <c r="R2122" s="9"/>
      <c r="S2122" s="9"/>
      <c r="T2122" s="31"/>
      <c r="W2122" s="16"/>
      <c r="X2122" s="9"/>
      <c r="Y2122" s="9"/>
      <c r="AA2122" s="16"/>
      <c r="AK2122" s="16"/>
      <c r="AL2122" s="17"/>
      <c r="AN2122" s="16"/>
    </row>
    <row r="2123" spans="9:40" x14ac:dyDescent="0.4">
      <c r="I2123" s="11"/>
      <c r="J2123" s="9"/>
      <c r="K2123" s="9"/>
      <c r="O2123" s="11"/>
      <c r="P2123" s="9"/>
      <c r="Q2123" s="9"/>
      <c r="R2123" s="9"/>
      <c r="S2123" s="9"/>
      <c r="T2123" s="31"/>
      <c r="W2123" s="16"/>
      <c r="X2123" s="9"/>
      <c r="Y2123" s="9"/>
      <c r="AA2123" s="16"/>
      <c r="AK2123" s="16"/>
      <c r="AL2123" s="17"/>
      <c r="AN2123" s="16"/>
    </row>
    <row r="2124" spans="9:40" x14ac:dyDescent="0.4">
      <c r="I2124" s="11"/>
      <c r="J2124" s="9"/>
      <c r="K2124" s="9"/>
      <c r="O2124" s="11"/>
      <c r="P2124" s="9"/>
      <c r="Q2124" s="9"/>
      <c r="R2124" s="9"/>
      <c r="S2124" s="9"/>
      <c r="T2124" s="31"/>
      <c r="W2124" s="16"/>
      <c r="X2124" s="9"/>
      <c r="Y2124" s="9"/>
      <c r="AA2124" s="16"/>
      <c r="AK2124" s="16"/>
      <c r="AL2124" s="17"/>
      <c r="AN2124" s="16"/>
    </row>
    <row r="2125" spans="9:40" x14ac:dyDescent="0.4">
      <c r="I2125" s="11"/>
      <c r="J2125" s="9"/>
      <c r="K2125" s="9"/>
      <c r="O2125" s="11"/>
      <c r="P2125" s="9"/>
      <c r="Q2125" s="9"/>
      <c r="R2125" s="9"/>
      <c r="S2125" s="9"/>
      <c r="T2125" s="31"/>
      <c r="W2125" s="16"/>
      <c r="X2125" s="9"/>
      <c r="Y2125" s="9"/>
      <c r="AA2125" s="16"/>
      <c r="AK2125" s="16"/>
      <c r="AL2125" s="17"/>
      <c r="AN2125" s="16"/>
    </row>
    <row r="2126" spans="9:40" x14ac:dyDescent="0.4">
      <c r="I2126" s="11"/>
      <c r="J2126" s="9"/>
      <c r="K2126" s="9"/>
      <c r="O2126" s="11"/>
      <c r="P2126" s="9"/>
      <c r="Q2126" s="9"/>
      <c r="R2126" s="9"/>
      <c r="S2126" s="9"/>
      <c r="T2126" s="31"/>
      <c r="W2126" s="16"/>
      <c r="X2126" s="9"/>
      <c r="Y2126" s="9"/>
      <c r="AA2126" s="16"/>
      <c r="AK2126" s="16"/>
      <c r="AL2126" s="17"/>
      <c r="AN2126" s="16"/>
    </row>
    <row r="2127" spans="9:40" x14ac:dyDescent="0.4">
      <c r="I2127" s="11"/>
      <c r="J2127" s="9"/>
      <c r="K2127" s="9"/>
      <c r="O2127" s="11"/>
      <c r="P2127" s="9"/>
      <c r="Q2127" s="9"/>
      <c r="R2127" s="9"/>
      <c r="S2127" s="9"/>
      <c r="T2127" s="31"/>
      <c r="W2127" s="16"/>
      <c r="X2127" s="9"/>
      <c r="Y2127" s="9"/>
      <c r="AA2127" s="16"/>
      <c r="AK2127" s="16"/>
      <c r="AL2127" s="17"/>
      <c r="AN2127" s="16"/>
    </row>
    <row r="2128" spans="9:40" x14ac:dyDescent="0.4">
      <c r="I2128" s="11"/>
      <c r="J2128" s="9"/>
      <c r="K2128" s="9"/>
      <c r="O2128" s="11"/>
      <c r="P2128" s="9"/>
      <c r="Q2128" s="9"/>
      <c r="R2128" s="9"/>
      <c r="S2128" s="9"/>
      <c r="T2128" s="31"/>
      <c r="W2128" s="16"/>
      <c r="X2128" s="9"/>
      <c r="Y2128" s="9"/>
      <c r="AA2128" s="16"/>
      <c r="AK2128" s="16"/>
      <c r="AL2128" s="17"/>
      <c r="AN2128" s="16"/>
    </row>
    <row r="2129" spans="9:40" x14ac:dyDescent="0.4">
      <c r="I2129" s="11"/>
      <c r="J2129" s="9"/>
      <c r="K2129" s="9"/>
      <c r="O2129" s="11"/>
      <c r="P2129" s="9"/>
      <c r="Q2129" s="9"/>
      <c r="R2129" s="9"/>
      <c r="S2129" s="9"/>
      <c r="T2129" s="31"/>
      <c r="W2129" s="16"/>
      <c r="X2129" s="9"/>
      <c r="Y2129" s="9"/>
      <c r="AA2129" s="16"/>
      <c r="AK2129" s="16"/>
      <c r="AL2129" s="17"/>
      <c r="AN2129" s="16"/>
    </row>
    <row r="2130" spans="9:40" x14ac:dyDescent="0.4">
      <c r="I2130" s="11"/>
      <c r="J2130" s="9"/>
      <c r="K2130" s="9"/>
      <c r="O2130" s="11"/>
      <c r="P2130" s="9"/>
      <c r="Q2130" s="9"/>
      <c r="R2130" s="9"/>
      <c r="S2130" s="9"/>
      <c r="T2130" s="31"/>
      <c r="W2130" s="16"/>
      <c r="X2130" s="9"/>
      <c r="Y2130" s="9"/>
      <c r="AA2130" s="16"/>
      <c r="AK2130" s="16"/>
      <c r="AL2130" s="17"/>
      <c r="AN2130" s="16"/>
    </row>
    <row r="2131" spans="9:40" x14ac:dyDescent="0.4">
      <c r="I2131" s="11"/>
      <c r="J2131" s="9"/>
      <c r="K2131" s="9"/>
      <c r="O2131" s="11"/>
      <c r="P2131" s="9"/>
      <c r="Q2131" s="9"/>
      <c r="R2131" s="9"/>
      <c r="S2131" s="9"/>
      <c r="T2131" s="31"/>
      <c r="W2131" s="16"/>
      <c r="X2131" s="9"/>
      <c r="Y2131" s="9"/>
      <c r="AA2131" s="16"/>
      <c r="AK2131" s="16"/>
      <c r="AL2131" s="17"/>
      <c r="AN2131" s="16"/>
    </row>
    <row r="2132" spans="9:40" x14ac:dyDescent="0.4">
      <c r="I2132" s="11"/>
      <c r="J2132" s="9"/>
      <c r="K2132" s="9"/>
      <c r="O2132" s="11"/>
      <c r="P2132" s="9"/>
      <c r="Q2132" s="9"/>
      <c r="R2132" s="9"/>
      <c r="S2132" s="9"/>
      <c r="T2132" s="31"/>
      <c r="W2132" s="16"/>
      <c r="X2132" s="9"/>
      <c r="Y2132" s="9"/>
      <c r="AA2132" s="16"/>
      <c r="AK2132" s="16"/>
      <c r="AL2132" s="17"/>
      <c r="AN2132" s="16"/>
    </row>
    <row r="2133" spans="9:40" x14ac:dyDescent="0.4">
      <c r="I2133" s="11"/>
      <c r="J2133" s="9"/>
      <c r="K2133" s="9"/>
      <c r="O2133" s="11"/>
      <c r="P2133" s="9"/>
      <c r="Q2133" s="9"/>
      <c r="R2133" s="9"/>
      <c r="S2133" s="9"/>
      <c r="T2133" s="31"/>
      <c r="W2133" s="16"/>
      <c r="X2133" s="9"/>
      <c r="Y2133" s="9"/>
      <c r="AA2133" s="16"/>
      <c r="AK2133" s="16"/>
      <c r="AL2133" s="17"/>
      <c r="AN2133" s="16"/>
    </row>
    <row r="2134" spans="9:40" x14ac:dyDescent="0.4">
      <c r="I2134" s="11"/>
      <c r="J2134" s="9"/>
      <c r="K2134" s="9"/>
      <c r="O2134" s="11"/>
      <c r="P2134" s="9"/>
      <c r="Q2134" s="9"/>
      <c r="R2134" s="9"/>
      <c r="S2134" s="9"/>
      <c r="T2134" s="31"/>
      <c r="W2134" s="16"/>
      <c r="X2134" s="9"/>
      <c r="Y2134" s="9"/>
      <c r="AA2134" s="16"/>
      <c r="AK2134" s="16"/>
      <c r="AL2134" s="17"/>
      <c r="AN2134" s="16"/>
    </row>
    <row r="2135" spans="9:40" x14ac:dyDescent="0.4">
      <c r="I2135" s="11"/>
      <c r="J2135" s="9"/>
      <c r="K2135" s="9"/>
      <c r="O2135" s="11"/>
      <c r="P2135" s="9"/>
      <c r="Q2135" s="9"/>
      <c r="R2135" s="9"/>
      <c r="S2135" s="9"/>
      <c r="T2135" s="31"/>
      <c r="W2135" s="16"/>
      <c r="X2135" s="9"/>
      <c r="Y2135" s="9"/>
      <c r="AA2135" s="16"/>
      <c r="AK2135" s="16"/>
      <c r="AL2135" s="17"/>
      <c r="AN2135" s="16"/>
    </row>
    <row r="2136" spans="9:40" x14ac:dyDescent="0.4">
      <c r="I2136" s="11"/>
      <c r="J2136" s="9"/>
      <c r="K2136" s="9"/>
      <c r="O2136" s="11"/>
      <c r="P2136" s="9"/>
      <c r="Q2136" s="9"/>
      <c r="R2136" s="9"/>
      <c r="S2136" s="9"/>
      <c r="T2136" s="31"/>
      <c r="W2136" s="16"/>
      <c r="X2136" s="9"/>
      <c r="Y2136" s="9"/>
      <c r="AA2136" s="16"/>
      <c r="AK2136" s="16"/>
      <c r="AL2136" s="17"/>
      <c r="AN2136" s="16"/>
    </row>
    <row r="2137" spans="9:40" x14ac:dyDescent="0.4">
      <c r="I2137" s="11"/>
      <c r="J2137" s="9"/>
      <c r="K2137" s="9"/>
      <c r="O2137" s="11"/>
      <c r="P2137" s="9"/>
      <c r="Q2137" s="9"/>
      <c r="R2137" s="9"/>
      <c r="S2137" s="9"/>
      <c r="T2137" s="31"/>
      <c r="W2137" s="16"/>
      <c r="X2137" s="9"/>
      <c r="Y2137" s="9"/>
      <c r="AA2137" s="16"/>
      <c r="AK2137" s="16"/>
      <c r="AL2137" s="17"/>
      <c r="AN2137" s="16"/>
    </row>
    <row r="2138" spans="9:40" x14ac:dyDescent="0.4">
      <c r="I2138" s="11"/>
      <c r="J2138" s="9"/>
      <c r="K2138" s="9"/>
      <c r="O2138" s="11"/>
      <c r="P2138" s="9"/>
      <c r="Q2138" s="9"/>
      <c r="R2138" s="9"/>
      <c r="S2138" s="9"/>
      <c r="T2138" s="31"/>
      <c r="W2138" s="16"/>
      <c r="X2138" s="9"/>
      <c r="Y2138" s="9"/>
      <c r="AA2138" s="16"/>
      <c r="AK2138" s="16"/>
      <c r="AL2138" s="17"/>
      <c r="AN2138" s="16"/>
    </row>
    <row r="2139" spans="9:40" x14ac:dyDescent="0.4">
      <c r="I2139" s="11"/>
      <c r="J2139" s="9"/>
      <c r="K2139" s="9"/>
      <c r="O2139" s="11"/>
      <c r="P2139" s="9"/>
      <c r="Q2139" s="9"/>
      <c r="R2139" s="9"/>
      <c r="S2139" s="9"/>
      <c r="T2139" s="31"/>
      <c r="W2139" s="16"/>
      <c r="X2139" s="9"/>
      <c r="Y2139" s="9"/>
      <c r="AA2139" s="16"/>
      <c r="AK2139" s="16"/>
      <c r="AL2139" s="17"/>
      <c r="AN2139" s="16"/>
    </row>
    <row r="2140" spans="9:40" x14ac:dyDescent="0.4">
      <c r="I2140" s="11"/>
      <c r="J2140" s="9"/>
      <c r="K2140" s="9"/>
      <c r="O2140" s="11"/>
      <c r="P2140" s="9"/>
      <c r="Q2140" s="9"/>
      <c r="R2140" s="9"/>
      <c r="S2140" s="9"/>
      <c r="T2140" s="31"/>
      <c r="W2140" s="16"/>
      <c r="X2140" s="9"/>
      <c r="Y2140" s="9"/>
      <c r="AA2140" s="16"/>
      <c r="AK2140" s="16"/>
      <c r="AL2140" s="17"/>
      <c r="AN2140" s="16"/>
    </row>
    <row r="2141" spans="9:40" x14ac:dyDescent="0.4">
      <c r="I2141" s="11"/>
      <c r="J2141" s="9"/>
      <c r="K2141" s="9"/>
      <c r="O2141" s="11"/>
      <c r="P2141" s="9"/>
      <c r="Q2141" s="9"/>
      <c r="R2141" s="9"/>
      <c r="S2141" s="9"/>
      <c r="T2141" s="31"/>
      <c r="W2141" s="16"/>
      <c r="X2141" s="9"/>
      <c r="Y2141" s="9"/>
      <c r="AA2141" s="16"/>
      <c r="AK2141" s="16"/>
      <c r="AL2141" s="17"/>
      <c r="AN2141" s="16"/>
    </row>
    <row r="2142" spans="9:40" x14ac:dyDescent="0.4">
      <c r="I2142" s="11"/>
      <c r="J2142" s="9"/>
      <c r="K2142" s="9"/>
      <c r="O2142" s="11"/>
      <c r="P2142" s="9"/>
      <c r="Q2142" s="9"/>
      <c r="R2142" s="9"/>
      <c r="S2142" s="9"/>
      <c r="T2142" s="31"/>
      <c r="W2142" s="16"/>
      <c r="X2142" s="9"/>
      <c r="Y2142" s="9"/>
      <c r="AA2142" s="16"/>
      <c r="AK2142" s="16"/>
      <c r="AL2142" s="17"/>
      <c r="AN2142" s="16"/>
    </row>
    <row r="2143" spans="9:40" x14ac:dyDescent="0.4">
      <c r="I2143" s="11"/>
      <c r="J2143" s="9"/>
      <c r="K2143" s="9"/>
      <c r="O2143" s="11"/>
      <c r="P2143" s="9"/>
      <c r="Q2143" s="9"/>
      <c r="R2143" s="9"/>
      <c r="S2143" s="9"/>
      <c r="T2143" s="31"/>
      <c r="W2143" s="16"/>
      <c r="X2143" s="9"/>
      <c r="Y2143" s="9"/>
      <c r="AA2143" s="16"/>
      <c r="AK2143" s="16"/>
      <c r="AL2143" s="17"/>
      <c r="AN2143" s="16"/>
    </row>
    <row r="2144" spans="9:40" x14ac:dyDescent="0.4">
      <c r="I2144" s="11"/>
      <c r="J2144" s="9"/>
      <c r="K2144" s="9"/>
      <c r="O2144" s="11"/>
      <c r="P2144" s="9"/>
      <c r="Q2144" s="9"/>
      <c r="R2144" s="9"/>
      <c r="S2144" s="9"/>
      <c r="T2144" s="31"/>
      <c r="W2144" s="16"/>
      <c r="X2144" s="9"/>
      <c r="Y2144" s="9"/>
      <c r="AA2144" s="16"/>
      <c r="AK2144" s="16"/>
      <c r="AL2144" s="17"/>
      <c r="AN2144" s="16"/>
    </row>
    <row r="2145" spans="9:40" x14ac:dyDescent="0.4">
      <c r="I2145" s="11"/>
      <c r="J2145" s="9"/>
      <c r="K2145" s="9"/>
      <c r="O2145" s="11"/>
      <c r="P2145" s="9"/>
      <c r="Q2145" s="9"/>
      <c r="R2145" s="9"/>
      <c r="S2145" s="9"/>
      <c r="T2145" s="31"/>
      <c r="W2145" s="16"/>
      <c r="X2145" s="9"/>
      <c r="Y2145" s="9"/>
      <c r="AA2145" s="16"/>
      <c r="AK2145" s="16"/>
      <c r="AL2145" s="17"/>
      <c r="AN2145" s="16"/>
    </row>
    <row r="2146" spans="9:40" x14ac:dyDescent="0.4">
      <c r="I2146" s="11"/>
      <c r="J2146" s="9"/>
      <c r="K2146" s="9"/>
      <c r="O2146" s="11"/>
      <c r="P2146" s="9"/>
      <c r="Q2146" s="9"/>
      <c r="R2146" s="9"/>
      <c r="S2146" s="9"/>
      <c r="T2146" s="31"/>
      <c r="W2146" s="16"/>
      <c r="X2146" s="9"/>
      <c r="Y2146" s="9"/>
      <c r="AA2146" s="16"/>
      <c r="AK2146" s="16"/>
      <c r="AL2146" s="17"/>
      <c r="AN2146" s="16"/>
    </row>
    <row r="2147" spans="9:40" x14ac:dyDescent="0.4">
      <c r="I2147" s="11"/>
      <c r="J2147" s="9"/>
      <c r="K2147" s="9"/>
      <c r="O2147" s="11"/>
      <c r="P2147" s="9"/>
      <c r="Q2147" s="9"/>
      <c r="R2147" s="9"/>
      <c r="S2147" s="9"/>
      <c r="T2147" s="31"/>
      <c r="W2147" s="16"/>
      <c r="X2147" s="9"/>
      <c r="Y2147" s="9"/>
      <c r="AA2147" s="16"/>
      <c r="AK2147" s="16"/>
      <c r="AL2147" s="17"/>
      <c r="AN2147" s="16"/>
    </row>
    <row r="2148" spans="9:40" x14ac:dyDescent="0.4">
      <c r="I2148" s="11"/>
      <c r="J2148" s="9"/>
      <c r="K2148" s="9"/>
      <c r="O2148" s="11"/>
      <c r="P2148" s="9"/>
      <c r="Q2148" s="9"/>
      <c r="R2148" s="9"/>
      <c r="S2148" s="9"/>
      <c r="T2148" s="31"/>
      <c r="W2148" s="16"/>
      <c r="X2148" s="9"/>
      <c r="Y2148" s="9"/>
      <c r="AA2148" s="16"/>
      <c r="AK2148" s="16"/>
      <c r="AL2148" s="17"/>
      <c r="AN2148" s="16"/>
    </row>
    <row r="2149" spans="9:40" x14ac:dyDescent="0.4">
      <c r="I2149" s="11"/>
      <c r="J2149" s="9"/>
      <c r="K2149" s="9"/>
      <c r="O2149" s="11"/>
      <c r="P2149" s="9"/>
      <c r="Q2149" s="9"/>
      <c r="R2149" s="9"/>
      <c r="S2149" s="9"/>
      <c r="T2149" s="31"/>
      <c r="W2149" s="16"/>
      <c r="X2149" s="9"/>
      <c r="Y2149" s="9"/>
      <c r="AA2149" s="16"/>
      <c r="AK2149" s="16"/>
      <c r="AL2149" s="17"/>
      <c r="AN2149" s="16"/>
    </row>
    <row r="2150" spans="9:40" x14ac:dyDescent="0.4">
      <c r="I2150" s="11"/>
      <c r="J2150" s="9"/>
      <c r="K2150" s="9"/>
      <c r="O2150" s="11"/>
      <c r="P2150" s="9"/>
      <c r="Q2150" s="9"/>
      <c r="R2150" s="9"/>
      <c r="S2150" s="9"/>
      <c r="T2150" s="31"/>
      <c r="W2150" s="16"/>
      <c r="X2150" s="9"/>
      <c r="Y2150" s="9"/>
      <c r="AA2150" s="16"/>
      <c r="AK2150" s="16"/>
      <c r="AL2150" s="17"/>
      <c r="AN2150" s="16"/>
    </row>
    <row r="2151" spans="9:40" x14ac:dyDescent="0.4">
      <c r="I2151" s="11"/>
      <c r="J2151" s="9"/>
      <c r="K2151" s="9"/>
      <c r="O2151" s="11"/>
      <c r="P2151" s="9"/>
      <c r="Q2151" s="9"/>
      <c r="R2151" s="9"/>
      <c r="S2151" s="9"/>
      <c r="T2151" s="31"/>
      <c r="W2151" s="16"/>
      <c r="X2151" s="9"/>
      <c r="Y2151" s="9"/>
      <c r="AA2151" s="16"/>
      <c r="AK2151" s="16"/>
      <c r="AL2151" s="17"/>
      <c r="AN2151" s="16"/>
    </row>
    <row r="2152" spans="9:40" x14ac:dyDescent="0.4">
      <c r="I2152" s="11"/>
      <c r="J2152" s="9"/>
      <c r="K2152" s="9"/>
      <c r="O2152" s="11"/>
      <c r="P2152" s="9"/>
      <c r="Q2152" s="9"/>
      <c r="R2152" s="9"/>
      <c r="S2152" s="9"/>
      <c r="T2152" s="31"/>
      <c r="W2152" s="16"/>
      <c r="X2152" s="9"/>
      <c r="Y2152" s="9"/>
      <c r="AA2152" s="16"/>
      <c r="AK2152" s="16"/>
      <c r="AL2152" s="17"/>
      <c r="AN2152" s="16"/>
    </row>
    <row r="2153" spans="9:40" x14ac:dyDescent="0.4">
      <c r="I2153" s="11"/>
      <c r="J2153" s="9"/>
      <c r="K2153" s="9"/>
      <c r="O2153" s="11"/>
      <c r="P2153" s="9"/>
      <c r="Q2153" s="9"/>
      <c r="R2153" s="9"/>
      <c r="S2153" s="9"/>
      <c r="T2153" s="31"/>
      <c r="W2153" s="16"/>
      <c r="X2153" s="9"/>
      <c r="Y2153" s="9"/>
      <c r="AA2153" s="16"/>
      <c r="AK2153" s="16"/>
      <c r="AL2153" s="17"/>
      <c r="AN2153" s="16"/>
    </row>
    <row r="2154" spans="9:40" x14ac:dyDescent="0.4">
      <c r="I2154" s="11"/>
      <c r="J2154" s="9"/>
      <c r="K2154" s="9"/>
      <c r="O2154" s="11"/>
      <c r="P2154" s="9"/>
      <c r="Q2154" s="9"/>
      <c r="R2154" s="9"/>
      <c r="S2154" s="9"/>
      <c r="T2154" s="31"/>
      <c r="W2154" s="16"/>
      <c r="X2154" s="9"/>
      <c r="Y2154" s="9"/>
      <c r="AA2154" s="16"/>
      <c r="AK2154" s="16"/>
      <c r="AL2154" s="17"/>
      <c r="AN2154" s="16"/>
    </row>
    <row r="2155" spans="9:40" x14ac:dyDescent="0.4">
      <c r="I2155" s="11"/>
      <c r="J2155" s="9"/>
      <c r="K2155" s="9"/>
      <c r="O2155" s="11"/>
      <c r="P2155" s="9"/>
      <c r="Q2155" s="9"/>
      <c r="R2155" s="9"/>
      <c r="S2155" s="9"/>
      <c r="T2155" s="31"/>
      <c r="W2155" s="16"/>
      <c r="X2155" s="9"/>
      <c r="Y2155" s="9"/>
      <c r="AA2155" s="16"/>
      <c r="AK2155" s="16"/>
      <c r="AL2155" s="17"/>
      <c r="AN2155" s="16"/>
    </row>
    <row r="2156" spans="9:40" x14ac:dyDescent="0.4">
      <c r="I2156" s="11"/>
      <c r="J2156" s="9"/>
      <c r="K2156" s="9"/>
      <c r="O2156" s="11"/>
      <c r="P2156" s="9"/>
      <c r="Q2156" s="9"/>
      <c r="R2156" s="9"/>
      <c r="S2156" s="9"/>
      <c r="T2156" s="31"/>
      <c r="W2156" s="16"/>
      <c r="X2156" s="9"/>
      <c r="Y2156" s="9"/>
      <c r="AA2156" s="16"/>
      <c r="AK2156" s="16"/>
      <c r="AL2156" s="17"/>
      <c r="AN2156" s="16"/>
    </row>
    <row r="2157" spans="9:40" x14ac:dyDescent="0.4">
      <c r="I2157" s="11"/>
      <c r="J2157" s="9"/>
      <c r="K2157" s="9"/>
      <c r="O2157" s="11"/>
      <c r="P2157" s="9"/>
      <c r="Q2157" s="9"/>
      <c r="R2157" s="9"/>
      <c r="S2157" s="9"/>
      <c r="T2157" s="31"/>
      <c r="W2157" s="16"/>
      <c r="X2157" s="9"/>
      <c r="Y2157" s="9"/>
      <c r="AA2157" s="16"/>
      <c r="AK2157" s="16"/>
      <c r="AL2157" s="17"/>
      <c r="AN2157" s="16"/>
    </row>
    <row r="2158" spans="9:40" x14ac:dyDescent="0.4">
      <c r="I2158" s="11"/>
      <c r="J2158" s="9"/>
      <c r="K2158" s="9"/>
      <c r="O2158" s="11"/>
      <c r="P2158" s="9"/>
      <c r="Q2158" s="9"/>
      <c r="R2158" s="9"/>
      <c r="S2158" s="9"/>
      <c r="T2158" s="31"/>
      <c r="W2158" s="16"/>
      <c r="X2158" s="9"/>
      <c r="Y2158" s="9"/>
      <c r="AA2158" s="16"/>
      <c r="AK2158" s="16"/>
      <c r="AL2158" s="17"/>
      <c r="AN2158" s="16"/>
    </row>
    <row r="2159" spans="9:40" x14ac:dyDescent="0.4">
      <c r="I2159" s="11"/>
      <c r="J2159" s="9"/>
      <c r="K2159" s="9"/>
      <c r="O2159" s="11"/>
      <c r="P2159" s="9"/>
      <c r="Q2159" s="9"/>
      <c r="R2159" s="9"/>
      <c r="S2159" s="9"/>
      <c r="T2159" s="31"/>
      <c r="W2159" s="16"/>
      <c r="X2159" s="9"/>
      <c r="Y2159" s="9"/>
      <c r="AA2159" s="16"/>
      <c r="AK2159" s="16"/>
      <c r="AL2159" s="17"/>
      <c r="AN2159" s="16"/>
    </row>
    <row r="2160" spans="9:40" x14ac:dyDescent="0.4">
      <c r="I2160" s="11"/>
      <c r="J2160" s="9"/>
      <c r="K2160" s="9"/>
      <c r="O2160" s="11"/>
      <c r="P2160" s="9"/>
      <c r="Q2160" s="9"/>
      <c r="R2160" s="9"/>
      <c r="S2160" s="9"/>
      <c r="T2160" s="31"/>
      <c r="W2160" s="16"/>
      <c r="X2160" s="9"/>
      <c r="Y2160" s="9"/>
      <c r="AA2160" s="16"/>
      <c r="AK2160" s="16"/>
      <c r="AL2160" s="17"/>
      <c r="AN2160" s="16"/>
    </row>
    <row r="2161" spans="9:40" x14ac:dyDescent="0.4">
      <c r="I2161" s="11"/>
      <c r="J2161" s="9"/>
      <c r="K2161" s="9"/>
      <c r="O2161" s="11"/>
      <c r="P2161" s="9"/>
      <c r="Q2161" s="9"/>
      <c r="R2161" s="9"/>
      <c r="S2161" s="9"/>
      <c r="T2161" s="31"/>
      <c r="W2161" s="16"/>
      <c r="X2161" s="9"/>
      <c r="Y2161" s="9"/>
      <c r="AA2161" s="16"/>
      <c r="AK2161" s="16"/>
      <c r="AL2161" s="17"/>
      <c r="AN2161" s="16"/>
    </row>
    <row r="2162" spans="9:40" x14ac:dyDescent="0.4">
      <c r="I2162" s="11"/>
      <c r="J2162" s="9"/>
      <c r="K2162" s="9"/>
      <c r="O2162" s="11"/>
      <c r="P2162" s="9"/>
      <c r="Q2162" s="9"/>
      <c r="R2162" s="9"/>
      <c r="S2162" s="9"/>
      <c r="T2162" s="31"/>
      <c r="W2162" s="16"/>
      <c r="X2162" s="9"/>
      <c r="Y2162" s="9"/>
      <c r="AA2162" s="16"/>
      <c r="AK2162" s="16"/>
      <c r="AL2162" s="17"/>
      <c r="AN2162" s="16"/>
    </row>
    <row r="2163" spans="9:40" x14ac:dyDescent="0.4">
      <c r="I2163" s="11"/>
      <c r="J2163" s="9"/>
      <c r="K2163" s="9"/>
      <c r="O2163" s="11"/>
      <c r="P2163" s="9"/>
      <c r="Q2163" s="9"/>
      <c r="R2163" s="9"/>
      <c r="S2163" s="9"/>
      <c r="T2163" s="31"/>
      <c r="W2163" s="16"/>
      <c r="X2163" s="9"/>
      <c r="Y2163" s="9"/>
      <c r="AA2163" s="16"/>
      <c r="AK2163" s="16"/>
      <c r="AL2163" s="17"/>
      <c r="AN2163" s="16"/>
    </row>
    <row r="2164" spans="9:40" x14ac:dyDescent="0.4">
      <c r="I2164" s="11"/>
      <c r="J2164" s="9"/>
      <c r="K2164" s="9"/>
      <c r="O2164" s="11"/>
      <c r="P2164" s="9"/>
      <c r="Q2164" s="9"/>
      <c r="R2164" s="9"/>
      <c r="S2164" s="9"/>
      <c r="T2164" s="31"/>
      <c r="W2164" s="16"/>
      <c r="X2164" s="9"/>
      <c r="Y2164" s="9"/>
      <c r="AA2164" s="16"/>
      <c r="AK2164" s="16"/>
      <c r="AL2164" s="17"/>
      <c r="AN2164" s="16"/>
    </row>
    <row r="2165" spans="9:40" x14ac:dyDescent="0.4">
      <c r="I2165" s="11"/>
      <c r="J2165" s="9"/>
      <c r="K2165" s="9"/>
      <c r="O2165" s="11"/>
      <c r="P2165" s="9"/>
      <c r="Q2165" s="9"/>
      <c r="R2165" s="9"/>
      <c r="S2165" s="9"/>
      <c r="T2165" s="31"/>
      <c r="W2165" s="16"/>
      <c r="X2165" s="9"/>
      <c r="Y2165" s="9"/>
      <c r="AA2165" s="16"/>
      <c r="AK2165" s="16"/>
      <c r="AL2165" s="17"/>
      <c r="AN2165" s="16"/>
    </row>
    <row r="2166" spans="9:40" x14ac:dyDescent="0.4">
      <c r="I2166" s="11"/>
      <c r="J2166" s="9"/>
      <c r="K2166" s="9"/>
      <c r="O2166" s="11"/>
      <c r="P2166" s="9"/>
      <c r="Q2166" s="9"/>
      <c r="R2166" s="9"/>
      <c r="S2166" s="9"/>
      <c r="T2166" s="31"/>
      <c r="W2166" s="16"/>
      <c r="X2166" s="9"/>
      <c r="Y2166" s="9"/>
      <c r="AA2166" s="16"/>
      <c r="AK2166" s="16"/>
      <c r="AL2166" s="17"/>
      <c r="AN2166" s="16"/>
    </row>
    <row r="2167" spans="9:40" x14ac:dyDescent="0.4">
      <c r="I2167" s="11"/>
      <c r="J2167" s="9"/>
      <c r="K2167" s="9"/>
      <c r="O2167" s="11"/>
      <c r="P2167" s="9"/>
      <c r="Q2167" s="9"/>
      <c r="R2167" s="9"/>
      <c r="S2167" s="9"/>
      <c r="T2167" s="31"/>
      <c r="W2167" s="16"/>
      <c r="X2167" s="9"/>
      <c r="Y2167" s="9"/>
      <c r="AA2167" s="16"/>
      <c r="AK2167" s="16"/>
      <c r="AL2167" s="17"/>
      <c r="AN2167" s="16"/>
    </row>
    <row r="2168" spans="9:40" x14ac:dyDescent="0.4">
      <c r="I2168" s="11"/>
      <c r="J2168" s="9"/>
      <c r="K2168" s="9"/>
      <c r="O2168" s="11"/>
      <c r="P2168" s="9"/>
      <c r="Q2168" s="9"/>
      <c r="R2168" s="9"/>
      <c r="S2168" s="9"/>
      <c r="T2168" s="31"/>
      <c r="W2168" s="16"/>
      <c r="X2168" s="9"/>
      <c r="Y2168" s="9"/>
      <c r="AA2168" s="16"/>
      <c r="AK2168" s="16"/>
      <c r="AL2168" s="17"/>
      <c r="AN2168" s="16"/>
    </row>
    <row r="2169" spans="9:40" x14ac:dyDescent="0.4">
      <c r="I2169" s="11"/>
      <c r="J2169" s="9"/>
      <c r="K2169" s="9"/>
      <c r="O2169" s="11"/>
      <c r="P2169" s="9"/>
      <c r="Q2169" s="9"/>
      <c r="R2169" s="9"/>
      <c r="S2169" s="9"/>
      <c r="T2169" s="31"/>
      <c r="W2169" s="16"/>
      <c r="X2169" s="9"/>
      <c r="Y2169" s="9"/>
      <c r="AA2169" s="16"/>
      <c r="AK2169" s="16"/>
      <c r="AL2169" s="17"/>
      <c r="AN2169" s="16"/>
    </row>
    <row r="2170" spans="9:40" x14ac:dyDescent="0.4">
      <c r="I2170" s="11"/>
      <c r="J2170" s="9"/>
      <c r="K2170" s="9"/>
      <c r="O2170" s="11"/>
      <c r="P2170" s="9"/>
      <c r="Q2170" s="9"/>
      <c r="R2170" s="9"/>
      <c r="S2170" s="9"/>
      <c r="T2170" s="31"/>
      <c r="W2170" s="16"/>
      <c r="X2170" s="9"/>
      <c r="Y2170" s="9"/>
      <c r="AA2170" s="16"/>
      <c r="AK2170" s="16"/>
      <c r="AL2170" s="17"/>
      <c r="AN2170" s="16"/>
    </row>
    <row r="2171" spans="9:40" x14ac:dyDescent="0.4">
      <c r="I2171" s="11"/>
      <c r="J2171" s="9"/>
      <c r="K2171" s="9"/>
      <c r="O2171" s="11"/>
      <c r="P2171" s="9"/>
      <c r="Q2171" s="9"/>
      <c r="R2171" s="9"/>
      <c r="S2171" s="9"/>
      <c r="T2171" s="31"/>
      <c r="W2171" s="16"/>
      <c r="X2171" s="9"/>
      <c r="Y2171" s="9"/>
      <c r="AA2171" s="16"/>
      <c r="AK2171" s="16"/>
      <c r="AL2171" s="17"/>
      <c r="AN2171" s="16"/>
    </row>
    <row r="2172" spans="9:40" x14ac:dyDescent="0.4">
      <c r="I2172" s="11"/>
      <c r="J2172" s="9"/>
      <c r="K2172" s="9"/>
      <c r="O2172" s="11"/>
      <c r="P2172" s="9"/>
      <c r="Q2172" s="9"/>
      <c r="R2172" s="9"/>
      <c r="S2172" s="9"/>
      <c r="T2172" s="31"/>
      <c r="W2172" s="16"/>
      <c r="X2172" s="9"/>
      <c r="Y2172" s="9"/>
      <c r="AA2172" s="16"/>
      <c r="AK2172" s="16"/>
      <c r="AL2172" s="17"/>
      <c r="AN2172" s="16"/>
    </row>
    <row r="2173" spans="9:40" x14ac:dyDescent="0.4">
      <c r="I2173" s="11"/>
      <c r="J2173" s="9"/>
      <c r="K2173" s="9"/>
      <c r="O2173" s="11"/>
      <c r="P2173" s="9"/>
      <c r="Q2173" s="9"/>
      <c r="R2173" s="9"/>
      <c r="S2173" s="9"/>
      <c r="T2173" s="31"/>
      <c r="W2173" s="16"/>
      <c r="X2173" s="9"/>
      <c r="Y2173" s="9"/>
      <c r="AA2173" s="16"/>
      <c r="AK2173" s="16"/>
      <c r="AL2173" s="17"/>
      <c r="AN2173" s="16"/>
    </row>
    <row r="2174" spans="9:40" x14ac:dyDescent="0.4">
      <c r="I2174" s="11"/>
      <c r="J2174" s="9"/>
      <c r="K2174" s="9"/>
      <c r="O2174" s="11"/>
      <c r="P2174" s="9"/>
      <c r="Q2174" s="9"/>
      <c r="R2174" s="9"/>
      <c r="S2174" s="9"/>
      <c r="T2174" s="31"/>
      <c r="W2174" s="16"/>
      <c r="X2174" s="9"/>
      <c r="Y2174" s="9"/>
      <c r="AA2174" s="16"/>
      <c r="AK2174" s="16"/>
      <c r="AL2174" s="17"/>
      <c r="AN2174" s="16"/>
    </row>
    <row r="2175" spans="9:40" x14ac:dyDescent="0.4">
      <c r="I2175" s="11"/>
      <c r="J2175" s="9"/>
      <c r="K2175" s="9"/>
      <c r="O2175" s="11"/>
      <c r="P2175" s="9"/>
      <c r="Q2175" s="9"/>
      <c r="R2175" s="9"/>
      <c r="S2175" s="9"/>
      <c r="T2175" s="31"/>
      <c r="W2175" s="16"/>
      <c r="X2175" s="9"/>
      <c r="Y2175" s="9"/>
      <c r="AA2175" s="16"/>
      <c r="AK2175" s="16"/>
      <c r="AL2175" s="17"/>
      <c r="AN2175" s="16"/>
    </row>
    <row r="2176" spans="9:40" x14ac:dyDescent="0.4">
      <c r="I2176" s="11"/>
      <c r="J2176" s="9"/>
      <c r="K2176" s="9"/>
      <c r="O2176" s="11"/>
      <c r="P2176" s="9"/>
      <c r="Q2176" s="9"/>
      <c r="R2176" s="9"/>
      <c r="S2176" s="9"/>
      <c r="T2176" s="31"/>
      <c r="W2176" s="16"/>
      <c r="X2176" s="9"/>
      <c r="Y2176" s="9"/>
      <c r="AA2176" s="16"/>
      <c r="AK2176" s="16"/>
      <c r="AL2176" s="17"/>
      <c r="AN2176" s="16"/>
    </row>
    <row r="2177" spans="9:40" x14ac:dyDescent="0.4">
      <c r="I2177" s="11"/>
      <c r="J2177" s="9"/>
      <c r="K2177" s="9"/>
      <c r="O2177" s="11"/>
      <c r="P2177" s="9"/>
      <c r="Q2177" s="9"/>
      <c r="R2177" s="9"/>
      <c r="S2177" s="9"/>
      <c r="T2177" s="31"/>
      <c r="W2177" s="16"/>
      <c r="X2177" s="9"/>
      <c r="Y2177" s="9"/>
      <c r="AA2177" s="16"/>
      <c r="AK2177" s="16"/>
      <c r="AL2177" s="17"/>
      <c r="AN2177" s="16"/>
    </row>
    <row r="2178" spans="9:40" x14ac:dyDescent="0.4">
      <c r="I2178" s="11"/>
      <c r="J2178" s="9"/>
      <c r="K2178" s="9"/>
      <c r="O2178" s="11"/>
      <c r="P2178" s="9"/>
      <c r="Q2178" s="9"/>
      <c r="R2178" s="9"/>
      <c r="S2178" s="9"/>
      <c r="T2178" s="31"/>
      <c r="W2178" s="16"/>
      <c r="X2178" s="9"/>
      <c r="Y2178" s="9"/>
      <c r="AA2178" s="16"/>
      <c r="AK2178" s="16"/>
      <c r="AL2178" s="17"/>
      <c r="AN2178" s="16"/>
    </row>
    <row r="2179" spans="9:40" x14ac:dyDescent="0.4">
      <c r="I2179" s="11"/>
      <c r="J2179" s="9"/>
      <c r="K2179" s="9"/>
      <c r="O2179" s="11"/>
      <c r="P2179" s="9"/>
      <c r="Q2179" s="9"/>
      <c r="R2179" s="9"/>
      <c r="S2179" s="9"/>
      <c r="T2179" s="31"/>
      <c r="W2179" s="16"/>
      <c r="X2179" s="9"/>
      <c r="Y2179" s="9"/>
      <c r="AA2179" s="16"/>
      <c r="AK2179" s="16"/>
      <c r="AL2179" s="17"/>
      <c r="AN2179" s="16"/>
    </row>
    <row r="2180" spans="9:40" x14ac:dyDescent="0.4">
      <c r="I2180" s="11"/>
      <c r="J2180" s="9"/>
      <c r="K2180" s="9"/>
      <c r="O2180" s="11"/>
      <c r="P2180" s="9"/>
      <c r="Q2180" s="9"/>
      <c r="R2180" s="9"/>
      <c r="S2180" s="9"/>
      <c r="T2180" s="31"/>
      <c r="W2180" s="16"/>
      <c r="X2180" s="9"/>
      <c r="Y2180" s="9"/>
      <c r="AA2180" s="16"/>
      <c r="AK2180" s="16"/>
      <c r="AL2180" s="17"/>
      <c r="AN2180" s="16"/>
    </row>
    <row r="2181" spans="9:40" x14ac:dyDescent="0.4">
      <c r="I2181" s="11"/>
      <c r="J2181" s="9"/>
      <c r="K2181" s="9"/>
      <c r="O2181" s="11"/>
      <c r="P2181" s="9"/>
      <c r="Q2181" s="9"/>
      <c r="R2181" s="9"/>
      <c r="S2181" s="9"/>
      <c r="T2181" s="31"/>
      <c r="W2181" s="16"/>
      <c r="X2181" s="9"/>
      <c r="Y2181" s="9"/>
      <c r="AA2181" s="16"/>
      <c r="AK2181" s="16"/>
      <c r="AL2181" s="17"/>
      <c r="AN2181" s="16"/>
    </row>
    <row r="2182" spans="9:40" x14ac:dyDescent="0.4">
      <c r="I2182" s="11"/>
      <c r="J2182" s="9"/>
      <c r="K2182" s="9"/>
      <c r="O2182" s="11"/>
      <c r="P2182" s="9"/>
      <c r="Q2182" s="9"/>
      <c r="R2182" s="9"/>
      <c r="S2182" s="9"/>
      <c r="T2182" s="31"/>
      <c r="W2182" s="16"/>
      <c r="X2182" s="9"/>
      <c r="Y2182" s="9"/>
      <c r="AA2182" s="16"/>
      <c r="AK2182" s="16"/>
      <c r="AL2182" s="17"/>
      <c r="AN2182" s="16"/>
    </row>
    <row r="2183" spans="9:40" x14ac:dyDescent="0.4">
      <c r="I2183" s="11"/>
      <c r="J2183" s="9"/>
      <c r="K2183" s="9"/>
      <c r="O2183" s="11"/>
      <c r="P2183" s="9"/>
      <c r="Q2183" s="9"/>
      <c r="R2183" s="9"/>
      <c r="S2183" s="9"/>
      <c r="T2183" s="31"/>
      <c r="W2183" s="16"/>
      <c r="X2183" s="9"/>
      <c r="Y2183" s="9"/>
      <c r="AA2183" s="16"/>
      <c r="AK2183" s="16"/>
      <c r="AL2183" s="17"/>
      <c r="AN2183" s="16"/>
    </row>
    <row r="2184" spans="9:40" x14ac:dyDescent="0.4">
      <c r="I2184" s="11"/>
      <c r="J2184" s="9"/>
      <c r="K2184" s="9"/>
      <c r="O2184" s="11"/>
      <c r="P2184" s="9"/>
      <c r="Q2184" s="9"/>
      <c r="R2184" s="9"/>
      <c r="S2184" s="9"/>
      <c r="T2184" s="31"/>
      <c r="W2184" s="16"/>
      <c r="X2184" s="9"/>
      <c r="Y2184" s="9"/>
      <c r="AA2184" s="16"/>
      <c r="AK2184" s="16"/>
      <c r="AL2184" s="17"/>
      <c r="AN2184" s="16"/>
    </row>
    <row r="2185" spans="9:40" x14ac:dyDescent="0.4">
      <c r="I2185" s="11"/>
      <c r="J2185" s="9"/>
      <c r="K2185" s="9"/>
      <c r="O2185" s="11"/>
      <c r="P2185" s="9"/>
      <c r="Q2185" s="9"/>
      <c r="R2185" s="9"/>
      <c r="S2185" s="9"/>
      <c r="T2185" s="31"/>
      <c r="W2185" s="16"/>
      <c r="X2185" s="9"/>
      <c r="Y2185" s="9"/>
      <c r="AA2185" s="16"/>
      <c r="AK2185" s="16"/>
      <c r="AL2185" s="17"/>
      <c r="AN2185" s="16"/>
    </row>
    <row r="2186" spans="9:40" x14ac:dyDescent="0.4">
      <c r="I2186" s="11"/>
      <c r="J2186" s="9"/>
      <c r="K2186" s="9"/>
      <c r="O2186" s="11"/>
      <c r="P2186" s="9"/>
      <c r="Q2186" s="9"/>
      <c r="R2186" s="9"/>
      <c r="S2186" s="9"/>
      <c r="T2186" s="31"/>
      <c r="W2186" s="16"/>
      <c r="X2186" s="9"/>
      <c r="Y2186" s="9"/>
      <c r="AA2186" s="16"/>
      <c r="AK2186" s="16"/>
      <c r="AL2186" s="17"/>
      <c r="AN2186" s="16"/>
    </row>
    <row r="2187" spans="9:40" x14ac:dyDescent="0.4">
      <c r="I2187" s="11"/>
      <c r="J2187" s="9"/>
      <c r="K2187" s="9"/>
      <c r="O2187" s="11"/>
      <c r="P2187" s="9"/>
      <c r="Q2187" s="9"/>
      <c r="R2187" s="9"/>
      <c r="S2187" s="9"/>
      <c r="T2187" s="31"/>
      <c r="W2187" s="16"/>
      <c r="X2187" s="9"/>
      <c r="Y2187" s="9"/>
      <c r="AA2187" s="16"/>
      <c r="AK2187" s="16"/>
      <c r="AL2187" s="17"/>
      <c r="AN2187" s="16"/>
    </row>
    <row r="2188" spans="9:40" x14ac:dyDescent="0.4">
      <c r="I2188" s="11"/>
      <c r="J2188" s="9"/>
      <c r="K2188" s="9"/>
      <c r="O2188" s="11"/>
      <c r="P2188" s="9"/>
      <c r="Q2188" s="9"/>
      <c r="R2188" s="9"/>
      <c r="S2188" s="9"/>
      <c r="T2188" s="31"/>
      <c r="W2188" s="16"/>
      <c r="X2188" s="9"/>
      <c r="Y2188" s="9"/>
      <c r="AA2188" s="16"/>
      <c r="AK2188" s="16"/>
      <c r="AL2188" s="17"/>
      <c r="AN2188" s="16"/>
    </row>
    <row r="2189" spans="9:40" x14ac:dyDescent="0.4">
      <c r="I2189" s="11"/>
      <c r="J2189" s="9"/>
      <c r="K2189" s="9"/>
      <c r="O2189" s="11"/>
      <c r="P2189" s="9"/>
      <c r="Q2189" s="9"/>
      <c r="R2189" s="9"/>
      <c r="S2189" s="9"/>
      <c r="T2189" s="31"/>
      <c r="W2189" s="16"/>
      <c r="X2189" s="9"/>
      <c r="Y2189" s="9"/>
      <c r="AA2189" s="16"/>
      <c r="AK2189" s="16"/>
      <c r="AL2189" s="17"/>
      <c r="AN2189" s="16"/>
    </row>
    <row r="2190" spans="9:40" x14ac:dyDescent="0.4">
      <c r="I2190" s="11"/>
      <c r="J2190" s="9"/>
      <c r="K2190" s="9"/>
      <c r="O2190" s="11"/>
      <c r="P2190" s="9"/>
      <c r="Q2190" s="9"/>
      <c r="R2190" s="9"/>
      <c r="S2190" s="9"/>
      <c r="T2190" s="31"/>
      <c r="W2190" s="16"/>
      <c r="X2190" s="9"/>
      <c r="Y2190" s="9"/>
      <c r="AA2190" s="16"/>
      <c r="AK2190" s="16"/>
      <c r="AL2190" s="17"/>
      <c r="AN2190" s="16"/>
    </row>
    <row r="2191" spans="9:40" x14ac:dyDescent="0.4">
      <c r="I2191" s="11"/>
      <c r="J2191" s="9"/>
      <c r="K2191" s="9"/>
      <c r="O2191" s="11"/>
      <c r="P2191" s="9"/>
      <c r="Q2191" s="9"/>
      <c r="R2191" s="9"/>
      <c r="S2191" s="9"/>
      <c r="T2191" s="31"/>
      <c r="W2191" s="16"/>
      <c r="X2191" s="9"/>
      <c r="Y2191" s="9"/>
      <c r="AA2191" s="16"/>
      <c r="AK2191" s="16"/>
      <c r="AL2191" s="17"/>
      <c r="AN2191" s="16"/>
    </row>
    <row r="2192" spans="9:40" x14ac:dyDescent="0.4">
      <c r="I2192" s="11"/>
      <c r="J2192" s="9"/>
      <c r="K2192" s="9"/>
      <c r="O2192" s="11"/>
      <c r="P2192" s="9"/>
      <c r="Q2192" s="9"/>
      <c r="R2192" s="9"/>
      <c r="S2192" s="9"/>
      <c r="T2192" s="31"/>
      <c r="W2192" s="16"/>
      <c r="X2192" s="9"/>
      <c r="Y2192" s="9"/>
      <c r="AA2192" s="16"/>
      <c r="AK2192" s="16"/>
      <c r="AL2192" s="17"/>
      <c r="AN2192" s="16"/>
    </row>
    <row r="2193" spans="9:40" x14ac:dyDescent="0.4">
      <c r="I2193" s="11"/>
      <c r="J2193" s="9"/>
      <c r="K2193" s="9"/>
      <c r="O2193" s="11"/>
      <c r="P2193" s="9"/>
      <c r="Q2193" s="9"/>
      <c r="R2193" s="9"/>
      <c r="S2193" s="9"/>
      <c r="T2193" s="31"/>
      <c r="W2193" s="16"/>
      <c r="X2193" s="9"/>
      <c r="Y2193" s="9"/>
      <c r="AA2193" s="16"/>
      <c r="AK2193" s="16"/>
      <c r="AL2193" s="17"/>
      <c r="AN2193" s="16"/>
    </row>
    <row r="2194" spans="9:40" x14ac:dyDescent="0.4">
      <c r="I2194" s="11"/>
      <c r="J2194" s="9"/>
      <c r="K2194" s="9"/>
      <c r="O2194" s="11"/>
      <c r="P2194" s="9"/>
      <c r="Q2194" s="9"/>
      <c r="R2194" s="9"/>
      <c r="S2194" s="9"/>
      <c r="T2194" s="31"/>
      <c r="W2194" s="16"/>
      <c r="X2194" s="9"/>
      <c r="Y2194" s="9"/>
      <c r="AA2194" s="16"/>
      <c r="AK2194" s="16"/>
      <c r="AL2194" s="17"/>
      <c r="AN2194" s="16"/>
    </row>
    <row r="2195" spans="9:40" x14ac:dyDescent="0.4">
      <c r="I2195" s="11"/>
      <c r="J2195" s="9"/>
      <c r="K2195" s="9"/>
      <c r="O2195" s="11"/>
      <c r="P2195" s="9"/>
      <c r="Q2195" s="9"/>
      <c r="R2195" s="9"/>
      <c r="S2195" s="9"/>
      <c r="T2195" s="31"/>
      <c r="W2195" s="16"/>
      <c r="X2195" s="9"/>
      <c r="Y2195" s="9"/>
      <c r="AA2195" s="16"/>
      <c r="AK2195" s="16"/>
      <c r="AL2195" s="17"/>
      <c r="AN2195" s="16"/>
    </row>
    <row r="2196" spans="9:40" x14ac:dyDescent="0.4">
      <c r="I2196" s="11"/>
      <c r="J2196" s="9"/>
      <c r="K2196" s="9"/>
      <c r="O2196" s="11"/>
      <c r="P2196" s="9"/>
      <c r="Q2196" s="9"/>
      <c r="R2196" s="9"/>
      <c r="S2196" s="9"/>
      <c r="T2196" s="31"/>
      <c r="W2196" s="16"/>
      <c r="X2196" s="9"/>
      <c r="Y2196" s="9"/>
      <c r="AA2196" s="16"/>
      <c r="AK2196" s="16"/>
      <c r="AL2196" s="17"/>
      <c r="AN2196" s="16"/>
    </row>
    <row r="2197" spans="9:40" x14ac:dyDescent="0.4">
      <c r="I2197" s="11"/>
      <c r="J2197" s="9"/>
      <c r="K2197" s="9"/>
      <c r="O2197" s="11"/>
      <c r="P2197" s="9"/>
      <c r="Q2197" s="9"/>
      <c r="R2197" s="9"/>
      <c r="S2197" s="9"/>
      <c r="T2197" s="31"/>
      <c r="W2197" s="16"/>
      <c r="X2197" s="9"/>
      <c r="Y2197" s="9"/>
      <c r="AA2197" s="16"/>
      <c r="AK2197" s="16"/>
      <c r="AL2197" s="17"/>
      <c r="AN2197" s="16"/>
    </row>
    <row r="2198" spans="9:40" x14ac:dyDescent="0.4">
      <c r="I2198" s="11"/>
      <c r="J2198" s="9"/>
      <c r="K2198" s="9"/>
      <c r="O2198" s="11"/>
      <c r="P2198" s="9"/>
      <c r="Q2198" s="9"/>
      <c r="R2198" s="9"/>
      <c r="S2198" s="9"/>
      <c r="T2198" s="31"/>
      <c r="W2198" s="16"/>
      <c r="X2198" s="9"/>
      <c r="Y2198" s="9"/>
      <c r="AA2198" s="16"/>
      <c r="AK2198" s="16"/>
      <c r="AL2198" s="17"/>
      <c r="AN2198" s="16"/>
    </row>
    <row r="2199" spans="9:40" x14ac:dyDescent="0.4">
      <c r="I2199" s="11"/>
      <c r="J2199" s="9"/>
      <c r="K2199" s="9"/>
      <c r="O2199" s="11"/>
      <c r="P2199" s="9"/>
      <c r="Q2199" s="9"/>
      <c r="R2199" s="9"/>
      <c r="S2199" s="9"/>
      <c r="T2199" s="31"/>
      <c r="W2199" s="16"/>
      <c r="X2199" s="9"/>
      <c r="Y2199" s="9"/>
      <c r="AA2199" s="16"/>
      <c r="AK2199" s="16"/>
      <c r="AL2199" s="17"/>
      <c r="AN2199" s="16"/>
    </row>
    <row r="2200" spans="9:40" x14ac:dyDescent="0.4">
      <c r="I2200" s="11"/>
      <c r="J2200" s="9"/>
      <c r="K2200" s="9"/>
      <c r="O2200" s="11"/>
      <c r="P2200" s="9"/>
      <c r="Q2200" s="9"/>
      <c r="R2200" s="9"/>
      <c r="S2200" s="9"/>
      <c r="T2200" s="31"/>
      <c r="W2200" s="16"/>
      <c r="X2200" s="9"/>
      <c r="Y2200" s="9"/>
      <c r="AA2200" s="16"/>
      <c r="AK2200" s="16"/>
      <c r="AL2200" s="17"/>
      <c r="AN2200" s="16"/>
    </row>
    <row r="2201" spans="9:40" x14ac:dyDescent="0.4">
      <c r="I2201" s="11"/>
      <c r="J2201" s="9"/>
      <c r="K2201" s="9"/>
      <c r="O2201" s="11"/>
      <c r="P2201" s="9"/>
      <c r="Q2201" s="9"/>
      <c r="R2201" s="9"/>
      <c r="S2201" s="9"/>
      <c r="T2201" s="31"/>
      <c r="W2201" s="16"/>
      <c r="X2201" s="9"/>
      <c r="Y2201" s="9"/>
      <c r="AA2201" s="16"/>
      <c r="AK2201" s="16"/>
      <c r="AL2201" s="17"/>
      <c r="AN2201" s="16"/>
    </row>
    <row r="2202" spans="9:40" x14ac:dyDescent="0.4">
      <c r="I2202" s="11"/>
      <c r="J2202" s="9"/>
      <c r="K2202" s="9"/>
      <c r="O2202" s="11"/>
      <c r="P2202" s="9"/>
      <c r="Q2202" s="9"/>
      <c r="R2202" s="9"/>
      <c r="S2202" s="9"/>
      <c r="T2202" s="31"/>
      <c r="W2202" s="16"/>
      <c r="X2202" s="9"/>
      <c r="Y2202" s="9"/>
      <c r="AA2202" s="16"/>
      <c r="AK2202" s="16"/>
      <c r="AL2202" s="17"/>
      <c r="AN2202" s="16"/>
    </row>
    <row r="2203" spans="9:40" x14ac:dyDescent="0.4">
      <c r="I2203" s="11"/>
      <c r="J2203" s="9"/>
      <c r="K2203" s="9"/>
      <c r="O2203" s="11"/>
      <c r="P2203" s="9"/>
      <c r="Q2203" s="9"/>
      <c r="R2203" s="9"/>
      <c r="S2203" s="9"/>
      <c r="T2203" s="31"/>
      <c r="W2203" s="16"/>
      <c r="X2203" s="9"/>
      <c r="Y2203" s="9"/>
      <c r="AA2203" s="16"/>
      <c r="AK2203" s="16"/>
      <c r="AL2203" s="17"/>
      <c r="AN2203" s="16"/>
    </row>
    <row r="2204" spans="9:40" x14ac:dyDescent="0.4">
      <c r="I2204" s="11"/>
      <c r="J2204" s="9"/>
      <c r="K2204" s="9"/>
      <c r="O2204" s="11"/>
      <c r="P2204" s="9"/>
      <c r="Q2204" s="9"/>
      <c r="R2204" s="9"/>
      <c r="S2204" s="9"/>
      <c r="T2204" s="31"/>
      <c r="W2204" s="16"/>
      <c r="X2204" s="9"/>
      <c r="Y2204" s="9"/>
      <c r="AA2204" s="16"/>
      <c r="AK2204" s="16"/>
      <c r="AL2204" s="17"/>
      <c r="AN2204" s="16"/>
    </row>
    <row r="2205" spans="9:40" x14ac:dyDescent="0.4">
      <c r="I2205" s="11"/>
      <c r="J2205" s="9"/>
      <c r="K2205" s="9"/>
      <c r="O2205" s="11"/>
      <c r="P2205" s="9"/>
      <c r="Q2205" s="9"/>
      <c r="R2205" s="9"/>
      <c r="S2205" s="9"/>
      <c r="T2205" s="31"/>
      <c r="W2205" s="16"/>
      <c r="X2205" s="9"/>
      <c r="Y2205" s="9"/>
      <c r="AA2205" s="16"/>
      <c r="AK2205" s="16"/>
      <c r="AL2205" s="17"/>
      <c r="AN2205" s="16"/>
    </row>
    <row r="2206" spans="9:40" x14ac:dyDescent="0.4">
      <c r="I2206" s="11"/>
      <c r="J2206" s="9"/>
      <c r="K2206" s="9"/>
      <c r="O2206" s="11"/>
      <c r="P2206" s="9"/>
      <c r="Q2206" s="9"/>
      <c r="R2206" s="9"/>
      <c r="S2206" s="9"/>
      <c r="T2206" s="31"/>
      <c r="W2206" s="16"/>
      <c r="X2206" s="9"/>
      <c r="Y2206" s="9"/>
      <c r="AA2206" s="16"/>
      <c r="AK2206" s="16"/>
      <c r="AL2206" s="17"/>
      <c r="AN2206" s="16"/>
    </row>
    <row r="2207" spans="9:40" x14ac:dyDescent="0.4">
      <c r="I2207" s="11"/>
      <c r="J2207" s="9"/>
      <c r="K2207" s="9"/>
      <c r="O2207" s="11"/>
      <c r="P2207" s="9"/>
      <c r="Q2207" s="9"/>
      <c r="R2207" s="9"/>
      <c r="S2207" s="9"/>
      <c r="T2207" s="31"/>
      <c r="W2207" s="16"/>
      <c r="X2207" s="9"/>
      <c r="Y2207" s="9"/>
      <c r="AA2207" s="16"/>
      <c r="AK2207" s="16"/>
      <c r="AL2207" s="17"/>
      <c r="AN2207" s="16"/>
    </row>
    <row r="2208" spans="9:40" x14ac:dyDescent="0.4">
      <c r="I2208" s="11"/>
      <c r="J2208" s="9"/>
      <c r="K2208" s="9"/>
      <c r="O2208" s="11"/>
      <c r="P2208" s="9"/>
      <c r="Q2208" s="9"/>
      <c r="R2208" s="9"/>
      <c r="S2208" s="9"/>
      <c r="T2208" s="31"/>
      <c r="W2208" s="16"/>
      <c r="X2208" s="9"/>
      <c r="Y2208" s="9"/>
      <c r="AA2208" s="16"/>
      <c r="AK2208" s="16"/>
      <c r="AL2208" s="17"/>
      <c r="AN2208" s="16"/>
    </row>
    <row r="2209" spans="9:40" x14ac:dyDescent="0.4">
      <c r="I2209" s="11"/>
      <c r="J2209" s="9"/>
      <c r="K2209" s="9"/>
      <c r="O2209" s="11"/>
      <c r="P2209" s="9"/>
      <c r="Q2209" s="9"/>
      <c r="R2209" s="9"/>
      <c r="S2209" s="9"/>
      <c r="T2209" s="31"/>
      <c r="W2209" s="16"/>
      <c r="X2209" s="9"/>
      <c r="Y2209" s="9"/>
      <c r="AA2209" s="16"/>
      <c r="AK2209" s="16"/>
      <c r="AL2209" s="17"/>
      <c r="AN2209" s="16"/>
    </row>
    <row r="2210" spans="9:40" x14ac:dyDescent="0.4">
      <c r="I2210" s="11"/>
      <c r="J2210" s="9"/>
      <c r="K2210" s="9"/>
      <c r="O2210" s="11"/>
      <c r="P2210" s="9"/>
      <c r="Q2210" s="9"/>
      <c r="R2210" s="9"/>
      <c r="S2210" s="9"/>
      <c r="T2210" s="31"/>
      <c r="W2210" s="16"/>
      <c r="X2210" s="9"/>
      <c r="Y2210" s="9"/>
      <c r="AA2210" s="16"/>
      <c r="AK2210" s="16"/>
      <c r="AL2210" s="17"/>
      <c r="AN2210" s="16"/>
    </row>
    <row r="2211" spans="9:40" x14ac:dyDescent="0.4">
      <c r="I2211" s="11"/>
      <c r="J2211" s="9"/>
      <c r="K2211" s="9"/>
      <c r="O2211" s="11"/>
      <c r="P2211" s="9"/>
      <c r="Q2211" s="9"/>
      <c r="R2211" s="9"/>
      <c r="S2211" s="9"/>
      <c r="T2211" s="31"/>
      <c r="W2211" s="16"/>
      <c r="X2211" s="9"/>
      <c r="Y2211" s="9"/>
      <c r="AA2211" s="16"/>
      <c r="AK2211" s="16"/>
      <c r="AL2211" s="17"/>
      <c r="AN2211" s="16"/>
    </row>
    <row r="2212" spans="9:40" x14ac:dyDescent="0.4">
      <c r="I2212" s="11"/>
      <c r="J2212" s="9"/>
      <c r="K2212" s="9"/>
      <c r="O2212" s="11"/>
      <c r="P2212" s="9"/>
      <c r="Q2212" s="9"/>
      <c r="R2212" s="9"/>
      <c r="S2212" s="9"/>
      <c r="T2212" s="31"/>
      <c r="W2212" s="16"/>
      <c r="X2212" s="9"/>
      <c r="Y2212" s="9"/>
      <c r="AA2212" s="16"/>
      <c r="AK2212" s="16"/>
      <c r="AL2212" s="17"/>
      <c r="AN2212" s="16"/>
    </row>
    <row r="2213" spans="9:40" x14ac:dyDescent="0.4">
      <c r="I2213" s="11"/>
      <c r="J2213" s="9"/>
      <c r="K2213" s="9"/>
      <c r="O2213" s="11"/>
      <c r="P2213" s="9"/>
      <c r="Q2213" s="9"/>
      <c r="R2213" s="9"/>
      <c r="S2213" s="9"/>
      <c r="T2213" s="31"/>
      <c r="W2213" s="16"/>
      <c r="X2213" s="9"/>
      <c r="Y2213" s="9"/>
      <c r="AA2213" s="16"/>
      <c r="AK2213" s="16"/>
      <c r="AL2213" s="17"/>
      <c r="AN2213" s="16"/>
    </row>
    <row r="2214" spans="9:40" x14ac:dyDescent="0.4">
      <c r="I2214" s="11"/>
      <c r="J2214" s="9"/>
      <c r="K2214" s="9"/>
      <c r="O2214" s="11"/>
      <c r="P2214" s="9"/>
      <c r="Q2214" s="9"/>
      <c r="R2214" s="9"/>
      <c r="S2214" s="9"/>
      <c r="T2214" s="31"/>
      <c r="W2214" s="16"/>
      <c r="X2214" s="9"/>
      <c r="Y2214" s="9"/>
      <c r="AA2214" s="16"/>
      <c r="AK2214" s="16"/>
      <c r="AL2214" s="17"/>
      <c r="AN2214" s="16"/>
    </row>
    <row r="2215" spans="9:40" x14ac:dyDescent="0.4">
      <c r="I2215" s="11"/>
      <c r="J2215" s="9"/>
      <c r="K2215" s="9"/>
      <c r="O2215" s="11"/>
      <c r="P2215" s="9"/>
      <c r="Q2215" s="9"/>
      <c r="R2215" s="9"/>
      <c r="S2215" s="9"/>
      <c r="T2215" s="31"/>
      <c r="W2215" s="16"/>
      <c r="X2215" s="9"/>
      <c r="Y2215" s="9"/>
      <c r="AA2215" s="16"/>
      <c r="AK2215" s="16"/>
      <c r="AL2215" s="17"/>
      <c r="AN2215" s="16"/>
    </row>
    <row r="2216" spans="9:40" x14ac:dyDescent="0.4">
      <c r="I2216" s="11"/>
      <c r="J2216" s="9"/>
      <c r="K2216" s="9"/>
      <c r="O2216" s="11"/>
      <c r="P2216" s="9"/>
      <c r="Q2216" s="9"/>
      <c r="R2216" s="9"/>
      <c r="S2216" s="9"/>
      <c r="T2216" s="31"/>
      <c r="W2216" s="16"/>
      <c r="X2216" s="9"/>
      <c r="Y2216" s="9"/>
      <c r="AA2216" s="16"/>
      <c r="AK2216" s="16"/>
      <c r="AL2216" s="17"/>
      <c r="AN2216" s="16"/>
    </row>
    <row r="2217" spans="9:40" x14ac:dyDescent="0.4">
      <c r="I2217" s="11"/>
      <c r="J2217" s="9"/>
      <c r="K2217" s="9"/>
      <c r="O2217" s="11"/>
      <c r="P2217" s="9"/>
      <c r="Q2217" s="9"/>
      <c r="R2217" s="9"/>
      <c r="S2217" s="9"/>
      <c r="T2217" s="31"/>
      <c r="W2217" s="16"/>
      <c r="X2217" s="9"/>
      <c r="Y2217" s="9"/>
      <c r="AA2217" s="16"/>
      <c r="AK2217" s="16"/>
      <c r="AL2217" s="17"/>
      <c r="AN2217" s="16"/>
    </row>
    <row r="2218" spans="9:40" x14ac:dyDescent="0.4">
      <c r="I2218" s="11"/>
      <c r="J2218" s="9"/>
      <c r="K2218" s="9"/>
      <c r="O2218" s="11"/>
      <c r="P2218" s="9"/>
      <c r="Q2218" s="9"/>
      <c r="R2218" s="9"/>
      <c r="S2218" s="9"/>
      <c r="T2218" s="31"/>
      <c r="W2218" s="16"/>
      <c r="X2218" s="9"/>
      <c r="Y2218" s="9"/>
      <c r="AA2218" s="16"/>
      <c r="AK2218" s="16"/>
      <c r="AL2218" s="17"/>
      <c r="AN2218" s="16"/>
    </row>
    <row r="2219" spans="9:40" x14ac:dyDescent="0.4">
      <c r="I2219" s="11"/>
      <c r="J2219" s="9"/>
      <c r="K2219" s="9"/>
      <c r="O2219" s="11"/>
      <c r="P2219" s="9"/>
      <c r="Q2219" s="9"/>
      <c r="R2219" s="9"/>
      <c r="S2219" s="9"/>
      <c r="T2219" s="31"/>
      <c r="W2219" s="16"/>
      <c r="X2219" s="9"/>
      <c r="Y2219" s="9"/>
      <c r="AA2219" s="16"/>
      <c r="AK2219" s="16"/>
      <c r="AL2219" s="17"/>
      <c r="AN2219" s="16"/>
    </row>
    <row r="2220" spans="9:40" x14ac:dyDescent="0.4">
      <c r="I2220" s="11"/>
      <c r="J2220" s="9"/>
      <c r="K2220" s="9"/>
      <c r="O2220" s="11"/>
      <c r="P2220" s="9"/>
      <c r="Q2220" s="9"/>
      <c r="R2220" s="9"/>
      <c r="S2220" s="9"/>
      <c r="T2220" s="31"/>
      <c r="W2220" s="16"/>
      <c r="X2220" s="9"/>
      <c r="Y2220" s="9"/>
      <c r="AA2220" s="16"/>
      <c r="AK2220" s="16"/>
      <c r="AL2220" s="17"/>
      <c r="AN2220" s="16"/>
    </row>
    <row r="2221" spans="9:40" x14ac:dyDescent="0.4">
      <c r="I2221" s="11"/>
      <c r="J2221" s="9"/>
      <c r="K2221" s="9"/>
      <c r="O2221" s="11"/>
      <c r="P2221" s="9"/>
      <c r="Q2221" s="9"/>
      <c r="R2221" s="9"/>
      <c r="S2221" s="9"/>
      <c r="T2221" s="31"/>
      <c r="W2221" s="16"/>
      <c r="X2221" s="9"/>
      <c r="Y2221" s="9"/>
      <c r="AA2221" s="16"/>
      <c r="AK2221" s="16"/>
      <c r="AL2221" s="17"/>
      <c r="AN2221" s="16"/>
    </row>
    <row r="2222" spans="9:40" x14ac:dyDescent="0.4">
      <c r="I2222" s="11"/>
      <c r="J2222" s="9"/>
      <c r="K2222" s="9"/>
      <c r="O2222" s="11"/>
      <c r="P2222" s="9"/>
      <c r="Q2222" s="9"/>
      <c r="R2222" s="9"/>
      <c r="S2222" s="9"/>
      <c r="T2222" s="31"/>
      <c r="W2222" s="16"/>
      <c r="X2222" s="9"/>
      <c r="Y2222" s="9"/>
      <c r="AA2222" s="16"/>
      <c r="AK2222" s="16"/>
      <c r="AL2222" s="17"/>
      <c r="AN2222" s="16"/>
    </row>
    <row r="2223" spans="9:40" x14ac:dyDescent="0.4">
      <c r="I2223" s="11"/>
      <c r="J2223" s="9"/>
      <c r="K2223" s="9"/>
      <c r="O2223" s="11"/>
      <c r="P2223" s="9"/>
      <c r="Q2223" s="9"/>
      <c r="R2223" s="9"/>
      <c r="S2223" s="9"/>
      <c r="T2223" s="31"/>
      <c r="W2223" s="16"/>
      <c r="X2223" s="9"/>
      <c r="Y2223" s="9"/>
      <c r="AA2223" s="16"/>
      <c r="AK2223" s="16"/>
      <c r="AL2223" s="17"/>
      <c r="AN2223" s="16"/>
    </row>
    <row r="2224" spans="9:40" x14ac:dyDescent="0.4">
      <c r="I2224" s="11"/>
      <c r="J2224" s="9"/>
      <c r="K2224" s="9"/>
      <c r="O2224" s="11"/>
      <c r="P2224" s="9"/>
      <c r="Q2224" s="9"/>
      <c r="R2224" s="9"/>
      <c r="S2224" s="9"/>
      <c r="T2224" s="31"/>
      <c r="W2224" s="16"/>
      <c r="X2224" s="9"/>
      <c r="Y2224" s="9"/>
      <c r="AA2224" s="16"/>
      <c r="AK2224" s="16"/>
      <c r="AL2224" s="17"/>
      <c r="AN2224" s="16"/>
    </row>
    <row r="2225" spans="9:40" x14ac:dyDescent="0.4">
      <c r="I2225" s="11"/>
      <c r="J2225" s="9"/>
      <c r="K2225" s="9"/>
      <c r="O2225" s="11"/>
      <c r="P2225" s="9"/>
      <c r="Q2225" s="9"/>
      <c r="R2225" s="9"/>
      <c r="S2225" s="9"/>
      <c r="T2225" s="31"/>
      <c r="W2225" s="16"/>
      <c r="X2225" s="9"/>
      <c r="Y2225" s="9"/>
      <c r="AA2225" s="16"/>
      <c r="AK2225" s="16"/>
      <c r="AL2225" s="17"/>
      <c r="AN2225" s="16"/>
    </row>
    <row r="2226" spans="9:40" x14ac:dyDescent="0.4">
      <c r="I2226" s="11"/>
      <c r="J2226" s="9"/>
      <c r="K2226" s="9"/>
      <c r="O2226" s="11"/>
      <c r="P2226" s="9"/>
      <c r="Q2226" s="9"/>
      <c r="R2226" s="9"/>
      <c r="S2226" s="9"/>
      <c r="T2226" s="31"/>
      <c r="W2226" s="16"/>
      <c r="X2226" s="9"/>
      <c r="Y2226" s="9"/>
      <c r="AA2226" s="16"/>
      <c r="AK2226" s="16"/>
      <c r="AL2226" s="17"/>
      <c r="AN2226" s="16"/>
    </row>
    <row r="2227" spans="9:40" x14ac:dyDescent="0.4">
      <c r="I2227" s="11"/>
      <c r="J2227" s="9"/>
      <c r="K2227" s="9"/>
      <c r="O2227" s="11"/>
      <c r="P2227" s="9"/>
      <c r="Q2227" s="9"/>
      <c r="R2227" s="9"/>
      <c r="S2227" s="9"/>
      <c r="T2227" s="31"/>
      <c r="W2227" s="16"/>
      <c r="X2227" s="9"/>
      <c r="Y2227" s="9"/>
      <c r="AA2227" s="16"/>
      <c r="AK2227" s="16"/>
      <c r="AL2227" s="17"/>
      <c r="AN2227" s="16"/>
    </row>
    <row r="2228" spans="9:40" x14ac:dyDescent="0.4">
      <c r="I2228" s="11"/>
      <c r="J2228" s="9"/>
      <c r="K2228" s="9"/>
      <c r="O2228" s="11"/>
      <c r="P2228" s="9"/>
      <c r="Q2228" s="9"/>
      <c r="R2228" s="9"/>
      <c r="S2228" s="9"/>
      <c r="T2228" s="31"/>
      <c r="W2228" s="16"/>
      <c r="X2228" s="9"/>
      <c r="Y2228" s="9"/>
      <c r="AA2228" s="16"/>
      <c r="AK2228" s="16"/>
      <c r="AL2228" s="17"/>
      <c r="AN2228" s="16"/>
    </row>
    <row r="2229" spans="9:40" x14ac:dyDescent="0.4">
      <c r="I2229" s="11"/>
      <c r="J2229" s="9"/>
      <c r="K2229" s="9"/>
      <c r="O2229" s="11"/>
      <c r="P2229" s="9"/>
      <c r="Q2229" s="9"/>
      <c r="R2229" s="9"/>
      <c r="S2229" s="9"/>
      <c r="T2229" s="31"/>
      <c r="W2229" s="16"/>
      <c r="X2229" s="9"/>
      <c r="Y2229" s="9"/>
      <c r="AA2229" s="16"/>
      <c r="AK2229" s="16"/>
      <c r="AL2229" s="17"/>
      <c r="AN2229" s="16"/>
    </row>
    <row r="2230" spans="9:40" x14ac:dyDescent="0.4">
      <c r="I2230" s="11"/>
      <c r="J2230" s="9"/>
      <c r="K2230" s="9"/>
      <c r="O2230" s="11"/>
      <c r="P2230" s="9"/>
      <c r="Q2230" s="9"/>
      <c r="R2230" s="9"/>
      <c r="S2230" s="9"/>
      <c r="T2230" s="31"/>
      <c r="W2230" s="16"/>
      <c r="X2230" s="9"/>
      <c r="Y2230" s="9"/>
      <c r="AA2230" s="16"/>
      <c r="AK2230" s="16"/>
      <c r="AL2230" s="17"/>
      <c r="AN2230" s="16"/>
    </row>
    <row r="2231" spans="9:40" x14ac:dyDescent="0.4">
      <c r="I2231" s="11"/>
      <c r="J2231" s="9"/>
      <c r="K2231" s="9"/>
      <c r="O2231" s="11"/>
      <c r="P2231" s="9"/>
      <c r="Q2231" s="9"/>
      <c r="R2231" s="9"/>
      <c r="S2231" s="9"/>
      <c r="T2231" s="31"/>
      <c r="W2231" s="16"/>
      <c r="X2231" s="9"/>
      <c r="Y2231" s="9"/>
      <c r="AA2231" s="16"/>
      <c r="AK2231" s="16"/>
      <c r="AL2231" s="17"/>
      <c r="AN2231" s="16"/>
    </row>
    <row r="2232" spans="9:40" x14ac:dyDescent="0.4">
      <c r="I2232" s="11"/>
      <c r="J2232" s="9"/>
      <c r="K2232" s="9"/>
      <c r="O2232" s="11"/>
      <c r="P2232" s="9"/>
      <c r="Q2232" s="9"/>
      <c r="R2232" s="9"/>
      <c r="S2232" s="9"/>
      <c r="T2232" s="31"/>
      <c r="W2232" s="16"/>
      <c r="X2232" s="9"/>
      <c r="Y2232" s="9"/>
      <c r="AA2232" s="16"/>
      <c r="AK2232" s="16"/>
      <c r="AL2232" s="17"/>
      <c r="AN2232" s="16"/>
    </row>
    <row r="2233" spans="9:40" x14ac:dyDescent="0.4">
      <c r="I2233" s="11"/>
      <c r="J2233" s="9"/>
      <c r="K2233" s="9"/>
      <c r="O2233" s="11"/>
      <c r="P2233" s="9"/>
      <c r="Q2233" s="9"/>
      <c r="R2233" s="9"/>
      <c r="S2233" s="9"/>
      <c r="T2233" s="31"/>
      <c r="W2233" s="16"/>
      <c r="X2233" s="9"/>
      <c r="Y2233" s="9"/>
      <c r="AA2233" s="16"/>
      <c r="AK2233" s="16"/>
      <c r="AL2233" s="17"/>
      <c r="AN2233" s="16"/>
    </row>
    <row r="2234" spans="9:40" x14ac:dyDescent="0.4">
      <c r="I2234" s="11"/>
      <c r="J2234" s="9"/>
      <c r="K2234" s="9"/>
      <c r="O2234" s="11"/>
      <c r="P2234" s="9"/>
      <c r="Q2234" s="9"/>
      <c r="R2234" s="9"/>
      <c r="S2234" s="9"/>
      <c r="T2234" s="31"/>
      <c r="W2234" s="16"/>
      <c r="X2234" s="9"/>
      <c r="Y2234" s="9"/>
      <c r="AA2234" s="16"/>
      <c r="AK2234" s="16"/>
      <c r="AL2234" s="17"/>
      <c r="AN2234" s="16"/>
    </row>
    <row r="2235" spans="9:40" x14ac:dyDescent="0.4">
      <c r="I2235" s="11"/>
      <c r="J2235" s="9"/>
      <c r="K2235" s="9"/>
      <c r="O2235" s="11"/>
      <c r="P2235" s="9"/>
      <c r="Q2235" s="9"/>
      <c r="R2235" s="9"/>
      <c r="S2235" s="9"/>
      <c r="T2235" s="31"/>
      <c r="W2235" s="16"/>
      <c r="X2235" s="9"/>
      <c r="Y2235" s="9"/>
      <c r="AA2235" s="16"/>
      <c r="AK2235" s="16"/>
      <c r="AL2235" s="17"/>
      <c r="AN2235" s="16"/>
    </row>
    <row r="2236" spans="9:40" x14ac:dyDescent="0.4">
      <c r="I2236" s="11"/>
      <c r="J2236" s="9"/>
      <c r="K2236" s="9"/>
      <c r="O2236" s="11"/>
      <c r="P2236" s="9"/>
      <c r="Q2236" s="9"/>
      <c r="R2236" s="9"/>
      <c r="S2236" s="9"/>
      <c r="T2236" s="31"/>
      <c r="W2236" s="16"/>
      <c r="X2236" s="9"/>
      <c r="Y2236" s="9"/>
      <c r="AA2236" s="16"/>
      <c r="AK2236" s="16"/>
      <c r="AL2236" s="17"/>
      <c r="AN2236" s="16"/>
    </row>
    <row r="2237" spans="9:40" x14ac:dyDescent="0.4">
      <c r="I2237" s="11"/>
      <c r="J2237" s="9"/>
      <c r="K2237" s="9"/>
      <c r="O2237" s="11"/>
      <c r="P2237" s="9"/>
      <c r="Q2237" s="9"/>
      <c r="R2237" s="9"/>
      <c r="S2237" s="9"/>
      <c r="T2237" s="31"/>
      <c r="W2237" s="16"/>
      <c r="X2237" s="9"/>
      <c r="Y2237" s="9"/>
      <c r="AA2237" s="16"/>
      <c r="AK2237" s="16"/>
      <c r="AL2237" s="17"/>
      <c r="AN2237" s="16"/>
    </row>
    <row r="2238" spans="9:40" x14ac:dyDescent="0.4">
      <c r="I2238" s="11"/>
      <c r="J2238" s="9"/>
      <c r="K2238" s="9"/>
      <c r="O2238" s="11"/>
      <c r="P2238" s="9"/>
      <c r="Q2238" s="9"/>
      <c r="R2238" s="9"/>
      <c r="S2238" s="9"/>
      <c r="T2238" s="31"/>
      <c r="W2238" s="16"/>
      <c r="X2238" s="9"/>
      <c r="Y2238" s="9"/>
      <c r="AA2238" s="16"/>
      <c r="AK2238" s="16"/>
      <c r="AL2238" s="17"/>
      <c r="AN2238" s="16"/>
    </row>
    <row r="2239" spans="9:40" x14ac:dyDescent="0.4">
      <c r="I2239" s="11"/>
      <c r="J2239" s="9"/>
      <c r="K2239" s="9"/>
      <c r="O2239" s="11"/>
      <c r="P2239" s="9"/>
      <c r="Q2239" s="9"/>
      <c r="R2239" s="9"/>
      <c r="S2239" s="9"/>
      <c r="T2239" s="31"/>
      <c r="W2239" s="16"/>
      <c r="X2239" s="9"/>
      <c r="Y2239" s="9"/>
      <c r="AA2239" s="16"/>
      <c r="AK2239" s="16"/>
      <c r="AL2239" s="17"/>
      <c r="AN2239" s="16"/>
    </row>
    <row r="2240" spans="9:40" x14ac:dyDescent="0.4">
      <c r="I2240" s="11"/>
      <c r="J2240" s="9"/>
      <c r="K2240" s="9"/>
      <c r="O2240" s="11"/>
      <c r="P2240" s="9"/>
      <c r="Q2240" s="9"/>
      <c r="R2240" s="9"/>
      <c r="S2240" s="9"/>
      <c r="T2240" s="31"/>
      <c r="W2240" s="16"/>
      <c r="X2240" s="9"/>
      <c r="Y2240" s="9"/>
      <c r="AA2240" s="16"/>
      <c r="AK2240" s="16"/>
      <c r="AL2240" s="17"/>
      <c r="AN2240" s="16"/>
    </row>
    <row r="2241" spans="9:40" x14ac:dyDescent="0.4">
      <c r="I2241" s="11"/>
      <c r="J2241" s="9"/>
      <c r="K2241" s="9"/>
      <c r="O2241" s="11"/>
      <c r="P2241" s="9"/>
      <c r="Q2241" s="9"/>
      <c r="R2241" s="9"/>
      <c r="S2241" s="9"/>
      <c r="T2241" s="31"/>
      <c r="W2241" s="16"/>
      <c r="X2241" s="9"/>
      <c r="Y2241" s="9"/>
      <c r="AA2241" s="16"/>
      <c r="AK2241" s="16"/>
      <c r="AL2241" s="17"/>
      <c r="AN2241" s="16"/>
    </row>
    <row r="2242" spans="9:40" x14ac:dyDescent="0.4">
      <c r="I2242" s="11"/>
      <c r="J2242" s="9"/>
      <c r="K2242" s="9"/>
      <c r="O2242" s="11"/>
      <c r="P2242" s="9"/>
      <c r="Q2242" s="9"/>
      <c r="R2242" s="9"/>
      <c r="S2242" s="9"/>
      <c r="T2242" s="31"/>
      <c r="W2242" s="16"/>
      <c r="X2242" s="9"/>
      <c r="Y2242" s="9"/>
      <c r="AA2242" s="16"/>
      <c r="AK2242" s="16"/>
      <c r="AL2242" s="17"/>
      <c r="AN2242" s="16"/>
    </row>
    <row r="2243" spans="9:40" x14ac:dyDescent="0.4">
      <c r="I2243" s="11"/>
      <c r="J2243" s="9"/>
      <c r="K2243" s="9"/>
      <c r="O2243" s="11"/>
      <c r="P2243" s="9"/>
      <c r="Q2243" s="9"/>
      <c r="R2243" s="9"/>
      <c r="S2243" s="9"/>
      <c r="T2243" s="31"/>
      <c r="W2243" s="16"/>
      <c r="X2243" s="9"/>
      <c r="Y2243" s="9"/>
      <c r="AA2243" s="16"/>
      <c r="AK2243" s="16"/>
      <c r="AL2243" s="17"/>
      <c r="AN2243" s="16"/>
    </row>
    <row r="2244" spans="9:40" x14ac:dyDescent="0.4">
      <c r="I2244" s="11"/>
      <c r="J2244" s="9"/>
      <c r="K2244" s="9"/>
      <c r="O2244" s="11"/>
      <c r="P2244" s="9"/>
      <c r="Q2244" s="9"/>
      <c r="R2244" s="9"/>
      <c r="S2244" s="9"/>
      <c r="T2244" s="31"/>
      <c r="W2244" s="16"/>
      <c r="X2244" s="9"/>
      <c r="Y2244" s="9"/>
      <c r="AA2244" s="16"/>
      <c r="AK2244" s="16"/>
      <c r="AL2244" s="17"/>
      <c r="AN2244" s="16"/>
    </row>
    <row r="2245" spans="9:40" x14ac:dyDescent="0.4">
      <c r="I2245" s="11"/>
      <c r="J2245" s="9"/>
      <c r="K2245" s="9"/>
      <c r="O2245" s="11"/>
      <c r="P2245" s="9"/>
      <c r="Q2245" s="9"/>
      <c r="R2245" s="9"/>
      <c r="S2245" s="9"/>
      <c r="T2245" s="31"/>
      <c r="W2245" s="16"/>
      <c r="X2245" s="9"/>
      <c r="Y2245" s="9"/>
      <c r="AA2245" s="16"/>
      <c r="AK2245" s="16"/>
      <c r="AL2245" s="17"/>
      <c r="AN2245" s="16"/>
    </row>
    <row r="2246" spans="9:40" x14ac:dyDescent="0.4">
      <c r="I2246" s="11"/>
      <c r="J2246" s="9"/>
      <c r="K2246" s="9"/>
      <c r="O2246" s="11"/>
      <c r="P2246" s="9"/>
      <c r="Q2246" s="9"/>
      <c r="R2246" s="9"/>
      <c r="S2246" s="9"/>
      <c r="T2246" s="31"/>
      <c r="W2246" s="16"/>
      <c r="X2246" s="9"/>
      <c r="Y2246" s="9"/>
      <c r="AA2246" s="16"/>
      <c r="AK2246" s="16"/>
      <c r="AL2246" s="17"/>
      <c r="AN2246" s="16"/>
    </row>
    <row r="2247" spans="9:40" x14ac:dyDescent="0.4">
      <c r="I2247" s="11"/>
      <c r="J2247" s="9"/>
      <c r="K2247" s="9"/>
      <c r="O2247" s="11"/>
      <c r="P2247" s="9"/>
      <c r="Q2247" s="9"/>
      <c r="R2247" s="9"/>
      <c r="S2247" s="9"/>
      <c r="T2247" s="31"/>
      <c r="W2247" s="16"/>
      <c r="X2247" s="9"/>
      <c r="Y2247" s="9"/>
      <c r="AA2247" s="16"/>
      <c r="AK2247" s="16"/>
      <c r="AL2247" s="17"/>
      <c r="AN2247" s="16"/>
    </row>
    <row r="2248" spans="9:40" x14ac:dyDescent="0.4">
      <c r="I2248" s="11"/>
      <c r="J2248" s="9"/>
      <c r="K2248" s="9"/>
      <c r="O2248" s="11"/>
      <c r="P2248" s="9"/>
      <c r="Q2248" s="9"/>
      <c r="R2248" s="9"/>
      <c r="S2248" s="9"/>
      <c r="T2248" s="31"/>
      <c r="W2248" s="16"/>
      <c r="X2248" s="9"/>
      <c r="Y2248" s="9"/>
      <c r="AA2248" s="16"/>
      <c r="AK2248" s="16"/>
      <c r="AL2248" s="17"/>
      <c r="AN2248" s="16"/>
    </row>
    <row r="2249" spans="9:40" x14ac:dyDescent="0.4">
      <c r="I2249" s="11"/>
      <c r="J2249" s="9"/>
      <c r="K2249" s="9"/>
      <c r="O2249" s="11"/>
      <c r="P2249" s="9"/>
      <c r="Q2249" s="9"/>
      <c r="R2249" s="9"/>
      <c r="S2249" s="9"/>
      <c r="T2249" s="31"/>
      <c r="W2249" s="16"/>
      <c r="X2249" s="9"/>
      <c r="Y2249" s="9"/>
      <c r="AA2249" s="16"/>
      <c r="AK2249" s="16"/>
      <c r="AL2249" s="17"/>
      <c r="AN2249" s="16"/>
    </row>
    <row r="2250" spans="9:40" x14ac:dyDescent="0.4">
      <c r="I2250" s="11"/>
      <c r="J2250" s="9"/>
      <c r="K2250" s="9"/>
      <c r="O2250" s="11"/>
      <c r="P2250" s="9"/>
      <c r="Q2250" s="9"/>
      <c r="R2250" s="9"/>
      <c r="S2250" s="9"/>
      <c r="T2250" s="31"/>
      <c r="W2250" s="16"/>
      <c r="X2250" s="9"/>
      <c r="Y2250" s="9"/>
      <c r="AA2250" s="16"/>
      <c r="AK2250" s="16"/>
      <c r="AL2250" s="17"/>
      <c r="AN2250" s="16"/>
    </row>
    <row r="2251" spans="9:40" x14ac:dyDescent="0.4">
      <c r="I2251" s="11"/>
      <c r="J2251" s="9"/>
      <c r="K2251" s="9"/>
      <c r="O2251" s="11"/>
      <c r="P2251" s="9"/>
      <c r="Q2251" s="9"/>
      <c r="R2251" s="9"/>
      <c r="S2251" s="9"/>
      <c r="T2251" s="31"/>
      <c r="W2251" s="16"/>
      <c r="X2251" s="9"/>
      <c r="Y2251" s="9"/>
      <c r="AA2251" s="16"/>
      <c r="AK2251" s="16"/>
      <c r="AL2251" s="17"/>
      <c r="AN2251" s="16"/>
    </row>
    <row r="2252" spans="9:40" x14ac:dyDescent="0.4">
      <c r="I2252" s="11"/>
      <c r="J2252" s="9"/>
      <c r="K2252" s="9"/>
      <c r="O2252" s="11"/>
      <c r="P2252" s="9"/>
      <c r="Q2252" s="9"/>
      <c r="R2252" s="9"/>
      <c r="S2252" s="9"/>
      <c r="T2252" s="31"/>
      <c r="W2252" s="16"/>
      <c r="X2252" s="9"/>
      <c r="Y2252" s="9"/>
      <c r="AA2252" s="16"/>
      <c r="AK2252" s="16"/>
      <c r="AL2252" s="17"/>
      <c r="AN2252" s="16"/>
    </row>
    <row r="2253" spans="9:40" x14ac:dyDescent="0.4">
      <c r="I2253" s="11"/>
      <c r="J2253" s="9"/>
      <c r="K2253" s="9"/>
      <c r="O2253" s="11"/>
      <c r="P2253" s="9"/>
      <c r="Q2253" s="9"/>
      <c r="R2253" s="9"/>
      <c r="S2253" s="9"/>
      <c r="T2253" s="31"/>
      <c r="W2253" s="16"/>
      <c r="X2253" s="9"/>
      <c r="Y2253" s="9"/>
      <c r="AA2253" s="16"/>
      <c r="AK2253" s="16"/>
      <c r="AL2253" s="17"/>
      <c r="AN2253" s="16"/>
    </row>
    <row r="2254" spans="9:40" x14ac:dyDescent="0.4">
      <c r="I2254" s="11"/>
      <c r="J2254" s="9"/>
      <c r="K2254" s="9"/>
      <c r="O2254" s="11"/>
      <c r="P2254" s="9"/>
      <c r="Q2254" s="9"/>
      <c r="R2254" s="9"/>
      <c r="S2254" s="9"/>
      <c r="T2254" s="31"/>
      <c r="W2254" s="16"/>
      <c r="X2254" s="9"/>
      <c r="Y2254" s="9"/>
      <c r="AA2254" s="16"/>
      <c r="AK2254" s="16"/>
      <c r="AL2254" s="17"/>
      <c r="AN2254" s="16"/>
    </row>
    <row r="2255" spans="9:40" x14ac:dyDescent="0.4">
      <c r="I2255" s="11"/>
      <c r="J2255" s="9"/>
      <c r="K2255" s="9"/>
      <c r="O2255" s="11"/>
      <c r="P2255" s="9"/>
      <c r="Q2255" s="9"/>
      <c r="R2255" s="9"/>
      <c r="S2255" s="9"/>
      <c r="T2255" s="31"/>
      <c r="W2255" s="16"/>
      <c r="X2255" s="9"/>
      <c r="Y2255" s="9"/>
      <c r="AA2255" s="16"/>
      <c r="AK2255" s="16"/>
      <c r="AL2255" s="17"/>
      <c r="AN2255" s="16"/>
    </row>
    <row r="2256" spans="9:40" x14ac:dyDescent="0.4">
      <c r="I2256" s="11"/>
      <c r="J2256" s="9"/>
      <c r="K2256" s="9"/>
      <c r="O2256" s="11"/>
      <c r="P2256" s="9"/>
      <c r="Q2256" s="9"/>
      <c r="R2256" s="9"/>
      <c r="S2256" s="9"/>
      <c r="T2256" s="31"/>
      <c r="W2256" s="16"/>
      <c r="X2256" s="9"/>
      <c r="Y2256" s="9"/>
      <c r="AA2256" s="16"/>
      <c r="AK2256" s="16"/>
      <c r="AL2256" s="17"/>
      <c r="AN2256" s="16"/>
    </row>
    <row r="2257" spans="9:40" x14ac:dyDescent="0.4">
      <c r="I2257" s="11"/>
      <c r="J2257" s="9"/>
      <c r="K2257" s="9"/>
      <c r="O2257" s="11"/>
      <c r="P2257" s="9"/>
      <c r="Q2257" s="9"/>
      <c r="R2257" s="9"/>
      <c r="S2257" s="9"/>
      <c r="T2257" s="31"/>
      <c r="W2257" s="16"/>
      <c r="X2257" s="9"/>
      <c r="Y2257" s="9"/>
      <c r="AA2257" s="16"/>
      <c r="AK2257" s="16"/>
      <c r="AL2257" s="17"/>
      <c r="AN2257" s="16"/>
    </row>
    <row r="2258" spans="9:40" x14ac:dyDescent="0.4">
      <c r="I2258" s="11"/>
      <c r="J2258" s="9"/>
      <c r="K2258" s="9"/>
      <c r="O2258" s="11"/>
      <c r="P2258" s="9"/>
      <c r="Q2258" s="9"/>
      <c r="R2258" s="9"/>
      <c r="S2258" s="9"/>
      <c r="T2258" s="31"/>
      <c r="W2258" s="16"/>
      <c r="X2258" s="9"/>
      <c r="Y2258" s="9"/>
      <c r="AA2258" s="16"/>
      <c r="AK2258" s="16"/>
      <c r="AL2258" s="17"/>
      <c r="AN2258" s="16"/>
    </row>
    <row r="2259" spans="9:40" x14ac:dyDescent="0.4">
      <c r="I2259" s="11"/>
      <c r="J2259" s="9"/>
      <c r="K2259" s="9"/>
      <c r="O2259" s="11"/>
      <c r="P2259" s="9"/>
      <c r="Q2259" s="9"/>
      <c r="R2259" s="9"/>
      <c r="S2259" s="9"/>
      <c r="T2259" s="31"/>
      <c r="W2259" s="16"/>
      <c r="X2259" s="9"/>
      <c r="Y2259" s="9"/>
      <c r="AA2259" s="16"/>
      <c r="AK2259" s="16"/>
      <c r="AL2259" s="17"/>
      <c r="AN2259" s="16"/>
    </row>
    <row r="2260" spans="9:40" x14ac:dyDescent="0.4">
      <c r="I2260" s="11"/>
      <c r="J2260" s="9"/>
      <c r="K2260" s="9"/>
      <c r="O2260" s="11"/>
      <c r="P2260" s="9"/>
      <c r="Q2260" s="9"/>
      <c r="R2260" s="9"/>
      <c r="S2260" s="9"/>
      <c r="T2260" s="31"/>
      <c r="W2260" s="16"/>
      <c r="X2260" s="9"/>
      <c r="Y2260" s="9"/>
      <c r="AA2260" s="16"/>
      <c r="AK2260" s="16"/>
      <c r="AL2260" s="17"/>
      <c r="AN2260" s="16"/>
    </row>
    <row r="2261" spans="9:40" x14ac:dyDescent="0.4">
      <c r="I2261" s="11"/>
      <c r="J2261" s="9"/>
      <c r="K2261" s="9"/>
      <c r="O2261" s="11"/>
      <c r="P2261" s="9"/>
      <c r="Q2261" s="9"/>
      <c r="R2261" s="9"/>
      <c r="S2261" s="9"/>
      <c r="T2261" s="31"/>
      <c r="W2261" s="16"/>
      <c r="X2261" s="9"/>
      <c r="Y2261" s="9"/>
      <c r="AA2261" s="16"/>
      <c r="AK2261" s="16"/>
      <c r="AL2261" s="17"/>
      <c r="AN2261" s="16"/>
    </row>
    <row r="2262" spans="9:40" x14ac:dyDescent="0.4">
      <c r="I2262" s="11"/>
      <c r="J2262" s="9"/>
      <c r="K2262" s="9"/>
      <c r="O2262" s="11"/>
      <c r="P2262" s="9"/>
      <c r="Q2262" s="9"/>
      <c r="R2262" s="9"/>
      <c r="S2262" s="9"/>
      <c r="T2262" s="31"/>
      <c r="W2262" s="16"/>
      <c r="X2262" s="9"/>
      <c r="Y2262" s="9"/>
      <c r="AA2262" s="16"/>
      <c r="AK2262" s="16"/>
      <c r="AL2262" s="17"/>
      <c r="AN2262" s="16"/>
    </row>
    <row r="2263" spans="9:40" x14ac:dyDescent="0.4">
      <c r="I2263" s="11"/>
      <c r="J2263" s="9"/>
      <c r="K2263" s="9"/>
      <c r="O2263" s="11"/>
      <c r="P2263" s="9"/>
      <c r="Q2263" s="9"/>
      <c r="R2263" s="9"/>
      <c r="S2263" s="9"/>
      <c r="T2263" s="31"/>
      <c r="W2263" s="16"/>
      <c r="X2263" s="9"/>
      <c r="Y2263" s="9"/>
      <c r="AA2263" s="16"/>
      <c r="AK2263" s="16"/>
      <c r="AL2263" s="17"/>
      <c r="AN2263" s="16"/>
    </row>
    <row r="2264" spans="9:40" x14ac:dyDescent="0.4">
      <c r="I2264" s="11"/>
      <c r="J2264" s="9"/>
      <c r="K2264" s="9"/>
      <c r="O2264" s="11"/>
      <c r="P2264" s="9"/>
      <c r="Q2264" s="9"/>
      <c r="R2264" s="9"/>
      <c r="S2264" s="9"/>
      <c r="T2264" s="31"/>
      <c r="W2264" s="16"/>
      <c r="X2264" s="9"/>
      <c r="Y2264" s="9"/>
      <c r="AA2264" s="16"/>
      <c r="AK2264" s="16"/>
      <c r="AL2264" s="17"/>
      <c r="AN2264" s="16"/>
    </row>
    <row r="2265" spans="9:40" x14ac:dyDescent="0.4">
      <c r="I2265" s="11"/>
      <c r="J2265" s="9"/>
      <c r="K2265" s="9"/>
      <c r="O2265" s="11"/>
      <c r="P2265" s="9"/>
      <c r="Q2265" s="9"/>
      <c r="R2265" s="9"/>
      <c r="S2265" s="9"/>
      <c r="T2265" s="31"/>
      <c r="W2265" s="16"/>
      <c r="X2265" s="9"/>
      <c r="Y2265" s="9"/>
      <c r="AA2265" s="16"/>
      <c r="AK2265" s="16"/>
      <c r="AL2265" s="17"/>
      <c r="AN2265" s="16"/>
    </row>
    <row r="2266" spans="9:40" x14ac:dyDescent="0.4">
      <c r="I2266" s="11"/>
      <c r="J2266" s="9"/>
      <c r="K2266" s="9"/>
      <c r="O2266" s="11"/>
      <c r="P2266" s="9"/>
      <c r="Q2266" s="9"/>
      <c r="R2266" s="9"/>
      <c r="S2266" s="9"/>
      <c r="T2266" s="31"/>
      <c r="W2266" s="16"/>
      <c r="X2266" s="9"/>
      <c r="Y2266" s="9"/>
      <c r="AA2266" s="16"/>
      <c r="AK2266" s="16"/>
      <c r="AL2266" s="17"/>
      <c r="AN2266" s="16"/>
    </row>
    <row r="2267" spans="9:40" x14ac:dyDescent="0.4">
      <c r="I2267" s="11"/>
      <c r="J2267" s="9"/>
      <c r="K2267" s="9"/>
      <c r="O2267" s="11"/>
      <c r="P2267" s="9"/>
      <c r="Q2267" s="9"/>
      <c r="R2267" s="9"/>
      <c r="S2267" s="9"/>
      <c r="T2267" s="31"/>
      <c r="W2267" s="16"/>
      <c r="X2267" s="9"/>
      <c r="Y2267" s="9"/>
      <c r="AA2267" s="16"/>
      <c r="AK2267" s="16"/>
      <c r="AL2267" s="17"/>
      <c r="AN2267" s="16"/>
    </row>
    <row r="2268" spans="9:40" x14ac:dyDescent="0.4">
      <c r="I2268" s="11"/>
      <c r="J2268" s="9"/>
      <c r="K2268" s="9"/>
      <c r="O2268" s="11"/>
      <c r="P2268" s="9"/>
      <c r="Q2268" s="9"/>
      <c r="R2268" s="9"/>
      <c r="S2268" s="9"/>
      <c r="T2268" s="31"/>
      <c r="W2268" s="16"/>
      <c r="X2268" s="9"/>
      <c r="Y2268" s="9"/>
      <c r="AA2268" s="16"/>
      <c r="AK2268" s="16"/>
      <c r="AL2268" s="17"/>
      <c r="AN2268" s="16"/>
    </row>
    <row r="2269" spans="9:40" x14ac:dyDescent="0.4">
      <c r="I2269" s="11"/>
      <c r="J2269" s="9"/>
      <c r="K2269" s="9"/>
      <c r="O2269" s="11"/>
      <c r="P2269" s="9"/>
      <c r="Q2269" s="9"/>
      <c r="R2269" s="9"/>
      <c r="S2269" s="9"/>
      <c r="T2269" s="31"/>
      <c r="W2269" s="16"/>
      <c r="X2269" s="9"/>
      <c r="Y2269" s="9"/>
      <c r="AA2269" s="16"/>
      <c r="AK2269" s="16"/>
      <c r="AL2269" s="17"/>
      <c r="AN2269" s="16"/>
    </row>
    <row r="2270" spans="9:40" x14ac:dyDescent="0.4">
      <c r="I2270" s="11"/>
      <c r="J2270" s="9"/>
      <c r="K2270" s="9"/>
      <c r="O2270" s="11"/>
      <c r="P2270" s="9"/>
      <c r="Q2270" s="9"/>
      <c r="R2270" s="9"/>
      <c r="S2270" s="9"/>
      <c r="T2270" s="31"/>
      <c r="W2270" s="16"/>
      <c r="X2270" s="9"/>
      <c r="Y2270" s="9"/>
      <c r="AA2270" s="16"/>
      <c r="AK2270" s="16"/>
      <c r="AL2270" s="17"/>
      <c r="AN2270" s="16"/>
    </row>
    <row r="2271" spans="9:40" x14ac:dyDescent="0.4">
      <c r="I2271" s="11"/>
      <c r="J2271" s="9"/>
      <c r="K2271" s="9"/>
      <c r="O2271" s="11"/>
      <c r="P2271" s="9"/>
      <c r="Q2271" s="9"/>
      <c r="R2271" s="9"/>
      <c r="S2271" s="9"/>
      <c r="T2271" s="31"/>
      <c r="W2271" s="16"/>
      <c r="X2271" s="9"/>
      <c r="Y2271" s="9"/>
      <c r="AA2271" s="16"/>
      <c r="AK2271" s="16"/>
      <c r="AL2271" s="17"/>
      <c r="AN2271" s="16"/>
    </row>
    <row r="2272" spans="9:40" x14ac:dyDescent="0.4">
      <c r="I2272" s="11"/>
      <c r="J2272" s="9"/>
      <c r="K2272" s="9"/>
      <c r="O2272" s="11"/>
      <c r="P2272" s="9"/>
      <c r="Q2272" s="9"/>
      <c r="R2272" s="9"/>
      <c r="S2272" s="9"/>
      <c r="T2272" s="31"/>
      <c r="W2272" s="16"/>
      <c r="X2272" s="9"/>
      <c r="Y2272" s="9"/>
      <c r="AA2272" s="16"/>
      <c r="AK2272" s="16"/>
      <c r="AL2272" s="17"/>
      <c r="AN2272" s="16"/>
    </row>
    <row r="2273" spans="9:40" x14ac:dyDescent="0.4">
      <c r="I2273" s="11"/>
      <c r="J2273" s="9"/>
      <c r="K2273" s="9"/>
      <c r="O2273" s="11"/>
      <c r="P2273" s="9"/>
      <c r="Q2273" s="9"/>
      <c r="R2273" s="9"/>
      <c r="S2273" s="9"/>
      <c r="T2273" s="31"/>
      <c r="W2273" s="16"/>
      <c r="X2273" s="9"/>
      <c r="Y2273" s="9"/>
      <c r="AA2273" s="16"/>
      <c r="AK2273" s="16"/>
      <c r="AL2273" s="17"/>
      <c r="AN2273" s="16"/>
    </row>
    <row r="2274" spans="9:40" x14ac:dyDescent="0.4">
      <c r="I2274" s="11"/>
      <c r="J2274" s="9"/>
      <c r="K2274" s="9"/>
      <c r="O2274" s="11"/>
      <c r="P2274" s="9"/>
      <c r="Q2274" s="9"/>
      <c r="R2274" s="9"/>
      <c r="S2274" s="9"/>
      <c r="T2274" s="31"/>
      <c r="W2274" s="16"/>
      <c r="X2274" s="9"/>
      <c r="Y2274" s="9"/>
      <c r="AA2274" s="16"/>
      <c r="AK2274" s="16"/>
      <c r="AL2274" s="17"/>
      <c r="AN2274" s="16"/>
    </row>
    <row r="2275" spans="9:40" x14ac:dyDescent="0.4">
      <c r="I2275" s="11"/>
      <c r="J2275" s="9"/>
      <c r="K2275" s="9"/>
      <c r="O2275" s="11"/>
      <c r="P2275" s="9"/>
      <c r="Q2275" s="9"/>
      <c r="R2275" s="9"/>
      <c r="S2275" s="9"/>
      <c r="T2275" s="31"/>
      <c r="W2275" s="16"/>
      <c r="X2275" s="9"/>
      <c r="Y2275" s="9"/>
      <c r="AA2275" s="16"/>
      <c r="AK2275" s="16"/>
      <c r="AL2275" s="17"/>
      <c r="AN2275" s="16"/>
    </row>
    <row r="2276" spans="9:40" x14ac:dyDescent="0.4">
      <c r="I2276" s="11"/>
      <c r="J2276" s="9"/>
      <c r="K2276" s="9"/>
      <c r="O2276" s="11"/>
      <c r="P2276" s="9"/>
      <c r="Q2276" s="9"/>
      <c r="R2276" s="9"/>
      <c r="S2276" s="9"/>
      <c r="T2276" s="31"/>
      <c r="W2276" s="16"/>
      <c r="X2276" s="9"/>
      <c r="Y2276" s="9"/>
      <c r="AA2276" s="16"/>
      <c r="AK2276" s="16"/>
      <c r="AL2276" s="17"/>
      <c r="AN2276" s="16"/>
    </row>
    <row r="2277" spans="9:40" x14ac:dyDescent="0.4">
      <c r="I2277" s="11"/>
      <c r="J2277" s="9"/>
      <c r="K2277" s="9"/>
      <c r="O2277" s="11"/>
      <c r="P2277" s="9"/>
      <c r="Q2277" s="9"/>
      <c r="R2277" s="9"/>
      <c r="S2277" s="9"/>
      <c r="T2277" s="31"/>
      <c r="W2277" s="16"/>
      <c r="X2277" s="9"/>
      <c r="Y2277" s="9"/>
      <c r="AA2277" s="16"/>
      <c r="AK2277" s="16"/>
      <c r="AL2277" s="17"/>
      <c r="AN2277" s="16"/>
    </row>
    <row r="2278" spans="9:40" x14ac:dyDescent="0.4">
      <c r="I2278" s="11"/>
      <c r="J2278" s="9"/>
      <c r="K2278" s="9"/>
      <c r="O2278" s="11"/>
      <c r="P2278" s="9"/>
      <c r="Q2278" s="9"/>
      <c r="R2278" s="9"/>
      <c r="S2278" s="9"/>
      <c r="T2278" s="31"/>
      <c r="W2278" s="16"/>
      <c r="X2278" s="9"/>
      <c r="Y2278" s="9"/>
      <c r="AA2278" s="16"/>
      <c r="AK2278" s="16"/>
      <c r="AL2278" s="17"/>
      <c r="AN2278" s="16"/>
    </row>
    <row r="2279" spans="9:40" x14ac:dyDescent="0.4">
      <c r="I2279" s="11"/>
      <c r="J2279" s="9"/>
      <c r="K2279" s="9"/>
      <c r="O2279" s="11"/>
      <c r="P2279" s="9"/>
      <c r="Q2279" s="9"/>
      <c r="R2279" s="9"/>
      <c r="S2279" s="9"/>
      <c r="T2279" s="31"/>
      <c r="W2279" s="16"/>
      <c r="X2279" s="9"/>
      <c r="Y2279" s="9"/>
      <c r="AA2279" s="16"/>
      <c r="AK2279" s="16"/>
      <c r="AL2279" s="17"/>
      <c r="AN2279" s="16"/>
    </row>
    <row r="2280" spans="9:40" x14ac:dyDescent="0.4">
      <c r="I2280" s="11"/>
      <c r="J2280" s="9"/>
      <c r="K2280" s="9"/>
      <c r="O2280" s="11"/>
      <c r="P2280" s="9"/>
      <c r="Q2280" s="9"/>
      <c r="R2280" s="9"/>
      <c r="S2280" s="9"/>
      <c r="T2280" s="31"/>
      <c r="W2280" s="16"/>
      <c r="X2280" s="9"/>
      <c r="Y2280" s="9"/>
      <c r="AA2280" s="16"/>
      <c r="AK2280" s="16"/>
      <c r="AL2280" s="17"/>
      <c r="AN2280" s="16"/>
    </row>
    <row r="2281" spans="9:40" x14ac:dyDescent="0.4">
      <c r="I2281" s="11"/>
      <c r="J2281" s="9"/>
      <c r="K2281" s="9"/>
      <c r="O2281" s="11"/>
      <c r="P2281" s="9"/>
      <c r="Q2281" s="9"/>
      <c r="R2281" s="9"/>
      <c r="S2281" s="9"/>
      <c r="T2281" s="31"/>
      <c r="W2281" s="16"/>
      <c r="X2281" s="9"/>
      <c r="Y2281" s="9"/>
      <c r="AA2281" s="16"/>
      <c r="AK2281" s="16"/>
      <c r="AL2281" s="17"/>
      <c r="AN2281" s="16"/>
    </row>
    <row r="2282" spans="9:40" x14ac:dyDescent="0.4">
      <c r="I2282" s="11"/>
      <c r="J2282" s="9"/>
      <c r="K2282" s="9"/>
      <c r="O2282" s="11"/>
      <c r="P2282" s="9"/>
      <c r="Q2282" s="9"/>
      <c r="R2282" s="9"/>
      <c r="S2282" s="9"/>
      <c r="T2282" s="31"/>
      <c r="W2282" s="16"/>
      <c r="X2282" s="9"/>
      <c r="Y2282" s="9"/>
      <c r="AA2282" s="16"/>
      <c r="AK2282" s="16"/>
      <c r="AL2282" s="17"/>
      <c r="AN2282" s="16"/>
    </row>
    <row r="2283" spans="9:40" x14ac:dyDescent="0.4">
      <c r="I2283" s="11"/>
      <c r="J2283" s="9"/>
      <c r="K2283" s="9"/>
      <c r="O2283" s="11"/>
      <c r="P2283" s="9"/>
      <c r="Q2283" s="9"/>
      <c r="R2283" s="9"/>
      <c r="S2283" s="9"/>
      <c r="T2283" s="31"/>
      <c r="W2283" s="16"/>
      <c r="X2283" s="9"/>
      <c r="Y2283" s="9"/>
      <c r="AA2283" s="16"/>
      <c r="AK2283" s="16"/>
      <c r="AL2283" s="17"/>
      <c r="AN2283" s="16"/>
    </row>
    <row r="2284" spans="9:40" x14ac:dyDescent="0.4">
      <c r="I2284" s="11"/>
      <c r="J2284" s="9"/>
      <c r="K2284" s="9"/>
      <c r="O2284" s="11"/>
      <c r="P2284" s="9"/>
      <c r="Q2284" s="9"/>
      <c r="R2284" s="9"/>
      <c r="S2284" s="9"/>
      <c r="T2284" s="31"/>
      <c r="W2284" s="16"/>
      <c r="X2284" s="9"/>
      <c r="Y2284" s="9"/>
      <c r="AA2284" s="16"/>
      <c r="AK2284" s="16"/>
      <c r="AL2284" s="17"/>
      <c r="AN2284" s="16"/>
    </row>
    <row r="2285" spans="9:40" x14ac:dyDescent="0.4">
      <c r="I2285" s="11"/>
      <c r="J2285" s="9"/>
      <c r="K2285" s="9"/>
      <c r="O2285" s="11"/>
      <c r="P2285" s="9"/>
      <c r="Q2285" s="9"/>
      <c r="R2285" s="9"/>
      <c r="S2285" s="9"/>
      <c r="T2285" s="31"/>
      <c r="W2285" s="16"/>
      <c r="X2285" s="9"/>
      <c r="Y2285" s="9"/>
      <c r="AA2285" s="16"/>
      <c r="AK2285" s="16"/>
      <c r="AL2285" s="17"/>
      <c r="AN2285" s="16"/>
    </row>
    <row r="2286" spans="9:40" x14ac:dyDescent="0.4">
      <c r="I2286" s="11"/>
      <c r="J2286" s="9"/>
      <c r="K2286" s="9"/>
      <c r="O2286" s="11"/>
      <c r="P2286" s="9"/>
      <c r="Q2286" s="9"/>
      <c r="R2286" s="9"/>
      <c r="S2286" s="9"/>
      <c r="T2286" s="31"/>
      <c r="W2286" s="16"/>
      <c r="X2286" s="9"/>
      <c r="Y2286" s="9"/>
      <c r="AA2286" s="16"/>
      <c r="AK2286" s="16"/>
      <c r="AL2286" s="17"/>
      <c r="AN2286" s="16"/>
    </row>
    <row r="2287" spans="9:40" x14ac:dyDescent="0.4">
      <c r="I2287" s="11"/>
      <c r="J2287" s="9"/>
      <c r="K2287" s="9"/>
      <c r="O2287" s="11"/>
      <c r="P2287" s="9"/>
      <c r="Q2287" s="9"/>
      <c r="R2287" s="9"/>
      <c r="S2287" s="9"/>
      <c r="T2287" s="31"/>
      <c r="W2287" s="16"/>
      <c r="X2287" s="9"/>
      <c r="Y2287" s="9"/>
      <c r="AA2287" s="16"/>
      <c r="AK2287" s="16"/>
      <c r="AL2287" s="17"/>
      <c r="AN2287" s="16"/>
    </row>
    <row r="2288" spans="9:40" x14ac:dyDescent="0.4">
      <c r="I2288" s="11"/>
      <c r="J2288" s="9"/>
      <c r="K2288" s="9"/>
      <c r="O2288" s="11"/>
      <c r="P2288" s="9"/>
      <c r="Q2288" s="9"/>
      <c r="R2288" s="9"/>
      <c r="S2288" s="9"/>
      <c r="T2288" s="31"/>
      <c r="W2288" s="16"/>
      <c r="X2288" s="9"/>
      <c r="Y2288" s="9"/>
      <c r="AA2288" s="16"/>
      <c r="AK2288" s="16"/>
      <c r="AL2288" s="17"/>
      <c r="AN2288" s="16"/>
    </row>
    <row r="2289" spans="9:40" x14ac:dyDescent="0.4">
      <c r="I2289" s="11"/>
      <c r="J2289" s="9"/>
      <c r="K2289" s="9"/>
      <c r="O2289" s="11"/>
      <c r="P2289" s="9"/>
      <c r="Q2289" s="9"/>
      <c r="R2289" s="9"/>
      <c r="S2289" s="9"/>
      <c r="T2289" s="31"/>
      <c r="W2289" s="16"/>
      <c r="X2289" s="9"/>
      <c r="Y2289" s="9"/>
      <c r="AA2289" s="16"/>
      <c r="AK2289" s="16"/>
      <c r="AL2289" s="17"/>
      <c r="AN2289" s="16"/>
    </row>
    <row r="2290" spans="9:40" x14ac:dyDescent="0.4">
      <c r="I2290" s="11"/>
      <c r="J2290" s="9"/>
      <c r="K2290" s="9"/>
      <c r="O2290" s="11"/>
      <c r="P2290" s="9"/>
      <c r="Q2290" s="9"/>
      <c r="R2290" s="9"/>
      <c r="S2290" s="9"/>
      <c r="T2290" s="31"/>
      <c r="W2290" s="16"/>
      <c r="X2290" s="9"/>
      <c r="Y2290" s="9"/>
      <c r="AA2290" s="16"/>
      <c r="AK2290" s="16"/>
      <c r="AL2290" s="17"/>
      <c r="AN2290" s="16"/>
    </row>
    <row r="2291" spans="9:40" x14ac:dyDescent="0.4">
      <c r="I2291" s="11"/>
      <c r="J2291" s="9"/>
      <c r="K2291" s="9"/>
      <c r="O2291" s="11"/>
      <c r="P2291" s="9"/>
      <c r="Q2291" s="9"/>
      <c r="R2291" s="9"/>
      <c r="S2291" s="9"/>
      <c r="T2291" s="31"/>
      <c r="W2291" s="16"/>
      <c r="X2291" s="9"/>
      <c r="Y2291" s="9"/>
      <c r="AA2291" s="16"/>
      <c r="AK2291" s="16"/>
      <c r="AL2291" s="17"/>
      <c r="AN2291" s="16"/>
    </row>
    <row r="2292" spans="9:40" x14ac:dyDescent="0.4">
      <c r="I2292" s="11"/>
      <c r="J2292" s="9"/>
      <c r="K2292" s="9"/>
      <c r="O2292" s="11"/>
      <c r="P2292" s="9"/>
      <c r="Q2292" s="9"/>
      <c r="R2292" s="9"/>
      <c r="S2292" s="9"/>
      <c r="T2292" s="31"/>
      <c r="W2292" s="16"/>
      <c r="X2292" s="9"/>
      <c r="Y2292" s="9"/>
      <c r="AA2292" s="16"/>
      <c r="AK2292" s="16"/>
      <c r="AL2292" s="17"/>
      <c r="AN2292" s="16"/>
    </row>
    <row r="2293" spans="9:40" x14ac:dyDescent="0.4">
      <c r="I2293" s="11"/>
      <c r="J2293" s="9"/>
      <c r="K2293" s="9"/>
      <c r="O2293" s="11"/>
      <c r="P2293" s="9"/>
      <c r="Q2293" s="9"/>
      <c r="R2293" s="9"/>
      <c r="S2293" s="9"/>
      <c r="T2293" s="31"/>
      <c r="W2293" s="16"/>
      <c r="X2293" s="9"/>
      <c r="Y2293" s="9"/>
      <c r="AA2293" s="16"/>
      <c r="AK2293" s="16"/>
      <c r="AL2293" s="17"/>
      <c r="AN2293" s="16"/>
    </row>
    <row r="2294" spans="9:40" x14ac:dyDescent="0.4">
      <c r="I2294" s="11"/>
      <c r="J2294" s="9"/>
      <c r="K2294" s="9"/>
      <c r="O2294" s="11"/>
      <c r="P2294" s="9"/>
      <c r="Q2294" s="9"/>
      <c r="R2294" s="9"/>
      <c r="S2294" s="9"/>
      <c r="T2294" s="31"/>
      <c r="W2294" s="16"/>
      <c r="X2294" s="9"/>
      <c r="Y2294" s="9"/>
      <c r="AA2294" s="16"/>
      <c r="AK2294" s="16"/>
      <c r="AL2294" s="17"/>
      <c r="AN2294" s="16"/>
    </row>
    <row r="2295" spans="9:40" x14ac:dyDescent="0.4">
      <c r="I2295" s="11"/>
      <c r="J2295" s="9"/>
      <c r="K2295" s="9"/>
      <c r="O2295" s="11"/>
      <c r="P2295" s="9"/>
      <c r="Q2295" s="9"/>
      <c r="R2295" s="9"/>
      <c r="S2295" s="9"/>
      <c r="T2295" s="31"/>
      <c r="W2295" s="16"/>
      <c r="X2295" s="9"/>
      <c r="Y2295" s="9"/>
      <c r="AA2295" s="16"/>
      <c r="AK2295" s="16"/>
      <c r="AL2295" s="17"/>
      <c r="AN2295" s="16"/>
    </row>
    <row r="2296" spans="9:40" x14ac:dyDescent="0.4">
      <c r="I2296" s="11"/>
      <c r="J2296" s="9"/>
      <c r="K2296" s="9"/>
      <c r="O2296" s="11"/>
      <c r="P2296" s="9"/>
      <c r="Q2296" s="9"/>
      <c r="R2296" s="9"/>
      <c r="S2296" s="9"/>
      <c r="T2296" s="31"/>
      <c r="W2296" s="16"/>
      <c r="X2296" s="9"/>
      <c r="Y2296" s="9"/>
      <c r="AA2296" s="16"/>
      <c r="AK2296" s="16"/>
      <c r="AL2296" s="17"/>
      <c r="AN2296" s="16"/>
    </row>
    <row r="2297" spans="9:40" x14ac:dyDescent="0.4">
      <c r="I2297" s="11"/>
      <c r="J2297" s="9"/>
      <c r="K2297" s="9"/>
      <c r="O2297" s="11"/>
      <c r="P2297" s="9"/>
      <c r="Q2297" s="9"/>
      <c r="R2297" s="9"/>
      <c r="S2297" s="9"/>
      <c r="T2297" s="31"/>
      <c r="W2297" s="16"/>
      <c r="X2297" s="9"/>
      <c r="Y2297" s="9"/>
      <c r="AA2297" s="16"/>
      <c r="AK2297" s="16"/>
      <c r="AL2297" s="17"/>
      <c r="AN2297" s="16"/>
    </row>
    <row r="2298" spans="9:40" x14ac:dyDescent="0.4">
      <c r="I2298" s="11"/>
      <c r="J2298" s="9"/>
      <c r="K2298" s="9"/>
      <c r="O2298" s="11"/>
      <c r="P2298" s="9"/>
      <c r="Q2298" s="9"/>
      <c r="R2298" s="9"/>
      <c r="S2298" s="9"/>
      <c r="T2298" s="31"/>
      <c r="W2298" s="16"/>
      <c r="X2298" s="9"/>
      <c r="Y2298" s="9"/>
      <c r="AA2298" s="16"/>
      <c r="AK2298" s="16"/>
      <c r="AL2298" s="17"/>
      <c r="AN2298" s="16"/>
    </row>
    <row r="2299" spans="9:40" x14ac:dyDescent="0.4">
      <c r="I2299" s="11"/>
      <c r="J2299" s="9"/>
      <c r="K2299" s="9"/>
      <c r="O2299" s="11"/>
      <c r="P2299" s="9"/>
      <c r="Q2299" s="9"/>
      <c r="R2299" s="9"/>
      <c r="S2299" s="9"/>
      <c r="T2299" s="31"/>
      <c r="W2299" s="16"/>
      <c r="X2299" s="9"/>
      <c r="Y2299" s="9"/>
      <c r="AA2299" s="16"/>
      <c r="AK2299" s="16"/>
      <c r="AL2299" s="17"/>
      <c r="AN2299" s="16"/>
    </row>
    <row r="2300" spans="9:40" x14ac:dyDescent="0.4">
      <c r="I2300" s="11"/>
      <c r="J2300" s="9"/>
      <c r="K2300" s="9"/>
      <c r="O2300" s="11"/>
      <c r="P2300" s="9"/>
      <c r="Q2300" s="9"/>
      <c r="R2300" s="9"/>
      <c r="S2300" s="9"/>
      <c r="T2300" s="31"/>
      <c r="W2300" s="16"/>
      <c r="X2300" s="9"/>
      <c r="Y2300" s="9"/>
      <c r="AA2300" s="16"/>
      <c r="AK2300" s="16"/>
      <c r="AL2300" s="17"/>
      <c r="AN2300" s="16"/>
    </row>
    <row r="2301" spans="9:40" x14ac:dyDescent="0.4">
      <c r="I2301" s="11"/>
      <c r="J2301" s="9"/>
      <c r="K2301" s="9"/>
      <c r="O2301" s="11"/>
      <c r="P2301" s="9"/>
      <c r="Q2301" s="9"/>
      <c r="R2301" s="9"/>
      <c r="S2301" s="9"/>
      <c r="T2301" s="31"/>
      <c r="W2301" s="16"/>
      <c r="X2301" s="9"/>
      <c r="Y2301" s="9"/>
      <c r="AA2301" s="16"/>
      <c r="AK2301" s="16"/>
      <c r="AL2301" s="17"/>
      <c r="AN2301" s="16"/>
    </row>
    <row r="2302" spans="9:40" x14ac:dyDescent="0.4">
      <c r="I2302" s="11"/>
      <c r="J2302" s="9"/>
      <c r="K2302" s="9"/>
      <c r="O2302" s="11"/>
      <c r="P2302" s="9"/>
      <c r="Q2302" s="9"/>
      <c r="R2302" s="9"/>
      <c r="S2302" s="9"/>
      <c r="T2302" s="31"/>
      <c r="W2302" s="16"/>
      <c r="X2302" s="9"/>
      <c r="Y2302" s="9"/>
      <c r="AA2302" s="16"/>
      <c r="AK2302" s="16"/>
      <c r="AL2302" s="17"/>
      <c r="AN2302" s="16"/>
    </row>
    <row r="2303" spans="9:40" x14ac:dyDescent="0.4">
      <c r="I2303" s="11"/>
      <c r="J2303" s="9"/>
      <c r="K2303" s="9"/>
      <c r="O2303" s="11"/>
      <c r="P2303" s="9"/>
      <c r="Q2303" s="9"/>
      <c r="R2303" s="9"/>
      <c r="S2303" s="9"/>
      <c r="T2303" s="31"/>
      <c r="W2303" s="16"/>
      <c r="X2303" s="9"/>
      <c r="Y2303" s="9"/>
      <c r="AA2303" s="16"/>
      <c r="AK2303" s="16"/>
      <c r="AL2303" s="17"/>
      <c r="AN2303" s="16"/>
    </row>
    <row r="2304" spans="9:40" x14ac:dyDescent="0.4">
      <c r="I2304" s="11"/>
      <c r="J2304" s="9"/>
      <c r="K2304" s="9"/>
      <c r="O2304" s="11"/>
      <c r="P2304" s="9"/>
      <c r="Q2304" s="9"/>
      <c r="R2304" s="9"/>
      <c r="S2304" s="9"/>
      <c r="T2304" s="31"/>
      <c r="W2304" s="16"/>
      <c r="X2304" s="9"/>
      <c r="Y2304" s="9"/>
      <c r="AA2304" s="16"/>
      <c r="AK2304" s="16"/>
      <c r="AL2304" s="17"/>
      <c r="AN2304" s="16"/>
    </row>
    <row r="2305" spans="9:40" x14ac:dyDescent="0.4">
      <c r="I2305" s="11"/>
      <c r="J2305" s="9"/>
      <c r="K2305" s="9"/>
      <c r="O2305" s="11"/>
      <c r="P2305" s="9"/>
      <c r="Q2305" s="9"/>
      <c r="R2305" s="9"/>
      <c r="S2305" s="9"/>
      <c r="T2305" s="31"/>
      <c r="W2305" s="16"/>
      <c r="X2305" s="9"/>
      <c r="Y2305" s="9"/>
      <c r="AA2305" s="16"/>
      <c r="AK2305" s="16"/>
      <c r="AL2305" s="17"/>
      <c r="AN2305" s="16"/>
    </row>
    <row r="2306" spans="9:40" x14ac:dyDescent="0.4">
      <c r="I2306" s="11"/>
      <c r="J2306" s="9"/>
      <c r="K2306" s="9"/>
      <c r="O2306" s="11"/>
      <c r="P2306" s="9"/>
      <c r="Q2306" s="9"/>
      <c r="R2306" s="9"/>
      <c r="S2306" s="9"/>
      <c r="T2306" s="31"/>
      <c r="W2306" s="16"/>
      <c r="X2306" s="9"/>
      <c r="Y2306" s="9"/>
      <c r="AA2306" s="16"/>
      <c r="AK2306" s="16"/>
      <c r="AL2306" s="17"/>
      <c r="AN2306" s="16"/>
    </row>
    <row r="2307" spans="9:40" x14ac:dyDescent="0.4">
      <c r="I2307" s="11"/>
      <c r="J2307" s="9"/>
      <c r="K2307" s="9"/>
      <c r="O2307" s="11"/>
      <c r="P2307" s="9"/>
      <c r="Q2307" s="9"/>
      <c r="R2307" s="9"/>
      <c r="S2307" s="9"/>
      <c r="T2307" s="31"/>
      <c r="W2307" s="16"/>
      <c r="X2307" s="9"/>
      <c r="Y2307" s="9"/>
      <c r="AA2307" s="16"/>
      <c r="AK2307" s="16"/>
      <c r="AL2307" s="17"/>
      <c r="AN2307" s="16"/>
    </row>
    <row r="2308" spans="9:40" x14ac:dyDescent="0.4">
      <c r="I2308" s="11"/>
      <c r="J2308" s="9"/>
      <c r="K2308" s="9"/>
      <c r="O2308" s="11"/>
      <c r="P2308" s="9"/>
      <c r="Q2308" s="9"/>
      <c r="R2308" s="9"/>
      <c r="S2308" s="9"/>
      <c r="T2308" s="31"/>
      <c r="W2308" s="16"/>
      <c r="X2308" s="9"/>
      <c r="Y2308" s="9"/>
      <c r="AA2308" s="16"/>
      <c r="AK2308" s="16"/>
      <c r="AL2308" s="17"/>
      <c r="AN2308" s="16"/>
    </row>
    <row r="2309" spans="9:40" x14ac:dyDescent="0.4">
      <c r="I2309" s="11"/>
      <c r="J2309" s="9"/>
      <c r="K2309" s="9"/>
      <c r="O2309" s="11"/>
      <c r="P2309" s="9"/>
      <c r="Q2309" s="9"/>
      <c r="R2309" s="9"/>
      <c r="S2309" s="9"/>
      <c r="T2309" s="31"/>
      <c r="W2309" s="16"/>
      <c r="X2309" s="9"/>
      <c r="Y2309" s="9"/>
      <c r="AA2309" s="16"/>
      <c r="AK2309" s="16"/>
      <c r="AL2309" s="17"/>
      <c r="AN2309" s="16"/>
    </row>
    <row r="2310" spans="9:40" x14ac:dyDescent="0.4">
      <c r="I2310" s="11"/>
      <c r="J2310" s="9"/>
      <c r="K2310" s="9"/>
      <c r="O2310" s="11"/>
      <c r="P2310" s="9"/>
      <c r="Q2310" s="9"/>
      <c r="R2310" s="9"/>
      <c r="S2310" s="9"/>
      <c r="T2310" s="31"/>
      <c r="W2310" s="16"/>
      <c r="X2310" s="9"/>
      <c r="Y2310" s="9"/>
      <c r="AA2310" s="16"/>
      <c r="AK2310" s="16"/>
      <c r="AL2310" s="17"/>
      <c r="AN2310" s="16"/>
    </row>
    <row r="2311" spans="9:40" x14ac:dyDescent="0.4">
      <c r="I2311" s="11"/>
      <c r="J2311" s="9"/>
      <c r="K2311" s="9"/>
      <c r="O2311" s="11"/>
      <c r="P2311" s="9"/>
      <c r="Q2311" s="9"/>
      <c r="R2311" s="9"/>
      <c r="S2311" s="9"/>
      <c r="T2311" s="31"/>
      <c r="W2311" s="16"/>
      <c r="X2311" s="9"/>
      <c r="Y2311" s="9"/>
      <c r="AA2311" s="16"/>
      <c r="AK2311" s="16"/>
      <c r="AL2311" s="17"/>
      <c r="AN2311" s="16"/>
    </row>
    <row r="2312" spans="9:40" x14ac:dyDescent="0.4">
      <c r="I2312" s="11"/>
      <c r="J2312" s="9"/>
      <c r="K2312" s="9"/>
      <c r="O2312" s="11"/>
      <c r="P2312" s="9"/>
      <c r="Q2312" s="9"/>
      <c r="R2312" s="9"/>
      <c r="S2312" s="9"/>
      <c r="T2312" s="31"/>
      <c r="W2312" s="16"/>
      <c r="X2312" s="9"/>
      <c r="Y2312" s="9"/>
      <c r="AA2312" s="16"/>
      <c r="AK2312" s="16"/>
      <c r="AL2312" s="17"/>
      <c r="AN2312" s="16"/>
    </row>
    <row r="2313" spans="9:40" x14ac:dyDescent="0.4">
      <c r="I2313" s="11"/>
      <c r="J2313" s="9"/>
      <c r="K2313" s="9"/>
      <c r="O2313" s="11"/>
      <c r="P2313" s="9"/>
      <c r="Q2313" s="9"/>
      <c r="R2313" s="9"/>
      <c r="S2313" s="9"/>
      <c r="T2313" s="31"/>
      <c r="W2313" s="16"/>
      <c r="X2313" s="9"/>
      <c r="Y2313" s="9"/>
      <c r="AA2313" s="16"/>
      <c r="AK2313" s="16"/>
      <c r="AL2313" s="17"/>
      <c r="AN2313" s="16"/>
    </row>
    <row r="2314" spans="9:40" x14ac:dyDescent="0.4">
      <c r="I2314" s="11"/>
      <c r="J2314" s="9"/>
      <c r="K2314" s="9"/>
      <c r="O2314" s="11"/>
      <c r="P2314" s="9"/>
      <c r="Q2314" s="9"/>
      <c r="R2314" s="9"/>
      <c r="S2314" s="9"/>
      <c r="T2314" s="31"/>
      <c r="W2314" s="16"/>
      <c r="X2314" s="9"/>
      <c r="Y2314" s="9"/>
      <c r="AA2314" s="16"/>
      <c r="AK2314" s="16"/>
      <c r="AL2314" s="17"/>
      <c r="AN2314" s="16"/>
    </row>
    <row r="2315" spans="9:40" x14ac:dyDescent="0.4">
      <c r="I2315" s="11"/>
      <c r="J2315" s="9"/>
      <c r="K2315" s="9"/>
      <c r="O2315" s="11"/>
      <c r="P2315" s="9"/>
      <c r="Q2315" s="9"/>
      <c r="R2315" s="9"/>
      <c r="S2315" s="9"/>
      <c r="T2315" s="31"/>
      <c r="W2315" s="16"/>
      <c r="X2315" s="9"/>
      <c r="Y2315" s="9"/>
      <c r="AA2315" s="16"/>
      <c r="AK2315" s="16"/>
      <c r="AL2315" s="17"/>
      <c r="AN2315" s="16"/>
    </row>
    <row r="2316" spans="9:40" x14ac:dyDescent="0.4">
      <c r="I2316" s="11"/>
      <c r="J2316" s="9"/>
      <c r="K2316" s="9"/>
      <c r="O2316" s="11"/>
      <c r="P2316" s="9"/>
      <c r="Q2316" s="9"/>
      <c r="R2316" s="9"/>
      <c r="S2316" s="9"/>
      <c r="T2316" s="31"/>
      <c r="W2316" s="16"/>
      <c r="X2316" s="9"/>
      <c r="Y2316" s="9"/>
      <c r="AA2316" s="16"/>
      <c r="AK2316" s="16"/>
      <c r="AL2316" s="17"/>
      <c r="AN2316" s="16"/>
    </row>
    <row r="2317" spans="9:40" x14ac:dyDescent="0.4">
      <c r="I2317" s="11"/>
      <c r="J2317" s="9"/>
      <c r="K2317" s="9"/>
      <c r="O2317" s="11"/>
      <c r="P2317" s="9"/>
      <c r="Q2317" s="9"/>
      <c r="R2317" s="9"/>
      <c r="S2317" s="9"/>
      <c r="T2317" s="31"/>
      <c r="W2317" s="16"/>
      <c r="X2317" s="9"/>
      <c r="Y2317" s="9"/>
      <c r="AA2317" s="16"/>
      <c r="AK2317" s="16"/>
      <c r="AL2317" s="17"/>
      <c r="AN2317" s="16"/>
    </row>
    <row r="2318" spans="9:40" x14ac:dyDescent="0.4">
      <c r="I2318" s="11"/>
      <c r="J2318" s="9"/>
      <c r="K2318" s="9"/>
      <c r="O2318" s="11"/>
      <c r="P2318" s="9"/>
      <c r="Q2318" s="9"/>
      <c r="R2318" s="9"/>
      <c r="S2318" s="9"/>
      <c r="T2318" s="31"/>
      <c r="W2318" s="16"/>
      <c r="X2318" s="9"/>
      <c r="Y2318" s="9"/>
      <c r="AA2318" s="16"/>
      <c r="AK2318" s="16"/>
      <c r="AL2318" s="17"/>
      <c r="AN2318" s="16"/>
    </row>
    <row r="2319" spans="9:40" x14ac:dyDescent="0.4">
      <c r="I2319" s="11"/>
      <c r="J2319" s="9"/>
      <c r="K2319" s="9"/>
      <c r="O2319" s="11"/>
      <c r="P2319" s="9"/>
      <c r="Q2319" s="9"/>
      <c r="R2319" s="9"/>
      <c r="S2319" s="9"/>
      <c r="T2319" s="31"/>
      <c r="W2319" s="16"/>
      <c r="X2319" s="9"/>
      <c r="Y2319" s="9"/>
      <c r="AA2319" s="16"/>
      <c r="AK2319" s="16"/>
      <c r="AL2319" s="17"/>
      <c r="AN2319" s="16"/>
    </row>
    <row r="2320" spans="9:40" x14ac:dyDescent="0.4">
      <c r="I2320" s="11"/>
      <c r="J2320" s="9"/>
      <c r="K2320" s="9"/>
      <c r="O2320" s="11"/>
      <c r="P2320" s="9"/>
      <c r="Q2320" s="9"/>
      <c r="R2320" s="9"/>
      <c r="S2320" s="9"/>
      <c r="T2320" s="31"/>
      <c r="W2320" s="16"/>
      <c r="X2320" s="9"/>
      <c r="Y2320" s="9"/>
      <c r="AA2320" s="16"/>
      <c r="AK2320" s="16"/>
      <c r="AL2320" s="17"/>
      <c r="AN2320" s="16"/>
    </row>
    <row r="2321" spans="9:40" x14ac:dyDescent="0.4">
      <c r="I2321" s="11"/>
      <c r="J2321" s="9"/>
      <c r="K2321" s="9"/>
      <c r="O2321" s="11"/>
      <c r="P2321" s="9"/>
      <c r="Q2321" s="9"/>
      <c r="R2321" s="9"/>
      <c r="S2321" s="9"/>
      <c r="T2321" s="31"/>
      <c r="W2321" s="16"/>
      <c r="X2321" s="9"/>
      <c r="Y2321" s="9"/>
      <c r="AA2321" s="16"/>
      <c r="AK2321" s="16"/>
      <c r="AL2321" s="17"/>
      <c r="AN2321" s="16"/>
    </row>
    <row r="2322" spans="9:40" x14ac:dyDescent="0.4">
      <c r="I2322" s="11"/>
      <c r="J2322" s="9"/>
      <c r="K2322" s="9"/>
      <c r="O2322" s="11"/>
      <c r="P2322" s="9"/>
      <c r="Q2322" s="9"/>
      <c r="R2322" s="9"/>
      <c r="S2322" s="9"/>
      <c r="T2322" s="31"/>
      <c r="W2322" s="16"/>
      <c r="X2322" s="9"/>
      <c r="Y2322" s="9"/>
      <c r="AA2322" s="16"/>
      <c r="AK2322" s="16"/>
      <c r="AL2322" s="17"/>
      <c r="AN2322" s="16"/>
    </row>
    <row r="2323" spans="9:40" x14ac:dyDescent="0.4">
      <c r="I2323" s="11"/>
      <c r="J2323" s="9"/>
      <c r="K2323" s="9"/>
      <c r="O2323" s="11"/>
      <c r="P2323" s="9"/>
      <c r="Q2323" s="9"/>
      <c r="R2323" s="9"/>
      <c r="S2323" s="9"/>
      <c r="T2323" s="31"/>
      <c r="W2323" s="16"/>
      <c r="X2323" s="9"/>
      <c r="Y2323" s="9"/>
      <c r="AA2323" s="16"/>
      <c r="AK2323" s="16"/>
      <c r="AL2323" s="17"/>
      <c r="AN2323" s="16"/>
    </row>
    <row r="2324" spans="9:40" x14ac:dyDescent="0.4">
      <c r="I2324" s="11"/>
      <c r="J2324" s="9"/>
      <c r="K2324" s="9"/>
      <c r="O2324" s="11"/>
      <c r="P2324" s="9"/>
      <c r="Q2324" s="9"/>
      <c r="R2324" s="9"/>
      <c r="S2324" s="9"/>
      <c r="T2324" s="31"/>
      <c r="W2324" s="16"/>
      <c r="X2324" s="9"/>
      <c r="Y2324" s="9"/>
      <c r="AA2324" s="16"/>
      <c r="AK2324" s="16"/>
      <c r="AL2324" s="17"/>
      <c r="AN2324" s="16"/>
    </row>
    <row r="2325" spans="9:40" x14ac:dyDescent="0.4">
      <c r="I2325" s="11"/>
      <c r="J2325" s="9"/>
      <c r="K2325" s="9"/>
      <c r="O2325" s="11"/>
      <c r="P2325" s="9"/>
      <c r="Q2325" s="9"/>
      <c r="R2325" s="9"/>
      <c r="S2325" s="9"/>
      <c r="T2325" s="31"/>
      <c r="W2325" s="16"/>
      <c r="X2325" s="9"/>
      <c r="Y2325" s="9"/>
      <c r="AA2325" s="16"/>
      <c r="AK2325" s="16"/>
      <c r="AL2325" s="17"/>
      <c r="AN2325" s="16"/>
    </row>
    <row r="2326" spans="9:40" x14ac:dyDescent="0.4">
      <c r="I2326" s="11"/>
      <c r="J2326" s="9"/>
      <c r="K2326" s="9"/>
      <c r="O2326" s="11"/>
      <c r="P2326" s="9"/>
      <c r="Q2326" s="9"/>
      <c r="R2326" s="9"/>
      <c r="S2326" s="9"/>
      <c r="T2326" s="31"/>
      <c r="W2326" s="16"/>
      <c r="X2326" s="9"/>
      <c r="Y2326" s="9"/>
      <c r="AA2326" s="16"/>
      <c r="AK2326" s="16"/>
      <c r="AL2326" s="17"/>
      <c r="AN2326" s="16"/>
    </row>
    <row r="2327" spans="9:40" x14ac:dyDescent="0.4">
      <c r="I2327" s="11"/>
      <c r="J2327" s="9"/>
      <c r="K2327" s="9"/>
      <c r="O2327" s="11"/>
      <c r="P2327" s="9"/>
      <c r="Q2327" s="9"/>
      <c r="R2327" s="9"/>
      <c r="S2327" s="9"/>
      <c r="T2327" s="31"/>
      <c r="W2327" s="16"/>
      <c r="X2327" s="9"/>
      <c r="Y2327" s="9"/>
      <c r="AA2327" s="16"/>
      <c r="AK2327" s="16"/>
      <c r="AL2327" s="17"/>
      <c r="AN2327" s="16"/>
    </row>
    <row r="2328" spans="9:40" x14ac:dyDescent="0.4">
      <c r="I2328" s="11"/>
      <c r="J2328" s="9"/>
      <c r="K2328" s="9"/>
      <c r="O2328" s="11"/>
      <c r="P2328" s="9"/>
      <c r="Q2328" s="9"/>
      <c r="R2328" s="9"/>
      <c r="S2328" s="9"/>
      <c r="T2328" s="31"/>
      <c r="W2328" s="16"/>
      <c r="X2328" s="9"/>
      <c r="Y2328" s="9"/>
      <c r="AA2328" s="16"/>
      <c r="AK2328" s="16"/>
      <c r="AL2328" s="17"/>
      <c r="AN2328" s="16"/>
    </row>
    <row r="2329" spans="9:40" x14ac:dyDescent="0.4">
      <c r="I2329" s="11"/>
      <c r="J2329" s="9"/>
      <c r="K2329" s="9"/>
      <c r="O2329" s="11"/>
      <c r="P2329" s="9"/>
      <c r="Q2329" s="9"/>
      <c r="R2329" s="9"/>
      <c r="S2329" s="9"/>
      <c r="T2329" s="31"/>
      <c r="W2329" s="16"/>
      <c r="X2329" s="9"/>
      <c r="Y2329" s="9"/>
      <c r="AA2329" s="16"/>
      <c r="AK2329" s="16"/>
      <c r="AL2329" s="17"/>
      <c r="AN2329" s="16"/>
    </row>
    <row r="2330" spans="9:40" x14ac:dyDescent="0.4">
      <c r="I2330" s="11"/>
      <c r="J2330" s="9"/>
      <c r="K2330" s="9"/>
      <c r="O2330" s="11"/>
      <c r="P2330" s="9"/>
      <c r="Q2330" s="9"/>
      <c r="R2330" s="9"/>
      <c r="S2330" s="9"/>
      <c r="T2330" s="31"/>
      <c r="W2330" s="16"/>
      <c r="X2330" s="9"/>
      <c r="Y2330" s="9"/>
      <c r="AA2330" s="16"/>
      <c r="AK2330" s="16"/>
      <c r="AL2330" s="17"/>
      <c r="AN2330" s="16"/>
    </row>
    <row r="2331" spans="9:40" x14ac:dyDescent="0.4">
      <c r="I2331" s="11"/>
      <c r="J2331" s="9"/>
      <c r="K2331" s="9"/>
      <c r="O2331" s="11"/>
      <c r="P2331" s="9"/>
      <c r="Q2331" s="9"/>
      <c r="R2331" s="9"/>
      <c r="S2331" s="9"/>
      <c r="T2331" s="31"/>
      <c r="W2331" s="16"/>
      <c r="X2331" s="9"/>
      <c r="Y2331" s="9"/>
      <c r="AA2331" s="16"/>
      <c r="AK2331" s="16"/>
      <c r="AL2331" s="17"/>
      <c r="AN2331" s="16"/>
    </row>
    <row r="2332" spans="9:40" x14ac:dyDescent="0.4">
      <c r="I2332" s="11"/>
      <c r="J2332" s="9"/>
      <c r="K2332" s="9"/>
      <c r="O2332" s="11"/>
      <c r="P2332" s="9"/>
      <c r="Q2332" s="9"/>
      <c r="R2332" s="9"/>
      <c r="S2332" s="9"/>
      <c r="T2332" s="31"/>
      <c r="W2332" s="16"/>
      <c r="X2332" s="9"/>
      <c r="Y2332" s="9"/>
      <c r="AA2332" s="16"/>
      <c r="AK2332" s="16"/>
      <c r="AL2332" s="17"/>
      <c r="AN2332" s="16"/>
    </row>
    <row r="2333" spans="9:40" x14ac:dyDescent="0.4">
      <c r="I2333" s="11"/>
      <c r="J2333" s="9"/>
      <c r="K2333" s="9"/>
      <c r="O2333" s="11"/>
      <c r="P2333" s="9"/>
      <c r="Q2333" s="9"/>
      <c r="R2333" s="9"/>
      <c r="S2333" s="9"/>
      <c r="T2333" s="31"/>
      <c r="W2333" s="16"/>
      <c r="X2333" s="9"/>
      <c r="Y2333" s="9"/>
      <c r="AA2333" s="16"/>
      <c r="AK2333" s="16"/>
      <c r="AL2333" s="17"/>
      <c r="AN2333" s="16"/>
    </row>
    <row r="2334" spans="9:40" x14ac:dyDescent="0.4">
      <c r="I2334" s="11"/>
      <c r="J2334" s="9"/>
      <c r="K2334" s="9"/>
      <c r="O2334" s="11"/>
      <c r="P2334" s="9"/>
      <c r="Q2334" s="9"/>
      <c r="R2334" s="9"/>
      <c r="S2334" s="9"/>
      <c r="T2334" s="31"/>
      <c r="W2334" s="16"/>
      <c r="X2334" s="9"/>
      <c r="Y2334" s="9"/>
      <c r="AA2334" s="16"/>
      <c r="AK2334" s="16"/>
      <c r="AL2334" s="17"/>
      <c r="AN2334" s="16"/>
    </row>
    <row r="2335" spans="9:40" x14ac:dyDescent="0.4">
      <c r="I2335" s="11"/>
      <c r="J2335" s="9"/>
      <c r="K2335" s="9"/>
      <c r="O2335" s="11"/>
      <c r="P2335" s="9"/>
      <c r="Q2335" s="9"/>
      <c r="R2335" s="9"/>
      <c r="S2335" s="9"/>
      <c r="T2335" s="31"/>
      <c r="W2335" s="16"/>
      <c r="X2335" s="9"/>
      <c r="Y2335" s="9"/>
      <c r="AA2335" s="16"/>
      <c r="AK2335" s="16"/>
      <c r="AL2335" s="17"/>
      <c r="AN2335" s="16"/>
    </row>
    <row r="2336" spans="9:40" x14ac:dyDescent="0.4">
      <c r="I2336" s="11"/>
      <c r="J2336" s="9"/>
      <c r="K2336" s="9"/>
      <c r="O2336" s="11"/>
      <c r="P2336" s="9"/>
      <c r="Q2336" s="9"/>
      <c r="R2336" s="9"/>
      <c r="S2336" s="9"/>
      <c r="T2336" s="31"/>
      <c r="W2336" s="16"/>
      <c r="X2336" s="9"/>
      <c r="Y2336" s="9"/>
      <c r="AA2336" s="16"/>
      <c r="AK2336" s="16"/>
      <c r="AL2336" s="17"/>
      <c r="AN2336" s="16"/>
    </row>
    <row r="2337" spans="9:40" x14ac:dyDescent="0.4">
      <c r="I2337" s="11"/>
      <c r="J2337" s="9"/>
      <c r="K2337" s="9"/>
      <c r="O2337" s="11"/>
      <c r="P2337" s="9"/>
      <c r="Q2337" s="9"/>
      <c r="R2337" s="9"/>
      <c r="S2337" s="9"/>
      <c r="T2337" s="31"/>
      <c r="W2337" s="16"/>
      <c r="X2337" s="9"/>
      <c r="Y2337" s="9"/>
      <c r="AA2337" s="16"/>
      <c r="AK2337" s="16"/>
      <c r="AL2337" s="17"/>
      <c r="AN2337" s="16"/>
    </row>
    <row r="2338" spans="9:40" x14ac:dyDescent="0.4">
      <c r="I2338" s="11"/>
      <c r="J2338" s="9"/>
      <c r="K2338" s="9"/>
      <c r="O2338" s="11"/>
      <c r="P2338" s="9"/>
      <c r="Q2338" s="9"/>
      <c r="R2338" s="9"/>
      <c r="S2338" s="9"/>
      <c r="T2338" s="31"/>
      <c r="W2338" s="16"/>
      <c r="X2338" s="9"/>
      <c r="Y2338" s="9"/>
      <c r="AA2338" s="16"/>
      <c r="AK2338" s="16"/>
      <c r="AL2338" s="17"/>
      <c r="AN2338" s="16"/>
    </row>
    <row r="2339" spans="9:40" x14ac:dyDescent="0.4">
      <c r="I2339" s="11"/>
      <c r="J2339" s="9"/>
      <c r="K2339" s="9"/>
      <c r="O2339" s="11"/>
      <c r="P2339" s="9"/>
      <c r="Q2339" s="9"/>
      <c r="R2339" s="9"/>
      <c r="S2339" s="9"/>
      <c r="T2339" s="31"/>
      <c r="W2339" s="16"/>
      <c r="X2339" s="9"/>
      <c r="Y2339" s="9"/>
      <c r="AA2339" s="16"/>
      <c r="AK2339" s="16"/>
      <c r="AL2339" s="17"/>
      <c r="AN2339" s="16"/>
    </row>
    <row r="2340" spans="9:40" x14ac:dyDescent="0.4">
      <c r="I2340" s="11"/>
      <c r="J2340" s="9"/>
      <c r="K2340" s="9"/>
      <c r="O2340" s="11"/>
      <c r="P2340" s="9"/>
      <c r="Q2340" s="9"/>
      <c r="R2340" s="9"/>
      <c r="S2340" s="9"/>
      <c r="T2340" s="31"/>
      <c r="W2340" s="16"/>
      <c r="X2340" s="9"/>
      <c r="Y2340" s="9"/>
      <c r="AA2340" s="16"/>
      <c r="AK2340" s="16"/>
      <c r="AL2340" s="17"/>
      <c r="AN2340" s="16"/>
    </row>
    <row r="2341" spans="9:40" x14ac:dyDescent="0.4">
      <c r="I2341" s="11"/>
      <c r="J2341" s="9"/>
      <c r="K2341" s="9"/>
      <c r="O2341" s="11"/>
      <c r="P2341" s="9"/>
      <c r="Q2341" s="9"/>
      <c r="R2341" s="9"/>
      <c r="S2341" s="9"/>
      <c r="T2341" s="31"/>
      <c r="W2341" s="16"/>
      <c r="X2341" s="9"/>
      <c r="Y2341" s="9"/>
      <c r="AA2341" s="16"/>
      <c r="AK2341" s="16"/>
      <c r="AL2341" s="17"/>
      <c r="AN2341" s="16"/>
    </row>
    <row r="2342" spans="9:40" x14ac:dyDescent="0.4">
      <c r="I2342" s="11"/>
      <c r="J2342" s="9"/>
      <c r="K2342" s="9"/>
      <c r="O2342" s="11"/>
      <c r="P2342" s="9"/>
      <c r="Q2342" s="9"/>
      <c r="R2342" s="9"/>
      <c r="S2342" s="9"/>
      <c r="T2342" s="31"/>
      <c r="W2342" s="16"/>
      <c r="X2342" s="9"/>
      <c r="Y2342" s="9"/>
      <c r="AA2342" s="16"/>
      <c r="AK2342" s="16"/>
      <c r="AL2342" s="17"/>
      <c r="AN2342" s="16"/>
    </row>
    <row r="2343" spans="9:40" x14ac:dyDescent="0.4">
      <c r="I2343" s="11"/>
      <c r="J2343" s="9"/>
      <c r="K2343" s="9"/>
      <c r="O2343" s="11"/>
      <c r="P2343" s="9"/>
      <c r="Q2343" s="9"/>
      <c r="R2343" s="9"/>
      <c r="S2343" s="9"/>
      <c r="T2343" s="31"/>
      <c r="W2343" s="16"/>
      <c r="X2343" s="9"/>
      <c r="Y2343" s="9"/>
      <c r="AA2343" s="16"/>
      <c r="AK2343" s="16"/>
      <c r="AL2343" s="17"/>
      <c r="AN2343" s="16"/>
    </row>
    <row r="2344" spans="9:40" x14ac:dyDescent="0.4">
      <c r="I2344" s="11"/>
      <c r="J2344" s="9"/>
      <c r="K2344" s="9"/>
      <c r="O2344" s="11"/>
      <c r="P2344" s="9"/>
      <c r="Q2344" s="9"/>
      <c r="R2344" s="9"/>
      <c r="S2344" s="9"/>
      <c r="T2344" s="31"/>
      <c r="W2344" s="16"/>
      <c r="X2344" s="9"/>
      <c r="Y2344" s="9"/>
      <c r="AA2344" s="16"/>
      <c r="AK2344" s="16"/>
      <c r="AL2344" s="17"/>
      <c r="AN2344" s="16"/>
    </row>
    <row r="2345" spans="9:40" x14ac:dyDescent="0.4">
      <c r="I2345" s="11"/>
      <c r="J2345" s="9"/>
      <c r="K2345" s="9"/>
      <c r="O2345" s="11"/>
      <c r="P2345" s="9"/>
      <c r="Q2345" s="9"/>
      <c r="R2345" s="9"/>
      <c r="S2345" s="9"/>
      <c r="T2345" s="31"/>
      <c r="W2345" s="16"/>
      <c r="X2345" s="9"/>
      <c r="Y2345" s="9"/>
      <c r="AA2345" s="16"/>
      <c r="AK2345" s="16"/>
      <c r="AL2345" s="17"/>
      <c r="AN2345" s="16"/>
    </row>
    <row r="2346" spans="9:40" x14ac:dyDescent="0.4">
      <c r="I2346" s="11"/>
      <c r="J2346" s="9"/>
      <c r="K2346" s="9"/>
      <c r="O2346" s="11"/>
      <c r="P2346" s="9"/>
      <c r="Q2346" s="9"/>
      <c r="R2346" s="9"/>
      <c r="S2346" s="9"/>
      <c r="T2346" s="31"/>
      <c r="W2346" s="16"/>
      <c r="X2346" s="9"/>
      <c r="Y2346" s="9"/>
      <c r="AA2346" s="16"/>
      <c r="AK2346" s="16"/>
      <c r="AL2346" s="17"/>
      <c r="AN2346" s="16"/>
    </row>
    <row r="2347" spans="9:40" x14ac:dyDescent="0.4">
      <c r="I2347" s="11"/>
      <c r="J2347" s="9"/>
      <c r="K2347" s="9"/>
      <c r="O2347" s="11"/>
      <c r="P2347" s="9"/>
      <c r="Q2347" s="9"/>
      <c r="R2347" s="9"/>
      <c r="S2347" s="9"/>
      <c r="T2347" s="31"/>
      <c r="W2347" s="16"/>
      <c r="X2347" s="9"/>
      <c r="Y2347" s="9"/>
      <c r="AA2347" s="16"/>
      <c r="AK2347" s="16"/>
      <c r="AL2347" s="17"/>
      <c r="AN2347" s="16"/>
    </row>
    <row r="2348" spans="9:40" x14ac:dyDescent="0.4">
      <c r="I2348" s="11"/>
      <c r="J2348" s="9"/>
      <c r="K2348" s="9"/>
      <c r="O2348" s="11"/>
      <c r="P2348" s="9"/>
      <c r="Q2348" s="9"/>
      <c r="R2348" s="9"/>
      <c r="S2348" s="9"/>
      <c r="T2348" s="31"/>
      <c r="W2348" s="16"/>
      <c r="X2348" s="9"/>
      <c r="Y2348" s="9"/>
      <c r="AA2348" s="16"/>
      <c r="AK2348" s="16"/>
      <c r="AL2348" s="17"/>
      <c r="AN2348" s="16"/>
    </row>
    <row r="2349" spans="9:40" x14ac:dyDescent="0.4">
      <c r="I2349" s="11"/>
      <c r="J2349" s="9"/>
      <c r="K2349" s="9"/>
      <c r="O2349" s="11"/>
      <c r="P2349" s="9"/>
      <c r="Q2349" s="9"/>
      <c r="R2349" s="9"/>
      <c r="S2349" s="9"/>
      <c r="T2349" s="31"/>
      <c r="W2349" s="16"/>
      <c r="X2349" s="9"/>
      <c r="Y2349" s="9"/>
      <c r="AA2349" s="16"/>
      <c r="AK2349" s="16"/>
      <c r="AL2349" s="17"/>
      <c r="AN2349" s="16"/>
    </row>
    <row r="2350" spans="9:40" x14ac:dyDescent="0.4">
      <c r="I2350" s="11"/>
      <c r="J2350" s="9"/>
      <c r="K2350" s="9"/>
      <c r="O2350" s="11"/>
      <c r="P2350" s="9"/>
      <c r="Q2350" s="9"/>
      <c r="R2350" s="9"/>
      <c r="S2350" s="9"/>
      <c r="T2350" s="31"/>
      <c r="W2350" s="16"/>
      <c r="X2350" s="9"/>
      <c r="Y2350" s="9"/>
      <c r="AA2350" s="16"/>
      <c r="AK2350" s="16"/>
      <c r="AL2350" s="17"/>
      <c r="AN2350" s="16"/>
    </row>
    <row r="2351" spans="9:40" x14ac:dyDescent="0.4">
      <c r="I2351" s="11"/>
      <c r="J2351" s="9"/>
      <c r="K2351" s="9"/>
      <c r="O2351" s="11"/>
      <c r="P2351" s="9"/>
      <c r="Q2351" s="9"/>
      <c r="R2351" s="9"/>
      <c r="S2351" s="9"/>
      <c r="T2351" s="31"/>
      <c r="W2351" s="16"/>
      <c r="X2351" s="9"/>
      <c r="Y2351" s="9"/>
      <c r="AA2351" s="16"/>
      <c r="AK2351" s="16"/>
      <c r="AL2351" s="17"/>
      <c r="AN2351" s="16"/>
    </row>
    <row r="2352" spans="9:40" x14ac:dyDescent="0.4">
      <c r="I2352" s="11"/>
      <c r="J2352" s="9"/>
      <c r="K2352" s="9"/>
      <c r="O2352" s="11"/>
      <c r="P2352" s="9"/>
      <c r="Q2352" s="9"/>
      <c r="R2352" s="9"/>
      <c r="S2352" s="9"/>
      <c r="T2352" s="31"/>
      <c r="W2352" s="16"/>
      <c r="X2352" s="9"/>
      <c r="Y2352" s="9"/>
      <c r="AA2352" s="16"/>
      <c r="AK2352" s="16"/>
      <c r="AL2352" s="17"/>
      <c r="AN2352" s="16"/>
    </row>
    <row r="2353" spans="9:40" x14ac:dyDescent="0.4">
      <c r="I2353" s="11"/>
      <c r="J2353" s="9"/>
      <c r="K2353" s="9"/>
      <c r="O2353" s="11"/>
      <c r="P2353" s="9"/>
      <c r="Q2353" s="9"/>
      <c r="R2353" s="9"/>
      <c r="S2353" s="9"/>
      <c r="T2353" s="31"/>
      <c r="W2353" s="16"/>
      <c r="X2353" s="9"/>
      <c r="Y2353" s="9"/>
      <c r="AA2353" s="16"/>
      <c r="AK2353" s="16"/>
      <c r="AL2353" s="17"/>
      <c r="AN2353" s="16"/>
    </row>
    <row r="2354" spans="9:40" x14ac:dyDescent="0.4">
      <c r="I2354" s="11"/>
      <c r="J2354" s="9"/>
      <c r="K2354" s="9"/>
      <c r="O2354" s="11"/>
      <c r="P2354" s="9"/>
      <c r="Q2354" s="9"/>
      <c r="R2354" s="9"/>
      <c r="S2354" s="9"/>
      <c r="T2354" s="31"/>
      <c r="W2354" s="16"/>
      <c r="X2354" s="9"/>
      <c r="Y2354" s="9"/>
      <c r="AA2354" s="16"/>
      <c r="AK2354" s="16"/>
      <c r="AL2354" s="17"/>
      <c r="AN2354" s="16"/>
    </row>
    <row r="2355" spans="9:40" x14ac:dyDescent="0.4">
      <c r="I2355" s="11"/>
      <c r="J2355" s="9"/>
      <c r="K2355" s="9"/>
      <c r="O2355" s="11"/>
      <c r="P2355" s="9"/>
      <c r="Q2355" s="9"/>
      <c r="R2355" s="9"/>
      <c r="S2355" s="9"/>
      <c r="T2355" s="31"/>
      <c r="W2355" s="16"/>
      <c r="X2355" s="9"/>
      <c r="Y2355" s="9"/>
      <c r="AA2355" s="16"/>
      <c r="AK2355" s="16"/>
      <c r="AL2355" s="17"/>
      <c r="AN2355" s="16"/>
    </row>
    <row r="2356" spans="9:40" x14ac:dyDescent="0.4">
      <c r="I2356" s="11"/>
      <c r="J2356" s="9"/>
      <c r="K2356" s="9"/>
      <c r="O2356" s="11"/>
      <c r="P2356" s="9"/>
      <c r="Q2356" s="9"/>
      <c r="R2356" s="9"/>
      <c r="S2356" s="9"/>
      <c r="T2356" s="31"/>
      <c r="W2356" s="16"/>
      <c r="X2356" s="9"/>
      <c r="Y2356" s="9"/>
      <c r="AA2356" s="16"/>
      <c r="AK2356" s="16"/>
      <c r="AL2356" s="17"/>
      <c r="AN2356" s="16"/>
    </row>
    <row r="2357" spans="9:40" x14ac:dyDescent="0.4">
      <c r="I2357" s="11"/>
      <c r="J2357" s="9"/>
      <c r="K2357" s="9"/>
      <c r="O2357" s="11"/>
      <c r="P2357" s="9"/>
      <c r="Q2357" s="9"/>
      <c r="R2357" s="9"/>
      <c r="S2357" s="9"/>
      <c r="T2357" s="31"/>
      <c r="W2357" s="16"/>
      <c r="X2357" s="9"/>
      <c r="Y2357" s="9"/>
      <c r="AA2357" s="16"/>
      <c r="AK2357" s="16"/>
      <c r="AL2357" s="17"/>
      <c r="AN2357" s="16"/>
    </row>
    <row r="2358" spans="9:40" x14ac:dyDescent="0.4">
      <c r="I2358" s="11"/>
      <c r="J2358" s="9"/>
      <c r="K2358" s="9"/>
      <c r="O2358" s="11"/>
      <c r="P2358" s="9"/>
      <c r="Q2358" s="9"/>
      <c r="R2358" s="9"/>
      <c r="S2358" s="9"/>
      <c r="T2358" s="31"/>
      <c r="W2358" s="16"/>
      <c r="X2358" s="9"/>
      <c r="Y2358" s="9"/>
      <c r="AA2358" s="16"/>
      <c r="AK2358" s="16"/>
      <c r="AL2358" s="17"/>
      <c r="AN2358" s="16"/>
    </row>
    <row r="2359" spans="9:40" x14ac:dyDescent="0.4">
      <c r="I2359" s="11"/>
      <c r="J2359" s="9"/>
      <c r="K2359" s="9"/>
      <c r="O2359" s="11"/>
      <c r="P2359" s="9"/>
      <c r="Q2359" s="9"/>
      <c r="R2359" s="9"/>
      <c r="S2359" s="9"/>
      <c r="T2359" s="31"/>
      <c r="W2359" s="16"/>
      <c r="X2359" s="9"/>
      <c r="Y2359" s="9"/>
      <c r="AA2359" s="16"/>
      <c r="AK2359" s="16"/>
      <c r="AL2359" s="17"/>
      <c r="AN2359" s="16"/>
    </row>
    <row r="2360" spans="9:40" x14ac:dyDescent="0.4">
      <c r="I2360" s="11"/>
      <c r="J2360" s="9"/>
      <c r="K2360" s="9"/>
      <c r="O2360" s="11"/>
      <c r="P2360" s="9"/>
      <c r="Q2360" s="9"/>
      <c r="R2360" s="9"/>
      <c r="S2360" s="9"/>
      <c r="T2360" s="31"/>
      <c r="W2360" s="16"/>
      <c r="X2360" s="9"/>
      <c r="Y2360" s="9"/>
      <c r="AA2360" s="16"/>
      <c r="AK2360" s="16"/>
      <c r="AL2360" s="17"/>
      <c r="AN2360" s="16"/>
    </row>
    <row r="2361" spans="9:40" x14ac:dyDescent="0.4">
      <c r="I2361" s="11"/>
      <c r="J2361" s="9"/>
      <c r="K2361" s="9"/>
      <c r="O2361" s="11"/>
      <c r="P2361" s="9"/>
      <c r="Q2361" s="9"/>
      <c r="R2361" s="9"/>
      <c r="S2361" s="9"/>
      <c r="T2361" s="31"/>
      <c r="W2361" s="16"/>
      <c r="X2361" s="9"/>
      <c r="Y2361" s="9"/>
      <c r="AA2361" s="16"/>
      <c r="AK2361" s="16"/>
      <c r="AL2361" s="17"/>
      <c r="AN2361" s="16"/>
    </row>
    <row r="2362" spans="9:40" x14ac:dyDescent="0.4">
      <c r="I2362" s="11"/>
      <c r="J2362" s="9"/>
      <c r="K2362" s="9"/>
      <c r="O2362" s="11"/>
      <c r="P2362" s="9"/>
      <c r="Q2362" s="9"/>
      <c r="R2362" s="9"/>
      <c r="S2362" s="9"/>
      <c r="T2362" s="31"/>
      <c r="W2362" s="16"/>
      <c r="X2362" s="9"/>
      <c r="Y2362" s="9"/>
      <c r="AA2362" s="16"/>
      <c r="AK2362" s="16"/>
      <c r="AL2362" s="17"/>
      <c r="AN2362" s="16"/>
    </row>
    <row r="2363" spans="9:40" x14ac:dyDescent="0.4">
      <c r="I2363" s="11"/>
      <c r="J2363" s="9"/>
      <c r="K2363" s="9"/>
      <c r="O2363" s="11"/>
      <c r="P2363" s="9"/>
      <c r="Q2363" s="9"/>
      <c r="R2363" s="9"/>
      <c r="S2363" s="9"/>
      <c r="T2363" s="31"/>
      <c r="W2363" s="16"/>
      <c r="X2363" s="9"/>
      <c r="Y2363" s="9"/>
      <c r="AA2363" s="16"/>
      <c r="AK2363" s="16"/>
      <c r="AL2363" s="17"/>
      <c r="AN2363" s="16"/>
    </row>
    <row r="2364" spans="9:40" x14ac:dyDescent="0.4">
      <c r="I2364" s="11"/>
      <c r="J2364" s="9"/>
      <c r="K2364" s="9"/>
      <c r="O2364" s="11"/>
      <c r="P2364" s="9"/>
      <c r="Q2364" s="9"/>
      <c r="R2364" s="9"/>
      <c r="S2364" s="9"/>
      <c r="T2364" s="31"/>
      <c r="W2364" s="16"/>
      <c r="X2364" s="9"/>
      <c r="Y2364" s="9"/>
      <c r="AA2364" s="16"/>
      <c r="AK2364" s="16"/>
      <c r="AL2364" s="17"/>
      <c r="AN2364" s="16"/>
    </row>
    <row r="2365" spans="9:40" x14ac:dyDescent="0.4">
      <c r="I2365" s="11"/>
      <c r="J2365" s="9"/>
      <c r="K2365" s="9"/>
      <c r="O2365" s="11"/>
      <c r="P2365" s="9"/>
      <c r="Q2365" s="9"/>
      <c r="R2365" s="9"/>
      <c r="S2365" s="9"/>
      <c r="T2365" s="31"/>
      <c r="W2365" s="16"/>
      <c r="X2365" s="9"/>
      <c r="Y2365" s="9"/>
      <c r="AA2365" s="16"/>
      <c r="AK2365" s="16"/>
      <c r="AL2365" s="17"/>
      <c r="AN2365" s="16"/>
    </row>
    <row r="2366" spans="9:40" x14ac:dyDescent="0.4">
      <c r="I2366" s="11"/>
      <c r="J2366" s="9"/>
      <c r="K2366" s="9"/>
      <c r="O2366" s="11"/>
      <c r="P2366" s="9"/>
      <c r="Q2366" s="9"/>
      <c r="R2366" s="9"/>
      <c r="S2366" s="9"/>
      <c r="T2366" s="31"/>
      <c r="W2366" s="16"/>
      <c r="X2366" s="9"/>
      <c r="Y2366" s="9"/>
      <c r="AA2366" s="16"/>
      <c r="AK2366" s="16"/>
      <c r="AL2366" s="17"/>
      <c r="AN2366" s="16"/>
    </row>
    <row r="2367" spans="9:40" x14ac:dyDescent="0.4">
      <c r="I2367" s="11"/>
      <c r="J2367" s="9"/>
      <c r="K2367" s="9"/>
      <c r="O2367" s="11"/>
      <c r="P2367" s="9"/>
      <c r="Q2367" s="9"/>
      <c r="R2367" s="9"/>
      <c r="S2367" s="9"/>
      <c r="T2367" s="31"/>
      <c r="W2367" s="16"/>
      <c r="X2367" s="9"/>
      <c r="Y2367" s="9"/>
      <c r="AA2367" s="16"/>
      <c r="AK2367" s="16"/>
      <c r="AL2367" s="17"/>
      <c r="AN2367" s="16"/>
    </row>
    <row r="2368" spans="9:40" x14ac:dyDescent="0.4">
      <c r="I2368" s="11"/>
      <c r="J2368" s="9"/>
      <c r="K2368" s="9"/>
      <c r="O2368" s="11"/>
      <c r="P2368" s="9"/>
      <c r="Q2368" s="9"/>
      <c r="R2368" s="9"/>
      <c r="S2368" s="9"/>
      <c r="T2368" s="31"/>
      <c r="W2368" s="16"/>
      <c r="X2368" s="9"/>
      <c r="Y2368" s="9"/>
      <c r="AA2368" s="16"/>
      <c r="AK2368" s="16"/>
      <c r="AL2368" s="17"/>
      <c r="AN2368" s="16"/>
    </row>
    <row r="2369" spans="9:40" x14ac:dyDescent="0.4">
      <c r="I2369" s="11"/>
      <c r="J2369" s="9"/>
      <c r="K2369" s="9"/>
      <c r="O2369" s="11"/>
      <c r="P2369" s="9"/>
      <c r="Q2369" s="9"/>
      <c r="R2369" s="9"/>
      <c r="S2369" s="9"/>
      <c r="T2369" s="31"/>
      <c r="W2369" s="16"/>
      <c r="X2369" s="9"/>
      <c r="Y2369" s="9"/>
      <c r="AA2369" s="16"/>
      <c r="AK2369" s="16"/>
      <c r="AL2369" s="17"/>
      <c r="AN2369" s="16"/>
    </row>
    <row r="2370" spans="9:40" x14ac:dyDescent="0.4">
      <c r="I2370" s="11"/>
      <c r="J2370" s="9"/>
      <c r="K2370" s="9"/>
      <c r="O2370" s="11"/>
      <c r="P2370" s="9"/>
      <c r="Q2370" s="9"/>
      <c r="R2370" s="9"/>
      <c r="S2370" s="9"/>
      <c r="T2370" s="31"/>
      <c r="W2370" s="16"/>
      <c r="X2370" s="9"/>
      <c r="Y2370" s="9"/>
      <c r="AA2370" s="16"/>
      <c r="AK2370" s="16"/>
      <c r="AL2370" s="17"/>
      <c r="AN2370" s="16"/>
    </row>
    <row r="2371" spans="9:40" x14ac:dyDescent="0.4">
      <c r="I2371" s="11"/>
      <c r="J2371" s="9"/>
      <c r="K2371" s="9"/>
      <c r="O2371" s="11"/>
      <c r="P2371" s="9"/>
      <c r="Q2371" s="9"/>
      <c r="R2371" s="9"/>
      <c r="S2371" s="9"/>
      <c r="T2371" s="31"/>
      <c r="W2371" s="16"/>
      <c r="X2371" s="9"/>
      <c r="Y2371" s="9"/>
      <c r="AA2371" s="16"/>
      <c r="AK2371" s="16"/>
      <c r="AL2371" s="17"/>
      <c r="AN2371" s="16"/>
    </row>
    <row r="2372" spans="9:40" x14ac:dyDescent="0.4">
      <c r="I2372" s="11"/>
      <c r="J2372" s="9"/>
      <c r="K2372" s="9"/>
      <c r="O2372" s="11"/>
      <c r="P2372" s="9"/>
      <c r="Q2372" s="9"/>
      <c r="R2372" s="9"/>
      <c r="S2372" s="9"/>
      <c r="T2372" s="31"/>
      <c r="W2372" s="16"/>
      <c r="X2372" s="9"/>
      <c r="Y2372" s="9"/>
      <c r="AA2372" s="16"/>
      <c r="AK2372" s="16"/>
      <c r="AL2372" s="17"/>
      <c r="AN2372" s="16"/>
    </row>
    <row r="2373" spans="9:40" x14ac:dyDescent="0.4">
      <c r="I2373" s="11"/>
      <c r="J2373" s="9"/>
      <c r="K2373" s="9"/>
      <c r="O2373" s="11"/>
      <c r="P2373" s="9"/>
      <c r="Q2373" s="9"/>
      <c r="R2373" s="9"/>
      <c r="S2373" s="9"/>
      <c r="T2373" s="31"/>
      <c r="W2373" s="16"/>
      <c r="X2373" s="9"/>
      <c r="Y2373" s="9"/>
      <c r="AA2373" s="16"/>
      <c r="AK2373" s="16"/>
      <c r="AL2373" s="17"/>
      <c r="AN2373" s="16"/>
    </row>
    <row r="2374" spans="9:40" x14ac:dyDescent="0.4">
      <c r="I2374" s="11"/>
      <c r="J2374" s="9"/>
      <c r="K2374" s="9"/>
      <c r="O2374" s="11"/>
      <c r="P2374" s="9"/>
      <c r="Q2374" s="9"/>
      <c r="R2374" s="9"/>
      <c r="S2374" s="9"/>
      <c r="T2374" s="31"/>
      <c r="W2374" s="16"/>
      <c r="X2374" s="9"/>
      <c r="Y2374" s="9"/>
      <c r="AA2374" s="16"/>
      <c r="AK2374" s="16"/>
      <c r="AL2374" s="17"/>
      <c r="AN2374" s="16"/>
    </row>
    <row r="2375" spans="9:40" x14ac:dyDescent="0.4">
      <c r="I2375" s="11"/>
      <c r="J2375" s="9"/>
      <c r="K2375" s="9"/>
      <c r="O2375" s="11"/>
      <c r="P2375" s="9"/>
      <c r="Q2375" s="9"/>
      <c r="R2375" s="9"/>
      <c r="S2375" s="9"/>
      <c r="T2375" s="31"/>
      <c r="W2375" s="16"/>
      <c r="X2375" s="9"/>
      <c r="Y2375" s="9"/>
      <c r="AA2375" s="16"/>
      <c r="AK2375" s="16"/>
      <c r="AL2375" s="17"/>
      <c r="AN2375" s="16"/>
    </row>
    <row r="2376" spans="9:40" x14ac:dyDescent="0.4">
      <c r="I2376" s="11"/>
      <c r="J2376" s="9"/>
      <c r="K2376" s="9"/>
      <c r="O2376" s="11"/>
      <c r="P2376" s="9"/>
      <c r="Q2376" s="9"/>
      <c r="R2376" s="9"/>
      <c r="S2376" s="9"/>
      <c r="T2376" s="31"/>
      <c r="W2376" s="16"/>
      <c r="X2376" s="9"/>
      <c r="Y2376" s="9"/>
      <c r="AA2376" s="16"/>
      <c r="AK2376" s="16"/>
      <c r="AL2376" s="17"/>
      <c r="AN2376" s="16"/>
    </row>
    <row r="2377" spans="9:40" x14ac:dyDescent="0.4">
      <c r="I2377" s="11"/>
      <c r="J2377" s="9"/>
      <c r="K2377" s="9"/>
      <c r="O2377" s="11"/>
      <c r="P2377" s="9"/>
      <c r="Q2377" s="9"/>
      <c r="R2377" s="9"/>
      <c r="S2377" s="9"/>
      <c r="T2377" s="31"/>
      <c r="W2377" s="16"/>
      <c r="X2377" s="9"/>
      <c r="Y2377" s="9"/>
      <c r="AA2377" s="16"/>
      <c r="AK2377" s="16"/>
      <c r="AL2377" s="17"/>
      <c r="AN2377" s="16"/>
    </row>
    <row r="2378" spans="9:40" x14ac:dyDescent="0.4">
      <c r="I2378" s="11"/>
      <c r="J2378" s="9"/>
      <c r="K2378" s="9"/>
      <c r="O2378" s="11"/>
      <c r="P2378" s="9"/>
      <c r="Q2378" s="9"/>
      <c r="R2378" s="9"/>
      <c r="S2378" s="9"/>
      <c r="T2378" s="31"/>
      <c r="W2378" s="16"/>
      <c r="X2378" s="9"/>
      <c r="Y2378" s="9"/>
      <c r="AA2378" s="16"/>
      <c r="AK2378" s="16"/>
      <c r="AL2378" s="17"/>
      <c r="AN2378" s="16"/>
    </row>
    <row r="2379" spans="9:40" x14ac:dyDescent="0.4">
      <c r="I2379" s="11"/>
      <c r="J2379" s="9"/>
      <c r="K2379" s="9"/>
      <c r="O2379" s="11"/>
      <c r="P2379" s="9"/>
      <c r="Q2379" s="9"/>
      <c r="R2379" s="9"/>
      <c r="S2379" s="9"/>
      <c r="T2379" s="31"/>
      <c r="W2379" s="16"/>
      <c r="X2379" s="9"/>
      <c r="Y2379" s="9"/>
      <c r="AA2379" s="16"/>
      <c r="AK2379" s="16"/>
      <c r="AL2379" s="17"/>
      <c r="AN2379" s="16"/>
    </row>
    <row r="2380" spans="9:40" x14ac:dyDescent="0.4">
      <c r="I2380" s="11"/>
      <c r="J2380" s="9"/>
      <c r="K2380" s="9"/>
      <c r="O2380" s="11"/>
      <c r="P2380" s="9"/>
      <c r="Q2380" s="9"/>
      <c r="R2380" s="9"/>
      <c r="S2380" s="9"/>
      <c r="T2380" s="31"/>
      <c r="W2380" s="16"/>
      <c r="X2380" s="9"/>
      <c r="Y2380" s="9"/>
      <c r="AA2380" s="16"/>
      <c r="AK2380" s="16"/>
      <c r="AL2380" s="17"/>
      <c r="AN2380" s="16"/>
    </row>
    <row r="2381" spans="9:40" x14ac:dyDescent="0.4">
      <c r="I2381" s="11"/>
      <c r="J2381" s="9"/>
      <c r="K2381" s="9"/>
      <c r="O2381" s="11"/>
      <c r="P2381" s="9"/>
      <c r="Q2381" s="9"/>
      <c r="R2381" s="9"/>
      <c r="S2381" s="9"/>
      <c r="T2381" s="31"/>
      <c r="W2381" s="16"/>
      <c r="X2381" s="9"/>
      <c r="Y2381" s="9"/>
      <c r="AA2381" s="16"/>
      <c r="AK2381" s="16"/>
      <c r="AL2381" s="17"/>
      <c r="AN2381" s="16"/>
    </row>
    <row r="2382" spans="9:40" x14ac:dyDescent="0.4">
      <c r="I2382" s="11"/>
      <c r="J2382" s="9"/>
      <c r="K2382" s="9"/>
      <c r="O2382" s="11"/>
      <c r="P2382" s="9"/>
      <c r="Q2382" s="9"/>
      <c r="R2382" s="9"/>
      <c r="S2382" s="9"/>
      <c r="T2382" s="31"/>
      <c r="W2382" s="16"/>
      <c r="X2382" s="9"/>
      <c r="Y2382" s="9"/>
      <c r="AA2382" s="16"/>
      <c r="AK2382" s="16"/>
      <c r="AL2382" s="17"/>
      <c r="AN2382" s="16"/>
    </row>
    <row r="2383" spans="9:40" x14ac:dyDescent="0.4">
      <c r="I2383" s="11"/>
      <c r="J2383" s="9"/>
      <c r="K2383" s="9"/>
      <c r="O2383" s="11"/>
      <c r="P2383" s="9"/>
      <c r="Q2383" s="9"/>
      <c r="R2383" s="9"/>
      <c r="S2383" s="9"/>
      <c r="T2383" s="31"/>
      <c r="W2383" s="16"/>
      <c r="X2383" s="9"/>
      <c r="Y2383" s="9"/>
      <c r="AA2383" s="16"/>
      <c r="AK2383" s="16"/>
      <c r="AL2383" s="17"/>
      <c r="AN2383" s="16"/>
    </row>
    <row r="2384" spans="9:40" x14ac:dyDescent="0.4">
      <c r="I2384" s="11"/>
      <c r="J2384" s="9"/>
      <c r="K2384" s="9"/>
      <c r="O2384" s="11"/>
      <c r="P2384" s="9"/>
      <c r="Q2384" s="9"/>
      <c r="R2384" s="9"/>
      <c r="S2384" s="9"/>
      <c r="T2384" s="31"/>
      <c r="W2384" s="16"/>
      <c r="X2384" s="9"/>
      <c r="Y2384" s="9"/>
      <c r="AA2384" s="16"/>
      <c r="AK2384" s="16"/>
      <c r="AL2384" s="17"/>
      <c r="AN2384" s="16"/>
    </row>
    <row r="2385" spans="9:40" x14ac:dyDescent="0.4">
      <c r="I2385" s="11"/>
      <c r="J2385" s="9"/>
      <c r="K2385" s="9"/>
      <c r="O2385" s="11"/>
      <c r="P2385" s="9"/>
      <c r="Q2385" s="9"/>
      <c r="R2385" s="9"/>
      <c r="S2385" s="9"/>
      <c r="T2385" s="31"/>
      <c r="W2385" s="16"/>
      <c r="X2385" s="9"/>
      <c r="Y2385" s="9"/>
      <c r="AA2385" s="16"/>
      <c r="AK2385" s="16"/>
      <c r="AL2385" s="17"/>
      <c r="AN2385" s="16"/>
    </row>
    <row r="2386" spans="9:40" x14ac:dyDescent="0.4">
      <c r="I2386" s="11"/>
      <c r="J2386" s="9"/>
      <c r="K2386" s="9"/>
      <c r="O2386" s="11"/>
      <c r="P2386" s="9"/>
      <c r="Q2386" s="9"/>
      <c r="R2386" s="9"/>
      <c r="S2386" s="9"/>
      <c r="T2386" s="31"/>
      <c r="W2386" s="16"/>
      <c r="X2386" s="9"/>
      <c r="Y2386" s="9"/>
      <c r="AA2386" s="16"/>
      <c r="AK2386" s="16"/>
      <c r="AL2386" s="17"/>
      <c r="AN2386" s="16"/>
    </row>
    <row r="2387" spans="9:40" x14ac:dyDescent="0.4">
      <c r="I2387" s="11"/>
      <c r="J2387" s="9"/>
      <c r="K2387" s="9"/>
      <c r="O2387" s="11"/>
      <c r="P2387" s="9"/>
      <c r="Q2387" s="9"/>
      <c r="R2387" s="9"/>
      <c r="S2387" s="9"/>
      <c r="T2387" s="31"/>
      <c r="W2387" s="16"/>
      <c r="X2387" s="9"/>
      <c r="Y2387" s="9"/>
      <c r="AA2387" s="16"/>
      <c r="AK2387" s="16"/>
      <c r="AL2387" s="17"/>
      <c r="AN2387" s="16"/>
    </row>
    <row r="2388" spans="9:40" x14ac:dyDescent="0.4">
      <c r="I2388" s="11"/>
      <c r="J2388" s="9"/>
      <c r="K2388" s="9"/>
      <c r="O2388" s="11"/>
      <c r="P2388" s="9"/>
      <c r="Q2388" s="9"/>
      <c r="R2388" s="9"/>
      <c r="S2388" s="9"/>
      <c r="T2388" s="31"/>
      <c r="W2388" s="16"/>
      <c r="X2388" s="9"/>
      <c r="Y2388" s="9"/>
      <c r="AA2388" s="16"/>
      <c r="AK2388" s="16"/>
      <c r="AL2388" s="17"/>
      <c r="AN2388" s="16"/>
    </row>
    <row r="2389" spans="9:40" x14ac:dyDescent="0.4">
      <c r="I2389" s="11"/>
      <c r="J2389" s="9"/>
      <c r="K2389" s="9"/>
      <c r="O2389" s="11"/>
      <c r="P2389" s="9"/>
      <c r="Q2389" s="9"/>
      <c r="R2389" s="9"/>
      <c r="S2389" s="9"/>
      <c r="T2389" s="31"/>
      <c r="W2389" s="16"/>
      <c r="X2389" s="9"/>
      <c r="Y2389" s="9"/>
      <c r="AA2389" s="16"/>
      <c r="AK2389" s="16"/>
      <c r="AL2389" s="17"/>
      <c r="AN2389" s="16"/>
    </row>
    <row r="2390" spans="9:40" x14ac:dyDescent="0.4">
      <c r="I2390" s="11"/>
      <c r="J2390" s="9"/>
      <c r="K2390" s="9"/>
      <c r="O2390" s="11"/>
      <c r="P2390" s="9"/>
      <c r="Q2390" s="9"/>
      <c r="R2390" s="9"/>
      <c r="S2390" s="9"/>
      <c r="T2390" s="31"/>
      <c r="W2390" s="16"/>
      <c r="X2390" s="9"/>
      <c r="Y2390" s="9"/>
      <c r="AA2390" s="16"/>
      <c r="AK2390" s="16"/>
      <c r="AL2390" s="17"/>
      <c r="AN2390" s="16"/>
    </row>
    <row r="2391" spans="9:40" x14ac:dyDescent="0.4">
      <c r="I2391" s="11"/>
      <c r="J2391" s="9"/>
      <c r="K2391" s="9"/>
      <c r="O2391" s="11"/>
      <c r="P2391" s="9"/>
      <c r="Q2391" s="9"/>
      <c r="R2391" s="9"/>
      <c r="S2391" s="9"/>
      <c r="T2391" s="31"/>
      <c r="W2391" s="16"/>
      <c r="X2391" s="9"/>
      <c r="Y2391" s="9"/>
      <c r="AA2391" s="16"/>
      <c r="AK2391" s="16"/>
      <c r="AL2391" s="17"/>
      <c r="AN2391" s="16"/>
    </row>
    <row r="2392" spans="9:40" x14ac:dyDescent="0.4">
      <c r="I2392" s="11"/>
      <c r="J2392" s="9"/>
      <c r="K2392" s="9"/>
      <c r="O2392" s="11"/>
      <c r="P2392" s="9"/>
      <c r="Q2392" s="9"/>
      <c r="R2392" s="9"/>
      <c r="S2392" s="9"/>
      <c r="T2392" s="31"/>
      <c r="W2392" s="16"/>
      <c r="X2392" s="9"/>
      <c r="Y2392" s="9"/>
      <c r="AA2392" s="16"/>
      <c r="AK2392" s="16"/>
      <c r="AL2392" s="17"/>
      <c r="AN2392" s="16"/>
    </row>
    <row r="2393" spans="9:40" x14ac:dyDescent="0.4">
      <c r="I2393" s="11"/>
      <c r="J2393" s="9"/>
      <c r="K2393" s="9"/>
      <c r="O2393" s="11"/>
      <c r="P2393" s="9"/>
      <c r="Q2393" s="9"/>
      <c r="R2393" s="9"/>
      <c r="S2393" s="9"/>
      <c r="T2393" s="31"/>
      <c r="W2393" s="16"/>
      <c r="X2393" s="9"/>
      <c r="Y2393" s="9"/>
      <c r="AA2393" s="16"/>
      <c r="AK2393" s="16"/>
      <c r="AL2393" s="17"/>
      <c r="AN2393" s="16"/>
    </row>
    <row r="2394" spans="9:40" x14ac:dyDescent="0.4">
      <c r="I2394" s="11"/>
      <c r="J2394" s="9"/>
      <c r="K2394" s="9"/>
      <c r="O2394" s="11"/>
      <c r="P2394" s="9"/>
      <c r="Q2394" s="9"/>
      <c r="R2394" s="9"/>
      <c r="S2394" s="9"/>
      <c r="T2394" s="31"/>
      <c r="W2394" s="16"/>
      <c r="X2394" s="9"/>
      <c r="Y2394" s="9"/>
      <c r="AA2394" s="16"/>
      <c r="AK2394" s="16"/>
      <c r="AL2394" s="17"/>
      <c r="AN2394" s="16"/>
    </row>
    <row r="2395" spans="9:40" x14ac:dyDescent="0.4">
      <c r="I2395" s="11"/>
      <c r="J2395" s="9"/>
      <c r="K2395" s="9"/>
      <c r="O2395" s="11"/>
      <c r="P2395" s="9"/>
      <c r="Q2395" s="9"/>
      <c r="R2395" s="9"/>
      <c r="S2395" s="9"/>
      <c r="T2395" s="31"/>
      <c r="W2395" s="16"/>
      <c r="X2395" s="9"/>
      <c r="Y2395" s="9"/>
      <c r="AA2395" s="16"/>
      <c r="AK2395" s="16"/>
      <c r="AL2395" s="17"/>
      <c r="AN2395" s="16"/>
    </row>
    <row r="2396" spans="9:40" x14ac:dyDescent="0.4">
      <c r="I2396" s="11"/>
      <c r="J2396" s="9"/>
      <c r="K2396" s="9"/>
      <c r="O2396" s="11"/>
      <c r="P2396" s="9"/>
      <c r="Q2396" s="9"/>
      <c r="R2396" s="9"/>
      <c r="S2396" s="9"/>
      <c r="T2396" s="31"/>
      <c r="W2396" s="16"/>
      <c r="X2396" s="9"/>
      <c r="Y2396" s="9"/>
      <c r="AA2396" s="16"/>
      <c r="AK2396" s="16"/>
      <c r="AL2396" s="17"/>
      <c r="AN2396" s="16"/>
    </row>
    <row r="2397" spans="9:40" x14ac:dyDescent="0.4">
      <c r="I2397" s="11"/>
      <c r="J2397" s="9"/>
      <c r="K2397" s="9"/>
      <c r="O2397" s="11"/>
      <c r="P2397" s="9"/>
      <c r="Q2397" s="9"/>
      <c r="R2397" s="9"/>
      <c r="S2397" s="9"/>
      <c r="T2397" s="31"/>
      <c r="W2397" s="16"/>
      <c r="X2397" s="9"/>
      <c r="Y2397" s="9"/>
      <c r="AA2397" s="16"/>
      <c r="AK2397" s="16"/>
      <c r="AL2397" s="17"/>
      <c r="AN2397" s="16"/>
    </row>
    <row r="2398" spans="9:40" x14ac:dyDescent="0.4">
      <c r="I2398" s="11"/>
      <c r="J2398" s="9"/>
      <c r="K2398" s="9"/>
      <c r="O2398" s="11"/>
      <c r="P2398" s="9"/>
      <c r="Q2398" s="9"/>
      <c r="R2398" s="9"/>
      <c r="S2398" s="9"/>
      <c r="T2398" s="31"/>
      <c r="W2398" s="16"/>
      <c r="X2398" s="9"/>
      <c r="Y2398" s="9"/>
      <c r="AA2398" s="16"/>
      <c r="AK2398" s="16"/>
      <c r="AL2398" s="17"/>
      <c r="AN2398" s="16"/>
    </row>
    <row r="2399" spans="9:40" x14ac:dyDescent="0.4">
      <c r="I2399" s="11"/>
      <c r="J2399" s="9"/>
      <c r="K2399" s="9"/>
      <c r="O2399" s="11"/>
      <c r="P2399" s="9"/>
      <c r="Q2399" s="9"/>
      <c r="R2399" s="9"/>
      <c r="S2399" s="9"/>
      <c r="T2399" s="31"/>
      <c r="W2399" s="16"/>
      <c r="X2399" s="9"/>
      <c r="Y2399" s="9"/>
      <c r="AA2399" s="16"/>
      <c r="AK2399" s="16"/>
      <c r="AL2399" s="17"/>
      <c r="AN2399" s="16"/>
    </row>
    <row r="2400" spans="9:40" x14ac:dyDescent="0.4">
      <c r="I2400" s="11"/>
      <c r="J2400" s="9"/>
      <c r="K2400" s="9"/>
      <c r="O2400" s="11"/>
      <c r="P2400" s="9"/>
      <c r="Q2400" s="9"/>
      <c r="R2400" s="9"/>
      <c r="S2400" s="9"/>
      <c r="T2400" s="31"/>
      <c r="W2400" s="16"/>
      <c r="X2400" s="9"/>
      <c r="Y2400" s="9"/>
      <c r="AA2400" s="16"/>
      <c r="AK2400" s="16"/>
      <c r="AL2400" s="17"/>
      <c r="AN2400" s="16"/>
    </row>
    <row r="2401" spans="9:40" x14ac:dyDescent="0.4">
      <c r="I2401" s="11"/>
      <c r="J2401" s="9"/>
      <c r="K2401" s="9"/>
      <c r="O2401" s="11"/>
      <c r="P2401" s="9"/>
      <c r="Q2401" s="9"/>
      <c r="R2401" s="9"/>
      <c r="S2401" s="9"/>
      <c r="T2401" s="31"/>
      <c r="W2401" s="16"/>
      <c r="X2401" s="9"/>
      <c r="Y2401" s="9"/>
      <c r="AA2401" s="16"/>
      <c r="AK2401" s="16"/>
      <c r="AL2401" s="17"/>
      <c r="AN2401" s="16"/>
    </row>
    <row r="2402" spans="9:40" x14ac:dyDescent="0.4">
      <c r="I2402" s="11"/>
      <c r="J2402" s="9"/>
      <c r="K2402" s="9"/>
      <c r="O2402" s="11"/>
      <c r="P2402" s="9"/>
      <c r="Q2402" s="9"/>
      <c r="R2402" s="9"/>
      <c r="S2402" s="9"/>
      <c r="T2402" s="31"/>
      <c r="W2402" s="16"/>
      <c r="X2402" s="9"/>
      <c r="Y2402" s="9"/>
      <c r="AA2402" s="16"/>
      <c r="AK2402" s="16"/>
      <c r="AL2402" s="17"/>
      <c r="AN2402" s="16"/>
    </row>
    <row r="2403" spans="9:40" x14ac:dyDescent="0.4">
      <c r="I2403" s="11"/>
      <c r="J2403" s="9"/>
      <c r="K2403" s="9"/>
      <c r="O2403" s="11"/>
      <c r="P2403" s="9"/>
      <c r="Q2403" s="9"/>
      <c r="R2403" s="9"/>
      <c r="S2403" s="9"/>
      <c r="T2403" s="31"/>
      <c r="W2403" s="16"/>
      <c r="X2403" s="9"/>
      <c r="Y2403" s="9"/>
      <c r="AA2403" s="16"/>
      <c r="AK2403" s="16"/>
      <c r="AL2403" s="17"/>
      <c r="AN2403" s="16"/>
    </row>
    <row r="2404" spans="9:40" x14ac:dyDescent="0.4">
      <c r="I2404" s="11"/>
      <c r="J2404" s="9"/>
      <c r="K2404" s="9"/>
      <c r="O2404" s="11"/>
      <c r="P2404" s="9"/>
      <c r="Q2404" s="9"/>
      <c r="R2404" s="9"/>
      <c r="S2404" s="9"/>
      <c r="T2404" s="31"/>
      <c r="W2404" s="16"/>
      <c r="X2404" s="9"/>
      <c r="Y2404" s="9"/>
      <c r="AA2404" s="16"/>
      <c r="AK2404" s="16"/>
      <c r="AL2404" s="17"/>
      <c r="AN2404" s="16"/>
    </row>
    <row r="2405" spans="9:40" x14ac:dyDescent="0.4">
      <c r="I2405" s="11"/>
      <c r="J2405" s="9"/>
      <c r="K2405" s="9"/>
      <c r="O2405" s="11"/>
      <c r="P2405" s="9"/>
      <c r="Q2405" s="9"/>
      <c r="R2405" s="9"/>
      <c r="S2405" s="9"/>
      <c r="T2405" s="31"/>
      <c r="W2405" s="16"/>
      <c r="X2405" s="9"/>
      <c r="Y2405" s="9"/>
      <c r="AA2405" s="16"/>
      <c r="AK2405" s="16"/>
      <c r="AL2405" s="17"/>
      <c r="AN2405" s="16"/>
    </row>
    <row r="2406" spans="9:40" x14ac:dyDescent="0.4">
      <c r="I2406" s="11"/>
      <c r="J2406" s="9"/>
      <c r="K2406" s="9"/>
      <c r="O2406" s="11"/>
      <c r="P2406" s="9"/>
      <c r="Q2406" s="9"/>
      <c r="R2406" s="9"/>
      <c r="S2406" s="9"/>
      <c r="T2406" s="31"/>
      <c r="W2406" s="16"/>
      <c r="X2406" s="9"/>
      <c r="Y2406" s="9"/>
      <c r="AA2406" s="16"/>
      <c r="AK2406" s="16"/>
      <c r="AL2406" s="17"/>
      <c r="AN2406" s="16"/>
    </row>
    <row r="2407" spans="9:40" x14ac:dyDescent="0.4">
      <c r="I2407" s="11"/>
      <c r="J2407" s="9"/>
      <c r="K2407" s="9"/>
      <c r="O2407" s="11"/>
      <c r="P2407" s="9"/>
      <c r="Q2407" s="9"/>
      <c r="R2407" s="9"/>
      <c r="S2407" s="9"/>
      <c r="T2407" s="31"/>
      <c r="W2407" s="16"/>
      <c r="X2407" s="9"/>
      <c r="Y2407" s="9"/>
      <c r="AA2407" s="16"/>
      <c r="AK2407" s="16"/>
      <c r="AL2407" s="17"/>
      <c r="AN2407" s="16"/>
    </row>
    <row r="2408" spans="9:40" x14ac:dyDescent="0.4">
      <c r="I2408" s="11"/>
      <c r="J2408" s="9"/>
      <c r="K2408" s="9"/>
      <c r="O2408" s="11"/>
      <c r="P2408" s="9"/>
      <c r="Q2408" s="9"/>
      <c r="R2408" s="9"/>
      <c r="S2408" s="9"/>
      <c r="T2408" s="31"/>
      <c r="W2408" s="16"/>
      <c r="X2408" s="9"/>
      <c r="Y2408" s="9"/>
      <c r="AA2408" s="16"/>
      <c r="AK2408" s="16"/>
      <c r="AL2408" s="17"/>
      <c r="AN2408" s="16"/>
    </row>
    <row r="2409" spans="9:40" x14ac:dyDescent="0.4">
      <c r="I2409" s="11"/>
      <c r="J2409" s="9"/>
      <c r="K2409" s="9"/>
      <c r="O2409" s="11"/>
      <c r="P2409" s="9"/>
      <c r="Q2409" s="9"/>
      <c r="R2409" s="9"/>
      <c r="S2409" s="9"/>
      <c r="T2409" s="31"/>
      <c r="W2409" s="16"/>
      <c r="X2409" s="9"/>
      <c r="Y2409" s="9"/>
      <c r="AA2409" s="16"/>
      <c r="AK2409" s="16"/>
      <c r="AL2409" s="17"/>
      <c r="AN2409" s="16"/>
    </row>
    <row r="2410" spans="9:40" x14ac:dyDescent="0.4">
      <c r="I2410" s="11"/>
      <c r="J2410" s="9"/>
      <c r="K2410" s="9"/>
      <c r="O2410" s="11"/>
      <c r="P2410" s="9"/>
      <c r="Q2410" s="9"/>
      <c r="R2410" s="9"/>
      <c r="S2410" s="9"/>
      <c r="T2410" s="31"/>
      <c r="W2410" s="16"/>
      <c r="X2410" s="9"/>
      <c r="Y2410" s="9"/>
      <c r="AA2410" s="16"/>
      <c r="AK2410" s="16"/>
      <c r="AL2410" s="17"/>
      <c r="AN2410" s="16"/>
    </row>
    <row r="2411" spans="9:40" x14ac:dyDescent="0.4">
      <c r="I2411" s="11"/>
      <c r="J2411" s="9"/>
      <c r="K2411" s="9"/>
      <c r="O2411" s="11"/>
      <c r="P2411" s="9"/>
      <c r="Q2411" s="9"/>
      <c r="R2411" s="9"/>
      <c r="S2411" s="9"/>
      <c r="T2411" s="31"/>
      <c r="W2411" s="16"/>
      <c r="X2411" s="9"/>
      <c r="Y2411" s="9"/>
      <c r="AA2411" s="16"/>
      <c r="AK2411" s="16"/>
      <c r="AL2411" s="17"/>
      <c r="AN2411" s="16"/>
    </row>
    <row r="2412" spans="9:40" x14ac:dyDescent="0.4">
      <c r="I2412" s="11"/>
      <c r="J2412" s="9"/>
      <c r="K2412" s="9"/>
      <c r="O2412" s="11"/>
      <c r="P2412" s="9"/>
      <c r="Q2412" s="9"/>
      <c r="R2412" s="9"/>
      <c r="S2412" s="9"/>
      <c r="T2412" s="31"/>
      <c r="W2412" s="16"/>
      <c r="X2412" s="9"/>
      <c r="Y2412" s="9"/>
      <c r="AA2412" s="16"/>
      <c r="AK2412" s="16"/>
      <c r="AL2412" s="17"/>
      <c r="AN2412" s="16"/>
    </row>
    <row r="2413" spans="9:40" x14ac:dyDescent="0.4">
      <c r="I2413" s="11"/>
      <c r="J2413" s="9"/>
      <c r="K2413" s="9"/>
      <c r="O2413" s="11"/>
      <c r="P2413" s="9"/>
      <c r="Q2413" s="9"/>
      <c r="R2413" s="9"/>
      <c r="S2413" s="9"/>
      <c r="T2413" s="31"/>
      <c r="W2413" s="16"/>
      <c r="X2413" s="9"/>
      <c r="Y2413" s="9"/>
      <c r="AA2413" s="16"/>
      <c r="AK2413" s="16"/>
      <c r="AL2413" s="17"/>
      <c r="AN2413" s="16"/>
    </row>
    <row r="2414" spans="9:40" x14ac:dyDescent="0.4">
      <c r="I2414" s="11"/>
      <c r="J2414" s="9"/>
      <c r="K2414" s="9"/>
      <c r="O2414" s="11"/>
      <c r="P2414" s="9"/>
      <c r="Q2414" s="9"/>
      <c r="R2414" s="9"/>
      <c r="S2414" s="9"/>
      <c r="T2414" s="31"/>
      <c r="W2414" s="16"/>
      <c r="X2414" s="9"/>
      <c r="Y2414" s="9"/>
      <c r="AA2414" s="16"/>
      <c r="AK2414" s="16"/>
      <c r="AL2414" s="17"/>
      <c r="AN2414" s="16"/>
    </row>
    <row r="2415" spans="9:40" x14ac:dyDescent="0.4">
      <c r="I2415" s="11"/>
      <c r="J2415" s="9"/>
      <c r="K2415" s="9"/>
      <c r="O2415" s="11"/>
      <c r="P2415" s="9"/>
      <c r="Q2415" s="9"/>
      <c r="R2415" s="9"/>
      <c r="S2415" s="9"/>
      <c r="T2415" s="31"/>
      <c r="W2415" s="16"/>
      <c r="X2415" s="9"/>
      <c r="Y2415" s="9"/>
      <c r="AA2415" s="16"/>
      <c r="AK2415" s="16"/>
      <c r="AL2415" s="17"/>
      <c r="AN2415" s="16"/>
    </row>
    <row r="2416" spans="9:40" x14ac:dyDescent="0.4">
      <c r="I2416" s="11"/>
      <c r="J2416" s="9"/>
      <c r="K2416" s="9"/>
      <c r="O2416" s="11"/>
      <c r="P2416" s="9"/>
      <c r="Q2416" s="9"/>
      <c r="R2416" s="9"/>
      <c r="S2416" s="9"/>
      <c r="T2416" s="31"/>
      <c r="W2416" s="16"/>
      <c r="X2416" s="9"/>
      <c r="Y2416" s="9"/>
      <c r="AA2416" s="16"/>
      <c r="AK2416" s="16"/>
      <c r="AL2416" s="17"/>
      <c r="AN2416" s="16"/>
    </row>
    <row r="2417" spans="9:40" x14ac:dyDescent="0.4">
      <c r="I2417" s="11"/>
      <c r="J2417" s="9"/>
      <c r="K2417" s="9"/>
      <c r="O2417" s="11"/>
      <c r="P2417" s="9"/>
      <c r="Q2417" s="9"/>
      <c r="R2417" s="9"/>
      <c r="S2417" s="9"/>
      <c r="T2417" s="31"/>
      <c r="W2417" s="16"/>
      <c r="X2417" s="9"/>
      <c r="Y2417" s="9"/>
      <c r="AA2417" s="16"/>
      <c r="AK2417" s="16"/>
      <c r="AL2417" s="17"/>
      <c r="AN2417" s="16"/>
    </row>
    <row r="2418" spans="9:40" x14ac:dyDescent="0.4">
      <c r="I2418" s="11"/>
      <c r="J2418" s="9"/>
      <c r="K2418" s="9"/>
      <c r="O2418" s="11"/>
      <c r="P2418" s="9"/>
      <c r="Q2418" s="9"/>
      <c r="R2418" s="9"/>
      <c r="S2418" s="9"/>
      <c r="T2418" s="31"/>
      <c r="W2418" s="16"/>
      <c r="X2418" s="9"/>
      <c r="Y2418" s="9"/>
      <c r="AA2418" s="16"/>
      <c r="AK2418" s="16"/>
      <c r="AL2418" s="17"/>
      <c r="AN2418" s="16"/>
    </row>
    <row r="2419" spans="9:40" x14ac:dyDescent="0.4">
      <c r="I2419" s="11"/>
      <c r="J2419" s="9"/>
      <c r="K2419" s="9"/>
      <c r="O2419" s="11"/>
      <c r="P2419" s="9"/>
      <c r="Q2419" s="9"/>
      <c r="R2419" s="9"/>
      <c r="S2419" s="9"/>
      <c r="T2419" s="31"/>
      <c r="W2419" s="16"/>
      <c r="X2419" s="9"/>
      <c r="Y2419" s="9"/>
      <c r="AA2419" s="16"/>
      <c r="AK2419" s="16"/>
      <c r="AL2419" s="17"/>
      <c r="AN2419" s="16"/>
    </row>
    <row r="2420" spans="9:40" x14ac:dyDescent="0.4">
      <c r="I2420" s="11"/>
      <c r="J2420" s="9"/>
      <c r="K2420" s="9"/>
      <c r="O2420" s="11"/>
      <c r="P2420" s="9"/>
      <c r="Q2420" s="9"/>
      <c r="R2420" s="9"/>
      <c r="S2420" s="9"/>
      <c r="T2420" s="31"/>
      <c r="W2420" s="16"/>
      <c r="X2420" s="9"/>
      <c r="Y2420" s="9"/>
      <c r="AA2420" s="16"/>
      <c r="AK2420" s="16"/>
      <c r="AL2420" s="17"/>
      <c r="AN2420" s="16"/>
    </row>
    <row r="2421" spans="9:40" x14ac:dyDescent="0.4">
      <c r="I2421" s="11"/>
      <c r="J2421" s="9"/>
      <c r="K2421" s="9"/>
      <c r="O2421" s="11"/>
      <c r="P2421" s="9"/>
      <c r="Q2421" s="9"/>
      <c r="R2421" s="9"/>
      <c r="S2421" s="9"/>
      <c r="T2421" s="31"/>
      <c r="W2421" s="16"/>
      <c r="X2421" s="9"/>
      <c r="Y2421" s="9"/>
      <c r="AA2421" s="16"/>
      <c r="AK2421" s="16"/>
      <c r="AL2421" s="17"/>
      <c r="AN2421" s="16"/>
    </row>
    <row r="2422" spans="9:40" x14ac:dyDescent="0.4">
      <c r="I2422" s="11"/>
      <c r="J2422" s="9"/>
      <c r="K2422" s="9"/>
      <c r="O2422" s="11"/>
      <c r="P2422" s="9"/>
      <c r="Q2422" s="9"/>
      <c r="R2422" s="9"/>
      <c r="S2422" s="9"/>
      <c r="T2422" s="31"/>
      <c r="W2422" s="16"/>
      <c r="X2422" s="9"/>
      <c r="Y2422" s="9"/>
      <c r="AA2422" s="16"/>
      <c r="AK2422" s="16"/>
      <c r="AL2422" s="17"/>
      <c r="AN2422" s="16"/>
    </row>
    <row r="2423" spans="9:40" x14ac:dyDescent="0.4">
      <c r="I2423" s="11"/>
      <c r="J2423" s="9"/>
      <c r="K2423" s="9"/>
      <c r="O2423" s="11"/>
      <c r="P2423" s="9"/>
      <c r="Q2423" s="9"/>
      <c r="R2423" s="9"/>
      <c r="S2423" s="9"/>
      <c r="T2423" s="31"/>
      <c r="W2423" s="16"/>
      <c r="X2423" s="9"/>
      <c r="Y2423" s="9"/>
      <c r="AA2423" s="16"/>
      <c r="AK2423" s="16"/>
      <c r="AL2423" s="17"/>
      <c r="AN2423" s="16"/>
    </row>
    <row r="2424" spans="9:40" x14ac:dyDescent="0.4">
      <c r="I2424" s="11"/>
      <c r="J2424" s="9"/>
      <c r="K2424" s="9"/>
      <c r="O2424" s="11"/>
      <c r="P2424" s="9"/>
      <c r="Q2424" s="9"/>
      <c r="R2424" s="9"/>
      <c r="S2424" s="9"/>
      <c r="T2424" s="31"/>
      <c r="W2424" s="16"/>
      <c r="X2424" s="9"/>
      <c r="Y2424" s="9"/>
      <c r="AA2424" s="16"/>
      <c r="AK2424" s="16"/>
      <c r="AL2424" s="17"/>
      <c r="AN2424" s="16"/>
    </row>
    <row r="2425" spans="9:40" x14ac:dyDescent="0.4">
      <c r="I2425" s="11"/>
      <c r="J2425" s="9"/>
      <c r="K2425" s="9"/>
      <c r="O2425" s="11"/>
      <c r="P2425" s="9"/>
      <c r="Q2425" s="9"/>
      <c r="R2425" s="9"/>
      <c r="S2425" s="9"/>
      <c r="T2425" s="31"/>
      <c r="W2425" s="16"/>
      <c r="X2425" s="9"/>
      <c r="Y2425" s="9"/>
      <c r="AA2425" s="16"/>
      <c r="AK2425" s="16"/>
      <c r="AL2425" s="17"/>
      <c r="AN2425" s="16"/>
    </row>
    <row r="2426" spans="9:40" x14ac:dyDescent="0.4">
      <c r="I2426" s="11"/>
      <c r="J2426" s="9"/>
      <c r="K2426" s="9"/>
      <c r="O2426" s="11"/>
      <c r="P2426" s="9"/>
      <c r="Q2426" s="9"/>
      <c r="R2426" s="9"/>
      <c r="S2426" s="9"/>
      <c r="T2426" s="31"/>
      <c r="W2426" s="16"/>
      <c r="X2426" s="9"/>
      <c r="Y2426" s="9"/>
      <c r="AA2426" s="16"/>
      <c r="AK2426" s="16"/>
      <c r="AL2426" s="17"/>
      <c r="AN2426" s="16"/>
    </row>
    <row r="2427" spans="9:40" x14ac:dyDescent="0.4">
      <c r="I2427" s="11"/>
      <c r="J2427" s="9"/>
      <c r="K2427" s="9"/>
      <c r="O2427" s="11"/>
      <c r="P2427" s="9"/>
      <c r="Q2427" s="9"/>
      <c r="R2427" s="9"/>
      <c r="S2427" s="9"/>
      <c r="T2427" s="31"/>
      <c r="W2427" s="16"/>
      <c r="X2427" s="9"/>
      <c r="Y2427" s="9"/>
      <c r="AA2427" s="16"/>
      <c r="AK2427" s="16"/>
      <c r="AL2427" s="17"/>
      <c r="AN2427" s="16"/>
    </row>
    <row r="2428" spans="9:40" x14ac:dyDescent="0.4">
      <c r="I2428" s="11"/>
      <c r="J2428" s="9"/>
      <c r="K2428" s="9"/>
      <c r="O2428" s="11"/>
      <c r="P2428" s="9"/>
      <c r="Q2428" s="9"/>
      <c r="R2428" s="9"/>
      <c r="S2428" s="9"/>
      <c r="T2428" s="31"/>
      <c r="W2428" s="16"/>
      <c r="X2428" s="9"/>
      <c r="Y2428" s="9"/>
      <c r="AA2428" s="16"/>
      <c r="AK2428" s="16"/>
      <c r="AL2428" s="17"/>
      <c r="AN2428" s="16"/>
    </row>
    <row r="2429" spans="9:40" x14ac:dyDescent="0.4">
      <c r="I2429" s="11"/>
      <c r="J2429" s="9"/>
      <c r="K2429" s="9"/>
      <c r="O2429" s="11"/>
      <c r="P2429" s="9"/>
      <c r="Q2429" s="9"/>
      <c r="R2429" s="9"/>
      <c r="S2429" s="9"/>
      <c r="T2429" s="31"/>
      <c r="W2429" s="16"/>
      <c r="X2429" s="9"/>
      <c r="Y2429" s="9"/>
      <c r="AA2429" s="16"/>
      <c r="AK2429" s="16"/>
      <c r="AL2429" s="17"/>
      <c r="AN2429" s="16"/>
    </row>
    <row r="2430" spans="9:40" x14ac:dyDescent="0.4">
      <c r="I2430" s="11"/>
      <c r="J2430" s="9"/>
      <c r="K2430" s="9"/>
      <c r="O2430" s="11"/>
      <c r="P2430" s="9"/>
      <c r="Q2430" s="9"/>
      <c r="R2430" s="9"/>
      <c r="S2430" s="9"/>
      <c r="T2430" s="31"/>
      <c r="W2430" s="16"/>
      <c r="X2430" s="9"/>
      <c r="Y2430" s="9"/>
      <c r="AA2430" s="16"/>
      <c r="AK2430" s="16"/>
      <c r="AL2430" s="17"/>
      <c r="AN2430" s="16"/>
    </row>
    <row r="2431" spans="9:40" x14ac:dyDescent="0.4">
      <c r="I2431" s="11"/>
      <c r="J2431" s="9"/>
      <c r="K2431" s="9"/>
      <c r="O2431" s="11"/>
      <c r="P2431" s="9"/>
      <c r="Q2431" s="9"/>
      <c r="R2431" s="9"/>
      <c r="S2431" s="9"/>
      <c r="T2431" s="31"/>
      <c r="W2431" s="16"/>
      <c r="X2431" s="9"/>
      <c r="Y2431" s="9"/>
      <c r="AA2431" s="16"/>
      <c r="AK2431" s="16"/>
      <c r="AL2431" s="17"/>
      <c r="AN2431" s="16"/>
    </row>
    <row r="2432" spans="9:40" x14ac:dyDescent="0.4">
      <c r="I2432" s="11"/>
      <c r="J2432" s="9"/>
      <c r="K2432" s="9"/>
      <c r="O2432" s="11"/>
      <c r="P2432" s="9"/>
      <c r="Q2432" s="9"/>
      <c r="R2432" s="9"/>
      <c r="S2432" s="9"/>
      <c r="T2432" s="31"/>
      <c r="W2432" s="16"/>
      <c r="X2432" s="9"/>
      <c r="Y2432" s="9"/>
      <c r="AA2432" s="16"/>
      <c r="AK2432" s="16"/>
      <c r="AL2432" s="17"/>
      <c r="AN2432" s="16"/>
    </row>
    <row r="2433" spans="9:40" x14ac:dyDescent="0.4">
      <c r="I2433" s="11"/>
      <c r="J2433" s="9"/>
      <c r="K2433" s="9"/>
      <c r="O2433" s="11"/>
      <c r="P2433" s="9"/>
      <c r="Q2433" s="9"/>
      <c r="R2433" s="9"/>
      <c r="S2433" s="9"/>
      <c r="T2433" s="31"/>
      <c r="W2433" s="16"/>
      <c r="X2433" s="9"/>
      <c r="Y2433" s="9"/>
      <c r="AA2433" s="16"/>
      <c r="AK2433" s="16"/>
      <c r="AL2433" s="17"/>
      <c r="AN2433" s="16"/>
    </row>
    <row r="2434" spans="9:40" x14ac:dyDescent="0.4">
      <c r="I2434" s="11"/>
      <c r="J2434" s="9"/>
      <c r="K2434" s="9"/>
      <c r="O2434" s="11"/>
      <c r="P2434" s="9"/>
      <c r="Q2434" s="9"/>
      <c r="R2434" s="9"/>
      <c r="S2434" s="9"/>
      <c r="T2434" s="31"/>
      <c r="W2434" s="16"/>
      <c r="X2434" s="9"/>
      <c r="Y2434" s="9"/>
      <c r="AA2434" s="16"/>
      <c r="AK2434" s="16"/>
      <c r="AL2434" s="17"/>
      <c r="AN2434" s="16"/>
    </row>
    <row r="2435" spans="9:40" x14ac:dyDescent="0.4">
      <c r="I2435" s="11"/>
      <c r="J2435" s="9"/>
      <c r="K2435" s="9"/>
      <c r="O2435" s="11"/>
      <c r="P2435" s="9"/>
      <c r="Q2435" s="9"/>
      <c r="R2435" s="9"/>
      <c r="S2435" s="9"/>
      <c r="T2435" s="31"/>
      <c r="W2435" s="16"/>
      <c r="X2435" s="9"/>
      <c r="Y2435" s="9"/>
      <c r="AA2435" s="16"/>
      <c r="AK2435" s="16"/>
      <c r="AL2435" s="17"/>
      <c r="AN2435" s="16"/>
    </row>
    <row r="2436" spans="9:40" x14ac:dyDescent="0.4">
      <c r="I2436" s="11"/>
      <c r="J2436" s="9"/>
      <c r="K2436" s="9"/>
      <c r="O2436" s="11"/>
      <c r="P2436" s="9"/>
      <c r="Q2436" s="9"/>
      <c r="R2436" s="9"/>
      <c r="S2436" s="9"/>
      <c r="T2436" s="31"/>
      <c r="W2436" s="16"/>
      <c r="X2436" s="9"/>
      <c r="Y2436" s="9"/>
      <c r="AA2436" s="16"/>
      <c r="AK2436" s="16"/>
      <c r="AL2436" s="17"/>
      <c r="AN2436" s="16"/>
    </row>
    <row r="2437" spans="9:40" x14ac:dyDescent="0.4">
      <c r="I2437" s="11"/>
      <c r="J2437" s="9"/>
      <c r="K2437" s="9"/>
      <c r="O2437" s="11"/>
      <c r="P2437" s="9"/>
      <c r="Q2437" s="9"/>
      <c r="R2437" s="9"/>
      <c r="S2437" s="9"/>
      <c r="T2437" s="31"/>
      <c r="W2437" s="16"/>
      <c r="X2437" s="9"/>
      <c r="Y2437" s="9"/>
      <c r="AA2437" s="16"/>
      <c r="AK2437" s="16"/>
      <c r="AL2437" s="17"/>
      <c r="AN2437" s="16"/>
    </row>
    <row r="2438" spans="9:40" x14ac:dyDescent="0.4">
      <c r="I2438" s="11"/>
      <c r="J2438" s="9"/>
      <c r="K2438" s="9"/>
      <c r="O2438" s="11"/>
      <c r="P2438" s="9"/>
      <c r="Q2438" s="9"/>
      <c r="R2438" s="9"/>
      <c r="S2438" s="9"/>
      <c r="T2438" s="31"/>
      <c r="W2438" s="16"/>
      <c r="X2438" s="9"/>
      <c r="Y2438" s="9"/>
      <c r="AA2438" s="16"/>
      <c r="AK2438" s="16"/>
      <c r="AL2438" s="17"/>
      <c r="AN2438" s="16"/>
    </row>
    <row r="2439" spans="9:40" x14ac:dyDescent="0.4">
      <c r="I2439" s="11"/>
      <c r="J2439" s="9"/>
      <c r="K2439" s="9"/>
      <c r="O2439" s="11"/>
      <c r="P2439" s="9"/>
      <c r="Q2439" s="9"/>
      <c r="R2439" s="9"/>
      <c r="S2439" s="9"/>
      <c r="T2439" s="31"/>
      <c r="W2439" s="16"/>
      <c r="X2439" s="9"/>
      <c r="Y2439" s="9"/>
      <c r="AA2439" s="16"/>
      <c r="AK2439" s="16"/>
      <c r="AL2439" s="17"/>
      <c r="AN2439" s="16"/>
    </row>
    <row r="2440" spans="9:40" x14ac:dyDescent="0.4">
      <c r="I2440" s="11"/>
      <c r="J2440" s="9"/>
      <c r="K2440" s="9"/>
      <c r="O2440" s="11"/>
      <c r="P2440" s="9"/>
      <c r="Q2440" s="9"/>
      <c r="R2440" s="9"/>
      <c r="S2440" s="9"/>
      <c r="T2440" s="31"/>
      <c r="W2440" s="16"/>
      <c r="X2440" s="9"/>
      <c r="Y2440" s="9"/>
      <c r="AA2440" s="16"/>
      <c r="AK2440" s="16"/>
      <c r="AL2440" s="17"/>
      <c r="AN2440" s="16"/>
    </row>
    <row r="2441" spans="9:40" x14ac:dyDescent="0.4">
      <c r="I2441" s="11"/>
      <c r="J2441" s="9"/>
      <c r="K2441" s="9"/>
      <c r="O2441" s="11"/>
      <c r="P2441" s="9"/>
      <c r="Q2441" s="9"/>
      <c r="R2441" s="9"/>
      <c r="S2441" s="9"/>
      <c r="T2441" s="31"/>
      <c r="W2441" s="16"/>
      <c r="X2441" s="9"/>
      <c r="Y2441" s="9"/>
      <c r="AA2441" s="16"/>
      <c r="AK2441" s="16"/>
      <c r="AL2441" s="17"/>
      <c r="AN2441" s="16"/>
    </row>
    <row r="2442" spans="9:40" x14ac:dyDescent="0.4">
      <c r="I2442" s="11"/>
      <c r="J2442" s="9"/>
      <c r="K2442" s="9"/>
      <c r="O2442" s="11"/>
      <c r="P2442" s="9"/>
      <c r="Q2442" s="9"/>
      <c r="R2442" s="9"/>
      <c r="S2442" s="9"/>
      <c r="T2442" s="31"/>
      <c r="W2442" s="16"/>
      <c r="X2442" s="9"/>
      <c r="Y2442" s="9"/>
      <c r="AA2442" s="16"/>
      <c r="AK2442" s="16"/>
      <c r="AL2442" s="17"/>
      <c r="AN2442" s="16"/>
    </row>
    <row r="2443" spans="9:40" x14ac:dyDescent="0.4">
      <c r="I2443" s="11"/>
      <c r="J2443" s="9"/>
      <c r="K2443" s="9"/>
      <c r="O2443" s="11"/>
      <c r="P2443" s="9"/>
      <c r="Q2443" s="9"/>
      <c r="R2443" s="9"/>
      <c r="S2443" s="9"/>
      <c r="T2443" s="31"/>
      <c r="W2443" s="16"/>
      <c r="X2443" s="9"/>
      <c r="Y2443" s="9"/>
      <c r="AA2443" s="16"/>
      <c r="AK2443" s="16"/>
      <c r="AL2443" s="17"/>
      <c r="AN2443" s="16"/>
    </row>
    <row r="2444" spans="9:40" x14ac:dyDescent="0.4">
      <c r="I2444" s="11"/>
      <c r="J2444" s="9"/>
      <c r="K2444" s="9"/>
      <c r="O2444" s="11"/>
      <c r="P2444" s="9"/>
      <c r="Q2444" s="9"/>
      <c r="R2444" s="9"/>
      <c r="S2444" s="9"/>
      <c r="T2444" s="31"/>
      <c r="W2444" s="16"/>
      <c r="X2444" s="9"/>
      <c r="Y2444" s="9"/>
      <c r="AA2444" s="16"/>
      <c r="AK2444" s="16"/>
      <c r="AL2444" s="17"/>
      <c r="AN2444" s="16"/>
    </row>
    <row r="2445" spans="9:40" x14ac:dyDescent="0.4">
      <c r="I2445" s="11"/>
      <c r="J2445" s="9"/>
      <c r="K2445" s="9"/>
      <c r="O2445" s="11"/>
      <c r="P2445" s="9"/>
      <c r="Q2445" s="9"/>
      <c r="R2445" s="9"/>
      <c r="S2445" s="9"/>
      <c r="T2445" s="31"/>
      <c r="W2445" s="16"/>
      <c r="X2445" s="9"/>
      <c r="Y2445" s="9"/>
      <c r="AA2445" s="16"/>
      <c r="AK2445" s="16"/>
      <c r="AL2445" s="17"/>
      <c r="AN2445" s="16"/>
    </row>
    <row r="2446" spans="9:40" x14ac:dyDescent="0.4">
      <c r="I2446" s="11"/>
      <c r="J2446" s="9"/>
      <c r="K2446" s="9"/>
      <c r="O2446" s="11"/>
      <c r="P2446" s="9"/>
      <c r="Q2446" s="9"/>
      <c r="R2446" s="9"/>
      <c r="S2446" s="9"/>
      <c r="T2446" s="31"/>
      <c r="W2446" s="16"/>
      <c r="X2446" s="9"/>
      <c r="Y2446" s="9"/>
      <c r="AA2446" s="16"/>
      <c r="AK2446" s="16"/>
      <c r="AL2446" s="17"/>
      <c r="AN2446" s="16"/>
    </row>
    <row r="2447" spans="9:40" x14ac:dyDescent="0.4">
      <c r="I2447" s="11"/>
      <c r="J2447" s="9"/>
      <c r="K2447" s="9"/>
      <c r="O2447" s="11"/>
      <c r="P2447" s="9"/>
      <c r="Q2447" s="9"/>
      <c r="R2447" s="9"/>
      <c r="S2447" s="9"/>
      <c r="T2447" s="31"/>
      <c r="W2447" s="16"/>
      <c r="X2447" s="9"/>
      <c r="Y2447" s="9"/>
      <c r="AA2447" s="16"/>
      <c r="AK2447" s="16"/>
      <c r="AL2447" s="17"/>
      <c r="AN2447" s="16"/>
    </row>
    <row r="2448" spans="9:40" x14ac:dyDescent="0.4">
      <c r="I2448" s="11"/>
      <c r="J2448" s="9"/>
      <c r="K2448" s="9"/>
      <c r="O2448" s="11"/>
      <c r="P2448" s="9"/>
      <c r="Q2448" s="9"/>
      <c r="R2448" s="9"/>
      <c r="S2448" s="9"/>
      <c r="T2448" s="31"/>
      <c r="W2448" s="16"/>
      <c r="X2448" s="9"/>
      <c r="Y2448" s="9"/>
      <c r="AA2448" s="16"/>
      <c r="AK2448" s="16"/>
      <c r="AL2448" s="17"/>
      <c r="AN2448" s="16"/>
    </row>
    <row r="2449" spans="9:40" x14ac:dyDescent="0.4">
      <c r="I2449" s="11"/>
      <c r="J2449" s="9"/>
      <c r="K2449" s="9"/>
      <c r="O2449" s="11"/>
      <c r="P2449" s="9"/>
      <c r="Q2449" s="9"/>
      <c r="R2449" s="9"/>
      <c r="S2449" s="9"/>
      <c r="T2449" s="31"/>
      <c r="W2449" s="16"/>
      <c r="X2449" s="9"/>
      <c r="Y2449" s="9"/>
      <c r="AA2449" s="16"/>
      <c r="AK2449" s="16"/>
      <c r="AL2449" s="17"/>
      <c r="AN2449" s="16"/>
    </row>
    <row r="2450" spans="9:40" x14ac:dyDescent="0.4">
      <c r="I2450" s="11"/>
      <c r="J2450" s="9"/>
      <c r="K2450" s="9"/>
      <c r="O2450" s="11"/>
      <c r="P2450" s="9"/>
      <c r="Q2450" s="9"/>
      <c r="R2450" s="9"/>
      <c r="S2450" s="9"/>
      <c r="T2450" s="31"/>
      <c r="W2450" s="16"/>
      <c r="X2450" s="9"/>
      <c r="Y2450" s="9"/>
      <c r="AA2450" s="16"/>
      <c r="AK2450" s="16"/>
      <c r="AL2450" s="17"/>
      <c r="AN2450" s="16"/>
    </row>
    <row r="2451" spans="9:40" x14ac:dyDescent="0.4">
      <c r="I2451" s="11"/>
      <c r="J2451" s="9"/>
      <c r="K2451" s="9"/>
      <c r="O2451" s="11"/>
      <c r="P2451" s="9"/>
      <c r="Q2451" s="9"/>
      <c r="R2451" s="9"/>
      <c r="S2451" s="9"/>
      <c r="T2451" s="31"/>
      <c r="W2451" s="16"/>
      <c r="X2451" s="9"/>
      <c r="Y2451" s="9"/>
      <c r="AA2451" s="16"/>
      <c r="AK2451" s="16"/>
      <c r="AL2451" s="17"/>
      <c r="AN2451" s="16"/>
    </row>
    <row r="2452" spans="9:40" x14ac:dyDescent="0.4">
      <c r="I2452" s="11"/>
      <c r="J2452" s="9"/>
      <c r="K2452" s="9"/>
      <c r="O2452" s="11"/>
      <c r="P2452" s="9"/>
      <c r="Q2452" s="9"/>
      <c r="R2452" s="9"/>
      <c r="S2452" s="9"/>
      <c r="T2452" s="31"/>
      <c r="W2452" s="16"/>
      <c r="X2452" s="9"/>
      <c r="Y2452" s="9"/>
      <c r="AA2452" s="16"/>
      <c r="AK2452" s="16"/>
      <c r="AL2452" s="17"/>
      <c r="AN2452" s="16"/>
    </row>
    <row r="2453" spans="9:40" x14ac:dyDescent="0.4">
      <c r="I2453" s="11"/>
      <c r="J2453" s="9"/>
      <c r="K2453" s="9"/>
      <c r="O2453" s="11"/>
      <c r="P2453" s="9"/>
      <c r="Q2453" s="9"/>
      <c r="R2453" s="9"/>
      <c r="S2453" s="9"/>
      <c r="T2453" s="31"/>
      <c r="W2453" s="16"/>
      <c r="X2453" s="9"/>
      <c r="Y2453" s="9"/>
      <c r="AA2453" s="16"/>
      <c r="AK2453" s="16"/>
      <c r="AL2453" s="17"/>
      <c r="AN2453" s="16"/>
    </row>
    <row r="2454" spans="9:40" x14ac:dyDescent="0.4">
      <c r="I2454" s="11"/>
      <c r="J2454" s="9"/>
      <c r="K2454" s="9"/>
      <c r="O2454" s="11"/>
      <c r="P2454" s="9"/>
      <c r="Q2454" s="9"/>
      <c r="R2454" s="9"/>
      <c r="S2454" s="9"/>
      <c r="T2454" s="31"/>
      <c r="W2454" s="16"/>
      <c r="X2454" s="9"/>
      <c r="Y2454" s="9"/>
      <c r="AA2454" s="16"/>
      <c r="AK2454" s="16"/>
      <c r="AL2454" s="17"/>
      <c r="AN2454" s="16"/>
    </row>
    <row r="2455" spans="9:40" x14ac:dyDescent="0.4">
      <c r="I2455" s="11"/>
      <c r="J2455" s="9"/>
      <c r="K2455" s="9"/>
      <c r="O2455" s="11"/>
      <c r="P2455" s="9"/>
      <c r="Q2455" s="9"/>
      <c r="R2455" s="9"/>
      <c r="S2455" s="9"/>
      <c r="T2455" s="31"/>
      <c r="W2455" s="16"/>
      <c r="X2455" s="9"/>
      <c r="Y2455" s="9"/>
      <c r="AA2455" s="16"/>
      <c r="AK2455" s="16"/>
      <c r="AL2455" s="17"/>
      <c r="AN2455" s="16"/>
    </row>
    <row r="2456" spans="9:40" x14ac:dyDescent="0.4">
      <c r="I2456" s="11"/>
      <c r="J2456" s="9"/>
      <c r="K2456" s="9"/>
      <c r="O2456" s="11"/>
      <c r="P2456" s="9"/>
      <c r="Q2456" s="9"/>
      <c r="R2456" s="9"/>
      <c r="S2456" s="9"/>
      <c r="T2456" s="31"/>
      <c r="W2456" s="16"/>
      <c r="X2456" s="9"/>
      <c r="Y2456" s="9"/>
      <c r="AA2456" s="16"/>
      <c r="AK2456" s="16"/>
      <c r="AL2456" s="17"/>
      <c r="AN2456" s="16"/>
    </row>
    <row r="2457" spans="9:40" x14ac:dyDescent="0.4">
      <c r="I2457" s="11"/>
      <c r="J2457" s="9"/>
      <c r="K2457" s="9"/>
      <c r="O2457" s="11"/>
      <c r="P2457" s="9"/>
      <c r="Q2457" s="9"/>
      <c r="R2457" s="9"/>
      <c r="S2457" s="9"/>
      <c r="T2457" s="31"/>
      <c r="W2457" s="16"/>
      <c r="X2457" s="9"/>
      <c r="Y2457" s="9"/>
      <c r="AA2457" s="16"/>
      <c r="AK2457" s="16"/>
      <c r="AL2457" s="17"/>
      <c r="AN2457" s="16"/>
    </row>
    <row r="2458" spans="9:40" x14ac:dyDescent="0.4">
      <c r="I2458" s="11"/>
      <c r="J2458" s="9"/>
      <c r="K2458" s="9"/>
      <c r="O2458" s="11"/>
      <c r="P2458" s="9"/>
      <c r="Q2458" s="9"/>
      <c r="R2458" s="9"/>
      <c r="S2458" s="9"/>
      <c r="T2458" s="31"/>
      <c r="W2458" s="16"/>
      <c r="X2458" s="9"/>
      <c r="Y2458" s="9"/>
      <c r="AA2458" s="16"/>
      <c r="AK2458" s="16"/>
      <c r="AL2458" s="17"/>
      <c r="AN2458" s="16"/>
    </row>
    <row r="2459" spans="9:40" x14ac:dyDescent="0.4">
      <c r="I2459" s="11"/>
      <c r="J2459" s="9"/>
      <c r="K2459" s="9"/>
      <c r="O2459" s="11"/>
      <c r="P2459" s="9"/>
      <c r="Q2459" s="9"/>
      <c r="R2459" s="9"/>
      <c r="S2459" s="9"/>
      <c r="T2459" s="31"/>
      <c r="W2459" s="16"/>
      <c r="X2459" s="9"/>
      <c r="Y2459" s="9"/>
      <c r="AA2459" s="16"/>
      <c r="AK2459" s="16"/>
      <c r="AL2459" s="17"/>
      <c r="AN2459" s="16"/>
    </row>
    <row r="2460" spans="9:40" x14ac:dyDescent="0.4">
      <c r="I2460" s="11"/>
      <c r="J2460" s="9"/>
      <c r="K2460" s="9"/>
      <c r="O2460" s="11"/>
      <c r="P2460" s="9"/>
      <c r="Q2460" s="9"/>
      <c r="R2460" s="9"/>
      <c r="S2460" s="9"/>
      <c r="T2460" s="31"/>
      <c r="W2460" s="16"/>
      <c r="X2460" s="9"/>
      <c r="Y2460" s="9"/>
      <c r="AA2460" s="16"/>
      <c r="AK2460" s="16"/>
      <c r="AL2460" s="17"/>
      <c r="AN2460" s="16"/>
    </row>
    <row r="2461" spans="9:40" x14ac:dyDescent="0.4">
      <c r="I2461" s="11"/>
      <c r="J2461" s="9"/>
      <c r="K2461" s="9"/>
      <c r="O2461" s="11"/>
      <c r="P2461" s="9"/>
      <c r="Q2461" s="9"/>
      <c r="R2461" s="9"/>
      <c r="S2461" s="9"/>
      <c r="T2461" s="31"/>
      <c r="W2461" s="16"/>
      <c r="X2461" s="9"/>
      <c r="Y2461" s="9"/>
      <c r="AA2461" s="16"/>
      <c r="AK2461" s="16"/>
      <c r="AL2461" s="17"/>
      <c r="AN2461" s="16"/>
    </row>
    <row r="2462" spans="9:40" x14ac:dyDescent="0.4">
      <c r="I2462" s="11"/>
      <c r="J2462" s="9"/>
      <c r="K2462" s="9"/>
      <c r="O2462" s="11"/>
      <c r="P2462" s="9"/>
      <c r="Q2462" s="9"/>
      <c r="R2462" s="9"/>
      <c r="S2462" s="9"/>
      <c r="T2462" s="31"/>
      <c r="W2462" s="16"/>
      <c r="X2462" s="9"/>
      <c r="Y2462" s="9"/>
      <c r="AA2462" s="16"/>
      <c r="AK2462" s="16"/>
      <c r="AL2462" s="17"/>
      <c r="AN2462" s="16"/>
    </row>
    <row r="2463" spans="9:40" x14ac:dyDescent="0.4">
      <c r="I2463" s="11"/>
      <c r="J2463" s="9"/>
      <c r="K2463" s="9"/>
      <c r="O2463" s="11"/>
      <c r="P2463" s="9"/>
      <c r="Q2463" s="9"/>
      <c r="R2463" s="9"/>
      <c r="S2463" s="9"/>
      <c r="T2463" s="31"/>
      <c r="W2463" s="16"/>
      <c r="X2463" s="9"/>
      <c r="Y2463" s="9"/>
      <c r="AA2463" s="16"/>
      <c r="AK2463" s="16"/>
      <c r="AL2463" s="17"/>
      <c r="AN2463" s="16"/>
    </row>
    <row r="2464" spans="9:40" x14ac:dyDescent="0.4">
      <c r="I2464" s="11"/>
      <c r="J2464" s="9"/>
      <c r="K2464" s="9"/>
      <c r="O2464" s="11"/>
      <c r="P2464" s="9"/>
      <c r="Q2464" s="9"/>
      <c r="R2464" s="9"/>
      <c r="S2464" s="9"/>
      <c r="T2464" s="31"/>
      <c r="W2464" s="16"/>
      <c r="X2464" s="9"/>
      <c r="Y2464" s="9"/>
      <c r="AA2464" s="16"/>
      <c r="AK2464" s="16"/>
      <c r="AL2464" s="17"/>
      <c r="AN2464" s="16"/>
    </row>
    <row r="2465" spans="9:40" x14ac:dyDescent="0.4">
      <c r="I2465" s="11"/>
      <c r="J2465" s="9"/>
      <c r="K2465" s="9"/>
      <c r="O2465" s="11"/>
      <c r="P2465" s="9"/>
      <c r="Q2465" s="9"/>
      <c r="R2465" s="9"/>
      <c r="S2465" s="9"/>
      <c r="T2465" s="31"/>
      <c r="W2465" s="16"/>
      <c r="X2465" s="9"/>
      <c r="Y2465" s="9"/>
      <c r="AA2465" s="16"/>
      <c r="AK2465" s="16"/>
      <c r="AL2465" s="17"/>
      <c r="AN2465" s="16"/>
    </row>
    <row r="2466" spans="9:40" x14ac:dyDescent="0.4">
      <c r="I2466" s="11"/>
      <c r="J2466" s="9"/>
      <c r="K2466" s="9"/>
      <c r="O2466" s="11"/>
      <c r="P2466" s="9"/>
      <c r="Q2466" s="9"/>
      <c r="R2466" s="9"/>
      <c r="S2466" s="9"/>
      <c r="T2466" s="31"/>
      <c r="W2466" s="16"/>
      <c r="X2466" s="9"/>
      <c r="Y2466" s="9"/>
      <c r="AA2466" s="16"/>
      <c r="AK2466" s="16"/>
      <c r="AL2466" s="17"/>
      <c r="AN2466" s="16"/>
    </row>
    <row r="2467" spans="9:40" x14ac:dyDescent="0.4">
      <c r="I2467" s="11"/>
      <c r="J2467" s="9"/>
      <c r="K2467" s="9"/>
      <c r="O2467" s="11"/>
      <c r="P2467" s="9"/>
      <c r="Q2467" s="9"/>
      <c r="R2467" s="9"/>
      <c r="S2467" s="9"/>
      <c r="T2467" s="31"/>
      <c r="W2467" s="16"/>
      <c r="X2467" s="9"/>
      <c r="Y2467" s="9"/>
      <c r="AA2467" s="16"/>
      <c r="AK2467" s="16"/>
      <c r="AL2467" s="17"/>
      <c r="AN2467" s="16"/>
    </row>
    <row r="2468" spans="9:40" x14ac:dyDescent="0.4">
      <c r="I2468" s="11"/>
      <c r="J2468" s="9"/>
      <c r="K2468" s="9"/>
      <c r="O2468" s="11"/>
      <c r="P2468" s="9"/>
      <c r="Q2468" s="9"/>
      <c r="R2468" s="9"/>
      <c r="S2468" s="9"/>
      <c r="T2468" s="31"/>
      <c r="W2468" s="16"/>
      <c r="X2468" s="9"/>
      <c r="Y2468" s="9"/>
      <c r="AA2468" s="16"/>
      <c r="AK2468" s="16"/>
      <c r="AL2468" s="17"/>
      <c r="AN2468" s="16"/>
    </row>
    <row r="2469" spans="9:40" x14ac:dyDescent="0.4">
      <c r="I2469" s="11"/>
      <c r="J2469" s="9"/>
      <c r="K2469" s="9"/>
      <c r="O2469" s="11"/>
      <c r="P2469" s="9"/>
      <c r="Q2469" s="9"/>
      <c r="R2469" s="9"/>
      <c r="S2469" s="9"/>
      <c r="T2469" s="31"/>
      <c r="W2469" s="16"/>
      <c r="X2469" s="9"/>
      <c r="Y2469" s="9"/>
      <c r="AA2469" s="16"/>
      <c r="AK2469" s="16"/>
      <c r="AL2469" s="17"/>
      <c r="AN2469" s="16"/>
    </row>
    <row r="2470" spans="9:40" x14ac:dyDescent="0.4">
      <c r="I2470" s="11"/>
      <c r="J2470" s="9"/>
      <c r="K2470" s="9"/>
      <c r="O2470" s="11"/>
      <c r="P2470" s="9"/>
      <c r="Q2470" s="9"/>
      <c r="R2470" s="9"/>
      <c r="S2470" s="9"/>
      <c r="T2470" s="31"/>
      <c r="W2470" s="16"/>
      <c r="X2470" s="9"/>
      <c r="Y2470" s="9"/>
      <c r="AA2470" s="16"/>
      <c r="AK2470" s="16"/>
      <c r="AL2470" s="17"/>
      <c r="AN2470" s="16"/>
    </row>
    <row r="2471" spans="9:40" x14ac:dyDescent="0.4">
      <c r="I2471" s="11"/>
      <c r="J2471" s="9"/>
      <c r="K2471" s="9"/>
      <c r="O2471" s="11"/>
      <c r="P2471" s="9"/>
      <c r="Q2471" s="9"/>
      <c r="R2471" s="9"/>
      <c r="S2471" s="9"/>
      <c r="T2471" s="31"/>
      <c r="W2471" s="16"/>
      <c r="X2471" s="9"/>
      <c r="Y2471" s="9"/>
      <c r="AA2471" s="16"/>
      <c r="AK2471" s="16"/>
      <c r="AL2471" s="17"/>
      <c r="AN2471" s="16"/>
    </row>
    <row r="2472" spans="9:40" x14ac:dyDescent="0.4">
      <c r="I2472" s="11"/>
      <c r="J2472" s="9"/>
      <c r="K2472" s="9"/>
      <c r="O2472" s="11"/>
      <c r="P2472" s="9"/>
      <c r="Q2472" s="9"/>
      <c r="R2472" s="9"/>
      <c r="S2472" s="9"/>
      <c r="T2472" s="31"/>
      <c r="W2472" s="16"/>
      <c r="X2472" s="9"/>
      <c r="Y2472" s="9"/>
      <c r="AA2472" s="16"/>
      <c r="AK2472" s="16"/>
      <c r="AL2472" s="17"/>
      <c r="AN2472" s="16"/>
    </row>
    <row r="2473" spans="9:40" x14ac:dyDescent="0.4">
      <c r="I2473" s="11"/>
      <c r="J2473" s="9"/>
      <c r="K2473" s="9"/>
      <c r="O2473" s="11"/>
      <c r="P2473" s="9"/>
      <c r="Q2473" s="9"/>
      <c r="R2473" s="9"/>
      <c r="S2473" s="9"/>
      <c r="T2473" s="31"/>
      <c r="W2473" s="16"/>
      <c r="X2473" s="9"/>
      <c r="Y2473" s="9"/>
      <c r="AA2473" s="16"/>
      <c r="AK2473" s="16"/>
      <c r="AL2473" s="17"/>
      <c r="AN2473" s="16"/>
    </row>
    <row r="2474" spans="9:40" x14ac:dyDescent="0.4">
      <c r="I2474" s="11"/>
      <c r="J2474" s="9"/>
      <c r="K2474" s="9"/>
      <c r="O2474" s="11"/>
      <c r="P2474" s="9"/>
      <c r="Q2474" s="9"/>
      <c r="R2474" s="9"/>
      <c r="S2474" s="9"/>
      <c r="T2474" s="31"/>
      <c r="W2474" s="16"/>
      <c r="X2474" s="9"/>
      <c r="Y2474" s="9"/>
      <c r="AA2474" s="16"/>
      <c r="AK2474" s="16"/>
      <c r="AL2474" s="17"/>
      <c r="AN2474" s="16"/>
    </row>
    <row r="2475" spans="9:40" x14ac:dyDescent="0.4">
      <c r="I2475" s="11"/>
      <c r="J2475" s="9"/>
      <c r="K2475" s="9"/>
      <c r="O2475" s="11"/>
      <c r="P2475" s="9"/>
      <c r="Q2475" s="9"/>
      <c r="R2475" s="9"/>
      <c r="S2475" s="9"/>
      <c r="T2475" s="31"/>
      <c r="W2475" s="16"/>
      <c r="X2475" s="9"/>
      <c r="Y2475" s="9"/>
      <c r="AA2475" s="16"/>
      <c r="AK2475" s="16"/>
      <c r="AL2475" s="17"/>
      <c r="AN2475" s="16"/>
    </row>
    <row r="2476" spans="9:40" x14ac:dyDescent="0.4">
      <c r="I2476" s="11"/>
      <c r="J2476" s="9"/>
      <c r="K2476" s="9"/>
      <c r="O2476" s="11"/>
      <c r="P2476" s="9"/>
      <c r="Q2476" s="9"/>
      <c r="R2476" s="9"/>
      <c r="S2476" s="9"/>
      <c r="T2476" s="31"/>
      <c r="W2476" s="16"/>
      <c r="X2476" s="9"/>
      <c r="Y2476" s="9"/>
      <c r="AA2476" s="16"/>
      <c r="AK2476" s="16"/>
      <c r="AL2476" s="17"/>
      <c r="AN2476" s="16"/>
    </row>
    <row r="2477" spans="9:40" x14ac:dyDescent="0.4">
      <c r="I2477" s="11"/>
      <c r="J2477" s="9"/>
      <c r="K2477" s="9"/>
      <c r="O2477" s="11"/>
      <c r="P2477" s="9"/>
      <c r="Q2477" s="9"/>
      <c r="R2477" s="9"/>
      <c r="S2477" s="9"/>
      <c r="T2477" s="31"/>
      <c r="W2477" s="16"/>
      <c r="X2477" s="9"/>
      <c r="Y2477" s="9"/>
      <c r="AA2477" s="16"/>
      <c r="AK2477" s="16"/>
      <c r="AL2477" s="17"/>
      <c r="AN2477" s="16"/>
    </row>
    <row r="2478" spans="9:40" x14ac:dyDescent="0.4">
      <c r="I2478" s="11"/>
      <c r="J2478" s="9"/>
      <c r="K2478" s="9"/>
      <c r="O2478" s="11"/>
      <c r="P2478" s="9"/>
      <c r="Q2478" s="9"/>
      <c r="R2478" s="9"/>
      <c r="S2478" s="9"/>
      <c r="T2478" s="31"/>
      <c r="W2478" s="16"/>
      <c r="X2478" s="9"/>
      <c r="Y2478" s="9"/>
      <c r="AA2478" s="16"/>
      <c r="AK2478" s="16"/>
      <c r="AL2478" s="17"/>
      <c r="AN2478" s="16"/>
    </row>
    <row r="2479" spans="9:40" x14ac:dyDescent="0.4">
      <c r="I2479" s="11"/>
      <c r="J2479" s="9"/>
      <c r="K2479" s="9"/>
      <c r="O2479" s="11"/>
      <c r="P2479" s="9"/>
      <c r="Q2479" s="9"/>
      <c r="R2479" s="9"/>
      <c r="S2479" s="9"/>
      <c r="T2479" s="31"/>
      <c r="W2479" s="16"/>
      <c r="X2479" s="9"/>
      <c r="Y2479" s="9"/>
      <c r="AA2479" s="16"/>
      <c r="AK2479" s="16"/>
      <c r="AL2479" s="17"/>
      <c r="AN2479" s="16"/>
    </row>
    <row r="2480" spans="9:40" x14ac:dyDescent="0.4">
      <c r="I2480" s="11"/>
      <c r="J2480" s="9"/>
      <c r="K2480" s="9"/>
      <c r="O2480" s="11"/>
      <c r="P2480" s="9"/>
      <c r="Q2480" s="9"/>
      <c r="R2480" s="9"/>
      <c r="S2480" s="9"/>
      <c r="T2480" s="31"/>
      <c r="W2480" s="16"/>
      <c r="X2480" s="9"/>
      <c r="Y2480" s="9"/>
      <c r="AA2480" s="16"/>
      <c r="AK2480" s="16"/>
      <c r="AL2480" s="17"/>
      <c r="AN2480" s="16"/>
    </row>
    <row r="2481" spans="9:40" x14ac:dyDescent="0.4">
      <c r="I2481" s="11"/>
      <c r="J2481" s="9"/>
      <c r="K2481" s="9"/>
      <c r="O2481" s="11"/>
      <c r="P2481" s="9"/>
      <c r="Q2481" s="9"/>
      <c r="R2481" s="9"/>
      <c r="S2481" s="9"/>
      <c r="T2481" s="31"/>
      <c r="W2481" s="16"/>
      <c r="X2481" s="9"/>
      <c r="Y2481" s="9"/>
      <c r="AA2481" s="16"/>
      <c r="AK2481" s="16"/>
      <c r="AL2481" s="17"/>
      <c r="AN2481" s="16"/>
    </row>
    <row r="2482" spans="9:40" x14ac:dyDescent="0.4">
      <c r="I2482" s="11"/>
      <c r="J2482" s="9"/>
      <c r="K2482" s="9"/>
      <c r="O2482" s="11"/>
      <c r="P2482" s="9"/>
      <c r="Q2482" s="9"/>
      <c r="R2482" s="9"/>
      <c r="S2482" s="9"/>
      <c r="T2482" s="31"/>
      <c r="W2482" s="16"/>
      <c r="X2482" s="9"/>
      <c r="Y2482" s="9"/>
      <c r="AA2482" s="16"/>
      <c r="AK2482" s="16"/>
      <c r="AL2482" s="17"/>
      <c r="AN2482" s="16"/>
    </row>
    <row r="2483" spans="9:40" x14ac:dyDescent="0.4">
      <c r="I2483" s="11"/>
      <c r="J2483" s="9"/>
      <c r="K2483" s="9"/>
      <c r="O2483" s="11"/>
      <c r="P2483" s="9"/>
      <c r="Q2483" s="9"/>
      <c r="R2483" s="9"/>
      <c r="S2483" s="9"/>
      <c r="T2483" s="31"/>
      <c r="W2483" s="16"/>
      <c r="X2483" s="9"/>
      <c r="Y2483" s="9"/>
      <c r="AA2483" s="16"/>
      <c r="AK2483" s="16"/>
      <c r="AL2483" s="17"/>
      <c r="AN2483" s="16"/>
    </row>
    <row r="2484" spans="9:40" x14ac:dyDescent="0.4">
      <c r="I2484" s="11"/>
      <c r="J2484" s="9"/>
      <c r="K2484" s="9"/>
      <c r="O2484" s="11"/>
      <c r="P2484" s="9"/>
      <c r="Q2484" s="9"/>
      <c r="R2484" s="9"/>
      <c r="S2484" s="9"/>
      <c r="T2484" s="31"/>
      <c r="W2484" s="16"/>
      <c r="X2484" s="9"/>
      <c r="Y2484" s="9"/>
      <c r="AA2484" s="16"/>
      <c r="AK2484" s="16"/>
      <c r="AL2484" s="17"/>
      <c r="AN2484" s="16"/>
    </row>
    <row r="2485" spans="9:40" x14ac:dyDescent="0.4">
      <c r="I2485" s="11"/>
      <c r="J2485" s="9"/>
      <c r="K2485" s="9"/>
      <c r="O2485" s="11"/>
      <c r="P2485" s="9"/>
      <c r="Q2485" s="9"/>
      <c r="R2485" s="9"/>
      <c r="S2485" s="9"/>
      <c r="T2485" s="31"/>
      <c r="W2485" s="16"/>
      <c r="X2485" s="9"/>
      <c r="Y2485" s="9"/>
      <c r="AA2485" s="16"/>
      <c r="AK2485" s="16"/>
      <c r="AL2485" s="17"/>
      <c r="AN2485" s="16"/>
    </row>
    <row r="2486" spans="9:40" x14ac:dyDescent="0.4">
      <c r="I2486" s="11"/>
      <c r="J2486" s="9"/>
      <c r="K2486" s="9"/>
      <c r="O2486" s="11"/>
      <c r="P2486" s="9"/>
      <c r="Q2486" s="9"/>
      <c r="R2486" s="9"/>
      <c r="S2486" s="9"/>
      <c r="T2486" s="31"/>
      <c r="W2486" s="16"/>
      <c r="X2486" s="9"/>
      <c r="Y2486" s="9"/>
      <c r="AA2486" s="16"/>
      <c r="AK2486" s="16"/>
      <c r="AL2486" s="17"/>
      <c r="AN2486" s="16"/>
    </row>
    <row r="2487" spans="9:40" x14ac:dyDescent="0.4">
      <c r="I2487" s="11"/>
      <c r="J2487" s="9"/>
      <c r="K2487" s="9"/>
      <c r="O2487" s="11"/>
      <c r="P2487" s="9"/>
      <c r="Q2487" s="9"/>
      <c r="R2487" s="9"/>
      <c r="S2487" s="9"/>
      <c r="T2487" s="31"/>
      <c r="W2487" s="16"/>
      <c r="X2487" s="9"/>
      <c r="Y2487" s="9"/>
      <c r="AA2487" s="16"/>
      <c r="AK2487" s="16"/>
      <c r="AL2487" s="17"/>
      <c r="AN2487" s="16"/>
    </row>
    <row r="2488" spans="9:40" x14ac:dyDescent="0.4">
      <c r="I2488" s="11"/>
      <c r="J2488" s="9"/>
      <c r="K2488" s="9"/>
      <c r="O2488" s="11"/>
      <c r="P2488" s="9"/>
      <c r="Q2488" s="9"/>
      <c r="R2488" s="9"/>
      <c r="S2488" s="9"/>
      <c r="T2488" s="31"/>
      <c r="W2488" s="16"/>
      <c r="X2488" s="9"/>
      <c r="Y2488" s="9"/>
      <c r="AA2488" s="16"/>
      <c r="AK2488" s="16"/>
      <c r="AL2488" s="17"/>
      <c r="AN2488" s="16"/>
    </row>
    <row r="2489" spans="9:40" x14ac:dyDescent="0.4">
      <c r="I2489" s="11"/>
      <c r="J2489" s="9"/>
      <c r="K2489" s="9"/>
      <c r="O2489" s="11"/>
      <c r="P2489" s="9"/>
      <c r="Q2489" s="9"/>
      <c r="R2489" s="9"/>
      <c r="S2489" s="9"/>
      <c r="T2489" s="31"/>
      <c r="W2489" s="16"/>
      <c r="X2489" s="9"/>
      <c r="Y2489" s="9"/>
      <c r="AA2489" s="16"/>
      <c r="AK2489" s="16"/>
      <c r="AL2489" s="17"/>
      <c r="AN2489" s="16"/>
    </row>
    <row r="2490" spans="9:40" x14ac:dyDescent="0.4">
      <c r="I2490" s="11"/>
      <c r="J2490" s="9"/>
      <c r="K2490" s="9"/>
      <c r="O2490" s="11"/>
      <c r="P2490" s="9"/>
      <c r="Q2490" s="9"/>
      <c r="R2490" s="9"/>
      <c r="S2490" s="9"/>
      <c r="T2490" s="31"/>
      <c r="W2490" s="16"/>
      <c r="X2490" s="9"/>
      <c r="Y2490" s="9"/>
      <c r="AA2490" s="16"/>
      <c r="AK2490" s="16"/>
      <c r="AL2490" s="17"/>
      <c r="AN2490" s="16"/>
    </row>
    <row r="2491" spans="9:40" x14ac:dyDescent="0.4">
      <c r="I2491" s="11"/>
      <c r="J2491" s="9"/>
      <c r="K2491" s="9"/>
      <c r="O2491" s="11"/>
      <c r="P2491" s="9"/>
      <c r="Q2491" s="9"/>
      <c r="R2491" s="9"/>
      <c r="S2491" s="9"/>
      <c r="T2491" s="31"/>
      <c r="W2491" s="16"/>
      <c r="X2491" s="9"/>
      <c r="Y2491" s="9"/>
      <c r="AA2491" s="16"/>
      <c r="AK2491" s="16"/>
      <c r="AL2491" s="17"/>
      <c r="AN2491" s="16"/>
    </row>
    <row r="2492" spans="9:40" x14ac:dyDescent="0.4">
      <c r="I2492" s="11"/>
      <c r="J2492" s="9"/>
      <c r="K2492" s="9"/>
      <c r="O2492" s="11"/>
      <c r="P2492" s="9"/>
      <c r="Q2492" s="9"/>
      <c r="R2492" s="9"/>
      <c r="S2492" s="9"/>
      <c r="T2492" s="31"/>
      <c r="W2492" s="16"/>
      <c r="X2492" s="9"/>
      <c r="Y2492" s="9"/>
      <c r="AA2492" s="16"/>
      <c r="AK2492" s="16"/>
      <c r="AL2492" s="17"/>
      <c r="AN2492" s="16"/>
    </row>
    <row r="2493" spans="9:40" x14ac:dyDescent="0.4">
      <c r="I2493" s="11"/>
      <c r="J2493" s="9"/>
      <c r="K2493" s="9"/>
      <c r="O2493" s="11"/>
      <c r="P2493" s="9"/>
      <c r="Q2493" s="9"/>
      <c r="R2493" s="9"/>
      <c r="S2493" s="9"/>
      <c r="T2493" s="31"/>
      <c r="W2493" s="16"/>
      <c r="X2493" s="9"/>
      <c r="Y2493" s="9"/>
      <c r="AA2493" s="16"/>
      <c r="AK2493" s="16"/>
      <c r="AL2493" s="17"/>
      <c r="AN2493" s="16"/>
    </row>
    <row r="2494" spans="9:40" x14ac:dyDescent="0.4">
      <c r="I2494" s="11"/>
      <c r="J2494" s="9"/>
      <c r="K2494" s="9"/>
      <c r="O2494" s="11"/>
      <c r="P2494" s="9"/>
      <c r="Q2494" s="9"/>
      <c r="R2494" s="9"/>
      <c r="S2494" s="9"/>
      <c r="T2494" s="31"/>
      <c r="W2494" s="16"/>
      <c r="X2494" s="9"/>
      <c r="Y2494" s="9"/>
      <c r="AA2494" s="16"/>
      <c r="AK2494" s="16"/>
      <c r="AL2494" s="17"/>
      <c r="AN2494" s="16"/>
    </row>
    <row r="2495" spans="9:40" x14ac:dyDescent="0.4">
      <c r="I2495" s="11"/>
      <c r="J2495" s="9"/>
      <c r="K2495" s="9"/>
      <c r="O2495" s="11"/>
      <c r="P2495" s="9"/>
      <c r="Q2495" s="9"/>
      <c r="R2495" s="9"/>
      <c r="S2495" s="9"/>
      <c r="T2495" s="31"/>
      <c r="W2495" s="16"/>
      <c r="X2495" s="9"/>
      <c r="Y2495" s="9"/>
      <c r="AA2495" s="16"/>
      <c r="AK2495" s="16"/>
      <c r="AL2495" s="17"/>
      <c r="AN2495" s="16"/>
    </row>
    <row r="2496" spans="9:40" x14ac:dyDescent="0.4">
      <c r="I2496" s="11"/>
      <c r="J2496" s="9"/>
      <c r="K2496" s="9"/>
      <c r="O2496" s="11"/>
      <c r="P2496" s="9"/>
      <c r="Q2496" s="9"/>
      <c r="R2496" s="9"/>
      <c r="S2496" s="9"/>
      <c r="T2496" s="31"/>
      <c r="W2496" s="16"/>
      <c r="X2496" s="9"/>
      <c r="Y2496" s="9"/>
      <c r="AA2496" s="16"/>
      <c r="AK2496" s="16"/>
      <c r="AL2496" s="17"/>
      <c r="AN2496" s="16"/>
    </row>
    <row r="2497" spans="9:40" x14ac:dyDescent="0.4">
      <c r="I2497" s="11"/>
      <c r="J2497" s="9"/>
      <c r="K2497" s="9"/>
      <c r="O2497" s="11"/>
      <c r="P2497" s="9"/>
      <c r="Q2497" s="9"/>
      <c r="R2497" s="9"/>
      <c r="S2497" s="9"/>
      <c r="T2497" s="31"/>
      <c r="W2497" s="16"/>
      <c r="X2497" s="9"/>
      <c r="Y2497" s="9"/>
      <c r="AA2497" s="16"/>
      <c r="AK2497" s="16"/>
      <c r="AL2497" s="17"/>
      <c r="AN2497" s="16"/>
    </row>
    <row r="2498" spans="9:40" x14ac:dyDescent="0.4">
      <c r="I2498" s="11"/>
      <c r="J2498" s="9"/>
      <c r="K2498" s="9"/>
      <c r="O2498" s="11"/>
      <c r="P2498" s="9"/>
      <c r="Q2498" s="9"/>
      <c r="R2498" s="9"/>
      <c r="S2498" s="9"/>
      <c r="T2498" s="31"/>
      <c r="W2498" s="16"/>
      <c r="X2498" s="9"/>
      <c r="Y2498" s="9"/>
      <c r="AA2498" s="16"/>
      <c r="AK2498" s="16"/>
      <c r="AL2498" s="17"/>
      <c r="AN2498" s="16"/>
    </row>
    <row r="2499" spans="9:40" x14ac:dyDescent="0.4">
      <c r="I2499" s="11"/>
      <c r="J2499" s="9"/>
      <c r="K2499" s="9"/>
      <c r="O2499" s="11"/>
      <c r="P2499" s="9"/>
      <c r="Q2499" s="9"/>
      <c r="R2499" s="9"/>
      <c r="S2499" s="9"/>
      <c r="T2499" s="31"/>
      <c r="W2499" s="16"/>
      <c r="X2499" s="9"/>
      <c r="Y2499" s="9"/>
      <c r="AA2499" s="16"/>
      <c r="AK2499" s="16"/>
      <c r="AL2499" s="17"/>
      <c r="AN2499" s="16"/>
    </row>
    <row r="2500" spans="9:40" x14ac:dyDescent="0.4">
      <c r="I2500" s="11"/>
      <c r="J2500" s="9"/>
      <c r="K2500" s="9"/>
      <c r="O2500" s="11"/>
      <c r="P2500" s="9"/>
      <c r="Q2500" s="9"/>
      <c r="R2500" s="9"/>
      <c r="S2500" s="9"/>
      <c r="T2500" s="31"/>
      <c r="W2500" s="16"/>
      <c r="X2500" s="9"/>
      <c r="Y2500" s="9"/>
      <c r="AA2500" s="16"/>
      <c r="AK2500" s="16"/>
      <c r="AL2500" s="17"/>
      <c r="AN2500" s="16"/>
    </row>
    <row r="2501" spans="9:40" x14ac:dyDescent="0.4">
      <c r="I2501" s="11"/>
      <c r="J2501" s="9"/>
      <c r="K2501" s="9"/>
      <c r="O2501" s="11"/>
      <c r="P2501" s="9"/>
      <c r="Q2501" s="9"/>
      <c r="R2501" s="9"/>
      <c r="S2501" s="9"/>
      <c r="T2501" s="31"/>
      <c r="W2501" s="16"/>
      <c r="X2501" s="9"/>
      <c r="Y2501" s="9"/>
      <c r="AA2501" s="16"/>
      <c r="AK2501" s="16"/>
      <c r="AL2501" s="17"/>
      <c r="AN2501" s="16"/>
    </row>
    <row r="2502" spans="9:40" x14ac:dyDescent="0.4">
      <c r="I2502" s="11"/>
      <c r="J2502" s="9"/>
      <c r="K2502" s="9"/>
      <c r="O2502" s="11"/>
      <c r="P2502" s="9"/>
      <c r="Q2502" s="9"/>
      <c r="R2502" s="9"/>
      <c r="S2502" s="9"/>
      <c r="T2502" s="31"/>
      <c r="W2502" s="16"/>
      <c r="X2502" s="9"/>
      <c r="Y2502" s="9"/>
      <c r="AA2502" s="16"/>
      <c r="AK2502" s="16"/>
      <c r="AL2502" s="17"/>
      <c r="AN2502" s="16"/>
    </row>
    <row r="2503" spans="9:40" x14ac:dyDescent="0.4">
      <c r="I2503" s="11"/>
      <c r="J2503" s="9"/>
      <c r="K2503" s="9"/>
      <c r="O2503" s="11"/>
      <c r="P2503" s="9"/>
      <c r="Q2503" s="9"/>
      <c r="R2503" s="9"/>
      <c r="S2503" s="9"/>
      <c r="T2503" s="31"/>
      <c r="W2503" s="16"/>
      <c r="X2503" s="9"/>
      <c r="Y2503" s="9"/>
      <c r="AA2503" s="16"/>
      <c r="AK2503" s="16"/>
      <c r="AL2503" s="17"/>
      <c r="AN2503" s="16"/>
    </row>
    <row r="2504" spans="9:40" x14ac:dyDescent="0.4">
      <c r="I2504" s="11"/>
      <c r="J2504" s="9"/>
      <c r="K2504" s="9"/>
      <c r="O2504" s="11"/>
      <c r="P2504" s="9"/>
      <c r="Q2504" s="9"/>
      <c r="R2504" s="9"/>
      <c r="S2504" s="9"/>
      <c r="T2504" s="31"/>
      <c r="W2504" s="16"/>
      <c r="X2504" s="9"/>
      <c r="Y2504" s="9"/>
      <c r="AA2504" s="16"/>
      <c r="AK2504" s="16"/>
      <c r="AL2504" s="17"/>
      <c r="AN2504" s="16"/>
    </row>
    <row r="2505" spans="9:40" x14ac:dyDescent="0.4">
      <c r="I2505" s="11"/>
      <c r="J2505" s="9"/>
      <c r="K2505" s="9"/>
      <c r="O2505" s="11"/>
      <c r="P2505" s="9"/>
      <c r="Q2505" s="9"/>
      <c r="R2505" s="9"/>
      <c r="S2505" s="9"/>
      <c r="T2505" s="31"/>
      <c r="W2505" s="16"/>
      <c r="X2505" s="9"/>
      <c r="Y2505" s="9"/>
      <c r="AA2505" s="16"/>
      <c r="AK2505" s="16"/>
      <c r="AL2505" s="17"/>
      <c r="AN2505" s="16"/>
    </row>
    <row r="2506" spans="9:40" x14ac:dyDescent="0.4">
      <c r="I2506" s="11"/>
      <c r="J2506" s="9"/>
      <c r="K2506" s="9"/>
      <c r="O2506" s="11"/>
      <c r="P2506" s="9"/>
      <c r="Q2506" s="9"/>
      <c r="R2506" s="9"/>
      <c r="S2506" s="9"/>
      <c r="T2506" s="31"/>
      <c r="W2506" s="16"/>
      <c r="X2506" s="9"/>
      <c r="Y2506" s="9"/>
      <c r="AA2506" s="16"/>
      <c r="AK2506" s="16"/>
      <c r="AL2506" s="17"/>
      <c r="AN2506" s="16"/>
    </row>
    <row r="2507" spans="9:40" x14ac:dyDescent="0.4">
      <c r="I2507" s="11"/>
      <c r="J2507" s="9"/>
      <c r="K2507" s="9"/>
      <c r="O2507" s="11"/>
      <c r="P2507" s="9"/>
      <c r="Q2507" s="9"/>
      <c r="R2507" s="9"/>
      <c r="S2507" s="9"/>
      <c r="T2507" s="31"/>
      <c r="W2507" s="16"/>
      <c r="X2507" s="9"/>
      <c r="Y2507" s="9"/>
      <c r="AA2507" s="16"/>
      <c r="AK2507" s="16"/>
      <c r="AL2507" s="17"/>
      <c r="AN2507" s="16"/>
    </row>
    <row r="2508" spans="9:40" x14ac:dyDescent="0.4">
      <c r="I2508" s="11"/>
      <c r="J2508" s="9"/>
      <c r="K2508" s="9"/>
      <c r="O2508" s="11"/>
      <c r="P2508" s="9"/>
      <c r="Q2508" s="9"/>
      <c r="R2508" s="9"/>
      <c r="S2508" s="9"/>
      <c r="T2508" s="31"/>
      <c r="W2508" s="16"/>
      <c r="X2508" s="9"/>
      <c r="Y2508" s="9"/>
      <c r="AA2508" s="16"/>
      <c r="AK2508" s="16"/>
      <c r="AL2508" s="17"/>
      <c r="AN2508" s="16"/>
    </row>
    <row r="2509" spans="9:40" x14ac:dyDescent="0.4">
      <c r="I2509" s="11"/>
      <c r="J2509" s="9"/>
      <c r="K2509" s="9"/>
      <c r="O2509" s="11"/>
      <c r="P2509" s="9"/>
      <c r="Q2509" s="9"/>
      <c r="R2509" s="9"/>
      <c r="S2509" s="9"/>
      <c r="T2509" s="31"/>
      <c r="W2509" s="16"/>
      <c r="X2509" s="9"/>
      <c r="Y2509" s="9"/>
      <c r="AA2509" s="16"/>
      <c r="AK2509" s="16"/>
      <c r="AL2509" s="17"/>
      <c r="AN2509" s="16"/>
    </row>
    <row r="2510" spans="9:40" x14ac:dyDescent="0.4">
      <c r="I2510" s="11"/>
      <c r="J2510" s="9"/>
      <c r="K2510" s="9"/>
      <c r="O2510" s="11"/>
      <c r="P2510" s="9"/>
      <c r="Q2510" s="9"/>
      <c r="R2510" s="9"/>
      <c r="S2510" s="9"/>
      <c r="T2510" s="31"/>
      <c r="W2510" s="16"/>
      <c r="X2510" s="9"/>
      <c r="Y2510" s="9"/>
      <c r="AA2510" s="16"/>
      <c r="AK2510" s="16"/>
      <c r="AL2510" s="17"/>
      <c r="AN2510" s="16"/>
    </row>
    <row r="2511" spans="9:40" x14ac:dyDescent="0.4">
      <c r="I2511" s="11"/>
      <c r="J2511" s="9"/>
      <c r="K2511" s="9"/>
      <c r="O2511" s="11"/>
      <c r="P2511" s="9"/>
      <c r="Q2511" s="9"/>
      <c r="R2511" s="9"/>
      <c r="S2511" s="9"/>
      <c r="T2511" s="31"/>
      <c r="W2511" s="16"/>
      <c r="X2511" s="9"/>
      <c r="Y2511" s="9"/>
      <c r="AA2511" s="16"/>
      <c r="AK2511" s="16"/>
      <c r="AL2511" s="17"/>
      <c r="AN2511" s="16"/>
    </row>
    <row r="2512" spans="9:40" x14ac:dyDescent="0.4">
      <c r="I2512" s="11"/>
      <c r="J2512" s="9"/>
      <c r="K2512" s="9"/>
      <c r="O2512" s="11"/>
      <c r="P2512" s="9"/>
      <c r="Q2512" s="9"/>
      <c r="R2512" s="9"/>
      <c r="S2512" s="9"/>
      <c r="T2512" s="31"/>
      <c r="W2512" s="16"/>
      <c r="X2512" s="9"/>
      <c r="Y2512" s="9"/>
      <c r="AA2512" s="16"/>
      <c r="AK2512" s="16"/>
      <c r="AL2512" s="17"/>
      <c r="AN2512" s="16"/>
    </row>
    <row r="2513" spans="9:40" x14ac:dyDescent="0.4">
      <c r="I2513" s="11"/>
      <c r="J2513" s="9"/>
      <c r="K2513" s="9"/>
      <c r="O2513" s="11"/>
      <c r="P2513" s="9"/>
      <c r="Q2513" s="9"/>
      <c r="R2513" s="9"/>
      <c r="S2513" s="9"/>
      <c r="T2513" s="31"/>
      <c r="W2513" s="16"/>
      <c r="X2513" s="9"/>
      <c r="Y2513" s="9"/>
      <c r="AA2513" s="16"/>
      <c r="AK2513" s="16"/>
      <c r="AL2513" s="17"/>
      <c r="AN2513" s="16"/>
    </row>
    <row r="2514" spans="9:40" x14ac:dyDescent="0.4">
      <c r="I2514" s="11"/>
      <c r="J2514" s="9"/>
      <c r="K2514" s="9"/>
      <c r="O2514" s="11"/>
      <c r="P2514" s="9"/>
      <c r="Q2514" s="9"/>
      <c r="R2514" s="9"/>
      <c r="S2514" s="9"/>
      <c r="T2514" s="31"/>
      <c r="W2514" s="16"/>
      <c r="X2514" s="9"/>
      <c r="Y2514" s="9"/>
      <c r="AA2514" s="16"/>
      <c r="AK2514" s="16"/>
      <c r="AL2514" s="17"/>
      <c r="AN2514" s="16"/>
    </row>
    <row r="2515" spans="9:40" x14ac:dyDescent="0.4">
      <c r="I2515" s="11"/>
      <c r="J2515" s="9"/>
      <c r="K2515" s="9"/>
      <c r="O2515" s="11"/>
      <c r="P2515" s="9"/>
      <c r="Q2515" s="9"/>
      <c r="R2515" s="9"/>
      <c r="S2515" s="9"/>
      <c r="T2515" s="31"/>
      <c r="W2515" s="16"/>
      <c r="X2515" s="9"/>
      <c r="Y2515" s="9"/>
      <c r="AA2515" s="16"/>
      <c r="AK2515" s="16"/>
      <c r="AL2515" s="17"/>
      <c r="AN2515" s="16"/>
    </row>
    <row r="2516" spans="9:40" x14ac:dyDescent="0.4">
      <c r="I2516" s="11"/>
      <c r="J2516" s="9"/>
      <c r="K2516" s="9"/>
      <c r="O2516" s="11"/>
      <c r="P2516" s="9"/>
      <c r="Q2516" s="9"/>
      <c r="R2516" s="9"/>
      <c r="S2516" s="9"/>
      <c r="T2516" s="31"/>
      <c r="W2516" s="16"/>
      <c r="X2516" s="9"/>
      <c r="Y2516" s="9"/>
      <c r="AA2516" s="16"/>
      <c r="AK2516" s="16"/>
      <c r="AL2516" s="17"/>
      <c r="AN2516" s="16"/>
    </row>
    <row r="2517" spans="9:40" x14ac:dyDescent="0.4">
      <c r="I2517" s="11"/>
      <c r="J2517" s="9"/>
      <c r="K2517" s="9"/>
      <c r="O2517" s="11"/>
      <c r="P2517" s="9"/>
      <c r="Q2517" s="9"/>
      <c r="R2517" s="9"/>
      <c r="S2517" s="9"/>
      <c r="T2517" s="31"/>
      <c r="W2517" s="16"/>
      <c r="X2517" s="9"/>
      <c r="Y2517" s="9"/>
      <c r="AA2517" s="16"/>
      <c r="AK2517" s="16"/>
      <c r="AL2517" s="17"/>
      <c r="AN2517" s="16"/>
    </row>
    <row r="2518" spans="9:40" x14ac:dyDescent="0.4">
      <c r="I2518" s="11"/>
      <c r="J2518" s="9"/>
      <c r="K2518" s="9"/>
      <c r="O2518" s="11"/>
      <c r="P2518" s="9"/>
      <c r="Q2518" s="9"/>
      <c r="R2518" s="9"/>
      <c r="S2518" s="9"/>
      <c r="T2518" s="31"/>
      <c r="W2518" s="16"/>
      <c r="X2518" s="9"/>
      <c r="Y2518" s="9"/>
      <c r="AA2518" s="16"/>
      <c r="AK2518" s="16"/>
      <c r="AL2518" s="17"/>
      <c r="AN2518" s="16"/>
    </row>
    <row r="2519" spans="9:40" x14ac:dyDescent="0.4">
      <c r="I2519" s="11"/>
      <c r="J2519" s="9"/>
      <c r="K2519" s="9"/>
      <c r="O2519" s="11"/>
      <c r="P2519" s="9"/>
      <c r="Q2519" s="9"/>
      <c r="R2519" s="9"/>
      <c r="S2519" s="9"/>
      <c r="T2519" s="31"/>
      <c r="W2519" s="16"/>
      <c r="X2519" s="9"/>
      <c r="Y2519" s="9"/>
      <c r="AA2519" s="16"/>
      <c r="AK2519" s="16"/>
      <c r="AL2519" s="17"/>
      <c r="AN2519" s="16"/>
    </row>
    <row r="2520" spans="9:40" x14ac:dyDescent="0.4">
      <c r="I2520" s="11"/>
      <c r="J2520" s="9"/>
      <c r="K2520" s="9"/>
      <c r="O2520" s="11"/>
      <c r="P2520" s="9"/>
      <c r="Q2520" s="9"/>
      <c r="R2520" s="9"/>
      <c r="S2520" s="9"/>
      <c r="T2520" s="31"/>
      <c r="W2520" s="16"/>
      <c r="X2520" s="9"/>
      <c r="Y2520" s="9"/>
      <c r="AA2520" s="16"/>
      <c r="AK2520" s="16"/>
      <c r="AL2520" s="17"/>
      <c r="AN2520" s="16"/>
    </row>
    <row r="2521" spans="9:40" x14ac:dyDescent="0.4">
      <c r="I2521" s="11"/>
      <c r="J2521" s="9"/>
      <c r="K2521" s="9"/>
      <c r="O2521" s="11"/>
      <c r="P2521" s="9"/>
      <c r="Q2521" s="9"/>
      <c r="R2521" s="9"/>
      <c r="S2521" s="9"/>
      <c r="T2521" s="31"/>
      <c r="W2521" s="16"/>
      <c r="X2521" s="9"/>
      <c r="Y2521" s="9"/>
      <c r="AA2521" s="16"/>
      <c r="AK2521" s="16"/>
      <c r="AL2521" s="17"/>
      <c r="AN2521" s="16"/>
    </row>
    <row r="2522" spans="9:40" x14ac:dyDescent="0.4">
      <c r="I2522" s="11"/>
      <c r="J2522" s="9"/>
      <c r="K2522" s="9"/>
      <c r="O2522" s="11"/>
      <c r="P2522" s="9"/>
      <c r="Q2522" s="9"/>
      <c r="R2522" s="9"/>
      <c r="S2522" s="9"/>
      <c r="T2522" s="31"/>
      <c r="W2522" s="16"/>
      <c r="X2522" s="9"/>
      <c r="Y2522" s="9"/>
      <c r="AA2522" s="16"/>
      <c r="AK2522" s="16"/>
      <c r="AL2522" s="17"/>
      <c r="AN2522" s="16"/>
    </row>
    <row r="2523" spans="9:40" x14ac:dyDescent="0.4">
      <c r="I2523" s="11"/>
      <c r="J2523" s="9"/>
      <c r="K2523" s="9"/>
      <c r="O2523" s="11"/>
      <c r="P2523" s="9"/>
      <c r="Q2523" s="9"/>
      <c r="R2523" s="9"/>
      <c r="S2523" s="9"/>
      <c r="T2523" s="31"/>
      <c r="W2523" s="16"/>
      <c r="X2523" s="9"/>
      <c r="Y2523" s="9"/>
      <c r="AA2523" s="16"/>
      <c r="AK2523" s="16"/>
      <c r="AL2523" s="17"/>
      <c r="AN2523" s="16"/>
    </row>
    <row r="2524" spans="9:40" x14ac:dyDescent="0.4">
      <c r="I2524" s="11"/>
      <c r="J2524" s="9"/>
      <c r="K2524" s="9"/>
      <c r="O2524" s="11"/>
      <c r="P2524" s="9"/>
      <c r="Q2524" s="9"/>
      <c r="R2524" s="9"/>
      <c r="S2524" s="9"/>
      <c r="T2524" s="31"/>
      <c r="W2524" s="16"/>
      <c r="X2524" s="9"/>
      <c r="Y2524" s="9"/>
      <c r="AA2524" s="16"/>
      <c r="AK2524" s="16"/>
      <c r="AL2524" s="17"/>
      <c r="AN2524" s="16"/>
    </row>
    <row r="2525" spans="9:40" x14ac:dyDescent="0.4">
      <c r="I2525" s="11"/>
      <c r="J2525" s="9"/>
      <c r="K2525" s="9"/>
      <c r="O2525" s="11"/>
      <c r="P2525" s="9"/>
      <c r="Q2525" s="9"/>
      <c r="R2525" s="9"/>
      <c r="S2525" s="9"/>
      <c r="T2525" s="31"/>
      <c r="W2525" s="16"/>
      <c r="X2525" s="9"/>
      <c r="Y2525" s="9"/>
      <c r="AA2525" s="16"/>
      <c r="AK2525" s="16"/>
      <c r="AL2525" s="17"/>
      <c r="AN2525" s="16"/>
    </row>
    <row r="2526" spans="9:40" x14ac:dyDescent="0.4">
      <c r="I2526" s="11"/>
      <c r="J2526" s="9"/>
      <c r="K2526" s="9"/>
      <c r="O2526" s="11"/>
      <c r="P2526" s="9"/>
      <c r="Q2526" s="9"/>
      <c r="R2526" s="9"/>
      <c r="S2526" s="9"/>
      <c r="T2526" s="31"/>
      <c r="W2526" s="16"/>
      <c r="X2526" s="9"/>
      <c r="Y2526" s="9"/>
      <c r="AA2526" s="16"/>
      <c r="AK2526" s="16"/>
      <c r="AL2526" s="17"/>
      <c r="AN2526" s="16"/>
    </row>
    <row r="2527" spans="9:40" x14ac:dyDescent="0.4">
      <c r="I2527" s="11"/>
      <c r="J2527" s="9"/>
      <c r="K2527" s="9"/>
      <c r="O2527" s="11"/>
      <c r="P2527" s="9"/>
      <c r="Q2527" s="9"/>
      <c r="R2527" s="9"/>
      <c r="S2527" s="9"/>
      <c r="T2527" s="31"/>
      <c r="W2527" s="16"/>
      <c r="X2527" s="9"/>
      <c r="Y2527" s="9"/>
      <c r="AA2527" s="16"/>
      <c r="AK2527" s="16"/>
      <c r="AL2527" s="17"/>
      <c r="AN2527" s="16"/>
    </row>
    <row r="2528" spans="9:40" x14ac:dyDescent="0.4">
      <c r="I2528" s="11"/>
      <c r="J2528" s="9"/>
      <c r="K2528" s="9"/>
      <c r="O2528" s="11"/>
      <c r="P2528" s="9"/>
      <c r="Q2528" s="9"/>
      <c r="R2528" s="9"/>
      <c r="S2528" s="9"/>
      <c r="T2528" s="31"/>
      <c r="W2528" s="16"/>
      <c r="X2528" s="9"/>
      <c r="Y2528" s="9"/>
      <c r="AA2528" s="16"/>
      <c r="AK2528" s="16"/>
      <c r="AL2528" s="17"/>
      <c r="AN2528" s="16"/>
    </row>
    <row r="2529" spans="9:40" x14ac:dyDescent="0.4">
      <c r="I2529" s="11"/>
      <c r="J2529" s="9"/>
      <c r="K2529" s="9"/>
      <c r="O2529" s="11"/>
      <c r="P2529" s="9"/>
      <c r="Q2529" s="9"/>
      <c r="R2529" s="9"/>
      <c r="S2529" s="9"/>
      <c r="T2529" s="31"/>
      <c r="W2529" s="16"/>
      <c r="X2529" s="9"/>
      <c r="Y2529" s="9"/>
      <c r="AA2529" s="16"/>
      <c r="AK2529" s="16"/>
      <c r="AL2529" s="17"/>
      <c r="AN2529" s="16"/>
    </row>
    <row r="2530" spans="9:40" x14ac:dyDescent="0.4">
      <c r="I2530" s="11"/>
      <c r="J2530" s="9"/>
      <c r="K2530" s="9"/>
      <c r="O2530" s="11"/>
      <c r="P2530" s="9"/>
      <c r="Q2530" s="9"/>
      <c r="R2530" s="9"/>
      <c r="S2530" s="9"/>
      <c r="T2530" s="31"/>
      <c r="W2530" s="16"/>
      <c r="X2530" s="9"/>
      <c r="Y2530" s="9"/>
      <c r="AA2530" s="16"/>
      <c r="AK2530" s="16"/>
      <c r="AL2530" s="17"/>
      <c r="AN2530" s="16"/>
    </row>
    <row r="2531" spans="9:40" x14ac:dyDescent="0.4">
      <c r="I2531" s="11"/>
      <c r="J2531" s="9"/>
      <c r="K2531" s="9"/>
      <c r="O2531" s="11"/>
      <c r="P2531" s="9"/>
      <c r="Q2531" s="9"/>
      <c r="R2531" s="9"/>
      <c r="S2531" s="9"/>
      <c r="T2531" s="31"/>
      <c r="W2531" s="16"/>
      <c r="X2531" s="9"/>
      <c r="Y2531" s="9"/>
      <c r="AA2531" s="16"/>
      <c r="AK2531" s="16"/>
      <c r="AL2531" s="17"/>
      <c r="AN2531" s="16"/>
    </row>
    <row r="2532" spans="9:40" x14ac:dyDescent="0.4">
      <c r="I2532" s="11"/>
      <c r="J2532" s="9"/>
      <c r="K2532" s="9"/>
      <c r="O2532" s="11"/>
      <c r="P2532" s="9"/>
      <c r="Q2532" s="9"/>
      <c r="R2532" s="9"/>
      <c r="S2532" s="9"/>
      <c r="T2532" s="31"/>
      <c r="W2532" s="16"/>
      <c r="X2532" s="9"/>
      <c r="Y2532" s="9"/>
      <c r="AA2532" s="16"/>
      <c r="AK2532" s="16"/>
      <c r="AL2532" s="17"/>
      <c r="AN2532" s="16"/>
    </row>
    <row r="2533" spans="9:40" x14ac:dyDescent="0.4">
      <c r="I2533" s="11"/>
      <c r="J2533" s="9"/>
      <c r="K2533" s="9"/>
      <c r="O2533" s="11"/>
      <c r="P2533" s="9"/>
      <c r="Q2533" s="9"/>
      <c r="R2533" s="9"/>
      <c r="S2533" s="9"/>
      <c r="T2533" s="31"/>
      <c r="W2533" s="16"/>
      <c r="X2533" s="9"/>
      <c r="Y2533" s="9"/>
      <c r="AA2533" s="16"/>
      <c r="AK2533" s="16"/>
      <c r="AL2533" s="17"/>
      <c r="AN2533" s="16"/>
    </row>
    <row r="2534" spans="9:40" x14ac:dyDescent="0.4">
      <c r="I2534" s="11"/>
      <c r="J2534" s="9"/>
      <c r="K2534" s="9"/>
      <c r="O2534" s="11"/>
      <c r="P2534" s="9"/>
      <c r="Q2534" s="9"/>
      <c r="R2534" s="9"/>
      <c r="S2534" s="9"/>
      <c r="T2534" s="31"/>
      <c r="W2534" s="16"/>
      <c r="X2534" s="9"/>
      <c r="Y2534" s="9"/>
      <c r="AA2534" s="16"/>
      <c r="AK2534" s="16"/>
      <c r="AL2534" s="17"/>
      <c r="AN2534" s="16"/>
    </row>
    <row r="2535" spans="9:40" x14ac:dyDescent="0.4">
      <c r="I2535" s="11"/>
      <c r="J2535" s="9"/>
      <c r="K2535" s="9"/>
      <c r="O2535" s="11"/>
      <c r="P2535" s="9"/>
      <c r="Q2535" s="9"/>
      <c r="R2535" s="9"/>
      <c r="S2535" s="9"/>
      <c r="T2535" s="31"/>
      <c r="W2535" s="16"/>
      <c r="X2535" s="9"/>
      <c r="Y2535" s="9"/>
      <c r="AA2535" s="16"/>
      <c r="AK2535" s="16"/>
      <c r="AL2535" s="17"/>
      <c r="AN2535" s="16"/>
    </row>
    <row r="2536" spans="9:40" x14ac:dyDescent="0.4">
      <c r="I2536" s="11"/>
      <c r="J2536" s="9"/>
      <c r="K2536" s="9"/>
      <c r="O2536" s="11"/>
      <c r="P2536" s="9"/>
      <c r="Q2536" s="9"/>
      <c r="R2536" s="9"/>
      <c r="S2536" s="9"/>
      <c r="T2536" s="31"/>
      <c r="W2536" s="16"/>
      <c r="X2536" s="9"/>
      <c r="Y2536" s="9"/>
      <c r="AA2536" s="16"/>
      <c r="AK2536" s="16"/>
      <c r="AL2536" s="17"/>
      <c r="AN2536" s="16"/>
    </row>
    <row r="2537" spans="9:40" x14ac:dyDescent="0.4">
      <c r="I2537" s="11"/>
      <c r="J2537" s="9"/>
      <c r="K2537" s="9"/>
      <c r="O2537" s="11"/>
      <c r="P2537" s="9"/>
      <c r="Q2537" s="9"/>
      <c r="R2537" s="9"/>
      <c r="S2537" s="9"/>
      <c r="T2537" s="31"/>
      <c r="W2537" s="16"/>
      <c r="X2537" s="9"/>
      <c r="Y2537" s="9"/>
      <c r="AA2537" s="16"/>
      <c r="AK2537" s="16"/>
      <c r="AL2537" s="17"/>
      <c r="AN2537" s="16"/>
    </row>
    <row r="2538" spans="9:40" x14ac:dyDescent="0.4">
      <c r="I2538" s="11"/>
      <c r="J2538" s="9"/>
      <c r="K2538" s="9"/>
      <c r="O2538" s="11"/>
      <c r="P2538" s="9"/>
      <c r="Q2538" s="9"/>
      <c r="R2538" s="9"/>
      <c r="S2538" s="9"/>
      <c r="T2538" s="31"/>
      <c r="W2538" s="16"/>
      <c r="X2538" s="9"/>
      <c r="Y2538" s="9"/>
      <c r="AA2538" s="16"/>
      <c r="AK2538" s="16"/>
      <c r="AL2538" s="17"/>
      <c r="AN2538" s="16"/>
    </row>
    <row r="2539" spans="9:40" x14ac:dyDescent="0.4">
      <c r="I2539" s="11"/>
      <c r="J2539" s="9"/>
      <c r="K2539" s="9"/>
      <c r="O2539" s="11"/>
      <c r="P2539" s="9"/>
      <c r="Q2539" s="9"/>
      <c r="R2539" s="9"/>
      <c r="S2539" s="9"/>
      <c r="T2539" s="31"/>
      <c r="W2539" s="16"/>
      <c r="X2539" s="9"/>
      <c r="Y2539" s="9"/>
      <c r="AA2539" s="16"/>
      <c r="AK2539" s="16"/>
      <c r="AL2539" s="17"/>
      <c r="AN2539" s="16"/>
    </row>
    <row r="2540" spans="9:40" x14ac:dyDescent="0.4">
      <c r="I2540" s="11"/>
      <c r="J2540" s="9"/>
      <c r="K2540" s="9"/>
      <c r="O2540" s="11"/>
      <c r="P2540" s="9"/>
      <c r="Q2540" s="9"/>
      <c r="R2540" s="9"/>
      <c r="S2540" s="9"/>
      <c r="T2540" s="31"/>
      <c r="W2540" s="16"/>
      <c r="X2540" s="9"/>
      <c r="Y2540" s="9"/>
      <c r="AA2540" s="16"/>
      <c r="AK2540" s="16"/>
      <c r="AL2540" s="17"/>
      <c r="AN2540" s="16"/>
    </row>
    <row r="2541" spans="9:40" x14ac:dyDescent="0.4">
      <c r="I2541" s="11"/>
      <c r="J2541" s="9"/>
      <c r="K2541" s="9"/>
      <c r="O2541" s="11"/>
      <c r="P2541" s="9"/>
      <c r="Q2541" s="9"/>
      <c r="R2541" s="9"/>
      <c r="S2541" s="9"/>
      <c r="T2541" s="31"/>
      <c r="W2541" s="16"/>
      <c r="X2541" s="9"/>
      <c r="Y2541" s="9"/>
      <c r="AA2541" s="16"/>
      <c r="AK2541" s="16"/>
      <c r="AL2541" s="17"/>
      <c r="AN2541" s="16"/>
    </row>
    <row r="2542" spans="9:40" x14ac:dyDescent="0.4">
      <c r="I2542" s="11"/>
      <c r="J2542" s="9"/>
      <c r="K2542" s="9"/>
      <c r="O2542" s="11"/>
      <c r="P2542" s="9"/>
      <c r="Q2542" s="9"/>
      <c r="R2542" s="9"/>
      <c r="S2542" s="9"/>
      <c r="T2542" s="31"/>
      <c r="W2542" s="16"/>
      <c r="X2542" s="9"/>
      <c r="Y2542" s="9"/>
      <c r="AA2542" s="16"/>
      <c r="AK2542" s="16"/>
      <c r="AL2542" s="17"/>
      <c r="AN2542" s="16"/>
    </row>
    <row r="2543" spans="9:40" x14ac:dyDescent="0.4">
      <c r="I2543" s="11"/>
      <c r="J2543" s="9"/>
      <c r="K2543" s="9"/>
      <c r="O2543" s="11"/>
      <c r="P2543" s="9"/>
      <c r="Q2543" s="9"/>
      <c r="R2543" s="9"/>
      <c r="S2543" s="9"/>
      <c r="T2543" s="31"/>
      <c r="W2543" s="16"/>
      <c r="X2543" s="9"/>
      <c r="Y2543" s="9"/>
      <c r="AA2543" s="16"/>
      <c r="AK2543" s="16"/>
      <c r="AL2543" s="17"/>
      <c r="AN2543" s="16"/>
    </row>
    <row r="2544" spans="9:40" x14ac:dyDescent="0.4">
      <c r="I2544" s="11"/>
      <c r="J2544" s="9"/>
      <c r="K2544" s="9"/>
      <c r="O2544" s="11"/>
      <c r="P2544" s="9"/>
      <c r="Q2544" s="9"/>
      <c r="R2544" s="9"/>
      <c r="S2544" s="9"/>
      <c r="T2544" s="31"/>
      <c r="W2544" s="16"/>
      <c r="X2544" s="9"/>
      <c r="Y2544" s="9"/>
      <c r="AA2544" s="16"/>
      <c r="AK2544" s="16"/>
      <c r="AL2544" s="17"/>
      <c r="AN2544" s="16"/>
    </row>
    <row r="2545" spans="9:40" x14ac:dyDescent="0.4">
      <c r="I2545" s="11"/>
      <c r="J2545" s="9"/>
      <c r="K2545" s="9"/>
      <c r="O2545" s="11"/>
      <c r="P2545" s="9"/>
      <c r="Q2545" s="9"/>
      <c r="R2545" s="9"/>
      <c r="S2545" s="9"/>
      <c r="T2545" s="31"/>
      <c r="W2545" s="16"/>
      <c r="X2545" s="9"/>
      <c r="Y2545" s="9"/>
      <c r="AA2545" s="16"/>
      <c r="AK2545" s="16"/>
      <c r="AL2545" s="17"/>
      <c r="AN2545" s="16"/>
    </row>
    <row r="2546" spans="9:40" x14ac:dyDescent="0.4">
      <c r="I2546" s="11"/>
      <c r="J2546" s="9"/>
      <c r="K2546" s="9"/>
      <c r="O2546" s="11"/>
      <c r="P2546" s="9"/>
      <c r="Q2546" s="9"/>
      <c r="R2546" s="9"/>
      <c r="S2546" s="9"/>
      <c r="T2546" s="31"/>
      <c r="W2546" s="16"/>
      <c r="X2546" s="9"/>
      <c r="Y2546" s="9"/>
      <c r="AA2546" s="16"/>
      <c r="AK2546" s="16"/>
      <c r="AL2546" s="17"/>
      <c r="AN2546" s="16"/>
    </row>
    <row r="2547" spans="9:40" x14ac:dyDescent="0.4">
      <c r="I2547" s="11"/>
      <c r="J2547" s="9"/>
      <c r="K2547" s="9"/>
      <c r="O2547" s="11"/>
      <c r="P2547" s="9"/>
      <c r="Q2547" s="9"/>
      <c r="R2547" s="9"/>
      <c r="S2547" s="9"/>
      <c r="T2547" s="31"/>
      <c r="W2547" s="16"/>
      <c r="X2547" s="9"/>
      <c r="Y2547" s="9"/>
      <c r="AA2547" s="16"/>
      <c r="AK2547" s="16"/>
      <c r="AL2547" s="17"/>
      <c r="AN2547" s="16"/>
    </row>
    <row r="2548" spans="9:40" x14ac:dyDescent="0.4">
      <c r="I2548" s="11"/>
      <c r="J2548" s="9"/>
      <c r="K2548" s="9"/>
      <c r="O2548" s="11"/>
      <c r="P2548" s="9"/>
      <c r="Q2548" s="9"/>
      <c r="R2548" s="9"/>
      <c r="S2548" s="9"/>
      <c r="T2548" s="31"/>
      <c r="W2548" s="16"/>
      <c r="X2548" s="9"/>
      <c r="Y2548" s="9"/>
      <c r="AA2548" s="16"/>
      <c r="AK2548" s="16"/>
      <c r="AL2548" s="17"/>
      <c r="AN2548" s="16"/>
    </row>
    <row r="2549" spans="9:40" x14ac:dyDescent="0.4">
      <c r="I2549" s="11"/>
      <c r="J2549" s="9"/>
      <c r="K2549" s="9"/>
      <c r="O2549" s="11"/>
      <c r="P2549" s="9"/>
      <c r="Q2549" s="9"/>
      <c r="R2549" s="9"/>
      <c r="S2549" s="9"/>
      <c r="T2549" s="31"/>
      <c r="W2549" s="16"/>
      <c r="X2549" s="9"/>
      <c r="Y2549" s="9"/>
      <c r="AA2549" s="16"/>
      <c r="AK2549" s="16"/>
      <c r="AL2549" s="17"/>
      <c r="AN2549" s="16"/>
    </row>
    <row r="2550" spans="9:40" x14ac:dyDescent="0.4">
      <c r="I2550" s="11"/>
      <c r="J2550" s="9"/>
      <c r="K2550" s="9"/>
      <c r="O2550" s="11"/>
      <c r="P2550" s="9"/>
      <c r="Q2550" s="9"/>
      <c r="R2550" s="9"/>
      <c r="S2550" s="9"/>
      <c r="T2550" s="31"/>
      <c r="W2550" s="16"/>
      <c r="X2550" s="9"/>
      <c r="Y2550" s="9"/>
      <c r="AA2550" s="16"/>
      <c r="AK2550" s="16"/>
      <c r="AL2550" s="17"/>
      <c r="AN2550" s="16"/>
    </row>
    <row r="2551" spans="9:40" x14ac:dyDescent="0.4">
      <c r="I2551" s="11"/>
      <c r="J2551" s="9"/>
      <c r="K2551" s="9"/>
      <c r="O2551" s="11"/>
      <c r="P2551" s="9"/>
      <c r="Q2551" s="9"/>
      <c r="R2551" s="9"/>
      <c r="S2551" s="9"/>
      <c r="T2551" s="31"/>
      <c r="W2551" s="16"/>
      <c r="X2551" s="9"/>
      <c r="Y2551" s="9"/>
      <c r="AA2551" s="16"/>
      <c r="AK2551" s="16"/>
      <c r="AL2551" s="17"/>
      <c r="AN2551" s="16"/>
    </row>
    <row r="2552" spans="9:40" x14ac:dyDescent="0.4">
      <c r="I2552" s="11"/>
      <c r="J2552" s="9"/>
      <c r="K2552" s="9"/>
      <c r="O2552" s="11"/>
      <c r="P2552" s="9"/>
      <c r="Q2552" s="9"/>
      <c r="R2552" s="9"/>
      <c r="S2552" s="9"/>
      <c r="T2552" s="31"/>
      <c r="W2552" s="16"/>
      <c r="X2552" s="9"/>
      <c r="Y2552" s="9"/>
      <c r="AA2552" s="16"/>
      <c r="AK2552" s="16"/>
      <c r="AL2552" s="17"/>
      <c r="AN2552" s="16"/>
    </row>
    <row r="2553" spans="9:40" x14ac:dyDescent="0.4">
      <c r="I2553" s="11"/>
      <c r="J2553" s="9"/>
      <c r="K2553" s="9"/>
      <c r="O2553" s="11"/>
      <c r="P2553" s="9"/>
      <c r="Q2553" s="9"/>
      <c r="R2553" s="9"/>
      <c r="S2553" s="9"/>
      <c r="T2553" s="31"/>
      <c r="W2553" s="16"/>
      <c r="X2553" s="9"/>
      <c r="Y2553" s="9"/>
      <c r="AA2553" s="16"/>
      <c r="AK2553" s="16"/>
      <c r="AL2553" s="17"/>
      <c r="AN2553" s="16"/>
    </row>
    <row r="2554" spans="9:40" x14ac:dyDescent="0.4">
      <c r="I2554" s="11"/>
      <c r="J2554" s="9"/>
      <c r="K2554" s="9"/>
      <c r="O2554" s="11"/>
      <c r="P2554" s="9"/>
      <c r="Q2554" s="9"/>
      <c r="R2554" s="9"/>
      <c r="S2554" s="9"/>
      <c r="T2554" s="31"/>
      <c r="W2554" s="16"/>
      <c r="X2554" s="9"/>
      <c r="Y2554" s="9"/>
      <c r="AA2554" s="16"/>
      <c r="AK2554" s="16"/>
      <c r="AL2554" s="17"/>
      <c r="AN2554" s="16"/>
    </row>
    <row r="2555" spans="9:40" x14ac:dyDescent="0.4">
      <c r="I2555" s="11"/>
      <c r="J2555" s="9"/>
      <c r="K2555" s="9"/>
      <c r="O2555" s="11"/>
      <c r="P2555" s="9"/>
      <c r="Q2555" s="9"/>
      <c r="R2555" s="9"/>
      <c r="S2555" s="9"/>
      <c r="T2555" s="31"/>
      <c r="W2555" s="16"/>
      <c r="X2555" s="9"/>
      <c r="Y2555" s="9"/>
      <c r="AA2555" s="16"/>
      <c r="AK2555" s="16"/>
      <c r="AL2555" s="17"/>
      <c r="AN2555" s="16"/>
    </row>
    <row r="2556" spans="9:40" x14ac:dyDescent="0.4">
      <c r="I2556" s="11"/>
      <c r="J2556" s="9"/>
      <c r="K2556" s="9"/>
      <c r="O2556" s="11"/>
      <c r="P2556" s="9"/>
      <c r="Q2556" s="9"/>
      <c r="R2556" s="9"/>
      <c r="S2556" s="9"/>
      <c r="T2556" s="31"/>
      <c r="W2556" s="16"/>
      <c r="X2556" s="9"/>
      <c r="Y2556" s="9"/>
      <c r="AA2556" s="16"/>
      <c r="AK2556" s="16"/>
      <c r="AL2556" s="17"/>
      <c r="AN2556" s="16"/>
    </row>
    <row r="2557" spans="9:40" x14ac:dyDescent="0.4">
      <c r="I2557" s="11"/>
      <c r="J2557" s="9"/>
      <c r="K2557" s="9"/>
      <c r="O2557" s="11"/>
      <c r="P2557" s="9"/>
      <c r="Q2557" s="9"/>
      <c r="R2557" s="9"/>
      <c r="S2557" s="9"/>
      <c r="T2557" s="31"/>
      <c r="W2557" s="16"/>
      <c r="X2557" s="9"/>
      <c r="Y2557" s="9"/>
      <c r="AA2557" s="16"/>
      <c r="AK2557" s="16"/>
      <c r="AL2557" s="17"/>
      <c r="AN2557" s="16"/>
    </row>
    <row r="2558" spans="9:40" x14ac:dyDescent="0.4">
      <c r="I2558" s="11"/>
      <c r="J2558" s="9"/>
      <c r="K2558" s="9"/>
      <c r="O2558" s="11"/>
      <c r="P2558" s="9"/>
      <c r="Q2558" s="9"/>
      <c r="R2558" s="9"/>
      <c r="S2558" s="9"/>
      <c r="T2558" s="31"/>
      <c r="W2558" s="16"/>
      <c r="X2558" s="9"/>
      <c r="Y2558" s="9"/>
      <c r="AA2558" s="16"/>
      <c r="AK2558" s="16"/>
      <c r="AL2558" s="17"/>
      <c r="AN2558" s="16"/>
    </row>
    <row r="2559" spans="9:40" x14ac:dyDescent="0.4">
      <c r="I2559" s="11"/>
      <c r="J2559" s="9"/>
      <c r="K2559" s="9"/>
      <c r="O2559" s="11"/>
      <c r="P2559" s="9"/>
      <c r="Q2559" s="9"/>
      <c r="R2559" s="9"/>
      <c r="S2559" s="9"/>
      <c r="T2559" s="31"/>
      <c r="W2559" s="16"/>
      <c r="X2559" s="9"/>
      <c r="Y2559" s="9"/>
      <c r="AA2559" s="16"/>
      <c r="AK2559" s="16"/>
      <c r="AL2559" s="17"/>
      <c r="AN2559" s="16"/>
    </row>
    <row r="2560" spans="9:40" x14ac:dyDescent="0.4">
      <c r="I2560" s="11"/>
      <c r="J2560" s="9"/>
      <c r="K2560" s="9"/>
      <c r="O2560" s="11"/>
      <c r="P2560" s="9"/>
      <c r="Q2560" s="9"/>
      <c r="R2560" s="9"/>
      <c r="S2560" s="9"/>
      <c r="T2560" s="31"/>
      <c r="W2560" s="16"/>
      <c r="X2560" s="9"/>
      <c r="Y2560" s="9"/>
      <c r="AA2560" s="16"/>
      <c r="AK2560" s="16"/>
      <c r="AL2560" s="17"/>
      <c r="AN2560" s="16"/>
    </row>
    <row r="2561" spans="9:40" x14ac:dyDescent="0.4">
      <c r="I2561" s="11"/>
      <c r="J2561" s="9"/>
      <c r="K2561" s="9"/>
      <c r="O2561" s="11"/>
      <c r="P2561" s="9"/>
      <c r="Q2561" s="9"/>
      <c r="R2561" s="9"/>
      <c r="S2561" s="9"/>
      <c r="T2561" s="31"/>
      <c r="W2561" s="16"/>
      <c r="X2561" s="9"/>
      <c r="Y2561" s="9"/>
      <c r="AA2561" s="16"/>
      <c r="AK2561" s="16"/>
      <c r="AL2561" s="17"/>
      <c r="AN2561" s="16"/>
    </row>
    <row r="2562" spans="9:40" x14ac:dyDescent="0.4">
      <c r="I2562" s="11"/>
      <c r="J2562" s="9"/>
      <c r="K2562" s="9"/>
      <c r="O2562" s="11"/>
      <c r="P2562" s="9"/>
      <c r="Q2562" s="9"/>
      <c r="R2562" s="9"/>
      <c r="S2562" s="9"/>
      <c r="T2562" s="31"/>
      <c r="W2562" s="16"/>
      <c r="X2562" s="9"/>
      <c r="Y2562" s="9"/>
      <c r="AA2562" s="16"/>
      <c r="AK2562" s="16"/>
      <c r="AL2562" s="17"/>
      <c r="AN2562" s="16"/>
    </row>
    <row r="2563" spans="9:40" x14ac:dyDescent="0.4">
      <c r="I2563" s="11"/>
      <c r="J2563" s="9"/>
      <c r="K2563" s="9"/>
      <c r="O2563" s="11"/>
      <c r="P2563" s="9"/>
      <c r="Q2563" s="9"/>
      <c r="R2563" s="9"/>
      <c r="S2563" s="9"/>
      <c r="T2563" s="31"/>
      <c r="W2563" s="16"/>
      <c r="X2563" s="9"/>
      <c r="Y2563" s="9"/>
      <c r="AA2563" s="16"/>
      <c r="AK2563" s="16"/>
      <c r="AL2563" s="17"/>
      <c r="AN2563" s="16"/>
    </row>
    <row r="2564" spans="9:40" x14ac:dyDescent="0.4">
      <c r="I2564" s="11"/>
      <c r="J2564" s="9"/>
      <c r="K2564" s="9"/>
      <c r="O2564" s="11"/>
      <c r="P2564" s="9"/>
      <c r="Q2564" s="9"/>
      <c r="R2564" s="9"/>
      <c r="S2564" s="9"/>
      <c r="T2564" s="31"/>
      <c r="W2564" s="16"/>
      <c r="X2564" s="9"/>
      <c r="Y2564" s="9"/>
      <c r="AA2564" s="16"/>
      <c r="AK2564" s="16"/>
      <c r="AL2564" s="17"/>
      <c r="AN2564" s="16"/>
    </row>
    <row r="2565" spans="9:40" x14ac:dyDescent="0.4">
      <c r="I2565" s="11"/>
      <c r="J2565" s="9"/>
      <c r="K2565" s="9"/>
      <c r="O2565" s="11"/>
      <c r="P2565" s="9"/>
      <c r="Q2565" s="9"/>
      <c r="R2565" s="9"/>
      <c r="S2565" s="9"/>
      <c r="T2565" s="31"/>
      <c r="W2565" s="16"/>
      <c r="X2565" s="9"/>
      <c r="Y2565" s="9"/>
      <c r="AA2565" s="16"/>
      <c r="AK2565" s="16"/>
      <c r="AL2565" s="17"/>
      <c r="AN2565" s="16"/>
    </row>
    <row r="2566" spans="9:40" x14ac:dyDescent="0.4">
      <c r="I2566" s="11"/>
      <c r="J2566" s="9"/>
      <c r="K2566" s="9"/>
      <c r="O2566" s="11"/>
      <c r="P2566" s="9"/>
      <c r="Q2566" s="9"/>
      <c r="R2566" s="9"/>
      <c r="S2566" s="9"/>
      <c r="T2566" s="31"/>
      <c r="W2566" s="16"/>
      <c r="X2566" s="9"/>
      <c r="Y2566" s="9"/>
      <c r="AA2566" s="16"/>
      <c r="AK2566" s="16"/>
      <c r="AL2566" s="17"/>
      <c r="AN2566" s="16"/>
    </row>
    <row r="2567" spans="9:40" x14ac:dyDescent="0.4">
      <c r="I2567" s="11"/>
      <c r="J2567" s="9"/>
      <c r="K2567" s="9"/>
      <c r="O2567" s="11"/>
      <c r="P2567" s="9"/>
      <c r="Q2567" s="9"/>
      <c r="R2567" s="9"/>
      <c r="S2567" s="9"/>
      <c r="T2567" s="31"/>
      <c r="W2567" s="16"/>
      <c r="X2567" s="9"/>
      <c r="Y2567" s="9"/>
      <c r="AA2567" s="16"/>
      <c r="AK2567" s="16"/>
      <c r="AL2567" s="17"/>
      <c r="AN2567" s="16"/>
    </row>
    <row r="2568" spans="9:40" x14ac:dyDescent="0.4">
      <c r="I2568" s="11"/>
      <c r="J2568" s="9"/>
      <c r="K2568" s="9"/>
      <c r="O2568" s="11"/>
      <c r="P2568" s="9"/>
      <c r="Q2568" s="9"/>
      <c r="R2568" s="9"/>
      <c r="S2568" s="9"/>
      <c r="T2568" s="31"/>
      <c r="W2568" s="16"/>
      <c r="X2568" s="9"/>
      <c r="Y2568" s="9"/>
      <c r="AA2568" s="16"/>
      <c r="AK2568" s="16"/>
      <c r="AL2568" s="17"/>
      <c r="AN2568" s="16"/>
    </row>
    <row r="2569" spans="9:40" x14ac:dyDescent="0.4">
      <c r="I2569" s="11"/>
      <c r="J2569" s="9"/>
      <c r="K2569" s="9"/>
      <c r="O2569" s="11"/>
      <c r="P2569" s="9"/>
      <c r="Q2569" s="9"/>
      <c r="R2569" s="9"/>
      <c r="S2569" s="9"/>
      <c r="T2569" s="31"/>
      <c r="W2569" s="16"/>
      <c r="X2569" s="9"/>
      <c r="Y2569" s="9"/>
      <c r="AA2569" s="16"/>
      <c r="AK2569" s="16"/>
      <c r="AL2569" s="17"/>
      <c r="AN2569" s="16"/>
    </row>
    <row r="2570" spans="9:40" x14ac:dyDescent="0.4">
      <c r="I2570" s="11"/>
      <c r="J2570" s="9"/>
      <c r="K2570" s="9"/>
      <c r="O2570" s="11"/>
      <c r="P2570" s="9"/>
      <c r="Q2570" s="9"/>
      <c r="R2570" s="9"/>
      <c r="S2570" s="9"/>
      <c r="T2570" s="31"/>
      <c r="W2570" s="16"/>
      <c r="X2570" s="9"/>
      <c r="Y2570" s="9"/>
      <c r="AA2570" s="16"/>
      <c r="AK2570" s="16"/>
      <c r="AL2570" s="17"/>
      <c r="AN2570" s="16"/>
    </row>
    <row r="2571" spans="9:40" x14ac:dyDescent="0.4">
      <c r="I2571" s="11"/>
      <c r="J2571" s="9"/>
      <c r="K2571" s="9"/>
      <c r="O2571" s="11"/>
      <c r="P2571" s="9"/>
      <c r="Q2571" s="9"/>
      <c r="R2571" s="9"/>
      <c r="S2571" s="9"/>
      <c r="T2571" s="31"/>
      <c r="W2571" s="16"/>
      <c r="X2571" s="9"/>
      <c r="Y2571" s="9"/>
      <c r="AA2571" s="16"/>
      <c r="AK2571" s="16"/>
      <c r="AL2571" s="17"/>
      <c r="AN2571" s="16"/>
    </row>
    <row r="2572" spans="9:40" x14ac:dyDescent="0.4">
      <c r="I2572" s="11"/>
      <c r="J2572" s="9"/>
      <c r="K2572" s="9"/>
      <c r="O2572" s="11"/>
      <c r="P2572" s="9"/>
      <c r="Q2572" s="9"/>
      <c r="R2572" s="9"/>
      <c r="S2572" s="9"/>
      <c r="T2572" s="31"/>
      <c r="W2572" s="16"/>
      <c r="X2572" s="9"/>
      <c r="Y2572" s="9"/>
      <c r="AA2572" s="16"/>
      <c r="AK2572" s="16"/>
      <c r="AL2572" s="17"/>
      <c r="AN2572" s="16"/>
    </row>
    <row r="2573" spans="9:40" x14ac:dyDescent="0.4">
      <c r="I2573" s="11"/>
      <c r="J2573" s="9"/>
      <c r="K2573" s="9"/>
      <c r="O2573" s="11"/>
      <c r="P2573" s="9"/>
      <c r="Q2573" s="9"/>
      <c r="R2573" s="9"/>
      <c r="S2573" s="9"/>
      <c r="T2573" s="31"/>
      <c r="W2573" s="16"/>
      <c r="X2573" s="9"/>
      <c r="Y2573" s="9"/>
      <c r="AA2573" s="16"/>
      <c r="AK2573" s="16"/>
      <c r="AL2573" s="17"/>
      <c r="AN2573" s="16"/>
    </row>
    <row r="2574" spans="9:40" x14ac:dyDescent="0.4">
      <c r="I2574" s="11"/>
      <c r="J2574" s="9"/>
      <c r="K2574" s="9"/>
      <c r="O2574" s="11"/>
      <c r="P2574" s="9"/>
      <c r="Q2574" s="9"/>
      <c r="R2574" s="9"/>
      <c r="S2574" s="9"/>
      <c r="T2574" s="31"/>
      <c r="W2574" s="16"/>
      <c r="X2574" s="9"/>
      <c r="Y2574" s="9"/>
      <c r="AA2574" s="16"/>
      <c r="AK2574" s="16"/>
      <c r="AL2574" s="17"/>
      <c r="AN2574" s="16"/>
    </row>
    <row r="2575" spans="9:40" x14ac:dyDescent="0.4">
      <c r="I2575" s="11"/>
      <c r="J2575" s="9"/>
      <c r="K2575" s="9"/>
      <c r="O2575" s="11"/>
      <c r="P2575" s="9"/>
      <c r="Q2575" s="9"/>
      <c r="R2575" s="9"/>
      <c r="S2575" s="9"/>
      <c r="T2575" s="31"/>
      <c r="W2575" s="16"/>
      <c r="X2575" s="9"/>
      <c r="Y2575" s="9"/>
      <c r="AA2575" s="16"/>
      <c r="AK2575" s="16"/>
      <c r="AL2575" s="17"/>
      <c r="AN2575" s="16"/>
    </row>
    <row r="2576" spans="9:40" x14ac:dyDescent="0.4">
      <c r="I2576" s="11"/>
      <c r="J2576" s="9"/>
      <c r="K2576" s="9"/>
      <c r="O2576" s="11"/>
      <c r="P2576" s="9"/>
      <c r="Q2576" s="9"/>
      <c r="R2576" s="9"/>
      <c r="S2576" s="9"/>
      <c r="T2576" s="31"/>
      <c r="W2576" s="16"/>
      <c r="X2576" s="9"/>
      <c r="Y2576" s="9"/>
      <c r="AA2576" s="16"/>
      <c r="AK2576" s="16"/>
      <c r="AL2576" s="17"/>
      <c r="AN2576" s="16"/>
    </row>
    <row r="2577" spans="9:40" x14ac:dyDescent="0.4">
      <c r="I2577" s="11"/>
      <c r="J2577" s="9"/>
      <c r="K2577" s="9"/>
      <c r="O2577" s="11"/>
      <c r="P2577" s="9"/>
      <c r="Q2577" s="9"/>
      <c r="R2577" s="9"/>
      <c r="S2577" s="9"/>
      <c r="T2577" s="31"/>
      <c r="W2577" s="16"/>
      <c r="X2577" s="9"/>
      <c r="Y2577" s="9"/>
      <c r="AA2577" s="16"/>
      <c r="AK2577" s="16"/>
      <c r="AL2577" s="17"/>
      <c r="AN2577" s="16"/>
    </row>
    <row r="2578" spans="9:40" x14ac:dyDescent="0.4">
      <c r="I2578" s="11"/>
      <c r="J2578" s="9"/>
      <c r="K2578" s="9"/>
      <c r="O2578" s="11"/>
      <c r="P2578" s="9"/>
      <c r="Q2578" s="9"/>
      <c r="R2578" s="9"/>
      <c r="S2578" s="9"/>
      <c r="T2578" s="31"/>
      <c r="W2578" s="16"/>
      <c r="X2578" s="9"/>
      <c r="Y2578" s="9"/>
      <c r="AA2578" s="16"/>
      <c r="AK2578" s="16"/>
      <c r="AL2578" s="17"/>
      <c r="AN2578" s="16"/>
    </row>
    <row r="2579" spans="9:40" x14ac:dyDescent="0.4">
      <c r="I2579" s="11"/>
      <c r="J2579" s="9"/>
      <c r="K2579" s="9"/>
      <c r="O2579" s="11"/>
      <c r="P2579" s="9"/>
      <c r="Q2579" s="9"/>
      <c r="R2579" s="9"/>
      <c r="S2579" s="9"/>
      <c r="T2579" s="31"/>
      <c r="W2579" s="16"/>
      <c r="X2579" s="9"/>
      <c r="Y2579" s="9"/>
      <c r="AA2579" s="16"/>
      <c r="AK2579" s="16"/>
      <c r="AL2579" s="17"/>
      <c r="AN2579" s="16"/>
    </row>
    <row r="2580" spans="9:40" x14ac:dyDescent="0.4">
      <c r="I2580" s="11"/>
      <c r="J2580" s="9"/>
      <c r="K2580" s="9"/>
      <c r="O2580" s="11"/>
      <c r="P2580" s="9"/>
      <c r="Q2580" s="9"/>
      <c r="R2580" s="9"/>
      <c r="S2580" s="9"/>
      <c r="T2580" s="31"/>
      <c r="W2580" s="16"/>
      <c r="X2580" s="9"/>
      <c r="Y2580" s="9"/>
      <c r="AA2580" s="16"/>
      <c r="AK2580" s="16"/>
      <c r="AL2580" s="17"/>
      <c r="AN2580" s="16"/>
    </row>
    <row r="2581" spans="9:40" x14ac:dyDescent="0.4">
      <c r="I2581" s="11"/>
      <c r="J2581" s="9"/>
      <c r="K2581" s="9"/>
      <c r="O2581" s="11"/>
      <c r="P2581" s="9"/>
      <c r="Q2581" s="9"/>
      <c r="R2581" s="9"/>
      <c r="S2581" s="9"/>
      <c r="T2581" s="31"/>
      <c r="W2581" s="16"/>
      <c r="X2581" s="9"/>
      <c r="Y2581" s="9"/>
      <c r="AA2581" s="16"/>
      <c r="AK2581" s="16"/>
      <c r="AL2581" s="17"/>
      <c r="AN2581" s="16"/>
    </row>
    <row r="2582" spans="9:40" x14ac:dyDescent="0.4">
      <c r="I2582" s="11"/>
      <c r="J2582" s="9"/>
      <c r="K2582" s="9"/>
      <c r="O2582" s="11"/>
      <c r="P2582" s="9"/>
      <c r="Q2582" s="9"/>
      <c r="R2582" s="9"/>
      <c r="S2582" s="9"/>
      <c r="T2582" s="31"/>
      <c r="W2582" s="16"/>
      <c r="X2582" s="9"/>
      <c r="Y2582" s="9"/>
      <c r="AA2582" s="16"/>
      <c r="AK2582" s="16"/>
      <c r="AL2582" s="17"/>
      <c r="AN2582" s="16"/>
    </row>
    <row r="2583" spans="9:40" x14ac:dyDescent="0.4">
      <c r="I2583" s="11"/>
      <c r="J2583" s="9"/>
      <c r="K2583" s="9"/>
      <c r="O2583" s="11"/>
      <c r="P2583" s="9"/>
      <c r="Q2583" s="9"/>
      <c r="R2583" s="9"/>
      <c r="S2583" s="9"/>
      <c r="T2583" s="31"/>
      <c r="W2583" s="16"/>
      <c r="X2583" s="9"/>
      <c r="Y2583" s="9"/>
      <c r="AA2583" s="16"/>
      <c r="AK2583" s="16"/>
      <c r="AL2583" s="17"/>
      <c r="AN2583" s="16"/>
    </row>
    <row r="2584" spans="9:40" x14ac:dyDescent="0.4">
      <c r="I2584" s="11"/>
      <c r="J2584" s="9"/>
      <c r="K2584" s="9"/>
      <c r="O2584" s="11"/>
      <c r="P2584" s="9"/>
      <c r="Q2584" s="9"/>
      <c r="R2584" s="9"/>
      <c r="S2584" s="9"/>
      <c r="T2584" s="31"/>
      <c r="W2584" s="16"/>
      <c r="X2584" s="9"/>
      <c r="Y2584" s="9"/>
      <c r="AA2584" s="16"/>
      <c r="AK2584" s="16"/>
      <c r="AL2584" s="17"/>
      <c r="AN2584" s="16"/>
    </row>
    <row r="2585" spans="9:40" x14ac:dyDescent="0.4">
      <c r="I2585" s="11"/>
      <c r="J2585" s="9"/>
      <c r="K2585" s="9"/>
      <c r="O2585" s="11"/>
      <c r="P2585" s="9"/>
      <c r="Q2585" s="9"/>
      <c r="R2585" s="9"/>
      <c r="S2585" s="9"/>
      <c r="T2585" s="31"/>
      <c r="W2585" s="16"/>
      <c r="X2585" s="9"/>
      <c r="Y2585" s="9"/>
      <c r="AA2585" s="16"/>
      <c r="AK2585" s="16"/>
      <c r="AL2585" s="17"/>
      <c r="AN2585" s="16"/>
    </row>
    <row r="2586" spans="9:40" x14ac:dyDescent="0.4">
      <c r="I2586" s="11"/>
      <c r="J2586" s="9"/>
      <c r="K2586" s="9"/>
      <c r="O2586" s="11"/>
      <c r="P2586" s="9"/>
      <c r="Q2586" s="9"/>
      <c r="R2586" s="9"/>
      <c r="S2586" s="9"/>
      <c r="T2586" s="31"/>
      <c r="W2586" s="16"/>
      <c r="X2586" s="9"/>
      <c r="Y2586" s="9"/>
      <c r="AA2586" s="16"/>
      <c r="AK2586" s="16"/>
      <c r="AL2586" s="17"/>
      <c r="AN2586" s="16"/>
    </row>
    <row r="2587" spans="9:40" x14ac:dyDescent="0.4">
      <c r="I2587" s="11"/>
      <c r="J2587" s="9"/>
      <c r="K2587" s="9"/>
      <c r="O2587" s="11"/>
      <c r="P2587" s="9"/>
      <c r="Q2587" s="9"/>
      <c r="R2587" s="9"/>
      <c r="S2587" s="9"/>
      <c r="T2587" s="31"/>
      <c r="W2587" s="16"/>
      <c r="X2587" s="9"/>
      <c r="Y2587" s="9"/>
      <c r="AA2587" s="16"/>
      <c r="AK2587" s="16"/>
      <c r="AL2587" s="17"/>
      <c r="AN2587" s="16"/>
    </row>
    <row r="2588" spans="9:40" x14ac:dyDescent="0.4">
      <c r="I2588" s="11"/>
      <c r="J2588" s="9"/>
      <c r="K2588" s="9"/>
      <c r="O2588" s="11"/>
      <c r="P2588" s="9"/>
      <c r="Q2588" s="9"/>
      <c r="R2588" s="9"/>
      <c r="S2588" s="9"/>
      <c r="T2588" s="31"/>
      <c r="W2588" s="16"/>
      <c r="X2588" s="9"/>
      <c r="Y2588" s="9"/>
      <c r="AA2588" s="16"/>
      <c r="AK2588" s="16"/>
      <c r="AL2588" s="17"/>
      <c r="AN2588" s="16"/>
    </row>
    <row r="2589" spans="9:40" x14ac:dyDescent="0.4">
      <c r="I2589" s="11"/>
      <c r="J2589" s="9"/>
      <c r="K2589" s="9"/>
      <c r="O2589" s="11"/>
      <c r="P2589" s="9"/>
      <c r="Q2589" s="9"/>
      <c r="R2589" s="9"/>
      <c r="S2589" s="9"/>
      <c r="T2589" s="31"/>
      <c r="W2589" s="16"/>
      <c r="X2589" s="9"/>
      <c r="Y2589" s="9"/>
      <c r="AA2589" s="16"/>
      <c r="AK2589" s="16"/>
      <c r="AL2589" s="17"/>
      <c r="AN2589" s="16"/>
    </row>
    <row r="2590" spans="9:40" x14ac:dyDescent="0.4">
      <c r="I2590" s="11"/>
      <c r="J2590" s="9"/>
      <c r="K2590" s="9"/>
      <c r="O2590" s="11"/>
      <c r="P2590" s="9"/>
      <c r="Q2590" s="9"/>
      <c r="R2590" s="9"/>
      <c r="S2590" s="9"/>
      <c r="T2590" s="31"/>
      <c r="W2590" s="16"/>
      <c r="X2590" s="9"/>
      <c r="Y2590" s="9"/>
      <c r="AA2590" s="16"/>
      <c r="AK2590" s="16"/>
      <c r="AL2590" s="17"/>
      <c r="AN2590" s="16"/>
    </row>
    <row r="2591" spans="9:40" x14ac:dyDescent="0.4">
      <c r="I2591" s="11"/>
      <c r="J2591" s="9"/>
      <c r="K2591" s="9"/>
      <c r="O2591" s="11"/>
      <c r="P2591" s="9"/>
      <c r="Q2591" s="9"/>
      <c r="R2591" s="9"/>
      <c r="S2591" s="9"/>
      <c r="T2591" s="31"/>
      <c r="W2591" s="16"/>
      <c r="X2591" s="9"/>
      <c r="Y2591" s="9"/>
      <c r="AA2591" s="16"/>
      <c r="AK2591" s="16"/>
      <c r="AL2591" s="17"/>
      <c r="AN2591" s="16"/>
    </row>
    <row r="2592" spans="9:40" x14ac:dyDescent="0.4">
      <c r="I2592" s="11"/>
      <c r="J2592" s="9"/>
      <c r="K2592" s="9"/>
      <c r="O2592" s="11"/>
      <c r="P2592" s="9"/>
      <c r="Q2592" s="9"/>
      <c r="R2592" s="9"/>
      <c r="S2592" s="9"/>
      <c r="T2592" s="31"/>
      <c r="W2592" s="16"/>
      <c r="X2592" s="9"/>
      <c r="Y2592" s="9"/>
      <c r="AA2592" s="16"/>
      <c r="AK2592" s="16"/>
      <c r="AL2592" s="17"/>
      <c r="AN2592" s="16"/>
    </row>
    <row r="2593" spans="9:40" x14ac:dyDescent="0.4">
      <c r="I2593" s="11"/>
      <c r="J2593" s="9"/>
      <c r="K2593" s="9"/>
      <c r="O2593" s="11"/>
      <c r="P2593" s="9"/>
      <c r="Q2593" s="9"/>
      <c r="R2593" s="9"/>
      <c r="S2593" s="9"/>
      <c r="T2593" s="31"/>
      <c r="W2593" s="16"/>
      <c r="X2593" s="9"/>
      <c r="Y2593" s="9"/>
      <c r="AA2593" s="16"/>
      <c r="AK2593" s="16"/>
      <c r="AL2593" s="17"/>
      <c r="AN2593" s="16"/>
    </row>
    <row r="2594" spans="9:40" x14ac:dyDescent="0.4">
      <c r="I2594" s="11"/>
      <c r="J2594" s="9"/>
      <c r="K2594" s="9"/>
      <c r="O2594" s="11"/>
      <c r="P2594" s="9"/>
      <c r="Q2594" s="9"/>
      <c r="R2594" s="9"/>
      <c r="S2594" s="9"/>
      <c r="T2594" s="31"/>
      <c r="W2594" s="16"/>
      <c r="X2594" s="9"/>
      <c r="Y2594" s="9"/>
      <c r="AA2594" s="16"/>
      <c r="AK2594" s="16"/>
      <c r="AL2594" s="17"/>
      <c r="AN2594" s="16"/>
    </row>
    <row r="2595" spans="9:40" x14ac:dyDescent="0.4">
      <c r="I2595" s="11"/>
      <c r="J2595" s="9"/>
      <c r="K2595" s="9"/>
      <c r="O2595" s="11"/>
      <c r="P2595" s="9"/>
      <c r="Q2595" s="9"/>
      <c r="R2595" s="9"/>
      <c r="S2595" s="9"/>
      <c r="T2595" s="31"/>
      <c r="W2595" s="16"/>
      <c r="X2595" s="9"/>
      <c r="Y2595" s="9"/>
      <c r="AA2595" s="16"/>
      <c r="AK2595" s="16"/>
      <c r="AL2595" s="17"/>
      <c r="AN2595" s="16"/>
    </row>
    <row r="2596" spans="9:40" x14ac:dyDescent="0.4">
      <c r="I2596" s="11"/>
      <c r="J2596" s="9"/>
      <c r="K2596" s="9"/>
      <c r="O2596" s="11"/>
      <c r="P2596" s="9"/>
      <c r="Q2596" s="9"/>
      <c r="R2596" s="9"/>
      <c r="S2596" s="9"/>
      <c r="T2596" s="31"/>
      <c r="W2596" s="16"/>
      <c r="X2596" s="9"/>
      <c r="Y2596" s="9"/>
      <c r="AA2596" s="16"/>
      <c r="AK2596" s="16"/>
      <c r="AL2596" s="17"/>
      <c r="AN2596" s="16"/>
    </row>
    <row r="2597" spans="9:40" x14ac:dyDescent="0.4">
      <c r="I2597" s="11"/>
      <c r="J2597" s="9"/>
      <c r="K2597" s="9"/>
      <c r="O2597" s="11"/>
      <c r="P2597" s="9"/>
      <c r="Q2597" s="9"/>
      <c r="R2597" s="9"/>
      <c r="S2597" s="9"/>
      <c r="T2597" s="31"/>
      <c r="W2597" s="16"/>
      <c r="X2597" s="9"/>
      <c r="Y2597" s="9"/>
      <c r="AA2597" s="16"/>
      <c r="AK2597" s="16"/>
      <c r="AL2597" s="17"/>
      <c r="AN2597" s="16"/>
    </row>
    <row r="2598" spans="9:40" x14ac:dyDescent="0.4">
      <c r="I2598" s="11"/>
      <c r="J2598" s="9"/>
      <c r="K2598" s="9"/>
      <c r="O2598" s="11"/>
      <c r="P2598" s="9"/>
      <c r="Q2598" s="9"/>
      <c r="R2598" s="9"/>
      <c r="S2598" s="9"/>
      <c r="T2598" s="31"/>
      <c r="W2598" s="16"/>
      <c r="X2598" s="9"/>
      <c r="Y2598" s="9"/>
      <c r="AA2598" s="16"/>
      <c r="AK2598" s="16"/>
      <c r="AL2598" s="17"/>
      <c r="AN2598" s="16"/>
    </row>
    <row r="2599" spans="9:40" x14ac:dyDescent="0.4">
      <c r="I2599" s="11"/>
      <c r="J2599" s="9"/>
      <c r="K2599" s="9"/>
      <c r="O2599" s="11"/>
      <c r="P2599" s="9"/>
      <c r="Q2599" s="9"/>
      <c r="R2599" s="9"/>
      <c r="S2599" s="9"/>
      <c r="T2599" s="31"/>
      <c r="W2599" s="16"/>
      <c r="X2599" s="9"/>
      <c r="Y2599" s="9"/>
      <c r="AA2599" s="16"/>
      <c r="AK2599" s="16"/>
      <c r="AL2599" s="17"/>
      <c r="AN2599" s="16"/>
    </row>
    <row r="2600" spans="9:40" x14ac:dyDescent="0.4">
      <c r="I2600" s="11"/>
      <c r="J2600" s="9"/>
      <c r="K2600" s="9"/>
      <c r="O2600" s="11"/>
      <c r="P2600" s="9"/>
      <c r="Q2600" s="9"/>
      <c r="R2600" s="9"/>
      <c r="S2600" s="9"/>
      <c r="T2600" s="31"/>
      <c r="W2600" s="16"/>
      <c r="X2600" s="9"/>
      <c r="Y2600" s="9"/>
      <c r="AA2600" s="16"/>
      <c r="AK2600" s="16"/>
      <c r="AL2600" s="17"/>
      <c r="AN2600" s="16"/>
    </row>
    <row r="2601" spans="9:40" x14ac:dyDescent="0.4">
      <c r="I2601" s="11"/>
      <c r="J2601" s="9"/>
      <c r="K2601" s="9"/>
      <c r="O2601" s="11"/>
      <c r="P2601" s="9"/>
      <c r="Q2601" s="9"/>
      <c r="R2601" s="9"/>
      <c r="S2601" s="9"/>
      <c r="T2601" s="31"/>
      <c r="W2601" s="16"/>
      <c r="X2601" s="9"/>
      <c r="Y2601" s="9"/>
      <c r="AA2601" s="16"/>
      <c r="AK2601" s="16"/>
      <c r="AL2601" s="17"/>
      <c r="AN2601" s="16"/>
    </row>
    <row r="2602" spans="9:40" x14ac:dyDescent="0.4">
      <c r="I2602" s="11"/>
      <c r="J2602" s="9"/>
      <c r="K2602" s="9"/>
      <c r="O2602" s="11"/>
      <c r="P2602" s="9"/>
      <c r="Q2602" s="9"/>
      <c r="R2602" s="9"/>
      <c r="S2602" s="9"/>
      <c r="T2602" s="31"/>
      <c r="W2602" s="16"/>
      <c r="X2602" s="9"/>
      <c r="Y2602" s="9"/>
      <c r="AA2602" s="16"/>
      <c r="AK2602" s="16"/>
      <c r="AL2602" s="17"/>
      <c r="AN2602" s="16"/>
    </row>
    <row r="2603" spans="9:40" x14ac:dyDescent="0.4">
      <c r="I2603" s="11"/>
      <c r="J2603" s="9"/>
      <c r="K2603" s="9"/>
      <c r="O2603" s="11"/>
      <c r="P2603" s="9"/>
      <c r="Q2603" s="9"/>
      <c r="R2603" s="9"/>
      <c r="S2603" s="9"/>
      <c r="T2603" s="31"/>
      <c r="W2603" s="16"/>
      <c r="X2603" s="9"/>
      <c r="Y2603" s="9"/>
      <c r="AA2603" s="16"/>
      <c r="AK2603" s="16"/>
      <c r="AL2603" s="17"/>
      <c r="AN2603" s="16"/>
    </row>
    <row r="2604" spans="9:40" x14ac:dyDescent="0.4">
      <c r="I2604" s="11"/>
      <c r="J2604" s="9"/>
      <c r="K2604" s="9"/>
      <c r="O2604" s="11"/>
      <c r="P2604" s="9"/>
      <c r="Q2604" s="9"/>
      <c r="R2604" s="9"/>
      <c r="S2604" s="9"/>
      <c r="T2604" s="31"/>
      <c r="W2604" s="16"/>
      <c r="X2604" s="9"/>
      <c r="Y2604" s="9"/>
      <c r="AA2604" s="16"/>
      <c r="AK2604" s="16"/>
      <c r="AL2604" s="17"/>
      <c r="AN2604" s="16"/>
    </row>
    <row r="2605" spans="9:40" x14ac:dyDescent="0.4">
      <c r="I2605" s="11"/>
      <c r="J2605" s="9"/>
      <c r="K2605" s="9"/>
      <c r="O2605" s="11"/>
      <c r="P2605" s="9"/>
      <c r="Q2605" s="9"/>
      <c r="R2605" s="9"/>
      <c r="S2605" s="9"/>
      <c r="T2605" s="31"/>
      <c r="W2605" s="16"/>
      <c r="X2605" s="9"/>
      <c r="Y2605" s="9"/>
      <c r="AA2605" s="16"/>
      <c r="AK2605" s="16"/>
      <c r="AL2605" s="17"/>
      <c r="AN2605" s="16"/>
    </row>
    <row r="2606" spans="9:40" x14ac:dyDescent="0.4">
      <c r="I2606" s="11"/>
      <c r="J2606" s="9"/>
      <c r="K2606" s="9"/>
      <c r="O2606" s="11"/>
      <c r="P2606" s="9"/>
      <c r="Q2606" s="9"/>
      <c r="R2606" s="9"/>
      <c r="S2606" s="9"/>
      <c r="T2606" s="31"/>
      <c r="W2606" s="16"/>
      <c r="X2606" s="9"/>
      <c r="Y2606" s="9"/>
      <c r="AA2606" s="16"/>
      <c r="AK2606" s="16"/>
      <c r="AL2606" s="17"/>
      <c r="AN2606" s="16"/>
    </row>
    <row r="2607" spans="9:40" x14ac:dyDescent="0.4">
      <c r="I2607" s="11"/>
      <c r="J2607" s="9"/>
      <c r="K2607" s="9"/>
      <c r="O2607" s="11"/>
      <c r="P2607" s="9"/>
      <c r="Q2607" s="9"/>
      <c r="R2607" s="9"/>
      <c r="S2607" s="9"/>
      <c r="T2607" s="31"/>
      <c r="W2607" s="16"/>
      <c r="X2607" s="9"/>
      <c r="Y2607" s="9"/>
      <c r="AA2607" s="16"/>
      <c r="AK2607" s="16"/>
      <c r="AL2607" s="17"/>
      <c r="AN2607" s="16"/>
    </row>
    <row r="2608" spans="9:40" x14ac:dyDescent="0.4">
      <c r="I2608" s="11"/>
      <c r="J2608" s="9"/>
      <c r="K2608" s="9"/>
      <c r="O2608" s="11"/>
      <c r="P2608" s="9"/>
      <c r="Q2608" s="9"/>
      <c r="R2608" s="9"/>
      <c r="S2608" s="9"/>
      <c r="T2608" s="31"/>
      <c r="W2608" s="16"/>
      <c r="X2608" s="9"/>
      <c r="Y2608" s="9"/>
      <c r="AA2608" s="16"/>
      <c r="AK2608" s="16"/>
      <c r="AL2608" s="17"/>
      <c r="AN2608" s="16"/>
    </row>
    <row r="2609" spans="9:40" x14ac:dyDescent="0.4">
      <c r="I2609" s="11"/>
      <c r="J2609" s="9"/>
      <c r="K2609" s="9"/>
      <c r="O2609" s="11"/>
      <c r="P2609" s="9"/>
      <c r="Q2609" s="9"/>
      <c r="R2609" s="9"/>
      <c r="S2609" s="9"/>
      <c r="T2609" s="31"/>
      <c r="W2609" s="16"/>
      <c r="X2609" s="9"/>
      <c r="Y2609" s="9"/>
      <c r="AA2609" s="16"/>
      <c r="AK2609" s="16"/>
      <c r="AL2609" s="17"/>
      <c r="AN2609" s="16"/>
    </row>
    <row r="2610" spans="9:40" x14ac:dyDescent="0.4">
      <c r="I2610" s="11"/>
      <c r="J2610" s="9"/>
      <c r="K2610" s="9"/>
      <c r="O2610" s="11"/>
      <c r="P2610" s="9"/>
      <c r="Q2610" s="9"/>
      <c r="R2610" s="9"/>
      <c r="S2610" s="9"/>
      <c r="T2610" s="31"/>
      <c r="W2610" s="16"/>
      <c r="X2610" s="9"/>
      <c r="Y2610" s="9"/>
      <c r="AA2610" s="16"/>
      <c r="AK2610" s="16"/>
      <c r="AL2610" s="17"/>
      <c r="AN2610" s="16"/>
    </row>
    <row r="2611" spans="9:40" x14ac:dyDescent="0.4">
      <c r="I2611" s="11"/>
      <c r="J2611" s="9"/>
      <c r="K2611" s="9"/>
      <c r="O2611" s="11"/>
      <c r="P2611" s="9"/>
      <c r="Q2611" s="9"/>
      <c r="R2611" s="9"/>
      <c r="S2611" s="9"/>
      <c r="T2611" s="31"/>
      <c r="W2611" s="16"/>
      <c r="X2611" s="9"/>
      <c r="Y2611" s="9"/>
      <c r="AA2611" s="16"/>
      <c r="AK2611" s="16"/>
      <c r="AL2611" s="17"/>
      <c r="AN2611" s="16"/>
    </row>
    <row r="2612" spans="9:40" x14ac:dyDescent="0.4">
      <c r="I2612" s="11"/>
      <c r="J2612" s="9"/>
      <c r="K2612" s="9"/>
      <c r="O2612" s="11"/>
      <c r="P2612" s="9"/>
      <c r="Q2612" s="9"/>
      <c r="R2612" s="9"/>
      <c r="S2612" s="9"/>
      <c r="T2612" s="31"/>
      <c r="W2612" s="16"/>
      <c r="X2612" s="9"/>
      <c r="Y2612" s="9"/>
      <c r="AA2612" s="16"/>
      <c r="AK2612" s="16"/>
      <c r="AL2612" s="17"/>
      <c r="AN2612" s="16"/>
    </row>
    <row r="2613" spans="9:40" x14ac:dyDescent="0.4">
      <c r="I2613" s="11"/>
      <c r="J2613" s="9"/>
      <c r="K2613" s="9"/>
      <c r="O2613" s="11"/>
      <c r="P2613" s="9"/>
      <c r="Q2613" s="9"/>
      <c r="R2613" s="9"/>
      <c r="S2613" s="9"/>
      <c r="T2613" s="31"/>
      <c r="W2613" s="16"/>
      <c r="X2613" s="9"/>
      <c r="Y2613" s="9"/>
      <c r="AA2613" s="16"/>
      <c r="AK2613" s="16"/>
      <c r="AL2613" s="17"/>
      <c r="AN2613" s="16"/>
    </row>
    <row r="2614" spans="9:40" x14ac:dyDescent="0.4">
      <c r="I2614" s="11"/>
      <c r="J2614" s="9"/>
      <c r="K2614" s="9"/>
      <c r="O2614" s="11"/>
      <c r="P2614" s="9"/>
      <c r="Q2614" s="9"/>
      <c r="R2614" s="9"/>
      <c r="S2614" s="9"/>
      <c r="T2614" s="31"/>
      <c r="W2614" s="16"/>
      <c r="X2614" s="9"/>
      <c r="Y2614" s="9"/>
      <c r="AA2614" s="16"/>
      <c r="AK2614" s="16"/>
      <c r="AL2614" s="17"/>
      <c r="AN2614" s="16"/>
    </row>
    <row r="2615" spans="9:40" x14ac:dyDescent="0.4">
      <c r="I2615" s="11"/>
      <c r="J2615" s="9"/>
      <c r="K2615" s="9"/>
      <c r="O2615" s="11"/>
      <c r="P2615" s="9"/>
      <c r="Q2615" s="9"/>
      <c r="R2615" s="9"/>
      <c r="S2615" s="9"/>
      <c r="T2615" s="31"/>
      <c r="W2615" s="16"/>
      <c r="X2615" s="9"/>
      <c r="Y2615" s="9"/>
      <c r="AA2615" s="16"/>
      <c r="AK2615" s="16"/>
      <c r="AL2615" s="17"/>
      <c r="AN2615" s="16"/>
    </row>
    <row r="2616" spans="9:40" x14ac:dyDescent="0.4">
      <c r="I2616" s="11"/>
      <c r="J2616" s="9"/>
      <c r="K2616" s="9"/>
      <c r="O2616" s="11"/>
      <c r="P2616" s="9"/>
      <c r="Q2616" s="9"/>
      <c r="R2616" s="9"/>
      <c r="S2616" s="9"/>
      <c r="T2616" s="31"/>
      <c r="W2616" s="16"/>
      <c r="X2616" s="9"/>
      <c r="Y2616" s="9"/>
      <c r="AA2616" s="16"/>
      <c r="AK2616" s="16"/>
      <c r="AL2616" s="17"/>
      <c r="AN2616" s="16"/>
    </row>
    <row r="2617" spans="9:40" x14ac:dyDescent="0.4">
      <c r="I2617" s="11"/>
      <c r="J2617" s="9"/>
      <c r="K2617" s="9"/>
      <c r="O2617" s="11"/>
      <c r="P2617" s="9"/>
      <c r="Q2617" s="9"/>
      <c r="R2617" s="9"/>
      <c r="S2617" s="9"/>
      <c r="T2617" s="31"/>
      <c r="W2617" s="16"/>
      <c r="X2617" s="9"/>
      <c r="Y2617" s="9"/>
      <c r="AA2617" s="16"/>
      <c r="AK2617" s="16"/>
      <c r="AL2617" s="17"/>
      <c r="AN2617" s="16"/>
    </row>
    <row r="2618" spans="9:40" x14ac:dyDescent="0.4">
      <c r="I2618" s="11"/>
      <c r="J2618" s="9"/>
      <c r="K2618" s="9"/>
      <c r="O2618" s="11"/>
      <c r="P2618" s="9"/>
      <c r="Q2618" s="9"/>
      <c r="R2618" s="9"/>
      <c r="S2618" s="9"/>
      <c r="T2618" s="31"/>
      <c r="W2618" s="16"/>
      <c r="X2618" s="9"/>
      <c r="Y2618" s="9"/>
      <c r="AA2618" s="16"/>
      <c r="AK2618" s="16"/>
      <c r="AL2618" s="17"/>
      <c r="AN2618" s="16"/>
    </row>
    <row r="2619" spans="9:40" x14ac:dyDescent="0.4">
      <c r="I2619" s="11"/>
      <c r="J2619" s="9"/>
      <c r="K2619" s="9"/>
      <c r="O2619" s="11"/>
      <c r="P2619" s="9"/>
      <c r="Q2619" s="9"/>
      <c r="R2619" s="9"/>
      <c r="S2619" s="9"/>
      <c r="T2619" s="31"/>
      <c r="W2619" s="16"/>
      <c r="X2619" s="9"/>
      <c r="Y2619" s="9"/>
      <c r="AA2619" s="16"/>
      <c r="AK2619" s="16"/>
      <c r="AL2619" s="17"/>
      <c r="AN2619" s="16"/>
    </row>
    <row r="2620" spans="9:40" x14ac:dyDescent="0.4">
      <c r="I2620" s="11"/>
      <c r="J2620" s="9"/>
      <c r="K2620" s="9"/>
      <c r="O2620" s="11"/>
      <c r="P2620" s="9"/>
      <c r="Q2620" s="9"/>
      <c r="R2620" s="9"/>
      <c r="S2620" s="9"/>
      <c r="T2620" s="31"/>
      <c r="W2620" s="16"/>
      <c r="X2620" s="9"/>
      <c r="Y2620" s="9"/>
      <c r="AA2620" s="16"/>
      <c r="AK2620" s="16"/>
      <c r="AL2620" s="17"/>
      <c r="AN2620" s="16"/>
    </row>
    <row r="2621" spans="9:40" x14ac:dyDescent="0.4">
      <c r="I2621" s="11"/>
      <c r="J2621" s="9"/>
      <c r="K2621" s="9"/>
      <c r="O2621" s="11"/>
      <c r="P2621" s="9"/>
      <c r="Q2621" s="9"/>
      <c r="R2621" s="9"/>
      <c r="S2621" s="9"/>
      <c r="T2621" s="31"/>
      <c r="W2621" s="16"/>
      <c r="X2621" s="9"/>
      <c r="Y2621" s="9"/>
      <c r="AA2621" s="16"/>
      <c r="AK2621" s="16"/>
      <c r="AL2621" s="17"/>
      <c r="AN2621" s="16"/>
    </row>
    <row r="2622" spans="9:40" x14ac:dyDescent="0.4">
      <c r="I2622" s="11"/>
      <c r="J2622" s="9"/>
      <c r="K2622" s="9"/>
      <c r="O2622" s="11"/>
      <c r="P2622" s="9"/>
      <c r="Q2622" s="9"/>
      <c r="R2622" s="9"/>
      <c r="S2622" s="9"/>
      <c r="T2622" s="31"/>
      <c r="W2622" s="16"/>
      <c r="X2622" s="9"/>
      <c r="Y2622" s="9"/>
      <c r="AA2622" s="16"/>
      <c r="AK2622" s="16"/>
      <c r="AL2622" s="17"/>
      <c r="AN2622" s="16"/>
    </row>
    <row r="2623" spans="9:40" x14ac:dyDescent="0.4">
      <c r="I2623" s="11"/>
      <c r="J2623" s="9"/>
      <c r="K2623" s="9"/>
      <c r="O2623" s="11"/>
      <c r="P2623" s="9"/>
      <c r="Q2623" s="9"/>
      <c r="R2623" s="9"/>
      <c r="S2623" s="9"/>
      <c r="T2623" s="31"/>
      <c r="W2623" s="16"/>
      <c r="X2623" s="9"/>
      <c r="Y2623" s="9"/>
      <c r="AA2623" s="16"/>
      <c r="AK2623" s="16"/>
      <c r="AL2623" s="17"/>
      <c r="AN2623" s="16"/>
    </row>
    <row r="2624" spans="9:40" x14ac:dyDescent="0.4">
      <c r="I2624" s="11"/>
      <c r="J2624" s="9"/>
      <c r="K2624" s="9"/>
      <c r="O2624" s="11"/>
      <c r="P2624" s="9"/>
      <c r="Q2624" s="9"/>
      <c r="R2624" s="9"/>
      <c r="S2624" s="9"/>
      <c r="T2624" s="31"/>
      <c r="W2624" s="16"/>
      <c r="X2624" s="9"/>
      <c r="Y2624" s="9"/>
      <c r="AA2624" s="16"/>
      <c r="AK2624" s="16"/>
      <c r="AL2624" s="17"/>
      <c r="AN2624" s="16"/>
    </row>
    <row r="2625" spans="9:40" x14ac:dyDescent="0.4">
      <c r="I2625" s="11"/>
      <c r="J2625" s="9"/>
      <c r="K2625" s="9"/>
      <c r="O2625" s="11"/>
      <c r="P2625" s="9"/>
      <c r="Q2625" s="9"/>
      <c r="R2625" s="9"/>
      <c r="S2625" s="9"/>
      <c r="T2625" s="31"/>
      <c r="W2625" s="16"/>
      <c r="X2625" s="9"/>
      <c r="Y2625" s="9"/>
      <c r="AA2625" s="16"/>
      <c r="AK2625" s="16"/>
      <c r="AL2625" s="17"/>
      <c r="AN2625" s="16"/>
    </row>
    <row r="2626" spans="9:40" x14ac:dyDescent="0.4">
      <c r="I2626" s="11"/>
      <c r="J2626" s="9"/>
      <c r="K2626" s="9"/>
      <c r="O2626" s="11"/>
      <c r="P2626" s="9"/>
      <c r="Q2626" s="9"/>
      <c r="R2626" s="9"/>
      <c r="S2626" s="9"/>
      <c r="T2626" s="31"/>
      <c r="W2626" s="16"/>
      <c r="X2626" s="9"/>
      <c r="Y2626" s="9"/>
      <c r="AA2626" s="16"/>
      <c r="AK2626" s="16"/>
      <c r="AL2626" s="17"/>
      <c r="AN2626" s="16"/>
    </row>
    <row r="2627" spans="9:40" x14ac:dyDescent="0.4">
      <c r="I2627" s="11"/>
      <c r="J2627" s="9"/>
      <c r="K2627" s="9"/>
      <c r="O2627" s="11"/>
      <c r="P2627" s="9"/>
      <c r="Q2627" s="9"/>
      <c r="R2627" s="9"/>
      <c r="S2627" s="9"/>
      <c r="T2627" s="31"/>
      <c r="W2627" s="16"/>
      <c r="X2627" s="9"/>
      <c r="Y2627" s="9"/>
      <c r="AA2627" s="16"/>
      <c r="AK2627" s="16"/>
      <c r="AL2627" s="17"/>
      <c r="AN2627" s="16"/>
    </row>
    <row r="2628" spans="9:40" x14ac:dyDescent="0.4">
      <c r="I2628" s="11"/>
      <c r="J2628" s="9"/>
      <c r="K2628" s="9"/>
      <c r="O2628" s="11"/>
      <c r="P2628" s="9"/>
      <c r="Q2628" s="9"/>
      <c r="R2628" s="9"/>
      <c r="S2628" s="9"/>
      <c r="T2628" s="31"/>
      <c r="W2628" s="16"/>
      <c r="X2628" s="9"/>
      <c r="Y2628" s="9"/>
      <c r="AA2628" s="16"/>
      <c r="AK2628" s="16"/>
      <c r="AL2628" s="17"/>
      <c r="AN2628" s="16"/>
    </row>
    <row r="2629" spans="9:40" x14ac:dyDescent="0.4">
      <c r="I2629" s="11"/>
      <c r="J2629" s="9"/>
      <c r="K2629" s="9"/>
      <c r="O2629" s="11"/>
      <c r="P2629" s="9"/>
      <c r="Q2629" s="9"/>
      <c r="R2629" s="9"/>
      <c r="S2629" s="9"/>
      <c r="T2629" s="31"/>
      <c r="W2629" s="16"/>
      <c r="X2629" s="9"/>
      <c r="Y2629" s="9"/>
      <c r="AA2629" s="16"/>
      <c r="AK2629" s="16"/>
      <c r="AL2629" s="17"/>
      <c r="AN2629" s="16"/>
    </row>
    <row r="2630" spans="9:40" x14ac:dyDescent="0.4">
      <c r="I2630" s="11"/>
      <c r="J2630" s="9"/>
      <c r="K2630" s="9"/>
      <c r="O2630" s="11"/>
      <c r="P2630" s="9"/>
      <c r="Q2630" s="9"/>
      <c r="R2630" s="9"/>
      <c r="S2630" s="9"/>
      <c r="T2630" s="31"/>
      <c r="W2630" s="16"/>
      <c r="X2630" s="9"/>
      <c r="Y2630" s="9"/>
      <c r="AA2630" s="16"/>
      <c r="AK2630" s="16"/>
      <c r="AL2630" s="17"/>
      <c r="AN2630" s="16"/>
    </row>
    <row r="2631" spans="9:40" x14ac:dyDescent="0.4">
      <c r="I2631" s="11"/>
      <c r="J2631" s="9"/>
      <c r="K2631" s="9"/>
      <c r="O2631" s="11"/>
      <c r="P2631" s="9"/>
      <c r="Q2631" s="9"/>
      <c r="R2631" s="9"/>
      <c r="S2631" s="9"/>
      <c r="T2631" s="31"/>
      <c r="W2631" s="16"/>
      <c r="X2631" s="9"/>
      <c r="Y2631" s="9"/>
      <c r="AA2631" s="16"/>
      <c r="AK2631" s="16"/>
      <c r="AL2631" s="17"/>
      <c r="AN2631" s="16"/>
    </row>
    <row r="2632" spans="9:40" x14ac:dyDescent="0.4">
      <c r="I2632" s="11"/>
      <c r="J2632" s="9"/>
      <c r="K2632" s="9"/>
      <c r="O2632" s="11"/>
      <c r="P2632" s="9"/>
      <c r="Q2632" s="9"/>
      <c r="R2632" s="9"/>
      <c r="S2632" s="9"/>
      <c r="T2632" s="31"/>
      <c r="W2632" s="16"/>
      <c r="X2632" s="9"/>
      <c r="Y2632" s="9"/>
      <c r="AA2632" s="16"/>
      <c r="AK2632" s="16"/>
      <c r="AL2632" s="17"/>
      <c r="AN2632" s="16"/>
    </row>
    <row r="2633" spans="9:40" x14ac:dyDescent="0.4">
      <c r="I2633" s="11"/>
      <c r="J2633" s="9"/>
      <c r="K2633" s="9"/>
      <c r="O2633" s="11"/>
      <c r="P2633" s="9"/>
      <c r="Q2633" s="9"/>
      <c r="R2633" s="9"/>
      <c r="S2633" s="9"/>
      <c r="T2633" s="31"/>
      <c r="W2633" s="16"/>
      <c r="X2633" s="9"/>
      <c r="Y2633" s="9"/>
      <c r="AA2633" s="16"/>
      <c r="AK2633" s="16"/>
      <c r="AL2633" s="17"/>
      <c r="AN2633" s="16"/>
    </row>
    <row r="2634" spans="9:40" x14ac:dyDescent="0.4">
      <c r="I2634" s="11"/>
      <c r="J2634" s="9"/>
      <c r="K2634" s="9"/>
      <c r="O2634" s="11"/>
      <c r="P2634" s="9"/>
      <c r="Q2634" s="9"/>
      <c r="R2634" s="9"/>
      <c r="S2634" s="9"/>
      <c r="T2634" s="31"/>
      <c r="W2634" s="16"/>
      <c r="X2634" s="9"/>
      <c r="Y2634" s="9"/>
      <c r="AA2634" s="16"/>
      <c r="AK2634" s="16"/>
      <c r="AL2634" s="17"/>
      <c r="AN2634" s="16"/>
    </row>
    <row r="2635" spans="9:40" x14ac:dyDescent="0.4">
      <c r="I2635" s="11"/>
      <c r="J2635" s="9"/>
      <c r="K2635" s="9"/>
      <c r="O2635" s="11"/>
      <c r="P2635" s="9"/>
      <c r="Q2635" s="9"/>
      <c r="R2635" s="9"/>
      <c r="S2635" s="9"/>
      <c r="T2635" s="31"/>
      <c r="W2635" s="16"/>
      <c r="X2635" s="9"/>
      <c r="Y2635" s="9"/>
      <c r="AA2635" s="16"/>
      <c r="AK2635" s="16"/>
      <c r="AL2635" s="17"/>
      <c r="AN2635" s="16"/>
    </row>
    <row r="2636" spans="9:40" x14ac:dyDescent="0.4">
      <c r="I2636" s="11"/>
      <c r="J2636" s="9"/>
      <c r="K2636" s="9"/>
      <c r="O2636" s="11"/>
      <c r="P2636" s="9"/>
      <c r="Q2636" s="9"/>
      <c r="R2636" s="9"/>
      <c r="S2636" s="9"/>
      <c r="T2636" s="31"/>
      <c r="W2636" s="16"/>
      <c r="X2636" s="9"/>
      <c r="Y2636" s="9"/>
      <c r="AA2636" s="16"/>
      <c r="AK2636" s="16"/>
      <c r="AL2636" s="17"/>
      <c r="AN2636" s="16"/>
    </row>
    <row r="2637" spans="9:40" x14ac:dyDescent="0.4">
      <c r="I2637" s="11"/>
      <c r="J2637" s="9"/>
      <c r="K2637" s="9"/>
      <c r="O2637" s="11"/>
      <c r="P2637" s="9"/>
      <c r="Q2637" s="9"/>
      <c r="R2637" s="9"/>
      <c r="S2637" s="9"/>
      <c r="T2637" s="31"/>
      <c r="W2637" s="16"/>
      <c r="X2637" s="9"/>
      <c r="Y2637" s="9"/>
      <c r="AA2637" s="16"/>
      <c r="AK2637" s="16"/>
      <c r="AL2637" s="17"/>
      <c r="AN2637" s="16"/>
    </row>
    <row r="2638" spans="9:40" x14ac:dyDescent="0.4">
      <c r="I2638" s="11"/>
      <c r="J2638" s="9"/>
      <c r="K2638" s="9"/>
      <c r="O2638" s="11"/>
      <c r="P2638" s="9"/>
      <c r="Q2638" s="9"/>
      <c r="R2638" s="9"/>
      <c r="S2638" s="9"/>
      <c r="T2638" s="31"/>
      <c r="W2638" s="16"/>
      <c r="X2638" s="9"/>
      <c r="Y2638" s="9"/>
      <c r="AA2638" s="16"/>
      <c r="AK2638" s="16"/>
      <c r="AL2638" s="17"/>
      <c r="AN2638" s="16"/>
    </row>
    <row r="2639" spans="9:40" x14ac:dyDescent="0.4">
      <c r="I2639" s="11"/>
      <c r="J2639" s="9"/>
      <c r="K2639" s="9"/>
      <c r="O2639" s="11"/>
      <c r="P2639" s="9"/>
      <c r="Q2639" s="9"/>
      <c r="R2639" s="9"/>
      <c r="S2639" s="9"/>
      <c r="T2639" s="31"/>
      <c r="W2639" s="16"/>
      <c r="X2639" s="9"/>
      <c r="Y2639" s="9"/>
      <c r="AA2639" s="16"/>
      <c r="AK2639" s="16"/>
      <c r="AL2639" s="17"/>
      <c r="AN2639" s="16"/>
    </row>
    <row r="2640" spans="9:40" x14ac:dyDescent="0.4">
      <c r="I2640" s="11"/>
      <c r="J2640" s="9"/>
      <c r="K2640" s="9"/>
      <c r="O2640" s="11"/>
      <c r="P2640" s="9"/>
      <c r="Q2640" s="9"/>
      <c r="R2640" s="9"/>
      <c r="S2640" s="9"/>
      <c r="T2640" s="31"/>
      <c r="W2640" s="16"/>
      <c r="X2640" s="9"/>
      <c r="Y2640" s="9"/>
      <c r="AA2640" s="16"/>
      <c r="AK2640" s="16"/>
      <c r="AL2640" s="17"/>
      <c r="AN2640" s="16"/>
    </row>
    <row r="2641" spans="9:40" x14ac:dyDescent="0.4">
      <c r="I2641" s="11"/>
      <c r="J2641" s="9"/>
      <c r="K2641" s="9"/>
      <c r="O2641" s="11"/>
      <c r="P2641" s="9"/>
      <c r="Q2641" s="9"/>
      <c r="R2641" s="9"/>
      <c r="S2641" s="9"/>
      <c r="T2641" s="31"/>
      <c r="W2641" s="16"/>
      <c r="X2641" s="9"/>
      <c r="Y2641" s="9"/>
      <c r="AA2641" s="16"/>
      <c r="AK2641" s="16"/>
      <c r="AL2641" s="17"/>
      <c r="AN2641" s="16"/>
    </row>
    <row r="2642" spans="9:40" x14ac:dyDescent="0.4">
      <c r="I2642" s="11"/>
      <c r="J2642" s="9"/>
      <c r="K2642" s="9"/>
      <c r="O2642" s="11"/>
      <c r="P2642" s="9"/>
      <c r="Q2642" s="9"/>
      <c r="R2642" s="9"/>
      <c r="S2642" s="9"/>
      <c r="T2642" s="31"/>
      <c r="W2642" s="16"/>
      <c r="X2642" s="9"/>
      <c r="Y2642" s="9"/>
      <c r="AA2642" s="16"/>
      <c r="AK2642" s="16"/>
      <c r="AL2642" s="17"/>
      <c r="AN2642" s="16"/>
    </row>
    <row r="2643" spans="9:40" x14ac:dyDescent="0.4">
      <c r="I2643" s="11"/>
      <c r="J2643" s="9"/>
      <c r="K2643" s="9"/>
      <c r="O2643" s="11"/>
      <c r="P2643" s="9"/>
      <c r="Q2643" s="9"/>
      <c r="R2643" s="9"/>
      <c r="S2643" s="9"/>
      <c r="T2643" s="31"/>
      <c r="W2643" s="16"/>
      <c r="X2643" s="9"/>
      <c r="Y2643" s="9"/>
      <c r="AA2643" s="16"/>
      <c r="AK2643" s="16"/>
      <c r="AL2643" s="17"/>
      <c r="AN2643" s="16"/>
    </row>
    <row r="2644" spans="9:40" x14ac:dyDescent="0.4">
      <c r="I2644" s="11"/>
      <c r="J2644" s="9"/>
      <c r="K2644" s="9"/>
      <c r="O2644" s="11"/>
      <c r="P2644" s="9"/>
      <c r="Q2644" s="9"/>
      <c r="R2644" s="9"/>
      <c r="S2644" s="9"/>
      <c r="T2644" s="31"/>
      <c r="W2644" s="16"/>
      <c r="X2644" s="9"/>
      <c r="Y2644" s="9"/>
      <c r="AA2644" s="16"/>
      <c r="AK2644" s="16"/>
      <c r="AL2644" s="17"/>
      <c r="AN2644" s="16"/>
    </row>
    <row r="2645" spans="9:40" x14ac:dyDescent="0.4">
      <c r="I2645" s="11"/>
      <c r="J2645" s="9"/>
      <c r="K2645" s="9"/>
      <c r="O2645" s="11"/>
      <c r="P2645" s="9"/>
      <c r="Q2645" s="9"/>
      <c r="R2645" s="9"/>
      <c r="S2645" s="9"/>
      <c r="T2645" s="31"/>
      <c r="W2645" s="16"/>
      <c r="X2645" s="9"/>
      <c r="Y2645" s="9"/>
      <c r="AA2645" s="16"/>
      <c r="AK2645" s="16"/>
      <c r="AL2645" s="17"/>
      <c r="AN2645" s="16"/>
    </row>
    <row r="2646" spans="9:40" x14ac:dyDescent="0.4">
      <c r="I2646" s="11"/>
      <c r="J2646" s="9"/>
      <c r="K2646" s="9"/>
      <c r="O2646" s="11"/>
      <c r="P2646" s="9"/>
      <c r="Q2646" s="9"/>
      <c r="R2646" s="9"/>
      <c r="S2646" s="9"/>
      <c r="T2646" s="31"/>
      <c r="W2646" s="16"/>
      <c r="X2646" s="9"/>
      <c r="Y2646" s="9"/>
      <c r="AA2646" s="16"/>
      <c r="AK2646" s="16"/>
      <c r="AL2646" s="17"/>
      <c r="AN2646" s="16"/>
    </row>
    <row r="2647" spans="9:40" x14ac:dyDescent="0.4">
      <c r="I2647" s="11"/>
      <c r="J2647" s="9"/>
      <c r="K2647" s="9"/>
      <c r="O2647" s="11"/>
      <c r="P2647" s="9"/>
      <c r="Q2647" s="9"/>
      <c r="R2647" s="9"/>
      <c r="S2647" s="9"/>
      <c r="T2647" s="31"/>
      <c r="W2647" s="16"/>
      <c r="X2647" s="9"/>
      <c r="Y2647" s="9"/>
      <c r="AA2647" s="16"/>
      <c r="AK2647" s="16"/>
      <c r="AL2647" s="17"/>
      <c r="AN2647" s="16"/>
    </row>
    <row r="2648" spans="9:40" x14ac:dyDescent="0.4">
      <c r="I2648" s="11"/>
      <c r="J2648" s="9"/>
      <c r="K2648" s="9"/>
      <c r="O2648" s="11"/>
      <c r="P2648" s="9"/>
      <c r="Q2648" s="9"/>
      <c r="R2648" s="9"/>
      <c r="S2648" s="9"/>
      <c r="T2648" s="31"/>
      <c r="W2648" s="16"/>
      <c r="X2648" s="9"/>
      <c r="Y2648" s="9"/>
      <c r="AA2648" s="16"/>
      <c r="AK2648" s="16"/>
      <c r="AL2648" s="17"/>
      <c r="AN2648" s="16"/>
    </row>
    <row r="2649" spans="9:40" x14ac:dyDescent="0.4">
      <c r="I2649" s="11"/>
      <c r="J2649" s="9"/>
      <c r="K2649" s="9"/>
      <c r="O2649" s="11"/>
      <c r="P2649" s="9"/>
      <c r="Q2649" s="9"/>
      <c r="R2649" s="9"/>
      <c r="S2649" s="9"/>
      <c r="T2649" s="31"/>
      <c r="W2649" s="16"/>
      <c r="X2649" s="9"/>
      <c r="Y2649" s="9"/>
      <c r="AA2649" s="16"/>
      <c r="AK2649" s="16"/>
      <c r="AL2649" s="17"/>
      <c r="AN2649" s="16"/>
    </row>
    <row r="2650" spans="9:40" x14ac:dyDescent="0.4">
      <c r="I2650" s="11"/>
      <c r="J2650" s="9"/>
      <c r="K2650" s="9"/>
      <c r="O2650" s="11"/>
      <c r="P2650" s="9"/>
      <c r="Q2650" s="9"/>
      <c r="R2650" s="9"/>
      <c r="S2650" s="9"/>
      <c r="T2650" s="31"/>
      <c r="W2650" s="16"/>
      <c r="X2650" s="9"/>
      <c r="Y2650" s="9"/>
      <c r="AA2650" s="16"/>
      <c r="AK2650" s="16"/>
      <c r="AL2650" s="17"/>
      <c r="AN2650" s="16"/>
    </row>
    <row r="2651" spans="9:40" x14ac:dyDescent="0.4">
      <c r="I2651" s="11"/>
      <c r="J2651" s="9"/>
      <c r="K2651" s="9"/>
      <c r="O2651" s="11"/>
      <c r="P2651" s="9"/>
      <c r="Q2651" s="9"/>
      <c r="R2651" s="9"/>
      <c r="S2651" s="9"/>
      <c r="T2651" s="31"/>
      <c r="W2651" s="16"/>
      <c r="X2651" s="9"/>
      <c r="Y2651" s="9"/>
      <c r="AA2651" s="16"/>
      <c r="AK2651" s="16"/>
      <c r="AL2651" s="17"/>
      <c r="AN2651" s="16"/>
    </row>
    <row r="2652" spans="9:40" x14ac:dyDescent="0.4">
      <c r="I2652" s="11"/>
      <c r="J2652" s="9"/>
      <c r="K2652" s="9"/>
      <c r="O2652" s="11"/>
      <c r="P2652" s="9"/>
      <c r="Q2652" s="9"/>
      <c r="R2652" s="9"/>
      <c r="S2652" s="9"/>
      <c r="T2652" s="31"/>
      <c r="W2652" s="16"/>
      <c r="X2652" s="9"/>
      <c r="Y2652" s="9"/>
      <c r="AA2652" s="16"/>
      <c r="AK2652" s="16"/>
      <c r="AL2652" s="17"/>
      <c r="AN2652" s="16"/>
    </row>
    <row r="2653" spans="9:40" x14ac:dyDescent="0.4">
      <c r="I2653" s="11"/>
      <c r="J2653" s="9"/>
      <c r="K2653" s="9"/>
      <c r="O2653" s="11"/>
      <c r="P2653" s="9"/>
      <c r="Q2653" s="9"/>
      <c r="R2653" s="9"/>
      <c r="S2653" s="9"/>
      <c r="T2653" s="31"/>
      <c r="W2653" s="16"/>
      <c r="X2653" s="9"/>
      <c r="Y2653" s="9"/>
      <c r="AA2653" s="16"/>
      <c r="AK2653" s="16"/>
      <c r="AL2653" s="17"/>
      <c r="AN2653" s="16"/>
    </row>
    <row r="2654" spans="9:40" x14ac:dyDescent="0.4">
      <c r="I2654" s="11"/>
      <c r="J2654" s="9"/>
      <c r="K2654" s="9"/>
      <c r="O2654" s="11"/>
      <c r="P2654" s="9"/>
      <c r="Q2654" s="9"/>
      <c r="R2654" s="9"/>
      <c r="S2654" s="9"/>
      <c r="T2654" s="31"/>
      <c r="W2654" s="16"/>
      <c r="X2654" s="9"/>
      <c r="Y2654" s="9"/>
      <c r="AA2654" s="16"/>
      <c r="AK2654" s="16"/>
      <c r="AL2654" s="17"/>
      <c r="AN2654" s="16"/>
    </row>
    <row r="2655" spans="9:40" x14ac:dyDescent="0.4">
      <c r="I2655" s="11"/>
      <c r="J2655" s="9"/>
      <c r="K2655" s="9"/>
      <c r="O2655" s="11"/>
      <c r="P2655" s="9"/>
      <c r="Q2655" s="9"/>
      <c r="R2655" s="9"/>
      <c r="S2655" s="9"/>
      <c r="T2655" s="31"/>
      <c r="W2655" s="16"/>
      <c r="X2655" s="9"/>
      <c r="Y2655" s="9"/>
      <c r="AA2655" s="16"/>
      <c r="AK2655" s="16"/>
      <c r="AL2655" s="17"/>
      <c r="AN2655" s="16"/>
    </row>
    <row r="2656" spans="9:40" x14ac:dyDescent="0.4">
      <c r="I2656" s="11"/>
      <c r="J2656" s="9"/>
      <c r="K2656" s="9"/>
      <c r="O2656" s="11"/>
      <c r="P2656" s="9"/>
      <c r="Q2656" s="9"/>
      <c r="R2656" s="9"/>
      <c r="S2656" s="9"/>
      <c r="T2656" s="31"/>
      <c r="W2656" s="16"/>
      <c r="X2656" s="9"/>
      <c r="Y2656" s="9"/>
      <c r="AA2656" s="16"/>
      <c r="AK2656" s="16"/>
      <c r="AL2656" s="17"/>
      <c r="AN2656" s="16"/>
    </row>
    <row r="2657" spans="9:40" x14ac:dyDescent="0.4">
      <c r="I2657" s="11"/>
      <c r="J2657" s="9"/>
      <c r="K2657" s="9"/>
      <c r="O2657" s="11"/>
      <c r="P2657" s="9"/>
      <c r="Q2657" s="9"/>
      <c r="R2657" s="9"/>
      <c r="S2657" s="9"/>
      <c r="T2657" s="31"/>
      <c r="W2657" s="16"/>
      <c r="X2657" s="9"/>
      <c r="Y2657" s="9"/>
      <c r="AA2657" s="16"/>
      <c r="AK2657" s="16"/>
      <c r="AL2657" s="17"/>
      <c r="AN2657" s="16"/>
    </row>
    <row r="2658" spans="9:40" x14ac:dyDescent="0.4">
      <c r="I2658" s="11"/>
      <c r="J2658" s="9"/>
      <c r="K2658" s="9"/>
      <c r="O2658" s="11"/>
      <c r="P2658" s="9"/>
      <c r="Q2658" s="9"/>
      <c r="R2658" s="9"/>
      <c r="S2658" s="9"/>
      <c r="T2658" s="31"/>
      <c r="W2658" s="16"/>
      <c r="X2658" s="9"/>
      <c r="Y2658" s="9"/>
      <c r="AA2658" s="16"/>
      <c r="AK2658" s="16"/>
      <c r="AL2658" s="17"/>
      <c r="AN2658" s="16"/>
    </row>
    <row r="2659" spans="9:40" x14ac:dyDescent="0.4">
      <c r="I2659" s="11"/>
      <c r="J2659" s="9"/>
      <c r="K2659" s="9"/>
      <c r="O2659" s="11"/>
      <c r="P2659" s="9"/>
      <c r="Q2659" s="9"/>
      <c r="R2659" s="9"/>
      <c r="S2659" s="9"/>
      <c r="T2659" s="31"/>
      <c r="W2659" s="16"/>
      <c r="X2659" s="9"/>
      <c r="Y2659" s="9"/>
      <c r="AA2659" s="16"/>
      <c r="AK2659" s="16"/>
      <c r="AL2659" s="17"/>
      <c r="AN2659" s="16"/>
    </row>
    <row r="2660" spans="9:40" x14ac:dyDescent="0.4">
      <c r="I2660" s="11"/>
      <c r="J2660" s="9"/>
      <c r="K2660" s="9"/>
      <c r="O2660" s="11"/>
      <c r="P2660" s="9"/>
      <c r="Q2660" s="9"/>
      <c r="R2660" s="9"/>
      <c r="S2660" s="9"/>
      <c r="T2660" s="31"/>
      <c r="W2660" s="16"/>
      <c r="X2660" s="9"/>
      <c r="Y2660" s="9"/>
      <c r="AA2660" s="16"/>
      <c r="AK2660" s="16"/>
      <c r="AL2660" s="17"/>
      <c r="AN2660" s="16"/>
    </row>
    <row r="2661" spans="9:40" x14ac:dyDescent="0.4">
      <c r="I2661" s="11"/>
      <c r="J2661" s="9"/>
      <c r="K2661" s="9"/>
      <c r="O2661" s="11"/>
      <c r="P2661" s="9"/>
      <c r="Q2661" s="9"/>
      <c r="R2661" s="9"/>
      <c r="S2661" s="9"/>
      <c r="T2661" s="31"/>
      <c r="W2661" s="16"/>
      <c r="X2661" s="9"/>
      <c r="Y2661" s="9"/>
      <c r="AA2661" s="16"/>
      <c r="AK2661" s="16"/>
      <c r="AL2661" s="17"/>
      <c r="AN2661" s="16"/>
    </row>
    <row r="2662" spans="9:40" x14ac:dyDescent="0.4">
      <c r="I2662" s="11"/>
      <c r="J2662" s="9"/>
      <c r="K2662" s="9"/>
      <c r="O2662" s="11"/>
      <c r="P2662" s="9"/>
      <c r="Q2662" s="9"/>
      <c r="R2662" s="9"/>
      <c r="S2662" s="9"/>
      <c r="T2662" s="31"/>
      <c r="W2662" s="16"/>
      <c r="X2662" s="9"/>
      <c r="Y2662" s="9"/>
      <c r="AA2662" s="16"/>
      <c r="AK2662" s="16"/>
      <c r="AL2662" s="17"/>
      <c r="AN2662" s="16"/>
    </row>
    <row r="2663" spans="9:40" x14ac:dyDescent="0.4">
      <c r="I2663" s="11"/>
      <c r="J2663" s="9"/>
      <c r="K2663" s="9"/>
      <c r="O2663" s="11"/>
      <c r="P2663" s="9"/>
      <c r="Q2663" s="9"/>
      <c r="R2663" s="9"/>
      <c r="S2663" s="9"/>
      <c r="T2663" s="31"/>
      <c r="W2663" s="16"/>
      <c r="X2663" s="9"/>
      <c r="Y2663" s="9"/>
      <c r="AA2663" s="16"/>
      <c r="AK2663" s="16"/>
      <c r="AL2663" s="17"/>
      <c r="AN2663" s="16"/>
    </row>
    <row r="2664" spans="9:40" x14ac:dyDescent="0.4">
      <c r="I2664" s="11"/>
      <c r="J2664" s="9"/>
      <c r="K2664" s="9"/>
      <c r="O2664" s="11"/>
      <c r="P2664" s="9"/>
      <c r="Q2664" s="9"/>
      <c r="R2664" s="9"/>
      <c r="S2664" s="9"/>
      <c r="T2664" s="31"/>
      <c r="W2664" s="16"/>
      <c r="X2664" s="9"/>
      <c r="Y2664" s="9"/>
      <c r="AA2664" s="16"/>
      <c r="AK2664" s="16"/>
      <c r="AL2664" s="17"/>
      <c r="AN2664" s="16"/>
    </row>
    <row r="2665" spans="9:40" x14ac:dyDescent="0.4">
      <c r="I2665" s="11"/>
      <c r="J2665" s="9"/>
      <c r="K2665" s="9"/>
      <c r="O2665" s="11"/>
      <c r="P2665" s="9"/>
      <c r="Q2665" s="9"/>
      <c r="R2665" s="9"/>
      <c r="S2665" s="9"/>
      <c r="T2665" s="31"/>
      <c r="W2665" s="16"/>
      <c r="X2665" s="9"/>
      <c r="Y2665" s="9"/>
      <c r="AA2665" s="16"/>
      <c r="AK2665" s="16"/>
      <c r="AL2665" s="17"/>
      <c r="AN2665" s="16"/>
    </row>
    <row r="2666" spans="9:40" x14ac:dyDescent="0.4">
      <c r="I2666" s="11"/>
      <c r="J2666" s="9"/>
      <c r="K2666" s="9"/>
      <c r="O2666" s="11"/>
      <c r="P2666" s="9"/>
      <c r="Q2666" s="9"/>
      <c r="R2666" s="9"/>
      <c r="S2666" s="9"/>
      <c r="T2666" s="31"/>
      <c r="W2666" s="16"/>
      <c r="X2666" s="9"/>
      <c r="Y2666" s="9"/>
      <c r="AA2666" s="16"/>
      <c r="AK2666" s="16"/>
      <c r="AL2666" s="17"/>
      <c r="AN2666" s="16"/>
    </row>
    <row r="2667" spans="9:40" x14ac:dyDescent="0.4">
      <c r="I2667" s="11"/>
      <c r="J2667" s="9"/>
      <c r="K2667" s="9"/>
      <c r="O2667" s="11"/>
      <c r="P2667" s="9"/>
      <c r="Q2667" s="9"/>
      <c r="R2667" s="9"/>
      <c r="S2667" s="9"/>
      <c r="T2667" s="31"/>
      <c r="W2667" s="16"/>
      <c r="X2667" s="9"/>
      <c r="Y2667" s="9"/>
      <c r="AA2667" s="16"/>
      <c r="AK2667" s="16"/>
      <c r="AL2667" s="17"/>
      <c r="AN2667" s="16"/>
    </row>
    <row r="2668" spans="9:40" x14ac:dyDescent="0.4">
      <c r="I2668" s="11"/>
      <c r="J2668" s="9"/>
      <c r="K2668" s="9"/>
      <c r="O2668" s="11"/>
      <c r="P2668" s="9"/>
      <c r="Q2668" s="9"/>
      <c r="R2668" s="9"/>
      <c r="S2668" s="9"/>
      <c r="T2668" s="31"/>
      <c r="W2668" s="16"/>
      <c r="X2668" s="9"/>
      <c r="Y2668" s="9"/>
      <c r="AA2668" s="16"/>
      <c r="AK2668" s="16"/>
      <c r="AL2668" s="17"/>
      <c r="AN2668" s="16"/>
    </row>
    <row r="2669" spans="9:40" x14ac:dyDescent="0.4">
      <c r="I2669" s="11"/>
      <c r="J2669" s="9"/>
      <c r="K2669" s="9"/>
      <c r="O2669" s="11"/>
      <c r="P2669" s="9"/>
      <c r="Q2669" s="9"/>
      <c r="R2669" s="9"/>
      <c r="S2669" s="9"/>
      <c r="T2669" s="31"/>
      <c r="W2669" s="16"/>
      <c r="X2669" s="9"/>
      <c r="Y2669" s="9"/>
      <c r="AA2669" s="16"/>
      <c r="AK2669" s="16"/>
      <c r="AL2669" s="17"/>
      <c r="AN2669" s="16"/>
    </row>
    <row r="2670" spans="9:40" x14ac:dyDescent="0.4">
      <c r="I2670" s="11"/>
      <c r="J2670" s="9"/>
      <c r="K2670" s="9"/>
      <c r="O2670" s="11"/>
      <c r="P2670" s="9"/>
      <c r="Q2670" s="9"/>
      <c r="R2670" s="9"/>
      <c r="S2670" s="9"/>
      <c r="T2670" s="31"/>
      <c r="W2670" s="16"/>
      <c r="X2670" s="9"/>
      <c r="Y2670" s="9"/>
      <c r="AA2670" s="16"/>
      <c r="AK2670" s="16"/>
      <c r="AL2670" s="17"/>
      <c r="AN2670" s="16"/>
    </row>
    <row r="2671" spans="9:40" x14ac:dyDescent="0.4">
      <c r="I2671" s="11"/>
      <c r="J2671" s="9"/>
      <c r="K2671" s="9"/>
      <c r="O2671" s="11"/>
      <c r="P2671" s="9"/>
      <c r="Q2671" s="9"/>
      <c r="R2671" s="9"/>
      <c r="S2671" s="9"/>
      <c r="T2671" s="31"/>
      <c r="W2671" s="16"/>
      <c r="X2671" s="9"/>
      <c r="Y2671" s="9"/>
      <c r="AA2671" s="16"/>
      <c r="AK2671" s="16"/>
      <c r="AL2671" s="17"/>
      <c r="AN2671" s="16"/>
    </row>
    <row r="2672" spans="9:40" x14ac:dyDescent="0.4">
      <c r="I2672" s="11"/>
      <c r="J2672" s="9"/>
      <c r="K2672" s="9"/>
      <c r="O2672" s="11"/>
      <c r="P2672" s="9"/>
      <c r="Q2672" s="9"/>
      <c r="R2672" s="9"/>
      <c r="S2672" s="9"/>
      <c r="T2672" s="31"/>
      <c r="W2672" s="16"/>
      <c r="X2672" s="9"/>
      <c r="Y2672" s="9"/>
      <c r="AA2672" s="16"/>
      <c r="AK2672" s="16"/>
      <c r="AL2672" s="17"/>
      <c r="AN2672" s="16"/>
    </row>
    <row r="2673" spans="9:40" x14ac:dyDescent="0.4">
      <c r="I2673" s="11"/>
      <c r="J2673" s="9"/>
      <c r="K2673" s="9"/>
      <c r="O2673" s="11"/>
      <c r="P2673" s="9"/>
      <c r="Q2673" s="9"/>
      <c r="R2673" s="9"/>
      <c r="S2673" s="9"/>
      <c r="T2673" s="31"/>
      <c r="W2673" s="16"/>
      <c r="X2673" s="9"/>
      <c r="Y2673" s="9"/>
      <c r="AA2673" s="16"/>
      <c r="AK2673" s="16"/>
      <c r="AL2673" s="17"/>
      <c r="AN2673" s="16"/>
    </row>
    <row r="2674" spans="9:40" x14ac:dyDescent="0.4">
      <c r="I2674" s="11"/>
      <c r="J2674" s="9"/>
      <c r="K2674" s="9"/>
      <c r="O2674" s="11"/>
      <c r="P2674" s="9"/>
      <c r="Q2674" s="9"/>
      <c r="R2674" s="9"/>
      <c r="S2674" s="9"/>
      <c r="T2674" s="31"/>
      <c r="W2674" s="16"/>
      <c r="X2674" s="9"/>
      <c r="Y2674" s="9"/>
      <c r="AA2674" s="16"/>
      <c r="AK2674" s="16"/>
      <c r="AL2674" s="17"/>
      <c r="AN2674" s="16"/>
    </row>
    <row r="2675" spans="9:40" x14ac:dyDescent="0.4">
      <c r="I2675" s="11"/>
      <c r="J2675" s="9"/>
      <c r="K2675" s="9"/>
      <c r="O2675" s="11"/>
      <c r="P2675" s="9"/>
      <c r="Q2675" s="9"/>
      <c r="R2675" s="9"/>
      <c r="S2675" s="9"/>
      <c r="T2675" s="31"/>
      <c r="W2675" s="16"/>
      <c r="X2675" s="9"/>
      <c r="Y2675" s="9"/>
      <c r="AA2675" s="16"/>
      <c r="AK2675" s="16"/>
      <c r="AL2675" s="17"/>
      <c r="AN2675" s="16"/>
    </row>
    <row r="2676" spans="9:40" x14ac:dyDescent="0.4">
      <c r="I2676" s="11"/>
      <c r="J2676" s="9"/>
      <c r="K2676" s="9"/>
      <c r="O2676" s="11"/>
      <c r="P2676" s="9"/>
      <c r="Q2676" s="9"/>
      <c r="R2676" s="9"/>
      <c r="S2676" s="9"/>
      <c r="T2676" s="31"/>
      <c r="W2676" s="16"/>
      <c r="X2676" s="9"/>
      <c r="Y2676" s="9"/>
      <c r="AA2676" s="16"/>
      <c r="AK2676" s="16"/>
      <c r="AL2676" s="17"/>
      <c r="AN2676" s="16"/>
    </row>
    <row r="2677" spans="9:40" x14ac:dyDescent="0.4">
      <c r="I2677" s="11"/>
      <c r="J2677" s="9"/>
      <c r="K2677" s="9"/>
      <c r="O2677" s="11"/>
      <c r="P2677" s="9"/>
      <c r="Q2677" s="9"/>
      <c r="R2677" s="9"/>
      <c r="S2677" s="9"/>
      <c r="T2677" s="31"/>
      <c r="W2677" s="16"/>
      <c r="X2677" s="9"/>
      <c r="Y2677" s="9"/>
      <c r="AA2677" s="16"/>
      <c r="AK2677" s="16"/>
      <c r="AL2677" s="17"/>
      <c r="AN2677" s="16"/>
    </row>
    <row r="2678" spans="9:40" x14ac:dyDescent="0.4">
      <c r="I2678" s="11"/>
      <c r="J2678" s="9"/>
      <c r="K2678" s="9"/>
      <c r="O2678" s="11"/>
      <c r="P2678" s="9"/>
      <c r="Q2678" s="9"/>
      <c r="R2678" s="9"/>
      <c r="S2678" s="9"/>
      <c r="T2678" s="31"/>
      <c r="W2678" s="16"/>
      <c r="X2678" s="9"/>
      <c r="Y2678" s="9"/>
      <c r="AA2678" s="16"/>
      <c r="AK2678" s="16"/>
      <c r="AL2678" s="17"/>
      <c r="AN2678" s="16"/>
    </row>
    <row r="2679" spans="9:40" x14ac:dyDescent="0.4">
      <c r="I2679" s="11"/>
      <c r="J2679" s="9"/>
      <c r="K2679" s="9"/>
      <c r="O2679" s="11"/>
      <c r="P2679" s="9"/>
      <c r="Q2679" s="9"/>
      <c r="R2679" s="9"/>
      <c r="S2679" s="9"/>
      <c r="T2679" s="31"/>
      <c r="W2679" s="16"/>
      <c r="X2679" s="9"/>
      <c r="Y2679" s="9"/>
      <c r="AA2679" s="16"/>
      <c r="AK2679" s="16"/>
      <c r="AL2679" s="17"/>
      <c r="AN2679" s="16"/>
    </row>
    <row r="2680" spans="9:40" x14ac:dyDescent="0.4">
      <c r="I2680" s="11"/>
      <c r="J2680" s="9"/>
      <c r="K2680" s="9"/>
      <c r="O2680" s="11"/>
      <c r="P2680" s="9"/>
      <c r="Q2680" s="9"/>
      <c r="R2680" s="9"/>
      <c r="S2680" s="9"/>
      <c r="T2680" s="31"/>
      <c r="W2680" s="16"/>
      <c r="X2680" s="9"/>
      <c r="Y2680" s="9"/>
      <c r="AA2680" s="16"/>
      <c r="AK2680" s="16"/>
      <c r="AL2680" s="17"/>
      <c r="AN2680" s="16"/>
    </row>
    <row r="2681" spans="9:40" x14ac:dyDescent="0.4">
      <c r="I2681" s="11"/>
      <c r="J2681" s="9"/>
      <c r="K2681" s="9"/>
      <c r="O2681" s="11"/>
      <c r="P2681" s="9"/>
      <c r="Q2681" s="9"/>
      <c r="R2681" s="9"/>
      <c r="S2681" s="9"/>
      <c r="T2681" s="31"/>
      <c r="W2681" s="16"/>
      <c r="X2681" s="9"/>
      <c r="Y2681" s="9"/>
      <c r="AA2681" s="16"/>
      <c r="AK2681" s="16"/>
      <c r="AL2681" s="17"/>
      <c r="AN2681" s="16"/>
    </row>
    <row r="2682" spans="9:40" x14ac:dyDescent="0.4">
      <c r="I2682" s="11"/>
      <c r="J2682" s="9"/>
      <c r="K2682" s="9"/>
      <c r="O2682" s="11"/>
      <c r="P2682" s="9"/>
      <c r="Q2682" s="9"/>
      <c r="R2682" s="9"/>
      <c r="S2682" s="9"/>
      <c r="T2682" s="31"/>
      <c r="W2682" s="16"/>
      <c r="X2682" s="9"/>
      <c r="Y2682" s="9"/>
      <c r="AA2682" s="16"/>
      <c r="AK2682" s="16"/>
      <c r="AL2682" s="17"/>
      <c r="AN2682" s="16"/>
    </row>
    <row r="2683" spans="9:40" x14ac:dyDescent="0.4">
      <c r="I2683" s="11"/>
      <c r="J2683" s="9"/>
      <c r="K2683" s="9"/>
      <c r="O2683" s="11"/>
      <c r="P2683" s="9"/>
      <c r="Q2683" s="9"/>
      <c r="R2683" s="9"/>
      <c r="S2683" s="9"/>
      <c r="T2683" s="31"/>
      <c r="W2683" s="16"/>
      <c r="X2683" s="9"/>
      <c r="Y2683" s="9"/>
      <c r="AA2683" s="16"/>
      <c r="AK2683" s="16"/>
      <c r="AL2683" s="17"/>
      <c r="AN2683" s="16"/>
    </row>
    <row r="2684" spans="9:40" x14ac:dyDescent="0.4">
      <c r="I2684" s="11"/>
      <c r="J2684" s="9"/>
      <c r="K2684" s="9"/>
      <c r="O2684" s="11"/>
      <c r="P2684" s="9"/>
      <c r="Q2684" s="9"/>
      <c r="R2684" s="9"/>
      <c r="S2684" s="9"/>
      <c r="T2684" s="31"/>
      <c r="W2684" s="16"/>
      <c r="X2684" s="9"/>
      <c r="Y2684" s="9"/>
      <c r="AA2684" s="16"/>
      <c r="AK2684" s="16"/>
      <c r="AL2684" s="17"/>
      <c r="AN2684" s="16"/>
    </row>
    <row r="2685" spans="9:40" x14ac:dyDescent="0.4">
      <c r="I2685" s="11"/>
      <c r="J2685" s="9"/>
      <c r="K2685" s="9"/>
      <c r="O2685" s="11"/>
      <c r="P2685" s="9"/>
      <c r="Q2685" s="9"/>
      <c r="R2685" s="9"/>
      <c r="S2685" s="9"/>
      <c r="T2685" s="31"/>
      <c r="W2685" s="16"/>
      <c r="X2685" s="9"/>
      <c r="Y2685" s="9"/>
      <c r="AA2685" s="16"/>
      <c r="AK2685" s="16"/>
      <c r="AL2685" s="17"/>
      <c r="AN2685" s="16"/>
    </row>
    <row r="2686" spans="9:40" x14ac:dyDescent="0.4">
      <c r="I2686" s="11"/>
      <c r="J2686" s="9"/>
      <c r="K2686" s="9"/>
      <c r="O2686" s="11"/>
      <c r="P2686" s="9"/>
      <c r="Q2686" s="9"/>
      <c r="R2686" s="9"/>
      <c r="S2686" s="9"/>
      <c r="T2686" s="31"/>
      <c r="W2686" s="16"/>
      <c r="X2686" s="9"/>
      <c r="Y2686" s="9"/>
      <c r="AA2686" s="16"/>
      <c r="AK2686" s="16"/>
      <c r="AL2686" s="17"/>
      <c r="AN2686" s="16"/>
    </row>
    <row r="2687" spans="9:40" x14ac:dyDescent="0.4">
      <c r="I2687" s="11"/>
      <c r="J2687" s="9"/>
      <c r="K2687" s="9"/>
      <c r="O2687" s="11"/>
      <c r="P2687" s="9"/>
      <c r="Q2687" s="9"/>
      <c r="R2687" s="9"/>
      <c r="S2687" s="9"/>
      <c r="T2687" s="31"/>
      <c r="W2687" s="16"/>
      <c r="X2687" s="9"/>
      <c r="Y2687" s="9"/>
      <c r="AA2687" s="16"/>
      <c r="AK2687" s="16"/>
      <c r="AL2687" s="17"/>
      <c r="AN2687" s="16"/>
    </row>
    <row r="2688" spans="9:40" x14ac:dyDescent="0.4">
      <c r="I2688" s="11"/>
      <c r="J2688" s="9"/>
      <c r="K2688" s="9"/>
      <c r="O2688" s="11"/>
      <c r="P2688" s="9"/>
      <c r="Q2688" s="9"/>
      <c r="R2688" s="9"/>
      <c r="S2688" s="9"/>
      <c r="T2688" s="31"/>
      <c r="W2688" s="16"/>
      <c r="X2688" s="9"/>
      <c r="Y2688" s="9"/>
      <c r="AA2688" s="16"/>
      <c r="AK2688" s="16"/>
      <c r="AL2688" s="17"/>
      <c r="AN2688" s="16"/>
    </row>
    <row r="2689" spans="9:40" x14ac:dyDescent="0.4">
      <c r="I2689" s="11"/>
      <c r="J2689" s="9"/>
      <c r="K2689" s="9"/>
      <c r="O2689" s="11"/>
      <c r="P2689" s="9"/>
      <c r="Q2689" s="9"/>
      <c r="R2689" s="9"/>
      <c r="S2689" s="9"/>
      <c r="T2689" s="31"/>
      <c r="W2689" s="16"/>
      <c r="X2689" s="9"/>
      <c r="Y2689" s="9"/>
      <c r="AA2689" s="16"/>
      <c r="AK2689" s="16"/>
      <c r="AL2689" s="17"/>
      <c r="AN2689" s="16"/>
    </row>
    <row r="2690" spans="9:40" x14ac:dyDescent="0.4">
      <c r="I2690" s="11"/>
      <c r="J2690" s="9"/>
      <c r="K2690" s="9"/>
      <c r="O2690" s="11"/>
      <c r="P2690" s="9"/>
      <c r="Q2690" s="9"/>
      <c r="R2690" s="9"/>
      <c r="S2690" s="9"/>
      <c r="T2690" s="31"/>
      <c r="W2690" s="16"/>
      <c r="X2690" s="9"/>
      <c r="Y2690" s="9"/>
      <c r="AA2690" s="16"/>
      <c r="AK2690" s="16"/>
      <c r="AL2690" s="17"/>
      <c r="AN2690" s="16"/>
    </row>
    <row r="2691" spans="9:40" x14ac:dyDescent="0.4">
      <c r="I2691" s="11"/>
      <c r="J2691" s="9"/>
      <c r="K2691" s="9"/>
      <c r="O2691" s="11"/>
      <c r="P2691" s="9"/>
      <c r="Q2691" s="9"/>
      <c r="R2691" s="9"/>
      <c r="S2691" s="9"/>
      <c r="T2691" s="31"/>
      <c r="W2691" s="16"/>
      <c r="X2691" s="9"/>
      <c r="Y2691" s="9"/>
      <c r="AA2691" s="16"/>
      <c r="AK2691" s="16"/>
      <c r="AL2691" s="17"/>
      <c r="AN2691" s="16"/>
    </row>
    <row r="2692" spans="9:40" x14ac:dyDescent="0.4">
      <c r="I2692" s="11"/>
      <c r="J2692" s="9"/>
      <c r="K2692" s="9"/>
      <c r="O2692" s="11"/>
      <c r="P2692" s="9"/>
      <c r="Q2692" s="9"/>
      <c r="R2692" s="9"/>
      <c r="S2692" s="9"/>
      <c r="T2692" s="31"/>
      <c r="W2692" s="16"/>
      <c r="X2692" s="9"/>
      <c r="Y2692" s="9"/>
      <c r="AA2692" s="16"/>
      <c r="AK2692" s="16"/>
      <c r="AL2692" s="17"/>
      <c r="AN2692" s="16"/>
    </row>
    <row r="2693" spans="9:40" x14ac:dyDescent="0.4">
      <c r="I2693" s="11"/>
      <c r="J2693" s="9"/>
      <c r="K2693" s="9"/>
      <c r="O2693" s="11"/>
      <c r="P2693" s="9"/>
      <c r="Q2693" s="9"/>
      <c r="R2693" s="9"/>
      <c r="S2693" s="9"/>
      <c r="T2693" s="31"/>
      <c r="W2693" s="16"/>
      <c r="X2693" s="9"/>
      <c r="Y2693" s="9"/>
      <c r="AA2693" s="16"/>
      <c r="AK2693" s="16"/>
      <c r="AL2693" s="17"/>
      <c r="AN2693" s="16"/>
    </row>
    <row r="2694" spans="9:40" x14ac:dyDescent="0.4">
      <c r="I2694" s="11"/>
      <c r="J2694" s="9"/>
      <c r="K2694" s="9"/>
      <c r="O2694" s="11"/>
      <c r="P2694" s="9"/>
      <c r="Q2694" s="9"/>
      <c r="R2694" s="9"/>
      <c r="S2694" s="9"/>
      <c r="T2694" s="31"/>
      <c r="W2694" s="16"/>
      <c r="X2694" s="9"/>
      <c r="Y2694" s="9"/>
      <c r="AA2694" s="16"/>
      <c r="AK2694" s="16"/>
      <c r="AL2694" s="17"/>
      <c r="AN2694" s="16"/>
    </row>
    <row r="2695" spans="9:40" x14ac:dyDescent="0.4">
      <c r="I2695" s="11"/>
      <c r="J2695" s="9"/>
      <c r="K2695" s="9"/>
      <c r="O2695" s="11"/>
      <c r="P2695" s="9"/>
      <c r="Q2695" s="9"/>
      <c r="R2695" s="9"/>
      <c r="S2695" s="9"/>
      <c r="T2695" s="31"/>
      <c r="W2695" s="16"/>
      <c r="X2695" s="9"/>
      <c r="Y2695" s="9"/>
      <c r="AA2695" s="16"/>
      <c r="AK2695" s="16"/>
      <c r="AL2695" s="17"/>
      <c r="AN2695" s="16"/>
    </row>
    <row r="2696" spans="9:40" x14ac:dyDescent="0.4">
      <c r="I2696" s="11"/>
      <c r="J2696" s="9"/>
      <c r="K2696" s="9"/>
      <c r="O2696" s="11"/>
      <c r="P2696" s="9"/>
      <c r="Q2696" s="9"/>
      <c r="R2696" s="9"/>
      <c r="S2696" s="9"/>
      <c r="T2696" s="31"/>
      <c r="W2696" s="16"/>
      <c r="X2696" s="9"/>
      <c r="Y2696" s="9"/>
      <c r="AA2696" s="16"/>
      <c r="AK2696" s="16"/>
      <c r="AL2696" s="17"/>
      <c r="AN2696" s="16"/>
    </row>
    <row r="2697" spans="9:40" x14ac:dyDescent="0.4">
      <c r="I2697" s="11"/>
      <c r="J2697" s="9"/>
      <c r="K2697" s="9"/>
      <c r="O2697" s="11"/>
      <c r="P2697" s="9"/>
      <c r="Q2697" s="9"/>
      <c r="R2697" s="9"/>
      <c r="S2697" s="9"/>
      <c r="T2697" s="31"/>
      <c r="W2697" s="16"/>
      <c r="X2697" s="9"/>
      <c r="Y2697" s="9"/>
      <c r="AA2697" s="16"/>
      <c r="AK2697" s="16"/>
      <c r="AL2697" s="17"/>
      <c r="AN2697" s="16"/>
    </row>
    <row r="2698" spans="9:40" x14ac:dyDescent="0.4">
      <c r="I2698" s="11"/>
      <c r="J2698" s="9"/>
      <c r="K2698" s="9"/>
      <c r="O2698" s="11"/>
      <c r="P2698" s="9"/>
      <c r="Q2698" s="9"/>
      <c r="R2698" s="9"/>
      <c r="S2698" s="9"/>
      <c r="T2698" s="31"/>
      <c r="W2698" s="16"/>
      <c r="X2698" s="9"/>
      <c r="Y2698" s="9"/>
      <c r="AA2698" s="16"/>
      <c r="AK2698" s="16"/>
      <c r="AL2698" s="17"/>
      <c r="AN2698" s="16"/>
    </row>
    <row r="2699" spans="9:40" x14ac:dyDescent="0.4">
      <c r="I2699" s="11"/>
      <c r="J2699" s="9"/>
      <c r="K2699" s="9"/>
      <c r="O2699" s="11"/>
      <c r="P2699" s="9"/>
      <c r="Q2699" s="9"/>
      <c r="R2699" s="9"/>
      <c r="S2699" s="9"/>
      <c r="T2699" s="31"/>
      <c r="W2699" s="16"/>
      <c r="X2699" s="9"/>
      <c r="Y2699" s="9"/>
      <c r="AA2699" s="16"/>
      <c r="AK2699" s="16"/>
      <c r="AL2699" s="17"/>
      <c r="AN2699" s="16"/>
    </row>
    <row r="2700" spans="9:40" x14ac:dyDescent="0.4">
      <c r="I2700" s="11"/>
      <c r="J2700" s="9"/>
      <c r="K2700" s="9"/>
      <c r="O2700" s="11"/>
      <c r="P2700" s="9"/>
      <c r="Q2700" s="9"/>
      <c r="R2700" s="9"/>
      <c r="S2700" s="9"/>
      <c r="T2700" s="31"/>
      <c r="W2700" s="16"/>
      <c r="X2700" s="9"/>
      <c r="Y2700" s="9"/>
      <c r="AA2700" s="16"/>
      <c r="AK2700" s="16"/>
      <c r="AL2700" s="17"/>
      <c r="AN2700" s="16"/>
    </row>
    <row r="2701" spans="9:40" x14ac:dyDescent="0.4">
      <c r="I2701" s="11"/>
      <c r="J2701" s="9"/>
      <c r="K2701" s="9"/>
      <c r="O2701" s="11"/>
      <c r="P2701" s="9"/>
      <c r="Q2701" s="9"/>
      <c r="R2701" s="9"/>
      <c r="S2701" s="9"/>
      <c r="T2701" s="31"/>
      <c r="W2701" s="16"/>
      <c r="X2701" s="9"/>
      <c r="Y2701" s="9"/>
      <c r="AA2701" s="16"/>
      <c r="AK2701" s="16"/>
      <c r="AL2701" s="17"/>
      <c r="AN2701" s="16"/>
    </row>
    <row r="2702" spans="9:40" x14ac:dyDescent="0.4">
      <c r="I2702" s="11"/>
      <c r="J2702" s="9"/>
      <c r="K2702" s="9"/>
      <c r="O2702" s="11"/>
      <c r="P2702" s="9"/>
      <c r="Q2702" s="9"/>
      <c r="R2702" s="9"/>
      <c r="S2702" s="9"/>
      <c r="T2702" s="31"/>
      <c r="W2702" s="16"/>
      <c r="X2702" s="9"/>
      <c r="Y2702" s="9"/>
      <c r="AA2702" s="16"/>
      <c r="AK2702" s="16"/>
      <c r="AL2702" s="17"/>
      <c r="AN2702" s="16"/>
    </row>
    <row r="2703" spans="9:40" x14ac:dyDescent="0.4">
      <c r="I2703" s="11"/>
      <c r="J2703" s="9"/>
      <c r="K2703" s="9"/>
      <c r="O2703" s="11"/>
      <c r="P2703" s="9"/>
      <c r="Q2703" s="9"/>
      <c r="R2703" s="9"/>
      <c r="S2703" s="9"/>
      <c r="T2703" s="31"/>
      <c r="W2703" s="16"/>
      <c r="X2703" s="9"/>
      <c r="Y2703" s="9"/>
      <c r="AA2703" s="16"/>
      <c r="AK2703" s="16"/>
      <c r="AL2703" s="17"/>
      <c r="AN2703" s="16"/>
    </row>
    <row r="2704" spans="9:40" x14ac:dyDescent="0.4">
      <c r="I2704" s="11"/>
      <c r="J2704" s="9"/>
      <c r="K2704" s="9"/>
      <c r="O2704" s="11"/>
      <c r="P2704" s="9"/>
      <c r="Q2704" s="9"/>
      <c r="R2704" s="9"/>
      <c r="S2704" s="9"/>
      <c r="T2704" s="31"/>
      <c r="W2704" s="16"/>
      <c r="X2704" s="9"/>
      <c r="Y2704" s="9"/>
      <c r="AA2704" s="16"/>
      <c r="AK2704" s="16"/>
      <c r="AL2704" s="17"/>
      <c r="AN2704" s="16"/>
    </row>
    <row r="2705" spans="9:40" x14ac:dyDescent="0.4">
      <c r="I2705" s="11"/>
      <c r="J2705" s="9"/>
      <c r="K2705" s="9"/>
      <c r="O2705" s="11"/>
      <c r="P2705" s="9"/>
      <c r="Q2705" s="9"/>
      <c r="R2705" s="9"/>
      <c r="S2705" s="9"/>
      <c r="T2705" s="31"/>
      <c r="W2705" s="16"/>
      <c r="X2705" s="9"/>
      <c r="Y2705" s="9"/>
      <c r="AA2705" s="16"/>
      <c r="AK2705" s="16"/>
      <c r="AL2705" s="17"/>
      <c r="AN2705" s="16"/>
    </row>
    <row r="2706" spans="9:40" x14ac:dyDescent="0.4">
      <c r="I2706" s="11"/>
      <c r="J2706" s="9"/>
      <c r="K2706" s="9"/>
      <c r="O2706" s="11"/>
      <c r="P2706" s="9"/>
      <c r="Q2706" s="9"/>
      <c r="R2706" s="9"/>
      <c r="S2706" s="9"/>
      <c r="T2706" s="31"/>
      <c r="W2706" s="16"/>
      <c r="X2706" s="9"/>
      <c r="Y2706" s="9"/>
      <c r="AA2706" s="16"/>
      <c r="AK2706" s="16"/>
      <c r="AL2706" s="17"/>
      <c r="AN2706" s="16"/>
    </row>
    <row r="2707" spans="9:40" x14ac:dyDescent="0.4">
      <c r="I2707" s="11"/>
      <c r="J2707" s="9"/>
      <c r="K2707" s="9"/>
      <c r="O2707" s="11"/>
      <c r="P2707" s="9"/>
      <c r="Q2707" s="9"/>
      <c r="R2707" s="9"/>
      <c r="S2707" s="9"/>
      <c r="T2707" s="31"/>
      <c r="W2707" s="16"/>
      <c r="X2707" s="9"/>
      <c r="Y2707" s="9"/>
      <c r="AA2707" s="16"/>
      <c r="AK2707" s="16"/>
      <c r="AL2707" s="17"/>
      <c r="AN2707" s="16"/>
    </row>
    <row r="2708" spans="9:40" x14ac:dyDescent="0.4">
      <c r="I2708" s="11"/>
      <c r="J2708" s="9"/>
      <c r="K2708" s="9"/>
      <c r="O2708" s="11"/>
      <c r="P2708" s="9"/>
      <c r="Q2708" s="9"/>
      <c r="R2708" s="9"/>
      <c r="S2708" s="9"/>
      <c r="T2708" s="31"/>
      <c r="W2708" s="16"/>
      <c r="X2708" s="9"/>
      <c r="Y2708" s="9"/>
      <c r="AA2708" s="16"/>
      <c r="AK2708" s="16"/>
      <c r="AL2708" s="17"/>
      <c r="AN2708" s="16"/>
    </row>
    <row r="2709" spans="9:40" x14ac:dyDescent="0.4">
      <c r="I2709" s="11"/>
      <c r="J2709" s="9"/>
      <c r="K2709" s="9"/>
      <c r="O2709" s="11"/>
      <c r="P2709" s="9"/>
      <c r="Q2709" s="9"/>
      <c r="R2709" s="9"/>
      <c r="S2709" s="9"/>
      <c r="T2709" s="31"/>
      <c r="W2709" s="16"/>
      <c r="X2709" s="9"/>
      <c r="Y2709" s="9"/>
      <c r="AA2709" s="16"/>
      <c r="AK2709" s="16"/>
      <c r="AL2709" s="17"/>
      <c r="AN2709" s="16"/>
    </row>
    <row r="2710" spans="9:40" x14ac:dyDescent="0.4">
      <c r="I2710" s="11"/>
      <c r="J2710" s="9"/>
      <c r="K2710" s="9"/>
      <c r="O2710" s="11"/>
      <c r="P2710" s="9"/>
      <c r="Q2710" s="9"/>
      <c r="R2710" s="9"/>
      <c r="S2710" s="9"/>
      <c r="T2710" s="31"/>
      <c r="W2710" s="16"/>
      <c r="X2710" s="9"/>
      <c r="Y2710" s="9"/>
      <c r="AA2710" s="16"/>
      <c r="AK2710" s="16"/>
      <c r="AL2710" s="17"/>
      <c r="AN2710" s="16"/>
    </row>
    <row r="2711" spans="9:40" x14ac:dyDescent="0.4">
      <c r="I2711" s="11"/>
      <c r="J2711" s="9"/>
      <c r="K2711" s="9"/>
      <c r="O2711" s="11"/>
      <c r="P2711" s="9"/>
      <c r="Q2711" s="9"/>
      <c r="R2711" s="9"/>
      <c r="S2711" s="9"/>
      <c r="T2711" s="31"/>
      <c r="W2711" s="16"/>
      <c r="X2711" s="9"/>
      <c r="Y2711" s="9"/>
      <c r="AA2711" s="16"/>
      <c r="AK2711" s="16"/>
      <c r="AL2711" s="17"/>
      <c r="AN2711" s="16"/>
    </row>
    <row r="2712" spans="9:40" x14ac:dyDescent="0.4">
      <c r="I2712" s="11"/>
      <c r="J2712" s="9"/>
      <c r="K2712" s="9"/>
      <c r="O2712" s="11"/>
      <c r="P2712" s="9"/>
      <c r="Q2712" s="9"/>
      <c r="R2712" s="9"/>
      <c r="S2712" s="9"/>
      <c r="T2712" s="31"/>
      <c r="W2712" s="16"/>
      <c r="X2712" s="9"/>
      <c r="Y2712" s="9"/>
      <c r="AA2712" s="16"/>
      <c r="AK2712" s="16"/>
      <c r="AL2712" s="17"/>
      <c r="AN2712" s="16"/>
    </row>
    <row r="2713" spans="9:40" x14ac:dyDescent="0.4">
      <c r="I2713" s="11"/>
      <c r="J2713" s="9"/>
      <c r="K2713" s="9"/>
      <c r="O2713" s="11"/>
      <c r="P2713" s="9"/>
      <c r="Q2713" s="9"/>
      <c r="R2713" s="9"/>
      <c r="S2713" s="9"/>
      <c r="T2713" s="31"/>
      <c r="W2713" s="16"/>
      <c r="X2713" s="9"/>
      <c r="Y2713" s="9"/>
      <c r="AA2713" s="16"/>
      <c r="AK2713" s="16"/>
      <c r="AL2713" s="17"/>
      <c r="AN2713" s="16"/>
    </row>
    <row r="2714" spans="9:40" x14ac:dyDescent="0.4">
      <c r="I2714" s="11"/>
      <c r="J2714" s="9"/>
      <c r="K2714" s="9"/>
      <c r="O2714" s="11"/>
      <c r="P2714" s="9"/>
      <c r="Q2714" s="9"/>
      <c r="R2714" s="9"/>
      <c r="S2714" s="9"/>
      <c r="T2714" s="31"/>
      <c r="W2714" s="16"/>
      <c r="X2714" s="9"/>
      <c r="Y2714" s="9"/>
      <c r="AA2714" s="16"/>
      <c r="AK2714" s="16"/>
      <c r="AL2714" s="17"/>
      <c r="AN2714" s="16"/>
    </row>
    <row r="2715" spans="9:40" x14ac:dyDescent="0.4">
      <c r="I2715" s="11"/>
      <c r="J2715" s="9"/>
      <c r="K2715" s="9"/>
      <c r="O2715" s="11"/>
      <c r="P2715" s="9"/>
      <c r="Q2715" s="9"/>
      <c r="R2715" s="9"/>
      <c r="S2715" s="9"/>
      <c r="T2715" s="31"/>
      <c r="W2715" s="16"/>
      <c r="X2715" s="9"/>
      <c r="Y2715" s="9"/>
      <c r="AA2715" s="16"/>
      <c r="AK2715" s="16"/>
      <c r="AL2715" s="17"/>
      <c r="AN2715" s="16"/>
    </row>
    <row r="2716" spans="9:40" x14ac:dyDescent="0.4">
      <c r="I2716" s="11"/>
      <c r="J2716" s="9"/>
      <c r="K2716" s="9"/>
      <c r="O2716" s="11"/>
      <c r="P2716" s="9"/>
      <c r="Q2716" s="9"/>
      <c r="R2716" s="9"/>
      <c r="S2716" s="9"/>
      <c r="T2716" s="31"/>
      <c r="W2716" s="16"/>
      <c r="X2716" s="9"/>
      <c r="Y2716" s="9"/>
      <c r="AA2716" s="16"/>
      <c r="AK2716" s="16"/>
      <c r="AL2716" s="17"/>
      <c r="AN2716" s="16"/>
    </row>
    <row r="2717" spans="9:40" x14ac:dyDescent="0.4">
      <c r="I2717" s="11"/>
      <c r="J2717" s="9"/>
      <c r="K2717" s="9"/>
      <c r="O2717" s="11"/>
      <c r="P2717" s="9"/>
      <c r="Q2717" s="9"/>
      <c r="R2717" s="9"/>
      <c r="S2717" s="9"/>
      <c r="T2717" s="31"/>
      <c r="W2717" s="16"/>
      <c r="X2717" s="9"/>
      <c r="Y2717" s="9"/>
      <c r="AA2717" s="16"/>
      <c r="AK2717" s="16"/>
      <c r="AL2717" s="17"/>
      <c r="AN2717" s="16"/>
    </row>
    <row r="2718" spans="9:40" x14ac:dyDescent="0.4">
      <c r="I2718" s="11"/>
      <c r="J2718" s="9"/>
      <c r="K2718" s="9"/>
      <c r="O2718" s="11"/>
      <c r="P2718" s="9"/>
      <c r="Q2718" s="9"/>
      <c r="R2718" s="9"/>
      <c r="S2718" s="9"/>
      <c r="T2718" s="31"/>
      <c r="W2718" s="16"/>
      <c r="X2718" s="9"/>
      <c r="Y2718" s="9"/>
      <c r="AA2718" s="16"/>
      <c r="AK2718" s="16"/>
      <c r="AL2718" s="17"/>
      <c r="AN2718" s="16"/>
    </row>
    <row r="2719" spans="9:40" x14ac:dyDescent="0.4">
      <c r="I2719" s="11"/>
      <c r="J2719" s="9"/>
      <c r="K2719" s="9"/>
      <c r="O2719" s="11"/>
      <c r="P2719" s="9"/>
      <c r="Q2719" s="9"/>
      <c r="R2719" s="9"/>
      <c r="S2719" s="9"/>
      <c r="T2719" s="31"/>
      <c r="W2719" s="16"/>
      <c r="X2719" s="9"/>
      <c r="Y2719" s="9"/>
      <c r="AA2719" s="16"/>
      <c r="AK2719" s="16"/>
      <c r="AL2719" s="17"/>
      <c r="AN2719" s="16"/>
    </row>
    <row r="2720" spans="9:40" x14ac:dyDescent="0.4">
      <c r="I2720" s="11"/>
      <c r="J2720" s="9"/>
      <c r="K2720" s="9"/>
      <c r="O2720" s="11"/>
      <c r="P2720" s="9"/>
      <c r="Q2720" s="9"/>
      <c r="R2720" s="9"/>
      <c r="S2720" s="9"/>
      <c r="T2720" s="31"/>
      <c r="W2720" s="16"/>
      <c r="X2720" s="9"/>
      <c r="Y2720" s="9"/>
      <c r="AA2720" s="16"/>
      <c r="AK2720" s="16"/>
      <c r="AL2720" s="17"/>
      <c r="AN2720" s="16"/>
    </row>
    <row r="2721" spans="9:40" x14ac:dyDescent="0.4">
      <c r="I2721" s="11"/>
      <c r="J2721" s="9"/>
      <c r="K2721" s="9"/>
      <c r="O2721" s="11"/>
      <c r="P2721" s="9"/>
      <c r="Q2721" s="9"/>
      <c r="R2721" s="9"/>
      <c r="S2721" s="9"/>
      <c r="T2721" s="31"/>
      <c r="W2721" s="16"/>
      <c r="X2721" s="9"/>
      <c r="Y2721" s="9"/>
      <c r="AA2721" s="16"/>
      <c r="AK2721" s="16"/>
      <c r="AL2721" s="17"/>
      <c r="AN2721" s="16"/>
    </row>
    <row r="2722" spans="9:40" x14ac:dyDescent="0.4">
      <c r="I2722" s="11"/>
      <c r="J2722" s="9"/>
      <c r="K2722" s="9"/>
      <c r="O2722" s="11"/>
      <c r="P2722" s="9"/>
      <c r="Q2722" s="9"/>
      <c r="R2722" s="9"/>
      <c r="S2722" s="9"/>
      <c r="T2722" s="31"/>
      <c r="W2722" s="16"/>
      <c r="X2722" s="9"/>
      <c r="Y2722" s="9"/>
      <c r="AA2722" s="16"/>
      <c r="AK2722" s="16"/>
      <c r="AL2722" s="17"/>
      <c r="AN2722" s="16"/>
    </row>
    <row r="2723" spans="9:40" x14ac:dyDescent="0.4">
      <c r="I2723" s="11"/>
      <c r="J2723" s="9"/>
      <c r="K2723" s="9"/>
      <c r="O2723" s="11"/>
      <c r="P2723" s="9"/>
      <c r="Q2723" s="9"/>
      <c r="R2723" s="9"/>
      <c r="S2723" s="9"/>
      <c r="T2723" s="31"/>
      <c r="W2723" s="16"/>
      <c r="X2723" s="9"/>
      <c r="Y2723" s="9"/>
      <c r="AA2723" s="16"/>
      <c r="AK2723" s="16"/>
      <c r="AL2723" s="17"/>
      <c r="AN2723" s="16"/>
    </row>
    <row r="2724" spans="9:40" x14ac:dyDescent="0.4">
      <c r="I2724" s="11"/>
      <c r="J2724" s="9"/>
      <c r="K2724" s="9"/>
      <c r="O2724" s="11"/>
      <c r="P2724" s="9"/>
      <c r="Q2724" s="9"/>
      <c r="R2724" s="9"/>
      <c r="S2724" s="9"/>
      <c r="T2724" s="31"/>
      <c r="W2724" s="16"/>
      <c r="X2724" s="9"/>
      <c r="Y2724" s="9"/>
      <c r="AA2724" s="16"/>
      <c r="AK2724" s="16"/>
      <c r="AL2724" s="17"/>
      <c r="AN2724" s="16"/>
    </row>
    <row r="2725" spans="9:40" x14ac:dyDescent="0.4">
      <c r="I2725" s="11"/>
      <c r="J2725" s="9"/>
      <c r="K2725" s="9"/>
      <c r="O2725" s="11"/>
      <c r="P2725" s="9"/>
      <c r="Q2725" s="9"/>
      <c r="R2725" s="9"/>
      <c r="S2725" s="9"/>
      <c r="T2725" s="31"/>
      <c r="W2725" s="16"/>
      <c r="X2725" s="9"/>
      <c r="Y2725" s="9"/>
      <c r="AA2725" s="16"/>
      <c r="AK2725" s="16"/>
      <c r="AL2725" s="17"/>
      <c r="AN2725" s="16"/>
    </row>
    <row r="2726" spans="9:40" x14ac:dyDescent="0.4">
      <c r="I2726" s="11"/>
      <c r="J2726" s="9"/>
      <c r="K2726" s="9"/>
      <c r="O2726" s="11"/>
      <c r="P2726" s="9"/>
      <c r="Q2726" s="9"/>
      <c r="R2726" s="9"/>
      <c r="S2726" s="9"/>
      <c r="T2726" s="31"/>
      <c r="W2726" s="16"/>
      <c r="X2726" s="9"/>
      <c r="Y2726" s="9"/>
      <c r="AA2726" s="16"/>
      <c r="AK2726" s="16"/>
      <c r="AL2726" s="17"/>
      <c r="AN2726" s="16"/>
    </row>
    <row r="2727" spans="9:40" x14ac:dyDescent="0.4">
      <c r="I2727" s="11"/>
      <c r="J2727" s="9"/>
      <c r="K2727" s="9"/>
      <c r="O2727" s="11"/>
      <c r="P2727" s="9"/>
      <c r="Q2727" s="9"/>
      <c r="R2727" s="9"/>
      <c r="S2727" s="9"/>
      <c r="T2727" s="31"/>
      <c r="W2727" s="16"/>
      <c r="X2727" s="9"/>
      <c r="Y2727" s="9"/>
      <c r="AA2727" s="16"/>
      <c r="AK2727" s="16"/>
      <c r="AL2727" s="17"/>
      <c r="AN2727" s="16"/>
    </row>
    <row r="2728" spans="9:40" x14ac:dyDescent="0.4">
      <c r="I2728" s="11"/>
      <c r="J2728" s="9"/>
      <c r="K2728" s="9"/>
      <c r="O2728" s="11"/>
      <c r="P2728" s="9"/>
      <c r="Q2728" s="9"/>
      <c r="R2728" s="9"/>
      <c r="S2728" s="9"/>
      <c r="T2728" s="31"/>
      <c r="W2728" s="16"/>
      <c r="X2728" s="9"/>
      <c r="Y2728" s="9"/>
      <c r="AA2728" s="16"/>
      <c r="AK2728" s="16"/>
      <c r="AL2728" s="17"/>
      <c r="AN2728" s="16"/>
    </row>
    <row r="2729" spans="9:40" x14ac:dyDescent="0.4">
      <c r="I2729" s="11"/>
      <c r="J2729" s="9"/>
      <c r="K2729" s="9"/>
      <c r="O2729" s="11"/>
      <c r="P2729" s="9"/>
      <c r="Q2729" s="9"/>
      <c r="R2729" s="9"/>
      <c r="S2729" s="9"/>
      <c r="T2729" s="31"/>
      <c r="W2729" s="16"/>
      <c r="X2729" s="9"/>
      <c r="Y2729" s="9"/>
      <c r="AA2729" s="16"/>
      <c r="AK2729" s="16"/>
      <c r="AL2729" s="17"/>
      <c r="AN2729" s="16"/>
    </row>
    <row r="2730" spans="9:40" x14ac:dyDescent="0.4">
      <c r="I2730" s="11"/>
      <c r="J2730" s="9"/>
      <c r="K2730" s="9"/>
      <c r="O2730" s="11"/>
      <c r="P2730" s="9"/>
      <c r="Q2730" s="9"/>
      <c r="R2730" s="9"/>
      <c r="S2730" s="9"/>
      <c r="T2730" s="31"/>
      <c r="W2730" s="16"/>
      <c r="X2730" s="9"/>
      <c r="Y2730" s="9"/>
      <c r="AA2730" s="16"/>
      <c r="AK2730" s="16"/>
      <c r="AL2730" s="17"/>
      <c r="AN2730" s="16"/>
    </row>
    <row r="2731" spans="9:40" x14ac:dyDescent="0.4">
      <c r="I2731" s="11"/>
      <c r="J2731" s="9"/>
      <c r="K2731" s="9"/>
      <c r="O2731" s="11"/>
      <c r="P2731" s="9"/>
      <c r="Q2731" s="9"/>
      <c r="R2731" s="9"/>
      <c r="S2731" s="9"/>
      <c r="T2731" s="31"/>
      <c r="W2731" s="16"/>
      <c r="X2731" s="9"/>
      <c r="Y2731" s="9"/>
      <c r="AA2731" s="16"/>
      <c r="AK2731" s="16"/>
      <c r="AL2731" s="17"/>
      <c r="AN2731" s="16"/>
    </row>
    <row r="2732" spans="9:40" x14ac:dyDescent="0.4">
      <c r="I2732" s="11"/>
      <c r="J2732" s="9"/>
      <c r="K2732" s="9"/>
      <c r="O2732" s="11"/>
      <c r="P2732" s="9"/>
      <c r="Q2732" s="9"/>
      <c r="R2732" s="9"/>
      <c r="S2732" s="9"/>
      <c r="T2732" s="31"/>
      <c r="W2732" s="16"/>
      <c r="X2732" s="9"/>
      <c r="Y2732" s="9"/>
      <c r="AA2732" s="16"/>
      <c r="AK2732" s="16"/>
      <c r="AL2732" s="17"/>
      <c r="AN2732" s="16"/>
    </row>
    <row r="2733" spans="9:40" x14ac:dyDescent="0.4">
      <c r="I2733" s="11"/>
      <c r="J2733" s="9"/>
      <c r="K2733" s="9"/>
      <c r="O2733" s="11"/>
      <c r="P2733" s="9"/>
      <c r="Q2733" s="9"/>
      <c r="R2733" s="9"/>
      <c r="S2733" s="9"/>
      <c r="T2733" s="31"/>
      <c r="W2733" s="16"/>
      <c r="X2733" s="9"/>
      <c r="Y2733" s="9"/>
      <c r="AA2733" s="16"/>
      <c r="AK2733" s="16"/>
      <c r="AL2733" s="17"/>
      <c r="AN2733" s="16"/>
    </row>
    <row r="2734" spans="9:40" x14ac:dyDescent="0.4">
      <c r="I2734" s="11"/>
      <c r="J2734" s="9"/>
      <c r="K2734" s="9"/>
      <c r="O2734" s="11"/>
      <c r="P2734" s="9"/>
      <c r="Q2734" s="9"/>
      <c r="R2734" s="9"/>
      <c r="S2734" s="9"/>
      <c r="T2734" s="31"/>
      <c r="W2734" s="16"/>
      <c r="X2734" s="9"/>
      <c r="Y2734" s="9"/>
      <c r="AA2734" s="16"/>
      <c r="AK2734" s="16"/>
      <c r="AL2734" s="17"/>
      <c r="AN2734" s="16"/>
    </row>
    <row r="2735" spans="9:40" x14ac:dyDescent="0.4">
      <c r="I2735" s="11"/>
      <c r="J2735" s="9"/>
      <c r="K2735" s="9"/>
      <c r="O2735" s="11"/>
      <c r="P2735" s="9"/>
      <c r="Q2735" s="9"/>
      <c r="R2735" s="9"/>
      <c r="S2735" s="9"/>
      <c r="T2735" s="31"/>
      <c r="W2735" s="16"/>
      <c r="X2735" s="9"/>
      <c r="Y2735" s="9"/>
      <c r="AA2735" s="16"/>
      <c r="AK2735" s="16"/>
      <c r="AL2735" s="17"/>
      <c r="AN2735" s="16"/>
    </row>
    <row r="2736" spans="9:40" x14ac:dyDescent="0.4">
      <c r="I2736" s="11"/>
      <c r="J2736" s="9"/>
      <c r="K2736" s="9"/>
      <c r="O2736" s="11"/>
      <c r="P2736" s="9"/>
      <c r="Q2736" s="9"/>
      <c r="R2736" s="9"/>
      <c r="S2736" s="9"/>
      <c r="T2736" s="31"/>
      <c r="W2736" s="16"/>
      <c r="X2736" s="9"/>
      <c r="Y2736" s="9"/>
      <c r="AA2736" s="16"/>
      <c r="AK2736" s="16"/>
      <c r="AL2736" s="17"/>
      <c r="AN2736" s="16"/>
    </row>
    <row r="2737" spans="9:40" x14ac:dyDescent="0.4">
      <c r="I2737" s="11"/>
      <c r="J2737" s="9"/>
      <c r="K2737" s="9"/>
      <c r="O2737" s="11"/>
      <c r="P2737" s="9"/>
      <c r="Q2737" s="9"/>
      <c r="R2737" s="9"/>
      <c r="S2737" s="9"/>
      <c r="T2737" s="31"/>
      <c r="W2737" s="16"/>
      <c r="X2737" s="9"/>
      <c r="Y2737" s="9"/>
      <c r="AA2737" s="16"/>
      <c r="AK2737" s="16"/>
      <c r="AL2737" s="17"/>
      <c r="AN2737" s="16"/>
    </row>
    <row r="2738" spans="9:40" x14ac:dyDescent="0.4">
      <c r="I2738" s="11"/>
      <c r="J2738" s="9"/>
      <c r="K2738" s="9"/>
      <c r="O2738" s="11"/>
      <c r="P2738" s="9"/>
      <c r="Q2738" s="9"/>
      <c r="R2738" s="9"/>
      <c r="S2738" s="9"/>
      <c r="T2738" s="31"/>
      <c r="W2738" s="16"/>
      <c r="X2738" s="9"/>
      <c r="Y2738" s="9"/>
      <c r="AA2738" s="16"/>
      <c r="AK2738" s="16"/>
      <c r="AL2738" s="17"/>
      <c r="AN2738" s="16"/>
    </row>
    <row r="2739" spans="9:40" x14ac:dyDescent="0.4">
      <c r="I2739" s="11"/>
      <c r="J2739" s="9"/>
      <c r="K2739" s="9"/>
      <c r="O2739" s="11"/>
      <c r="P2739" s="9"/>
      <c r="Q2739" s="9"/>
      <c r="R2739" s="9"/>
      <c r="S2739" s="9"/>
      <c r="T2739" s="31"/>
      <c r="W2739" s="16"/>
      <c r="X2739" s="9"/>
      <c r="Y2739" s="9"/>
      <c r="AA2739" s="16"/>
      <c r="AK2739" s="16"/>
      <c r="AL2739" s="17"/>
      <c r="AN2739" s="16"/>
    </row>
    <row r="2740" spans="9:40" x14ac:dyDescent="0.4">
      <c r="I2740" s="11"/>
      <c r="J2740" s="9"/>
      <c r="K2740" s="9"/>
      <c r="O2740" s="11"/>
      <c r="P2740" s="9"/>
      <c r="Q2740" s="9"/>
      <c r="R2740" s="9"/>
      <c r="S2740" s="9"/>
      <c r="T2740" s="31"/>
      <c r="W2740" s="16"/>
      <c r="X2740" s="9"/>
      <c r="Y2740" s="9"/>
      <c r="AA2740" s="16"/>
      <c r="AK2740" s="16"/>
      <c r="AL2740" s="17"/>
      <c r="AN2740" s="16"/>
    </row>
    <row r="2741" spans="9:40" x14ac:dyDescent="0.4">
      <c r="I2741" s="11"/>
      <c r="J2741" s="9"/>
      <c r="K2741" s="9"/>
      <c r="O2741" s="11"/>
      <c r="P2741" s="9"/>
      <c r="Q2741" s="9"/>
      <c r="R2741" s="9"/>
      <c r="S2741" s="9"/>
      <c r="T2741" s="31"/>
      <c r="W2741" s="16"/>
      <c r="X2741" s="9"/>
      <c r="Y2741" s="9"/>
      <c r="AA2741" s="16"/>
      <c r="AK2741" s="16"/>
      <c r="AL2741" s="17"/>
      <c r="AN2741" s="16"/>
    </row>
    <row r="2742" spans="9:40" x14ac:dyDescent="0.4">
      <c r="I2742" s="11"/>
      <c r="J2742" s="9"/>
      <c r="K2742" s="9"/>
      <c r="O2742" s="11"/>
      <c r="P2742" s="9"/>
      <c r="Q2742" s="9"/>
      <c r="R2742" s="9"/>
      <c r="S2742" s="9"/>
      <c r="T2742" s="31"/>
      <c r="W2742" s="16"/>
      <c r="X2742" s="9"/>
      <c r="Y2742" s="9"/>
      <c r="AA2742" s="16"/>
      <c r="AK2742" s="16"/>
      <c r="AL2742" s="17"/>
      <c r="AN2742" s="16"/>
    </row>
    <row r="2743" spans="9:40" x14ac:dyDescent="0.4">
      <c r="I2743" s="11"/>
      <c r="J2743" s="9"/>
      <c r="K2743" s="9"/>
      <c r="O2743" s="11"/>
      <c r="P2743" s="9"/>
      <c r="Q2743" s="9"/>
      <c r="R2743" s="9"/>
      <c r="S2743" s="9"/>
      <c r="T2743" s="31"/>
      <c r="W2743" s="16"/>
      <c r="X2743" s="9"/>
      <c r="Y2743" s="9"/>
      <c r="AA2743" s="16"/>
      <c r="AK2743" s="16"/>
      <c r="AL2743" s="17"/>
      <c r="AN2743" s="16"/>
    </row>
    <row r="2744" spans="9:40" x14ac:dyDescent="0.4">
      <c r="I2744" s="11"/>
      <c r="J2744" s="9"/>
      <c r="K2744" s="9"/>
      <c r="O2744" s="11"/>
      <c r="P2744" s="9"/>
      <c r="Q2744" s="9"/>
      <c r="R2744" s="9"/>
      <c r="S2744" s="9"/>
      <c r="T2744" s="31"/>
      <c r="W2744" s="16"/>
      <c r="X2744" s="9"/>
      <c r="Y2744" s="9"/>
      <c r="AA2744" s="16"/>
      <c r="AK2744" s="16"/>
      <c r="AL2744" s="17"/>
      <c r="AN2744" s="16"/>
    </row>
    <row r="2745" spans="9:40" x14ac:dyDescent="0.4">
      <c r="I2745" s="11"/>
      <c r="J2745" s="9"/>
      <c r="K2745" s="9"/>
      <c r="O2745" s="11"/>
      <c r="P2745" s="9"/>
      <c r="Q2745" s="9"/>
      <c r="R2745" s="9"/>
      <c r="S2745" s="9"/>
      <c r="T2745" s="31"/>
      <c r="W2745" s="16"/>
      <c r="X2745" s="9"/>
      <c r="Y2745" s="9"/>
      <c r="AA2745" s="16"/>
      <c r="AK2745" s="16"/>
      <c r="AL2745" s="17"/>
      <c r="AN2745" s="16"/>
    </row>
    <row r="2746" spans="9:40" x14ac:dyDescent="0.4">
      <c r="I2746" s="11"/>
      <c r="J2746" s="9"/>
      <c r="K2746" s="9"/>
      <c r="O2746" s="11"/>
      <c r="P2746" s="9"/>
      <c r="Q2746" s="9"/>
      <c r="R2746" s="9"/>
      <c r="S2746" s="9"/>
      <c r="T2746" s="31"/>
      <c r="W2746" s="16"/>
      <c r="X2746" s="9"/>
      <c r="Y2746" s="9"/>
      <c r="AA2746" s="16"/>
      <c r="AK2746" s="16"/>
      <c r="AL2746" s="17"/>
      <c r="AN2746" s="16"/>
    </row>
    <row r="2747" spans="9:40" x14ac:dyDescent="0.4">
      <c r="I2747" s="11"/>
      <c r="J2747" s="9"/>
      <c r="K2747" s="9"/>
      <c r="O2747" s="11"/>
      <c r="P2747" s="9"/>
      <c r="Q2747" s="9"/>
      <c r="R2747" s="9"/>
      <c r="S2747" s="9"/>
      <c r="T2747" s="31"/>
      <c r="W2747" s="16"/>
      <c r="X2747" s="9"/>
      <c r="Y2747" s="9"/>
      <c r="AA2747" s="16"/>
      <c r="AK2747" s="16"/>
      <c r="AL2747" s="17"/>
      <c r="AN2747" s="16"/>
    </row>
    <row r="2748" spans="9:40" x14ac:dyDescent="0.4">
      <c r="I2748" s="11"/>
      <c r="J2748" s="9"/>
      <c r="K2748" s="9"/>
      <c r="O2748" s="11"/>
      <c r="P2748" s="9"/>
      <c r="Q2748" s="9"/>
      <c r="R2748" s="9"/>
      <c r="S2748" s="9"/>
      <c r="T2748" s="31"/>
      <c r="W2748" s="16"/>
      <c r="X2748" s="9"/>
      <c r="Y2748" s="9"/>
      <c r="AA2748" s="16"/>
      <c r="AK2748" s="16"/>
      <c r="AL2748" s="17"/>
      <c r="AN2748" s="16"/>
    </row>
    <row r="2749" spans="9:40" x14ac:dyDescent="0.4">
      <c r="I2749" s="11"/>
      <c r="J2749" s="9"/>
      <c r="K2749" s="9"/>
      <c r="O2749" s="11"/>
      <c r="P2749" s="9"/>
      <c r="Q2749" s="9"/>
      <c r="R2749" s="9"/>
      <c r="S2749" s="9"/>
      <c r="T2749" s="31"/>
      <c r="W2749" s="16"/>
      <c r="X2749" s="9"/>
      <c r="Y2749" s="9"/>
      <c r="AA2749" s="16"/>
      <c r="AK2749" s="16"/>
      <c r="AL2749" s="17"/>
      <c r="AN2749" s="16"/>
    </row>
    <row r="2750" spans="9:40" x14ac:dyDescent="0.4">
      <c r="I2750" s="11"/>
      <c r="J2750" s="9"/>
      <c r="K2750" s="9"/>
      <c r="O2750" s="11"/>
      <c r="P2750" s="9"/>
      <c r="Q2750" s="9"/>
      <c r="R2750" s="9"/>
      <c r="S2750" s="9"/>
      <c r="T2750" s="31"/>
      <c r="W2750" s="16"/>
      <c r="X2750" s="9"/>
      <c r="Y2750" s="9"/>
      <c r="AA2750" s="16"/>
      <c r="AK2750" s="16"/>
      <c r="AL2750" s="17"/>
      <c r="AN2750" s="16"/>
    </row>
    <row r="2751" spans="9:40" x14ac:dyDescent="0.4">
      <c r="I2751" s="11"/>
      <c r="J2751" s="9"/>
      <c r="K2751" s="9"/>
      <c r="O2751" s="11"/>
      <c r="P2751" s="9"/>
      <c r="Q2751" s="9"/>
      <c r="R2751" s="9"/>
      <c r="S2751" s="9"/>
      <c r="T2751" s="31"/>
      <c r="W2751" s="16"/>
      <c r="X2751" s="9"/>
      <c r="Y2751" s="9"/>
      <c r="AA2751" s="16"/>
      <c r="AK2751" s="16"/>
      <c r="AL2751" s="17"/>
      <c r="AN2751" s="16"/>
    </row>
    <row r="2752" spans="9:40" x14ac:dyDescent="0.4">
      <c r="I2752" s="11"/>
      <c r="J2752" s="9"/>
      <c r="K2752" s="9"/>
      <c r="O2752" s="11"/>
      <c r="P2752" s="9"/>
      <c r="Q2752" s="9"/>
      <c r="R2752" s="9"/>
      <c r="S2752" s="9"/>
      <c r="T2752" s="31"/>
      <c r="W2752" s="16"/>
      <c r="X2752" s="9"/>
      <c r="Y2752" s="9"/>
      <c r="AA2752" s="16"/>
      <c r="AK2752" s="16"/>
      <c r="AL2752" s="17"/>
      <c r="AN2752" s="16"/>
    </row>
    <row r="2753" spans="9:40" x14ac:dyDescent="0.4">
      <c r="I2753" s="11"/>
      <c r="J2753" s="9"/>
      <c r="K2753" s="9"/>
      <c r="O2753" s="11"/>
      <c r="P2753" s="9"/>
      <c r="Q2753" s="9"/>
      <c r="R2753" s="9"/>
      <c r="S2753" s="9"/>
      <c r="T2753" s="31"/>
      <c r="W2753" s="16"/>
      <c r="X2753" s="9"/>
      <c r="Y2753" s="9"/>
      <c r="AA2753" s="16"/>
      <c r="AK2753" s="16"/>
      <c r="AL2753" s="17"/>
      <c r="AN2753" s="16"/>
    </row>
    <row r="2754" spans="9:40" x14ac:dyDescent="0.4">
      <c r="I2754" s="11"/>
      <c r="J2754" s="9"/>
      <c r="K2754" s="9"/>
      <c r="O2754" s="11"/>
      <c r="P2754" s="9"/>
      <c r="Q2754" s="9"/>
      <c r="R2754" s="9"/>
      <c r="S2754" s="9"/>
      <c r="T2754" s="31"/>
      <c r="W2754" s="16"/>
      <c r="X2754" s="9"/>
      <c r="Y2754" s="9"/>
      <c r="AA2754" s="16"/>
      <c r="AK2754" s="16"/>
      <c r="AL2754" s="17"/>
      <c r="AN2754" s="16"/>
    </row>
    <row r="2755" spans="9:40" x14ac:dyDescent="0.4">
      <c r="I2755" s="11"/>
      <c r="J2755" s="9"/>
      <c r="K2755" s="9"/>
      <c r="O2755" s="11"/>
      <c r="P2755" s="9"/>
      <c r="Q2755" s="9"/>
      <c r="R2755" s="9"/>
      <c r="S2755" s="9"/>
      <c r="T2755" s="31"/>
      <c r="W2755" s="16"/>
      <c r="X2755" s="9"/>
      <c r="Y2755" s="9"/>
      <c r="AA2755" s="16"/>
      <c r="AK2755" s="16"/>
      <c r="AL2755" s="17"/>
      <c r="AN2755" s="16"/>
    </row>
    <row r="2756" spans="9:40" x14ac:dyDescent="0.4">
      <c r="I2756" s="11"/>
      <c r="J2756" s="9"/>
      <c r="K2756" s="9"/>
      <c r="O2756" s="11"/>
      <c r="P2756" s="9"/>
      <c r="Q2756" s="9"/>
      <c r="R2756" s="9"/>
      <c r="S2756" s="9"/>
      <c r="T2756" s="31"/>
      <c r="W2756" s="16"/>
      <c r="X2756" s="9"/>
      <c r="Y2756" s="9"/>
      <c r="AA2756" s="16"/>
      <c r="AK2756" s="16"/>
      <c r="AL2756" s="17"/>
      <c r="AN2756" s="16"/>
    </row>
    <row r="2757" spans="9:40" x14ac:dyDescent="0.4">
      <c r="I2757" s="11"/>
      <c r="J2757" s="9"/>
      <c r="K2757" s="9"/>
      <c r="O2757" s="11"/>
      <c r="P2757" s="9"/>
      <c r="Q2757" s="9"/>
      <c r="R2757" s="9"/>
      <c r="S2757" s="9"/>
      <c r="T2757" s="31"/>
      <c r="W2757" s="16"/>
      <c r="X2757" s="9"/>
      <c r="Y2757" s="9"/>
      <c r="AA2757" s="16"/>
      <c r="AK2757" s="16"/>
      <c r="AL2757" s="17"/>
      <c r="AN2757" s="16"/>
    </row>
    <row r="2758" spans="9:40" x14ac:dyDescent="0.4">
      <c r="I2758" s="11"/>
      <c r="J2758" s="9"/>
      <c r="K2758" s="9"/>
      <c r="O2758" s="11"/>
      <c r="P2758" s="9"/>
      <c r="Q2758" s="9"/>
      <c r="R2758" s="9"/>
      <c r="S2758" s="9"/>
      <c r="T2758" s="31"/>
      <c r="W2758" s="16"/>
      <c r="X2758" s="9"/>
      <c r="Y2758" s="9"/>
      <c r="AA2758" s="16"/>
      <c r="AK2758" s="16"/>
      <c r="AL2758" s="17"/>
      <c r="AN2758" s="16"/>
    </row>
    <row r="2759" spans="9:40" x14ac:dyDescent="0.4">
      <c r="I2759" s="11"/>
      <c r="J2759" s="9"/>
      <c r="K2759" s="9"/>
      <c r="O2759" s="11"/>
      <c r="P2759" s="9"/>
      <c r="Q2759" s="9"/>
      <c r="R2759" s="9"/>
      <c r="S2759" s="9"/>
      <c r="T2759" s="31"/>
      <c r="W2759" s="16"/>
      <c r="X2759" s="9"/>
      <c r="Y2759" s="9"/>
      <c r="AA2759" s="16"/>
      <c r="AK2759" s="16"/>
      <c r="AL2759" s="17"/>
      <c r="AN2759" s="16"/>
    </row>
    <row r="2760" spans="9:40" x14ac:dyDescent="0.4">
      <c r="I2760" s="11"/>
      <c r="J2760" s="9"/>
      <c r="K2760" s="9"/>
      <c r="O2760" s="11"/>
      <c r="P2760" s="9"/>
      <c r="Q2760" s="9"/>
      <c r="R2760" s="9"/>
      <c r="S2760" s="9"/>
      <c r="T2760" s="31"/>
      <c r="W2760" s="16"/>
      <c r="X2760" s="9"/>
      <c r="Y2760" s="9"/>
      <c r="AA2760" s="16"/>
      <c r="AK2760" s="16"/>
      <c r="AL2760" s="17"/>
      <c r="AN2760" s="16"/>
    </row>
    <row r="2761" spans="9:40" x14ac:dyDescent="0.4">
      <c r="I2761" s="11"/>
      <c r="J2761" s="9"/>
      <c r="K2761" s="9"/>
      <c r="O2761" s="11"/>
      <c r="P2761" s="9"/>
      <c r="Q2761" s="9"/>
      <c r="R2761" s="9"/>
      <c r="S2761" s="9"/>
      <c r="T2761" s="31"/>
      <c r="W2761" s="16"/>
      <c r="X2761" s="9"/>
      <c r="Y2761" s="9"/>
      <c r="AA2761" s="16"/>
      <c r="AK2761" s="16"/>
      <c r="AL2761" s="17"/>
      <c r="AN2761" s="16"/>
    </row>
    <row r="2762" spans="9:40" x14ac:dyDescent="0.4">
      <c r="I2762" s="11"/>
      <c r="J2762" s="9"/>
      <c r="K2762" s="9"/>
      <c r="O2762" s="11"/>
      <c r="P2762" s="9"/>
      <c r="Q2762" s="9"/>
      <c r="R2762" s="9"/>
      <c r="S2762" s="9"/>
      <c r="T2762" s="31"/>
      <c r="W2762" s="16"/>
      <c r="X2762" s="9"/>
      <c r="Y2762" s="9"/>
      <c r="AA2762" s="16"/>
      <c r="AK2762" s="16"/>
      <c r="AL2762" s="17"/>
      <c r="AN2762" s="16"/>
    </row>
    <row r="2763" spans="9:40" x14ac:dyDescent="0.4">
      <c r="I2763" s="11"/>
      <c r="J2763" s="9"/>
      <c r="K2763" s="9"/>
      <c r="O2763" s="11"/>
      <c r="P2763" s="9"/>
      <c r="Q2763" s="9"/>
      <c r="R2763" s="9"/>
      <c r="S2763" s="9"/>
      <c r="T2763" s="31"/>
      <c r="W2763" s="16"/>
      <c r="X2763" s="9"/>
      <c r="Y2763" s="9"/>
      <c r="AA2763" s="16"/>
      <c r="AK2763" s="16"/>
      <c r="AL2763" s="17"/>
      <c r="AN2763" s="16"/>
    </row>
    <row r="2764" spans="9:40" x14ac:dyDescent="0.4">
      <c r="I2764" s="11"/>
      <c r="J2764" s="9"/>
      <c r="K2764" s="9"/>
      <c r="O2764" s="11"/>
      <c r="P2764" s="9"/>
      <c r="Q2764" s="9"/>
      <c r="R2764" s="9"/>
      <c r="S2764" s="9"/>
      <c r="T2764" s="31"/>
      <c r="W2764" s="16"/>
      <c r="X2764" s="9"/>
      <c r="Y2764" s="9"/>
      <c r="AA2764" s="16"/>
      <c r="AK2764" s="16"/>
      <c r="AL2764" s="17"/>
      <c r="AN2764" s="16"/>
    </row>
    <row r="2765" spans="9:40" x14ac:dyDescent="0.4">
      <c r="I2765" s="11"/>
      <c r="J2765" s="9"/>
      <c r="K2765" s="9"/>
      <c r="O2765" s="11"/>
      <c r="P2765" s="9"/>
      <c r="Q2765" s="9"/>
      <c r="R2765" s="9"/>
      <c r="S2765" s="9"/>
      <c r="T2765" s="31"/>
      <c r="W2765" s="16"/>
      <c r="X2765" s="9"/>
      <c r="Y2765" s="9"/>
      <c r="AA2765" s="16"/>
      <c r="AK2765" s="16"/>
      <c r="AL2765" s="17"/>
      <c r="AN2765" s="16"/>
    </row>
    <row r="2766" spans="9:40" x14ac:dyDescent="0.4">
      <c r="I2766" s="11"/>
      <c r="J2766" s="9"/>
      <c r="K2766" s="9"/>
      <c r="O2766" s="11"/>
      <c r="P2766" s="9"/>
      <c r="Q2766" s="9"/>
      <c r="R2766" s="9"/>
      <c r="S2766" s="9"/>
      <c r="T2766" s="31"/>
      <c r="W2766" s="16"/>
      <c r="X2766" s="9"/>
      <c r="Y2766" s="9"/>
      <c r="AA2766" s="16"/>
      <c r="AK2766" s="16"/>
      <c r="AL2766" s="17"/>
      <c r="AN2766" s="16"/>
    </row>
    <row r="2767" spans="9:40" x14ac:dyDescent="0.4">
      <c r="I2767" s="11"/>
      <c r="J2767" s="9"/>
      <c r="K2767" s="9"/>
      <c r="O2767" s="11"/>
      <c r="P2767" s="9"/>
      <c r="Q2767" s="9"/>
      <c r="R2767" s="9"/>
      <c r="S2767" s="9"/>
      <c r="T2767" s="31"/>
      <c r="W2767" s="16"/>
      <c r="X2767" s="9"/>
      <c r="Y2767" s="9"/>
      <c r="AA2767" s="16"/>
      <c r="AK2767" s="16"/>
      <c r="AL2767" s="17"/>
      <c r="AN2767" s="16"/>
    </row>
    <row r="2768" spans="9:40" x14ac:dyDescent="0.4">
      <c r="I2768" s="11"/>
      <c r="J2768" s="9"/>
      <c r="K2768" s="9"/>
      <c r="O2768" s="11"/>
      <c r="P2768" s="9"/>
      <c r="Q2768" s="9"/>
      <c r="R2768" s="9"/>
      <c r="S2768" s="9"/>
      <c r="T2768" s="31"/>
      <c r="W2768" s="16"/>
      <c r="X2768" s="9"/>
      <c r="Y2768" s="9"/>
      <c r="AA2768" s="16"/>
      <c r="AK2768" s="16"/>
      <c r="AL2768" s="17"/>
      <c r="AN2768" s="16"/>
    </row>
    <row r="2769" spans="9:40" x14ac:dyDescent="0.4">
      <c r="I2769" s="11"/>
      <c r="J2769" s="9"/>
      <c r="K2769" s="9"/>
      <c r="O2769" s="11"/>
      <c r="P2769" s="9"/>
      <c r="Q2769" s="9"/>
      <c r="R2769" s="9"/>
      <c r="S2769" s="9"/>
      <c r="T2769" s="31"/>
      <c r="W2769" s="16"/>
      <c r="X2769" s="9"/>
      <c r="Y2769" s="9"/>
      <c r="AA2769" s="16"/>
      <c r="AK2769" s="16"/>
      <c r="AL2769" s="17"/>
      <c r="AN2769" s="16"/>
    </row>
    <row r="2770" spans="9:40" x14ac:dyDescent="0.4">
      <c r="I2770" s="11"/>
      <c r="J2770" s="9"/>
      <c r="K2770" s="9"/>
      <c r="O2770" s="11"/>
      <c r="P2770" s="9"/>
      <c r="Q2770" s="9"/>
      <c r="R2770" s="9"/>
      <c r="S2770" s="9"/>
      <c r="T2770" s="31"/>
      <c r="W2770" s="16"/>
      <c r="X2770" s="9"/>
      <c r="Y2770" s="9"/>
      <c r="AA2770" s="16"/>
      <c r="AK2770" s="16"/>
      <c r="AL2770" s="17"/>
      <c r="AN2770" s="16"/>
    </row>
    <row r="2771" spans="9:40" x14ac:dyDescent="0.4">
      <c r="I2771" s="11"/>
      <c r="J2771" s="9"/>
      <c r="K2771" s="9"/>
      <c r="O2771" s="11"/>
      <c r="P2771" s="9"/>
      <c r="Q2771" s="9"/>
      <c r="R2771" s="9"/>
      <c r="S2771" s="9"/>
      <c r="T2771" s="31"/>
      <c r="W2771" s="16"/>
      <c r="X2771" s="9"/>
      <c r="Y2771" s="9"/>
      <c r="AA2771" s="16"/>
      <c r="AK2771" s="16"/>
      <c r="AL2771" s="17"/>
      <c r="AN2771" s="16"/>
    </row>
    <row r="2772" spans="9:40" x14ac:dyDescent="0.4">
      <c r="I2772" s="11"/>
      <c r="J2772" s="9"/>
      <c r="K2772" s="9"/>
      <c r="O2772" s="11"/>
      <c r="P2772" s="9"/>
      <c r="Q2772" s="9"/>
      <c r="R2772" s="9"/>
      <c r="S2772" s="9"/>
      <c r="T2772" s="31"/>
      <c r="W2772" s="16"/>
      <c r="X2772" s="9"/>
      <c r="Y2772" s="9"/>
      <c r="AA2772" s="16"/>
      <c r="AK2772" s="16"/>
      <c r="AL2772" s="17"/>
      <c r="AN2772" s="16"/>
    </row>
    <row r="2773" spans="9:40" x14ac:dyDescent="0.4">
      <c r="I2773" s="11"/>
      <c r="J2773" s="9"/>
      <c r="K2773" s="9"/>
      <c r="O2773" s="11"/>
      <c r="P2773" s="9"/>
      <c r="Q2773" s="9"/>
      <c r="R2773" s="9"/>
      <c r="S2773" s="9"/>
      <c r="T2773" s="31"/>
      <c r="W2773" s="16"/>
      <c r="X2773" s="9"/>
      <c r="Y2773" s="9"/>
      <c r="AA2773" s="16"/>
      <c r="AK2773" s="16"/>
      <c r="AL2773" s="17"/>
      <c r="AN2773" s="16"/>
    </row>
    <row r="2774" spans="9:40" x14ac:dyDescent="0.4">
      <c r="I2774" s="11"/>
      <c r="J2774" s="9"/>
      <c r="K2774" s="9"/>
      <c r="O2774" s="11"/>
      <c r="P2774" s="9"/>
      <c r="Q2774" s="9"/>
      <c r="R2774" s="9"/>
      <c r="S2774" s="9"/>
      <c r="T2774" s="31"/>
      <c r="W2774" s="16"/>
      <c r="X2774" s="9"/>
      <c r="Y2774" s="9"/>
      <c r="AA2774" s="16"/>
      <c r="AK2774" s="16"/>
      <c r="AL2774" s="17"/>
      <c r="AN2774" s="16"/>
    </row>
    <row r="2775" spans="9:40" x14ac:dyDescent="0.4">
      <c r="I2775" s="11"/>
      <c r="J2775" s="9"/>
      <c r="K2775" s="9"/>
      <c r="O2775" s="11"/>
      <c r="P2775" s="9"/>
      <c r="Q2775" s="9"/>
      <c r="R2775" s="9"/>
      <c r="S2775" s="9"/>
      <c r="T2775" s="31"/>
      <c r="W2775" s="16"/>
      <c r="X2775" s="9"/>
      <c r="Y2775" s="9"/>
      <c r="AA2775" s="16"/>
      <c r="AK2775" s="16"/>
      <c r="AL2775" s="17"/>
      <c r="AN2775" s="16"/>
    </row>
    <row r="2776" spans="9:40" x14ac:dyDescent="0.4">
      <c r="I2776" s="11"/>
      <c r="J2776" s="9"/>
      <c r="K2776" s="9"/>
      <c r="O2776" s="11"/>
      <c r="P2776" s="9"/>
      <c r="Q2776" s="9"/>
      <c r="R2776" s="9"/>
      <c r="S2776" s="9"/>
      <c r="T2776" s="31"/>
      <c r="W2776" s="16"/>
      <c r="X2776" s="9"/>
      <c r="Y2776" s="9"/>
      <c r="AA2776" s="16"/>
      <c r="AK2776" s="16"/>
      <c r="AL2776" s="17"/>
      <c r="AN2776" s="16"/>
    </row>
    <row r="2777" spans="9:40" x14ac:dyDescent="0.4">
      <c r="I2777" s="11"/>
      <c r="J2777" s="9"/>
      <c r="K2777" s="9"/>
      <c r="O2777" s="11"/>
      <c r="P2777" s="9"/>
      <c r="Q2777" s="9"/>
      <c r="R2777" s="9"/>
      <c r="S2777" s="9"/>
      <c r="T2777" s="31"/>
      <c r="W2777" s="16"/>
      <c r="X2777" s="9"/>
      <c r="Y2777" s="9"/>
      <c r="AA2777" s="16"/>
      <c r="AK2777" s="16"/>
      <c r="AL2777" s="17"/>
      <c r="AN2777" s="16"/>
    </row>
    <row r="2778" spans="9:40" x14ac:dyDescent="0.4">
      <c r="I2778" s="11"/>
      <c r="J2778" s="9"/>
      <c r="K2778" s="9"/>
      <c r="O2778" s="11"/>
      <c r="P2778" s="9"/>
      <c r="Q2778" s="9"/>
      <c r="R2778" s="9"/>
      <c r="S2778" s="9"/>
      <c r="T2778" s="31"/>
      <c r="W2778" s="16"/>
      <c r="X2778" s="9"/>
      <c r="Y2778" s="9"/>
      <c r="AA2778" s="16"/>
      <c r="AK2778" s="16"/>
      <c r="AL2778" s="17"/>
      <c r="AN2778" s="16"/>
    </row>
    <row r="2779" spans="9:40" x14ac:dyDescent="0.4">
      <c r="I2779" s="11"/>
      <c r="J2779" s="9"/>
      <c r="K2779" s="9"/>
      <c r="O2779" s="11"/>
      <c r="P2779" s="9"/>
      <c r="Q2779" s="9"/>
      <c r="R2779" s="9"/>
      <c r="S2779" s="9"/>
      <c r="T2779" s="31"/>
      <c r="W2779" s="16"/>
      <c r="X2779" s="9"/>
      <c r="Y2779" s="9"/>
      <c r="AA2779" s="16"/>
      <c r="AK2779" s="16"/>
      <c r="AL2779" s="17"/>
      <c r="AN2779" s="16"/>
    </row>
    <row r="2780" spans="9:40" x14ac:dyDescent="0.4">
      <c r="I2780" s="11"/>
      <c r="J2780" s="9"/>
      <c r="K2780" s="9"/>
      <c r="O2780" s="11"/>
      <c r="P2780" s="9"/>
      <c r="Q2780" s="9"/>
      <c r="R2780" s="9"/>
      <c r="S2780" s="9"/>
      <c r="T2780" s="31"/>
      <c r="W2780" s="16"/>
      <c r="X2780" s="9"/>
      <c r="Y2780" s="9"/>
      <c r="AA2780" s="16"/>
      <c r="AK2780" s="16"/>
      <c r="AL2780" s="17"/>
      <c r="AN2780" s="16"/>
    </row>
    <row r="2781" spans="9:40" x14ac:dyDescent="0.4">
      <c r="I2781" s="11"/>
      <c r="J2781" s="9"/>
      <c r="K2781" s="9"/>
      <c r="O2781" s="11"/>
      <c r="P2781" s="9"/>
      <c r="Q2781" s="9"/>
      <c r="R2781" s="9"/>
      <c r="S2781" s="9"/>
      <c r="T2781" s="31"/>
      <c r="W2781" s="16"/>
      <c r="X2781" s="9"/>
      <c r="Y2781" s="9"/>
      <c r="AA2781" s="16"/>
      <c r="AK2781" s="16"/>
      <c r="AL2781" s="17"/>
      <c r="AN2781" s="16"/>
    </row>
    <row r="2782" spans="9:40" x14ac:dyDescent="0.4">
      <c r="I2782" s="11"/>
      <c r="J2782" s="9"/>
      <c r="K2782" s="9"/>
      <c r="O2782" s="11"/>
      <c r="P2782" s="9"/>
      <c r="Q2782" s="9"/>
      <c r="R2782" s="9"/>
      <c r="S2782" s="9"/>
      <c r="T2782" s="31"/>
      <c r="W2782" s="16"/>
      <c r="X2782" s="9"/>
      <c r="Y2782" s="9"/>
      <c r="AA2782" s="16"/>
      <c r="AK2782" s="16"/>
      <c r="AL2782" s="17"/>
      <c r="AN2782" s="16"/>
    </row>
    <row r="2783" spans="9:40" x14ac:dyDescent="0.4">
      <c r="I2783" s="11"/>
      <c r="J2783" s="9"/>
      <c r="K2783" s="9"/>
      <c r="O2783" s="11"/>
      <c r="P2783" s="9"/>
      <c r="Q2783" s="9"/>
      <c r="R2783" s="9"/>
      <c r="S2783" s="9"/>
      <c r="T2783" s="31"/>
      <c r="W2783" s="16"/>
      <c r="X2783" s="9"/>
      <c r="Y2783" s="9"/>
      <c r="AA2783" s="16"/>
      <c r="AK2783" s="16"/>
      <c r="AL2783" s="17"/>
      <c r="AN2783" s="16"/>
    </row>
    <row r="2784" spans="9:40" x14ac:dyDescent="0.4">
      <c r="I2784" s="11"/>
      <c r="J2784" s="9"/>
      <c r="K2784" s="9"/>
      <c r="O2784" s="11"/>
      <c r="P2784" s="9"/>
      <c r="Q2784" s="9"/>
      <c r="R2784" s="9"/>
      <c r="S2784" s="9"/>
      <c r="T2784" s="31"/>
      <c r="W2784" s="16"/>
      <c r="X2784" s="9"/>
      <c r="Y2784" s="9"/>
      <c r="AA2784" s="16"/>
      <c r="AK2784" s="16"/>
      <c r="AL2784" s="17"/>
      <c r="AN2784" s="16"/>
    </row>
    <row r="2785" spans="9:40" x14ac:dyDescent="0.4">
      <c r="I2785" s="11"/>
      <c r="J2785" s="9"/>
      <c r="K2785" s="9"/>
      <c r="O2785" s="11"/>
      <c r="P2785" s="9"/>
      <c r="Q2785" s="9"/>
      <c r="R2785" s="9"/>
      <c r="S2785" s="9"/>
      <c r="T2785" s="31"/>
      <c r="W2785" s="16"/>
      <c r="X2785" s="9"/>
      <c r="Y2785" s="9"/>
      <c r="AA2785" s="16"/>
      <c r="AK2785" s="16"/>
      <c r="AL2785" s="17"/>
      <c r="AN2785" s="16"/>
    </row>
    <row r="2786" spans="9:40" x14ac:dyDescent="0.4">
      <c r="I2786" s="11"/>
      <c r="J2786" s="9"/>
      <c r="K2786" s="9"/>
      <c r="O2786" s="11"/>
      <c r="P2786" s="9"/>
      <c r="Q2786" s="9"/>
      <c r="R2786" s="9"/>
      <c r="S2786" s="9"/>
      <c r="T2786" s="31"/>
      <c r="W2786" s="16"/>
      <c r="X2786" s="9"/>
      <c r="Y2786" s="9"/>
      <c r="AA2786" s="16"/>
      <c r="AK2786" s="16"/>
      <c r="AL2786" s="17"/>
      <c r="AN2786" s="16"/>
    </row>
    <row r="2787" spans="9:40" x14ac:dyDescent="0.4">
      <c r="I2787" s="11"/>
      <c r="J2787" s="9"/>
      <c r="K2787" s="9"/>
      <c r="O2787" s="11"/>
      <c r="P2787" s="9"/>
      <c r="Q2787" s="9"/>
      <c r="R2787" s="9"/>
      <c r="S2787" s="9"/>
      <c r="T2787" s="31"/>
      <c r="W2787" s="16"/>
      <c r="X2787" s="9"/>
      <c r="Y2787" s="9"/>
      <c r="AA2787" s="16"/>
      <c r="AK2787" s="16"/>
      <c r="AL2787" s="17"/>
      <c r="AN2787" s="16"/>
    </row>
    <row r="2788" spans="9:40" x14ac:dyDescent="0.4">
      <c r="I2788" s="11"/>
      <c r="J2788" s="9"/>
      <c r="K2788" s="9"/>
      <c r="O2788" s="11"/>
      <c r="P2788" s="9"/>
      <c r="Q2788" s="9"/>
      <c r="R2788" s="9"/>
      <c r="S2788" s="9"/>
      <c r="T2788" s="31"/>
      <c r="W2788" s="16"/>
      <c r="X2788" s="9"/>
      <c r="Y2788" s="9"/>
      <c r="AA2788" s="16"/>
      <c r="AK2788" s="16"/>
      <c r="AL2788" s="17"/>
      <c r="AN2788" s="16"/>
    </row>
    <row r="2789" spans="9:40" x14ac:dyDescent="0.4">
      <c r="I2789" s="11"/>
      <c r="J2789" s="9"/>
      <c r="K2789" s="9"/>
      <c r="O2789" s="11"/>
      <c r="P2789" s="9"/>
      <c r="Q2789" s="9"/>
      <c r="R2789" s="9"/>
      <c r="S2789" s="9"/>
      <c r="T2789" s="31"/>
      <c r="W2789" s="16"/>
      <c r="X2789" s="9"/>
      <c r="Y2789" s="9"/>
      <c r="AA2789" s="16"/>
      <c r="AK2789" s="16"/>
      <c r="AL2789" s="17"/>
      <c r="AN2789" s="16"/>
    </row>
    <row r="2790" spans="9:40" x14ac:dyDescent="0.4">
      <c r="I2790" s="11"/>
      <c r="J2790" s="9"/>
      <c r="K2790" s="9"/>
      <c r="O2790" s="11"/>
      <c r="P2790" s="9"/>
      <c r="Q2790" s="9"/>
      <c r="R2790" s="9"/>
      <c r="S2790" s="9"/>
      <c r="T2790" s="31"/>
      <c r="W2790" s="16"/>
      <c r="X2790" s="9"/>
      <c r="Y2790" s="9"/>
      <c r="AA2790" s="16"/>
      <c r="AK2790" s="16"/>
      <c r="AL2790" s="17"/>
      <c r="AN2790" s="16"/>
    </row>
    <row r="2791" spans="9:40" x14ac:dyDescent="0.4">
      <c r="I2791" s="11"/>
      <c r="J2791" s="9"/>
      <c r="K2791" s="9"/>
      <c r="O2791" s="11"/>
      <c r="P2791" s="9"/>
      <c r="Q2791" s="9"/>
      <c r="R2791" s="9"/>
      <c r="S2791" s="9"/>
      <c r="T2791" s="31"/>
      <c r="W2791" s="16"/>
      <c r="X2791" s="9"/>
      <c r="Y2791" s="9"/>
      <c r="AA2791" s="16"/>
      <c r="AK2791" s="16"/>
      <c r="AL2791" s="17"/>
      <c r="AN2791" s="16"/>
    </row>
    <row r="2792" spans="9:40" x14ac:dyDescent="0.4">
      <c r="I2792" s="11"/>
      <c r="J2792" s="9"/>
      <c r="K2792" s="9"/>
      <c r="O2792" s="11"/>
      <c r="P2792" s="9"/>
      <c r="Q2792" s="9"/>
      <c r="R2792" s="9"/>
      <c r="S2792" s="9"/>
      <c r="T2792" s="31"/>
      <c r="W2792" s="16"/>
      <c r="X2792" s="9"/>
      <c r="Y2792" s="9"/>
      <c r="AA2792" s="16"/>
      <c r="AK2792" s="16"/>
      <c r="AL2792" s="17"/>
      <c r="AN2792" s="16"/>
    </row>
    <row r="2793" spans="9:40" x14ac:dyDescent="0.4">
      <c r="I2793" s="11"/>
      <c r="J2793" s="9"/>
      <c r="K2793" s="9"/>
      <c r="O2793" s="11"/>
      <c r="P2793" s="9"/>
      <c r="Q2793" s="9"/>
      <c r="R2793" s="9"/>
      <c r="S2793" s="9"/>
      <c r="T2793" s="31"/>
      <c r="W2793" s="16"/>
      <c r="X2793" s="9"/>
      <c r="Y2793" s="9"/>
      <c r="AA2793" s="16"/>
      <c r="AK2793" s="16"/>
      <c r="AL2793" s="17"/>
      <c r="AN2793" s="16"/>
    </row>
    <row r="2794" spans="9:40" x14ac:dyDescent="0.4">
      <c r="I2794" s="11"/>
      <c r="J2794" s="9"/>
      <c r="K2794" s="9"/>
      <c r="O2794" s="11"/>
      <c r="P2794" s="9"/>
      <c r="Q2794" s="9"/>
      <c r="R2794" s="9"/>
      <c r="S2794" s="9"/>
      <c r="T2794" s="31"/>
      <c r="W2794" s="16"/>
      <c r="X2794" s="9"/>
      <c r="Y2794" s="9"/>
      <c r="AA2794" s="16"/>
      <c r="AK2794" s="16"/>
      <c r="AL2794" s="17"/>
      <c r="AN2794" s="16"/>
    </row>
    <row r="2795" spans="9:40" x14ac:dyDescent="0.4">
      <c r="I2795" s="11"/>
      <c r="J2795" s="9"/>
      <c r="K2795" s="9"/>
      <c r="O2795" s="11"/>
      <c r="P2795" s="9"/>
      <c r="Q2795" s="9"/>
      <c r="R2795" s="9"/>
      <c r="S2795" s="9"/>
      <c r="T2795" s="31"/>
      <c r="W2795" s="16"/>
      <c r="X2795" s="9"/>
      <c r="Y2795" s="9"/>
      <c r="AA2795" s="16"/>
      <c r="AK2795" s="16"/>
      <c r="AL2795" s="17"/>
      <c r="AN2795" s="16"/>
    </row>
    <row r="2796" spans="9:40" x14ac:dyDescent="0.4">
      <c r="I2796" s="11"/>
      <c r="J2796" s="9"/>
      <c r="K2796" s="9"/>
      <c r="O2796" s="11"/>
      <c r="P2796" s="9"/>
      <c r="Q2796" s="9"/>
      <c r="R2796" s="9"/>
      <c r="S2796" s="9"/>
      <c r="T2796" s="31"/>
      <c r="W2796" s="16"/>
      <c r="X2796" s="9"/>
      <c r="Y2796" s="9"/>
      <c r="AA2796" s="16"/>
      <c r="AK2796" s="16"/>
      <c r="AL2796" s="17"/>
      <c r="AN2796" s="16"/>
    </row>
    <row r="2797" spans="9:40" x14ac:dyDescent="0.4">
      <c r="I2797" s="11"/>
      <c r="J2797" s="9"/>
      <c r="K2797" s="9"/>
      <c r="O2797" s="11"/>
      <c r="P2797" s="9"/>
      <c r="Q2797" s="9"/>
      <c r="R2797" s="9"/>
      <c r="S2797" s="9"/>
      <c r="T2797" s="31"/>
      <c r="W2797" s="16"/>
      <c r="X2797" s="9"/>
      <c r="Y2797" s="9"/>
      <c r="AA2797" s="16"/>
      <c r="AK2797" s="16"/>
      <c r="AL2797" s="17"/>
      <c r="AN2797" s="16"/>
    </row>
    <row r="2798" spans="9:40" x14ac:dyDescent="0.4">
      <c r="I2798" s="11"/>
      <c r="J2798" s="9"/>
      <c r="K2798" s="9"/>
      <c r="O2798" s="11"/>
      <c r="P2798" s="9"/>
      <c r="Q2798" s="9"/>
      <c r="R2798" s="9"/>
      <c r="S2798" s="9"/>
      <c r="T2798" s="31"/>
      <c r="W2798" s="16"/>
      <c r="X2798" s="9"/>
      <c r="Y2798" s="9"/>
      <c r="AA2798" s="16"/>
      <c r="AK2798" s="16"/>
      <c r="AL2798" s="17"/>
      <c r="AN2798" s="16"/>
    </row>
    <row r="2799" spans="9:40" x14ac:dyDescent="0.4">
      <c r="I2799" s="11"/>
      <c r="J2799" s="9"/>
      <c r="K2799" s="9"/>
      <c r="O2799" s="11"/>
      <c r="P2799" s="9"/>
      <c r="Q2799" s="9"/>
      <c r="R2799" s="9"/>
      <c r="S2799" s="9"/>
      <c r="T2799" s="31"/>
      <c r="W2799" s="16"/>
      <c r="X2799" s="9"/>
      <c r="Y2799" s="9"/>
      <c r="AA2799" s="16"/>
      <c r="AK2799" s="16"/>
      <c r="AL2799" s="17"/>
      <c r="AN2799" s="16"/>
    </row>
    <row r="2800" spans="9:40" x14ac:dyDescent="0.4">
      <c r="I2800" s="11"/>
      <c r="J2800" s="9"/>
      <c r="K2800" s="9"/>
      <c r="O2800" s="11"/>
      <c r="P2800" s="9"/>
      <c r="Q2800" s="9"/>
      <c r="R2800" s="9"/>
      <c r="S2800" s="9"/>
      <c r="T2800" s="31"/>
      <c r="W2800" s="16"/>
      <c r="X2800" s="9"/>
      <c r="Y2800" s="9"/>
      <c r="AA2800" s="16"/>
      <c r="AK2800" s="16"/>
      <c r="AL2800" s="17"/>
      <c r="AN2800" s="16"/>
    </row>
    <row r="2801" spans="9:40" x14ac:dyDescent="0.4">
      <c r="I2801" s="11"/>
      <c r="J2801" s="9"/>
      <c r="K2801" s="9"/>
      <c r="O2801" s="11"/>
      <c r="P2801" s="9"/>
      <c r="Q2801" s="9"/>
      <c r="R2801" s="9"/>
      <c r="S2801" s="9"/>
      <c r="T2801" s="31"/>
      <c r="W2801" s="16"/>
      <c r="X2801" s="9"/>
      <c r="Y2801" s="9"/>
      <c r="AA2801" s="16"/>
      <c r="AK2801" s="16"/>
      <c r="AL2801" s="17"/>
      <c r="AN2801" s="16"/>
    </row>
    <row r="2802" spans="9:40" x14ac:dyDescent="0.4">
      <c r="I2802" s="11"/>
      <c r="J2802" s="9"/>
      <c r="K2802" s="9"/>
      <c r="O2802" s="11"/>
      <c r="P2802" s="9"/>
      <c r="Q2802" s="9"/>
      <c r="R2802" s="9"/>
      <c r="S2802" s="9"/>
      <c r="T2802" s="31"/>
      <c r="W2802" s="16"/>
      <c r="X2802" s="9"/>
      <c r="Y2802" s="9"/>
      <c r="AA2802" s="16"/>
      <c r="AK2802" s="16"/>
      <c r="AL2802" s="17"/>
      <c r="AN2802" s="16"/>
    </row>
    <row r="2803" spans="9:40" x14ac:dyDescent="0.4">
      <c r="I2803" s="11"/>
      <c r="J2803" s="9"/>
      <c r="K2803" s="9"/>
      <c r="O2803" s="11"/>
      <c r="P2803" s="9"/>
      <c r="Q2803" s="9"/>
      <c r="R2803" s="9"/>
      <c r="S2803" s="9"/>
      <c r="T2803" s="31"/>
      <c r="W2803" s="16"/>
      <c r="X2803" s="9"/>
      <c r="Y2803" s="9"/>
      <c r="AA2803" s="16"/>
      <c r="AK2803" s="16"/>
      <c r="AL2803" s="17"/>
      <c r="AN2803" s="16"/>
    </row>
    <row r="2804" spans="9:40" x14ac:dyDescent="0.4">
      <c r="I2804" s="11"/>
      <c r="J2804" s="9"/>
      <c r="K2804" s="9"/>
      <c r="O2804" s="11"/>
      <c r="P2804" s="9"/>
      <c r="Q2804" s="9"/>
      <c r="R2804" s="9"/>
      <c r="S2804" s="9"/>
      <c r="T2804" s="31"/>
      <c r="W2804" s="16"/>
      <c r="X2804" s="9"/>
      <c r="Y2804" s="9"/>
      <c r="AA2804" s="16"/>
      <c r="AK2804" s="16"/>
      <c r="AL2804" s="17"/>
      <c r="AN2804" s="16"/>
    </row>
    <row r="2805" spans="9:40" x14ac:dyDescent="0.4">
      <c r="I2805" s="11"/>
      <c r="J2805" s="9"/>
      <c r="K2805" s="9"/>
      <c r="O2805" s="11"/>
      <c r="P2805" s="9"/>
      <c r="Q2805" s="9"/>
      <c r="R2805" s="9"/>
      <c r="S2805" s="9"/>
      <c r="T2805" s="31"/>
      <c r="W2805" s="16"/>
      <c r="X2805" s="9"/>
      <c r="Y2805" s="9"/>
      <c r="AA2805" s="16"/>
      <c r="AK2805" s="16"/>
      <c r="AL2805" s="17"/>
      <c r="AN2805" s="16"/>
    </row>
    <row r="2806" spans="9:40" x14ac:dyDescent="0.4">
      <c r="I2806" s="11"/>
      <c r="J2806" s="9"/>
      <c r="K2806" s="9"/>
      <c r="O2806" s="11"/>
      <c r="P2806" s="9"/>
      <c r="Q2806" s="9"/>
      <c r="R2806" s="9"/>
      <c r="S2806" s="9"/>
      <c r="T2806" s="31"/>
      <c r="W2806" s="16"/>
      <c r="X2806" s="9"/>
      <c r="Y2806" s="9"/>
      <c r="AA2806" s="16"/>
      <c r="AK2806" s="16"/>
      <c r="AL2806" s="17"/>
      <c r="AN2806" s="16"/>
    </row>
    <row r="2807" spans="9:40" x14ac:dyDescent="0.4">
      <c r="I2807" s="11"/>
      <c r="J2807" s="9"/>
      <c r="K2807" s="9"/>
      <c r="O2807" s="11"/>
      <c r="P2807" s="9"/>
      <c r="Q2807" s="9"/>
      <c r="R2807" s="9"/>
      <c r="S2807" s="9"/>
      <c r="T2807" s="31"/>
      <c r="W2807" s="16"/>
      <c r="X2807" s="9"/>
      <c r="Y2807" s="9"/>
      <c r="AA2807" s="16"/>
      <c r="AK2807" s="16"/>
      <c r="AL2807" s="17"/>
      <c r="AN2807" s="16"/>
    </row>
    <row r="2808" spans="9:40" x14ac:dyDescent="0.4">
      <c r="I2808" s="11"/>
      <c r="J2808" s="9"/>
      <c r="K2808" s="9"/>
      <c r="O2808" s="11"/>
      <c r="P2808" s="9"/>
      <c r="Q2808" s="9"/>
      <c r="R2808" s="9"/>
      <c r="S2808" s="9"/>
      <c r="T2808" s="31"/>
      <c r="W2808" s="16"/>
      <c r="X2808" s="9"/>
      <c r="Y2808" s="9"/>
      <c r="AA2808" s="16"/>
      <c r="AK2808" s="16"/>
      <c r="AL2808" s="17"/>
      <c r="AN2808" s="16"/>
    </row>
    <row r="2809" spans="9:40" x14ac:dyDescent="0.4">
      <c r="I2809" s="11"/>
      <c r="J2809" s="9"/>
      <c r="K2809" s="9"/>
      <c r="O2809" s="11"/>
      <c r="P2809" s="9"/>
      <c r="Q2809" s="9"/>
      <c r="R2809" s="9"/>
      <c r="S2809" s="9"/>
      <c r="T2809" s="31"/>
      <c r="W2809" s="16"/>
      <c r="X2809" s="9"/>
      <c r="Y2809" s="9"/>
      <c r="AA2809" s="16"/>
      <c r="AK2809" s="16"/>
      <c r="AL2809" s="17"/>
      <c r="AN2809" s="16"/>
    </row>
    <row r="2810" spans="9:40" x14ac:dyDescent="0.4">
      <c r="I2810" s="11"/>
      <c r="J2810" s="9"/>
      <c r="K2810" s="9"/>
      <c r="O2810" s="11"/>
      <c r="P2810" s="9"/>
      <c r="Q2810" s="9"/>
      <c r="R2810" s="9"/>
      <c r="S2810" s="9"/>
      <c r="T2810" s="31"/>
      <c r="W2810" s="16"/>
      <c r="X2810" s="9"/>
      <c r="Y2810" s="9"/>
      <c r="AA2810" s="16"/>
      <c r="AK2810" s="16"/>
      <c r="AL2810" s="17"/>
      <c r="AN2810" s="16"/>
    </row>
    <row r="2811" spans="9:40" x14ac:dyDescent="0.4">
      <c r="I2811" s="11"/>
      <c r="J2811" s="9"/>
      <c r="K2811" s="9"/>
      <c r="O2811" s="11"/>
      <c r="P2811" s="9"/>
      <c r="Q2811" s="9"/>
      <c r="R2811" s="9"/>
      <c r="S2811" s="9"/>
      <c r="T2811" s="31"/>
      <c r="W2811" s="16"/>
      <c r="X2811" s="9"/>
      <c r="Y2811" s="9"/>
      <c r="AA2811" s="16"/>
      <c r="AK2811" s="16"/>
      <c r="AL2811" s="17"/>
      <c r="AN2811" s="16"/>
    </row>
    <row r="2812" spans="9:40" x14ac:dyDescent="0.4">
      <c r="I2812" s="11"/>
      <c r="J2812" s="9"/>
      <c r="K2812" s="9"/>
      <c r="O2812" s="11"/>
      <c r="P2812" s="9"/>
      <c r="Q2812" s="9"/>
      <c r="R2812" s="9"/>
      <c r="S2812" s="9"/>
      <c r="T2812" s="31"/>
      <c r="W2812" s="16"/>
      <c r="X2812" s="9"/>
      <c r="Y2812" s="9"/>
      <c r="AA2812" s="16"/>
      <c r="AK2812" s="16"/>
      <c r="AL2812" s="17"/>
      <c r="AN2812" s="16"/>
    </row>
    <row r="2813" spans="9:40" x14ac:dyDescent="0.4">
      <c r="I2813" s="11"/>
      <c r="J2813" s="9"/>
      <c r="K2813" s="9"/>
      <c r="O2813" s="11"/>
      <c r="P2813" s="9"/>
      <c r="Q2813" s="9"/>
      <c r="R2813" s="9"/>
      <c r="S2813" s="9"/>
      <c r="T2813" s="31"/>
      <c r="W2813" s="16"/>
      <c r="X2813" s="9"/>
      <c r="Y2813" s="9"/>
      <c r="AA2813" s="16"/>
      <c r="AK2813" s="16"/>
      <c r="AL2813" s="17"/>
      <c r="AN2813" s="16"/>
    </row>
    <row r="2814" spans="9:40" x14ac:dyDescent="0.4">
      <c r="I2814" s="11"/>
      <c r="J2814" s="9"/>
      <c r="K2814" s="9"/>
      <c r="O2814" s="11"/>
      <c r="P2814" s="9"/>
      <c r="Q2814" s="9"/>
      <c r="R2814" s="9"/>
      <c r="S2814" s="9"/>
      <c r="T2814" s="31"/>
      <c r="W2814" s="16"/>
      <c r="X2814" s="9"/>
      <c r="Y2814" s="9"/>
      <c r="AA2814" s="16"/>
      <c r="AK2814" s="16"/>
      <c r="AL2814" s="17"/>
      <c r="AN2814" s="16"/>
    </row>
    <row r="2815" spans="9:40" x14ac:dyDescent="0.4">
      <c r="I2815" s="11"/>
      <c r="J2815" s="9"/>
      <c r="K2815" s="9"/>
      <c r="O2815" s="11"/>
      <c r="P2815" s="9"/>
      <c r="Q2815" s="9"/>
      <c r="R2815" s="9"/>
      <c r="S2815" s="9"/>
      <c r="T2815" s="31"/>
      <c r="W2815" s="16"/>
      <c r="X2815" s="9"/>
      <c r="Y2815" s="9"/>
      <c r="AA2815" s="16"/>
      <c r="AK2815" s="16"/>
      <c r="AL2815" s="17"/>
      <c r="AN2815" s="16"/>
    </row>
    <row r="2816" spans="9:40" x14ac:dyDescent="0.4">
      <c r="I2816" s="11"/>
      <c r="J2816" s="9"/>
      <c r="K2816" s="9"/>
      <c r="O2816" s="11"/>
      <c r="P2816" s="9"/>
      <c r="Q2816" s="9"/>
      <c r="R2816" s="9"/>
      <c r="S2816" s="9"/>
      <c r="T2816" s="31"/>
      <c r="W2816" s="16"/>
      <c r="X2816" s="9"/>
      <c r="Y2816" s="9"/>
      <c r="AA2816" s="16"/>
      <c r="AK2816" s="16"/>
      <c r="AL2816" s="17"/>
      <c r="AN2816" s="16"/>
    </row>
    <row r="2817" spans="9:40" x14ac:dyDescent="0.4">
      <c r="I2817" s="11"/>
      <c r="J2817" s="9"/>
      <c r="K2817" s="9"/>
      <c r="O2817" s="11"/>
      <c r="P2817" s="9"/>
      <c r="Q2817" s="9"/>
      <c r="R2817" s="9"/>
      <c r="S2817" s="9"/>
      <c r="T2817" s="31"/>
      <c r="W2817" s="16"/>
      <c r="X2817" s="9"/>
      <c r="Y2817" s="9"/>
      <c r="AA2817" s="16"/>
      <c r="AK2817" s="16"/>
      <c r="AL2817" s="17"/>
      <c r="AN2817" s="16"/>
    </row>
    <row r="2818" spans="9:40" x14ac:dyDescent="0.4">
      <c r="I2818" s="11"/>
      <c r="J2818" s="9"/>
      <c r="K2818" s="9"/>
      <c r="O2818" s="11"/>
      <c r="P2818" s="9"/>
      <c r="Q2818" s="9"/>
      <c r="R2818" s="9"/>
      <c r="S2818" s="9"/>
      <c r="T2818" s="31"/>
      <c r="W2818" s="16"/>
      <c r="X2818" s="9"/>
      <c r="Y2818" s="9"/>
      <c r="AA2818" s="16"/>
      <c r="AK2818" s="16"/>
      <c r="AL2818" s="17"/>
      <c r="AN2818" s="16"/>
    </row>
    <row r="2819" spans="9:40" x14ac:dyDescent="0.4">
      <c r="I2819" s="11"/>
      <c r="J2819" s="9"/>
      <c r="K2819" s="9"/>
      <c r="O2819" s="11"/>
      <c r="P2819" s="9"/>
      <c r="Q2819" s="9"/>
      <c r="R2819" s="9"/>
      <c r="S2819" s="9"/>
      <c r="T2819" s="31"/>
      <c r="W2819" s="16"/>
      <c r="X2819" s="9"/>
      <c r="Y2819" s="9"/>
      <c r="AA2819" s="16"/>
      <c r="AK2819" s="16"/>
      <c r="AL2819" s="17"/>
      <c r="AN2819" s="16"/>
    </row>
    <row r="2820" spans="9:40" x14ac:dyDescent="0.4">
      <c r="I2820" s="11"/>
      <c r="J2820" s="9"/>
      <c r="K2820" s="9"/>
      <c r="O2820" s="11"/>
      <c r="P2820" s="9"/>
      <c r="Q2820" s="9"/>
      <c r="R2820" s="9"/>
      <c r="S2820" s="9"/>
      <c r="T2820" s="31"/>
      <c r="W2820" s="16"/>
      <c r="X2820" s="9"/>
      <c r="Y2820" s="9"/>
      <c r="AA2820" s="16"/>
      <c r="AK2820" s="16"/>
      <c r="AL2820" s="17"/>
      <c r="AN2820" s="16"/>
    </row>
    <row r="2821" spans="9:40" x14ac:dyDescent="0.4">
      <c r="I2821" s="11"/>
      <c r="J2821" s="9"/>
      <c r="K2821" s="9"/>
      <c r="O2821" s="11"/>
      <c r="P2821" s="9"/>
      <c r="Q2821" s="9"/>
      <c r="R2821" s="9"/>
      <c r="S2821" s="9"/>
      <c r="T2821" s="31"/>
      <c r="W2821" s="16"/>
      <c r="X2821" s="9"/>
      <c r="Y2821" s="9"/>
      <c r="AA2821" s="16"/>
      <c r="AK2821" s="16"/>
      <c r="AL2821" s="17"/>
      <c r="AN2821" s="16"/>
    </row>
    <row r="2822" spans="9:40" x14ac:dyDescent="0.4">
      <c r="I2822" s="11"/>
      <c r="J2822" s="9"/>
      <c r="K2822" s="9"/>
      <c r="O2822" s="11"/>
      <c r="P2822" s="9"/>
      <c r="Q2822" s="9"/>
      <c r="R2822" s="9"/>
      <c r="S2822" s="9"/>
      <c r="T2822" s="31"/>
      <c r="W2822" s="16"/>
      <c r="X2822" s="9"/>
      <c r="Y2822" s="9"/>
      <c r="AA2822" s="16"/>
      <c r="AK2822" s="16"/>
      <c r="AL2822" s="17"/>
      <c r="AN2822" s="16"/>
    </row>
    <row r="2823" spans="9:40" x14ac:dyDescent="0.4">
      <c r="I2823" s="11"/>
      <c r="J2823" s="9"/>
      <c r="K2823" s="9"/>
      <c r="O2823" s="11"/>
      <c r="P2823" s="9"/>
      <c r="Q2823" s="9"/>
      <c r="R2823" s="9"/>
      <c r="S2823" s="9"/>
      <c r="T2823" s="31"/>
      <c r="W2823" s="16"/>
      <c r="X2823" s="9"/>
      <c r="Y2823" s="9"/>
      <c r="AA2823" s="16"/>
      <c r="AK2823" s="16"/>
      <c r="AL2823" s="17"/>
      <c r="AN2823" s="16"/>
    </row>
    <row r="2824" spans="9:40" x14ac:dyDescent="0.4">
      <c r="I2824" s="11"/>
      <c r="J2824" s="9"/>
      <c r="K2824" s="9"/>
      <c r="O2824" s="11"/>
      <c r="P2824" s="9"/>
      <c r="Q2824" s="9"/>
      <c r="R2824" s="9"/>
      <c r="S2824" s="9"/>
      <c r="T2824" s="31"/>
      <c r="W2824" s="16"/>
      <c r="X2824" s="9"/>
      <c r="Y2824" s="9"/>
      <c r="AA2824" s="16"/>
      <c r="AK2824" s="16"/>
      <c r="AL2824" s="17"/>
      <c r="AN2824" s="16"/>
    </row>
    <row r="2825" spans="9:40" x14ac:dyDescent="0.4">
      <c r="I2825" s="11"/>
      <c r="J2825" s="9"/>
      <c r="K2825" s="9"/>
      <c r="O2825" s="11"/>
      <c r="P2825" s="9"/>
      <c r="Q2825" s="9"/>
      <c r="R2825" s="9"/>
      <c r="S2825" s="9"/>
      <c r="T2825" s="31"/>
      <c r="W2825" s="16"/>
      <c r="X2825" s="9"/>
      <c r="Y2825" s="9"/>
      <c r="AA2825" s="16"/>
      <c r="AK2825" s="16"/>
      <c r="AL2825" s="17"/>
      <c r="AN2825" s="16"/>
    </row>
    <row r="2826" spans="9:40" x14ac:dyDescent="0.4">
      <c r="I2826" s="11"/>
      <c r="J2826" s="9"/>
      <c r="K2826" s="9"/>
      <c r="O2826" s="11"/>
      <c r="P2826" s="9"/>
      <c r="Q2826" s="9"/>
      <c r="R2826" s="9"/>
      <c r="S2826" s="9"/>
      <c r="T2826" s="31"/>
      <c r="W2826" s="16"/>
      <c r="X2826" s="9"/>
      <c r="Y2826" s="9"/>
      <c r="AA2826" s="16"/>
      <c r="AK2826" s="16"/>
      <c r="AL2826" s="17"/>
      <c r="AN2826" s="16"/>
    </row>
    <row r="2827" spans="9:40" x14ac:dyDescent="0.4">
      <c r="I2827" s="11"/>
      <c r="J2827" s="9"/>
      <c r="K2827" s="9"/>
      <c r="O2827" s="11"/>
      <c r="P2827" s="9"/>
      <c r="Q2827" s="9"/>
      <c r="R2827" s="9"/>
      <c r="S2827" s="9"/>
      <c r="T2827" s="31"/>
      <c r="W2827" s="16"/>
      <c r="X2827" s="9"/>
      <c r="Y2827" s="9"/>
      <c r="AA2827" s="16"/>
      <c r="AK2827" s="16"/>
      <c r="AL2827" s="17"/>
    </row>
    <row r="2828" spans="9:40" x14ac:dyDescent="0.4">
      <c r="I2828" s="11"/>
      <c r="J2828" s="9"/>
      <c r="K2828" s="9"/>
      <c r="O2828" s="11"/>
      <c r="P2828" s="9"/>
      <c r="Q2828" s="9"/>
      <c r="R2828" s="9"/>
      <c r="S2828" s="9"/>
      <c r="T2828" s="31"/>
      <c r="W2828" s="16"/>
      <c r="X2828" s="9"/>
      <c r="Y2828" s="9"/>
      <c r="AA2828" s="16"/>
      <c r="AK2828" s="16"/>
      <c r="AL2828" s="17"/>
    </row>
    <row r="2829" spans="9:40" x14ac:dyDescent="0.4">
      <c r="I2829" s="11"/>
      <c r="J2829" s="9"/>
      <c r="K2829" s="9"/>
      <c r="O2829" s="11"/>
      <c r="P2829" s="9"/>
      <c r="Q2829" s="9"/>
      <c r="R2829" s="9"/>
      <c r="S2829" s="9"/>
      <c r="T2829" s="31"/>
      <c r="W2829" s="16"/>
      <c r="X2829" s="9"/>
      <c r="Y2829" s="9"/>
      <c r="AA2829" s="16"/>
      <c r="AK2829" s="16"/>
      <c r="AL2829" s="17"/>
    </row>
    <row r="2830" spans="9:40" x14ac:dyDescent="0.4">
      <c r="I2830" s="11"/>
      <c r="J2830" s="9"/>
      <c r="K2830" s="9"/>
      <c r="O2830" s="11"/>
      <c r="P2830" s="9"/>
      <c r="Q2830" s="9"/>
      <c r="R2830" s="9"/>
      <c r="S2830" s="9"/>
      <c r="T2830" s="31"/>
      <c r="W2830" s="16"/>
      <c r="X2830" s="9"/>
      <c r="Y2830" s="9"/>
      <c r="AA2830" s="16"/>
      <c r="AK2830" s="16"/>
      <c r="AL2830" s="17"/>
    </row>
    <row r="2831" spans="9:40" x14ac:dyDescent="0.4">
      <c r="I2831" s="11"/>
      <c r="J2831" s="9"/>
      <c r="K2831" s="9"/>
      <c r="O2831" s="11"/>
      <c r="P2831" s="9"/>
      <c r="Q2831" s="9"/>
      <c r="R2831" s="9"/>
      <c r="S2831" s="9"/>
      <c r="T2831" s="31"/>
      <c r="W2831" s="16"/>
      <c r="X2831" s="9"/>
      <c r="Y2831" s="9"/>
      <c r="AA2831" s="16"/>
      <c r="AK2831" s="16"/>
      <c r="AL2831" s="17"/>
    </row>
    <row r="2832" spans="9:40" x14ac:dyDescent="0.4">
      <c r="I2832" s="11"/>
      <c r="J2832" s="9"/>
      <c r="K2832" s="9"/>
      <c r="O2832" s="11"/>
      <c r="P2832" s="9"/>
      <c r="Q2832" s="9"/>
      <c r="R2832" s="9"/>
      <c r="S2832" s="9"/>
      <c r="T2832" s="31"/>
      <c r="W2832" s="16"/>
      <c r="X2832" s="9"/>
      <c r="Y2832" s="9"/>
      <c r="AA2832" s="16"/>
      <c r="AK2832" s="16"/>
      <c r="AL2832" s="17"/>
    </row>
    <row r="2833" spans="9:38" x14ac:dyDescent="0.4">
      <c r="I2833" s="11"/>
      <c r="J2833" s="9"/>
      <c r="K2833" s="9"/>
      <c r="O2833" s="11"/>
      <c r="P2833" s="9"/>
      <c r="Q2833" s="9"/>
      <c r="R2833" s="9"/>
      <c r="S2833" s="9"/>
      <c r="T2833" s="31"/>
      <c r="W2833" s="16"/>
      <c r="X2833" s="9"/>
      <c r="Y2833" s="9"/>
      <c r="AA2833" s="16"/>
      <c r="AK2833" s="16"/>
      <c r="AL2833" s="17"/>
    </row>
    <row r="2834" spans="9:38" x14ac:dyDescent="0.4">
      <c r="I2834" s="11"/>
      <c r="J2834" s="9"/>
      <c r="K2834" s="9"/>
      <c r="O2834" s="11"/>
      <c r="P2834" s="9"/>
      <c r="Q2834" s="9"/>
      <c r="R2834" s="9"/>
      <c r="S2834" s="9"/>
      <c r="T2834" s="31"/>
      <c r="W2834" s="16"/>
      <c r="X2834" s="9"/>
      <c r="Y2834" s="9"/>
      <c r="AA2834" s="16"/>
      <c r="AK2834" s="16"/>
      <c r="AL2834" s="17"/>
    </row>
    <row r="2835" spans="9:38" x14ac:dyDescent="0.4">
      <c r="I2835" s="11"/>
      <c r="J2835" s="9"/>
      <c r="K2835" s="9"/>
      <c r="O2835" s="11"/>
      <c r="P2835" s="9"/>
      <c r="Q2835" s="9"/>
      <c r="R2835" s="9"/>
      <c r="S2835" s="9"/>
      <c r="T2835" s="31"/>
      <c r="W2835" s="16"/>
      <c r="X2835" s="9"/>
      <c r="Y2835" s="9"/>
      <c r="AA2835" s="16"/>
      <c r="AK2835" s="16"/>
      <c r="AL2835" s="17"/>
    </row>
    <row r="2836" spans="9:38" x14ac:dyDescent="0.4">
      <c r="I2836" s="11"/>
      <c r="J2836" s="9"/>
      <c r="K2836" s="9"/>
      <c r="O2836" s="11"/>
      <c r="P2836" s="9"/>
      <c r="Q2836" s="9"/>
      <c r="R2836" s="9"/>
      <c r="S2836" s="9"/>
      <c r="T2836" s="31"/>
      <c r="W2836" s="16"/>
      <c r="X2836" s="9"/>
      <c r="Y2836" s="9"/>
      <c r="AA2836" s="16"/>
      <c r="AK2836" s="16"/>
      <c r="AL2836" s="17"/>
    </row>
    <row r="2837" spans="9:38" x14ac:dyDescent="0.4">
      <c r="I2837" s="11"/>
      <c r="J2837" s="9"/>
      <c r="K2837" s="9"/>
      <c r="O2837" s="11"/>
      <c r="P2837" s="9"/>
      <c r="Q2837" s="9"/>
      <c r="R2837" s="9"/>
      <c r="S2837" s="9"/>
      <c r="T2837" s="31"/>
      <c r="W2837" s="16"/>
      <c r="X2837" s="9"/>
      <c r="Y2837" s="9"/>
      <c r="AA2837" s="16"/>
      <c r="AK2837" s="16"/>
      <c r="AL2837" s="17"/>
    </row>
    <row r="2838" spans="9:38" x14ac:dyDescent="0.4">
      <c r="I2838" s="11"/>
      <c r="J2838" s="9"/>
      <c r="K2838" s="9"/>
      <c r="O2838" s="11"/>
      <c r="P2838" s="9"/>
      <c r="Q2838" s="9"/>
      <c r="R2838" s="9"/>
      <c r="S2838" s="9"/>
      <c r="T2838" s="31"/>
      <c r="W2838" s="16"/>
      <c r="X2838" s="9"/>
      <c r="Y2838" s="9"/>
      <c r="AA2838" s="16"/>
      <c r="AK2838" s="16"/>
      <c r="AL2838" s="17"/>
    </row>
    <row r="2839" spans="9:38" x14ac:dyDescent="0.4">
      <c r="I2839" s="11"/>
      <c r="J2839" s="9"/>
      <c r="K2839" s="9"/>
      <c r="O2839" s="11"/>
      <c r="P2839" s="9"/>
      <c r="Q2839" s="9"/>
      <c r="R2839" s="9"/>
      <c r="S2839" s="9"/>
      <c r="T2839" s="31"/>
      <c r="W2839" s="16"/>
      <c r="X2839" s="9"/>
      <c r="Y2839" s="9"/>
      <c r="AA2839" s="16"/>
      <c r="AK2839" s="16"/>
      <c r="AL2839" s="17"/>
    </row>
    <row r="2840" spans="9:38" x14ac:dyDescent="0.4">
      <c r="I2840" s="11"/>
      <c r="J2840" s="9"/>
      <c r="K2840" s="9"/>
      <c r="O2840" s="11"/>
      <c r="P2840" s="9"/>
      <c r="Q2840" s="9"/>
      <c r="R2840" s="9"/>
      <c r="S2840" s="9"/>
      <c r="T2840" s="31"/>
      <c r="W2840" s="16"/>
      <c r="X2840" s="9"/>
      <c r="Y2840" s="9"/>
      <c r="AA2840" s="16"/>
      <c r="AK2840" s="16"/>
      <c r="AL2840" s="17"/>
    </row>
    <row r="2841" spans="9:38" x14ac:dyDescent="0.4">
      <c r="I2841" s="11"/>
      <c r="J2841" s="9"/>
      <c r="K2841" s="9"/>
      <c r="O2841" s="11"/>
      <c r="P2841" s="9"/>
      <c r="Q2841" s="9"/>
      <c r="R2841" s="9"/>
      <c r="S2841" s="9"/>
      <c r="T2841" s="31"/>
      <c r="W2841" s="16"/>
      <c r="X2841" s="9"/>
      <c r="Y2841" s="9"/>
      <c r="AA2841" s="16"/>
      <c r="AK2841" s="16"/>
      <c r="AL2841" s="17"/>
    </row>
    <row r="2842" spans="9:38" x14ac:dyDescent="0.4">
      <c r="I2842" s="11"/>
      <c r="J2842" s="9"/>
      <c r="K2842" s="9"/>
      <c r="O2842" s="11"/>
      <c r="P2842" s="9"/>
      <c r="Q2842" s="9"/>
      <c r="R2842" s="9"/>
      <c r="S2842" s="9"/>
      <c r="T2842" s="31"/>
      <c r="W2842" s="16"/>
      <c r="X2842" s="9"/>
      <c r="Y2842" s="9"/>
      <c r="AA2842" s="16"/>
      <c r="AK2842" s="16"/>
      <c r="AL2842" s="17"/>
    </row>
    <row r="2843" spans="9:38" x14ac:dyDescent="0.4">
      <c r="I2843" s="11"/>
      <c r="J2843" s="9"/>
      <c r="K2843" s="9"/>
      <c r="O2843" s="11"/>
      <c r="P2843" s="9"/>
      <c r="Q2843" s="9"/>
      <c r="R2843" s="9"/>
      <c r="S2843" s="9"/>
      <c r="T2843" s="31"/>
      <c r="W2843" s="16"/>
      <c r="X2843" s="9"/>
      <c r="Y2843" s="9"/>
      <c r="AA2843" s="16"/>
      <c r="AK2843" s="16"/>
      <c r="AL2843" s="17"/>
    </row>
    <row r="2844" spans="9:38" x14ac:dyDescent="0.4">
      <c r="I2844" s="11"/>
      <c r="J2844" s="9"/>
      <c r="K2844" s="9"/>
      <c r="O2844" s="11"/>
      <c r="P2844" s="9"/>
      <c r="Q2844" s="9"/>
      <c r="R2844" s="9"/>
      <c r="S2844" s="9"/>
      <c r="T2844" s="31"/>
      <c r="W2844" s="16"/>
      <c r="X2844" s="9"/>
      <c r="Y2844" s="9"/>
      <c r="AA2844" s="16"/>
      <c r="AK2844" s="16"/>
      <c r="AL2844" s="17"/>
    </row>
    <row r="2845" spans="9:38" x14ac:dyDescent="0.4">
      <c r="I2845" s="11"/>
      <c r="J2845" s="9"/>
      <c r="K2845" s="9"/>
      <c r="O2845" s="11"/>
      <c r="P2845" s="9"/>
      <c r="Q2845" s="9"/>
      <c r="R2845" s="9"/>
      <c r="S2845" s="9"/>
      <c r="T2845" s="31"/>
      <c r="W2845" s="16"/>
      <c r="X2845" s="9"/>
      <c r="Y2845" s="9"/>
      <c r="AA2845" s="16"/>
      <c r="AK2845" s="16"/>
      <c r="AL2845" s="17"/>
    </row>
    <row r="2846" spans="9:38" x14ac:dyDescent="0.4">
      <c r="I2846" s="11"/>
      <c r="J2846" s="9"/>
      <c r="K2846" s="9"/>
      <c r="O2846" s="11"/>
      <c r="P2846" s="9"/>
      <c r="Q2846" s="9"/>
      <c r="R2846" s="9"/>
      <c r="S2846" s="9"/>
      <c r="T2846" s="31"/>
      <c r="W2846" s="16"/>
      <c r="X2846" s="9"/>
      <c r="Y2846" s="9"/>
      <c r="AA2846" s="16"/>
      <c r="AK2846" s="16"/>
      <c r="AL2846" s="17"/>
    </row>
    <row r="2847" spans="9:38" x14ac:dyDescent="0.4">
      <c r="I2847" s="11"/>
      <c r="J2847" s="9"/>
      <c r="K2847" s="9"/>
      <c r="O2847" s="11"/>
      <c r="P2847" s="9"/>
      <c r="Q2847" s="9"/>
      <c r="R2847" s="9"/>
      <c r="S2847" s="9"/>
      <c r="T2847" s="31"/>
      <c r="W2847" s="16"/>
      <c r="X2847" s="9"/>
      <c r="Y2847" s="9"/>
      <c r="AA2847" s="16"/>
      <c r="AK2847" s="16"/>
      <c r="AL2847" s="17"/>
    </row>
    <row r="2848" spans="9:38" x14ac:dyDescent="0.4">
      <c r="I2848" s="11"/>
      <c r="J2848" s="9"/>
      <c r="K2848" s="9"/>
      <c r="O2848" s="11"/>
      <c r="P2848" s="9"/>
      <c r="Q2848" s="9"/>
      <c r="R2848" s="9"/>
      <c r="S2848" s="9"/>
      <c r="T2848" s="31"/>
      <c r="W2848" s="16"/>
      <c r="X2848" s="9"/>
      <c r="Y2848" s="9"/>
      <c r="AA2848" s="16"/>
      <c r="AK2848" s="16"/>
      <c r="AL2848" s="17"/>
    </row>
    <row r="2849" spans="9:38" x14ac:dyDescent="0.4">
      <c r="I2849" s="11"/>
      <c r="J2849" s="9"/>
      <c r="K2849" s="9"/>
      <c r="O2849" s="11"/>
      <c r="P2849" s="9"/>
      <c r="Q2849" s="9"/>
      <c r="R2849" s="9"/>
      <c r="S2849" s="9"/>
      <c r="T2849" s="31"/>
      <c r="W2849" s="16"/>
      <c r="X2849" s="9"/>
      <c r="Y2849" s="9"/>
      <c r="AA2849" s="16"/>
      <c r="AK2849" s="16"/>
      <c r="AL2849" s="17"/>
    </row>
    <row r="2850" spans="9:38" x14ac:dyDescent="0.4">
      <c r="I2850" s="11"/>
      <c r="J2850" s="9"/>
      <c r="K2850" s="9"/>
      <c r="O2850" s="11"/>
      <c r="P2850" s="9"/>
      <c r="Q2850" s="9"/>
      <c r="R2850" s="9"/>
      <c r="S2850" s="9"/>
      <c r="T2850" s="31"/>
      <c r="W2850" s="16"/>
      <c r="X2850" s="9"/>
      <c r="Y2850" s="9"/>
      <c r="AA2850" s="16"/>
      <c r="AK2850" s="16"/>
      <c r="AL2850" s="17"/>
    </row>
    <row r="2851" spans="9:38" x14ac:dyDescent="0.4">
      <c r="I2851" s="11"/>
      <c r="J2851" s="9"/>
      <c r="K2851" s="9"/>
      <c r="O2851" s="11"/>
      <c r="P2851" s="9"/>
      <c r="Q2851" s="9"/>
      <c r="R2851" s="9"/>
      <c r="S2851" s="9"/>
      <c r="T2851" s="31"/>
      <c r="W2851" s="16"/>
      <c r="X2851" s="9"/>
      <c r="Y2851" s="9"/>
      <c r="AA2851" s="16"/>
      <c r="AK2851" s="16"/>
      <c r="AL2851" s="17"/>
    </row>
    <row r="2852" spans="9:38" x14ac:dyDescent="0.4">
      <c r="I2852" s="11"/>
      <c r="J2852" s="9"/>
      <c r="K2852" s="9"/>
      <c r="O2852" s="11"/>
      <c r="P2852" s="9"/>
      <c r="Q2852" s="9"/>
      <c r="R2852" s="9"/>
      <c r="S2852" s="9"/>
      <c r="T2852" s="31"/>
      <c r="W2852" s="16"/>
      <c r="X2852" s="9"/>
      <c r="Y2852" s="9"/>
      <c r="AA2852" s="16"/>
      <c r="AK2852" s="16"/>
      <c r="AL2852" s="17"/>
    </row>
    <row r="2853" spans="9:38" x14ac:dyDescent="0.4">
      <c r="I2853" s="11"/>
      <c r="J2853" s="9"/>
      <c r="K2853" s="9"/>
      <c r="O2853" s="11"/>
      <c r="P2853" s="9"/>
      <c r="Q2853" s="9"/>
      <c r="R2853" s="9"/>
      <c r="S2853" s="9"/>
      <c r="T2853" s="31"/>
      <c r="W2853" s="16"/>
      <c r="X2853" s="9"/>
      <c r="Y2853" s="9"/>
      <c r="AA2853" s="16"/>
      <c r="AK2853" s="16"/>
      <c r="AL2853" s="17"/>
    </row>
    <row r="2854" spans="9:38" x14ac:dyDescent="0.4">
      <c r="I2854" s="11"/>
      <c r="J2854" s="9"/>
      <c r="K2854" s="9"/>
      <c r="O2854" s="11"/>
      <c r="P2854" s="9"/>
      <c r="Q2854" s="9"/>
      <c r="R2854" s="9"/>
      <c r="S2854" s="9"/>
      <c r="T2854" s="31"/>
      <c r="W2854" s="16"/>
      <c r="X2854" s="9"/>
      <c r="Y2854" s="9"/>
      <c r="AA2854" s="16"/>
      <c r="AK2854" s="16"/>
      <c r="AL2854" s="17"/>
    </row>
    <row r="2855" spans="9:38" x14ac:dyDescent="0.4">
      <c r="I2855" s="11"/>
      <c r="J2855" s="9"/>
      <c r="K2855" s="9"/>
      <c r="O2855" s="11"/>
      <c r="P2855" s="9"/>
      <c r="Q2855" s="9"/>
      <c r="R2855" s="9"/>
      <c r="S2855" s="9"/>
      <c r="T2855" s="31"/>
      <c r="W2855" s="16"/>
      <c r="X2855" s="9"/>
      <c r="Y2855" s="9"/>
      <c r="AA2855" s="16"/>
      <c r="AK2855" s="16"/>
      <c r="AL2855" s="17"/>
    </row>
    <row r="2856" spans="9:38" x14ac:dyDescent="0.4">
      <c r="I2856" s="11"/>
      <c r="J2856" s="9"/>
      <c r="K2856" s="9"/>
      <c r="O2856" s="11"/>
      <c r="P2856" s="9"/>
      <c r="Q2856" s="9"/>
      <c r="R2856" s="9"/>
      <c r="S2856" s="9"/>
      <c r="T2856" s="31"/>
      <c r="W2856" s="16"/>
      <c r="X2856" s="9"/>
      <c r="Y2856" s="9"/>
      <c r="AA2856" s="16"/>
      <c r="AK2856" s="16"/>
      <c r="AL2856" s="17"/>
    </row>
    <row r="2857" spans="9:38" x14ac:dyDescent="0.4">
      <c r="I2857" s="11"/>
      <c r="J2857" s="9"/>
      <c r="K2857" s="9"/>
      <c r="O2857" s="11"/>
      <c r="P2857" s="9"/>
      <c r="Q2857" s="9"/>
      <c r="R2857" s="9"/>
      <c r="S2857" s="9"/>
      <c r="T2857" s="31"/>
      <c r="W2857" s="16"/>
      <c r="X2857" s="9"/>
      <c r="Y2857" s="9"/>
      <c r="AA2857" s="16"/>
      <c r="AK2857" s="16"/>
      <c r="AL2857" s="17"/>
    </row>
    <row r="2858" spans="9:38" x14ac:dyDescent="0.4">
      <c r="I2858" s="11"/>
      <c r="J2858" s="9"/>
      <c r="K2858" s="9"/>
      <c r="O2858" s="11"/>
      <c r="P2858" s="9"/>
      <c r="Q2858" s="9"/>
      <c r="R2858" s="9"/>
      <c r="S2858" s="9"/>
      <c r="T2858" s="31"/>
      <c r="W2858" s="16"/>
      <c r="X2858" s="9"/>
      <c r="Y2858" s="9"/>
      <c r="AA2858" s="16"/>
      <c r="AK2858" s="16"/>
      <c r="AL2858" s="17"/>
    </row>
    <row r="2859" spans="9:38" x14ac:dyDescent="0.4">
      <c r="I2859" s="11"/>
      <c r="J2859" s="9"/>
      <c r="K2859" s="9"/>
      <c r="O2859" s="11"/>
      <c r="P2859" s="9"/>
      <c r="Q2859" s="9"/>
      <c r="R2859" s="9"/>
      <c r="S2859" s="9"/>
      <c r="T2859" s="31"/>
      <c r="W2859" s="16"/>
      <c r="X2859" s="9"/>
      <c r="Y2859" s="9"/>
      <c r="AA2859" s="16"/>
      <c r="AK2859" s="16"/>
      <c r="AL2859" s="17"/>
    </row>
    <row r="2860" spans="9:38" x14ac:dyDescent="0.4">
      <c r="I2860" s="11"/>
      <c r="J2860" s="9"/>
      <c r="K2860" s="9"/>
      <c r="O2860" s="11"/>
      <c r="P2860" s="9"/>
      <c r="Q2860" s="9"/>
      <c r="R2860" s="9"/>
      <c r="S2860" s="9"/>
      <c r="T2860" s="31"/>
      <c r="W2860" s="16"/>
      <c r="X2860" s="9"/>
      <c r="Y2860" s="9"/>
      <c r="AA2860" s="16"/>
      <c r="AK2860" s="16"/>
      <c r="AL2860" s="17"/>
    </row>
    <row r="2861" spans="9:38" x14ac:dyDescent="0.4">
      <c r="I2861" s="11"/>
      <c r="J2861" s="9"/>
      <c r="K2861" s="9"/>
      <c r="O2861" s="11"/>
      <c r="P2861" s="9"/>
      <c r="Q2861" s="9"/>
      <c r="R2861" s="9"/>
      <c r="S2861" s="9"/>
      <c r="T2861" s="31"/>
      <c r="W2861" s="16"/>
      <c r="X2861" s="9"/>
      <c r="Y2861" s="9"/>
      <c r="AA2861" s="16"/>
      <c r="AK2861" s="16"/>
      <c r="AL2861" s="17"/>
    </row>
    <row r="2862" spans="9:38" x14ac:dyDescent="0.4">
      <c r="I2862" s="11"/>
      <c r="J2862" s="9"/>
      <c r="K2862" s="9"/>
      <c r="O2862" s="11"/>
      <c r="P2862" s="9"/>
      <c r="Q2862" s="9"/>
      <c r="R2862" s="9"/>
      <c r="S2862" s="9"/>
      <c r="T2862" s="31"/>
      <c r="W2862" s="16"/>
      <c r="X2862" s="9"/>
      <c r="Y2862" s="9"/>
      <c r="AA2862" s="16"/>
      <c r="AK2862" s="16"/>
      <c r="AL2862" s="17"/>
    </row>
    <row r="2863" spans="9:38" x14ac:dyDescent="0.4">
      <c r="I2863" s="11"/>
      <c r="J2863" s="9"/>
      <c r="K2863" s="9"/>
      <c r="O2863" s="11"/>
      <c r="P2863" s="9"/>
      <c r="Q2863" s="9"/>
      <c r="R2863" s="9"/>
      <c r="S2863" s="9"/>
      <c r="T2863" s="31"/>
      <c r="W2863" s="16"/>
      <c r="X2863" s="9"/>
      <c r="Y2863" s="9"/>
      <c r="AA2863" s="16"/>
      <c r="AK2863" s="16"/>
      <c r="AL2863" s="17"/>
    </row>
    <row r="2864" spans="9:38" x14ac:dyDescent="0.4">
      <c r="I2864" s="11"/>
      <c r="J2864" s="9"/>
      <c r="K2864" s="9"/>
      <c r="O2864" s="11"/>
      <c r="P2864" s="9"/>
      <c r="Q2864" s="9"/>
      <c r="R2864" s="9"/>
      <c r="S2864" s="9"/>
      <c r="T2864" s="31"/>
      <c r="W2864" s="16"/>
      <c r="X2864" s="9"/>
      <c r="Y2864" s="9"/>
      <c r="AA2864" s="16"/>
      <c r="AK2864" s="16"/>
      <c r="AL2864" s="17"/>
    </row>
    <row r="2865" spans="9:38" x14ac:dyDescent="0.4">
      <c r="I2865" s="11"/>
      <c r="J2865" s="9"/>
      <c r="K2865" s="9"/>
      <c r="O2865" s="11"/>
      <c r="P2865" s="9"/>
      <c r="Q2865" s="9"/>
      <c r="R2865" s="9"/>
      <c r="S2865" s="9"/>
      <c r="T2865" s="31"/>
      <c r="W2865" s="16"/>
      <c r="X2865" s="9"/>
      <c r="Y2865" s="9"/>
      <c r="AA2865" s="16"/>
      <c r="AK2865" s="16"/>
      <c r="AL2865" s="17"/>
    </row>
    <row r="2866" spans="9:38" x14ac:dyDescent="0.4">
      <c r="I2866" s="11"/>
      <c r="J2866" s="9"/>
      <c r="K2866" s="9"/>
      <c r="O2866" s="11"/>
      <c r="P2866" s="9"/>
      <c r="Q2866" s="9"/>
      <c r="R2866" s="9"/>
      <c r="S2866" s="9"/>
      <c r="T2866" s="31"/>
      <c r="W2866" s="16"/>
      <c r="X2866" s="9"/>
      <c r="Y2866" s="9"/>
      <c r="AA2866" s="16"/>
      <c r="AK2866" s="16"/>
      <c r="AL2866" s="17"/>
    </row>
    <row r="2867" spans="9:38" x14ac:dyDescent="0.4">
      <c r="I2867" s="11"/>
      <c r="J2867" s="9"/>
      <c r="K2867" s="9"/>
      <c r="O2867" s="11"/>
      <c r="P2867" s="9"/>
      <c r="Q2867" s="9"/>
      <c r="R2867" s="9"/>
      <c r="S2867" s="9"/>
      <c r="T2867" s="31"/>
      <c r="W2867" s="16"/>
      <c r="X2867" s="9"/>
      <c r="Y2867" s="9"/>
      <c r="AA2867" s="16"/>
      <c r="AK2867" s="16"/>
      <c r="AL2867" s="17"/>
    </row>
    <row r="2868" spans="9:38" x14ac:dyDescent="0.4">
      <c r="I2868" s="11"/>
      <c r="J2868" s="9"/>
      <c r="K2868" s="9"/>
      <c r="O2868" s="11"/>
      <c r="P2868" s="9"/>
      <c r="Q2868" s="9"/>
      <c r="R2868" s="9"/>
      <c r="S2868" s="9"/>
      <c r="T2868" s="31"/>
      <c r="W2868" s="16"/>
      <c r="X2868" s="9"/>
      <c r="Y2868" s="9"/>
      <c r="AA2868" s="16"/>
      <c r="AK2868" s="16"/>
      <c r="AL2868" s="17"/>
    </row>
    <row r="2869" spans="9:38" x14ac:dyDescent="0.4">
      <c r="I2869" s="11"/>
      <c r="J2869" s="9"/>
      <c r="K2869" s="9"/>
      <c r="O2869" s="11"/>
      <c r="P2869" s="9"/>
      <c r="Q2869" s="9"/>
      <c r="R2869" s="9"/>
      <c r="S2869" s="9"/>
      <c r="T2869" s="31"/>
      <c r="W2869" s="16"/>
      <c r="X2869" s="9"/>
      <c r="Y2869" s="9"/>
      <c r="AA2869" s="16"/>
      <c r="AK2869" s="16"/>
      <c r="AL2869" s="17"/>
    </row>
    <row r="2870" spans="9:38" x14ac:dyDescent="0.4">
      <c r="I2870" s="11"/>
      <c r="J2870" s="9"/>
      <c r="K2870" s="9"/>
      <c r="O2870" s="11"/>
      <c r="P2870" s="9"/>
      <c r="Q2870" s="9"/>
      <c r="R2870" s="9"/>
      <c r="S2870" s="9"/>
      <c r="T2870" s="31"/>
      <c r="W2870" s="16"/>
      <c r="X2870" s="9"/>
      <c r="Y2870" s="9"/>
      <c r="AA2870" s="16"/>
      <c r="AK2870" s="16"/>
      <c r="AL2870" s="17"/>
    </row>
    <row r="2871" spans="9:38" x14ac:dyDescent="0.4">
      <c r="I2871" s="11"/>
      <c r="J2871" s="9"/>
      <c r="K2871" s="9"/>
      <c r="O2871" s="11"/>
      <c r="P2871" s="9"/>
      <c r="Q2871" s="9"/>
      <c r="R2871" s="9"/>
      <c r="S2871" s="9"/>
      <c r="T2871" s="31"/>
      <c r="W2871" s="16"/>
      <c r="X2871" s="9"/>
      <c r="Y2871" s="9"/>
      <c r="AA2871" s="16"/>
      <c r="AK2871" s="16"/>
      <c r="AL2871" s="17"/>
    </row>
    <row r="2872" spans="9:38" x14ac:dyDescent="0.4">
      <c r="I2872" s="11"/>
      <c r="J2872" s="9"/>
      <c r="K2872" s="9"/>
      <c r="O2872" s="11"/>
      <c r="P2872" s="9"/>
      <c r="Q2872" s="9"/>
      <c r="R2872" s="9"/>
      <c r="S2872" s="9"/>
      <c r="T2872" s="31"/>
      <c r="W2872" s="16"/>
      <c r="X2872" s="9"/>
      <c r="Y2872" s="9"/>
      <c r="AA2872" s="16"/>
      <c r="AK2872" s="16"/>
      <c r="AL2872" s="17"/>
    </row>
    <row r="2873" spans="9:38" x14ac:dyDescent="0.4">
      <c r="I2873" s="11"/>
      <c r="J2873" s="9"/>
      <c r="K2873" s="9"/>
      <c r="O2873" s="11"/>
      <c r="P2873" s="9"/>
      <c r="Q2873" s="9"/>
      <c r="R2873" s="9"/>
      <c r="S2873" s="9"/>
      <c r="T2873" s="31"/>
      <c r="W2873" s="16"/>
      <c r="X2873" s="9"/>
      <c r="Y2873" s="9"/>
      <c r="AA2873" s="16"/>
      <c r="AK2873" s="16"/>
      <c r="AL2873" s="17"/>
    </row>
    <row r="2874" spans="9:38" x14ac:dyDescent="0.4">
      <c r="I2874" s="11"/>
      <c r="J2874" s="9"/>
      <c r="K2874" s="9"/>
      <c r="O2874" s="11"/>
      <c r="P2874" s="9"/>
      <c r="Q2874" s="9"/>
      <c r="R2874" s="9"/>
      <c r="S2874" s="9"/>
      <c r="T2874" s="31"/>
      <c r="W2874" s="16"/>
      <c r="X2874" s="9"/>
      <c r="Y2874" s="9"/>
      <c r="AA2874" s="16"/>
      <c r="AK2874" s="16"/>
      <c r="AL2874" s="17"/>
    </row>
    <row r="2875" spans="9:38" x14ac:dyDescent="0.4">
      <c r="I2875" s="11"/>
      <c r="J2875" s="9"/>
      <c r="K2875" s="9"/>
      <c r="O2875" s="11"/>
      <c r="P2875" s="9"/>
      <c r="Q2875" s="9"/>
      <c r="R2875" s="9"/>
      <c r="S2875" s="9"/>
      <c r="T2875" s="31"/>
      <c r="W2875" s="16"/>
      <c r="X2875" s="9"/>
      <c r="Y2875" s="9"/>
      <c r="AA2875" s="16"/>
      <c r="AK2875" s="16"/>
      <c r="AL2875" s="17"/>
    </row>
    <row r="2876" spans="9:38" x14ac:dyDescent="0.4">
      <c r="I2876" s="11"/>
      <c r="J2876" s="9"/>
      <c r="K2876" s="9"/>
      <c r="O2876" s="11"/>
      <c r="P2876" s="9"/>
      <c r="Q2876" s="9"/>
      <c r="R2876" s="9"/>
      <c r="S2876" s="9"/>
      <c r="T2876" s="31"/>
      <c r="W2876" s="16"/>
      <c r="X2876" s="9"/>
      <c r="Y2876" s="9"/>
      <c r="AA2876" s="16"/>
      <c r="AK2876" s="16"/>
      <c r="AL2876" s="17"/>
    </row>
    <row r="2877" spans="9:38" x14ac:dyDescent="0.4">
      <c r="I2877" s="11"/>
      <c r="J2877" s="9"/>
      <c r="K2877" s="9"/>
      <c r="O2877" s="11"/>
      <c r="P2877" s="9"/>
      <c r="Q2877" s="9"/>
      <c r="R2877" s="9"/>
      <c r="S2877" s="9"/>
      <c r="T2877" s="31"/>
      <c r="W2877" s="16"/>
      <c r="X2877" s="9"/>
      <c r="Y2877" s="9"/>
      <c r="AA2877" s="16"/>
      <c r="AK2877" s="16"/>
      <c r="AL2877" s="17"/>
    </row>
    <row r="2878" spans="9:38" x14ac:dyDescent="0.4">
      <c r="I2878" s="11"/>
      <c r="J2878" s="9"/>
      <c r="K2878" s="9"/>
      <c r="O2878" s="11"/>
      <c r="P2878" s="9"/>
      <c r="Q2878" s="9"/>
      <c r="R2878" s="9"/>
      <c r="S2878" s="9"/>
      <c r="T2878" s="31"/>
      <c r="W2878" s="16"/>
      <c r="X2878" s="9"/>
      <c r="Y2878" s="9"/>
      <c r="AA2878" s="16"/>
      <c r="AK2878" s="16"/>
      <c r="AL2878" s="17"/>
    </row>
    <row r="2879" spans="9:38" x14ac:dyDescent="0.4">
      <c r="I2879" s="11"/>
      <c r="J2879" s="9"/>
      <c r="K2879" s="9"/>
      <c r="O2879" s="11"/>
      <c r="P2879" s="9"/>
      <c r="Q2879" s="9"/>
      <c r="R2879" s="9"/>
      <c r="S2879" s="9"/>
      <c r="T2879" s="31"/>
      <c r="W2879" s="16"/>
      <c r="X2879" s="9"/>
      <c r="Y2879" s="9"/>
      <c r="AA2879" s="16"/>
      <c r="AK2879" s="16"/>
      <c r="AL2879" s="17"/>
    </row>
    <row r="2880" spans="9:38" x14ac:dyDescent="0.4">
      <c r="I2880" s="11"/>
      <c r="J2880" s="9"/>
      <c r="K2880" s="9"/>
      <c r="O2880" s="11"/>
      <c r="P2880" s="9"/>
      <c r="Q2880" s="9"/>
      <c r="R2880" s="9"/>
      <c r="S2880" s="9"/>
      <c r="T2880" s="31"/>
      <c r="W2880" s="16"/>
      <c r="X2880" s="9"/>
      <c r="Y2880" s="9"/>
      <c r="AA2880" s="16"/>
      <c r="AK2880" s="16"/>
      <c r="AL2880" s="17"/>
    </row>
    <row r="2881" spans="9:38" x14ac:dyDescent="0.4">
      <c r="I2881" s="11"/>
      <c r="J2881" s="9"/>
      <c r="K2881" s="9"/>
      <c r="O2881" s="11"/>
      <c r="P2881" s="9"/>
      <c r="Q2881" s="9"/>
      <c r="R2881" s="9"/>
      <c r="S2881" s="9"/>
      <c r="T2881" s="31"/>
      <c r="W2881" s="16"/>
      <c r="X2881" s="9"/>
      <c r="Y2881" s="9"/>
      <c r="AA2881" s="16"/>
      <c r="AK2881" s="16"/>
      <c r="AL2881" s="17"/>
    </row>
    <row r="2882" spans="9:38" x14ac:dyDescent="0.4">
      <c r="I2882" s="11"/>
      <c r="J2882" s="9"/>
      <c r="K2882" s="9"/>
      <c r="O2882" s="11"/>
      <c r="P2882" s="9"/>
      <c r="Q2882" s="9"/>
      <c r="R2882" s="9"/>
      <c r="S2882" s="9"/>
      <c r="T2882" s="31"/>
      <c r="W2882" s="16"/>
      <c r="X2882" s="9"/>
      <c r="Y2882" s="9"/>
      <c r="AA2882" s="16"/>
      <c r="AK2882" s="16"/>
      <c r="AL2882" s="17"/>
    </row>
    <row r="2883" spans="9:38" x14ac:dyDescent="0.4">
      <c r="I2883" s="11"/>
      <c r="J2883" s="9"/>
      <c r="K2883" s="9"/>
      <c r="O2883" s="11"/>
      <c r="P2883" s="9"/>
      <c r="Q2883" s="9"/>
      <c r="R2883" s="9"/>
      <c r="S2883" s="9"/>
      <c r="T2883" s="31"/>
      <c r="W2883" s="16"/>
      <c r="X2883" s="9"/>
      <c r="Y2883" s="9"/>
      <c r="AA2883" s="16"/>
      <c r="AK2883" s="16"/>
      <c r="AL2883" s="17"/>
    </row>
    <row r="2884" spans="9:38" x14ac:dyDescent="0.4">
      <c r="I2884" s="11"/>
      <c r="J2884" s="9"/>
      <c r="K2884" s="9"/>
      <c r="O2884" s="11"/>
      <c r="P2884" s="9"/>
      <c r="Q2884" s="9"/>
      <c r="R2884" s="9"/>
      <c r="S2884" s="9"/>
      <c r="T2884" s="31"/>
      <c r="W2884" s="16"/>
      <c r="X2884" s="9"/>
      <c r="Y2884" s="9"/>
      <c r="AA2884" s="16"/>
      <c r="AK2884" s="16"/>
      <c r="AL2884" s="17"/>
    </row>
    <row r="2885" spans="9:38" x14ac:dyDescent="0.4">
      <c r="I2885" s="11"/>
      <c r="J2885" s="9"/>
      <c r="K2885" s="9"/>
      <c r="O2885" s="11"/>
      <c r="P2885" s="9"/>
      <c r="Q2885" s="9"/>
      <c r="R2885" s="9"/>
      <c r="S2885" s="9"/>
      <c r="T2885" s="31"/>
      <c r="W2885" s="16"/>
      <c r="X2885" s="9"/>
      <c r="Y2885" s="9"/>
      <c r="AA2885" s="16"/>
      <c r="AK2885" s="16"/>
      <c r="AL2885" s="17"/>
    </row>
    <row r="2886" spans="9:38" x14ac:dyDescent="0.4">
      <c r="I2886" s="11"/>
      <c r="J2886" s="9"/>
      <c r="K2886" s="9"/>
      <c r="O2886" s="11"/>
      <c r="P2886" s="9"/>
      <c r="Q2886" s="9"/>
      <c r="R2886" s="9"/>
      <c r="S2886" s="9"/>
      <c r="T2886" s="31"/>
      <c r="W2886" s="16"/>
      <c r="X2886" s="9"/>
      <c r="Y2886" s="9"/>
      <c r="AA2886" s="16"/>
      <c r="AK2886" s="16"/>
      <c r="AL2886" s="17"/>
    </row>
    <row r="2887" spans="9:38" x14ac:dyDescent="0.4">
      <c r="I2887" s="11"/>
      <c r="J2887" s="9"/>
      <c r="K2887" s="9"/>
      <c r="O2887" s="11"/>
      <c r="P2887" s="9"/>
      <c r="Q2887" s="9"/>
      <c r="R2887" s="9"/>
      <c r="S2887" s="9"/>
      <c r="T2887" s="31"/>
      <c r="W2887" s="16"/>
      <c r="X2887" s="9"/>
      <c r="Y2887" s="9"/>
      <c r="AA2887" s="16"/>
      <c r="AK2887" s="16"/>
      <c r="AL2887" s="17"/>
    </row>
    <row r="2888" spans="9:38" x14ac:dyDescent="0.4">
      <c r="I2888" s="11"/>
      <c r="J2888" s="9"/>
      <c r="K2888" s="9"/>
      <c r="O2888" s="11"/>
      <c r="P2888" s="9"/>
      <c r="Q2888" s="9"/>
      <c r="R2888" s="9"/>
      <c r="S2888" s="9"/>
      <c r="T2888" s="31"/>
      <c r="W2888" s="16"/>
      <c r="X2888" s="9"/>
      <c r="Y2888" s="9"/>
      <c r="AA2888" s="16"/>
      <c r="AK2888" s="16"/>
      <c r="AL2888" s="17"/>
    </row>
    <row r="2889" spans="9:38" x14ac:dyDescent="0.4">
      <c r="I2889" s="11"/>
      <c r="J2889" s="9"/>
      <c r="K2889" s="9"/>
      <c r="O2889" s="11"/>
      <c r="P2889" s="9"/>
      <c r="Q2889" s="9"/>
      <c r="R2889" s="9"/>
      <c r="S2889" s="9"/>
      <c r="T2889" s="31"/>
      <c r="W2889" s="16"/>
      <c r="X2889" s="9"/>
      <c r="Y2889" s="9"/>
      <c r="AA2889" s="16"/>
      <c r="AK2889" s="16"/>
      <c r="AL2889" s="17"/>
    </row>
    <row r="2890" spans="9:38" x14ac:dyDescent="0.4">
      <c r="I2890" s="11"/>
      <c r="J2890" s="9"/>
      <c r="K2890" s="9"/>
      <c r="O2890" s="11"/>
      <c r="P2890" s="9"/>
      <c r="Q2890" s="9"/>
      <c r="R2890" s="9"/>
      <c r="S2890" s="9"/>
      <c r="T2890" s="31"/>
      <c r="W2890" s="16"/>
      <c r="X2890" s="9"/>
      <c r="Y2890" s="9"/>
      <c r="AA2890" s="16"/>
      <c r="AK2890" s="16"/>
      <c r="AL2890" s="17"/>
    </row>
    <row r="2891" spans="9:38" x14ac:dyDescent="0.4">
      <c r="I2891" s="11"/>
      <c r="J2891" s="9"/>
      <c r="K2891" s="9"/>
      <c r="O2891" s="11"/>
      <c r="P2891" s="9"/>
      <c r="Q2891" s="9"/>
      <c r="R2891" s="9"/>
      <c r="S2891" s="9"/>
      <c r="T2891" s="31"/>
      <c r="W2891" s="16"/>
      <c r="X2891" s="9"/>
      <c r="Y2891" s="9"/>
      <c r="AA2891" s="16"/>
      <c r="AK2891" s="16"/>
      <c r="AL2891" s="17"/>
    </row>
    <row r="2892" spans="9:38" x14ac:dyDescent="0.4">
      <c r="I2892" s="11"/>
      <c r="J2892" s="9"/>
      <c r="K2892" s="9"/>
      <c r="O2892" s="11"/>
      <c r="P2892" s="9"/>
      <c r="Q2892" s="9"/>
      <c r="R2892" s="9"/>
      <c r="S2892" s="9"/>
      <c r="T2892" s="31"/>
      <c r="W2892" s="16"/>
      <c r="X2892" s="9"/>
      <c r="Y2892" s="9"/>
      <c r="AA2892" s="16"/>
      <c r="AK2892" s="16"/>
      <c r="AL2892" s="17"/>
    </row>
    <row r="2893" spans="9:38" x14ac:dyDescent="0.4">
      <c r="I2893" s="11"/>
      <c r="J2893" s="9"/>
      <c r="K2893" s="9"/>
      <c r="O2893" s="11"/>
      <c r="P2893" s="9"/>
      <c r="Q2893" s="9"/>
      <c r="R2893" s="9"/>
      <c r="S2893" s="9"/>
      <c r="T2893" s="31"/>
      <c r="W2893" s="16"/>
      <c r="X2893" s="9"/>
      <c r="Y2893" s="9"/>
      <c r="AA2893" s="16"/>
      <c r="AK2893" s="16"/>
      <c r="AL2893" s="17"/>
    </row>
    <row r="2894" spans="9:38" x14ac:dyDescent="0.4">
      <c r="I2894" s="11"/>
      <c r="J2894" s="9"/>
      <c r="K2894" s="9"/>
      <c r="O2894" s="11"/>
      <c r="P2894" s="9"/>
      <c r="Q2894" s="9"/>
      <c r="R2894" s="9"/>
      <c r="S2894" s="9"/>
      <c r="T2894" s="31"/>
      <c r="W2894" s="16"/>
      <c r="X2894" s="9"/>
      <c r="Y2894" s="9"/>
      <c r="AA2894" s="16"/>
      <c r="AK2894" s="16"/>
      <c r="AL2894" s="17"/>
    </row>
    <row r="2895" spans="9:38" x14ac:dyDescent="0.4">
      <c r="I2895" s="11"/>
      <c r="J2895" s="9"/>
      <c r="K2895" s="9"/>
      <c r="O2895" s="11"/>
      <c r="P2895" s="9"/>
      <c r="Q2895" s="9"/>
      <c r="R2895" s="9"/>
      <c r="S2895" s="9"/>
      <c r="T2895" s="31"/>
      <c r="W2895" s="16"/>
      <c r="X2895" s="9"/>
      <c r="Y2895" s="9"/>
      <c r="AA2895" s="16"/>
      <c r="AK2895" s="16"/>
      <c r="AL2895" s="17"/>
    </row>
    <row r="2896" spans="9:38" x14ac:dyDescent="0.4">
      <c r="I2896" s="11"/>
      <c r="J2896" s="9"/>
      <c r="K2896" s="9"/>
      <c r="O2896" s="11"/>
      <c r="P2896" s="9"/>
      <c r="Q2896" s="9"/>
      <c r="R2896" s="9"/>
      <c r="S2896" s="9"/>
      <c r="T2896" s="31"/>
      <c r="W2896" s="16"/>
      <c r="X2896" s="9"/>
      <c r="Y2896" s="9"/>
      <c r="AA2896" s="16"/>
      <c r="AK2896" s="16"/>
      <c r="AL2896" s="17"/>
    </row>
    <row r="2897" spans="9:38" x14ac:dyDescent="0.4">
      <c r="I2897" s="11"/>
      <c r="J2897" s="9"/>
      <c r="K2897" s="9"/>
      <c r="O2897" s="11"/>
      <c r="P2897" s="9"/>
      <c r="Q2897" s="9"/>
      <c r="R2897" s="9"/>
      <c r="S2897" s="9"/>
      <c r="T2897" s="31"/>
      <c r="W2897" s="16"/>
      <c r="X2897" s="9"/>
      <c r="Y2897" s="9"/>
      <c r="AA2897" s="16"/>
      <c r="AK2897" s="16"/>
      <c r="AL2897" s="17"/>
    </row>
    <row r="2898" spans="9:38" x14ac:dyDescent="0.4">
      <c r="I2898" s="11"/>
      <c r="J2898" s="9"/>
      <c r="K2898" s="9"/>
      <c r="O2898" s="11"/>
      <c r="P2898" s="9"/>
      <c r="Q2898" s="9"/>
      <c r="R2898" s="9"/>
      <c r="S2898" s="9"/>
      <c r="T2898" s="31"/>
      <c r="W2898" s="16"/>
      <c r="X2898" s="9"/>
      <c r="Y2898" s="9"/>
      <c r="AA2898" s="16"/>
      <c r="AK2898" s="16"/>
      <c r="AL2898" s="17"/>
    </row>
    <row r="2899" spans="9:38" x14ac:dyDescent="0.4">
      <c r="I2899" s="11"/>
      <c r="J2899" s="9"/>
      <c r="K2899" s="9"/>
      <c r="O2899" s="11"/>
      <c r="P2899" s="9"/>
      <c r="Q2899" s="9"/>
      <c r="R2899" s="9"/>
      <c r="S2899" s="9"/>
      <c r="T2899" s="31"/>
      <c r="W2899" s="16"/>
      <c r="X2899" s="9"/>
      <c r="Y2899" s="9"/>
      <c r="AA2899" s="16"/>
      <c r="AK2899" s="16"/>
      <c r="AL2899" s="17"/>
    </row>
    <row r="2900" spans="9:38" x14ac:dyDescent="0.4">
      <c r="I2900" s="11"/>
      <c r="J2900" s="9"/>
      <c r="K2900" s="9"/>
      <c r="O2900" s="11"/>
      <c r="P2900" s="9"/>
      <c r="Q2900" s="9"/>
      <c r="R2900" s="9"/>
      <c r="S2900" s="9"/>
      <c r="T2900" s="31"/>
      <c r="W2900" s="16"/>
      <c r="X2900" s="9"/>
      <c r="Y2900" s="9"/>
      <c r="AA2900" s="16"/>
      <c r="AK2900" s="16"/>
      <c r="AL2900" s="17"/>
    </row>
    <row r="2901" spans="9:38" x14ac:dyDescent="0.4">
      <c r="I2901" s="11"/>
      <c r="J2901" s="9"/>
      <c r="K2901" s="9"/>
      <c r="O2901" s="11"/>
      <c r="P2901" s="9"/>
      <c r="Q2901" s="9"/>
      <c r="R2901" s="9"/>
      <c r="S2901" s="9"/>
      <c r="T2901" s="31"/>
      <c r="W2901" s="16"/>
      <c r="X2901" s="9"/>
      <c r="Y2901" s="9"/>
      <c r="AA2901" s="16"/>
      <c r="AK2901" s="16"/>
      <c r="AL2901" s="17"/>
    </row>
    <row r="2902" spans="9:38" x14ac:dyDescent="0.4">
      <c r="I2902" s="11"/>
      <c r="J2902" s="9"/>
      <c r="K2902" s="9"/>
      <c r="O2902" s="11"/>
      <c r="P2902" s="9"/>
      <c r="Q2902" s="9"/>
      <c r="R2902" s="9"/>
      <c r="S2902" s="9"/>
      <c r="T2902" s="31"/>
      <c r="W2902" s="16"/>
      <c r="X2902" s="9"/>
      <c r="Y2902" s="9"/>
      <c r="AA2902" s="16"/>
      <c r="AK2902" s="16"/>
      <c r="AL2902" s="17"/>
    </row>
    <row r="2903" spans="9:38" x14ac:dyDescent="0.4">
      <c r="I2903" s="11"/>
      <c r="J2903" s="9"/>
      <c r="K2903" s="9"/>
      <c r="O2903" s="11"/>
      <c r="P2903" s="9"/>
      <c r="Q2903" s="9"/>
      <c r="R2903" s="9"/>
      <c r="S2903" s="9"/>
      <c r="T2903" s="31"/>
      <c r="W2903" s="16"/>
      <c r="X2903" s="9"/>
      <c r="Y2903" s="9"/>
      <c r="AA2903" s="16"/>
      <c r="AK2903" s="16"/>
      <c r="AL2903" s="17"/>
    </row>
    <row r="2904" spans="9:38" x14ac:dyDescent="0.4">
      <c r="I2904" s="11"/>
      <c r="J2904" s="9"/>
      <c r="K2904" s="9"/>
      <c r="O2904" s="11"/>
      <c r="P2904" s="9"/>
      <c r="Q2904" s="9"/>
      <c r="R2904" s="9"/>
      <c r="S2904" s="9"/>
      <c r="T2904" s="31"/>
      <c r="W2904" s="16"/>
      <c r="X2904" s="9"/>
      <c r="Y2904" s="9"/>
      <c r="AA2904" s="16"/>
      <c r="AK2904" s="16"/>
      <c r="AL2904" s="17"/>
    </row>
    <row r="2905" spans="9:38" x14ac:dyDescent="0.4">
      <c r="I2905" s="11"/>
      <c r="J2905" s="9"/>
      <c r="K2905" s="9"/>
      <c r="O2905" s="11"/>
      <c r="P2905" s="9"/>
      <c r="Q2905" s="9"/>
      <c r="R2905" s="9"/>
      <c r="S2905" s="9"/>
      <c r="T2905" s="31"/>
      <c r="W2905" s="16"/>
      <c r="X2905" s="9"/>
      <c r="Y2905" s="9"/>
      <c r="AA2905" s="16"/>
      <c r="AK2905" s="16"/>
      <c r="AL2905" s="17"/>
    </row>
    <row r="2906" spans="9:38" x14ac:dyDescent="0.4">
      <c r="I2906" s="11"/>
      <c r="J2906" s="9"/>
      <c r="K2906" s="9"/>
      <c r="O2906" s="11"/>
      <c r="P2906" s="9"/>
      <c r="Q2906" s="9"/>
      <c r="R2906" s="9"/>
      <c r="S2906" s="9"/>
      <c r="T2906" s="31"/>
      <c r="W2906" s="16"/>
      <c r="X2906" s="9"/>
      <c r="Y2906" s="9"/>
      <c r="AA2906" s="16"/>
      <c r="AK2906" s="16"/>
      <c r="AL2906" s="17"/>
    </row>
    <row r="2907" spans="9:38" x14ac:dyDescent="0.4">
      <c r="I2907" s="11"/>
      <c r="J2907" s="9"/>
      <c r="K2907" s="9"/>
      <c r="O2907" s="11"/>
      <c r="P2907" s="9"/>
      <c r="Q2907" s="9"/>
      <c r="R2907" s="9"/>
      <c r="S2907" s="9"/>
      <c r="T2907" s="31"/>
      <c r="W2907" s="16"/>
      <c r="X2907" s="9"/>
      <c r="Y2907" s="9"/>
      <c r="AA2907" s="16"/>
      <c r="AK2907" s="16"/>
      <c r="AL2907" s="17"/>
    </row>
    <row r="2908" spans="9:38" x14ac:dyDescent="0.4">
      <c r="I2908" s="11"/>
      <c r="J2908" s="9"/>
      <c r="K2908" s="9"/>
      <c r="O2908" s="11"/>
      <c r="P2908" s="9"/>
      <c r="Q2908" s="9"/>
      <c r="R2908" s="9"/>
      <c r="S2908" s="9"/>
      <c r="T2908" s="31"/>
      <c r="W2908" s="16"/>
      <c r="X2908" s="9"/>
      <c r="Y2908" s="9"/>
      <c r="AA2908" s="16"/>
      <c r="AK2908" s="16"/>
      <c r="AL2908" s="17"/>
    </row>
    <row r="2909" spans="9:38" x14ac:dyDescent="0.4">
      <c r="I2909" s="11"/>
      <c r="J2909" s="9"/>
      <c r="K2909" s="9"/>
      <c r="O2909" s="11"/>
      <c r="P2909" s="9"/>
      <c r="Q2909" s="9"/>
      <c r="R2909" s="9"/>
      <c r="S2909" s="9"/>
      <c r="T2909" s="31"/>
      <c r="W2909" s="16"/>
      <c r="X2909" s="9"/>
      <c r="Y2909" s="9"/>
      <c r="AA2909" s="16"/>
      <c r="AK2909" s="16"/>
      <c r="AL2909" s="17"/>
    </row>
    <row r="2910" spans="9:38" x14ac:dyDescent="0.4">
      <c r="I2910" s="11"/>
      <c r="J2910" s="9"/>
      <c r="K2910" s="9"/>
      <c r="O2910" s="11"/>
      <c r="P2910" s="9"/>
      <c r="Q2910" s="9"/>
      <c r="R2910" s="9"/>
      <c r="S2910" s="9"/>
      <c r="T2910" s="31"/>
      <c r="W2910" s="16"/>
      <c r="X2910" s="9"/>
      <c r="Y2910" s="9"/>
      <c r="AA2910" s="16"/>
      <c r="AK2910" s="16"/>
      <c r="AL2910" s="17"/>
    </row>
    <row r="2911" spans="9:38" x14ac:dyDescent="0.4">
      <c r="I2911" s="11"/>
      <c r="J2911" s="9"/>
      <c r="K2911" s="9"/>
      <c r="O2911" s="11"/>
      <c r="P2911" s="9"/>
      <c r="Q2911" s="9"/>
      <c r="R2911" s="9"/>
      <c r="S2911" s="9"/>
      <c r="T2911" s="31"/>
      <c r="W2911" s="16"/>
      <c r="X2911" s="9"/>
      <c r="Y2911" s="9"/>
      <c r="AA2911" s="16"/>
      <c r="AK2911" s="16"/>
      <c r="AL2911" s="17"/>
    </row>
    <row r="2912" spans="9:38" x14ac:dyDescent="0.4">
      <c r="I2912" s="11"/>
      <c r="J2912" s="9"/>
      <c r="K2912" s="9"/>
      <c r="O2912" s="11"/>
      <c r="P2912" s="9"/>
      <c r="Q2912" s="9"/>
      <c r="R2912" s="9"/>
      <c r="S2912" s="9"/>
      <c r="T2912" s="31"/>
      <c r="W2912" s="16"/>
      <c r="X2912" s="9"/>
      <c r="Y2912" s="9"/>
      <c r="AA2912" s="16"/>
      <c r="AK2912" s="16"/>
      <c r="AL2912" s="17"/>
    </row>
    <row r="2913" spans="9:38" x14ac:dyDescent="0.4">
      <c r="I2913" s="11"/>
      <c r="J2913" s="9"/>
      <c r="K2913" s="9"/>
      <c r="O2913" s="11"/>
      <c r="P2913" s="9"/>
      <c r="Q2913" s="9"/>
      <c r="R2913" s="9"/>
      <c r="S2913" s="9"/>
      <c r="T2913" s="31"/>
      <c r="W2913" s="16"/>
      <c r="X2913" s="9"/>
      <c r="Y2913" s="9"/>
      <c r="AA2913" s="16"/>
      <c r="AK2913" s="16"/>
      <c r="AL2913" s="17"/>
    </row>
    <row r="2914" spans="9:38" x14ac:dyDescent="0.4">
      <c r="I2914" s="11"/>
      <c r="J2914" s="9"/>
      <c r="K2914" s="9"/>
      <c r="O2914" s="11"/>
      <c r="P2914" s="9"/>
      <c r="Q2914" s="9"/>
      <c r="R2914" s="9"/>
      <c r="S2914" s="9"/>
      <c r="T2914" s="31"/>
      <c r="W2914" s="16"/>
      <c r="X2914" s="9"/>
      <c r="Y2914" s="9"/>
      <c r="AA2914" s="16"/>
      <c r="AK2914" s="16"/>
      <c r="AL2914" s="17"/>
    </row>
    <row r="2915" spans="9:38" x14ac:dyDescent="0.4">
      <c r="I2915" s="11"/>
      <c r="J2915" s="9"/>
      <c r="K2915" s="9"/>
      <c r="O2915" s="11"/>
      <c r="P2915" s="9"/>
      <c r="Q2915" s="9"/>
      <c r="R2915" s="9"/>
      <c r="S2915" s="9"/>
      <c r="T2915" s="31"/>
      <c r="W2915" s="16"/>
      <c r="X2915" s="9"/>
      <c r="Y2915" s="9"/>
      <c r="AA2915" s="16"/>
      <c r="AK2915" s="16"/>
      <c r="AL2915" s="17"/>
    </row>
    <row r="2916" spans="9:38" x14ac:dyDescent="0.4">
      <c r="I2916" s="11"/>
      <c r="J2916" s="9"/>
      <c r="K2916" s="9"/>
      <c r="O2916" s="11"/>
      <c r="P2916" s="9"/>
      <c r="Q2916" s="9"/>
      <c r="R2916" s="9"/>
      <c r="S2916" s="9"/>
      <c r="T2916" s="31"/>
      <c r="W2916" s="16"/>
      <c r="X2916" s="9"/>
      <c r="Y2916" s="9"/>
      <c r="AA2916" s="16"/>
      <c r="AK2916" s="16"/>
      <c r="AL2916" s="17"/>
    </row>
    <row r="2917" spans="9:38" x14ac:dyDescent="0.4">
      <c r="I2917" s="11"/>
      <c r="J2917" s="9"/>
      <c r="K2917" s="9"/>
      <c r="O2917" s="11"/>
      <c r="P2917" s="9"/>
      <c r="Q2917" s="9"/>
      <c r="R2917" s="9"/>
      <c r="S2917" s="9"/>
      <c r="T2917" s="31"/>
      <c r="W2917" s="16"/>
      <c r="X2917" s="9"/>
      <c r="Y2917" s="9"/>
      <c r="AA2917" s="16"/>
      <c r="AK2917" s="16"/>
      <c r="AL2917" s="17"/>
    </row>
    <row r="2918" spans="9:38" x14ac:dyDescent="0.4">
      <c r="I2918" s="11"/>
      <c r="J2918" s="9"/>
      <c r="K2918" s="9"/>
      <c r="O2918" s="11"/>
      <c r="P2918" s="9"/>
      <c r="Q2918" s="9"/>
      <c r="R2918" s="9"/>
      <c r="S2918" s="9"/>
      <c r="T2918" s="31"/>
      <c r="W2918" s="16"/>
      <c r="X2918" s="9"/>
      <c r="Y2918" s="9"/>
      <c r="AA2918" s="16"/>
      <c r="AK2918" s="16"/>
      <c r="AL2918" s="17"/>
    </row>
    <row r="2919" spans="9:38" x14ac:dyDescent="0.4">
      <c r="I2919" s="11"/>
      <c r="J2919" s="9"/>
      <c r="K2919" s="9"/>
      <c r="O2919" s="11"/>
      <c r="P2919" s="9"/>
      <c r="Q2919" s="9"/>
      <c r="R2919" s="9"/>
      <c r="S2919" s="9"/>
      <c r="T2919" s="31"/>
      <c r="W2919" s="16"/>
      <c r="X2919" s="9"/>
      <c r="Y2919" s="9"/>
      <c r="AA2919" s="16"/>
      <c r="AK2919" s="16"/>
      <c r="AL2919" s="17"/>
    </row>
    <row r="2920" spans="9:38" x14ac:dyDescent="0.4">
      <c r="I2920" s="11"/>
      <c r="J2920" s="9"/>
      <c r="K2920" s="9"/>
      <c r="O2920" s="11"/>
      <c r="P2920" s="9"/>
      <c r="Q2920" s="9"/>
      <c r="R2920" s="9"/>
      <c r="S2920" s="9"/>
      <c r="T2920" s="31"/>
      <c r="W2920" s="16"/>
      <c r="X2920" s="9"/>
      <c r="Y2920" s="9"/>
      <c r="AA2920" s="16"/>
      <c r="AK2920" s="16"/>
      <c r="AL2920" s="17"/>
    </row>
    <row r="2921" spans="9:38" x14ac:dyDescent="0.4">
      <c r="I2921" s="11"/>
      <c r="J2921" s="9"/>
      <c r="K2921" s="9"/>
      <c r="O2921" s="11"/>
      <c r="P2921" s="9"/>
      <c r="Q2921" s="9"/>
      <c r="R2921" s="9"/>
      <c r="S2921" s="9"/>
      <c r="T2921" s="31"/>
      <c r="W2921" s="16"/>
      <c r="X2921" s="9"/>
      <c r="Y2921" s="9"/>
      <c r="AA2921" s="16"/>
      <c r="AK2921" s="16"/>
      <c r="AL2921" s="17"/>
    </row>
    <row r="2922" spans="9:38" x14ac:dyDescent="0.4">
      <c r="I2922" s="11"/>
      <c r="J2922" s="9"/>
      <c r="K2922" s="9"/>
      <c r="O2922" s="11"/>
      <c r="P2922" s="9"/>
      <c r="Q2922" s="9"/>
      <c r="R2922" s="9"/>
      <c r="S2922" s="9"/>
      <c r="T2922" s="31"/>
      <c r="W2922" s="16"/>
      <c r="X2922" s="9"/>
      <c r="Y2922" s="9"/>
      <c r="AA2922" s="16"/>
      <c r="AK2922" s="16"/>
      <c r="AL2922" s="17"/>
    </row>
    <row r="2923" spans="9:38" x14ac:dyDescent="0.4">
      <c r="I2923" s="11"/>
      <c r="J2923" s="9"/>
      <c r="K2923" s="9"/>
      <c r="O2923" s="11"/>
      <c r="P2923" s="9"/>
      <c r="Q2923" s="9"/>
      <c r="R2923" s="9"/>
      <c r="S2923" s="9"/>
      <c r="T2923" s="31"/>
      <c r="W2923" s="16"/>
      <c r="X2923" s="9"/>
      <c r="Y2923" s="9"/>
      <c r="AA2923" s="16"/>
      <c r="AK2923" s="16"/>
      <c r="AL2923" s="17"/>
    </row>
    <row r="2924" spans="9:38" x14ac:dyDescent="0.4">
      <c r="I2924" s="11"/>
      <c r="J2924" s="9"/>
      <c r="K2924" s="9"/>
      <c r="O2924" s="11"/>
      <c r="P2924" s="9"/>
      <c r="Q2924" s="9"/>
      <c r="R2924" s="9"/>
      <c r="S2924" s="9"/>
      <c r="T2924" s="31"/>
      <c r="W2924" s="16"/>
      <c r="X2924" s="9"/>
      <c r="Y2924" s="9"/>
      <c r="AA2924" s="16"/>
      <c r="AK2924" s="16"/>
      <c r="AL2924" s="17"/>
    </row>
    <row r="2925" spans="9:38" x14ac:dyDescent="0.4">
      <c r="I2925" s="11"/>
      <c r="J2925" s="9"/>
      <c r="K2925" s="9"/>
      <c r="O2925" s="11"/>
      <c r="P2925" s="9"/>
      <c r="Q2925" s="9"/>
      <c r="R2925" s="9"/>
      <c r="S2925" s="9"/>
      <c r="T2925" s="31"/>
      <c r="W2925" s="16"/>
      <c r="X2925" s="9"/>
      <c r="Y2925" s="9"/>
      <c r="AA2925" s="16"/>
      <c r="AK2925" s="16"/>
      <c r="AL2925" s="17"/>
    </row>
    <row r="2926" spans="9:38" x14ac:dyDescent="0.4">
      <c r="I2926" s="11"/>
      <c r="J2926" s="9"/>
      <c r="K2926" s="9"/>
      <c r="O2926" s="11"/>
      <c r="P2926" s="9"/>
      <c r="Q2926" s="9"/>
      <c r="R2926" s="9"/>
      <c r="S2926" s="9"/>
      <c r="T2926" s="31"/>
      <c r="W2926" s="16"/>
      <c r="X2926" s="9"/>
      <c r="Y2926" s="9"/>
      <c r="AA2926" s="16"/>
      <c r="AK2926" s="16"/>
      <c r="AL2926" s="17"/>
    </row>
    <row r="2927" spans="9:38" x14ac:dyDescent="0.4">
      <c r="I2927" s="11"/>
      <c r="J2927" s="9"/>
      <c r="K2927" s="9"/>
      <c r="O2927" s="11"/>
      <c r="P2927" s="9"/>
      <c r="Q2927" s="9"/>
      <c r="R2927" s="9"/>
      <c r="S2927" s="9"/>
      <c r="T2927" s="31"/>
      <c r="W2927" s="16"/>
      <c r="X2927" s="9"/>
      <c r="Y2927" s="9"/>
      <c r="AA2927" s="16"/>
      <c r="AK2927" s="16"/>
      <c r="AL2927" s="17"/>
    </row>
    <row r="2928" spans="9:38" x14ac:dyDescent="0.4">
      <c r="I2928" s="11"/>
      <c r="J2928" s="9"/>
      <c r="K2928" s="9"/>
      <c r="O2928" s="11"/>
      <c r="P2928" s="9"/>
      <c r="Q2928" s="9"/>
      <c r="R2928" s="9"/>
      <c r="S2928" s="9"/>
      <c r="T2928" s="31"/>
      <c r="W2928" s="16"/>
      <c r="X2928" s="9"/>
      <c r="Y2928" s="9"/>
      <c r="AA2928" s="16"/>
      <c r="AK2928" s="16"/>
      <c r="AL2928" s="17"/>
    </row>
    <row r="2929" spans="9:38" x14ac:dyDescent="0.4">
      <c r="I2929" s="11"/>
      <c r="J2929" s="9"/>
      <c r="K2929" s="9"/>
      <c r="O2929" s="11"/>
      <c r="P2929" s="9"/>
      <c r="Q2929" s="9"/>
      <c r="R2929" s="9"/>
      <c r="S2929" s="9"/>
      <c r="T2929" s="31"/>
      <c r="W2929" s="16"/>
      <c r="X2929" s="9"/>
      <c r="Y2929" s="9"/>
      <c r="AA2929" s="16"/>
      <c r="AK2929" s="16"/>
      <c r="AL2929" s="17"/>
    </row>
    <row r="2930" spans="9:38" x14ac:dyDescent="0.4">
      <c r="I2930" s="11"/>
      <c r="J2930" s="9"/>
      <c r="K2930" s="9"/>
      <c r="O2930" s="11"/>
      <c r="P2930" s="9"/>
      <c r="Q2930" s="9"/>
      <c r="R2930" s="9"/>
      <c r="S2930" s="9"/>
      <c r="T2930" s="31"/>
      <c r="W2930" s="16"/>
      <c r="X2930" s="9"/>
      <c r="Y2930" s="9"/>
      <c r="AA2930" s="16"/>
      <c r="AK2930" s="16"/>
      <c r="AL2930" s="17"/>
    </row>
    <row r="2931" spans="9:38" x14ac:dyDescent="0.4">
      <c r="I2931" s="11"/>
      <c r="J2931" s="9"/>
      <c r="K2931" s="9"/>
      <c r="O2931" s="11"/>
      <c r="P2931" s="9"/>
      <c r="Q2931" s="9"/>
      <c r="R2931" s="9"/>
      <c r="S2931" s="9"/>
      <c r="T2931" s="31"/>
      <c r="W2931" s="16"/>
      <c r="X2931" s="9"/>
      <c r="Y2931" s="9"/>
      <c r="AA2931" s="16"/>
      <c r="AK2931" s="16"/>
      <c r="AL2931" s="17"/>
    </row>
    <row r="2932" spans="9:38" x14ac:dyDescent="0.4">
      <c r="I2932" s="11"/>
      <c r="J2932" s="9"/>
      <c r="K2932" s="9"/>
      <c r="O2932" s="11"/>
      <c r="P2932" s="9"/>
      <c r="Q2932" s="9"/>
      <c r="R2932" s="9"/>
      <c r="S2932" s="9"/>
      <c r="T2932" s="31"/>
      <c r="W2932" s="16"/>
      <c r="X2932" s="9"/>
      <c r="Y2932" s="9"/>
      <c r="AA2932" s="16"/>
      <c r="AK2932" s="16"/>
      <c r="AL2932" s="17"/>
    </row>
    <row r="2933" spans="9:38" x14ac:dyDescent="0.4">
      <c r="I2933" s="11"/>
      <c r="J2933" s="9"/>
      <c r="K2933" s="9"/>
      <c r="O2933" s="11"/>
      <c r="P2933" s="9"/>
      <c r="Q2933" s="9"/>
      <c r="R2933" s="9"/>
      <c r="S2933" s="9"/>
      <c r="T2933" s="31"/>
      <c r="W2933" s="16"/>
      <c r="X2933" s="9"/>
      <c r="Y2933" s="9"/>
      <c r="AA2933" s="16"/>
      <c r="AK2933" s="16"/>
      <c r="AL2933" s="17"/>
    </row>
    <row r="2934" spans="9:38" x14ac:dyDescent="0.4">
      <c r="I2934" s="11"/>
      <c r="J2934" s="9"/>
      <c r="K2934" s="9"/>
      <c r="O2934" s="11"/>
      <c r="P2934" s="9"/>
      <c r="Q2934" s="9"/>
      <c r="R2934" s="9"/>
      <c r="S2934" s="9"/>
      <c r="T2934" s="31"/>
      <c r="W2934" s="16"/>
      <c r="X2934" s="9"/>
      <c r="Y2934" s="9"/>
      <c r="AA2934" s="16"/>
      <c r="AK2934" s="16"/>
      <c r="AL2934" s="17"/>
    </row>
    <row r="2935" spans="9:38" x14ac:dyDescent="0.4">
      <c r="I2935" s="11"/>
      <c r="J2935" s="9"/>
      <c r="K2935" s="9"/>
      <c r="O2935" s="11"/>
      <c r="P2935" s="9"/>
      <c r="Q2935" s="9"/>
      <c r="R2935" s="9"/>
      <c r="S2935" s="9"/>
      <c r="T2935" s="31"/>
      <c r="W2935" s="16"/>
      <c r="X2935" s="9"/>
      <c r="Y2935" s="9"/>
      <c r="AA2935" s="16"/>
      <c r="AK2935" s="16"/>
      <c r="AL2935" s="17"/>
    </row>
    <row r="2936" spans="9:38" x14ac:dyDescent="0.4">
      <c r="I2936" s="11"/>
      <c r="J2936" s="9"/>
      <c r="K2936" s="9"/>
      <c r="O2936" s="11"/>
      <c r="P2936" s="9"/>
      <c r="Q2936" s="9"/>
      <c r="R2936" s="9"/>
      <c r="S2936" s="9"/>
      <c r="T2936" s="31"/>
      <c r="W2936" s="16"/>
      <c r="X2936" s="9"/>
      <c r="Y2936" s="9"/>
      <c r="AA2936" s="16"/>
      <c r="AK2936" s="16"/>
      <c r="AL2936" s="17"/>
    </row>
    <row r="2937" spans="9:38" x14ac:dyDescent="0.4">
      <c r="I2937" s="11"/>
      <c r="J2937" s="9"/>
      <c r="K2937" s="9"/>
      <c r="O2937" s="11"/>
      <c r="P2937" s="9"/>
      <c r="Q2937" s="9"/>
      <c r="R2937" s="9"/>
      <c r="S2937" s="9"/>
      <c r="T2937" s="31"/>
      <c r="W2937" s="16"/>
      <c r="X2937" s="9"/>
      <c r="Y2937" s="9"/>
      <c r="AA2937" s="16"/>
      <c r="AK2937" s="16"/>
      <c r="AL2937" s="17"/>
    </row>
    <row r="2938" spans="9:38" x14ac:dyDescent="0.4">
      <c r="I2938" s="11"/>
      <c r="J2938" s="9"/>
      <c r="K2938" s="9"/>
      <c r="O2938" s="11"/>
      <c r="P2938" s="9"/>
      <c r="Q2938" s="9"/>
      <c r="R2938" s="9"/>
      <c r="S2938" s="9"/>
      <c r="T2938" s="31"/>
      <c r="W2938" s="16"/>
      <c r="X2938" s="9"/>
      <c r="Y2938" s="9"/>
      <c r="AA2938" s="16"/>
      <c r="AK2938" s="16"/>
      <c r="AL2938" s="17"/>
    </row>
    <row r="2939" spans="9:38" x14ac:dyDescent="0.4">
      <c r="I2939" s="11"/>
      <c r="J2939" s="9"/>
      <c r="K2939" s="9"/>
      <c r="O2939" s="11"/>
      <c r="P2939" s="9"/>
      <c r="Q2939" s="9"/>
      <c r="R2939" s="9"/>
      <c r="S2939" s="9"/>
      <c r="T2939" s="31"/>
      <c r="W2939" s="16"/>
      <c r="X2939" s="9"/>
      <c r="Y2939" s="9"/>
      <c r="AA2939" s="16"/>
      <c r="AK2939" s="16"/>
      <c r="AL2939" s="17"/>
    </row>
    <row r="2940" spans="9:38" x14ac:dyDescent="0.4">
      <c r="I2940" s="11"/>
      <c r="J2940" s="9"/>
      <c r="K2940" s="9"/>
      <c r="O2940" s="11"/>
      <c r="P2940" s="9"/>
      <c r="Q2940" s="9"/>
      <c r="R2940" s="9"/>
      <c r="S2940" s="9"/>
      <c r="T2940" s="31"/>
      <c r="W2940" s="16"/>
      <c r="X2940" s="9"/>
      <c r="Y2940" s="9"/>
      <c r="AA2940" s="16"/>
      <c r="AK2940" s="16"/>
      <c r="AL2940" s="17"/>
    </row>
    <row r="2941" spans="9:38" x14ac:dyDescent="0.4">
      <c r="I2941" s="11"/>
      <c r="J2941" s="9"/>
      <c r="K2941" s="9"/>
      <c r="O2941" s="11"/>
      <c r="P2941" s="9"/>
      <c r="Q2941" s="9"/>
      <c r="R2941" s="9"/>
      <c r="S2941" s="9"/>
      <c r="T2941" s="31"/>
      <c r="W2941" s="16"/>
      <c r="X2941" s="9"/>
      <c r="Y2941" s="9"/>
      <c r="AA2941" s="16"/>
      <c r="AK2941" s="16"/>
      <c r="AL2941" s="17"/>
    </row>
    <row r="2942" spans="9:38" x14ac:dyDescent="0.4">
      <c r="I2942" s="11"/>
      <c r="J2942" s="9"/>
      <c r="K2942" s="9"/>
      <c r="O2942" s="11"/>
      <c r="P2942" s="9"/>
      <c r="Q2942" s="9"/>
      <c r="R2942" s="9"/>
      <c r="S2942" s="9"/>
      <c r="T2942" s="31"/>
      <c r="W2942" s="16"/>
      <c r="X2942" s="9"/>
      <c r="Y2942" s="9"/>
      <c r="AA2942" s="16"/>
      <c r="AK2942" s="16"/>
      <c r="AL2942" s="17"/>
    </row>
    <row r="2943" spans="9:38" x14ac:dyDescent="0.4">
      <c r="I2943" s="11"/>
      <c r="J2943" s="9"/>
      <c r="K2943" s="9"/>
      <c r="O2943" s="11"/>
      <c r="P2943" s="9"/>
      <c r="Q2943" s="9"/>
      <c r="R2943" s="9"/>
      <c r="S2943" s="9"/>
      <c r="T2943" s="31"/>
      <c r="W2943" s="16"/>
      <c r="X2943" s="9"/>
      <c r="Y2943" s="9"/>
      <c r="AA2943" s="16"/>
      <c r="AK2943" s="16"/>
      <c r="AL2943" s="17"/>
    </row>
    <row r="2944" spans="9:38" x14ac:dyDescent="0.4">
      <c r="I2944" s="11"/>
      <c r="J2944" s="9"/>
      <c r="K2944" s="9"/>
      <c r="O2944" s="11"/>
      <c r="P2944" s="9"/>
      <c r="Q2944" s="9"/>
      <c r="R2944" s="9"/>
      <c r="S2944" s="9"/>
      <c r="T2944" s="31"/>
      <c r="W2944" s="16"/>
      <c r="X2944" s="9"/>
      <c r="Y2944" s="9"/>
      <c r="AA2944" s="16"/>
      <c r="AK2944" s="16"/>
      <c r="AL2944" s="17"/>
    </row>
    <row r="2945" spans="9:38" x14ac:dyDescent="0.4">
      <c r="I2945" s="11"/>
      <c r="J2945" s="9"/>
      <c r="K2945" s="9"/>
      <c r="O2945" s="11"/>
      <c r="P2945" s="9"/>
      <c r="Q2945" s="9"/>
      <c r="R2945" s="9"/>
      <c r="S2945" s="9"/>
      <c r="T2945" s="31"/>
      <c r="W2945" s="16"/>
      <c r="X2945" s="9"/>
      <c r="Y2945" s="9"/>
      <c r="AA2945" s="16"/>
      <c r="AK2945" s="16"/>
      <c r="AL2945" s="17"/>
    </row>
    <row r="2946" spans="9:38" x14ac:dyDescent="0.4">
      <c r="I2946" s="11"/>
      <c r="J2946" s="9"/>
      <c r="K2946" s="9"/>
      <c r="O2946" s="11"/>
      <c r="P2946" s="9"/>
      <c r="Q2946" s="9"/>
      <c r="R2946" s="9"/>
      <c r="S2946" s="9"/>
      <c r="T2946" s="31"/>
      <c r="W2946" s="16"/>
      <c r="X2946" s="9"/>
      <c r="Y2946" s="9"/>
      <c r="AA2946" s="16"/>
      <c r="AK2946" s="16"/>
      <c r="AL2946" s="17"/>
    </row>
    <row r="2947" spans="9:38" x14ac:dyDescent="0.4">
      <c r="I2947" s="11"/>
      <c r="J2947" s="9"/>
      <c r="K2947" s="9"/>
      <c r="O2947" s="11"/>
      <c r="P2947" s="9"/>
      <c r="Q2947" s="9"/>
      <c r="R2947" s="9"/>
      <c r="S2947" s="9"/>
      <c r="T2947" s="31"/>
      <c r="W2947" s="16"/>
      <c r="X2947" s="9"/>
      <c r="Y2947" s="9"/>
      <c r="AA2947" s="16"/>
      <c r="AK2947" s="16"/>
      <c r="AL2947" s="17"/>
    </row>
    <row r="2948" spans="9:38" x14ac:dyDescent="0.4">
      <c r="I2948" s="11"/>
      <c r="J2948" s="9"/>
      <c r="K2948" s="9"/>
      <c r="O2948" s="11"/>
      <c r="P2948" s="9"/>
      <c r="Q2948" s="9"/>
      <c r="R2948" s="9"/>
      <c r="S2948" s="9"/>
      <c r="T2948" s="31"/>
      <c r="W2948" s="16"/>
      <c r="X2948" s="9"/>
      <c r="Y2948" s="9"/>
      <c r="AA2948" s="16"/>
      <c r="AK2948" s="16"/>
      <c r="AL2948" s="17"/>
    </row>
    <row r="2949" spans="9:38" x14ac:dyDescent="0.4">
      <c r="I2949" s="11"/>
      <c r="J2949" s="9"/>
      <c r="K2949" s="9"/>
      <c r="O2949" s="11"/>
      <c r="P2949" s="9"/>
      <c r="Q2949" s="9"/>
      <c r="R2949" s="9"/>
      <c r="S2949" s="9"/>
      <c r="T2949" s="31"/>
      <c r="W2949" s="16"/>
      <c r="X2949" s="9"/>
      <c r="Y2949" s="9"/>
      <c r="AA2949" s="16"/>
      <c r="AK2949" s="16"/>
      <c r="AL2949" s="17"/>
    </row>
    <row r="2950" spans="9:38" x14ac:dyDescent="0.4">
      <c r="I2950" s="11"/>
      <c r="J2950" s="9"/>
      <c r="K2950" s="9"/>
      <c r="O2950" s="11"/>
      <c r="P2950" s="9"/>
      <c r="Q2950" s="9"/>
      <c r="R2950" s="9"/>
      <c r="S2950" s="9"/>
      <c r="T2950" s="31"/>
      <c r="W2950" s="16"/>
      <c r="X2950" s="9"/>
      <c r="Y2950" s="9"/>
      <c r="AA2950" s="16"/>
      <c r="AK2950" s="16"/>
      <c r="AL2950" s="17"/>
    </row>
    <row r="2951" spans="9:38" x14ac:dyDescent="0.4">
      <c r="I2951" s="11"/>
      <c r="J2951" s="9"/>
      <c r="K2951" s="9"/>
      <c r="O2951" s="11"/>
      <c r="P2951" s="9"/>
      <c r="Q2951" s="9"/>
      <c r="R2951" s="9"/>
      <c r="S2951" s="9"/>
      <c r="T2951" s="31"/>
      <c r="W2951" s="16"/>
      <c r="X2951" s="9"/>
      <c r="Y2951" s="9"/>
      <c r="AA2951" s="16"/>
      <c r="AK2951" s="16"/>
      <c r="AL2951" s="17"/>
    </row>
    <row r="2952" spans="9:38" x14ac:dyDescent="0.4">
      <c r="I2952" s="11"/>
      <c r="J2952" s="9"/>
      <c r="K2952" s="9"/>
      <c r="O2952" s="11"/>
      <c r="P2952" s="9"/>
      <c r="Q2952" s="9"/>
      <c r="R2952" s="9"/>
      <c r="S2952" s="9"/>
      <c r="T2952" s="31"/>
      <c r="W2952" s="16"/>
      <c r="X2952" s="9"/>
      <c r="Y2952" s="9"/>
      <c r="AA2952" s="16"/>
      <c r="AK2952" s="16"/>
      <c r="AL2952" s="17"/>
    </row>
    <row r="2953" spans="9:38" x14ac:dyDescent="0.4">
      <c r="I2953" s="11"/>
      <c r="J2953" s="9"/>
      <c r="K2953" s="9"/>
      <c r="O2953" s="11"/>
      <c r="P2953" s="9"/>
      <c r="Q2953" s="9"/>
      <c r="R2953" s="9"/>
      <c r="S2953" s="9"/>
      <c r="T2953" s="31"/>
      <c r="W2953" s="16"/>
      <c r="X2953" s="9"/>
      <c r="Y2953" s="9"/>
      <c r="AA2953" s="16"/>
      <c r="AK2953" s="16"/>
      <c r="AL2953" s="17"/>
    </row>
    <row r="2954" spans="9:38" x14ac:dyDescent="0.4">
      <c r="I2954" s="11"/>
      <c r="J2954" s="9"/>
      <c r="K2954" s="9"/>
      <c r="O2954" s="11"/>
      <c r="P2954" s="9"/>
      <c r="Q2954" s="9"/>
      <c r="R2954" s="9"/>
      <c r="S2954" s="9"/>
      <c r="T2954" s="31"/>
      <c r="W2954" s="16"/>
      <c r="X2954" s="9"/>
      <c r="Y2954" s="9"/>
      <c r="AA2954" s="16"/>
      <c r="AK2954" s="16"/>
      <c r="AL2954" s="17"/>
    </row>
    <row r="2955" spans="9:38" x14ac:dyDescent="0.4">
      <c r="I2955" s="11"/>
      <c r="J2955" s="9"/>
      <c r="K2955" s="9"/>
      <c r="O2955" s="11"/>
      <c r="P2955" s="9"/>
      <c r="Q2955" s="9"/>
      <c r="R2955" s="9"/>
      <c r="S2955" s="9"/>
      <c r="T2955" s="31"/>
      <c r="W2955" s="16"/>
      <c r="X2955" s="9"/>
      <c r="Y2955" s="9"/>
      <c r="AA2955" s="16"/>
      <c r="AK2955" s="16"/>
      <c r="AL2955" s="17"/>
    </row>
    <row r="2956" spans="9:38" x14ac:dyDescent="0.4">
      <c r="I2956" s="11"/>
      <c r="J2956" s="9"/>
      <c r="K2956" s="9"/>
      <c r="O2956" s="11"/>
      <c r="P2956" s="9"/>
      <c r="Q2956" s="9"/>
      <c r="R2956" s="9"/>
      <c r="S2956" s="9"/>
      <c r="T2956" s="31"/>
      <c r="W2956" s="16"/>
      <c r="X2956" s="9"/>
      <c r="Y2956" s="9"/>
      <c r="AA2956" s="16"/>
      <c r="AK2956" s="16"/>
      <c r="AL2956" s="17"/>
    </row>
    <row r="2957" spans="9:38" x14ac:dyDescent="0.4">
      <c r="I2957" s="11"/>
      <c r="J2957" s="9"/>
      <c r="K2957" s="9"/>
      <c r="O2957" s="11"/>
      <c r="P2957" s="9"/>
      <c r="Q2957" s="9"/>
      <c r="R2957" s="9"/>
      <c r="S2957" s="9"/>
      <c r="T2957" s="31"/>
      <c r="W2957" s="16"/>
      <c r="X2957" s="9"/>
      <c r="Y2957" s="9"/>
      <c r="AA2957" s="16"/>
      <c r="AK2957" s="16"/>
      <c r="AL2957" s="17"/>
    </row>
    <row r="2958" spans="9:38" x14ac:dyDescent="0.4">
      <c r="I2958" s="11"/>
      <c r="J2958" s="9"/>
      <c r="K2958" s="9"/>
      <c r="O2958" s="11"/>
      <c r="P2958" s="9"/>
      <c r="Q2958" s="9"/>
      <c r="R2958" s="9"/>
      <c r="S2958" s="9"/>
      <c r="T2958" s="31"/>
      <c r="W2958" s="16"/>
      <c r="X2958" s="9"/>
      <c r="Y2958" s="9"/>
      <c r="AA2958" s="16"/>
      <c r="AK2958" s="16"/>
      <c r="AL2958" s="17"/>
    </row>
    <row r="2959" spans="9:38" x14ac:dyDescent="0.4">
      <c r="I2959" s="11"/>
      <c r="J2959" s="9"/>
      <c r="K2959" s="9"/>
      <c r="O2959" s="11"/>
      <c r="P2959" s="9"/>
      <c r="Q2959" s="9"/>
      <c r="R2959" s="9"/>
      <c r="S2959" s="9"/>
      <c r="T2959" s="31"/>
      <c r="W2959" s="16"/>
      <c r="X2959" s="9"/>
      <c r="Y2959" s="9"/>
      <c r="AA2959" s="16"/>
      <c r="AK2959" s="16"/>
      <c r="AL2959" s="17"/>
    </row>
    <row r="2960" spans="9:38" x14ac:dyDescent="0.4">
      <c r="I2960" s="11"/>
      <c r="J2960" s="9"/>
      <c r="K2960" s="9"/>
      <c r="O2960" s="11"/>
      <c r="P2960" s="9"/>
      <c r="Q2960" s="9"/>
      <c r="R2960" s="9"/>
      <c r="S2960" s="9"/>
      <c r="T2960" s="31"/>
      <c r="W2960" s="16"/>
      <c r="X2960" s="9"/>
      <c r="Y2960" s="9"/>
      <c r="AA2960" s="16"/>
      <c r="AK2960" s="16"/>
      <c r="AL2960" s="17"/>
    </row>
    <row r="2961" spans="9:38" x14ac:dyDescent="0.4">
      <c r="I2961" s="11"/>
      <c r="J2961" s="9"/>
      <c r="K2961" s="9"/>
      <c r="O2961" s="11"/>
      <c r="P2961" s="9"/>
      <c r="Q2961" s="9"/>
      <c r="R2961" s="9"/>
      <c r="S2961" s="9"/>
      <c r="T2961" s="31"/>
      <c r="W2961" s="16"/>
      <c r="X2961" s="9"/>
      <c r="Y2961" s="9"/>
      <c r="AA2961" s="16"/>
      <c r="AK2961" s="16"/>
      <c r="AL2961" s="17"/>
    </row>
    <row r="2962" spans="9:38" x14ac:dyDescent="0.4">
      <c r="I2962" s="11"/>
      <c r="J2962" s="9"/>
      <c r="K2962" s="9"/>
      <c r="O2962" s="11"/>
      <c r="P2962" s="9"/>
      <c r="Q2962" s="9"/>
      <c r="R2962" s="9"/>
      <c r="S2962" s="9"/>
      <c r="T2962" s="31"/>
      <c r="W2962" s="16"/>
      <c r="X2962" s="9"/>
      <c r="Y2962" s="9"/>
      <c r="AA2962" s="16"/>
      <c r="AK2962" s="16"/>
      <c r="AL2962" s="17"/>
    </row>
    <row r="2963" spans="9:38" x14ac:dyDescent="0.4">
      <c r="I2963" s="11"/>
      <c r="J2963" s="9"/>
      <c r="K2963" s="9"/>
      <c r="O2963" s="11"/>
      <c r="P2963" s="9"/>
      <c r="Q2963" s="9"/>
      <c r="R2963" s="9"/>
      <c r="S2963" s="9"/>
      <c r="T2963" s="31"/>
      <c r="W2963" s="16"/>
      <c r="X2963" s="9"/>
      <c r="Y2963" s="9"/>
      <c r="AA2963" s="16"/>
      <c r="AK2963" s="16"/>
      <c r="AL2963" s="17"/>
    </row>
    <row r="2964" spans="9:38" x14ac:dyDescent="0.4">
      <c r="I2964" s="11"/>
      <c r="J2964" s="9"/>
      <c r="K2964" s="9"/>
      <c r="O2964" s="11"/>
      <c r="P2964" s="9"/>
      <c r="Q2964" s="9"/>
      <c r="R2964" s="9"/>
      <c r="S2964" s="9"/>
      <c r="T2964" s="31"/>
      <c r="W2964" s="16"/>
      <c r="X2964" s="9"/>
      <c r="Y2964" s="9"/>
      <c r="AA2964" s="16"/>
      <c r="AK2964" s="16"/>
      <c r="AL2964" s="17"/>
    </row>
    <row r="2965" spans="9:38" x14ac:dyDescent="0.4">
      <c r="I2965" s="11"/>
      <c r="J2965" s="9"/>
      <c r="K2965" s="9"/>
      <c r="O2965" s="11"/>
      <c r="P2965" s="9"/>
      <c r="Q2965" s="9"/>
      <c r="R2965" s="9"/>
      <c r="S2965" s="9"/>
      <c r="T2965" s="31"/>
      <c r="W2965" s="16"/>
      <c r="X2965" s="9"/>
      <c r="Y2965" s="9"/>
      <c r="AA2965" s="16"/>
      <c r="AK2965" s="16"/>
      <c r="AL2965" s="17"/>
    </row>
    <row r="2966" spans="9:38" x14ac:dyDescent="0.4">
      <c r="I2966" s="11"/>
      <c r="J2966" s="9"/>
      <c r="K2966" s="9"/>
      <c r="O2966" s="11"/>
      <c r="P2966" s="9"/>
      <c r="Q2966" s="9"/>
      <c r="R2966" s="9"/>
      <c r="S2966" s="9"/>
      <c r="T2966" s="31"/>
      <c r="W2966" s="16"/>
      <c r="X2966" s="9"/>
      <c r="Y2966" s="9"/>
      <c r="AA2966" s="16"/>
      <c r="AK2966" s="16"/>
      <c r="AL2966" s="17"/>
    </row>
    <row r="2967" spans="9:38" x14ac:dyDescent="0.4">
      <c r="I2967" s="11"/>
      <c r="J2967" s="9"/>
      <c r="K2967" s="9"/>
      <c r="O2967" s="11"/>
      <c r="P2967" s="9"/>
      <c r="Q2967" s="9"/>
      <c r="R2967" s="9"/>
      <c r="S2967" s="9"/>
      <c r="T2967" s="31"/>
      <c r="W2967" s="16"/>
      <c r="X2967" s="9"/>
      <c r="Y2967" s="9"/>
      <c r="AA2967" s="16"/>
      <c r="AK2967" s="16"/>
      <c r="AL2967" s="17"/>
    </row>
    <row r="2968" spans="9:38" x14ac:dyDescent="0.4">
      <c r="I2968" s="11"/>
      <c r="J2968" s="9"/>
      <c r="K2968" s="9"/>
      <c r="O2968" s="11"/>
      <c r="P2968" s="9"/>
      <c r="Q2968" s="9"/>
      <c r="R2968" s="9"/>
      <c r="S2968" s="9"/>
      <c r="T2968" s="31"/>
      <c r="W2968" s="16"/>
      <c r="X2968" s="9"/>
      <c r="Y2968" s="9"/>
      <c r="AA2968" s="16"/>
      <c r="AK2968" s="16"/>
      <c r="AL2968" s="17"/>
    </row>
    <row r="2969" spans="9:38" x14ac:dyDescent="0.4">
      <c r="I2969" s="11"/>
      <c r="J2969" s="9"/>
      <c r="K2969" s="9"/>
      <c r="O2969" s="11"/>
      <c r="P2969" s="9"/>
      <c r="Q2969" s="9"/>
      <c r="R2969" s="9"/>
      <c r="S2969" s="9"/>
      <c r="T2969" s="31"/>
      <c r="W2969" s="16"/>
      <c r="X2969" s="9"/>
      <c r="Y2969" s="9"/>
      <c r="AA2969" s="16"/>
      <c r="AK2969" s="16"/>
      <c r="AL2969" s="17"/>
    </row>
    <row r="2970" spans="9:38" x14ac:dyDescent="0.4">
      <c r="I2970" s="11"/>
      <c r="J2970" s="9"/>
      <c r="K2970" s="9"/>
      <c r="O2970" s="11"/>
      <c r="P2970" s="9"/>
      <c r="Q2970" s="9"/>
      <c r="R2970" s="9"/>
      <c r="S2970" s="9"/>
      <c r="T2970" s="31"/>
      <c r="W2970" s="16"/>
      <c r="X2970" s="9"/>
      <c r="Y2970" s="9"/>
      <c r="AA2970" s="16"/>
      <c r="AK2970" s="16"/>
      <c r="AL2970" s="17"/>
    </row>
    <row r="2971" spans="9:38" x14ac:dyDescent="0.4">
      <c r="I2971" s="11"/>
      <c r="J2971" s="9"/>
      <c r="K2971" s="9"/>
      <c r="O2971" s="11"/>
      <c r="P2971" s="9"/>
      <c r="Q2971" s="9"/>
      <c r="R2971" s="9"/>
      <c r="S2971" s="9"/>
      <c r="T2971" s="31"/>
      <c r="W2971" s="16"/>
      <c r="X2971" s="9"/>
      <c r="Y2971" s="9"/>
      <c r="AA2971" s="16"/>
      <c r="AK2971" s="16"/>
      <c r="AL2971" s="17"/>
    </row>
    <row r="2972" spans="9:38" x14ac:dyDescent="0.4">
      <c r="I2972" s="11"/>
      <c r="J2972" s="9"/>
      <c r="K2972" s="9"/>
      <c r="O2972" s="11"/>
      <c r="P2972" s="9"/>
      <c r="Q2972" s="9"/>
      <c r="R2972" s="9"/>
      <c r="S2972" s="9"/>
      <c r="T2972" s="31"/>
      <c r="W2972" s="16"/>
      <c r="X2972" s="9"/>
      <c r="Y2972" s="9"/>
      <c r="AA2972" s="16"/>
      <c r="AK2972" s="16"/>
      <c r="AL2972" s="17"/>
    </row>
    <row r="2973" spans="9:38" x14ac:dyDescent="0.4">
      <c r="I2973" s="11"/>
      <c r="J2973" s="9"/>
      <c r="K2973" s="9"/>
      <c r="O2973" s="11"/>
      <c r="P2973" s="9"/>
      <c r="Q2973" s="9"/>
      <c r="R2973" s="9"/>
      <c r="S2973" s="9"/>
      <c r="T2973" s="31"/>
      <c r="W2973" s="16"/>
      <c r="X2973" s="9"/>
      <c r="Y2973" s="9"/>
      <c r="AA2973" s="16"/>
      <c r="AK2973" s="16"/>
      <c r="AL2973" s="17"/>
    </row>
    <row r="2974" spans="9:38" x14ac:dyDescent="0.4">
      <c r="I2974" s="11"/>
      <c r="J2974" s="9"/>
      <c r="K2974" s="9"/>
      <c r="O2974" s="11"/>
      <c r="P2974" s="9"/>
      <c r="Q2974" s="9"/>
      <c r="R2974" s="9"/>
      <c r="S2974" s="9"/>
      <c r="T2974" s="31"/>
      <c r="W2974" s="16"/>
      <c r="X2974" s="9"/>
      <c r="Y2974" s="9"/>
      <c r="AA2974" s="16"/>
      <c r="AK2974" s="16"/>
      <c r="AL2974" s="17"/>
    </row>
    <row r="2975" spans="9:38" x14ac:dyDescent="0.4">
      <c r="I2975" s="11"/>
      <c r="J2975" s="9"/>
      <c r="K2975" s="9"/>
      <c r="O2975" s="11"/>
      <c r="P2975" s="9"/>
      <c r="Q2975" s="9"/>
      <c r="R2975" s="9"/>
      <c r="S2975" s="9"/>
      <c r="T2975" s="31"/>
      <c r="W2975" s="16"/>
      <c r="X2975" s="9"/>
      <c r="Y2975" s="9"/>
      <c r="AA2975" s="16"/>
      <c r="AK2975" s="16"/>
      <c r="AL2975" s="17"/>
    </row>
    <row r="2976" spans="9:38" x14ac:dyDescent="0.4">
      <c r="I2976" s="11"/>
      <c r="J2976" s="9"/>
      <c r="K2976" s="9"/>
      <c r="O2976" s="11"/>
      <c r="P2976" s="9"/>
      <c r="Q2976" s="9"/>
      <c r="R2976" s="9"/>
      <c r="S2976" s="9"/>
      <c r="T2976" s="31"/>
      <c r="W2976" s="16"/>
      <c r="X2976" s="9"/>
      <c r="Y2976" s="9"/>
      <c r="AA2976" s="16"/>
      <c r="AK2976" s="16"/>
      <c r="AL2976" s="17"/>
    </row>
    <row r="2977" spans="9:38" x14ac:dyDescent="0.4">
      <c r="I2977" s="11"/>
      <c r="J2977" s="9"/>
      <c r="K2977" s="9"/>
      <c r="O2977" s="11"/>
      <c r="P2977" s="9"/>
      <c r="Q2977" s="9"/>
      <c r="R2977" s="9"/>
      <c r="S2977" s="9"/>
      <c r="T2977" s="31"/>
      <c r="W2977" s="16"/>
      <c r="X2977" s="9"/>
      <c r="Y2977" s="9"/>
      <c r="AA2977" s="16"/>
      <c r="AK2977" s="16"/>
      <c r="AL2977" s="17"/>
    </row>
    <row r="2978" spans="9:38" x14ac:dyDescent="0.4">
      <c r="I2978" s="11"/>
      <c r="J2978" s="9"/>
      <c r="K2978" s="9"/>
      <c r="O2978" s="11"/>
      <c r="P2978" s="9"/>
      <c r="Q2978" s="9"/>
      <c r="R2978" s="9"/>
      <c r="S2978" s="9"/>
      <c r="T2978" s="31"/>
      <c r="W2978" s="16"/>
      <c r="X2978" s="9"/>
      <c r="Y2978" s="9"/>
      <c r="AA2978" s="16"/>
      <c r="AK2978" s="16"/>
      <c r="AL2978" s="17"/>
    </row>
    <row r="2979" spans="9:38" x14ac:dyDescent="0.4">
      <c r="I2979" s="11"/>
      <c r="J2979" s="9"/>
      <c r="K2979" s="9"/>
      <c r="O2979" s="11"/>
      <c r="P2979" s="9"/>
      <c r="Q2979" s="9"/>
      <c r="R2979" s="9"/>
      <c r="S2979" s="9"/>
      <c r="T2979" s="31"/>
      <c r="W2979" s="16"/>
      <c r="X2979" s="9"/>
      <c r="Y2979" s="9"/>
      <c r="AA2979" s="16"/>
      <c r="AK2979" s="16"/>
      <c r="AL2979" s="17"/>
    </row>
    <row r="2980" spans="9:38" x14ac:dyDescent="0.4">
      <c r="I2980" s="11"/>
      <c r="J2980" s="9"/>
      <c r="K2980" s="9"/>
      <c r="O2980" s="11"/>
      <c r="P2980" s="9"/>
      <c r="Q2980" s="9"/>
      <c r="R2980" s="9"/>
      <c r="S2980" s="9"/>
      <c r="T2980" s="31"/>
      <c r="W2980" s="16"/>
      <c r="X2980" s="9"/>
      <c r="Y2980" s="9"/>
      <c r="AA2980" s="16"/>
      <c r="AK2980" s="16"/>
      <c r="AL2980" s="17"/>
    </row>
    <row r="2981" spans="9:38" x14ac:dyDescent="0.4">
      <c r="I2981" s="11"/>
      <c r="J2981" s="9"/>
      <c r="K2981" s="9"/>
      <c r="O2981" s="11"/>
      <c r="P2981" s="9"/>
      <c r="Q2981" s="9"/>
      <c r="R2981" s="9"/>
      <c r="S2981" s="9"/>
      <c r="T2981" s="31"/>
      <c r="W2981" s="16"/>
      <c r="X2981" s="9"/>
      <c r="Y2981" s="9"/>
      <c r="AA2981" s="16"/>
      <c r="AK2981" s="16"/>
      <c r="AL2981" s="17"/>
    </row>
    <row r="2982" spans="9:38" x14ac:dyDescent="0.4">
      <c r="I2982" s="11"/>
      <c r="J2982" s="9"/>
      <c r="K2982" s="9"/>
      <c r="O2982" s="11"/>
      <c r="P2982" s="9"/>
      <c r="Q2982" s="9"/>
      <c r="R2982" s="9"/>
      <c r="S2982" s="9"/>
      <c r="T2982" s="31"/>
      <c r="W2982" s="16"/>
      <c r="X2982" s="9"/>
      <c r="Y2982" s="9"/>
      <c r="AA2982" s="16"/>
      <c r="AK2982" s="16"/>
      <c r="AL2982" s="17"/>
    </row>
    <row r="2983" spans="9:38" x14ac:dyDescent="0.4">
      <c r="I2983" s="11"/>
      <c r="J2983" s="9"/>
      <c r="K2983" s="9"/>
      <c r="O2983" s="11"/>
      <c r="P2983" s="9"/>
      <c r="Q2983" s="9"/>
      <c r="R2983" s="9"/>
      <c r="S2983" s="9"/>
      <c r="T2983" s="31"/>
      <c r="W2983" s="16"/>
      <c r="X2983" s="9"/>
      <c r="Y2983" s="9"/>
      <c r="AA2983" s="16"/>
      <c r="AK2983" s="16"/>
      <c r="AL2983" s="17"/>
    </row>
    <row r="2984" spans="9:38" x14ac:dyDescent="0.4">
      <c r="I2984" s="11"/>
      <c r="J2984" s="9"/>
      <c r="K2984" s="9"/>
      <c r="O2984" s="11"/>
      <c r="P2984" s="9"/>
      <c r="Q2984" s="9"/>
      <c r="R2984" s="9"/>
      <c r="S2984" s="9"/>
      <c r="T2984" s="31"/>
      <c r="W2984" s="16"/>
      <c r="X2984" s="9"/>
      <c r="Y2984" s="9"/>
      <c r="AA2984" s="16"/>
      <c r="AK2984" s="16"/>
      <c r="AL2984" s="17"/>
    </row>
    <row r="2985" spans="9:38" x14ac:dyDescent="0.4">
      <c r="I2985" s="11"/>
      <c r="J2985" s="9"/>
      <c r="K2985" s="9"/>
      <c r="O2985" s="11"/>
      <c r="P2985" s="9"/>
      <c r="Q2985" s="9"/>
      <c r="R2985" s="9"/>
      <c r="S2985" s="9"/>
      <c r="T2985" s="31"/>
      <c r="W2985" s="16"/>
      <c r="X2985" s="9"/>
      <c r="Y2985" s="9"/>
      <c r="AA2985" s="16"/>
      <c r="AK2985" s="16"/>
      <c r="AL2985" s="17"/>
    </row>
    <row r="2986" spans="9:38" x14ac:dyDescent="0.4">
      <c r="I2986" s="11"/>
      <c r="J2986" s="9"/>
      <c r="K2986" s="9"/>
      <c r="O2986" s="11"/>
      <c r="P2986" s="9"/>
      <c r="Q2986" s="9"/>
      <c r="R2986" s="9"/>
      <c r="S2986" s="9"/>
      <c r="T2986" s="31"/>
      <c r="W2986" s="16"/>
      <c r="X2986" s="9"/>
      <c r="Y2986" s="9"/>
      <c r="AA2986" s="16"/>
      <c r="AK2986" s="16"/>
      <c r="AL2986" s="17"/>
    </row>
    <row r="2987" spans="9:38" x14ac:dyDescent="0.4">
      <c r="I2987" s="11"/>
      <c r="J2987" s="9"/>
      <c r="K2987" s="9"/>
      <c r="O2987" s="11"/>
      <c r="P2987" s="9"/>
      <c r="Q2987" s="9"/>
      <c r="R2987" s="9"/>
      <c r="S2987" s="9"/>
      <c r="T2987" s="31"/>
      <c r="W2987" s="16"/>
      <c r="X2987" s="9"/>
      <c r="Y2987" s="9"/>
      <c r="AA2987" s="16"/>
      <c r="AK2987" s="16"/>
      <c r="AL2987" s="17"/>
    </row>
    <row r="2988" spans="9:38" x14ac:dyDescent="0.4">
      <c r="I2988" s="11"/>
      <c r="J2988" s="9"/>
      <c r="K2988" s="9"/>
      <c r="O2988" s="11"/>
      <c r="P2988" s="9"/>
      <c r="Q2988" s="9"/>
      <c r="R2988" s="9"/>
      <c r="S2988" s="9"/>
      <c r="T2988" s="31"/>
      <c r="W2988" s="16"/>
      <c r="X2988" s="9"/>
      <c r="Y2988" s="9"/>
      <c r="AA2988" s="16"/>
      <c r="AK2988" s="16"/>
      <c r="AL2988" s="17"/>
    </row>
    <row r="2989" spans="9:38" x14ac:dyDescent="0.4">
      <c r="I2989" s="11"/>
      <c r="J2989" s="9"/>
      <c r="K2989" s="9"/>
      <c r="O2989" s="11"/>
      <c r="P2989" s="9"/>
      <c r="Q2989" s="9"/>
      <c r="R2989" s="9"/>
      <c r="S2989" s="9"/>
      <c r="T2989" s="31"/>
      <c r="W2989" s="16"/>
      <c r="X2989" s="9"/>
      <c r="Y2989" s="9"/>
      <c r="AA2989" s="16"/>
      <c r="AK2989" s="16"/>
      <c r="AL2989" s="17"/>
    </row>
    <row r="2990" spans="9:38" x14ac:dyDescent="0.4">
      <c r="I2990" s="11"/>
      <c r="J2990" s="9"/>
      <c r="K2990" s="9"/>
      <c r="O2990" s="11"/>
      <c r="P2990" s="9"/>
      <c r="Q2990" s="9"/>
      <c r="R2990" s="9"/>
      <c r="S2990" s="9"/>
      <c r="T2990" s="31"/>
      <c r="W2990" s="16"/>
      <c r="X2990" s="9"/>
      <c r="Y2990" s="9"/>
      <c r="AA2990" s="16"/>
      <c r="AK2990" s="16"/>
      <c r="AL2990" s="17"/>
    </row>
    <row r="2991" spans="9:38" x14ac:dyDescent="0.4">
      <c r="I2991" s="11"/>
      <c r="J2991" s="9"/>
      <c r="K2991" s="9"/>
      <c r="O2991" s="11"/>
      <c r="P2991" s="9"/>
      <c r="Q2991" s="9"/>
      <c r="R2991" s="9"/>
      <c r="S2991" s="9"/>
      <c r="T2991" s="31"/>
      <c r="W2991" s="16"/>
      <c r="X2991" s="9"/>
      <c r="Y2991" s="9"/>
      <c r="AA2991" s="16"/>
      <c r="AK2991" s="16"/>
      <c r="AL2991" s="17"/>
    </row>
    <row r="2992" spans="9:38" x14ac:dyDescent="0.4">
      <c r="I2992" s="11"/>
      <c r="J2992" s="9"/>
      <c r="K2992" s="9"/>
      <c r="O2992" s="11"/>
      <c r="P2992" s="9"/>
      <c r="Q2992" s="9"/>
      <c r="R2992" s="9"/>
      <c r="S2992" s="9"/>
      <c r="T2992" s="31"/>
      <c r="W2992" s="16"/>
      <c r="X2992" s="9"/>
      <c r="Y2992" s="9"/>
      <c r="AA2992" s="16"/>
      <c r="AK2992" s="16"/>
      <c r="AL2992" s="17"/>
    </row>
    <row r="2993" spans="9:38" x14ac:dyDescent="0.4">
      <c r="I2993" s="11"/>
      <c r="J2993" s="9"/>
      <c r="K2993" s="9"/>
      <c r="O2993" s="11"/>
      <c r="P2993" s="9"/>
      <c r="Q2993" s="9"/>
      <c r="R2993" s="9"/>
      <c r="S2993" s="9"/>
      <c r="T2993" s="31"/>
      <c r="W2993" s="16"/>
      <c r="X2993" s="9"/>
      <c r="Y2993" s="9"/>
      <c r="AA2993" s="16"/>
      <c r="AK2993" s="16"/>
      <c r="AL2993" s="17"/>
    </row>
    <row r="2994" spans="9:38" x14ac:dyDescent="0.4">
      <c r="I2994" s="11"/>
      <c r="J2994" s="9"/>
      <c r="K2994" s="9"/>
      <c r="O2994" s="11"/>
      <c r="P2994" s="9"/>
      <c r="Q2994" s="9"/>
      <c r="R2994" s="9"/>
      <c r="S2994" s="9"/>
      <c r="T2994" s="31"/>
      <c r="W2994" s="16"/>
      <c r="X2994" s="9"/>
      <c r="Y2994" s="9"/>
      <c r="AA2994" s="16"/>
      <c r="AK2994" s="16"/>
      <c r="AL2994" s="17"/>
    </row>
    <row r="2995" spans="9:38" x14ac:dyDescent="0.4">
      <c r="I2995" s="11"/>
      <c r="J2995" s="9"/>
      <c r="K2995" s="9"/>
      <c r="O2995" s="11"/>
      <c r="P2995" s="9"/>
      <c r="Q2995" s="9"/>
      <c r="R2995" s="9"/>
      <c r="S2995" s="9"/>
      <c r="T2995" s="31"/>
      <c r="W2995" s="16"/>
      <c r="X2995" s="9"/>
      <c r="Y2995" s="9"/>
      <c r="AA2995" s="16"/>
      <c r="AK2995" s="16"/>
      <c r="AL2995" s="17"/>
    </row>
    <row r="2996" spans="9:38" x14ac:dyDescent="0.4">
      <c r="I2996" s="11"/>
      <c r="J2996" s="9"/>
      <c r="K2996" s="9"/>
      <c r="O2996" s="11"/>
      <c r="P2996" s="9"/>
      <c r="Q2996" s="9"/>
      <c r="R2996" s="9"/>
      <c r="S2996" s="9"/>
      <c r="T2996" s="31"/>
      <c r="W2996" s="16"/>
      <c r="X2996" s="9"/>
      <c r="Y2996" s="9"/>
      <c r="AA2996" s="16"/>
      <c r="AK2996" s="16"/>
      <c r="AL2996" s="17"/>
    </row>
    <row r="2997" spans="9:38" x14ac:dyDescent="0.4">
      <c r="I2997" s="11"/>
      <c r="J2997" s="9"/>
      <c r="K2997" s="9"/>
      <c r="O2997" s="11"/>
      <c r="P2997" s="9"/>
      <c r="Q2997" s="9"/>
      <c r="R2997" s="9"/>
      <c r="S2997" s="9"/>
      <c r="T2997" s="31"/>
      <c r="W2997" s="16"/>
      <c r="X2997" s="9"/>
      <c r="Y2997" s="9"/>
      <c r="AA2997" s="16"/>
      <c r="AK2997" s="16"/>
      <c r="AL2997" s="17"/>
    </row>
    <row r="2998" spans="9:38" x14ac:dyDescent="0.4">
      <c r="I2998" s="11"/>
      <c r="J2998" s="9"/>
      <c r="K2998" s="9"/>
      <c r="O2998" s="11"/>
      <c r="P2998" s="9"/>
      <c r="Q2998" s="9"/>
      <c r="R2998" s="9"/>
      <c r="S2998" s="9"/>
      <c r="T2998" s="31"/>
      <c r="W2998" s="16"/>
      <c r="X2998" s="9"/>
      <c r="Y2998" s="9"/>
      <c r="AA2998" s="16"/>
      <c r="AK2998" s="16"/>
      <c r="AL2998" s="17"/>
    </row>
    <row r="2999" spans="9:38" x14ac:dyDescent="0.4">
      <c r="I2999" s="11"/>
      <c r="J2999" s="9"/>
      <c r="K2999" s="9"/>
      <c r="O2999" s="11"/>
      <c r="P2999" s="9"/>
      <c r="Q2999" s="9"/>
      <c r="R2999" s="9"/>
      <c r="S2999" s="9"/>
      <c r="T2999" s="31"/>
      <c r="W2999" s="16"/>
      <c r="X2999" s="9"/>
      <c r="Y2999" s="9"/>
      <c r="AA2999" s="16"/>
      <c r="AK2999" s="16"/>
      <c r="AL2999" s="17"/>
    </row>
    <row r="3000" spans="9:38" x14ac:dyDescent="0.4">
      <c r="I3000" s="11"/>
      <c r="J3000" s="9"/>
      <c r="K3000" s="9"/>
      <c r="O3000" s="11"/>
      <c r="P3000" s="9"/>
      <c r="Q3000" s="9"/>
      <c r="R3000" s="9"/>
      <c r="S3000" s="9"/>
      <c r="T3000" s="31"/>
      <c r="W3000" s="16"/>
      <c r="X3000" s="9"/>
      <c r="Y3000" s="9"/>
      <c r="AA3000" s="16"/>
      <c r="AK3000" s="16"/>
      <c r="AL3000" s="17"/>
    </row>
    <row r="3001" spans="9:38" x14ac:dyDescent="0.4">
      <c r="I3001" s="11"/>
      <c r="J3001" s="9"/>
      <c r="K3001" s="9"/>
      <c r="O3001" s="11"/>
      <c r="P3001" s="9"/>
      <c r="Q3001" s="9"/>
      <c r="R3001" s="9"/>
      <c r="S3001" s="9"/>
      <c r="T3001" s="31"/>
      <c r="W3001" s="16"/>
      <c r="X3001" s="9"/>
      <c r="Y3001" s="9"/>
      <c r="AA3001" s="16"/>
      <c r="AK3001" s="16"/>
      <c r="AL3001" s="17"/>
    </row>
    <row r="3002" spans="9:38" x14ac:dyDescent="0.4">
      <c r="I3002" s="11"/>
      <c r="J3002" s="9"/>
      <c r="K3002" s="9"/>
      <c r="O3002" s="11"/>
      <c r="P3002" s="9"/>
      <c r="Q3002" s="9"/>
      <c r="R3002" s="9"/>
      <c r="S3002" s="9"/>
      <c r="T3002" s="31"/>
      <c r="W3002" s="16"/>
      <c r="X3002" s="9"/>
      <c r="Y3002" s="9"/>
      <c r="AA3002" s="16"/>
      <c r="AK3002" s="16"/>
      <c r="AL3002" s="17"/>
    </row>
    <row r="3003" spans="9:38" x14ac:dyDescent="0.4">
      <c r="I3003" s="11"/>
      <c r="J3003" s="9"/>
      <c r="K3003" s="9"/>
      <c r="O3003" s="11"/>
      <c r="P3003" s="9"/>
      <c r="Q3003" s="9"/>
      <c r="R3003" s="9"/>
      <c r="S3003" s="9"/>
      <c r="T3003" s="31"/>
      <c r="W3003" s="16"/>
      <c r="X3003" s="9"/>
      <c r="Y3003" s="9"/>
      <c r="AA3003" s="16"/>
      <c r="AK3003" s="16"/>
      <c r="AL3003" s="17"/>
    </row>
    <row r="3004" spans="9:38" x14ac:dyDescent="0.4">
      <c r="I3004" s="11"/>
      <c r="J3004" s="9"/>
      <c r="K3004" s="9"/>
      <c r="O3004" s="11"/>
      <c r="P3004" s="9"/>
      <c r="Q3004" s="9"/>
      <c r="R3004" s="9"/>
      <c r="S3004" s="9"/>
      <c r="T3004" s="31"/>
      <c r="W3004" s="16"/>
      <c r="X3004" s="9"/>
      <c r="Y3004" s="9"/>
      <c r="AA3004" s="16"/>
      <c r="AK3004" s="16"/>
      <c r="AL3004" s="17"/>
    </row>
    <row r="3005" spans="9:38" x14ac:dyDescent="0.4">
      <c r="I3005" s="11"/>
      <c r="J3005" s="9"/>
      <c r="K3005" s="9"/>
      <c r="O3005" s="11"/>
      <c r="P3005" s="9"/>
      <c r="Q3005" s="9"/>
      <c r="R3005" s="9"/>
      <c r="S3005" s="9"/>
      <c r="T3005" s="31"/>
      <c r="W3005" s="16"/>
      <c r="X3005" s="9"/>
      <c r="Y3005" s="9"/>
      <c r="AA3005" s="16"/>
      <c r="AK3005" s="16"/>
      <c r="AL3005" s="17"/>
    </row>
    <row r="3006" spans="9:38" x14ac:dyDescent="0.4">
      <c r="I3006" s="11"/>
      <c r="J3006" s="9"/>
      <c r="K3006" s="9"/>
      <c r="O3006" s="11"/>
      <c r="P3006" s="9"/>
      <c r="Q3006" s="9"/>
      <c r="R3006" s="9"/>
      <c r="S3006" s="9"/>
      <c r="T3006" s="31"/>
      <c r="W3006" s="16"/>
      <c r="X3006" s="9"/>
      <c r="Y3006" s="9"/>
      <c r="AA3006" s="16"/>
      <c r="AK3006" s="16"/>
      <c r="AL3006" s="17"/>
    </row>
    <row r="3007" spans="9:38" x14ac:dyDescent="0.4">
      <c r="I3007" s="11"/>
      <c r="J3007" s="9"/>
      <c r="K3007" s="9"/>
      <c r="O3007" s="11"/>
      <c r="P3007" s="9"/>
      <c r="Q3007" s="9"/>
      <c r="R3007" s="9"/>
      <c r="S3007" s="9"/>
      <c r="T3007" s="31"/>
      <c r="W3007" s="16"/>
      <c r="X3007" s="9"/>
      <c r="Y3007" s="9"/>
      <c r="AA3007" s="16"/>
      <c r="AK3007" s="16"/>
      <c r="AL3007" s="17"/>
    </row>
    <row r="3008" spans="9:38" x14ac:dyDescent="0.4">
      <c r="I3008" s="11"/>
      <c r="J3008" s="9"/>
      <c r="K3008" s="9"/>
      <c r="O3008" s="11"/>
      <c r="P3008" s="9"/>
      <c r="Q3008" s="9"/>
      <c r="R3008" s="9"/>
      <c r="S3008" s="9"/>
      <c r="T3008" s="31"/>
      <c r="W3008" s="16"/>
      <c r="X3008" s="9"/>
      <c r="Y3008" s="9"/>
      <c r="AA3008" s="16"/>
      <c r="AK3008" s="16"/>
      <c r="AL3008" s="17"/>
    </row>
    <row r="3009" spans="9:38" x14ac:dyDescent="0.4">
      <c r="I3009" s="11"/>
      <c r="J3009" s="9"/>
      <c r="K3009" s="9"/>
      <c r="O3009" s="11"/>
      <c r="P3009" s="9"/>
      <c r="Q3009" s="9"/>
      <c r="R3009" s="9"/>
      <c r="S3009" s="9"/>
      <c r="T3009" s="31"/>
      <c r="W3009" s="16"/>
      <c r="X3009" s="9"/>
      <c r="Y3009" s="9"/>
      <c r="AA3009" s="16"/>
      <c r="AK3009" s="16"/>
      <c r="AL3009" s="17"/>
    </row>
    <row r="3010" spans="9:38" x14ac:dyDescent="0.4">
      <c r="I3010" s="11"/>
      <c r="J3010" s="9"/>
      <c r="K3010" s="9"/>
      <c r="O3010" s="11"/>
      <c r="P3010" s="9"/>
      <c r="Q3010" s="9"/>
      <c r="R3010" s="9"/>
      <c r="S3010" s="9"/>
      <c r="T3010" s="31"/>
      <c r="W3010" s="16"/>
      <c r="X3010" s="9"/>
      <c r="Y3010" s="9"/>
      <c r="AA3010" s="16"/>
      <c r="AK3010" s="16"/>
      <c r="AL3010" s="17"/>
    </row>
    <row r="3011" spans="9:38" x14ac:dyDescent="0.4">
      <c r="I3011" s="11"/>
      <c r="J3011" s="9"/>
      <c r="K3011" s="9"/>
      <c r="O3011" s="11"/>
      <c r="P3011" s="9"/>
      <c r="Q3011" s="9"/>
      <c r="R3011" s="9"/>
      <c r="S3011" s="9"/>
      <c r="T3011" s="31"/>
      <c r="W3011" s="16"/>
      <c r="X3011" s="9"/>
      <c r="Y3011" s="9"/>
      <c r="AA3011" s="16"/>
      <c r="AK3011" s="16"/>
      <c r="AL3011" s="17"/>
    </row>
    <row r="3012" spans="9:38" x14ac:dyDescent="0.4">
      <c r="I3012" s="11"/>
      <c r="J3012" s="9"/>
      <c r="K3012" s="9"/>
      <c r="O3012" s="11"/>
      <c r="P3012" s="9"/>
      <c r="Q3012" s="9"/>
      <c r="R3012" s="9"/>
      <c r="S3012" s="9"/>
      <c r="T3012" s="31"/>
      <c r="W3012" s="16"/>
      <c r="X3012" s="9"/>
      <c r="Y3012" s="9"/>
      <c r="AA3012" s="16"/>
      <c r="AK3012" s="16"/>
      <c r="AL3012" s="17"/>
    </row>
    <row r="3013" spans="9:38" x14ac:dyDescent="0.4">
      <c r="I3013" s="11"/>
      <c r="J3013" s="9"/>
      <c r="K3013" s="9"/>
      <c r="O3013" s="11"/>
      <c r="P3013" s="9"/>
      <c r="Q3013" s="9"/>
      <c r="R3013" s="9"/>
      <c r="S3013" s="9"/>
      <c r="T3013" s="31"/>
      <c r="W3013" s="16"/>
      <c r="X3013" s="9"/>
      <c r="Y3013" s="9"/>
      <c r="AA3013" s="16"/>
      <c r="AK3013" s="16"/>
      <c r="AL3013" s="17"/>
    </row>
    <row r="3014" spans="9:38" x14ac:dyDescent="0.4">
      <c r="I3014" s="11"/>
      <c r="J3014" s="9"/>
      <c r="K3014" s="9"/>
      <c r="O3014" s="11"/>
      <c r="P3014" s="9"/>
      <c r="Q3014" s="9"/>
      <c r="R3014" s="9"/>
      <c r="S3014" s="9"/>
      <c r="T3014" s="31"/>
      <c r="W3014" s="16"/>
      <c r="X3014" s="9"/>
      <c r="Y3014" s="9"/>
      <c r="AA3014" s="16"/>
      <c r="AK3014" s="16"/>
      <c r="AL3014" s="17"/>
    </row>
    <row r="3015" spans="9:38" x14ac:dyDescent="0.4">
      <c r="I3015" s="11"/>
      <c r="J3015" s="9"/>
      <c r="K3015" s="9"/>
      <c r="O3015" s="11"/>
      <c r="P3015" s="9"/>
      <c r="Q3015" s="9"/>
      <c r="R3015" s="9"/>
      <c r="S3015" s="9"/>
      <c r="T3015" s="31"/>
      <c r="W3015" s="16"/>
      <c r="X3015" s="9"/>
      <c r="Y3015" s="9"/>
      <c r="AA3015" s="16"/>
      <c r="AK3015" s="16"/>
      <c r="AL3015" s="17"/>
    </row>
    <row r="3016" spans="9:38" x14ac:dyDescent="0.4">
      <c r="I3016" s="11"/>
      <c r="J3016" s="9"/>
      <c r="K3016" s="9"/>
      <c r="O3016" s="11"/>
      <c r="P3016" s="9"/>
      <c r="Q3016" s="9"/>
      <c r="R3016" s="9"/>
      <c r="S3016" s="9"/>
      <c r="T3016" s="31"/>
      <c r="W3016" s="16"/>
      <c r="X3016" s="9"/>
      <c r="Y3016" s="9"/>
      <c r="AA3016" s="16"/>
      <c r="AK3016" s="16"/>
      <c r="AL3016" s="17"/>
    </row>
    <row r="3017" spans="9:38" x14ac:dyDescent="0.4">
      <c r="I3017" s="11"/>
      <c r="J3017" s="9"/>
      <c r="K3017" s="9"/>
      <c r="O3017" s="11"/>
      <c r="P3017" s="9"/>
      <c r="Q3017" s="9"/>
      <c r="R3017" s="9"/>
      <c r="S3017" s="9"/>
      <c r="T3017" s="31"/>
      <c r="W3017" s="16"/>
      <c r="X3017" s="9"/>
      <c r="Y3017" s="9"/>
      <c r="AA3017" s="16"/>
      <c r="AK3017" s="16"/>
      <c r="AL3017" s="17"/>
    </row>
    <row r="3018" spans="9:38" x14ac:dyDescent="0.4">
      <c r="I3018" s="11"/>
      <c r="J3018" s="9"/>
      <c r="K3018" s="9"/>
      <c r="O3018" s="11"/>
      <c r="P3018" s="9"/>
      <c r="Q3018" s="9"/>
      <c r="R3018" s="9"/>
      <c r="S3018" s="9"/>
      <c r="T3018" s="31"/>
      <c r="W3018" s="16"/>
      <c r="X3018" s="9"/>
      <c r="Y3018" s="9"/>
      <c r="AA3018" s="16"/>
      <c r="AK3018" s="16"/>
      <c r="AL3018" s="17"/>
    </row>
    <row r="3019" spans="9:38" x14ac:dyDescent="0.4">
      <c r="I3019" s="11"/>
      <c r="J3019" s="9"/>
      <c r="K3019" s="9"/>
      <c r="O3019" s="11"/>
      <c r="P3019" s="9"/>
      <c r="Q3019" s="9"/>
      <c r="R3019" s="9"/>
      <c r="S3019" s="9"/>
      <c r="T3019" s="31"/>
      <c r="W3019" s="16"/>
      <c r="X3019" s="9"/>
      <c r="Y3019" s="9"/>
      <c r="AA3019" s="16"/>
      <c r="AK3019" s="16"/>
      <c r="AL3019" s="17"/>
    </row>
    <row r="3020" spans="9:38" x14ac:dyDescent="0.4">
      <c r="I3020" s="11"/>
      <c r="J3020" s="9"/>
      <c r="K3020" s="9"/>
      <c r="O3020" s="11"/>
      <c r="P3020" s="9"/>
      <c r="Q3020" s="9"/>
      <c r="R3020" s="9"/>
      <c r="S3020" s="9"/>
      <c r="T3020" s="31"/>
      <c r="W3020" s="16"/>
      <c r="X3020" s="9"/>
      <c r="Y3020" s="9"/>
      <c r="AA3020" s="16"/>
      <c r="AK3020" s="16"/>
      <c r="AL3020" s="17"/>
    </row>
    <row r="3021" spans="9:38" x14ac:dyDescent="0.4">
      <c r="I3021" s="11"/>
      <c r="J3021" s="9"/>
      <c r="K3021" s="9"/>
      <c r="O3021" s="11"/>
      <c r="P3021" s="9"/>
      <c r="Q3021" s="9"/>
      <c r="R3021" s="9"/>
      <c r="S3021" s="9"/>
      <c r="T3021" s="31"/>
      <c r="W3021" s="16"/>
      <c r="X3021" s="9"/>
      <c r="Y3021" s="9"/>
      <c r="AA3021" s="16"/>
      <c r="AK3021" s="16"/>
      <c r="AL3021" s="17"/>
    </row>
    <row r="3022" spans="9:38" x14ac:dyDescent="0.4">
      <c r="I3022" s="11"/>
      <c r="J3022" s="9"/>
      <c r="K3022" s="9"/>
      <c r="O3022" s="11"/>
      <c r="P3022" s="9"/>
      <c r="Q3022" s="9"/>
      <c r="R3022" s="9"/>
      <c r="S3022" s="9"/>
      <c r="T3022" s="31"/>
      <c r="W3022" s="16"/>
      <c r="X3022" s="9"/>
      <c r="Y3022" s="9"/>
      <c r="AA3022" s="16"/>
      <c r="AK3022" s="16"/>
      <c r="AL3022" s="17"/>
    </row>
    <row r="3023" spans="9:38" x14ac:dyDescent="0.4">
      <c r="I3023" s="11"/>
      <c r="J3023" s="9"/>
      <c r="K3023" s="9"/>
      <c r="O3023" s="11"/>
      <c r="P3023" s="9"/>
      <c r="Q3023" s="9"/>
      <c r="R3023" s="9"/>
      <c r="S3023" s="9"/>
      <c r="T3023" s="31"/>
      <c r="W3023" s="16"/>
      <c r="X3023" s="9"/>
      <c r="Y3023" s="9"/>
      <c r="AA3023" s="16"/>
      <c r="AK3023" s="16"/>
      <c r="AL3023" s="17"/>
    </row>
    <row r="3024" spans="9:38" x14ac:dyDescent="0.4">
      <c r="I3024" s="11"/>
      <c r="J3024" s="9"/>
      <c r="K3024" s="9"/>
      <c r="O3024" s="11"/>
      <c r="P3024" s="9"/>
      <c r="Q3024" s="9"/>
      <c r="R3024" s="9"/>
      <c r="S3024" s="9"/>
      <c r="T3024" s="31"/>
      <c r="W3024" s="16"/>
      <c r="X3024" s="9"/>
      <c r="Y3024" s="9"/>
      <c r="AA3024" s="16"/>
      <c r="AK3024" s="16"/>
      <c r="AL3024" s="17"/>
    </row>
    <row r="3025" spans="9:38" x14ac:dyDescent="0.4">
      <c r="I3025" s="11"/>
      <c r="J3025" s="9"/>
      <c r="K3025" s="9"/>
      <c r="O3025" s="11"/>
      <c r="P3025" s="9"/>
      <c r="Q3025" s="9"/>
      <c r="R3025" s="9"/>
      <c r="S3025" s="9"/>
      <c r="T3025" s="31"/>
      <c r="W3025" s="16"/>
      <c r="X3025" s="9"/>
      <c r="Y3025" s="9"/>
      <c r="AA3025" s="16"/>
      <c r="AK3025" s="16"/>
      <c r="AL3025" s="17"/>
    </row>
    <row r="3026" spans="9:38" x14ac:dyDescent="0.4">
      <c r="I3026" s="11"/>
      <c r="J3026" s="9"/>
      <c r="K3026" s="9"/>
      <c r="O3026" s="11"/>
      <c r="P3026" s="9"/>
      <c r="Q3026" s="9"/>
      <c r="R3026" s="9"/>
      <c r="S3026" s="9"/>
      <c r="T3026" s="31"/>
      <c r="W3026" s="16"/>
      <c r="X3026" s="9"/>
      <c r="Y3026" s="9"/>
      <c r="AA3026" s="16"/>
      <c r="AK3026" s="16"/>
      <c r="AL3026" s="17"/>
    </row>
    <row r="3027" spans="9:38" x14ac:dyDescent="0.4">
      <c r="I3027" s="11"/>
      <c r="J3027" s="9"/>
      <c r="K3027" s="9"/>
      <c r="O3027" s="11"/>
      <c r="P3027" s="9"/>
      <c r="Q3027" s="9"/>
      <c r="R3027" s="9"/>
      <c r="S3027" s="9"/>
      <c r="T3027" s="31"/>
      <c r="W3027" s="16"/>
      <c r="X3027" s="9"/>
      <c r="Y3027" s="9"/>
      <c r="AA3027" s="16"/>
      <c r="AK3027" s="16"/>
      <c r="AL3027" s="17"/>
    </row>
    <row r="3028" spans="9:38" x14ac:dyDescent="0.4">
      <c r="I3028" s="11"/>
      <c r="J3028" s="9"/>
      <c r="K3028" s="9"/>
      <c r="O3028" s="11"/>
      <c r="P3028" s="9"/>
      <c r="Q3028" s="9"/>
      <c r="R3028" s="9"/>
      <c r="S3028" s="9"/>
      <c r="T3028" s="31"/>
      <c r="W3028" s="16"/>
      <c r="X3028" s="9"/>
      <c r="Y3028" s="9"/>
      <c r="AA3028" s="16"/>
      <c r="AK3028" s="16"/>
      <c r="AL3028" s="17"/>
    </row>
    <row r="3029" spans="9:38" x14ac:dyDescent="0.4">
      <c r="I3029" s="11"/>
      <c r="J3029" s="9"/>
      <c r="K3029" s="9"/>
      <c r="O3029" s="11"/>
      <c r="P3029" s="9"/>
      <c r="Q3029" s="9"/>
      <c r="R3029" s="9"/>
      <c r="S3029" s="9"/>
      <c r="T3029" s="31"/>
      <c r="W3029" s="16"/>
      <c r="X3029" s="9"/>
      <c r="Y3029" s="9"/>
      <c r="AA3029" s="16"/>
      <c r="AK3029" s="16"/>
      <c r="AL3029" s="17"/>
    </row>
    <row r="3030" spans="9:38" x14ac:dyDescent="0.4">
      <c r="I3030" s="11"/>
      <c r="J3030" s="9"/>
      <c r="K3030" s="9"/>
      <c r="O3030" s="11"/>
      <c r="P3030" s="9"/>
      <c r="Q3030" s="9"/>
      <c r="R3030" s="9"/>
      <c r="S3030" s="9"/>
      <c r="T3030" s="31"/>
      <c r="W3030" s="16"/>
      <c r="X3030" s="9"/>
      <c r="Y3030" s="9"/>
      <c r="AA3030" s="16"/>
      <c r="AK3030" s="16"/>
      <c r="AL3030" s="17"/>
    </row>
    <row r="3031" spans="9:38" x14ac:dyDescent="0.4">
      <c r="I3031" s="11"/>
      <c r="J3031" s="9"/>
      <c r="K3031" s="9"/>
      <c r="O3031" s="11"/>
      <c r="P3031" s="9"/>
      <c r="Q3031" s="9"/>
      <c r="R3031" s="9"/>
      <c r="S3031" s="9"/>
      <c r="T3031" s="31"/>
      <c r="W3031" s="16"/>
      <c r="X3031" s="9"/>
      <c r="Y3031" s="9"/>
      <c r="AA3031" s="16"/>
      <c r="AK3031" s="16"/>
      <c r="AL3031" s="17"/>
    </row>
    <row r="3032" spans="9:38" x14ac:dyDescent="0.4">
      <c r="I3032" s="11"/>
      <c r="J3032" s="9"/>
      <c r="K3032" s="9"/>
      <c r="O3032" s="11"/>
      <c r="P3032" s="9"/>
      <c r="Q3032" s="9"/>
      <c r="R3032" s="9"/>
      <c r="S3032" s="9"/>
      <c r="T3032" s="31"/>
      <c r="W3032" s="16"/>
      <c r="X3032" s="9"/>
      <c r="Y3032" s="9"/>
      <c r="AA3032" s="16"/>
      <c r="AK3032" s="16"/>
      <c r="AL3032" s="17"/>
    </row>
    <row r="3033" spans="9:38" x14ac:dyDescent="0.4">
      <c r="I3033" s="11"/>
      <c r="J3033" s="9"/>
      <c r="K3033" s="9"/>
      <c r="O3033" s="11"/>
      <c r="P3033" s="9"/>
      <c r="Q3033" s="9"/>
      <c r="R3033" s="9"/>
      <c r="S3033" s="9"/>
      <c r="T3033" s="31"/>
      <c r="W3033" s="16"/>
      <c r="X3033" s="9"/>
      <c r="Y3033" s="9"/>
      <c r="AA3033" s="16"/>
      <c r="AK3033" s="16"/>
      <c r="AL3033" s="17"/>
    </row>
    <row r="3034" spans="9:38" x14ac:dyDescent="0.4">
      <c r="I3034" s="11"/>
      <c r="J3034" s="9"/>
      <c r="K3034" s="9"/>
      <c r="O3034" s="11"/>
      <c r="P3034" s="9"/>
      <c r="Q3034" s="9"/>
      <c r="R3034" s="9"/>
      <c r="S3034" s="9"/>
      <c r="T3034" s="31"/>
      <c r="W3034" s="16"/>
      <c r="X3034" s="9"/>
      <c r="Y3034" s="9"/>
      <c r="AA3034" s="16"/>
      <c r="AK3034" s="16"/>
      <c r="AL3034" s="17"/>
    </row>
    <row r="3035" spans="9:38" x14ac:dyDescent="0.4">
      <c r="I3035" s="11"/>
      <c r="J3035" s="9"/>
      <c r="K3035" s="9"/>
      <c r="O3035" s="11"/>
      <c r="P3035" s="9"/>
      <c r="Q3035" s="9"/>
      <c r="R3035" s="9"/>
      <c r="S3035" s="9"/>
      <c r="T3035" s="31"/>
      <c r="W3035" s="16"/>
      <c r="X3035" s="9"/>
      <c r="Y3035" s="9"/>
      <c r="AA3035" s="16"/>
      <c r="AK3035" s="16"/>
      <c r="AL3035" s="17"/>
    </row>
    <row r="3036" spans="9:38" x14ac:dyDescent="0.4">
      <c r="I3036" s="11"/>
      <c r="J3036" s="9"/>
      <c r="K3036" s="9"/>
      <c r="O3036" s="11"/>
      <c r="P3036" s="9"/>
      <c r="Q3036" s="9"/>
      <c r="R3036" s="9"/>
      <c r="S3036" s="9"/>
      <c r="T3036" s="31"/>
      <c r="W3036" s="16"/>
      <c r="X3036" s="9"/>
      <c r="Y3036" s="9"/>
      <c r="AA3036" s="16"/>
      <c r="AK3036" s="16"/>
      <c r="AL3036" s="17"/>
    </row>
    <row r="3037" spans="9:38" x14ac:dyDescent="0.4">
      <c r="I3037" s="11"/>
      <c r="J3037" s="9"/>
      <c r="K3037" s="9"/>
      <c r="O3037" s="11"/>
      <c r="P3037" s="9"/>
      <c r="Q3037" s="9"/>
      <c r="R3037" s="9"/>
      <c r="S3037" s="9"/>
      <c r="T3037" s="31"/>
      <c r="W3037" s="16"/>
      <c r="X3037" s="9"/>
      <c r="Y3037" s="9"/>
      <c r="AA3037" s="16"/>
      <c r="AK3037" s="16"/>
      <c r="AL3037" s="17"/>
    </row>
    <row r="3038" spans="9:38" x14ac:dyDescent="0.4">
      <c r="I3038" s="11"/>
      <c r="J3038" s="9"/>
      <c r="K3038" s="9"/>
      <c r="O3038" s="11"/>
      <c r="P3038" s="9"/>
      <c r="Q3038" s="9"/>
      <c r="R3038" s="9"/>
      <c r="S3038" s="9"/>
      <c r="T3038" s="31"/>
      <c r="W3038" s="16"/>
      <c r="X3038" s="9"/>
      <c r="Y3038" s="9"/>
      <c r="AA3038" s="16"/>
      <c r="AK3038" s="16"/>
      <c r="AL3038" s="17"/>
    </row>
    <row r="3039" spans="9:38" x14ac:dyDescent="0.4">
      <c r="I3039" s="11"/>
      <c r="J3039" s="9"/>
      <c r="K3039" s="9"/>
      <c r="O3039" s="11"/>
      <c r="P3039" s="9"/>
      <c r="Q3039" s="9"/>
      <c r="R3039" s="9"/>
      <c r="S3039" s="9"/>
      <c r="T3039" s="31"/>
      <c r="W3039" s="16"/>
      <c r="X3039" s="9"/>
      <c r="Y3039" s="9"/>
      <c r="AA3039" s="16"/>
      <c r="AK3039" s="16"/>
      <c r="AL3039" s="17"/>
    </row>
    <row r="3040" spans="9:38" x14ac:dyDescent="0.4">
      <c r="I3040" s="11"/>
      <c r="J3040" s="9"/>
      <c r="K3040" s="9"/>
      <c r="O3040" s="11"/>
      <c r="P3040" s="9"/>
      <c r="Q3040" s="9"/>
      <c r="R3040" s="9"/>
      <c r="S3040" s="9"/>
      <c r="T3040" s="31"/>
      <c r="W3040" s="16"/>
      <c r="X3040" s="9"/>
      <c r="Y3040" s="9"/>
      <c r="AA3040" s="16"/>
      <c r="AK3040" s="16"/>
      <c r="AL3040" s="17"/>
    </row>
    <row r="3041" spans="9:38" x14ac:dyDescent="0.4">
      <c r="I3041" s="11"/>
      <c r="J3041" s="9"/>
      <c r="K3041" s="9"/>
      <c r="O3041" s="11"/>
      <c r="P3041" s="9"/>
      <c r="Q3041" s="9"/>
      <c r="R3041" s="9"/>
      <c r="S3041" s="9"/>
      <c r="T3041" s="31"/>
      <c r="W3041" s="16"/>
      <c r="X3041" s="9"/>
      <c r="Y3041" s="9"/>
      <c r="AA3041" s="16"/>
      <c r="AK3041" s="16"/>
      <c r="AL3041" s="17"/>
    </row>
    <row r="3042" spans="9:38" x14ac:dyDescent="0.4">
      <c r="I3042" s="11"/>
      <c r="J3042" s="9"/>
      <c r="K3042" s="9"/>
      <c r="O3042" s="11"/>
      <c r="P3042" s="9"/>
      <c r="Q3042" s="9"/>
      <c r="R3042" s="9"/>
      <c r="S3042" s="9"/>
      <c r="T3042" s="31"/>
      <c r="W3042" s="16"/>
      <c r="X3042" s="9"/>
      <c r="Y3042" s="9"/>
      <c r="AA3042" s="16"/>
      <c r="AK3042" s="16"/>
      <c r="AL3042" s="17"/>
    </row>
    <row r="3043" spans="9:38" x14ac:dyDescent="0.4">
      <c r="I3043" s="11"/>
      <c r="J3043" s="9"/>
      <c r="K3043" s="9"/>
      <c r="O3043" s="11"/>
      <c r="P3043" s="9"/>
      <c r="Q3043" s="9"/>
      <c r="R3043" s="9"/>
      <c r="S3043" s="9"/>
      <c r="T3043" s="31"/>
      <c r="W3043" s="16"/>
      <c r="X3043" s="9"/>
      <c r="Y3043" s="9"/>
      <c r="AA3043" s="16"/>
      <c r="AK3043" s="16"/>
      <c r="AL3043" s="17"/>
    </row>
    <row r="3044" spans="9:38" x14ac:dyDescent="0.4">
      <c r="I3044" s="11"/>
      <c r="J3044" s="9"/>
      <c r="K3044" s="9"/>
      <c r="O3044" s="11"/>
      <c r="P3044" s="9"/>
      <c r="Q3044" s="9"/>
      <c r="R3044" s="9"/>
      <c r="S3044" s="9"/>
      <c r="T3044" s="31"/>
      <c r="W3044" s="16"/>
      <c r="X3044" s="9"/>
      <c r="Y3044" s="9"/>
      <c r="AA3044" s="16"/>
      <c r="AK3044" s="16"/>
      <c r="AL3044" s="17"/>
    </row>
    <row r="3045" spans="9:38" x14ac:dyDescent="0.4">
      <c r="I3045" s="11"/>
      <c r="J3045" s="9"/>
      <c r="K3045" s="9"/>
      <c r="O3045" s="11"/>
      <c r="P3045" s="9"/>
      <c r="Q3045" s="9"/>
      <c r="R3045" s="9"/>
      <c r="S3045" s="9"/>
      <c r="T3045" s="31"/>
      <c r="W3045" s="16"/>
      <c r="X3045" s="9"/>
      <c r="Y3045" s="9"/>
      <c r="AA3045" s="16"/>
      <c r="AK3045" s="16"/>
      <c r="AL3045" s="17"/>
    </row>
    <row r="3046" spans="9:38" x14ac:dyDescent="0.4">
      <c r="I3046" s="11"/>
      <c r="J3046" s="9"/>
      <c r="K3046" s="9"/>
      <c r="O3046" s="11"/>
      <c r="P3046" s="9"/>
      <c r="Q3046" s="9"/>
      <c r="R3046" s="9"/>
      <c r="S3046" s="9"/>
      <c r="T3046" s="31"/>
      <c r="W3046" s="16"/>
      <c r="X3046" s="9"/>
      <c r="Y3046" s="9"/>
      <c r="AA3046" s="16"/>
      <c r="AK3046" s="16"/>
      <c r="AL3046" s="17"/>
    </row>
    <row r="3047" spans="9:38" x14ac:dyDescent="0.4">
      <c r="I3047" s="11"/>
      <c r="J3047" s="9"/>
      <c r="K3047" s="9"/>
      <c r="O3047" s="11"/>
      <c r="P3047" s="9"/>
      <c r="Q3047" s="9"/>
      <c r="R3047" s="9"/>
      <c r="S3047" s="9"/>
      <c r="T3047" s="31"/>
      <c r="W3047" s="16"/>
      <c r="X3047" s="9"/>
      <c r="Y3047" s="9"/>
      <c r="AA3047" s="16"/>
      <c r="AK3047" s="16"/>
      <c r="AL3047" s="17"/>
    </row>
    <row r="3048" spans="9:38" x14ac:dyDescent="0.4">
      <c r="I3048" s="11"/>
      <c r="J3048" s="9"/>
      <c r="K3048" s="9"/>
      <c r="O3048" s="11"/>
      <c r="P3048" s="9"/>
      <c r="Q3048" s="9"/>
      <c r="R3048" s="9"/>
      <c r="S3048" s="9"/>
      <c r="T3048" s="31"/>
      <c r="W3048" s="16"/>
      <c r="X3048" s="9"/>
      <c r="Y3048" s="9"/>
      <c r="AA3048" s="16"/>
      <c r="AK3048" s="16"/>
      <c r="AL3048" s="17"/>
    </row>
    <row r="3049" spans="9:38" x14ac:dyDescent="0.4">
      <c r="I3049" s="11"/>
      <c r="J3049" s="9"/>
      <c r="K3049" s="9"/>
      <c r="O3049" s="11"/>
      <c r="P3049" s="9"/>
      <c r="Q3049" s="9"/>
      <c r="R3049" s="9"/>
      <c r="S3049" s="9"/>
      <c r="T3049" s="31"/>
      <c r="W3049" s="16"/>
      <c r="X3049" s="9"/>
      <c r="Y3049" s="9"/>
      <c r="AA3049" s="16"/>
      <c r="AK3049" s="16"/>
      <c r="AL3049" s="17"/>
    </row>
    <row r="3050" spans="9:38" x14ac:dyDescent="0.4">
      <c r="I3050" s="11"/>
      <c r="J3050" s="9"/>
      <c r="K3050" s="9"/>
      <c r="O3050" s="11"/>
      <c r="P3050" s="9"/>
      <c r="Q3050" s="9"/>
      <c r="R3050" s="9"/>
      <c r="S3050" s="9"/>
      <c r="T3050" s="31"/>
      <c r="W3050" s="16"/>
      <c r="X3050" s="9"/>
      <c r="Y3050" s="9"/>
      <c r="AA3050" s="16"/>
      <c r="AK3050" s="16"/>
      <c r="AL3050" s="17"/>
    </row>
    <row r="3051" spans="9:38" x14ac:dyDescent="0.4">
      <c r="I3051" s="11"/>
      <c r="J3051" s="9"/>
      <c r="K3051" s="9"/>
      <c r="O3051" s="11"/>
      <c r="P3051" s="9"/>
      <c r="Q3051" s="9"/>
      <c r="R3051" s="9"/>
      <c r="S3051" s="9"/>
      <c r="T3051" s="31"/>
      <c r="W3051" s="16"/>
      <c r="X3051" s="9"/>
      <c r="Y3051" s="9"/>
      <c r="AA3051" s="16"/>
      <c r="AK3051" s="16"/>
      <c r="AL3051" s="17"/>
    </row>
    <row r="3052" spans="9:38" x14ac:dyDescent="0.4">
      <c r="I3052" s="11"/>
      <c r="J3052" s="9"/>
      <c r="K3052" s="9"/>
      <c r="O3052" s="11"/>
      <c r="P3052" s="9"/>
      <c r="Q3052" s="9"/>
      <c r="R3052" s="9"/>
      <c r="S3052" s="9"/>
      <c r="T3052" s="31"/>
      <c r="W3052" s="16"/>
      <c r="X3052" s="9"/>
      <c r="Y3052" s="9"/>
      <c r="AA3052" s="16"/>
      <c r="AK3052" s="16"/>
      <c r="AL3052" s="17"/>
    </row>
    <row r="3053" spans="9:38" x14ac:dyDescent="0.4">
      <c r="I3053" s="11"/>
      <c r="J3053" s="9"/>
      <c r="K3053" s="9"/>
      <c r="O3053" s="11"/>
      <c r="P3053" s="9"/>
      <c r="Q3053" s="9"/>
      <c r="R3053" s="9"/>
      <c r="S3053" s="9"/>
      <c r="T3053" s="31"/>
      <c r="W3053" s="16"/>
      <c r="X3053" s="9"/>
      <c r="Y3053" s="9"/>
      <c r="AA3053" s="16"/>
      <c r="AK3053" s="16"/>
      <c r="AL3053" s="17"/>
    </row>
    <row r="3054" spans="9:38" x14ac:dyDescent="0.4">
      <c r="I3054" s="11"/>
      <c r="J3054" s="9"/>
      <c r="K3054" s="9"/>
      <c r="O3054" s="11"/>
      <c r="P3054" s="9"/>
      <c r="Q3054" s="9"/>
      <c r="R3054" s="9"/>
      <c r="S3054" s="9"/>
      <c r="T3054" s="31"/>
      <c r="W3054" s="16"/>
      <c r="X3054" s="9"/>
      <c r="Y3054" s="9"/>
      <c r="AA3054" s="16"/>
      <c r="AK3054" s="16"/>
      <c r="AL3054" s="17"/>
    </row>
    <row r="3055" spans="9:38" x14ac:dyDescent="0.4">
      <c r="I3055" s="11"/>
      <c r="J3055" s="9"/>
      <c r="K3055" s="9"/>
      <c r="O3055" s="11"/>
      <c r="P3055" s="9"/>
      <c r="Q3055" s="9"/>
      <c r="R3055" s="9"/>
      <c r="S3055" s="9"/>
      <c r="T3055" s="31"/>
      <c r="W3055" s="16"/>
      <c r="X3055" s="9"/>
      <c r="Y3055" s="9"/>
      <c r="AA3055" s="16"/>
      <c r="AK3055" s="16"/>
      <c r="AL3055" s="17"/>
    </row>
    <row r="3056" spans="9:38" x14ac:dyDescent="0.4">
      <c r="I3056" s="11"/>
      <c r="J3056" s="9"/>
      <c r="K3056" s="9"/>
      <c r="O3056" s="11"/>
      <c r="P3056" s="9"/>
      <c r="Q3056" s="9"/>
      <c r="R3056" s="9"/>
      <c r="S3056" s="9"/>
      <c r="T3056" s="31"/>
      <c r="W3056" s="16"/>
      <c r="X3056" s="9"/>
      <c r="Y3056" s="9"/>
      <c r="AA3056" s="16"/>
      <c r="AK3056" s="16"/>
      <c r="AL3056" s="17"/>
    </row>
    <row r="3057" spans="9:38" x14ac:dyDescent="0.4">
      <c r="I3057" s="11"/>
      <c r="J3057" s="9"/>
      <c r="K3057" s="9"/>
      <c r="O3057" s="11"/>
      <c r="P3057" s="9"/>
      <c r="Q3057" s="9"/>
      <c r="R3057" s="9"/>
      <c r="S3057" s="9"/>
      <c r="T3057" s="31"/>
      <c r="W3057" s="16"/>
      <c r="X3057" s="9"/>
      <c r="Y3057" s="9"/>
      <c r="AA3057" s="16"/>
      <c r="AK3057" s="16"/>
      <c r="AL3057" s="17"/>
    </row>
    <row r="3058" spans="9:38" x14ac:dyDescent="0.4">
      <c r="I3058" s="11"/>
      <c r="J3058" s="9"/>
      <c r="K3058" s="9"/>
      <c r="O3058" s="11"/>
      <c r="P3058" s="9"/>
      <c r="Q3058" s="9"/>
      <c r="R3058" s="9"/>
      <c r="S3058" s="9"/>
      <c r="T3058" s="31"/>
      <c r="W3058" s="16"/>
      <c r="X3058" s="9"/>
      <c r="Y3058" s="9"/>
      <c r="AA3058" s="16"/>
      <c r="AK3058" s="16"/>
      <c r="AL3058" s="17"/>
    </row>
    <row r="3059" spans="9:38" x14ac:dyDescent="0.4">
      <c r="I3059" s="11"/>
      <c r="J3059" s="9"/>
      <c r="K3059" s="9"/>
      <c r="O3059" s="11"/>
      <c r="P3059" s="9"/>
      <c r="Q3059" s="9"/>
      <c r="R3059" s="9"/>
      <c r="S3059" s="9"/>
      <c r="T3059" s="31"/>
      <c r="W3059" s="16"/>
      <c r="X3059" s="9"/>
      <c r="Y3059" s="9"/>
      <c r="AA3059" s="16"/>
      <c r="AK3059" s="16"/>
      <c r="AL3059" s="17"/>
    </row>
    <row r="3060" spans="9:38" x14ac:dyDescent="0.4">
      <c r="I3060" s="11"/>
      <c r="J3060" s="9"/>
      <c r="K3060" s="9"/>
      <c r="O3060" s="11"/>
      <c r="P3060" s="9"/>
      <c r="Q3060" s="9"/>
      <c r="R3060" s="9"/>
      <c r="S3060" s="9"/>
      <c r="T3060" s="31"/>
      <c r="W3060" s="16"/>
      <c r="X3060" s="9"/>
      <c r="Y3060" s="9"/>
      <c r="AA3060" s="16"/>
      <c r="AK3060" s="16"/>
      <c r="AL3060" s="17"/>
    </row>
    <row r="3061" spans="9:38" x14ac:dyDescent="0.4">
      <c r="I3061" s="11"/>
      <c r="J3061" s="9"/>
      <c r="K3061" s="9"/>
      <c r="O3061" s="11"/>
      <c r="P3061" s="9"/>
      <c r="Q3061" s="9"/>
      <c r="R3061" s="9"/>
      <c r="S3061" s="9"/>
      <c r="T3061" s="31"/>
      <c r="W3061" s="16"/>
      <c r="X3061" s="9"/>
      <c r="Y3061" s="9"/>
      <c r="AA3061" s="16"/>
      <c r="AK3061" s="16"/>
      <c r="AL3061" s="17"/>
    </row>
    <row r="3062" spans="9:38" x14ac:dyDescent="0.4">
      <c r="I3062" s="11"/>
      <c r="J3062" s="9"/>
      <c r="K3062" s="9"/>
      <c r="O3062" s="11"/>
      <c r="P3062" s="9"/>
      <c r="Q3062" s="9"/>
      <c r="R3062" s="9"/>
      <c r="S3062" s="9"/>
      <c r="T3062" s="31"/>
      <c r="W3062" s="16"/>
      <c r="X3062" s="9"/>
      <c r="Y3062" s="9"/>
      <c r="AA3062" s="16"/>
      <c r="AK3062" s="16"/>
      <c r="AL3062" s="17"/>
    </row>
    <row r="3063" spans="9:38" x14ac:dyDescent="0.4">
      <c r="I3063" s="11"/>
      <c r="J3063" s="9"/>
      <c r="K3063" s="9"/>
      <c r="O3063" s="11"/>
      <c r="P3063" s="9"/>
      <c r="Q3063" s="9"/>
      <c r="R3063" s="9"/>
      <c r="S3063" s="9"/>
      <c r="T3063" s="31"/>
      <c r="W3063" s="16"/>
      <c r="X3063" s="9"/>
      <c r="Y3063" s="9"/>
      <c r="AA3063" s="16"/>
      <c r="AK3063" s="16"/>
      <c r="AL3063" s="17"/>
    </row>
    <row r="3064" spans="9:38" x14ac:dyDescent="0.4">
      <c r="I3064" s="11"/>
      <c r="J3064" s="9"/>
      <c r="K3064" s="9"/>
      <c r="O3064" s="11"/>
      <c r="P3064" s="9"/>
      <c r="Q3064" s="9"/>
      <c r="R3064" s="9"/>
      <c r="S3064" s="9"/>
      <c r="T3064" s="31"/>
      <c r="W3064" s="16"/>
      <c r="X3064" s="9"/>
      <c r="Y3064" s="9"/>
      <c r="AA3064" s="16"/>
      <c r="AK3064" s="16"/>
      <c r="AL3064" s="17"/>
    </row>
    <row r="3065" spans="9:38" x14ac:dyDescent="0.4">
      <c r="I3065" s="11"/>
      <c r="J3065" s="9"/>
      <c r="K3065" s="9"/>
      <c r="O3065" s="11"/>
      <c r="P3065" s="9"/>
      <c r="Q3065" s="9"/>
      <c r="R3065" s="9"/>
      <c r="S3065" s="9"/>
      <c r="T3065" s="31"/>
      <c r="W3065" s="16"/>
      <c r="X3065" s="9"/>
      <c r="Y3065" s="9"/>
      <c r="AA3065" s="16"/>
      <c r="AK3065" s="16"/>
      <c r="AL3065" s="17"/>
    </row>
    <row r="3066" spans="9:38" x14ac:dyDescent="0.4">
      <c r="I3066" s="11"/>
      <c r="J3066" s="9"/>
      <c r="K3066" s="9"/>
      <c r="O3066" s="11"/>
      <c r="P3066" s="9"/>
      <c r="Q3066" s="9"/>
      <c r="R3066" s="9"/>
      <c r="S3066" s="9"/>
      <c r="T3066" s="31"/>
      <c r="W3066" s="16"/>
      <c r="X3066" s="9"/>
      <c r="Y3066" s="9"/>
      <c r="AA3066" s="16"/>
      <c r="AK3066" s="16"/>
      <c r="AL3066" s="17"/>
    </row>
    <row r="3067" spans="9:38" x14ac:dyDescent="0.4">
      <c r="I3067" s="11"/>
      <c r="J3067" s="9"/>
      <c r="K3067" s="9"/>
      <c r="O3067" s="11"/>
      <c r="P3067" s="9"/>
      <c r="Q3067" s="9"/>
      <c r="R3067" s="9"/>
      <c r="S3067" s="9"/>
      <c r="T3067" s="31"/>
      <c r="W3067" s="16"/>
      <c r="X3067" s="9"/>
      <c r="Y3067" s="9"/>
      <c r="AA3067" s="16"/>
      <c r="AK3067" s="16"/>
      <c r="AL3067" s="17"/>
    </row>
    <row r="3068" spans="9:38" x14ac:dyDescent="0.4">
      <c r="I3068" s="11"/>
      <c r="J3068" s="9"/>
      <c r="K3068" s="9"/>
      <c r="O3068" s="11"/>
      <c r="P3068" s="9"/>
      <c r="Q3068" s="9"/>
      <c r="R3068" s="9"/>
      <c r="S3068" s="9"/>
      <c r="T3068" s="31"/>
      <c r="W3068" s="16"/>
      <c r="X3068" s="9"/>
      <c r="Y3068" s="9"/>
      <c r="AA3068" s="16"/>
      <c r="AK3068" s="16"/>
      <c r="AL3068" s="17"/>
    </row>
    <row r="3069" spans="9:38" x14ac:dyDescent="0.4">
      <c r="I3069" s="11"/>
      <c r="J3069" s="9"/>
      <c r="K3069" s="9"/>
      <c r="O3069" s="11"/>
      <c r="P3069" s="9"/>
      <c r="Q3069" s="9"/>
      <c r="R3069" s="9"/>
      <c r="S3069" s="9"/>
      <c r="T3069" s="31"/>
      <c r="W3069" s="16"/>
      <c r="X3069" s="9"/>
      <c r="Y3069" s="9"/>
      <c r="AA3069" s="16"/>
      <c r="AK3069" s="16"/>
      <c r="AL3069" s="17"/>
    </row>
    <row r="3070" spans="9:38" x14ac:dyDescent="0.4">
      <c r="I3070" s="11"/>
      <c r="J3070" s="9"/>
      <c r="K3070" s="9"/>
      <c r="O3070" s="11"/>
      <c r="P3070" s="9"/>
      <c r="Q3070" s="9"/>
      <c r="R3070" s="9"/>
      <c r="S3070" s="9"/>
      <c r="T3070" s="31"/>
      <c r="W3070" s="16"/>
      <c r="X3070" s="9"/>
      <c r="Y3070" s="9"/>
      <c r="AA3070" s="16"/>
      <c r="AK3070" s="16"/>
      <c r="AL3070" s="17"/>
    </row>
    <row r="3071" spans="9:38" x14ac:dyDescent="0.4">
      <c r="I3071" s="11"/>
      <c r="J3071" s="9"/>
      <c r="K3071" s="9"/>
      <c r="O3071" s="11"/>
      <c r="P3071" s="9"/>
      <c r="Q3071" s="9"/>
      <c r="R3071" s="9"/>
      <c r="S3071" s="9"/>
      <c r="T3071" s="31"/>
      <c r="W3071" s="16"/>
      <c r="X3071" s="9"/>
      <c r="Y3071" s="9"/>
      <c r="AA3071" s="16"/>
      <c r="AK3071" s="16"/>
      <c r="AL3071" s="17"/>
    </row>
    <row r="3072" spans="9:38" x14ac:dyDescent="0.4">
      <c r="I3072" s="11"/>
      <c r="J3072" s="9"/>
      <c r="K3072" s="9"/>
      <c r="O3072" s="11"/>
      <c r="P3072" s="9"/>
      <c r="Q3072" s="9"/>
      <c r="R3072" s="9"/>
      <c r="S3072" s="9"/>
      <c r="T3072" s="31"/>
      <c r="W3072" s="16"/>
      <c r="X3072" s="9"/>
      <c r="Y3072" s="9"/>
      <c r="AA3072" s="16"/>
      <c r="AK3072" s="16"/>
      <c r="AL3072" s="17"/>
    </row>
    <row r="3073" spans="9:38" x14ac:dyDescent="0.4">
      <c r="I3073" s="11"/>
      <c r="J3073" s="9"/>
      <c r="K3073" s="9"/>
      <c r="O3073" s="11"/>
      <c r="P3073" s="9"/>
      <c r="Q3073" s="9"/>
      <c r="R3073" s="9"/>
      <c r="S3073" s="9"/>
      <c r="T3073" s="31"/>
      <c r="W3073" s="16"/>
      <c r="X3073" s="9"/>
      <c r="Y3073" s="9"/>
      <c r="AA3073" s="16"/>
      <c r="AK3073" s="16"/>
      <c r="AL3073" s="17"/>
    </row>
    <row r="3074" spans="9:38" x14ac:dyDescent="0.4">
      <c r="I3074" s="11"/>
      <c r="J3074" s="9"/>
      <c r="K3074" s="9"/>
      <c r="O3074" s="11"/>
      <c r="P3074" s="9"/>
      <c r="Q3074" s="9"/>
      <c r="R3074" s="9"/>
      <c r="S3074" s="9"/>
      <c r="T3074" s="31"/>
      <c r="W3074" s="16"/>
      <c r="X3074" s="9"/>
      <c r="Y3074" s="9"/>
      <c r="AA3074" s="16"/>
      <c r="AK3074" s="16"/>
      <c r="AL3074" s="17"/>
    </row>
    <row r="3075" spans="9:38" x14ac:dyDescent="0.4">
      <c r="I3075" s="11"/>
      <c r="J3075" s="9"/>
      <c r="K3075" s="9"/>
      <c r="O3075" s="11"/>
      <c r="P3075" s="9"/>
      <c r="Q3075" s="9"/>
      <c r="R3075" s="9"/>
      <c r="S3075" s="9"/>
      <c r="T3075" s="31"/>
      <c r="W3075" s="16"/>
      <c r="X3075" s="9"/>
      <c r="Y3075" s="9"/>
      <c r="AA3075" s="16"/>
      <c r="AK3075" s="16"/>
      <c r="AL3075" s="17"/>
    </row>
    <row r="3076" spans="9:38" x14ac:dyDescent="0.4">
      <c r="I3076" s="11"/>
      <c r="J3076" s="9"/>
      <c r="K3076" s="9"/>
      <c r="O3076" s="11"/>
      <c r="P3076" s="9"/>
      <c r="Q3076" s="9"/>
      <c r="R3076" s="9"/>
      <c r="S3076" s="9"/>
      <c r="T3076" s="31"/>
      <c r="W3076" s="16"/>
      <c r="X3076" s="9"/>
      <c r="Y3076" s="9"/>
      <c r="AA3076" s="16"/>
      <c r="AK3076" s="16"/>
      <c r="AL3076" s="17"/>
    </row>
    <row r="3077" spans="9:38" x14ac:dyDescent="0.4">
      <c r="I3077" s="11"/>
      <c r="J3077" s="9"/>
      <c r="K3077" s="9"/>
      <c r="O3077" s="11"/>
      <c r="P3077" s="9"/>
      <c r="Q3077" s="9"/>
      <c r="R3077" s="9"/>
      <c r="S3077" s="9"/>
      <c r="T3077" s="31"/>
      <c r="W3077" s="16"/>
      <c r="X3077" s="9"/>
      <c r="Y3077" s="9"/>
      <c r="AA3077" s="16"/>
      <c r="AK3077" s="16"/>
      <c r="AL3077" s="17"/>
    </row>
    <row r="3078" spans="9:38" x14ac:dyDescent="0.4">
      <c r="I3078" s="11"/>
      <c r="J3078" s="9"/>
      <c r="K3078" s="9"/>
      <c r="O3078" s="11"/>
      <c r="P3078" s="9"/>
      <c r="Q3078" s="9"/>
      <c r="R3078" s="9"/>
      <c r="S3078" s="9"/>
      <c r="T3078" s="31"/>
      <c r="W3078" s="16"/>
      <c r="X3078" s="9"/>
      <c r="Y3078" s="9"/>
      <c r="AA3078" s="16"/>
      <c r="AK3078" s="16"/>
      <c r="AL3078" s="17"/>
    </row>
    <row r="3079" spans="9:38" x14ac:dyDescent="0.4">
      <c r="I3079" s="11"/>
      <c r="J3079" s="9"/>
      <c r="K3079" s="9"/>
      <c r="O3079" s="11"/>
      <c r="P3079" s="9"/>
      <c r="Q3079" s="9"/>
      <c r="R3079" s="9"/>
      <c r="S3079" s="9"/>
      <c r="T3079" s="31"/>
      <c r="W3079" s="16"/>
      <c r="X3079" s="9"/>
      <c r="Y3079" s="9"/>
      <c r="AA3079" s="16"/>
      <c r="AK3079" s="16"/>
      <c r="AL3079" s="17"/>
    </row>
    <row r="3080" spans="9:38" x14ac:dyDescent="0.4">
      <c r="I3080" s="11"/>
      <c r="J3080" s="9"/>
      <c r="K3080" s="9"/>
      <c r="O3080" s="11"/>
      <c r="P3080" s="9"/>
      <c r="Q3080" s="9"/>
      <c r="R3080" s="9"/>
      <c r="S3080" s="9"/>
      <c r="T3080" s="31"/>
      <c r="W3080" s="16"/>
      <c r="X3080" s="9"/>
      <c r="Y3080" s="9"/>
      <c r="AA3080" s="16"/>
      <c r="AK3080" s="16"/>
      <c r="AL3080" s="17"/>
    </row>
    <row r="3081" spans="9:38" x14ac:dyDescent="0.4">
      <c r="I3081" s="11"/>
      <c r="J3081" s="9"/>
      <c r="K3081" s="9"/>
      <c r="O3081" s="11"/>
      <c r="P3081" s="9"/>
      <c r="Q3081" s="9"/>
      <c r="R3081" s="9"/>
      <c r="S3081" s="9"/>
      <c r="T3081" s="31"/>
      <c r="W3081" s="16"/>
      <c r="X3081" s="9"/>
      <c r="Y3081" s="9"/>
      <c r="AA3081" s="16"/>
      <c r="AK3081" s="16"/>
      <c r="AL3081" s="17"/>
    </row>
    <row r="3082" spans="9:38" x14ac:dyDescent="0.4">
      <c r="I3082" s="11"/>
      <c r="J3082" s="9"/>
      <c r="K3082" s="9"/>
      <c r="O3082" s="11"/>
      <c r="P3082" s="9"/>
      <c r="Q3082" s="9"/>
      <c r="R3082" s="9"/>
      <c r="S3082" s="9"/>
      <c r="T3082" s="31"/>
      <c r="W3082" s="16"/>
      <c r="X3082" s="9"/>
      <c r="Y3082" s="9"/>
      <c r="AA3082" s="16"/>
      <c r="AK3082" s="16"/>
      <c r="AL3082" s="17"/>
    </row>
    <row r="3083" spans="9:38" x14ac:dyDescent="0.4">
      <c r="I3083" s="11"/>
      <c r="J3083" s="9"/>
      <c r="K3083" s="9"/>
      <c r="O3083" s="11"/>
      <c r="P3083" s="9"/>
      <c r="Q3083" s="9"/>
      <c r="R3083" s="9"/>
      <c r="S3083" s="9"/>
      <c r="T3083" s="31"/>
      <c r="W3083" s="16"/>
      <c r="X3083" s="9"/>
      <c r="Y3083" s="9"/>
      <c r="AA3083" s="16"/>
      <c r="AK3083" s="16"/>
      <c r="AL3083" s="17"/>
    </row>
    <row r="3084" spans="9:38" x14ac:dyDescent="0.4">
      <c r="I3084" s="11"/>
      <c r="J3084" s="9"/>
      <c r="K3084" s="9"/>
      <c r="O3084" s="11"/>
      <c r="P3084" s="9"/>
      <c r="Q3084" s="9"/>
      <c r="R3084" s="9"/>
      <c r="S3084" s="9"/>
      <c r="T3084" s="31"/>
      <c r="W3084" s="16"/>
      <c r="X3084" s="9"/>
      <c r="Y3084" s="9"/>
      <c r="AA3084" s="16"/>
      <c r="AK3084" s="16"/>
      <c r="AL3084" s="17"/>
    </row>
    <row r="3085" spans="9:38" x14ac:dyDescent="0.4">
      <c r="I3085" s="11"/>
      <c r="J3085" s="9"/>
      <c r="K3085" s="9"/>
      <c r="O3085" s="11"/>
      <c r="P3085" s="9"/>
      <c r="Q3085" s="9"/>
      <c r="R3085" s="9"/>
      <c r="S3085" s="9"/>
      <c r="T3085" s="31"/>
      <c r="W3085" s="16"/>
      <c r="X3085" s="9"/>
      <c r="Y3085" s="9"/>
      <c r="AA3085" s="16"/>
      <c r="AK3085" s="16"/>
      <c r="AL3085" s="17"/>
    </row>
    <row r="3086" spans="9:38" x14ac:dyDescent="0.4">
      <c r="I3086" s="11"/>
      <c r="J3086" s="9"/>
      <c r="K3086" s="9"/>
      <c r="O3086" s="11"/>
      <c r="P3086" s="9"/>
      <c r="Q3086" s="9"/>
      <c r="R3086" s="9"/>
      <c r="S3086" s="9"/>
      <c r="T3086" s="31"/>
      <c r="W3086" s="16"/>
      <c r="X3086" s="9"/>
      <c r="Y3086" s="9"/>
      <c r="AA3086" s="16"/>
      <c r="AK3086" s="16"/>
      <c r="AL3086" s="17"/>
    </row>
    <row r="3087" spans="9:38" x14ac:dyDescent="0.4">
      <c r="I3087" s="11"/>
      <c r="J3087" s="9"/>
      <c r="K3087" s="9"/>
      <c r="O3087" s="11"/>
      <c r="P3087" s="9"/>
      <c r="Q3087" s="9"/>
      <c r="R3087" s="9"/>
      <c r="S3087" s="9"/>
      <c r="T3087" s="31"/>
      <c r="W3087" s="16"/>
      <c r="X3087" s="9"/>
      <c r="Y3087" s="9"/>
      <c r="AA3087" s="16"/>
      <c r="AK3087" s="16"/>
      <c r="AL3087" s="17"/>
    </row>
    <row r="3088" spans="9:38" x14ac:dyDescent="0.4">
      <c r="I3088" s="11"/>
      <c r="J3088" s="9"/>
      <c r="K3088" s="9"/>
      <c r="O3088" s="11"/>
      <c r="P3088" s="9"/>
      <c r="Q3088" s="9"/>
      <c r="R3088" s="9"/>
      <c r="S3088" s="9"/>
      <c r="T3088" s="31"/>
      <c r="W3088" s="16"/>
      <c r="X3088" s="9"/>
      <c r="Y3088" s="9"/>
      <c r="AA3088" s="16"/>
      <c r="AK3088" s="16"/>
      <c r="AL3088" s="17"/>
    </row>
    <row r="3089" spans="9:38" x14ac:dyDescent="0.4">
      <c r="I3089" s="11"/>
      <c r="J3089" s="9"/>
      <c r="K3089" s="9"/>
      <c r="O3089" s="11"/>
      <c r="P3089" s="9"/>
      <c r="Q3089" s="9"/>
      <c r="R3089" s="9"/>
      <c r="S3089" s="9"/>
      <c r="T3089" s="31"/>
      <c r="W3089" s="16"/>
      <c r="X3089" s="9"/>
      <c r="Y3089" s="9"/>
      <c r="AA3089" s="16"/>
      <c r="AK3089" s="16"/>
      <c r="AL3089" s="17"/>
    </row>
    <row r="3090" spans="9:38" x14ac:dyDescent="0.4">
      <c r="I3090" s="11"/>
      <c r="J3090" s="9"/>
      <c r="K3090" s="9"/>
      <c r="O3090" s="11"/>
      <c r="P3090" s="9"/>
      <c r="Q3090" s="9"/>
      <c r="R3090" s="9"/>
      <c r="S3090" s="9"/>
      <c r="T3090" s="31"/>
      <c r="W3090" s="16"/>
      <c r="X3090" s="9"/>
      <c r="Y3090" s="9"/>
      <c r="AA3090" s="16"/>
      <c r="AK3090" s="16"/>
      <c r="AL3090" s="17"/>
    </row>
    <row r="3091" spans="9:38" x14ac:dyDescent="0.4">
      <c r="I3091" s="11"/>
      <c r="J3091" s="9"/>
      <c r="K3091" s="9"/>
      <c r="O3091" s="11"/>
      <c r="P3091" s="9"/>
      <c r="Q3091" s="9"/>
      <c r="R3091" s="9"/>
      <c r="S3091" s="9"/>
      <c r="T3091" s="31"/>
      <c r="W3091" s="16"/>
      <c r="X3091" s="9"/>
      <c r="Y3091" s="9"/>
      <c r="AA3091" s="16"/>
      <c r="AK3091" s="16"/>
      <c r="AL3091" s="17"/>
    </row>
    <row r="3092" spans="9:38" x14ac:dyDescent="0.4">
      <c r="I3092" s="11"/>
      <c r="J3092" s="9"/>
      <c r="K3092" s="9"/>
      <c r="O3092" s="11"/>
      <c r="P3092" s="9"/>
      <c r="Q3092" s="9"/>
      <c r="R3092" s="9"/>
      <c r="S3092" s="9"/>
      <c r="T3092" s="31"/>
      <c r="W3092" s="16"/>
      <c r="X3092" s="9"/>
      <c r="Y3092" s="9"/>
      <c r="AA3092" s="16"/>
      <c r="AK3092" s="16"/>
      <c r="AL3092" s="17"/>
    </row>
    <row r="3093" spans="9:38" x14ac:dyDescent="0.4">
      <c r="I3093" s="11"/>
      <c r="J3093" s="9"/>
      <c r="K3093" s="9"/>
      <c r="O3093" s="11"/>
      <c r="P3093" s="9"/>
      <c r="Q3093" s="9"/>
      <c r="R3093" s="9"/>
      <c r="S3093" s="9"/>
      <c r="T3093" s="31"/>
      <c r="W3093" s="16"/>
      <c r="X3093" s="9"/>
      <c r="Y3093" s="9"/>
      <c r="AA3093" s="16"/>
      <c r="AK3093" s="16"/>
      <c r="AL3093" s="17"/>
    </row>
    <row r="3094" spans="9:38" x14ac:dyDescent="0.4">
      <c r="I3094" s="11"/>
      <c r="J3094" s="9"/>
      <c r="K3094" s="9"/>
      <c r="O3094" s="11"/>
      <c r="P3094" s="9"/>
      <c r="Q3094" s="9"/>
      <c r="R3094" s="9"/>
      <c r="S3094" s="9"/>
      <c r="T3094" s="31"/>
      <c r="W3094" s="16"/>
      <c r="X3094" s="9"/>
      <c r="Y3094" s="9"/>
      <c r="AA3094" s="16"/>
      <c r="AK3094" s="16"/>
      <c r="AL3094" s="17"/>
    </row>
    <row r="3095" spans="9:38" x14ac:dyDescent="0.4">
      <c r="I3095" s="11"/>
      <c r="J3095" s="9"/>
      <c r="K3095" s="9"/>
      <c r="O3095" s="11"/>
      <c r="P3095" s="9"/>
      <c r="Q3095" s="9"/>
      <c r="R3095" s="9"/>
      <c r="S3095" s="9"/>
      <c r="T3095" s="31"/>
      <c r="W3095" s="16"/>
      <c r="X3095" s="9"/>
      <c r="Y3095" s="9"/>
      <c r="AA3095" s="16"/>
      <c r="AK3095" s="16"/>
      <c r="AL3095" s="17"/>
    </row>
    <row r="3096" spans="9:38" x14ac:dyDescent="0.4">
      <c r="I3096" s="11"/>
      <c r="J3096" s="9"/>
      <c r="K3096" s="9"/>
      <c r="O3096" s="11"/>
      <c r="P3096" s="9"/>
      <c r="Q3096" s="9"/>
      <c r="R3096" s="9"/>
      <c r="S3096" s="9"/>
      <c r="T3096" s="31"/>
      <c r="W3096" s="16"/>
      <c r="X3096" s="9"/>
      <c r="Y3096" s="9"/>
      <c r="AA3096" s="16"/>
      <c r="AK3096" s="16"/>
      <c r="AL3096" s="17"/>
    </row>
    <row r="3097" spans="9:38" x14ac:dyDescent="0.4">
      <c r="I3097" s="11"/>
      <c r="J3097" s="9"/>
      <c r="K3097" s="9"/>
      <c r="O3097" s="11"/>
      <c r="P3097" s="9"/>
      <c r="Q3097" s="9"/>
      <c r="R3097" s="9"/>
      <c r="S3097" s="9"/>
      <c r="T3097" s="31"/>
      <c r="W3097" s="16"/>
      <c r="X3097" s="9"/>
      <c r="Y3097" s="9"/>
      <c r="AA3097" s="16"/>
      <c r="AK3097" s="16"/>
      <c r="AL3097" s="17"/>
    </row>
    <row r="3098" spans="9:38" x14ac:dyDescent="0.4">
      <c r="I3098" s="11"/>
      <c r="J3098" s="9"/>
      <c r="K3098" s="9"/>
      <c r="O3098" s="11"/>
      <c r="P3098" s="9"/>
      <c r="Q3098" s="9"/>
      <c r="R3098" s="9"/>
      <c r="S3098" s="9"/>
      <c r="T3098" s="31"/>
      <c r="W3098" s="16"/>
      <c r="X3098" s="9"/>
      <c r="Y3098" s="9"/>
      <c r="AA3098" s="16"/>
      <c r="AK3098" s="16"/>
      <c r="AL3098" s="17"/>
    </row>
    <row r="3099" spans="9:38" x14ac:dyDescent="0.4">
      <c r="I3099" s="11"/>
      <c r="J3099" s="9"/>
      <c r="K3099" s="9"/>
      <c r="O3099" s="11"/>
      <c r="P3099" s="9"/>
      <c r="Q3099" s="9"/>
      <c r="R3099" s="9"/>
      <c r="S3099" s="9"/>
      <c r="T3099" s="31"/>
      <c r="W3099" s="16"/>
      <c r="X3099" s="9"/>
      <c r="Y3099" s="9"/>
      <c r="AA3099" s="16"/>
      <c r="AK3099" s="16"/>
      <c r="AL3099" s="17"/>
    </row>
    <row r="3100" spans="9:38" x14ac:dyDescent="0.4">
      <c r="I3100" s="11"/>
      <c r="J3100" s="9"/>
      <c r="K3100" s="9"/>
      <c r="O3100" s="11"/>
      <c r="P3100" s="9"/>
      <c r="Q3100" s="9"/>
      <c r="R3100" s="9"/>
      <c r="S3100" s="9"/>
      <c r="T3100" s="31"/>
      <c r="W3100" s="16"/>
      <c r="X3100" s="9"/>
      <c r="Y3100" s="9"/>
      <c r="AA3100" s="16"/>
      <c r="AK3100" s="16"/>
      <c r="AL3100" s="17"/>
    </row>
    <row r="3101" spans="9:38" x14ac:dyDescent="0.4">
      <c r="I3101" s="11"/>
      <c r="J3101" s="9"/>
      <c r="K3101" s="9"/>
      <c r="O3101" s="11"/>
      <c r="P3101" s="9"/>
      <c r="Q3101" s="9"/>
      <c r="R3101" s="9"/>
      <c r="S3101" s="9"/>
      <c r="T3101" s="31"/>
      <c r="W3101" s="16"/>
      <c r="X3101" s="9"/>
      <c r="Y3101" s="9"/>
      <c r="AA3101" s="16"/>
      <c r="AK3101" s="16"/>
      <c r="AL3101" s="17"/>
    </row>
    <row r="3102" spans="9:38" x14ac:dyDescent="0.4">
      <c r="I3102" s="11"/>
      <c r="J3102" s="9"/>
      <c r="K3102" s="9"/>
      <c r="O3102" s="11"/>
      <c r="P3102" s="9"/>
      <c r="Q3102" s="9"/>
      <c r="R3102" s="9"/>
      <c r="S3102" s="9"/>
      <c r="T3102" s="31"/>
      <c r="W3102" s="16"/>
      <c r="X3102" s="9"/>
      <c r="Y3102" s="9"/>
      <c r="AA3102" s="16"/>
      <c r="AK3102" s="16"/>
      <c r="AL3102" s="17"/>
    </row>
    <row r="3103" spans="9:38" x14ac:dyDescent="0.4">
      <c r="I3103" s="11"/>
      <c r="J3103" s="9"/>
      <c r="K3103" s="9"/>
      <c r="O3103" s="11"/>
      <c r="P3103" s="9"/>
      <c r="Q3103" s="9"/>
      <c r="R3103" s="9"/>
      <c r="S3103" s="9"/>
      <c r="T3103" s="31"/>
      <c r="W3103" s="16"/>
      <c r="X3103" s="9"/>
      <c r="Y3103" s="9"/>
      <c r="AA3103" s="16"/>
      <c r="AK3103" s="16"/>
      <c r="AL3103" s="17"/>
    </row>
    <row r="3104" spans="9:38" x14ac:dyDescent="0.4">
      <c r="I3104" s="11"/>
      <c r="J3104" s="9"/>
      <c r="K3104" s="9"/>
      <c r="O3104" s="11"/>
      <c r="P3104" s="9"/>
      <c r="Q3104" s="9"/>
      <c r="R3104" s="9"/>
      <c r="S3104" s="9"/>
      <c r="T3104" s="31"/>
      <c r="W3104" s="16"/>
      <c r="X3104" s="9"/>
      <c r="Y3104" s="9"/>
      <c r="AA3104" s="16"/>
      <c r="AK3104" s="16"/>
      <c r="AL3104" s="17"/>
    </row>
    <row r="3105" spans="9:38" x14ac:dyDescent="0.4">
      <c r="I3105" s="11"/>
      <c r="J3105" s="9"/>
      <c r="K3105" s="9"/>
      <c r="O3105" s="11"/>
      <c r="P3105" s="9"/>
      <c r="Q3105" s="9"/>
      <c r="R3105" s="9"/>
      <c r="S3105" s="9"/>
      <c r="T3105" s="31"/>
      <c r="W3105" s="16"/>
      <c r="X3105" s="9"/>
      <c r="Y3105" s="9"/>
      <c r="AA3105" s="16"/>
      <c r="AK3105" s="16"/>
      <c r="AL3105" s="17"/>
    </row>
    <row r="3106" spans="9:38" x14ac:dyDescent="0.4">
      <c r="I3106" s="11"/>
      <c r="J3106" s="9"/>
      <c r="K3106" s="9"/>
      <c r="O3106" s="11"/>
      <c r="P3106" s="9"/>
      <c r="Q3106" s="9"/>
      <c r="R3106" s="9"/>
      <c r="S3106" s="9"/>
      <c r="T3106" s="31"/>
      <c r="W3106" s="16"/>
      <c r="X3106" s="9"/>
      <c r="Y3106" s="9"/>
      <c r="AA3106" s="16"/>
      <c r="AK3106" s="16"/>
      <c r="AL3106" s="17"/>
    </row>
    <row r="3107" spans="9:38" x14ac:dyDescent="0.4">
      <c r="I3107" s="11"/>
      <c r="J3107" s="9"/>
      <c r="K3107" s="9"/>
      <c r="O3107" s="11"/>
      <c r="P3107" s="9"/>
      <c r="Q3107" s="9"/>
      <c r="R3107" s="9"/>
      <c r="S3107" s="9"/>
      <c r="T3107" s="31"/>
      <c r="W3107" s="16"/>
      <c r="X3107" s="9"/>
      <c r="Y3107" s="9"/>
      <c r="AA3107" s="16"/>
      <c r="AK3107" s="16"/>
      <c r="AL3107" s="17"/>
    </row>
    <row r="3108" spans="9:38" x14ac:dyDescent="0.4">
      <c r="I3108" s="11"/>
      <c r="J3108" s="9"/>
      <c r="K3108" s="9"/>
      <c r="O3108" s="11"/>
      <c r="P3108" s="9"/>
      <c r="Q3108" s="9"/>
      <c r="R3108" s="9"/>
      <c r="S3108" s="9"/>
      <c r="T3108" s="31"/>
      <c r="W3108" s="16"/>
      <c r="X3108" s="9"/>
      <c r="Y3108" s="9"/>
      <c r="AA3108" s="16"/>
      <c r="AK3108" s="16"/>
      <c r="AL3108" s="17"/>
    </row>
    <row r="3109" spans="9:38" x14ac:dyDescent="0.4">
      <c r="I3109" s="11"/>
      <c r="J3109" s="9"/>
      <c r="K3109" s="9"/>
      <c r="O3109" s="11"/>
      <c r="P3109" s="9"/>
      <c r="Q3109" s="9"/>
      <c r="R3109" s="9"/>
      <c r="S3109" s="9"/>
      <c r="T3109" s="31"/>
      <c r="W3109" s="16"/>
      <c r="X3109" s="9"/>
      <c r="Y3109" s="9"/>
      <c r="AA3109" s="16"/>
      <c r="AK3109" s="16"/>
      <c r="AL3109" s="17"/>
    </row>
    <row r="3110" spans="9:38" x14ac:dyDescent="0.4">
      <c r="I3110" s="11"/>
      <c r="J3110" s="9"/>
      <c r="K3110" s="9"/>
      <c r="O3110" s="11"/>
      <c r="P3110" s="9"/>
      <c r="Q3110" s="9"/>
      <c r="R3110" s="9"/>
      <c r="S3110" s="9"/>
      <c r="T3110" s="31"/>
      <c r="W3110" s="16"/>
      <c r="X3110" s="9"/>
      <c r="Y3110" s="9"/>
      <c r="AA3110" s="16"/>
      <c r="AK3110" s="16"/>
      <c r="AL3110" s="17"/>
    </row>
    <row r="3111" spans="9:38" x14ac:dyDescent="0.4">
      <c r="I3111" s="11"/>
      <c r="J3111" s="9"/>
      <c r="K3111" s="9"/>
      <c r="O3111" s="11"/>
      <c r="P3111" s="9"/>
      <c r="Q3111" s="9"/>
      <c r="R3111" s="9"/>
      <c r="S3111" s="9"/>
      <c r="T3111" s="31"/>
      <c r="W3111" s="16"/>
      <c r="X3111" s="9"/>
      <c r="Y3111" s="9"/>
      <c r="AA3111" s="16"/>
      <c r="AK3111" s="16"/>
      <c r="AL3111" s="17"/>
    </row>
    <row r="3112" spans="9:38" x14ac:dyDescent="0.4">
      <c r="I3112" s="11"/>
      <c r="J3112" s="9"/>
      <c r="K3112" s="9"/>
      <c r="O3112" s="11"/>
      <c r="P3112" s="9"/>
      <c r="Q3112" s="9"/>
      <c r="R3112" s="9"/>
      <c r="S3112" s="9"/>
      <c r="T3112" s="31"/>
      <c r="W3112" s="16"/>
      <c r="X3112" s="9"/>
      <c r="Y3112" s="9"/>
      <c r="AA3112" s="16"/>
      <c r="AK3112" s="16"/>
      <c r="AL3112" s="17"/>
    </row>
    <row r="3113" spans="9:38" x14ac:dyDescent="0.4">
      <c r="I3113" s="11"/>
      <c r="J3113" s="9"/>
      <c r="K3113" s="9"/>
      <c r="O3113" s="11"/>
      <c r="P3113" s="9"/>
      <c r="Q3113" s="9"/>
      <c r="R3113" s="9"/>
      <c r="S3113" s="9"/>
      <c r="T3113" s="31"/>
      <c r="W3113" s="16"/>
      <c r="X3113" s="9"/>
      <c r="Y3113" s="9"/>
      <c r="AA3113" s="16"/>
      <c r="AK3113" s="16"/>
      <c r="AL3113" s="17"/>
    </row>
    <row r="3114" spans="9:38" x14ac:dyDescent="0.4">
      <c r="I3114" s="11"/>
      <c r="J3114" s="9"/>
      <c r="K3114" s="9"/>
      <c r="O3114" s="11"/>
      <c r="P3114" s="9"/>
      <c r="Q3114" s="9"/>
      <c r="R3114" s="9"/>
      <c r="S3114" s="9"/>
      <c r="T3114" s="31"/>
      <c r="W3114" s="16"/>
      <c r="X3114" s="9"/>
      <c r="Y3114" s="9"/>
      <c r="AA3114" s="16"/>
      <c r="AK3114" s="16"/>
      <c r="AL3114" s="17"/>
    </row>
    <row r="3115" spans="9:38" x14ac:dyDescent="0.4">
      <c r="I3115" s="11"/>
      <c r="J3115" s="9"/>
      <c r="K3115" s="9"/>
      <c r="O3115" s="11"/>
      <c r="P3115" s="9"/>
      <c r="Q3115" s="9"/>
      <c r="R3115" s="9"/>
      <c r="S3115" s="9"/>
      <c r="T3115" s="31"/>
      <c r="W3115" s="16"/>
      <c r="X3115" s="9"/>
      <c r="Y3115" s="9"/>
      <c r="AA3115" s="16"/>
      <c r="AK3115" s="16"/>
      <c r="AL3115" s="17"/>
    </row>
    <row r="3116" spans="9:38" x14ac:dyDescent="0.4">
      <c r="I3116" s="11"/>
      <c r="J3116" s="9"/>
      <c r="K3116" s="9"/>
      <c r="O3116" s="11"/>
      <c r="P3116" s="9"/>
      <c r="Q3116" s="9"/>
      <c r="R3116" s="9"/>
      <c r="S3116" s="9"/>
      <c r="T3116" s="31"/>
      <c r="W3116" s="16"/>
      <c r="X3116" s="9"/>
      <c r="Y3116" s="9"/>
      <c r="AA3116" s="16"/>
      <c r="AK3116" s="16"/>
      <c r="AL3116" s="17"/>
    </row>
    <row r="3117" spans="9:38" x14ac:dyDescent="0.4">
      <c r="I3117" s="11"/>
      <c r="J3117" s="9"/>
      <c r="K3117" s="9"/>
      <c r="O3117" s="11"/>
      <c r="P3117" s="9"/>
      <c r="Q3117" s="9"/>
      <c r="R3117" s="9"/>
      <c r="S3117" s="9"/>
      <c r="T3117" s="31"/>
      <c r="W3117" s="16"/>
      <c r="X3117" s="9"/>
      <c r="Y3117" s="9"/>
      <c r="AA3117" s="16"/>
      <c r="AK3117" s="16"/>
      <c r="AL3117" s="17"/>
    </row>
    <row r="3118" spans="9:38" x14ac:dyDescent="0.4">
      <c r="I3118" s="11"/>
      <c r="J3118" s="9"/>
      <c r="K3118" s="9"/>
      <c r="O3118" s="11"/>
      <c r="P3118" s="9"/>
      <c r="Q3118" s="9"/>
      <c r="R3118" s="9"/>
      <c r="S3118" s="9"/>
      <c r="T3118" s="31"/>
      <c r="W3118" s="16"/>
      <c r="X3118" s="9"/>
      <c r="Y3118" s="9"/>
      <c r="AA3118" s="16"/>
      <c r="AK3118" s="16"/>
      <c r="AL3118" s="17"/>
    </row>
    <row r="3119" spans="9:38" x14ac:dyDescent="0.4">
      <c r="I3119" s="11"/>
      <c r="J3119" s="9"/>
      <c r="K3119" s="9"/>
      <c r="O3119" s="11"/>
      <c r="P3119" s="9"/>
      <c r="Q3119" s="9"/>
      <c r="R3119" s="9"/>
      <c r="S3119" s="9"/>
      <c r="T3119" s="31"/>
      <c r="W3119" s="16"/>
      <c r="X3119" s="9"/>
      <c r="Y3119" s="9"/>
      <c r="AA3119" s="16"/>
      <c r="AK3119" s="16"/>
      <c r="AL3119" s="17"/>
    </row>
    <row r="3120" spans="9:38" x14ac:dyDescent="0.4">
      <c r="I3120" s="11"/>
      <c r="J3120" s="9"/>
      <c r="K3120" s="9"/>
      <c r="O3120" s="11"/>
      <c r="P3120" s="9"/>
      <c r="Q3120" s="9"/>
      <c r="R3120" s="9"/>
      <c r="S3120" s="9"/>
      <c r="T3120" s="31"/>
      <c r="W3120" s="16"/>
      <c r="X3120" s="9"/>
      <c r="Y3120" s="9"/>
      <c r="AA3120" s="16"/>
      <c r="AK3120" s="16"/>
      <c r="AL3120" s="17"/>
    </row>
    <row r="3121" spans="9:38" x14ac:dyDescent="0.4">
      <c r="I3121" s="11"/>
      <c r="J3121" s="9"/>
      <c r="K3121" s="9"/>
      <c r="O3121" s="11"/>
      <c r="P3121" s="9"/>
      <c r="Q3121" s="9"/>
      <c r="R3121" s="9"/>
      <c r="S3121" s="9"/>
      <c r="T3121" s="31"/>
      <c r="W3121" s="16"/>
      <c r="X3121" s="9"/>
      <c r="Y3121" s="9"/>
      <c r="AA3121" s="16"/>
      <c r="AK3121" s="16"/>
      <c r="AL3121" s="17"/>
    </row>
    <row r="3122" spans="9:38" x14ac:dyDescent="0.4">
      <c r="I3122" s="11"/>
      <c r="J3122" s="9"/>
      <c r="K3122" s="9"/>
      <c r="O3122" s="11"/>
      <c r="P3122" s="9"/>
      <c r="Q3122" s="9"/>
      <c r="R3122" s="9"/>
      <c r="S3122" s="9"/>
      <c r="T3122" s="31"/>
      <c r="W3122" s="16"/>
      <c r="X3122" s="9"/>
      <c r="Y3122" s="9"/>
      <c r="AA3122" s="16"/>
      <c r="AK3122" s="16"/>
      <c r="AL3122" s="17"/>
    </row>
    <row r="3123" spans="9:38" x14ac:dyDescent="0.4">
      <c r="I3123" s="11"/>
      <c r="J3123" s="9"/>
      <c r="K3123" s="9"/>
      <c r="O3123" s="11"/>
      <c r="P3123" s="9"/>
      <c r="Q3123" s="9"/>
      <c r="R3123" s="9"/>
      <c r="S3123" s="9"/>
      <c r="T3123" s="31"/>
      <c r="W3123" s="16"/>
      <c r="X3123" s="9"/>
      <c r="Y3123" s="9"/>
      <c r="AA3123" s="16"/>
      <c r="AK3123" s="16"/>
      <c r="AL3123" s="17"/>
    </row>
    <row r="3124" spans="9:38" x14ac:dyDescent="0.4">
      <c r="I3124" s="11"/>
      <c r="J3124" s="9"/>
      <c r="K3124" s="9"/>
      <c r="O3124" s="11"/>
      <c r="P3124" s="9"/>
      <c r="Q3124" s="9"/>
      <c r="R3124" s="9"/>
      <c r="S3124" s="9"/>
      <c r="T3124" s="31"/>
      <c r="W3124" s="16"/>
      <c r="X3124" s="9"/>
      <c r="Y3124" s="9"/>
      <c r="AA3124" s="16"/>
      <c r="AK3124" s="16"/>
      <c r="AL3124" s="17"/>
    </row>
    <row r="3125" spans="9:38" x14ac:dyDescent="0.4">
      <c r="I3125" s="11"/>
      <c r="J3125" s="9"/>
      <c r="K3125" s="9"/>
      <c r="O3125" s="11"/>
      <c r="P3125" s="9"/>
      <c r="Q3125" s="9"/>
      <c r="R3125" s="9"/>
      <c r="S3125" s="9"/>
      <c r="T3125" s="31"/>
      <c r="W3125" s="16"/>
      <c r="X3125" s="9"/>
      <c r="Y3125" s="9"/>
      <c r="AA3125" s="16"/>
      <c r="AK3125" s="16"/>
      <c r="AL3125" s="17"/>
    </row>
    <row r="3126" spans="9:38" x14ac:dyDescent="0.4">
      <c r="I3126" s="11"/>
      <c r="J3126" s="9"/>
      <c r="K3126" s="9"/>
      <c r="O3126" s="11"/>
      <c r="P3126" s="9"/>
      <c r="Q3126" s="9"/>
      <c r="R3126" s="9"/>
      <c r="S3126" s="9"/>
      <c r="T3126" s="31"/>
      <c r="W3126" s="16"/>
      <c r="X3126" s="9"/>
      <c r="Y3126" s="9"/>
      <c r="AA3126" s="16"/>
      <c r="AK3126" s="16"/>
      <c r="AL3126" s="17"/>
    </row>
    <row r="3127" spans="9:38" x14ac:dyDescent="0.4">
      <c r="I3127" s="11"/>
      <c r="J3127" s="9"/>
      <c r="K3127" s="9"/>
      <c r="O3127" s="11"/>
      <c r="P3127" s="9"/>
      <c r="Q3127" s="9"/>
      <c r="R3127" s="9"/>
      <c r="S3127" s="9"/>
      <c r="T3127" s="31"/>
      <c r="W3127" s="16"/>
      <c r="X3127" s="9"/>
      <c r="Y3127" s="9"/>
      <c r="AA3127" s="16"/>
      <c r="AK3127" s="16"/>
      <c r="AL3127" s="17"/>
    </row>
    <row r="3128" spans="9:38" x14ac:dyDescent="0.4">
      <c r="I3128" s="11"/>
      <c r="J3128" s="9"/>
      <c r="K3128" s="9"/>
      <c r="O3128" s="11"/>
      <c r="P3128" s="9"/>
      <c r="Q3128" s="9"/>
      <c r="R3128" s="9"/>
      <c r="S3128" s="9"/>
      <c r="T3128" s="31"/>
      <c r="W3128" s="16"/>
      <c r="X3128" s="9"/>
      <c r="Y3128" s="9"/>
      <c r="AA3128" s="16"/>
      <c r="AK3128" s="16"/>
      <c r="AL3128" s="17"/>
    </row>
    <row r="3129" spans="9:38" x14ac:dyDescent="0.4">
      <c r="I3129" s="11"/>
      <c r="J3129" s="9"/>
      <c r="K3129" s="9"/>
      <c r="O3129" s="11"/>
      <c r="P3129" s="9"/>
      <c r="Q3129" s="9"/>
      <c r="R3129" s="9"/>
      <c r="S3129" s="9"/>
      <c r="T3129" s="31"/>
      <c r="W3129" s="16"/>
      <c r="X3129" s="9"/>
      <c r="Y3129" s="9"/>
      <c r="AA3129" s="16"/>
      <c r="AK3129" s="16"/>
      <c r="AL3129" s="17"/>
    </row>
    <row r="3130" spans="9:38" x14ac:dyDescent="0.4">
      <c r="I3130" s="11"/>
      <c r="J3130" s="9"/>
      <c r="K3130" s="9"/>
      <c r="O3130" s="11"/>
      <c r="P3130" s="9"/>
      <c r="Q3130" s="9"/>
      <c r="R3130" s="9"/>
      <c r="S3130" s="9"/>
      <c r="T3130" s="31"/>
      <c r="W3130" s="16"/>
      <c r="X3130" s="9"/>
      <c r="Y3130" s="9"/>
      <c r="AA3130" s="16"/>
      <c r="AK3130" s="16"/>
      <c r="AL3130" s="17"/>
    </row>
    <row r="3131" spans="9:38" x14ac:dyDescent="0.4">
      <c r="I3131" s="11"/>
      <c r="J3131" s="9"/>
      <c r="K3131" s="9"/>
      <c r="O3131" s="11"/>
      <c r="P3131" s="9"/>
      <c r="Q3131" s="9"/>
      <c r="R3131" s="9"/>
      <c r="S3131" s="9"/>
      <c r="T3131" s="31"/>
      <c r="W3131" s="16"/>
      <c r="X3131" s="9"/>
      <c r="Y3131" s="9"/>
      <c r="AA3131" s="16"/>
      <c r="AK3131" s="16"/>
      <c r="AL3131" s="17"/>
    </row>
    <row r="3132" spans="9:38" x14ac:dyDescent="0.4">
      <c r="I3132" s="11"/>
      <c r="J3132" s="9"/>
      <c r="K3132" s="9"/>
      <c r="O3132" s="11"/>
      <c r="P3132" s="9"/>
      <c r="Q3132" s="9"/>
      <c r="R3132" s="9"/>
      <c r="S3132" s="9"/>
      <c r="T3132" s="31"/>
      <c r="W3132" s="16"/>
      <c r="X3132" s="9"/>
      <c r="Y3132" s="9"/>
      <c r="AA3132" s="16"/>
      <c r="AK3132" s="16"/>
      <c r="AL3132" s="17"/>
    </row>
    <row r="3133" spans="9:38" x14ac:dyDescent="0.4">
      <c r="I3133" s="11"/>
      <c r="J3133" s="9"/>
      <c r="K3133" s="9"/>
      <c r="O3133" s="11"/>
      <c r="P3133" s="9"/>
      <c r="Q3133" s="9"/>
      <c r="R3133" s="9"/>
      <c r="S3133" s="9"/>
      <c r="T3133" s="31"/>
      <c r="W3133" s="16"/>
      <c r="X3133" s="9"/>
      <c r="Y3133" s="9"/>
      <c r="AA3133" s="16"/>
      <c r="AK3133" s="16"/>
      <c r="AL3133" s="17"/>
    </row>
    <row r="3134" spans="9:38" x14ac:dyDescent="0.4">
      <c r="I3134" s="11"/>
      <c r="J3134" s="9"/>
      <c r="K3134" s="9"/>
      <c r="O3134" s="11"/>
      <c r="P3134" s="9"/>
      <c r="Q3134" s="9"/>
      <c r="R3134" s="9"/>
      <c r="S3134" s="9"/>
      <c r="T3134" s="31"/>
      <c r="W3134" s="16"/>
      <c r="X3134" s="9"/>
      <c r="Y3134" s="9"/>
      <c r="AA3134" s="16"/>
      <c r="AK3134" s="16"/>
      <c r="AL3134" s="17"/>
    </row>
    <row r="3135" spans="9:38" x14ac:dyDescent="0.4">
      <c r="I3135" s="11"/>
      <c r="J3135" s="9"/>
      <c r="K3135" s="9"/>
      <c r="O3135" s="11"/>
      <c r="P3135" s="9"/>
      <c r="Q3135" s="9"/>
      <c r="R3135" s="9"/>
      <c r="S3135" s="9"/>
      <c r="T3135" s="31"/>
      <c r="W3135" s="16"/>
      <c r="X3135" s="9"/>
      <c r="Y3135" s="9"/>
      <c r="AA3135" s="16"/>
      <c r="AK3135" s="16"/>
      <c r="AL3135" s="17"/>
    </row>
    <row r="3136" spans="9:38" x14ac:dyDescent="0.4">
      <c r="I3136" s="11"/>
      <c r="J3136" s="9"/>
      <c r="K3136" s="9"/>
      <c r="O3136" s="11"/>
      <c r="P3136" s="9"/>
      <c r="Q3136" s="9"/>
      <c r="R3136" s="9"/>
      <c r="S3136" s="9"/>
      <c r="T3136" s="31"/>
      <c r="W3136" s="16"/>
      <c r="X3136" s="9"/>
      <c r="Y3136" s="9"/>
      <c r="AA3136" s="16"/>
      <c r="AK3136" s="16"/>
      <c r="AL3136" s="17"/>
    </row>
    <row r="3137" spans="9:38" x14ac:dyDescent="0.4">
      <c r="I3137" s="11"/>
      <c r="J3137" s="9"/>
      <c r="K3137" s="9"/>
      <c r="O3137" s="11"/>
      <c r="P3137" s="9"/>
      <c r="Q3137" s="9"/>
      <c r="R3137" s="9"/>
      <c r="S3137" s="9"/>
      <c r="T3137" s="31"/>
      <c r="W3137" s="16"/>
      <c r="X3137" s="9"/>
      <c r="Y3137" s="9"/>
      <c r="AA3137" s="16"/>
      <c r="AK3137" s="16"/>
      <c r="AL3137" s="17"/>
    </row>
    <row r="3138" spans="9:38" x14ac:dyDescent="0.4">
      <c r="I3138" s="11"/>
      <c r="J3138" s="9"/>
      <c r="K3138" s="9"/>
      <c r="O3138" s="11"/>
      <c r="P3138" s="9"/>
      <c r="Q3138" s="9"/>
      <c r="R3138" s="9"/>
      <c r="S3138" s="9"/>
      <c r="T3138" s="31"/>
      <c r="W3138" s="16"/>
      <c r="X3138" s="9"/>
      <c r="Y3138" s="9"/>
      <c r="AA3138" s="16"/>
      <c r="AK3138" s="16"/>
      <c r="AL3138" s="17"/>
    </row>
    <row r="3139" spans="9:38" x14ac:dyDescent="0.4">
      <c r="I3139" s="11"/>
      <c r="J3139" s="9"/>
      <c r="K3139" s="9"/>
      <c r="O3139" s="11"/>
      <c r="P3139" s="9"/>
      <c r="Q3139" s="9"/>
      <c r="R3139" s="9"/>
      <c r="S3139" s="9"/>
      <c r="T3139" s="31"/>
      <c r="W3139" s="16"/>
      <c r="X3139" s="9"/>
      <c r="Y3139" s="9"/>
      <c r="AA3139" s="16"/>
      <c r="AK3139" s="16"/>
      <c r="AL3139" s="17"/>
    </row>
    <row r="3140" spans="9:38" x14ac:dyDescent="0.4">
      <c r="I3140" s="11"/>
      <c r="J3140" s="9"/>
      <c r="K3140" s="9"/>
      <c r="O3140" s="11"/>
      <c r="P3140" s="9"/>
      <c r="Q3140" s="9"/>
      <c r="R3140" s="9"/>
      <c r="S3140" s="9"/>
      <c r="T3140" s="31"/>
      <c r="W3140" s="16"/>
      <c r="X3140" s="9"/>
      <c r="Y3140" s="9"/>
      <c r="AA3140" s="16"/>
      <c r="AK3140" s="16"/>
      <c r="AL3140" s="17"/>
    </row>
    <row r="3141" spans="9:38" x14ac:dyDescent="0.4">
      <c r="I3141" s="11"/>
      <c r="J3141" s="9"/>
      <c r="K3141" s="9"/>
      <c r="O3141" s="11"/>
      <c r="P3141" s="9"/>
      <c r="Q3141" s="9"/>
      <c r="R3141" s="9"/>
      <c r="S3141" s="9"/>
      <c r="T3141" s="31"/>
      <c r="W3141" s="16"/>
      <c r="X3141" s="9"/>
      <c r="Y3141" s="9"/>
      <c r="AA3141" s="16"/>
      <c r="AK3141" s="16"/>
      <c r="AL3141" s="17"/>
    </row>
    <row r="3142" spans="9:38" x14ac:dyDescent="0.4">
      <c r="I3142" s="11"/>
      <c r="J3142" s="9"/>
      <c r="K3142" s="9"/>
      <c r="O3142" s="11"/>
      <c r="P3142" s="9"/>
      <c r="Q3142" s="9"/>
      <c r="R3142" s="9"/>
      <c r="S3142" s="9"/>
      <c r="T3142" s="31"/>
      <c r="W3142" s="16"/>
      <c r="X3142" s="9"/>
      <c r="Y3142" s="9"/>
      <c r="AA3142" s="16"/>
      <c r="AK3142" s="16"/>
      <c r="AL3142" s="17"/>
    </row>
    <row r="3143" spans="9:38" x14ac:dyDescent="0.4">
      <c r="I3143" s="11"/>
      <c r="J3143" s="9"/>
      <c r="K3143" s="9"/>
      <c r="O3143" s="11"/>
      <c r="P3143" s="9"/>
      <c r="Q3143" s="9"/>
      <c r="R3143" s="9"/>
      <c r="S3143" s="9"/>
      <c r="T3143" s="31"/>
      <c r="W3143" s="16"/>
      <c r="X3143" s="9"/>
      <c r="Y3143" s="9"/>
      <c r="AA3143" s="16"/>
      <c r="AK3143" s="16"/>
      <c r="AL3143" s="17"/>
    </row>
    <row r="3144" spans="9:38" x14ac:dyDescent="0.4">
      <c r="I3144" s="11"/>
      <c r="J3144" s="9"/>
      <c r="K3144" s="9"/>
      <c r="O3144" s="11"/>
      <c r="P3144" s="9"/>
      <c r="Q3144" s="9"/>
      <c r="R3144" s="9"/>
      <c r="S3144" s="9"/>
      <c r="T3144" s="31"/>
      <c r="W3144" s="16"/>
      <c r="X3144" s="9"/>
      <c r="Y3144" s="9"/>
      <c r="AA3144" s="16"/>
      <c r="AK3144" s="16"/>
      <c r="AL3144" s="17"/>
    </row>
    <row r="3145" spans="9:38" x14ac:dyDescent="0.4">
      <c r="I3145" s="11"/>
      <c r="J3145" s="9"/>
      <c r="K3145" s="9"/>
      <c r="O3145" s="11"/>
      <c r="P3145" s="9"/>
      <c r="Q3145" s="9"/>
      <c r="R3145" s="9"/>
      <c r="S3145" s="9"/>
      <c r="T3145" s="31"/>
      <c r="W3145" s="16"/>
      <c r="X3145" s="9"/>
      <c r="Y3145" s="9"/>
      <c r="AA3145" s="16"/>
      <c r="AK3145" s="16"/>
      <c r="AL3145" s="17"/>
    </row>
    <row r="3146" spans="9:38" x14ac:dyDescent="0.4">
      <c r="I3146" s="11"/>
      <c r="J3146" s="9"/>
      <c r="K3146" s="9"/>
      <c r="O3146" s="11"/>
      <c r="P3146" s="9"/>
      <c r="Q3146" s="9"/>
      <c r="R3146" s="9"/>
      <c r="S3146" s="9"/>
      <c r="T3146" s="31"/>
      <c r="W3146" s="16"/>
      <c r="X3146" s="9"/>
      <c r="Y3146" s="9"/>
      <c r="AA3146" s="16"/>
      <c r="AK3146" s="16"/>
      <c r="AL3146" s="17"/>
    </row>
    <row r="3147" spans="9:38" x14ac:dyDescent="0.4">
      <c r="I3147" s="11"/>
      <c r="J3147" s="9"/>
      <c r="K3147" s="9"/>
      <c r="O3147" s="11"/>
      <c r="P3147" s="9"/>
      <c r="Q3147" s="9"/>
      <c r="R3147" s="9"/>
      <c r="S3147" s="9"/>
      <c r="T3147" s="31"/>
      <c r="W3147" s="16"/>
      <c r="X3147" s="9"/>
      <c r="Y3147" s="9"/>
      <c r="AA3147" s="16"/>
      <c r="AK3147" s="16"/>
      <c r="AL3147" s="17"/>
    </row>
    <row r="3148" spans="9:38" x14ac:dyDescent="0.4">
      <c r="I3148" s="11"/>
      <c r="J3148" s="9"/>
      <c r="K3148" s="9"/>
      <c r="O3148" s="11"/>
      <c r="P3148" s="9"/>
      <c r="Q3148" s="9"/>
      <c r="R3148" s="9"/>
      <c r="S3148" s="9"/>
      <c r="T3148" s="31"/>
      <c r="W3148" s="16"/>
      <c r="X3148" s="9"/>
      <c r="Y3148" s="9"/>
      <c r="AA3148" s="16"/>
      <c r="AK3148" s="16"/>
      <c r="AL3148" s="17"/>
    </row>
    <row r="3149" spans="9:38" x14ac:dyDescent="0.4">
      <c r="I3149" s="11"/>
      <c r="J3149" s="9"/>
      <c r="K3149" s="9"/>
      <c r="O3149" s="11"/>
      <c r="P3149" s="9"/>
      <c r="Q3149" s="9"/>
      <c r="R3149" s="9"/>
      <c r="S3149" s="9"/>
      <c r="T3149" s="31"/>
      <c r="W3149" s="16"/>
      <c r="X3149" s="9"/>
      <c r="Y3149" s="9"/>
      <c r="AA3149" s="16"/>
      <c r="AK3149" s="16"/>
      <c r="AL3149" s="17"/>
    </row>
    <row r="3150" spans="9:38" x14ac:dyDescent="0.4">
      <c r="I3150" s="11"/>
      <c r="J3150" s="9"/>
      <c r="K3150" s="9"/>
      <c r="O3150" s="11"/>
      <c r="P3150" s="9"/>
      <c r="Q3150" s="9"/>
      <c r="R3150" s="9"/>
      <c r="S3150" s="9"/>
      <c r="T3150" s="31"/>
      <c r="W3150" s="16"/>
      <c r="X3150" s="9"/>
      <c r="Y3150" s="9"/>
      <c r="AA3150" s="16"/>
      <c r="AK3150" s="16"/>
      <c r="AL3150" s="17"/>
    </row>
    <row r="3151" spans="9:38" x14ac:dyDescent="0.4">
      <c r="I3151" s="11"/>
      <c r="J3151" s="9"/>
      <c r="K3151" s="9"/>
      <c r="O3151" s="11"/>
      <c r="P3151" s="9"/>
      <c r="Q3151" s="9"/>
      <c r="R3151" s="9"/>
      <c r="S3151" s="9"/>
      <c r="T3151" s="31"/>
      <c r="W3151" s="16"/>
      <c r="X3151" s="9"/>
      <c r="Y3151" s="9"/>
      <c r="AA3151" s="16"/>
      <c r="AK3151" s="16"/>
      <c r="AL3151" s="17"/>
    </row>
    <row r="3152" spans="9:38" x14ac:dyDescent="0.4">
      <c r="I3152" s="11"/>
      <c r="J3152" s="9"/>
      <c r="K3152" s="9"/>
      <c r="O3152" s="11"/>
      <c r="P3152" s="9"/>
      <c r="Q3152" s="9"/>
      <c r="R3152" s="9"/>
      <c r="S3152" s="9"/>
      <c r="T3152" s="31"/>
      <c r="W3152" s="16"/>
      <c r="X3152" s="9"/>
      <c r="Y3152" s="9"/>
      <c r="AA3152" s="16"/>
      <c r="AK3152" s="16"/>
      <c r="AL3152" s="17"/>
    </row>
    <row r="3153" spans="9:38" x14ac:dyDescent="0.4">
      <c r="I3153" s="11"/>
      <c r="J3153" s="9"/>
      <c r="K3153" s="9"/>
      <c r="O3153" s="11"/>
      <c r="P3153" s="9"/>
      <c r="Q3153" s="9"/>
      <c r="R3153" s="9"/>
      <c r="S3153" s="9"/>
      <c r="T3153" s="31"/>
      <c r="W3153" s="16"/>
      <c r="X3153" s="9"/>
      <c r="Y3153" s="9"/>
      <c r="AA3153" s="16"/>
      <c r="AK3153" s="16"/>
      <c r="AL3153" s="17"/>
    </row>
    <row r="3154" spans="9:38" x14ac:dyDescent="0.4">
      <c r="I3154" s="11"/>
      <c r="J3154" s="9"/>
      <c r="K3154" s="9"/>
      <c r="O3154" s="11"/>
      <c r="P3154" s="9"/>
      <c r="Q3154" s="9"/>
      <c r="R3154" s="9"/>
      <c r="S3154" s="9"/>
      <c r="T3154" s="31"/>
      <c r="W3154" s="16"/>
      <c r="X3154" s="9"/>
      <c r="Y3154" s="9"/>
      <c r="AA3154" s="16"/>
      <c r="AK3154" s="16"/>
      <c r="AL3154" s="17"/>
    </row>
    <row r="3155" spans="9:38" x14ac:dyDescent="0.4">
      <c r="I3155" s="11"/>
      <c r="J3155" s="9"/>
      <c r="K3155" s="9"/>
      <c r="O3155" s="11"/>
      <c r="P3155" s="9"/>
      <c r="Q3155" s="9"/>
      <c r="R3155" s="9"/>
      <c r="S3155" s="9"/>
      <c r="T3155" s="31"/>
      <c r="W3155" s="16"/>
      <c r="X3155" s="9"/>
      <c r="Y3155" s="9"/>
      <c r="AA3155" s="16"/>
      <c r="AK3155" s="16"/>
      <c r="AL3155" s="17"/>
    </row>
    <row r="3156" spans="9:38" x14ac:dyDescent="0.4">
      <c r="I3156" s="11"/>
      <c r="J3156" s="9"/>
      <c r="K3156" s="9"/>
      <c r="O3156" s="11"/>
      <c r="P3156" s="9"/>
      <c r="Q3156" s="9"/>
      <c r="R3156" s="9"/>
      <c r="S3156" s="9"/>
      <c r="T3156" s="31"/>
      <c r="W3156" s="16"/>
      <c r="X3156" s="9"/>
      <c r="Y3156" s="9"/>
      <c r="AA3156" s="16"/>
      <c r="AK3156" s="16"/>
      <c r="AL3156" s="17"/>
    </row>
    <row r="3157" spans="9:38" x14ac:dyDescent="0.4">
      <c r="I3157" s="11"/>
      <c r="J3157" s="9"/>
      <c r="K3157" s="9"/>
      <c r="O3157" s="11"/>
      <c r="P3157" s="9"/>
      <c r="Q3157" s="9"/>
      <c r="R3157" s="9"/>
      <c r="S3157" s="9"/>
      <c r="T3157" s="31"/>
      <c r="W3157" s="16"/>
      <c r="X3157" s="9"/>
      <c r="Y3157" s="9"/>
      <c r="AA3157" s="16"/>
      <c r="AK3157" s="16"/>
      <c r="AL3157" s="17"/>
    </row>
    <row r="3158" spans="9:38" x14ac:dyDescent="0.4">
      <c r="I3158" s="11"/>
      <c r="J3158" s="9"/>
      <c r="K3158" s="9"/>
      <c r="O3158" s="11"/>
      <c r="P3158" s="9"/>
      <c r="Q3158" s="9"/>
      <c r="R3158" s="9"/>
      <c r="S3158" s="9"/>
      <c r="T3158" s="31"/>
      <c r="W3158" s="16"/>
      <c r="X3158" s="9"/>
      <c r="Y3158" s="9"/>
      <c r="AA3158" s="16"/>
      <c r="AK3158" s="16"/>
      <c r="AL3158" s="17"/>
    </row>
    <row r="3159" spans="9:38" x14ac:dyDescent="0.4">
      <c r="I3159" s="11"/>
      <c r="J3159" s="9"/>
      <c r="K3159" s="9"/>
      <c r="O3159" s="11"/>
      <c r="P3159" s="9"/>
      <c r="Q3159" s="9"/>
      <c r="R3159" s="9"/>
      <c r="S3159" s="9"/>
      <c r="T3159" s="31"/>
      <c r="W3159" s="16"/>
      <c r="X3159" s="9"/>
      <c r="Y3159" s="9"/>
      <c r="AA3159" s="16"/>
      <c r="AK3159" s="16"/>
      <c r="AL3159" s="17"/>
    </row>
    <row r="3160" spans="9:38" x14ac:dyDescent="0.4">
      <c r="I3160" s="11"/>
      <c r="J3160" s="9"/>
      <c r="K3160" s="9"/>
      <c r="O3160" s="11"/>
      <c r="P3160" s="9"/>
      <c r="Q3160" s="9"/>
      <c r="R3160" s="9"/>
      <c r="S3160" s="9"/>
      <c r="T3160" s="31"/>
      <c r="W3160" s="16"/>
      <c r="X3160" s="9"/>
      <c r="Y3160" s="9"/>
      <c r="AA3160" s="16"/>
      <c r="AK3160" s="16"/>
      <c r="AL3160" s="17"/>
    </row>
    <row r="3161" spans="9:38" x14ac:dyDescent="0.4">
      <c r="I3161" s="11"/>
      <c r="J3161" s="9"/>
      <c r="K3161" s="9"/>
      <c r="O3161" s="11"/>
      <c r="P3161" s="9"/>
      <c r="Q3161" s="9"/>
      <c r="R3161" s="9"/>
      <c r="S3161" s="9"/>
      <c r="T3161" s="31"/>
      <c r="W3161" s="16"/>
      <c r="X3161" s="9"/>
      <c r="Y3161" s="9"/>
      <c r="AA3161" s="16"/>
      <c r="AK3161" s="16"/>
      <c r="AL3161" s="17"/>
    </row>
    <row r="3162" spans="9:38" x14ac:dyDescent="0.4">
      <c r="I3162" s="11"/>
      <c r="J3162" s="9"/>
      <c r="K3162" s="9"/>
      <c r="O3162" s="11"/>
      <c r="P3162" s="9"/>
      <c r="Q3162" s="9"/>
      <c r="R3162" s="9"/>
      <c r="S3162" s="9"/>
      <c r="T3162" s="31"/>
      <c r="W3162" s="16"/>
      <c r="X3162" s="9"/>
      <c r="Y3162" s="9"/>
      <c r="AA3162" s="16"/>
      <c r="AK3162" s="16"/>
      <c r="AL3162" s="17"/>
    </row>
    <row r="3163" spans="9:38" x14ac:dyDescent="0.4">
      <c r="I3163" s="11"/>
      <c r="J3163" s="9"/>
      <c r="K3163" s="9"/>
      <c r="O3163" s="11"/>
      <c r="P3163" s="9"/>
      <c r="Q3163" s="9"/>
      <c r="R3163" s="9"/>
      <c r="S3163" s="9"/>
      <c r="T3163" s="31"/>
      <c r="W3163" s="16"/>
      <c r="X3163" s="9"/>
      <c r="Y3163" s="9"/>
      <c r="AA3163" s="16"/>
      <c r="AK3163" s="16"/>
      <c r="AL3163" s="17"/>
    </row>
    <row r="3164" spans="9:38" x14ac:dyDescent="0.4">
      <c r="I3164" s="11"/>
      <c r="J3164" s="9"/>
      <c r="K3164" s="9"/>
      <c r="O3164" s="11"/>
      <c r="P3164" s="9"/>
      <c r="Q3164" s="9"/>
      <c r="R3164" s="9"/>
      <c r="S3164" s="9"/>
      <c r="T3164" s="31"/>
      <c r="W3164" s="16"/>
      <c r="X3164" s="9"/>
      <c r="Y3164" s="9"/>
      <c r="AA3164" s="16"/>
      <c r="AK3164" s="16"/>
      <c r="AL3164" s="17"/>
    </row>
    <row r="3165" spans="9:38" x14ac:dyDescent="0.4">
      <c r="I3165" s="11"/>
      <c r="J3165" s="9"/>
      <c r="K3165" s="9"/>
      <c r="O3165" s="11"/>
      <c r="P3165" s="9"/>
      <c r="Q3165" s="9"/>
      <c r="R3165" s="9"/>
      <c r="S3165" s="9"/>
      <c r="T3165" s="31"/>
      <c r="W3165" s="16"/>
      <c r="X3165" s="9"/>
      <c r="Y3165" s="9"/>
      <c r="AA3165" s="16"/>
      <c r="AK3165" s="16"/>
      <c r="AL3165" s="17"/>
    </row>
    <row r="3166" spans="9:38" x14ac:dyDescent="0.4">
      <c r="I3166" s="11"/>
      <c r="J3166" s="9"/>
      <c r="K3166" s="9"/>
      <c r="O3166" s="11"/>
      <c r="P3166" s="9"/>
      <c r="Q3166" s="9"/>
      <c r="R3166" s="9"/>
      <c r="S3166" s="9"/>
      <c r="T3166" s="31"/>
      <c r="W3166" s="16"/>
      <c r="X3166" s="9"/>
      <c r="Y3166" s="9"/>
      <c r="AA3166" s="16"/>
      <c r="AK3166" s="16"/>
      <c r="AL3166" s="17"/>
    </row>
    <row r="3167" spans="9:38" x14ac:dyDescent="0.4">
      <c r="I3167" s="11"/>
      <c r="J3167" s="9"/>
      <c r="K3167" s="9"/>
      <c r="O3167" s="11"/>
      <c r="P3167" s="9"/>
      <c r="Q3167" s="9"/>
      <c r="R3167" s="9"/>
      <c r="S3167" s="9"/>
      <c r="T3167" s="31"/>
      <c r="W3167" s="16"/>
      <c r="X3167" s="9"/>
      <c r="Y3167" s="9"/>
      <c r="AA3167" s="16"/>
      <c r="AK3167" s="16"/>
      <c r="AL3167" s="17"/>
    </row>
    <row r="3168" spans="9:38" x14ac:dyDescent="0.4">
      <c r="I3168" s="11"/>
      <c r="J3168" s="9"/>
      <c r="K3168" s="9"/>
      <c r="O3168" s="11"/>
      <c r="P3168" s="9"/>
      <c r="Q3168" s="9"/>
      <c r="R3168" s="9"/>
      <c r="S3168" s="9"/>
      <c r="T3168" s="31"/>
      <c r="W3168" s="16"/>
      <c r="X3168" s="9"/>
      <c r="Y3168" s="9"/>
      <c r="AA3168" s="16"/>
      <c r="AK3168" s="16"/>
      <c r="AL3168" s="17"/>
    </row>
    <row r="3169" spans="9:38" x14ac:dyDescent="0.4">
      <c r="I3169" s="11"/>
      <c r="J3169" s="9"/>
      <c r="K3169" s="9"/>
      <c r="O3169" s="11"/>
      <c r="P3169" s="9"/>
      <c r="Q3169" s="9"/>
      <c r="R3169" s="9"/>
      <c r="S3169" s="9"/>
      <c r="T3169" s="31"/>
      <c r="W3169" s="16"/>
      <c r="X3169" s="9"/>
      <c r="Y3169" s="9"/>
      <c r="AA3169" s="16"/>
      <c r="AK3169" s="16"/>
      <c r="AL3169" s="17"/>
    </row>
    <row r="3170" spans="9:38" x14ac:dyDescent="0.4">
      <c r="I3170" s="11"/>
      <c r="J3170" s="9"/>
      <c r="K3170" s="9"/>
      <c r="O3170" s="11"/>
      <c r="P3170" s="9"/>
      <c r="Q3170" s="9"/>
      <c r="R3170" s="9"/>
      <c r="S3170" s="9"/>
      <c r="T3170" s="31"/>
      <c r="W3170" s="16"/>
      <c r="X3170" s="9"/>
      <c r="Y3170" s="9"/>
      <c r="AA3170" s="16"/>
      <c r="AK3170" s="16"/>
      <c r="AL3170" s="17"/>
    </row>
    <row r="3171" spans="9:38" x14ac:dyDescent="0.4">
      <c r="I3171" s="11"/>
      <c r="J3171" s="9"/>
      <c r="K3171" s="9"/>
      <c r="O3171" s="11"/>
      <c r="P3171" s="9"/>
      <c r="Q3171" s="9"/>
      <c r="R3171" s="9"/>
      <c r="S3171" s="9"/>
      <c r="T3171" s="31"/>
      <c r="W3171" s="16"/>
      <c r="X3171" s="9"/>
      <c r="Y3171" s="9"/>
      <c r="AA3171" s="16"/>
      <c r="AK3171" s="16"/>
      <c r="AL3171" s="17"/>
    </row>
    <row r="3172" spans="9:38" x14ac:dyDescent="0.4">
      <c r="I3172" s="11"/>
      <c r="J3172" s="9"/>
      <c r="K3172" s="9"/>
      <c r="O3172" s="11"/>
      <c r="P3172" s="9"/>
      <c r="Q3172" s="9"/>
      <c r="R3172" s="9"/>
      <c r="S3172" s="9"/>
      <c r="T3172" s="31"/>
      <c r="W3172" s="16"/>
      <c r="X3172" s="9"/>
      <c r="Y3172" s="9"/>
      <c r="AA3172" s="16"/>
      <c r="AK3172" s="16"/>
      <c r="AL3172" s="17"/>
    </row>
    <row r="3173" spans="9:38" x14ac:dyDescent="0.4">
      <c r="I3173" s="11"/>
      <c r="J3173" s="9"/>
      <c r="K3173" s="9"/>
      <c r="O3173" s="11"/>
      <c r="P3173" s="9"/>
      <c r="Q3173" s="9"/>
      <c r="R3173" s="9"/>
      <c r="S3173" s="9"/>
      <c r="T3173" s="31"/>
      <c r="W3173" s="16"/>
      <c r="X3173" s="9"/>
      <c r="Y3173" s="9"/>
      <c r="AA3173" s="16"/>
      <c r="AK3173" s="16"/>
      <c r="AL3173" s="17"/>
    </row>
    <row r="3174" spans="9:38" x14ac:dyDescent="0.4">
      <c r="I3174" s="11"/>
      <c r="J3174" s="9"/>
      <c r="K3174" s="9"/>
      <c r="O3174" s="11"/>
      <c r="P3174" s="9"/>
      <c r="Q3174" s="9"/>
      <c r="R3174" s="9"/>
      <c r="S3174" s="9"/>
      <c r="T3174" s="31"/>
      <c r="W3174" s="16"/>
      <c r="X3174" s="9"/>
      <c r="Y3174" s="9"/>
      <c r="AA3174" s="16"/>
      <c r="AK3174" s="16"/>
      <c r="AL3174" s="17"/>
    </row>
    <row r="3175" spans="9:38" x14ac:dyDescent="0.4">
      <c r="I3175" s="11"/>
      <c r="J3175" s="9"/>
      <c r="K3175" s="9"/>
      <c r="O3175" s="11"/>
      <c r="P3175" s="9"/>
      <c r="Q3175" s="9"/>
      <c r="R3175" s="9"/>
      <c r="S3175" s="9"/>
      <c r="T3175" s="31"/>
      <c r="W3175" s="16"/>
      <c r="X3175" s="9"/>
      <c r="Y3175" s="9"/>
      <c r="AA3175" s="16"/>
      <c r="AK3175" s="16"/>
      <c r="AL3175" s="17"/>
    </row>
    <row r="3176" spans="9:38" x14ac:dyDescent="0.4">
      <c r="I3176" s="11"/>
      <c r="J3176" s="9"/>
      <c r="K3176" s="9"/>
      <c r="O3176" s="11"/>
      <c r="P3176" s="9"/>
      <c r="Q3176" s="9"/>
      <c r="R3176" s="9"/>
      <c r="S3176" s="9"/>
      <c r="T3176" s="31"/>
      <c r="W3176" s="16"/>
      <c r="X3176" s="9"/>
      <c r="Y3176" s="9"/>
      <c r="AA3176" s="16"/>
      <c r="AK3176" s="16"/>
      <c r="AL3176" s="17"/>
    </row>
    <row r="3177" spans="9:38" x14ac:dyDescent="0.4">
      <c r="I3177" s="11"/>
      <c r="J3177" s="9"/>
      <c r="K3177" s="9"/>
      <c r="O3177" s="11"/>
      <c r="P3177" s="9"/>
      <c r="Q3177" s="9"/>
      <c r="R3177" s="9"/>
      <c r="S3177" s="9"/>
      <c r="T3177" s="31"/>
      <c r="W3177" s="16"/>
      <c r="X3177" s="9"/>
      <c r="Y3177" s="9"/>
      <c r="AA3177" s="16"/>
      <c r="AK3177" s="16"/>
      <c r="AL3177" s="17"/>
    </row>
    <row r="3178" spans="9:38" x14ac:dyDescent="0.4">
      <c r="I3178" s="11"/>
      <c r="J3178" s="9"/>
      <c r="K3178" s="9"/>
      <c r="O3178" s="11"/>
      <c r="P3178" s="9"/>
      <c r="Q3178" s="9"/>
      <c r="R3178" s="9"/>
      <c r="S3178" s="9"/>
      <c r="T3178" s="31"/>
      <c r="W3178" s="16"/>
      <c r="X3178" s="9"/>
      <c r="Y3178" s="9"/>
      <c r="AA3178" s="16"/>
      <c r="AK3178" s="16"/>
      <c r="AL3178" s="17"/>
    </row>
    <row r="3179" spans="9:38" x14ac:dyDescent="0.4">
      <c r="I3179" s="11"/>
      <c r="J3179" s="9"/>
      <c r="K3179" s="9"/>
      <c r="O3179" s="11"/>
      <c r="P3179" s="9"/>
      <c r="Q3179" s="9"/>
      <c r="R3179" s="9"/>
      <c r="S3179" s="9"/>
      <c r="T3179" s="31"/>
      <c r="W3179" s="16"/>
      <c r="X3179" s="9"/>
      <c r="Y3179" s="9"/>
      <c r="AA3179" s="16"/>
      <c r="AK3179" s="16"/>
      <c r="AL3179" s="17"/>
    </row>
    <row r="3180" spans="9:38" x14ac:dyDescent="0.4">
      <c r="I3180" s="11"/>
      <c r="J3180" s="9"/>
      <c r="K3180" s="9"/>
      <c r="O3180" s="11"/>
      <c r="P3180" s="9"/>
      <c r="Q3180" s="9"/>
      <c r="R3180" s="9"/>
      <c r="S3180" s="9"/>
      <c r="T3180" s="31"/>
      <c r="W3180" s="16"/>
      <c r="X3180" s="9"/>
      <c r="Y3180" s="9"/>
      <c r="AA3180" s="16"/>
      <c r="AK3180" s="16"/>
      <c r="AL3180" s="17"/>
    </row>
    <row r="3181" spans="9:38" x14ac:dyDescent="0.4">
      <c r="I3181" s="11"/>
      <c r="J3181" s="9"/>
      <c r="K3181" s="9"/>
      <c r="O3181" s="11"/>
      <c r="P3181" s="9"/>
      <c r="Q3181" s="9"/>
      <c r="R3181" s="9"/>
      <c r="S3181" s="9"/>
      <c r="T3181" s="31"/>
      <c r="W3181" s="16"/>
      <c r="X3181" s="9"/>
      <c r="Y3181" s="9"/>
      <c r="AA3181" s="16"/>
      <c r="AK3181" s="16"/>
      <c r="AL3181" s="17"/>
    </row>
    <row r="3182" spans="9:38" x14ac:dyDescent="0.4">
      <c r="I3182" s="11"/>
      <c r="J3182" s="9"/>
      <c r="K3182" s="9"/>
      <c r="O3182" s="11"/>
      <c r="P3182" s="9"/>
      <c r="Q3182" s="9"/>
      <c r="R3182" s="9"/>
      <c r="S3182" s="9"/>
      <c r="T3182" s="31"/>
      <c r="W3182" s="16"/>
      <c r="X3182" s="9"/>
      <c r="Y3182" s="9"/>
      <c r="AA3182" s="16"/>
      <c r="AK3182" s="16"/>
      <c r="AL3182" s="17"/>
    </row>
    <row r="3183" spans="9:38" x14ac:dyDescent="0.4">
      <c r="I3183" s="11"/>
      <c r="J3183" s="9"/>
      <c r="K3183" s="9"/>
      <c r="O3183" s="11"/>
      <c r="P3183" s="9"/>
      <c r="Q3183" s="9"/>
      <c r="R3183" s="9"/>
      <c r="S3183" s="9"/>
      <c r="T3183" s="31"/>
      <c r="W3183" s="16"/>
      <c r="X3183" s="9"/>
      <c r="Y3183" s="9"/>
      <c r="AA3183" s="16"/>
      <c r="AK3183" s="16"/>
      <c r="AL3183" s="17"/>
    </row>
    <row r="3184" spans="9:38" x14ac:dyDescent="0.4">
      <c r="I3184" s="11"/>
      <c r="J3184" s="9"/>
      <c r="K3184" s="9"/>
      <c r="O3184" s="11"/>
      <c r="P3184" s="9"/>
      <c r="Q3184" s="9"/>
      <c r="R3184" s="9"/>
      <c r="S3184" s="9"/>
      <c r="T3184" s="31"/>
      <c r="W3184" s="16"/>
      <c r="X3184" s="9"/>
      <c r="Y3184" s="9"/>
      <c r="AA3184" s="16"/>
      <c r="AK3184" s="16"/>
      <c r="AL3184" s="17"/>
    </row>
    <row r="3185" spans="9:38" x14ac:dyDescent="0.4">
      <c r="I3185" s="11"/>
      <c r="J3185" s="9"/>
      <c r="K3185" s="9"/>
      <c r="O3185" s="11"/>
      <c r="P3185" s="9"/>
      <c r="Q3185" s="9"/>
      <c r="R3185" s="9"/>
      <c r="S3185" s="9"/>
      <c r="T3185" s="31"/>
      <c r="W3185" s="16"/>
      <c r="X3185" s="9"/>
      <c r="Y3185" s="9"/>
      <c r="AA3185" s="16"/>
      <c r="AK3185" s="16"/>
      <c r="AL3185" s="17"/>
    </row>
    <row r="3186" spans="9:38" x14ac:dyDescent="0.4">
      <c r="I3186" s="11"/>
      <c r="J3186" s="9"/>
      <c r="K3186" s="9"/>
      <c r="O3186" s="11"/>
      <c r="P3186" s="9"/>
      <c r="Q3186" s="9"/>
      <c r="R3186" s="9"/>
      <c r="S3186" s="9"/>
      <c r="T3186" s="31"/>
      <c r="W3186" s="16"/>
      <c r="X3186" s="9"/>
      <c r="Y3186" s="9"/>
      <c r="AA3186" s="16"/>
      <c r="AK3186" s="16"/>
      <c r="AL3186" s="17"/>
    </row>
    <row r="3187" spans="9:38" x14ac:dyDescent="0.4">
      <c r="I3187" s="11"/>
      <c r="J3187" s="9"/>
      <c r="K3187" s="9"/>
      <c r="O3187" s="11"/>
      <c r="P3187" s="9"/>
      <c r="Q3187" s="9"/>
      <c r="R3187" s="9"/>
      <c r="S3187" s="9"/>
      <c r="T3187" s="31"/>
      <c r="W3187" s="16"/>
      <c r="X3187" s="9"/>
      <c r="Y3187" s="9"/>
      <c r="AA3187" s="16"/>
      <c r="AK3187" s="16"/>
      <c r="AL3187" s="17"/>
    </row>
    <row r="3188" spans="9:38" x14ac:dyDescent="0.4">
      <c r="I3188" s="11"/>
      <c r="J3188" s="9"/>
      <c r="K3188" s="9"/>
      <c r="O3188" s="11"/>
      <c r="P3188" s="9"/>
      <c r="Q3188" s="9"/>
      <c r="R3188" s="9"/>
      <c r="S3188" s="9"/>
      <c r="T3188" s="31"/>
      <c r="W3188" s="16"/>
      <c r="X3188" s="9"/>
      <c r="Y3188" s="9"/>
      <c r="AA3188" s="16"/>
      <c r="AK3188" s="16"/>
      <c r="AL3188" s="17"/>
    </row>
    <row r="3189" spans="9:38" x14ac:dyDescent="0.4">
      <c r="I3189" s="11"/>
      <c r="J3189" s="9"/>
      <c r="K3189" s="9"/>
      <c r="O3189" s="11"/>
      <c r="P3189" s="9"/>
      <c r="Q3189" s="9"/>
      <c r="R3189" s="9"/>
      <c r="S3189" s="9"/>
      <c r="T3189" s="31"/>
      <c r="W3189" s="16"/>
      <c r="X3189" s="9"/>
      <c r="Y3189" s="9"/>
      <c r="AA3189" s="16"/>
      <c r="AK3189" s="16"/>
      <c r="AL3189" s="17"/>
    </row>
    <row r="3190" spans="9:38" x14ac:dyDescent="0.4">
      <c r="I3190" s="11"/>
      <c r="J3190" s="9"/>
      <c r="K3190" s="9"/>
      <c r="O3190" s="11"/>
      <c r="P3190" s="9"/>
      <c r="Q3190" s="9"/>
      <c r="R3190" s="9"/>
      <c r="S3190" s="9"/>
      <c r="T3190" s="31"/>
      <c r="W3190" s="16"/>
      <c r="X3190" s="9"/>
      <c r="Y3190" s="9"/>
      <c r="AA3190" s="16"/>
      <c r="AK3190" s="16"/>
      <c r="AL3190" s="17"/>
    </row>
    <row r="3191" spans="9:38" x14ac:dyDescent="0.4">
      <c r="I3191" s="11"/>
      <c r="J3191" s="9"/>
      <c r="K3191" s="9"/>
      <c r="O3191" s="11"/>
      <c r="P3191" s="9"/>
      <c r="Q3191" s="9"/>
      <c r="R3191" s="9"/>
      <c r="S3191" s="9"/>
      <c r="T3191" s="31"/>
      <c r="W3191" s="16"/>
      <c r="X3191" s="9"/>
      <c r="Y3191" s="9"/>
      <c r="AA3191" s="16"/>
      <c r="AK3191" s="16"/>
      <c r="AL3191" s="17"/>
    </row>
    <row r="3192" spans="9:38" x14ac:dyDescent="0.4">
      <c r="I3192" s="11"/>
      <c r="J3192" s="9"/>
      <c r="K3192" s="9"/>
      <c r="O3192" s="11"/>
      <c r="P3192" s="9"/>
      <c r="Q3192" s="9"/>
      <c r="R3192" s="9"/>
      <c r="S3192" s="9"/>
      <c r="T3192" s="31"/>
      <c r="W3192" s="16"/>
      <c r="X3192" s="9"/>
      <c r="Y3192" s="9"/>
      <c r="AA3192" s="16"/>
      <c r="AK3192" s="16"/>
      <c r="AL3192" s="17"/>
    </row>
    <row r="3193" spans="9:38" x14ac:dyDescent="0.4">
      <c r="I3193" s="11"/>
      <c r="J3193" s="9"/>
      <c r="K3193" s="9"/>
      <c r="O3193" s="11"/>
      <c r="P3193" s="9"/>
      <c r="Q3193" s="9"/>
      <c r="R3193" s="9"/>
      <c r="S3193" s="9"/>
      <c r="T3193" s="31"/>
      <c r="W3193" s="16"/>
      <c r="X3193" s="9"/>
      <c r="Y3193" s="9"/>
      <c r="AA3193" s="16"/>
      <c r="AK3193" s="16"/>
      <c r="AL3193" s="17"/>
    </row>
    <row r="3194" spans="9:38" x14ac:dyDescent="0.4">
      <c r="I3194" s="11"/>
      <c r="J3194" s="9"/>
      <c r="K3194" s="9"/>
      <c r="O3194" s="11"/>
      <c r="P3194" s="9"/>
      <c r="Q3194" s="9"/>
      <c r="R3194" s="9"/>
      <c r="S3194" s="9"/>
      <c r="T3194" s="31"/>
      <c r="W3194" s="16"/>
      <c r="X3194" s="9"/>
      <c r="Y3194" s="9"/>
      <c r="AA3194" s="16"/>
      <c r="AK3194" s="16"/>
      <c r="AL3194" s="17"/>
    </row>
    <row r="3195" spans="9:38" x14ac:dyDescent="0.4">
      <c r="I3195" s="11"/>
      <c r="J3195" s="9"/>
      <c r="K3195" s="9"/>
      <c r="O3195" s="11"/>
      <c r="P3195" s="9"/>
      <c r="Q3195" s="9"/>
      <c r="R3195" s="9"/>
      <c r="S3195" s="9"/>
      <c r="T3195" s="31"/>
      <c r="W3195" s="16"/>
      <c r="X3195" s="9"/>
      <c r="Y3195" s="9"/>
      <c r="AA3195" s="16"/>
      <c r="AK3195" s="16"/>
      <c r="AL3195" s="17"/>
    </row>
    <row r="3196" spans="9:38" x14ac:dyDescent="0.4">
      <c r="I3196" s="11"/>
      <c r="J3196" s="9"/>
      <c r="K3196" s="9"/>
      <c r="O3196" s="11"/>
      <c r="P3196" s="9"/>
      <c r="Q3196" s="9"/>
      <c r="R3196" s="9"/>
      <c r="S3196" s="9"/>
      <c r="T3196" s="31"/>
      <c r="W3196" s="16"/>
      <c r="X3196" s="9"/>
      <c r="Y3196" s="9"/>
      <c r="AA3196" s="16"/>
      <c r="AK3196" s="16"/>
      <c r="AL3196" s="17"/>
    </row>
    <row r="3197" spans="9:38" x14ac:dyDescent="0.4">
      <c r="I3197" s="11"/>
      <c r="J3197" s="9"/>
      <c r="K3197" s="9"/>
      <c r="O3197" s="11"/>
      <c r="P3197" s="9"/>
      <c r="Q3197" s="9"/>
      <c r="R3197" s="9"/>
      <c r="S3197" s="9"/>
      <c r="T3197" s="31"/>
      <c r="W3197" s="16"/>
      <c r="X3197" s="9"/>
      <c r="Y3197" s="9"/>
      <c r="AA3197" s="16"/>
      <c r="AK3197" s="16"/>
      <c r="AL3197" s="17"/>
    </row>
    <row r="3198" spans="9:38" x14ac:dyDescent="0.4">
      <c r="I3198" s="11"/>
      <c r="J3198" s="9"/>
      <c r="K3198" s="9"/>
      <c r="O3198" s="11"/>
      <c r="P3198" s="9"/>
      <c r="Q3198" s="9"/>
      <c r="R3198" s="9"/>
      <c r="S3198" s="9"/>
      <c r="T3198" s="31"/>
      <c r="W3198" s="16"/>
      <c r="X3198" s="9"/>
      <c r="Y3198" s="9"/>
      <c r="AA3198" s="16"/>
      <c r="AK3198" s="16"/>
      <c r="AL3198" s="17"/>
    </row>
    <row r="3199" spans="9:38" x14ac:dyDescent="0.4">
      <c r="I3199" s="11"/>
      <c r="J3199" s="9"/>
      <c r="K3199" s="9"/>
      <c r="O3199" s="11"/>
      <c r="P3199" s="9"/>
      <c r="Q3199" s="9"/>
      <c r="R3199" s="9"/>
      <c r="S3199" s="9"/>
      <c r="T3199" s="31"/>
      <c r="W3199" s="16"/>
      <c r="X3199" s="9"/>
      <c r="Y3199" s="9"/>
      <c r="AA3199" s="16"/>
      <c r="AK3199" s="16"/>
      <c r="AL3199" s="17"/>
    </row>
    <row r="3200" spans="9:38" x14ac:dyDescent="0.4">
      <c r="I3200" s="11"/>
      <c r="J3200" s="9"/>
      <c r="K3200" s="9"/>
      <c r="O3200" s="11"/>
      <c r="P3200" s="9"/>
      <c r="Q3200" s="9"/>
      <c r="R3200" s="9"/>
      <c r="S3200" s="9"/>
      <c r="T3200" s="31"/>
      <c r="W3200" s="16"/>
      <c r="X3200" s="9"/>
      <c r="Y3200" s="9"/>
      <c r="AA3200" s="16"/>
      <c r="AK3200" s="16"/>
      <c r="AL3200" s="17"/>
    </row>
    <row r="3201" spans="9:38" x14ac:dyDescent="0.4">
      <c r="I3201" s="11"/>
      <c r="J3201" s="9"/>
      <c r="K3201" s="9"/>
      <c r="O3201" s="11"/>
      <c r="P3201" s="9"/>
      <c r="Q3201" s="9"/>
      <c r="R3201" s="9"/>
      <c r="S3201" s="9"/>
      <c r="T3201" s="31"/>
      <c r="W3201" s="16"/>
      <c r="X3201" s="9"/>
      <c r="Y3201" s="9"/>
      <c r="AA3201" s="16"/>
      <c r="AK3201" s="16"/>
      <c r="AL3201" s="17"/>
    </row>
    <row r="3202" spans="9:38" x14ac:dyDescent="0.4">
      <c r="I3202" s="11"/>
      <c r="J3202" s="9"/>
      <c r="K3202" s="9"/>
      <c r="O3202" s="11"/>
      <c r="P3202" s="9"/>
      <c r="Q3202" s="9"/>
      <c r="R3202" s="9"/>
      <c r="S3202" s="9"/>
      <c r="T3202" s="31"/>
      <c r="W3202" s="16"/>
      <c r="X3202" s="9"/>
      <c r="Y3202" s="9"/>
      <c r="AA3202" s="16"/>
      <c r="AK3202" s="16"/>
      <c r="AL3202" s="17"/>
    </row>
    <row r="3203" spans="9:38" x14ac:dyDescent="0.4">
      <c r="I3203" s="11"/>
      <c r="J3203" s="9"/>
      <c r="K3203" s="9"/>
      <c r="O3203" s="11"/>
      <c r="P3203" s="9"/>
      <c r="Q3203" s="9"/>
      <c r="R3203" s="9"/>
      <c r="S3203" s="9"/>
      <c r="T3203" s="31"/>
      <c r="W3203" s="16"/>
      <c r="X3203" s="9"/>
      <c r="Y3203" s="9"/>
      <c r="AA3203" s="16"/>
      <c r="AK3203" s="16"/>
      <c r="AL3203" s="17"/>
    </row>
    <row r="3204" spans="9:38" x14ac:dyDescent="0.4">
      <c r="I3204" s="11"/>
      <c r="J3204" s="9"/>
      <c r="K3204" s="9"/>
      <c r="O3204" s="11"/>
      <c r="P3204" s="9"/>
      <c r="Q3204" s="9"/>
      <c r="R3204" s="9"/>
      <c r="S3204" s="9"/>
      <c r="T3204" s="31"/>
      <c r="W3204" s="16"/>
      <c r="X3204" s="9"/>
      <c r="Y3204" s="9"/>
      <c r="AA3204" s="16"/>
      <c r="AK3204" s="16"/>
      <c r="AL3204" s="17"/>
    </row>
    <row r="3205" spans="9:38" x14ac:dyDescent="0.4">
      <c r="I3205" s="11"/>
      <c r="J3205" s="9"/>
      <c r="K3205" s="9"/>
      <c r="O3205" s="11"/>
      <c r="P3205" s="9"/>
      <c r="Q3205" s="9"/>
      <c r="R3205" s="9"/>
      <c r="S3205" s="9"/>
      <c r="T3205" s="31"/>
      <c r="W3205" s="16"/>
      <c r="X3205" s="9"/>
      <c r="Y3205" s="9"/>
      <c r="AA3205" s="16"/>
      <c r="AK3205" s="16"/>
      <c r="AL3205" s="17"/>
    </row>
    <row r="3206" spans="9:38" x14ac:dyDescent="0.4">
      <c r="I3206" s="11"/>
      <c r="J3206" s="9"/>
      <c r="K3206" s="9"/>
      <c r="O3206" s="11"/>
      <c r="P3206" s="9"/>
      <c r="Q3206" s="9"/>
      <c r="R3206" s="9"/>
      <c r="S3206" s="9"/>
      <c r="T3206" s="31"/>
      <c r="W3206" s="16"/>
      <c r="X3206" s="9"/>
      <c r="Y3206" s="9"/>
      <c r="AA3206" s="16"/>
      <c r="AK3206" s="16"/>
      <c r="AL3206" s="17"/>
    </row>
    <row r="3207" spans="9:38" x14ac:dyDescent="0.4">
      <c r="I3207" s="11"/>
      <c r="J3207" s="9"/>
      <c r="K3207" s="9"/>
      <c r="O3207" s="11"/>
      <c r="P3207" s="9"/>
      <c r="Q3207" s="9"/>
      <c r="R3207" s="9"/>
      <c r="S3207" s="9"/>
      <c r="T3207" s="31"/>
      <c r="W3207" s="16"/>
      <c r="X3207" s="9"/>
      <c r="Y3207" s="9"/>
      <c r="AA3207" s="16"/>
      <c r="AK3207" s="16"/>
      <c r="AL3207" s="17"/>
    </row>
    <row r="3208" spans="9:38" x14ac:dyDescent="0.4">
      <c r="I3208" s="11"/>
      <c r="J3208" s="9"/>
      <c r="K3208" s="9"/>
      <c r="O3208" s="11"/>
      <c r="P3208" s="9"/>
      <c r="Q3208" s="9"/>
      <c r="R3208" s="9"/>
      <c r="S3208" s="9"/>
      <c r="T3208" s="31"/>
      <c r="W3208" s="16"/>
      <c r="X3208" s="9"/>
      <c r="Y3208" s="9"/>
      <c r="AA3208" s="16"/>
      <c r="AK3208" s="16"/>
      <c r="AL3208" s="17"/>
    </row>
    <row r="3209" spans="9:38" x14ac:dyDescent="0.4">
      <c r="I3209" s="11"/>
      <c r="J3209" s="9"/>
      <c r="K3209" s="9"/>
      <c r="O3209" s="11"/>
      <c r="P3209" s="9"/>
      <c r="Q3209" s="9"/>
      <c r="R3209" s="9"/>
      <c r="S3209" s="9"/>
      <c r="T3209" s="31"/>
      <c r="W3209" s="16"/>
      <c r="X3209" s="9"/>
      <c r="Y3209" s="9"/>
      <c r="AA3209" s="16"/>
      <c r="AK3209" s="16"/>
      <c r="AL3209" s="17"/>
    </row>
    <row r="3210" spans="9:38" x14ac:dyDescent="0.4">
      <c r="I3210" s="11"/>
      <c r="J3210" s="9"/>
      <c r="K3210" s="9"/>
      <c r="O3210" s="11"/>
      <c r="P3210" s="9"/>
      <c r="Q3210" s="9"/>
      <c r="R3210" s="9"/>
      <c r="S3210" s="9"/>
      <c r="T3210" s="31"/>
      <c r="W3210" s="16"/>
      <c r="X3210" s="9"/>
      <c r="Y3210" s="9"/>
      <c r="AA3210" s="16"/>
      <c r="AK3210" s="16"/>
      <c r="AL3210" s="17"/>
    </row>
    <row r="3211" spans="9:38" x14ac:dyDescent="0.4">
      <c r="I3211" s="11"/>
      <c r="J3211" s="9"/>
      <c r="K3211" s="9"/>
      <c r="O3211" s="11"/>
      <c r="P3211" s="9"/>
      <c r="Q3211" s="9"/>
      <c r="R3211" s="9"/>
      <c r="S3211" s="9"/>
      <c r="T3211" s="31"/>
      <c r="W3211" s="16"/>
      <c r="X3211" s="9"/>
      <c r="Y3211" s="9"/>
      <c r="AA3211" s="16"/>
      <c r="AK3211" s="16"/>
      <c r="AL3211" s="17"/>
    </row>
    <row r="3212" spans="9:38" x14ac:dyDescent="0.4">
      <c r="I3212" s="11"/>
      <c r="J3212" s="9"/>
      <c r="K3212" s="9"/>
      <c r="O3212" s="11"/>
      <c r="P3212" s="9"/>
      <c r="Q3212" s="9"/>
      <c r="R3212" s="9"/>
      <c r="S3212" s="9"/>
      <c r="T3212" s="31"/>
      <c r="W3212" s="16"/>
      <c r="X3212" s="9"/>
      <c r="Y3212" s="9"/>
      <c r="AA3212" s="16"/>
      <c r="AK3212" s="16"/>
      <c r="AL3212" s="17"/>
    </row>
    <row r="3213" spans="9:38" x14ac:dyDescent="0.4">
      <c r="I3213" s="11"/>
      <c r="J3213" s="9"/>
      <c r="K3213" s="9"/>
      <c r="O3213" s="11"/>
      <c r="P3213" s="9"/>
      <c r="Q3213" s="9"/>
      <c r="R3213" s="9"/>
      <c r="S3213" s="9"/>
      <c r="T3213" s="31"/>
      <c r="W3213" s="16"/>
      <c r="X3213" s="9"/>
      <c r="Y3213" s="9"/>
      <c r="AA3213" s="16"/>
      <c r="AK3213" s="16"/>
      <c r="AL3213" s="17"/>
    </row>
    <row r="3214" spans="9:38" x14ac:dyDescent="0.4">
      <c r="I3214" s="11"/>
      <c r="J3214" s="9"/>
      <c r="K3214" s="9"/>
      <c r="O3214" s="11"/>
      <c r="P3214" s="9"/>
      <c r="Q3214" s="9"/>
      <c r="R3214" s="9"/>
      <c r="S3214" s="9"/>
      <c r="T3214" s="31"/>
      <c r="W3214" s="16"/>
      <c r="X3214" s="9"/>
      <c r="Y3214" s="9"/>
      <c r="AA3214" s="16"/>
      <c r="AK3214" s="16"/>
      <c r="AL3214" s="17"/>
    </row>
    <row r="3215" spans="9:38" x14ac:dyDescent="0.4">
      <c r="I3215" s="11"/>
      <c r="J3215" s="9"/>
      <c r="K3215" s="9"/>
      <c r="O3215" s="11"/>
      <c r="P3215" s="9"/>
      <c r="Q3215" s="9"/>
      <c r="R3215" s="9"/>
      <c r="S3215" s="9"/>
      <c r="T3215" s="31"/>
      <c r="W3215" s="16"/>
      <c r="X3215" s="9"/>
      <c r="Y3215" s="9"/>
      <c r="AA3215" s="16"/>
      <c r="AK3215" s="16"/>
      <c r="AL3215" s="17"/>
    </row>
    <row r="3216" spans="9:38" x14ac:dyDescent="0.4">
      <c r="I3216" s="11"/>
      <c r="J3216" s="9"/>
      <c r="K3216" s="9"/>
      <c r="O3216" s="11"/>
      <c r="P3216" s="9"/>
      <c r="Q3216" s="9"/>
      <c r="R3216" s="9"/>
      <c r="S3216" s="9"/>
      <c r="T3216" s="31"/>
      <c r="W3216" s="16"/>
      <c r="X3216" s="9"/>
      <c r="Y3216" s="9"/>
      <c r="AA3216" s="16"/>
      <c r="AK3216" s="16"/>
      <c r="AL3216" s="17"/>
    </row>
    <row r="3217" spans="9:38" x14ac:dyDescent="0.4">
      <c r="I3217" s="11"/>
      <c r="J3217" s="9"/>
      <c r="K3217" s="9"/>
      <c r="O3217" s="11"/>
      <c r="P3217" s="9"/>
      <c r="Q3217" s="9"/>
      <c r="R3217" s="9"/>
      <c r="S3217" s="9"/>
      <c r="T3217" s="31"/>
      <c r="W3217" s="16"/>
      <c r="X3217" s="9"/>
      <c r="Y3217" s="9"/>
      <c r="AA3217" s="16"/>
      <c r="AK3217" s="16"/>
      <c r="AL3217" s="17"/>
    </row>
    <row r="3218" spans="9:38" x14ac:dyDescent="0.4">
      <c r="I3218" s="11"/>
      <c r="J3218" s="9"/>
      <c r="K3218" s="9"/>
      <c r="O3218" s="11"/>
      <c r="P3218" s="9"/>
      <c r="Q3218" s="9"/>
      <c r="R3218" s="9"/>
      <c r="S3218" s="9"/>
      <c r="T3218" s="31"/>
      <c r="W3218" s="16"/>
      <c r="X3218" s="9"/>
      <c r="Y3218" s="9"/>
      <c r="AA3218" s="16"/>
      <c r="AK3218" s="16"/>
      <c r="AL3218" s="17"/>
    </row>
    <row r="3219" spans="9:38" x14ac:dyDescent="0.4">
      <c r="I3219" s="11"/>
      <c r="J3219" s="9"/>
      <c r="K3219" s="9"/>
      <c r="O3219" s="11"/>
      <c r="P3219" s="9"/>
      <c r="Q3219" s="9"/>
      <c r="R3219" s="9"/>
      <c r="S3219" s="9"/>
      <c r="T3219" s="31"/>
      <c r="W3219" s="16"/>
      <c r="X3219" s="9"/>
      <c r="Y3219" s="9"/>
      <c r="AA3219" s="16"/>
      <c r="AK3219" s="16"/>
      <c r="AL3219" s="17"/>
    </row>
    <row r="3220" spans="9:38" x14ac:dyDescent="0.4">
      <c r="I3220" s="11"/>
      <c r="J3220" s="9"/>
      <c r="K3220" s="9"/>
      <c r="O3220" s="11"/>
      <c r="P3220" s="9"/>
      <c r="Q3220" s="9"/>
      <c r="R3220" s="9"/>
      <c r="S3220" s="9"/>
      <c r="T3220" s="31"/>
      <c r="W3220" s="16"/>
      <c r="X3220" s="9"/>
      <c r="Y3220" s="9"/>
      <c r="AA3220" s="16"/>
      <c r="AK3220" s="16"/>
      <c r="AL3220" s="17"/>
    </row>
    <row r="3221" spans="9:38" x14ac:dyDescent="0.4">
      <c r="I3221" s="11"/>
      <c r="J3221" s="9"/>
      <c r="K3221" s="9"/>
      <c r="O3221" s="11"/>
      <c r="P3221" s="9"/>
      <c r="Q3221" s="9"/>
      <c r="R3221" s="9"/>
      <c r="S3221" s="9"/>
      <c r="T3221" s="31"/>
      <c r="W3221" s="16"/>
      <c r="X3221" s="9"/>
      <c r="Y3221" s="9"/>
      <c r="AA3221" s="16"/>
      <c r="AK3221" s="16"/>
      <c r="AL3221" s="17"/>
    </row>
    <row r="3222" spans="9:38" x14ac:dyDescent="0.4">
      <c r="I3222" s="11"/>
      <c r="J3222" s="9"/>
      <c r="K3222" s="9"/>
      <c r="O3222" s="11"/>
      <c r="P3222" s="9"/>
      <c r="Q3222" s="9"/>
      <c r="R3222" s="9"/>
      <c r="S3222" s="9"/>
      <c r="T3222" s="31"/>
      <c r="W3222" s="16"/>
      <c r="X3222" s="9"/>
      <c r="Y3222" s="9"/>
      <c r="AA3222" s="16"/>
      <c r="AK3222" s="16"/>
      <c r="AL3222" s="17"/>
    </row>
    <row r="3223" spans="9:38" x14ac:dyDescent="0.4">
      <c r="I3223" s="11"/>
      <c r="J3223" s="9"/>
      <c r="K3223" s="9"/>
      <c r="O3223" s="11"/>
      <c r="P3223" s="9"/>
      <c r="Q3223" s="9"/>
      <c r="R3223" s="9"/>
      <c r="S3223" s="9"/>
      <c r="T3223" s="31"/>
      <c r="W3223" s="16"/>
      <c r="X3223" s="9"/>
      <c r="Y3223" s="9"/>
      <c r="AA3223" s="16"/>
      <c r="AK3223" s="16"/>
      <c r="AL3223" s="17"/>
    </row>
    <row r="3224" spans="9:38" x14ac:dyDescent="0.4">
      <c r="I3224" s="11"/>
      <c r="J3224" s="9"/>
      <c r="K3224" s="9"/>
      <c r="O3224" s="11"/>
      <c r="P3224" s="9"/>
      <c r="Q3224" s="9"/>
      <c r="R3224" s="9"/>
      <c r="S3224" s="9"/>
      <c r="T3224" s="31"/>
      <c r="W3224" s="16"/>
      <c r="X3224" s="9"/>
      <c r="Y3224" s="9"/>
      <c r="AA3224" s="16"/>
      <c r="AK3224" s="16"/>
      <c r="AL3224" s="17"/>
    </row>
    <row r="3225" spans="9:38" x14ac:dyDescent="0.4">
      <c r="I3225" s="11"/>
      <c r="J3225" s="9"/>
      <c r="K3225" s="9"/>
      <c r="O3225" s="11"/>
      <c r="P3225" s="9"/>
      <c r="Q3225" s="9"/>
      <c r="R3225" s="9"/>
      <c r="S3225" s="9"/>
      <c r="T3225" s="31"/>
      <c r="W3225" s="16"/>
      <c r="X3225" s="9"/>
      <c r="Y3225" s="9"/>
      <c r="AA3225" s="16"/>
      <c r="AK3225" s="16"/>
      <c r="AL3225" s="17"/>
    </row>
    <row r="3226" spans="9:38" x14ac:dyDescent="0.4">
      <c r="I3226" s="11"/>
      <c r="J3226" s="9"/>
      <c r="K3226" s="9"/>
      <c r="O3226" s="11"/>
      <c r="P3226" s="9"/>
      <c r="Q3226" s="9"/>
      <c r="R3226" s="9"/>
      <c r="S3226" s="9"/>
      <c r="T3226" s="31"/>
      <c r="W3226" s="16"/>
      <c r="X3226" s="9"/>
      <c r="Y3226" s="9"/>
      <c r="AA3226" s="16"/>
      <c r="AK3226" s="16"/>
      <c r="AL3226" s="17"/>
    </row>
    <row r="3227" spans="9:38" x14ac:dyDescent="0.4">
      <c r="I3227" s="11"/>
      <c r="J3227" s="9"/>
      <c r="K3227" s="9"/>
      <c r="O3227" s="11"/>
      <c r="P3227" s="9"/>
      <c r="Q3227" s="9"/>
      <c r="R3227" s="9"/>
      <c r="S3227" s="9"/>
      <c r="T3227" s="31"/>
      <c r="W3227" s="16"/>
      <c r="X3227" s="9"/>
      <c r="Y3227" s="9"/>
      <c r="AA3227" s="16"/>
      <c r="AK3227" s="16"/>
      <c r="AL3227" s="17"/>
    </row>
    <row r="3228" spans="9:38" x14ac:dyDescent="0.4">
      <c r="I3228" s="11"/>
      <c r="J3228" s="9"/>
      <c r="K3228" s="9"/>
      <c r="O3228" s="11"/>
      <c r="P3228" s="9"/>
      <c r="Q3228" s="9"/>
      <c r="R3228" s="9"/>
      <c r="S3228" s="9"/>
      <c r="T3228" s="31"/>
      <c r="W3228" s="16"/>
      <c r="X3228" s="9"/>
      <c r="Y3228" s="9"/>
      <c r="AA3228" s="16"/>
      <c r="AK3228" s="16"/>
      <c r="AL3228" s="17"/>
    </row>
    <row r="3229" spans="9:38" x14ac:dyDescent="0.4">
      <c r="I3229" s="11"/>
      <c r="J3229" s="9"/>
      <c r="K3229" s="9"/>
      <c r="O3229" s="11"/>
      <c r="P3229" s="9"/>
      <c r="Q3229" s="9"/>
      <c r="R3229" s="9"/>
      <c r="S3229" s="9"/>
      <c r="T3229" s="31"/>
      <c r="W3229" s="16"/>
      <c r="X3229" s="9"/>
      <c r="Y3229" s="9"/>
      <c r="AA3229" s="16"/>
      <c r="AK3229" s="16"/>
      <c r="AL3229" s="17"/>
    </row>
    <row r="3230" spans="9:38" x14ac:dyDescent="0.4">
      <c r="I3230" s="11"/>
      <c r="J3230" s="9"/>
      <c r="K3230" s="9"/>
      <c r="O3230" s="11"/>
      <c r="P3230" s="9"/>
      <c r="Q3230" s="9"/>
      <c r="R3230" s="9"/>
      <c r="S3230" s="9"/>
      <c r="T3230" s="31"/>
      <c r="W3230" s="16"/>
      <c r="X3230" s="9"/>
      <c r="Y3230" s="9"/>
      <c r="AA3230" s="16"/>
      <c r="AK3230" s="16"/>
      <c r="AL3230" s="17"/>
    </row>
    <row r="3231" spans="9:38" x14ac:dyDescent="0.4">
      <c r="I3231" s="11"/>
      <c r="J3231" s="9"/>
      <c r="K3231" s="9"/>
      <c r="O3231" s="11"/>
      <c r="P3231" s="9"/>
      <c r="Q3231" s="9"/>
      <c r="R3231" s="9"/>
      <c r="S3231" s="9"/>
      <c r="T3231" s="31"/>
      <c r="W3231" s="16"/>
      <c r="X3231" s="9"/>
      <c r="Y3231" s="9"/>
      <c r="AA3231" s="16"/>
      <c r="AK3231" s="16"/>
      <c r="AL3231" s="17"/>
    </row>
    <row r="3232" spans="9:38" x14ac:dyDescent="0.4">
      <c r="I3232" s="11"/>
      <c r="J3232" s="9"/>
      <c r="K3232" s="9"/>
      <c r="O3232" s="11"/>
      <c r="P3232" s="9"/>
      <c r="Q3232" s="9"/>
      <c r="R3232" s="9"/>
      <c r="S3232" s="9"/>
      <c r="T3232" s="31"/>
      <c r="W3232" s="16"/>
      <c r="X3232" s="9"/>
      <c r="Y3232" s="9"/>
      <c r="AA3232" s="16"/>
      <c r="AK3232" s="16"/>
      <c r="AL3232" s="17"/>
    </row>
    <row r="3233" spans="9:38" x14ac:dyDescent="0.4">
      <c r="I3233" s="11"/>
      <c r="J3233" s="9"/>
      <c r="K3233" s="9"/>
      <c r="O3233" s="11"/>
      <c r="P3233" s="9"/>
      <c r="Q3233" s="9"/>
      <c r="R3233" s="9"/>
      <c r="S3233" s="9"/>
      <c r="T3233" s="31"/>
      <c r="W3233" s="16"/>
      <c r="X3233" s="9"/>
      <c r="Y3233" s="9"/>
      <c r="AA3233" s="16"/>
      <c r="AK3233" s="16"/>
      <c r="AL3233" s="17"/>
    </row>
    <row r="3234" spans="9:38" x14ac:dyDescent="0.4">
      <c r="I3234" s="11"/>
      <c r="J3234" s="9"/>
      <c r="K3234" s="9"/>
      <c r="O3234" s="11"/>
      <c r="P3234" s="9"/>
      <c r="Q3234" s="9"/>
      <c r="R3234" s="9"/>
      <c r="S3234" s="9"/>
      <c r="T3234" s="31"/>
      <c r="W3234" s="16"/>
      <c r="X3234" s="9"/>
      <c r="Y3234" s="9"/>
      <c r="AA3234" s="16"/>
      <c r="AK3234" s="16"/>
      <c r="AL3234" s="17"/>
    </row>
    <row r="3235" spans="9:38" x14ac:dyDescent="0.4">
      <c r="I3235" s="11"/>
      <c r="J3235" s="9"/>
      <c r="K3235" s="9"/>
      <c r="O3235" s="11"/>
      <c r="P3235" s="9"/>
      <c r="Q3235" s="9"/>
      <c r="R3235" s="9"/>
      <c r="S3235" s="9"/>
      <c r="T3235" s="31"/>
      <c r="W3235" s="16"/>
      <c r="X3235" s="9"/>
      <c r="Y3235" s="9"/>
      <c r="AA3235" s="16"/>
      <c r="AK3235" s="16"/>
      <c r="AL3235" s="17"/>
    </row>
    <row r="3236" spans="9:38" x14ac:dyDescent="0.4">
      <c r="I3236" s="11"/>
      <c r="J3236" s="9"/>
      <c r="K3236" s="9"/>
      <c r="O3236" s="11"/>
      <c r="P3236" s="9"/>
      <c r="Q3236" s="9"/>
      <c r="R3236" s="9"/>
      <c r="S3236" s="9"/>
      <c r="T3236" s="31"/>
      <c r="W3236" s="16"/>
      <c r="X3236" s="9"/>
      <c r="Y3236" s="9"/>
      <c r="AA3236" s="16"/>
      <c r="AK3236" s="16"/>
      <c r="AL3236" s="17"/>
    </row>
    <row r="3237" spans="9:38" x14ac:dyDescent="0.4">
      <c r="I3237" s="11"/>
      <c r="J3237" s="9"/>
      <c r="K3237" s="9"/>
      <c r="O3237" s="11"/>
      <c r="P3237" s="9"/>
      <c r="Q3237" s="9"/>
      <c r="R3237" s="9"/>
      <c r="S3237" s="9"/>
      <c r="T3237" s="31"/>
      <c r="W3237" s="16"/>
      <c r="X3237" s="9"/>
      <c r="Y3237" s="9"/>
      <c r="AA3237" s="16"/>
      <c r="AK3237" s="16"/>
      <c r="AL3237" s="17"/>
    </row>
    <row r="3238" spans="9:38" x14ac:dyDescent="0.4">
      <c r="I3238" s="11"/>
      <c r="J3238" s="9"/>
      <c r="K3238" s="9"/>
      <c r="O3238" s="11"/>
      <c r="P3238" s="9"/>
      <c r="Q3238" s="9"/>
      <c r="R3238" s="9"/>
      <c r="S3238" s="9"/>
      <c r="T3238" s="31"/>
      <c r="W3238" s="16"/>
      <c r="X3238" s="9"/>
      <c r="Y3238" s="9"/>
      <c r="AA3238" s="16"/>
      <c r="AK3238" s="16"/>
      <c r="AL3238" s="17"/>
    </row>
    <row r="3239" spans="9:38" x14ac:dyDescent="0.4">
      <c r="I3239" s="11"/>
      <c r="J3239" s="9"/>
      <c r="K3239" s="9"/>
      <c r="O3239" s="11"/>
      <c r="P3239" s="9"/>
      <c r="Q3239" s="9"/>
      <c r="R3239" s="9"/>
      <c r="S3239" s="9"/>
      <c r="T3239" s="31"/>
      <c r="W3239" s="16"/>
      <c r="X3239" s="9"/>
      <c r="Y3239" s="9"/>
      <c r="AA3239" s="16"/>
      <c r="AK3239" s="16"/>
      <c r="AL3239" s="17"/>
    </row>
    <row r="3240" spans="9:38" x14ac:dyDescent="0.4">
      <c r="I3240" s="11"/>
      <c r="J3240" s="9"/>
      <c r="K3240" s="9"/>
      <c r="O3240" s="11"/>
      <c r="P3240" s="9"/>
      <c r="Q3240" s="9"/>
      <c r="R3240" s="9"/>
      <c r="S3240" s="9"/>
      <c r="T3240" s="31"/>
      <c r="W3240" s="16"/>
      <c r="X3240" s="9"/>
      <c r="Y3240" s="9"/>
      <c r="AA3240" s="16"/>
      <c r="AK3240" s="16"/>
      <c r="AL3240" s="17"/>
    </row>
    <row r="3241" spans="9:38" x14ac:dyDescent="0.4">
      <c r="I3241" s="11"/>
      <c r="J3241" s="9"/>
      <c r="K3241" s="9"/>
      <c r="O3241" s="11"/>
      <c r="P3241" s="9"/>
      <c r="Q3241" s="9"/>
      <c r="R3241" s="9"/>
      <c r="S3241" s="9"/>
      <c r="T3241" s="31"/>
      <c r="W3241" s="16"/>
      <c r="X3241" s="9"/>
      <c r="Y3241" s="9"/>
      <c r="AA3241" s="16"/>
      <c r="AK3241" s="16"/>
      <c r="AL3241" s="17"/>
    </row>
    <row r="3242" spans="9:38" x14ac:dyDescent="0.4">
      <c r="I3242" s="11"/>
      <c r="J3242" s="9"/>
      <c r="K3242" s="9"/>
      <c r="O3242" s="11"/>
      <c r="P3242" s="9"/>
      <c r="Q3242" s="9"/>
      <c r="R3242" s="9"/>
      <c r="S3242" s="9"/>
      <c r="T3242" s="31"/>
      <c r="W3242" s="16"/>
      <c r="X3242" s="9"/>
      <c r="Y3242" s="9"/>
      <c r="AA3242" s="16"/>
      <c r="AK3242" s="16"/>
      <c r="AL3242" s="17"/>
    </row>
    <row r="3243" spans="9:38" x14ac:dyDescent="0.4">
      <c r="I3243" s="11"/>
      <c r="J3243" s="9"/>
      <c r="K3243" s="9"/>
      <c r="O3243" s="11"/>
      <c r="P3243" s="9"/>
      <c r="Q3243" s="9"/>
      <c r="R3243" s="9"/>
      <c r="S3243" s="9"/>
      <c r="T3243" s="31"/>
      <c r="W3243" s="16"/>
      <c r="X3243" s="9"/>
      <c r="Y3243" s="9"/>
      <c r="AA3243" s="16"/>
      <c r="AK3243" s="16"/>
      <c r="AL3243" s="17"/>
    </row>
    <row r="3244" spans="9:38" x14ac:dyDescent="0.4">
      <c r="I3244" s="11"/>
      <c r="J3244" s="9"/>
      <c r="K3244" s="9"/>
      <c r="O3244" s="11"/>
      <c r="P3244" s="9"/>
      <c r="Q3244" s="9"/>
      <c r="R3244" s="9"/>
      <c r="S3244" s="9"/>
      <c r="T3244" s="31"/>
      <c r="W3244" s="16"/>
      <c r="X3244" s="9"/>
      <c r="Y3244" s="9"/>
      <c r="AA3244" s="16"/>
      <c r="AK3244" s="16"/>
      <c r="AL3244" s="17"/>
    </row>
    <row r="3245" spans="9:38" x14ac:dyDescent="0.4">
      <c r="I3245" s="11"/>
      <c r="J3245" s="9"/>
      <c r="K3245" s="9"/>
      <c r="O3245" s="11"/>
      <c r="P3245" s="9"/>
      <c r="Q3245" s="9"/>
      <c r="R3245" s="9"/>
      <c r="S3245" s="9"/>
      <c r="T3245" s="31"/>
      <c r="W3245" s="16"/>
      <c r="X3245" s="9"/>
      <c r="Y3245" s="9"/>
      <c r="AA3245" s="16"/>
      <c r="AK3245" s="16"/>
      <c r="AL3245" s="17"/>
    </row>
    <row r="3246" spans="9:38" x14ac:dyDescent="0.4">
      <c r="I3246" s="11"/>
      <c r="J3246" s="9"/>
      <c r="K3246" s="9"/>
      <c r="O3246" s="11"/>
      <c r="P3246" s="9"/>
      <c r="Q3246" s="9"/>
      <c r="R3246" s="9"/>
      <c r="S3246" s="9"/>
      <c r="T3246" s="31"/>
      <c r="W3246" s="16"/>
      <c r="X3246" s="9"/>
      <c r="Y3246" s="9"/>
      <c r="AA3246" s="16"/>
      <c r="AK3246" s="16"/>
      <c r="AL3246" s="17"/>
    </row>
    <row r="3247" spans="9:38" x14ac:dyDescent="0.4">
      <c r="I3247" s="11"/>
      <c r="J3247" s="9"/>
      <c r="K3247" s="9"/>
      <c r="O3247" s="11"/>
      <c r="P3247" s="9"/>
      <c r="Q3247" s="9"/>
      <c r="R3247" s="9"/>
      <c r="S3247" s="9"/>
      <c r="T3247" s="31"/>
      <c r="W3247" s="16"/>
      <c r="X3247" s="9"/>
      <c r="Y3247" s="9"/>
      <c r="AA3247" s="16"/>
      <c r="AK3247" s="16"/>
      <c r="AL3247" s="17"/>
    </row>
    <row r="3248" spans="9:38" x14ac:dyDescent="0.4">
      <c r="I3248" s="11"/>
      <c r="J3248" s="9"/>
      <c r="K3248" s="9"/>
      <c r="O3248" s="11"/>
      <c r="P3248" s="9"/>
      <c r="Q3248" s="9"/>
      <c r="R3248" s="9"/>
      <c r="S3248" s="9"/>
      <c r="T3248" s="31"/>
      <c r="W3248" s="16"/>
      <c r="X3248" s="9"/>
      <c r="Y3248" s="9"/>
      <c r="AA3248" s="16"/>
      <c r="AK3248" s="16"/>
      <c r="AL3248" s="17"/>
    </row>
    <row r="3249" spans="9:38" x14ac:dyDescent="0.4">
      <c r="I3249" s="11"/>
      <c r="J3249" s="9"/>
      <c r="K3249" s="9"/>
      <c r="O3249" s="11"/>
      <c r="P3249" s="9"/>
      <c r="Q3249" s="9"/>
      <c r="R3249" s="9"/>
      <c r="S3249" s="9"/>
      <c r="T3249" s="31"/>
      <c r="W3249" s="16"/>
      <c r="X3249" s="9"/>
      <c r="Y3249" s="9"/>
      <c r="AA3249" s="16"/>
      <c r="AK3249" s="16"/>
      <c r="AL3249" s="17"/>
    </row>
    <row r="3250" spans="9:38" x14ac:dyDescent="0.4">
      <c r="I3250" s="11"/>
      <c r="J3250" s="9"/>
      <c r="K3250" s="9"/>
      <c r="O3250" s="11"/>
      <c r="P3250" s="9"/>
      <c r="Q3250" s="9"/>
      <c r="R3250" s="9"/>
      <c r="S3250" s="9"/>
      <c r="T3250" s="31"/>
      <c r="W3250" s="16"/>
      <c r="X3250" s="9"/>
      <c r="Y3250" s="9"/>
      <c r="AA3250" s="16"/>
      <c r="AK3250" s="16"/>
      <c r="AL3250" s="17"/>
    </row>
    <row r="3251" spans="9:38" x14ac:dyDescent="0.4">
      <c r="I3251" s="11"/>
      <c r="J3251" s="9"/>
      <c r="K3251" s="9"/>
      <c r="O3251" s="11"/>
      <c r="P3251" s="9"/>
      <c r="Q3251" s="9"/>
      <c r="R3251" s="9"/>
      <c r="S3251" s="9"/>
      <c r="T3251" s="31"/>
      <c r="W3251" s="16"/>
      <c r="X3251" s="9"/>
      <c r="Y3251" s="9"/>
      <c r="AA3251" s="16"/>
      <c r="AK3251" s="16"/>
      <c r="AL3251" s="17"/>
    </row>
    <row r="3252" spans="9:38" x14ac:dyDescent="0.4">
      <c r="I3252" s="11"/>
      <c r="J3252" s="9"/>
      <c r="K3252" s="9"/>
      <c r="O3252" s="11"/>
      <c r="P3252" s="9"/>
      <c r="Q3252" s="9"/>
      <c r="R3252" s="9"/>
      <c r="S3252" s="9"/>
      <c r="T3252" s="31"/>
      <c r="W3252" s="16"/>
      <c r="X3252" s="9"/>
      <c r="Y3252" s="9"/>
      <c r="AA3252" s="16"/>
      <c r="AK3252" s="16"/>
      <c r="AL3252" s="17"/>
    </row>
    <row r="3253" spans="9:38" x14ac:dyDescent="0.4">
      <c r="I3253" s="11"/>
      <c r="J3253" s="9"/>
      <c r="K3253" s="9"/>
      <c r="O3253" s="11"/>
      <c r="P3253" s="9"/>
      <c r="Q3253" s="9"/>
      <c r="R3253" s="9"/>
      <c r="S3253" s="9"/>
      <c r="T3253" s="31"/>
      <c r="W3253" s="16"/>
      <c r="X3253" s="9"/>
      <c r="Y3253" s="9"/>
      <c r="AA3253" s="16"/>
      <c r="AK3253" s="16"/>
      <c r="AL3253" s="17"/>
    </row>
    <row r="3254" spans="9:38" x14ac:dyDescent="0.4">
      <c r="I3254" s="11"/>
      <c r="J3254" s="9"/>
      <c r="K3254" s="9"/>
      <c r="O3254" s="11"/>
      <c r="P3254" s="9"/>
      <c r="Q3254" s="9"/>
      <c r="R3254" s="9"/>
      <c r="S3254" s="9"/>
      <c r="T3254" s="31"/>
      <c r="W3254" s="16"/>
      <c r="X3254" s="9"/>
      <c r="Y3254" s="9"/>
      <c r="AA3254" s="16"/>
      <c r="AK3254" s="16"/>
      <c r="AL3254" s="17"/>
    </row>
    <row r="3255" spans="9:38" x14ac:dyDescent="0.4">
      <c r="I3255" s="11"/>
      <c r="J3255" s="9"/>
      <c r="K3255" s="9"/>
      <c r="O3255" s="11"/>
      <c r="P3255" s="9"/>
      <c r="Q3255" s="9"/>
      <c r="R3255" s="9"/>
      <c r="S3255" s="9"/>
      <c r="T3255" s="31"/>
      <c r="W3255" s="16"/>
      <c r="X3255" s="9"/>
      <c r="Y3255" s="9"/>
      <c r="AA3255" s="16"/>
      <c r="AK3255" s="16"/>
      <c r="AL3255" s="17"/>
    </row>
    <row r="3256" spans="9:38" x14ac:dyDescent="0.4">
      <c r="I3256" s="11"/>
      <c r="J3256" s="9"/>
      <c r="K3256" s="9"/>
      <c r="O3256" s="11"/>
      <c r="P3256" s="9"/>
      <c r="Q3256" s="9"/>
      <c r="R3256" s="9"/>
      <c r="S3256" s="9"/>
      <c r="T3256" s="31"/>
      <c r="W3256" s="16"/>
      <c r="X3256" s="9"/>
      <c r="Y3256" s="9"/>
      <c r="AA3256" s="16"/>
      <c r="AK3256" s="16"/>
      <c r="AL3256" s="17"/>
    </row>
    <row r="3257" spans="9:38" x14ac:dyDescent="0.4">
      <c r="I3257" s="11"/>
      <c r="J3257" s="9"/>
      <c r="K3257" s="9"/>
      <c r="O3257" s="11"/>
      <c r="P3257" s="9"/>
      <c r="Q3257" s="9"/>
      <c r="R3257" s="9"/>
      <c r="S3257" s="9"/>
      <c r="T3257" s="31"/>
      <c r="W3257" s="16"/>
      <c r="X3257" s="9"/>
      <c r="Y3257" s="9"/>
      <c r="AA3257" s="16"/>
      <c r="AK3257" s="16"/>
      <c r="AL3257" s="17"/>
    </row>
    <row r="3258" spans="9:38" x14ac:dyDescent="0.4">
      <c r="I3258" s="11"/>
      <c r="J3258" s="9"/>
      <c r="K3258" s="9"/>
      <c r="O3258" s="11"/>
      <c r="P3258" s="9"/>
      <c r="Q3258" s="9"/>
      <c r="R3258" s="9"/>
      <c r="S3258" s="9"/>
      <c r="T3258" s="31"/>
      <c r="W3258" s="16"/>
      <c r="X3258" s="9"/>
      <c r="Y3258" s="9"/>
      <c r="AA3258" s="16"/>
      <c r="AK3258" s="16"/>
      <c r="AL3258" s="17"/>
    </row>
    <row r="3259" spans="9:38" x14ac:dyDescent="0.4">
      <c r="I3259" s="11"/>
      <c r="J3259" s="9"/>
      <c r="K3259" s="9"/>
      <c r="O3259" s="11"/>
      <c r="P3259" s="9"/>
      <c r="Q3259" s="9"/>
      <c r="R3259" s="9"/>
      <c r="S3259" s="9"/>
      <c r="T3259" s="31"/>
      <c r="W3259" s="16"/>
      <c r="X3259" s="9"/>
      <c r="Y3259" s="9"/>
      <c r="AA3259" s="16"/>
      <c r="AK3259" s="16"/>
      <c r="AL3259" s="17"/>
    </row>
    <row r="3260" spans="9:38" x14ac:dyDescent="0.4">
      <c r="I3260" s="11"/>
      <c r="J3260" s="9"/>
      <c r="K3260" s="9"/>
      <c r="O3260" s="11"/>
      <c r="P3260" s="9"/>
      <c r="Q3260" s="9"/>
      <c r="R3260" s="9"/>
      <c r="S3260" s="9"/>
      <c r="T3260" s="31"/>
      <c r="W3260" s="16"/>
      <c r="X3260" s="9"/>
      <c r="Y3260" s="9"/>
      <c r="AA3260" s="16"/>
      <c r="AK3260" s="16"/>
      <c r="AL3260" s="17"/>
    </row>
    <row r="3261" spans="9:38" x14ac:dyDescent="0.4">
      <c r="I3261" s="11"/>
      <c r="J3261" s="9"/>
      <c r="K3261" s="9"/>
      <c r="O3261" s="11"/>
      <c r="P3261" s="9"/>
      <c r="Q3261" s="9"/>
      <c r="R3261" s="9"/>
      <c r="S3261" s="9"/>
      <c r="T3261" s="31"/>
      <c r="W3261" s="16"/>
      <c r="X3261" s="9"/>
      <c r="Y3261" s="9"/>
      <c r="AA3261" s="16"/>
      <c r="AK3261" s="16"/>
      <c r="AL3261" s="17"/>
    </row>
    <row r="3262" spans="9:38" x14ac:dyDescent="0.4">
      <c r="I3262" s="11"/>
      <c r="J3262" s="9"/>
      <c r="K3262" s="9"/>
      <c r="O3262" s="11"/>
      <c r="P3262" s="9"/>
      <c r="Q3262" s="9"/>
      <c r="R3262" s="9"/>
      <c r="S3262" s="9"/>
      <c r="T3262" s="31"/>
      <c r="W3262" s="16"/>
      <c r="X3262" s="9"/>
      <c r="Y3262" s="9"/>
      <c r="AA3262" s="16"/>
      <c r="AK3262" s="16"/>
      <c r="AL3262" s="17"/>
    </row>
    <row r="3263" spans="9:38" x14ac:dyDescent="0.4">
      <c r="I3263" s="11"/>
      <c r="J3263" s="9"/>
      <c r="K3263" s="9"/>
      <c r="O3263" s="11"/>
      <c r="P3263" s="9"/>
      <c r="Q3263" s="9"/>
      <c r="R3263" s="9"/>
      <c r="S3263" s="9"/>
      <c r="T3263" s="31"/>
      <c r="W3263" s="16"/>
      <c r="X3263" s="9"/>
      <c r="Y3263" s="9"/>
      <c r="AA3263" s="16"/>
      <c r="AK3263" s="16"/>
      <c r="AL3263" s="17"/>
    </row>
    <row r="3264" spans="9:38" x14ac:dyDescent="0.4">
      <c r="I3264" s="11"/>
      <c r="J3264" s="9"/>
      <c r="K3264" s="9"/>
      <c r="O3264" s="11"/>
      <c r="P3264" s="9"/>
      <c r="Q3264" s="9"/>
      <c r="R3264" s="9"/>
      <c r="S3264" s="9"/>
      <c r="T3264" s="31"/>
      <c r="W3264" s="16"/>
      <c r="X3264" s="9"/>
      <c r="Y3264" s="9"/>
      <c r="AA3264" s="16"/>
      <c r="AK3264" s="16"/>
      <c r="AL3264" s="17"/>
    </row>
    <row r="3265" spans="9:38" x14ac:dyDescent="0.4">
      <c r="I3265" s="11"/>
      <c r="J3265" s="9"/>
      <c r="K3265" s="9"/>
      <c r="O3265" s="11"/>
      <c r="P3265" s="9"/>
      <c r="Q3265" s="9"/>
      <c r="R3265" s="9"/>
      <c r="S3265" s="9"/>
      <c r="T3265" s="31"/>
      <c r="W3265" s="16"/>
      <c r="X3265" s="9"/>
      <c r="Y3265" s="9"/>
      <c r="AA3265" s="16"/>
      <c r="AK3265" s="16"/>
      <c r="AL3265" s="17"/>
    </row>
    <row r="3266" spans="9:38" x14ac:dyDescent="0.4">
      <c r="I3266" s="11"/>
      <c r="J3266" s="9"/>
      <c r="K3266" s="9"/>
      <c r="O3266" s="11"/>
      <c r="P3266" s="9"/>
      <c r="Q3266" s="9"/>
      <c r="R3266" s="9"/>
      <c r="S3266" s="9"/>
      <c r="T3266" s="31"/>
      <c r="W3266" s="16"/>
      <c r="X3266" s="9"/>
      <c r="Y3266" s="9"/>
      <c r="AA3266" s="16"/>
      <c r="AK3266" s="16"/>
      <c r="AL3266" s="17"/>
    </row>
    <row r="3267" spans="9:38" x14ac:dyDescent="0.4">
      <c r="I3267" s="11"/>
      <c r="J3267" s="9"/>
      <c r="K3267" s="9"/>
      <c r="O3267" s="11"/>
      <c r="P3267" s="9"/>
      <c r="Q3267" s="9"/>
      <c r="R3267" s="9"/>
      <c r="S3267" s="9"/>
      <c r="T3267" s="31"/>
      <c r="W3267" s="16"/>
      <c r="X3267" s="9"/>
      <c r="Y3267" s="9"/>
      <c r="AA3267" s="16"/>
      <c r="AK3267" s="16"/>
      <c r="AL3267" s="17"/>
    </row>
    <row r="3268" spans="9:38" x14ac:dyDescent="0.4">
      <c r="I3268" s="11"/>
      <c r="J3268" s="9"/>
      <c r="K3268" s="9"/>
      <c r="O3268" s="11"/>
      <c r="P3268" s="9"/>
      <c r="Q3268" s="9"/>
      <c r="R3268" s="9"/>
      <c r="S3268" s="9"/>
      <c r="T3268" s="31"/>
      <c r="W3268" s="16"/>
      <c r="X3268" s="9"/>
      <c r="Y3268" s="9"/>
      <c r="AA3268" s="16"/>
      <c r="AK3268" s="16"/>
      <c r="AL3268" s="17"/>
    </row>
    <row r="3269" spans="9:38" x14ac:dyDescent="0.4">
      <c r="I3269" s="11"/>
      <c r="J3269" s="9"/>
      <c r="K3269" s="9"/>
      <c r="O3269" s="11"/>
      <c r="P3269" s="9"/>
      <c r="Q3269" s="9"/>
      <c r="R3269" s="9"/>
      <c r="S3269" s="9"/>
      <c r="T3269" s="31"/>
      <c r="W3269" s="16"/>
      <c r="X3269" s="9"/>
      <c r="Y3269" s="9"/>
      <c r="AA3269" s="16"/>
      <c r="AK3269" s="16"/>
      <c r="AL3269" s="17"/>
    </row>
    <row r="3270" spans="9:38" x14ac:dyDescent="0.4">
      <c r="I3270" s="11"/>
      <c r="J3270" s="9"/>
      <c r="K3270" s="9"/>
      <c r="O3270" s="11"/>
      <c r="P3270" s="9"/>
      <c r="Q3270" s="9"/>
      <c r="R3270" s="9"/>
      <c r="S3270" s="9"/>
      <c r="T3270" s="31"/>
      <c r="W3270" s="16"/>
      <c r="X3270" s="9"/>
      <c r="Y3270" s="9"/>
      <c r="AA3270" s="16"/>
      <c r="AK3270" s="16"/>
      <c r="AL3270" s="17"/>
    </row>
    <row r="3271" spans="9:38" x14ac:dyDescent="0.4">
      <c r="I3271" s="11"/>
      <c r="J3271" s="9"/>
      <c r="K3271" s="9"/>
      <c r="O3271" s="11"/>
      <c r="P3271" s="9"/>
      <c r="Q3271" s="9"/>
      <c r="R3271" s="9"/>
      <c r="S3271" s="9"/>
      <c r="T3271" s="31"/>
      <c r="W3271" s="16"/>
      <c r="X3271" s="9"/>
      <c r="Y3271" s="9"/>
      <c r="AA3271" s="16"/>
      <c r="AK3271" s="16"/>
      <c r="AL3271" s="17"/>
    </row>
    <row r="3272" spans="9:38" x14ac:dyDescent="0.4">
      <c r="I3272" s="11"/>
      <c r="J3272" s="9"/>
      <c r="K3272" s="9"/>
      <c r="O3272" s="11"/>
      <c r="P3272" s="9"/>
      <c r="Q3272" s="9"/>
      <c r="R3272" s="9"/>
      <c r="S3272" s="9"/>
      <c r="T3272" s="31"/>
      <c r="W3272" s="16"/>
      <c r="X3272" s="9"/>
      <c r="Y3272" s="9"/>
      <c r="AA3272" s="16"/>
      <c r="AK3272" s="16"/>
      <c r="AL3272" s="17"/>
    </row>
    <row r="3273" spans="9:38" x14ac:dyDescent="0.4">
      <c r="I3273" s="11"/>
      <c r="J3273" s="9"/>
      <c r="K3273" s="9"/>
      <c r="O3273" s="11"/>
      <c r="P3273" s="9"/>
      <c r="Q3273" s="9"/>
      <c r="R3273" s="9"/>
      <c r="S3273" s="9"/>
      <c r="T3273" s="31"/>
      <c r="W3273" s="16"/>
      <c r="X3273" s="9"/>
      <c r="Y3273" s="9"/>
      <c r="AA3273" s="16"/>
      <c r="AK3273" s="16"/>
      <c r="AL3273" s="17"/>
    </row>
    <row r="3274" spans="9:38" x14ac:dyDescent="0.4">
      <c r="I3274" s="11"/>
      <c r="J3274" s="9"/>
      <c r="K3274" s="9"/>
      <c r="O3274" s="11"/>
      <c r="P3274" s="9"/>
      <c r="Q3274" s="9"/>
      <c r="R3274" s="9"/>
      <c r="S3274" s="9"/>
      <c r="T3274" s="31"/>
      <c r="W3274" s="16"/>
      <c r="X3274" s="9"/>
      <c r="Y3274" s="9"/>
      <c r="AA3274" s="16"/>
      <c r="AK3274" s="16"/>
      <c r="AL3274" s="17"/>
    </row>
    <row r="3275" spans="9:38" x14ac:dyDescent="0.4">
      <c r="I3275" s="11"/>
      <c r="J3275" s="9"/>
      <c r="K3275" s="9"/>
      <c r="O3275" s="11"/>
      <c r="P3275" s="9"/>
      <c r="Q3275" s="9"/>
      <c r="R3275" s="9"/>
      <c r="S3275" s="9"/>
      <c r="T3275" s="31"/>
      <c r="W3275" s="16"/>
      <c r="X3275" s="9"/>
      <c r="Y3275" s="9"/>
      <c r="AA3275" s="16"/>
      <c r="AK3275" s="16"/>
      <c r="AL3275" s="17"/>
    </row>
    <row r="3276" spans="9:38" x14ac:dyDescent="0.4">
      <c r="I3276" s="11"/>
      <c r="J3276" s="9"/>
      <c r="K3276" s="9"/>
      <c r="O3276" s="11"/>
      <c r="P3276" s="9"/>
      <c r="Q3276" s="9"/>
      <c r="R3276" s="9"/>
      <c r="S3276" s="9"/>
      <c r="T3276" s="31"/>
      <c r="W3276" s="16"/>
      <c r="X3276" s="9"/>
      <c r="Y3276" s="9"/>
      <c r="AA3276" s="16"/>
      <c r="AK3276" s="16"/>
      <c r="AL3276" s="17"/>
    </row>
    <row r="3277" spans="9:38" x14ac:dyDescent="0.4">
      <c r="I3277" s="11"/>
      <c r="J3277" s="9"/>
      <c r="K3277" s="9"/>
      <c r="O3277" s="11"/>
      <c r="P3277" s="9"/>
      <c r="Q3277" s="9"/>
      <c r="R3277" s="9"/>
      <c r="S3277" s="9"/>
      <c r="T3277" s="31"/>
      <c r="W3277" s="16"/>
      <c r="X3277" s="9"/>
      <c r="Y3277" s="9"/>
      <c r="AA3277" s="16"/>
      <c r="AK3277" s="16"/>
      <c r="AL3277" s="17"/>
    </row>
    <row r="3278" spans="9:38" x14ac:dyDescent="0.4">
      <c r="I3278" s="11"/>
      <c r="J3278" s="9"/>
      <c r="K3278" s="9"/>
      <c r="O3278" s="11"/>
      <c r="P3278" s="9"/>
      <c r="Q3278" s="9"/>
      <c r="R3278" s="9"/>
      <c r="S3278" s="9"/>
      <c r="T3278" s="31"/>
      <c r="W3278" s="16"/>
      <c r="X3278" s="9"/>
      <c r="Y3278" s="9"/>
      <c r="AA3278" s="16"/>
      <c r="AK3278" s="16"/>
      <c r="AL3278" s="17"/>
    </row>
    <row r="3279" spans="9:38" x14ac:dyDescent="0.4">
      <c r="I3279" s="11"/>
      <c r="J3279" s="9"/>
      <c r="K3279" s="9"/>
      <c r="O3279" s="11"/>
      <c r="P3279" s="9"/>
      <c r="Q3279" s="9"/>
      <c r="R3279" s="9"/>
      <c r="S3279" s="9"/>
      <c r="T3279" s="31"/>
      <c r="W3279" s="16"/>
      <c r="X3279" s="9"/>
      <c r="Y3279" s="9"/>
      <c r="AA3279" s="16"/>
      <c r="AK3279" s="16"/>
      <c r="AL3279" s="17"/>
    </row>
    <row r="3280" spans="9:38" x14ac:dyDescent="0.4">
      <c r="I3280" s="11"/>
      <c r="J3280" s="9"/>
      <c r="K3280" s="9"/>
      <c r="O3280" s="11"/>
      <c r="P3280" s="9"/>
      <c r="Q3280" s="9"/>
      <c r="R3280" s="9"/>
      <c r="S3280" s="9"/>
      <c r="T3280" s="31"/>
      <c r="W3280" s="16"/>
      <c r="X3280" s="9"/>
      <c r="Y3280" s="9"/>
      <c r="AA3280" s="16"/>
      <c r="AK3280" s="16"/>
      <c r="AL3280" s="17"/>
    </row>
    <row r="3281" spans="9:38" x14ac:dyDescent="0.4">
      <c r="I3281" s="11"/>
      <c r="J3281" s="9"/>
      <c r="K3281" s="9"/>
      <c r="O3281" s="11"/>
      <c r="P3281" s="9"/>
      <c r="Q3281" s="9"/>
      <c r="R3281" s="9"/>
      <c r="S3281" s="9"/>
      <c r="T3281" s="31"/>
      <c r="W3281" s="16"/>
      <c r="X3281" s="9"/>
      <c r="Y3281" s="9"/>
      <c r="AA3281" s="16"/>
      <c r="AK3281" s="16"/>
      <c r="AL3281" s="17"/>
    </row>
    <row r="3282" spans="9:38" x14ac:dyDescent="0.4">
      <c r="I3282" s="11"/>
      <c r="J3282" s="9"/>
      <c r="K3282" s="9"/>
      <c r="O3282" s="11"/>
      <c r="P3282" s="9"/>
      <c r="Q3282" s="9"/>
      <c r="R3282" s="9"/>
      <c r="S3282" s="9"/>
      <c r="T3282" s="31"/>
      <c r="W3282" s="16"/>
      <c r="X3282" s="9"/>
      <c r="Y3282" s="9"/>
      <c r="AA3282" s="16"/>
      <c r="AK3282" s="16"/>
      <c r="AL3282" s="17"/>
    </row>
    <row r="3283" spans="9:38" x14ac:dyDescent="0.4">
      <c r="I3283" s="11"/>
      <c r="J3283" s="9"/>
      <c r="K3283" s="9"/>
      <c r="O3283" s="11"/>
      <c r="P3283" s="9"/>
      <c r="Q3283" s="9"/>
      <c r="R3283" s="9"/>
      <c r="S3283" s="9"/>
      <c r="T3283" s="31"/>
      <c r="W3283" s="16"/>
      <c r="X3283" s="9"/>
      <c r="Y3283" s="9"/>
      <c r="AA3283" s="16"/>
      <c r="AK3283" s="16"/>
      <c r="AL3283" s="17"/>
    </row>
    <row r="3284" spans="9:38" x14ac:dyDescent="0.4">
      <c r="I3284" s="11"/>
      <c r="J3284" s="9"/>
      <c r="K3284" s="9"/>
      <c r="O3284" s="11"/>
      <c r="P3284" s="9"/>
      <c r="Q3284" s="9"/>
      <c r="R3284" s="9"/>
      <c r="S3284" s="9"/>
      <c r="T3284" s="31"/>
      <c r="W3284" s="16"/>
      <c r="X3284" s="9"/>
      <c r="Y3284" s="9"/>
      <c r="AA3284" s="16"/>
      <c r="AK3284" s="16"/>
      <c r="AL3284" s="17"/>
    </row>
    <row r="3285" spans="9:38" x14ac:dyDescent="0.4">
      <c r="I3285" s="11"/>
      <c r="J3285" s="9"/>
      <c r="K3285" s="9"/>
      <c r="O3285" s="11"/>
      <c r="P3285" s="9"/>
      <c r="Q3285" s="9"/>
      <c r="R3285" s="9"/>
      <c r="S3285" s="9"/>
      <c r="T3285" s="31"/>
      <c r="W3285" s="16"/>
      <c r="X3285" s="9"/>
      <c r="Y3285" s="9"/>
      <c r="AA3285" s="16"/>
      <c r="AK3285" s="16"/>
      <c r="AL3285" s="17"/>
    </row>
    <row r="3286" spans="9:38" x14ac:dyDescent="0.4">
      <c r="I3286" s="11"/>
      <c r="J3286" s="9"/>
      <c r="K3286" s="9"/>
      <c r="O3286" s="11"/>
      <c r="P3286" s="9"/>
      <c r="Q3286" s="9"/>
      <c r="R3286" s="9"/>
      <c r="S3286" s="9"/>
      <c r="T3286" s="31"/>
      <c r="W3286" s="16"/>
      <c r="X3286" s="9"/>
      <c r="Y3286" s="9"/>
      <c r="AA3286" s="16"/>
      <c r="AK3286" s="16"/>
      <c r="AL3286" s="17"/>
    </row>
    <row r="3287" spans="9:38" x14ac:dyDescent="0.4">
      <c r="I3287" s="11"/>
      <c r="J3287" s="9"/>
      <c r="K3287" s="9"/>
      <c r="O3287" s="11"/>
      <c r="P3287" s="9"/>
      <c r="Q3287" s="9"/>
      <c r="R3287" s="9"/>
      <c r="S3287" s="9"/>
      <c r="T3287" s="31"/>
      <c r="W3287" s="16"/>
      <c r="X3287" s="9"/>
      <c r="Y3287" s="9"/>
      <c r="AA3287" s="16"/>
      <c r="AK3287" s="16"/>
      <c r="AL3287" s="17"/>
    </row>
    <row r="3288" spans="9:38" x14ac:dyDescent="0.4">
      <c r="I3288" s="11"/>
      <c r="J3288" s="9"/>
      <c r="K3288" s="9"/>
      <c r="O3288" s="11"/>
      <c r="P3288" s="9"/>
      <c r="Q3288" s="9"/>
      <c r="R3288" s="9"/>
      <c r="S3288" s="9"/>
      <c r="T3288" s="31"/>
      <c r="W3288" s="16"/>
      <c r="X3288" s="9"/>
      <c r="Y3288" s="9"/>
      <c r="AA3288" s="16"/>
      <c r="AK3288" s="16"/>
      <c r="AL3288" s="17"/>
    </row>
    <row r="3289" spans="9:38" x14ac:dyDescent="0.4">
      <c r="I3289" s="11"/>
      <c r="J3289" s="9"/>
      <c r="K3289" s="9"/>
      <c r="O3289" s="11"/>
      <c r="P3289" s="9"/>
      <c r="Q3289" s="9"/>
      <c r="R3289" s="9"/>
      <c r="S3289" s="9"/>
      <c r="T3289" s="31"/>
      <c r="W3289" s="16"/>
      <c r="X3289" s="9"/>
      <c r="Y3289" s="9"/>
      <c r="AA3289" s="16"/>
      <c r="AK3289" s="16"/>
      <c r="AL3289" s="17"/>
    </row>
    <row r="3290" spans="9:38" x14ac:dyDescent="0.4">
      <c r="I3290" s="11"/>
      <c r="J3290" s="9"/>
      <c r="K3290" s="9"/>
      <c r="O3290" s="11"/>
      <c r="P3290" s="9"/>
      <c r="Q3290" s="9"/>
      <c r="R3290" s="9"/>
      <c r="S3290" s="9"/>
      <c r="T3290" s="31"/>
      <c r="W3290" s="16"/>
      <c r="X3290" s="9"/>
      <c r="Y3290" s="9"/>
      <c r="AA3290" s="16"/>
      <c r="AK3290" s="16"/>
      <c r="AL3290" s="17"/>
    </row>
    <row r="3291" spans="9:38" x14ac:dyDescent="0.4">
      <c r="I3291" s="11"/>
      <c r="J3291" s="9"/>
      <c r="K3291" s="9"/>
      <c r="O3291" s="11"/>
      <c r="P3291" s="9"/>
      <c r="Q3291" s="9"/>
      <c r="R3291" s="9"/>
      <c r="S3291" s="9"/>
      <c r="T3291" s="31"/>
      <c r="W3291" s="16"/>
      <c r="X3291" s="9"/>
      <c r="Y3291" s="9"/>
      <c r="AA3291" s="16"/>
      <c r="AK3291" s="16"/>
      <c r="AL3291" s="17"/>
    </row>
    <row r="3292" spans="9:38" x14ac:dyDescent="0.4">
      <c r="I3292" s="11"/>
      <c r="J3292" s="9"/>
      <c r="K3292" s="9"/>
      <c r="O3292" s="11"/>
      <c r="P3292" s="9"/>
      <c r="Q3292" s="9"/>
      <c r="R3292" s="9"/>
      <c r="S3292" s="9"/>
      <c r="T3292" s="31"/>
      <c r="W3292" s="16"/>
      <c r="X3292" s="9"/>
      <c r="Y3292" s="9"/>
      <c r="AA3292" s="16"/>
      <c r="AK3292" s="16"/>
      <c r="AL3292" s="17"/>
    </row>
    <row r="3293" spans="9:38" x14ac:dyDescent="0.4">
      <c r="I3293" s="11"/>
      <c r="J3293" s="9"/>
      <c r="K3293" s="9"/>
      <c r="O3293" s="11"/>
      <c r="P3293" s="9"/>
      <c r="Q3293" s="9"/>
      <c r="R3293" s="9"/>
      <c r="S3293" s="9"/>
      <c r="T3293" s="31"/>
      <c r="W3293" s="16"/>
      <c r="X3293" s="9"/>
      <c r="Y3293" s="9"/>
      <c r="AA3293" s="16"/>
      <c r="AK3293" s="16"/>
      <c r="AL3293" s="17"/>
    </row>
    <row r="3294" spans="9:38" x14ac:dyDescent="0.4">
      <c r="I3294" s="11"/>
      <c r="J3294" s="9"/>
      <c r="K3294" s="9"/>
      <c r="O3294" s="11"/>
      <c r="P3294" s="9"/>
      <c r="Q3294" s="9"/>
      <c r="R3294" s="9"/>
      <c r="S3294" s="9"/>
      <c r="T3294" s="31"/>
      <c r="W3294" s="16"/>
      <c r="X3294" s="9"/>
      <c r="Y3294" s="9"/>
      <c r="AA3294" s="16"/>
      <c r="AK3294" s="16"/>
      <c r="AL3294" s="17"/>
    </row>
    <row r="3295" spans="9:38" x14ac:dyDescent="0.4">
      <c r="I3295" s="11"/>
      <c r="J3295" s="9"/>
      <c r="K3295" s="9"/>
      <c r="O3295" s="11"/>
      <c r="P3295" s="9"/>
      <c r="Q3295" s="9"/>
      <c r="R3295" s="9"/>
      <c r="S3295" s="9"/>
      <c r="T3295" s="31"/>
      <c r="W3295" s="16"/>
      <c r="X3295" s="9"/>
      <c r="Y3295" s="9"/>
      <c r="AA3295" s="16"/>
      <c r="AK3295" s="16"/>
      <c r="AL3295" s="17"/>
    </row>
    <row r="3296" spans="9:38" x14ac:dyDescent="0.4">
      <c r="I3296" s="11"/>
      <c r="J3296" s="9"/>
      <c r="K3296" s="9"/>
      <c r="O3296" s="11"/>
      <c r="P3296" s="9"/>
      <c r="Q3296" s="9"/>
      <c r="R3296" s="9"/>
      <c r="S3296" s="9"/>
      <c r="T3296" s="31"/>
      <c r="W3296" s="16"/>
      <c r="X3296" s="9"/>
      <c r="Y3296" s="9"/>
      <c r="AA3296" s="16"/>
      <c r="AK3296" s="16"/>
      <c r="AL3296" s="17"/>
    </row>
    <row r="3297" spans="9:38" x14ac:dyDescent="0.4">
      <c r="I3297" s="11"/>
      <c r="J3297" s="9"/>
      <c r="K3297" s="9"/>
      <c r="O3297" s="11"/>
      <c r="P3297" s="9"/>
      <c r="Q3297" s="9"/>
      <c r="R3297" s="9"/>
      <c r="S3297" s="9"/>
      <c r="T3297" s="31"/>
      <c r="W3297" s="16"/>
      <c r="X3297" s="9"/>
      <c r="Y3297" s="9"/>
      <c r="AA3297" s="16"/>
      <c r="AK3297" s="16"/>
      <c r="AL3297" s="17"/>
    </row>
    <row r="3298" spans="9:38" x14ac:dyDescent="0.4">
      <c r="I3298" s="11"/>
      <c r="J3298" s="9"/>
      <c r="K3298" s="9"/>
      <c r="O3298" s="11"/>
      <c r="P3298" s="9"/>
      <c r="Q3298" s="9"/>
      <c r="R3298" s="9"/>
      <c r="S3298" s="9"/>
      <c r="T3298" s="31"/>
      <c r="W3298" s="16"/>
      <c r="X3298" s="9"/>
      <c r="Y3298" s="9"/>
      <c r="AA3298" s="16"/>
      <c r="AK3298" s="16"/>
      <c r="AL3298" s="17"/>
    </row>
    <row r="3299" spans="9:38" x14ac:dyDescent="0.4">
      <c r="I3299" s="11"/>
      <c r="J3299" s="9"/>
      <c r="K3299" s="9"/>
      <c r="O3299" s="11"/>
      <c r="P3299" s="9"/>
      <c r="Q3299" s="9"/>
      <c r="R3299" s="9"/>
      <c r="S3299" s="9"/>
      <c r="T3299" s="31"/>
      <c r="W3299" s="16"/>
      <c r="X3299" s="9"/>
      <c r="Y3299" s="9"/>
      <c r="AA3299" s="16"/>
      <c r="AK3299" s="16"/>
      <c r="AL3299" s="17"/>
    </row>
    <row r="3300" spans="9:38" x14ac:dyDescent="0.4">
      <c r="I3300" s="11"/>
      <c r="J3300" s="9"/>
      <c r="K3300" s="9"/>
      <c r="O3300" s="11"/>
      <c r="P3300" s="9"/>
      <c r="Q3300" s="9"/>
      <c r="R3300" s="9"/>
      <c r="S3300" s="9"/>
      <c r="T3300" s="31"/>
      <c r="W3300" s="16"/>
      <c r="X3300" s="9"/>
      <c r="Y3300" s="9"/>
      <c r="AA3300" s="16"/>
      <c r="AK3300" s="16"/>
      <c r="AL3300" s="17"/>
    </row>
    <row r="3301" spans="9:38" x14ac:dyDescent="0.4">
      <c r="I3301" s="11"/>
      <c r="J3301" s="9"/>
      <c r="K3301" s="9"/>
      <c r="O3301" s="11"/>
      <c r="P3301" s="9"/>
      <c r="Q3301" s="9"/>
      <c r="R3301" s="9"/>
      <c r="S3301" s="9"/>
      <c r="T3301" s="31"/>
      <c r="W3301" s="16"/>
      <c r="X3301" s="9"/>
      <c r="Y3301" s="9"/>
      <c r="AA3301" s="16"/>
      <c r="AK3301" s="16"/>
      <c r="AL3301" s="17"/>
    </row>
    <row r="3302" spans="9:38" x14ac:dyDescent="0.4">
      <c r="I3302" s="11"/>
      <c r="J3302" s="9"/>
      <c r="K3302" s="9"/>
      <c r="O3302" s="11"/>
      <c r="P3302" s="9"/>
      <c r="Q3302" s="9"/>
      <c r="R3302" s="9"/>
      <c r="S3302" s="9"/>
      <c r="T3302" s="31"/>
      <c r="W3302" s="16"/>
      <c r="X3302" s="9"/>
      <c r="Y3302" s="9"/>
      <c r="AA3302" s="16"/>
      <c r="AK3302" s="16"/>
      <c r="AL3302" s="17"/>
    </row>
    <row r="3303" spans="9:38" x14ac:dyDescent="0.4">
      <c r="I3303" s="11"/>
      <c r="J3303" s="9"/>
      <c r="K3303" s="9"/>
      <c r="O3303" s="11"/>
      <c r="P3303" s="9"/>
      <c r="Q3303" s="9"/>
      <c r="R3303" s="9"/>
      <c r="S3303" s="9"/>
      <c r="T3303" s="31"/>
      <c r="W3303" s="16"/>
      <c r="X3303" s="9"/>
      <c r="Y3303" s="9"/>
      <c r="AA3303" s="16"/>
      <c r="AK3303" s="16"/>
      <c r="AL3303" s="17"/>
    </row>
    <row r="3304" spans="9:38" x14ac:dyDescent="0.4">
      <c r="I3304" s="11"/>
      <c r="J3304" s="9"/>
      <c r="K3304" s="9"/>
      <c r="O3304" s="11"/>
      <c r="P3304" s="9"/>
      <c r="Q3304" s="9"/>
      <c r="R3304" s="9"/>
      <c r="S3304" s="9"/>
      <c r="T3304" s="31"/>
      <c r="W3304" s="16"/>
      <c r="X3304" s="9"/>
      <c r="Y3304" s="9"/>
      <c r="AA3304" s="16"/>
      <c r="AK3304" s="16"/>
      <c r="AL3304" s="17"/>
    </row>
    <row r="3305" spans="9:38" x14ac:dyDescent="0.4">
      <c r="I3305" s="11"/>
      <c r="J3305" s="9"/>
      <c r="K3305" s="9"/>
      <c r="O3305" s="11"/>
      <c r="P3305" s="9"/>
      <c r="Q3305" s="9"/>
      <c r="R3305" s="9"/>
      <c r="S3305" s="9"/>
      <c r="T3305" s="31"/>
      <c r="W3305" s="16"/>
      <c r="X3305" s="9"/>
      <c r="Y3305" s="9"/>
      <c r="AA3305" s="16"/>
      <c r="AK3305" s="16"/>
      <c r="AL3305" s="17"/>
    </row>
    <row r="3306" spans="9:38" x14ac:dyDescent="0.4">
      <c r="I3306" s="11"/>
      <c r="J3306" s="9"/>
      <c r="K3306" s="9"/>
      <c r="O3306" s="11"/>
      <c r="P3306" s="9"/>
      <c r="Q3306" s="9"/>
      <c r="R3306" s="9"/>
      <c r="S3306" s="9"/>
      <c r="T3306" s="31"/>
      <c r="W3306" s="16"/>
      <c r="X3306" s="9"/>
      <c r="Y3306" s="9"/>
      <c r="AA3306" s="16"/>
      <c r="AK3306" s="16"/>
      <c r="AL3306" s="17"/>
    </row>
    <row r="3307" spans="9:38" x14ac:dyDescent="0.4">
      <c r="I3307" s="11"/>
      <c r="J3307" s="9"/>
      <c r="K3307" s="9"/>
      <c r="O3307" s="11"/>
      <c r="P3307" s="9"/>
      <c r="Q3307" s="9"/>
      <c r="R3307" s="9"/>
      <c r="S3307" s="9"/>
      <c r="T3307" s="31"/>
      <c r="W3307" s="16"/>
      <c r="X3307" s="9"/>
      <c r="Y3307" s="9"/>
      <c r="AA3307" s="16"/>
      <c r="AK3307" s="16"/>
      <c r="AL3307" s="17"/>
    </row>
    <row r="3308" spans="9:38" x14ac:dyDescent="0.4">
      <c r="I3308" s="11"/>
      <c r="J3308" s="9"/>
      <c r="K3308" s="9"/>
      <c r="O3308" s="11"/>
      <c r="P3308" s="9"/>
      <c r="Q3308" s="9"/>
      <c r="R3308" s="9"/>
      <c r="S3308" s="9"/>
      <c r="T3308" s="31"/>
      <c r="W3308" s="16"/>
      <c r="X3308" s="9"/>
      <c r="Y3308" s="9"/>
      <c r="AA3308" s="16"/>
      <c r="AK3308" s="16"/>
      <c r="AL3308" s="17"/>
    </row>
    <row r="3309" spans="9:38" x14ac:dyDescent="0.4">
      <c r="I3309" s="11"/>
      <c r="J3309" s="9"/>
      <c r="K3309" s="9"/>
      <c r="O3309" s="11"/>
      <c r="P3309" s="9"/>
      <c r="Q3309" s="9"/>
      <c r="R3309" s="9"/>
      <c r="S3309" s="9"/>
      <c r="T3309" s="31"/>
      <c r="W3309" s="16"/>
      <c r="X3309" s="9"/>
      <c r="Y3309" s="9"/>
      <c r="AA3309" s="16"/>
      <c r="AK3309" s="16"/>
      <c r="AL3309" s="17"/>
    </row>
    <row r="3310" spans="9:38" x14ac:dyDescent="0.4">
      <c r="I3310" s="11"/>
      <c r="J3310" s="9"/>
      <c r="K3310" s="9"/>
      <c r="O3310" s="11"/>
      <c r="P3310" s="9"/>
      <c r="Q3310" s="9"/>
      <c r="R3310" s="9"/>
      <c r="S3310" s="9"/>
      <c r="T3310" s="31"/>
      <c r="W3310" s="16"/>
      <c r="X3310" s="9"/>
      <c r="Y3310" s="9"/>
      <c r="AA3310" s="16"/>
      <c r="AK3310" s="16"/>
      <c r="AL3310" s="17"/>
    </row>
    <row r="3311" spans="9:38" x14ac:dyDescent="0.4">
      <c r="I3311" s="11"/>
      <c r="J3311" s="9"/>
      <c r="K3311" s="9"/>
      <c r="O3311" s="11"/>
      <c r="P3311" s="9"/>
      <c r="Q3311" s="9"/>
      <c r="R3311" s="9"/>
      <c r="S3311" s="9"/>
      <c r="T3311" s="31"/>
      <c r="W3311" s="16"/>
      <c r="X3311" s="9"/>
      <c r="Y3311" s="9"/>
      <c r="AA3311" s="16"/>
      <c r="AK3311" s="16"/>
      <c r="AL3311" s="17"/>
    </row>
    <row r="3312" spans="9:38" x14ac:dyDescent="0.4">
      <c r="I3312" s="11"/>
      <c r="J3312" s="9"/>
      <c r="K3312" s="9"/>
      <c r="O3312" s="11"/>
      <c r="P3312" s="9"/>
      <c r="Q3312" s="9"/>
      <c r="R3312" s="9"/>
      <c r="S3312" s="9"/>
      <c r="T3312" s="31"/>
      <c r="W3312" s="16"/>
      <c r="X3312" s="9"/>
      <c r="Y3312" s="9"/>
      <c r="AA3312" s="16"/>
      <c r="AK3312" s="16"/>
      <c r="AL3312" s="17"/>
    </row>
    <row r="3313" spans="9:38" x14ac:dyDescent="0.4">
      <c r="I3313" s="11"/>
      <c r="J3313" s="9"/>
      <c r="K3313" s="9"/>
      <c r="O3313" s="11"/>
      <c r="P3313" s="9"/>
      <c r="Q3313" s="9"/>
      <c r="R3313" s="9"/>
      <c r="S3313" s="9"/>
      <c r="T3313" s="31"/>
      <c r="W3313" s="16"/>
      <c r="X3313" s="9"/>
      <c r="Y3313" s="9"/>
      <c r="AA3313" s="16"/>
      <c r="AK3313" s="16"/>
      <c r="AL3313" s="17"/>
    </row>
    <row r="3314" spans="9:38" x14ac:dyDescent="0.4">
      <c r="I3314" s="11"/>
      <c r="J3314" s="9"/>
      <c r="K3314" s="9"/>
      <c r="O3314" s="11"/>
      <c r="P3314" s="9"/>
      <c r="Q3314" s="9"/>
      <c r="R3314" s="9"/>
      <c r="S3314" s="9"/>
      <c r="T3314" s="31"/>
      <c r="W3314" s="16"/>
      <c r="X3314" s="9"/>
      <c r="Y3314" s="9"/>
      <c r="AA3314" s="16"/>
      <c r="AK3314" s="16"/>
      <c r="AL3314" s="17"/>
    </row>
    <row r="3315" spans="9:38" x14ac:dyDescent="0.4">
      <c r="I3315" s="11"/>
      <c r="J3315" s="9"/>
      <c r="K3315" s="9"/>
      <c r="O3315" s="11"/>
      <c r="P3315" s="9"/>
      <c r="Q3315" s="9"/>
      <c r="R3315" s="9"/>
      <c r="S3315" s="9"/>
      <c r="T3315" s="31"/>
      <c r="W3315" s="16"/>
      <c r="X3315" s="9"/>
      <c r="Y3315" s="9"/>
      <c r="AA3315" s="16"/>
      <c r="AK3315" s="16"/>
      <c r="AL3315" s="17"/>
    </row>
    <row r="3316" spans="9:38" x14ac:dyDescent="0.4">
      <c r="I3316" s="11"/>
      <c r="J3316" s="9"/>
      <c r="K3316" s="9"/>
      <c r="O3316" s="11"/>
      <c r="P3316" s="9"/>
      <c r="Q3316" s="9"/>
      <c r="R3316" s="9"/>
      <c r="S3316" s="9"/>
      <c r="T3316" s="31"/>
      <c r="W3316" s="16"/>
      <c r="X3316" s="9"/>
      <c r="Y3316" s="9"/>
      <c r="AA3316" s="16"/>
      <c r="AK3316" s="16"/>
      <c r="AL3316" s="17"/>
    </row>
    <row r="3317" spans="9:38" x14ac:dyDescent="0.4">
      <c r="I3317" s="11"/>
      <c r="J3317" s="9"/>
      <c r="K3317" s="9"/>
      <c r="O3317" s="11"/>
      <c r="P3317" s="9"/>
      <c r="Q3317" s="9"/>
      <c r="R3317" s="9"/>
      <c r="S3317" s="9"/>
      <c r="T3317" s="31"/>
      <c r="W3317" s="16"/>
      <c r="X3317" s="9"/>
      <c r="Y3317" s="9"/>
      <c r="AA3317" s="16"/>
      <c r="AK3317" s="16"/>
      <c r="AL3317" s="17"/>
    </row>
    <row r="3318" spans="9:38" x14ac:dyDescent="0.4">
      <c r="I3318" s="11"/>
      <c r="J3318" s="9"/>
      <c r="K3318" s="9"/>
      <c r="O3318" s="11"/>
      <c r="P3318" s="9"/>
      <c r="Q3318" s="9"/>
      <c r="R3318" s="9"/>
      <c r="S3318" s="9"/>
      <c r="T3318" s="31"/>
      <c r="W3318" s="16"/>
      <c r="X3318" s="9"/>
      <c r="Y3318" s="9"/>
      <c r="AA3318" s="16"/>
      <c r="AK3318" s="16"/>
      <c r="AL3318" s="17"/>
    </row>
    <row r="3319" spans="9:38" x14ac:dyDescent="0.4">
      <c r="I3319" s="11"/>
      <c r="J3319" s="9"/>
      <c r="K3319" s="9"/>
      <c r="O3319" s="11"/>
      <c r="P3319" s="9"/>
      <c r="Q3319" s="9"/>
      <c r="R3319" s="9"/>
      <c r="S3319" s="9"/>
      <c r="T3319" s="31"/>
      <c r="W3319" s="16"/>
      <c r="X3319" s="9"/>
      <c r="Y3319" s="9"/>
      <c r="AA3319" s="16"/>
      <c r="AK3319" s="16"/>
      <c r="AL3319" s="17"/>
    </row>
    <row r="3320" spans="9:38" x14ac:dyDescent="0.4">
      <c r="I3320" s="11"/>
      <c r="J3320" s="9"/>
      <c r="K3320" s="9"/>
      <c r="O3320" s="11"/>
      <c r="P3320" s="9"/>
      <c r="Q3320" s="9"/>
      <c r="R3320" s="9"/>
      <c r="S3320" s="9"/>
      <c r="T3320" s="31"/>
      <c r="W3320" s="16"/>
      <c r="X3320" s="9"/>
      <c r="Y3320" s="9"/>
      <c r="AA3320" s="16"/>
      <c r="AK3320" s="16"/>
      <c r="AL3320" s="17"/>
    </row>
    <row r="3321" spans="9:38" x14ac:dyDescent="0.4">
      <c r="I3321" s="11"/>
      <c r="J3321" s="9"/>
      <c r="K3321" s="9"/>
      <c r="O3321" s="11"/>
      <c r="P3321" s="9"/>
      <c r="Q3321" s="9"/>
      <c r="R3321" s="9"/>
      <c r="S3321" s="9"/>
      <c r="T3321" s="31"/>
      <c r="W3321" s="16"/>
      <c r="X3321" s="9"/>
      <c r="Y3321" s="9"/>
      <c r="AA3321" s="16"/>
      <c r="AK3321" s="16"/>
      <c r="AL3321" s="17"/>
    </row>
    <row r="3322" spans="9:38" x14ac:dyDescent="0.4">
      <c r="I3322" s="11"/>
      <c r="J3322" s="9"/>
      <c r="K3322" s="9"/>
      <c r="O3322" s="11"/>
      <c r="P3322" s="9"/>
      <c r="Q3322" s="9"/>
      <c r="R3322" s="9"/>
      <c r="S3322" s="9"/>
      <c r="T3322" s="31"/>
      <c r="W3322" s="16"/>
      <c r="X3322" s="9"/>
      <c r="Y3322" s="9"/>
      <c r="AA3322" s="16"/>
      <c r="AK3322" s="16"/>
      <c r="AL3322" s="17"/>
    </row>
    <row r="3323" spans="9:38" x14ac:dyDescent="0.4">
      <c r="I3323" s="11"/>
      <c r="J3323" s="9"/>
      <c r="K3323" s="9"/>
      <c r="O3323" s="11"/>
      <c r="P3323" s="9"/>
      <c r="Q3323" s="9"/>
      <c r="R3323" s="9"/>
      <c r="S3323" s="9"/>
      <c r="T3323" s="31"/>
      <c r="W3323" s="16"/>
      <c r="X3323" s="9"/>
      <c r="Y3323" s="9"/>
      <c r="AA3323" s="16"/>
      <c r="AK3323" s="16"/>
      <c r="AL3323" s="17"/>
    </row>
    <row r="3324" spans="9:38" x14ac:dyDescent="0.4">
      <c r="I3324" s="11"/>
      <c r="J3324" s="9"/>
      <c r="K3324" s="9"/>
      <c r="O3324" s="11"/>
      <c r="P3324" s="9"/>
      <c r="Q3324" s="9"/>
      <c r="R3324" s="9"/>
      <c r="S3324" s="9"/>
      <c r="T3324" s="31"/>
      <c r="W3324" s="16"/>
      <c r="X3324" s="9"/>
      <c r="Y3324" s="9"/>
      <c r="AA3324" s="16"/>
      <c r="AK3324" s="16"/>
      <c r="AL3324" s="17"/>
    </row>
    <row r="3325" spans="9:38" x14ac:dyDescent="0.4">
      <c r="I3325" s="11"/>
      <c r="J3325" s="9"/>
      <c r="K3325" s="9"/>
      <c r="O3325" s="11"/>
      <c r="P3325" s="9"/>
      <c r="Q3325" s="9"/>
      <c r="R3325" s="9"/>
      <c r="S3325" s="9"/>
      <c r="T3325" s="31"/>
      <c r="W3325" s="16"/>
      <c r="X3325" s="9"/>
      <c r="Y3325" s="9"/>
      <c r="AA3325" s="16"/>
      <c r="AK3325" s="16"/>
      <c r="AL3325" s="17"/>
    </row>
    <row r="3326" spans="9:38" x14ac:dyDescent="0.4">
      <c r="I3326" s="11"/>
      <c r="J3326" s="9"/>
      <c r="K3326" s="9"/>
      <c r="O3326" s="11"/>
      <c r="P3326" s="9"/>
      <c r="Q3326" s="9"/>
      <c r="R3326" s="9"/>
      <c r="S3326" s="9"/>
      <c r="T3326" s="31"/>
      <c r="W3326" s="16"/>
      <c r="X3326" s="9"/>
      <c r="Y3326" s="9"/>
      <c r="AA3326" s="16"/>
      <c r="AK3326" s="16"/>
      <c r="AL3326" s="17"/>
    </row>
    <row r="3327" spans="9:38" x14ac:dyDescent="0.4">
      <c r="I3327" s="11"/>
      <c r="J3327" s="9"/>
      <c r="K3327" s="9"/>
      <c r="O3327" s="11"/>
      <c r="P3327" s="9"/>
      <c r="Q3327" s="9"/>
      <c r="R3327" s="9"/>
      <c r="S3327" s="9"/>
      <c r="T3327" s="31"/>
      <c r="W3327" s="16"/>
      <c r="X3327" s="9"/>
      <c r="Y3327" s="9"/>
      <c r="AA3327" s="16"/>
      <c r="AK3327" s="16"/>
      <c r="AL3327" s="17"/>
    </row>
    <row r="3328" spans="9:38" x14ac:dyDescent="0.4">
      <c r="I3328" s="11"/>
      <c r="J3328" s="9"/>
      <c r="K3328" s="9"/>
      <c r="O3328" s="11"/>
      <c r="P3328" s="9"/>
      <c r="Q3328" s="9"/>
      <c r="R3328" s="9"/>
      <c r="S3328" s="9"/>
      <c r="T3328" s="31"/>
      <c r="W3328" s="16"/>
      <c r="X3328" s="9"/>
      <c r="Y3328" s="9"/>
      <c r="AA3328" s="16"/>
      <c r="AK3328" s="16"/>
      <c r="AL3328" s="17"/>
    </row>
    <row r="3329" spans="9:38" x14ac:dyDescent="0.4">
      <c r="I3329" s="11"/>
      <c r="J3329" s="9"/>
      <c r="K3329" s="9"/>
      <c r="O3329" s="11"/>
      <c r="P3329" s="9"/>
      <c r="Q3329" s="9"/>
      <c r="R3329" s="9"/>
      <c r="S3329" s="9"/>
      <c r="T3329" s="31"/>
      <c r="W3329" s="16"/>
      <c r="X3329" s="9"/>
      <c r="Y3329" s="9"/>
      <c r="AA3329" s="16"/>
      <c r="AK3329" s="16"/>
      <c r="AL3329" s="17"/>
    </row>
    <row r="3330" spans="9:38" x14ac:dyDescent="0.4">
      <c r="I3330" s="11"/>
      <c r="J3330" s="9"/>
      <c r="K3330" s="9"/>
      <c r="O3330" s="11"/>
      <c r="P3330" s="9"/>
      <c r="Q3330" s="9"/>
      <c r="R3330" s="9"/>
      <c r="S3330" s="9"/>
      <c r="T3330" s="31"/>
      <c r="W3330" s="16"/>
      <c r="X3330" s="9"/>
      <c r="Y3330" s="9"/>
      <c r="AA3330" s="16"/>
      <c r="AK3330" s="16"/>
      <c r="AL3330" s="17"/>
    </row>
    <row r="3331" spans="9:38" x14ac:dyDescent="0.4">
      <c r="I3331" s="11"/>
      <c r="J3331" s="9"/>
      <c r="K3331" s="9"/>
      <c r="O3331" s="11"/>
      <c r="P3331" s="9"/>
      <c r="Q3331" s="9"/>
      <c r="R3331" s="9"/>
      <c r="S3331" s="9"/>
      <c r="T3331" s="31"/>
      <c r="W3331" s="16"/>
      <c r="X3331" s="9"/>
      <c r="Y3331" s="9"/>
      <c r="AA3331" s="16"/>
      <c r="AK3331" s="16"/>
      <c r="AL3331" s="17"/>
    </row>
    <row r="3332" spans="9:38" x14ac:dyDescent="0.4">
      <c r="I3332" s="11"/>
      <c r="J3332" s="9"/>
      <c r="K3332" s="9"/>
      <c r="O3332" s="11"/>
      <c r="P3332" s="9"/>
      <c r="Q3332" s="9"/>
      <c r="R3332" s="9"/>
      <c r="S3332" s="9"/>
      <c r="T3332" s="31"/>
      <c r="W3332" s="16"/>
      <c r="X3332" s="9"/>
      <c r="Y3332" s="9"/>
      <c r="AA3332" s="16"/>
      <c r="AK3332" s="16"/>
      <c r="AL3332" s="17"/>
    </row>
    <row r="3333" spans="9:38" x14ac:dyDescent="0.4">
      <c r="I3333" s="11"/>
      <c r="J3333" s="9"/>
      <c r="K3333" s="9"/>
      <c r="O3333" s="11"/>
      <c r="P3333" s="9"/>
      <c r="Q3333" s="9"/>
      <c r="R3333" s="9"/>
      <c r="S3333" s="9"/>
      <c r="T3333" s="31"/>
      <c r="W3333" s="16"/>
      <c r="X3333" s="9"/>
      <c r="Y3333" s="9"/>
      <c r="AA3333" s="16"/>
      <c r="AK3333" s="16"/>
      <c r="AL3333" s="17"/>
    </row>
    <row r="3334" spans="9:38" x14ac:dyDescent="0.4">
      <c r="I3334" s="11"/>
      <c r="J3334" s="9"/>
      <c r="K3334" s="9"/>
      <c r="O3334" s="11"/>
      <c r="P3334" s="9"/>
      <c r="Q3334" s="9"/>
      <c r="R3334" s="9"/>
      <c r="S3334" s="9"/>
      <c r="T3334" s="31"/>
      <c r="W3334" s="16"/>
      <c r="X3334" s="9"/>
      <c r="Y3334" s="9"/>
      <c r="AA3334" s="16"/>
      <c r="AK3334" s="16"/>
      <c r="AL3334" s="17"/>
    </row>
    <row r="3335" spans="9:38" x14ac:dyDescent="0.4">
      <c r="I3335" s="11"/>
      <c r="J3335" s="9"/>
      <c r="K3335" s="9"/>
      <c r="O3335" s="11"/>
      <c r="P3335" s="9"/>
      <c r="Q3335" s="9"/>
      <c r="R3335" s="9"/>
      <c r="S3335" s="9"/>
      <c r="T3335" s="31"/>
      <c r="W3335" s="16"/>
      <c r="X3335" s="9"/>
      <c r="Y3335" s="9"/>
      <c r="AA3335" s="16"/>
      <c r="AK3335" s="16"/>
      <c r="AL3335" s="17"/>
    </row>
    <row r="3336" spans="9:38" x14ac:dyDescent="0.4">
      <c r="I3336" s="11"/>
      <c r="J3336" s="9"/>
      <c r="K3336" s="9"/>
      <c r="O3336" s="11"/>
      <c r="P3336" s="9"/>
      <c r="Q3336" s="9"/>
      <c r="R3336" s="9"/>
      <c r="S3336" s="9"/>
      <c r="T3336" s="31"/>
      <c r="W3336" s="16"/>
      <c r="X3336" s="9"/>
      <c r="Y3336" s="9"/>
      <c r="AA3336" s="16"/>
      <c r="AK3336" s="16"/>
      <c r="AL3336" s="17"/>
    </row>
    <row r="3337" spans="9:38" x14ac:dyDescent="0.4">
      <c r="I3337" s="11"/>
      <c r="J3337" s="9"/>
      <c r="K3337" s="9"/>
      <c r="O3337" s="11"/>
      <c r="P3337" s="9"/>
      <c r="Q3337" s="9"/>
      <c r="R3337" s="9"/>
      <c r="S3337" s="9"/>
      <c r="T3337" s="31"/>
      <c r="W3337" s="16"/>
      <c r="X3337" s="9"/>
      <c r="Y3337" s="9"/>
      <c r="AA3337" s="16"/>
      <c r="AK3337" s="16"/>
      <c r="AL3337" s="17"/>
    </row>
    <row r="3338" spans="9:38" x14ac:dyDescent="0.4">
      <c r="I3338" s="11"/>
      <c r="J3338" s="9"/>
      <c r="K3338" s="9"/>
      <c r="O3338" s="11"/>
      <c r="P3338" s="9"/>
      <c r="Q3338" s="9"/>
      <c r="R3338" s="9"/>
      <c r="S3338" s="9"/>
      <c r="T3338" s="31"/>
      <c r="W3338" s="16"/>
      <c r="X3338" s="9"/>
      <c r="Y3338" s="9"/>
      <c r="AA3338" s="16"/>
      <c r="AK3338" s="16"/>
      <c r="AL3338" s="17"/>
    </row>
    <row r="3339" spans="9:38" x14ac:dyDescent="0.4">
      <c r="I3339" s="11"/>
      <c r="J3339" s="9"/>
      <c r="K3339" s="9"/>
      <c r="O3339" s="11"/>
      <c r="P3339" s="9"/>
      <c r="Q3339" s="9"/>
      <c r="R3339" s="9"/>
      <c r="S3339" s="9"/>
      <c r="T3339" s="31"/>
      <c r="W3339" s="16"/>
      <c r="X3339" s="9"/>
      <c r="Y3339" s="9"/>
      <c r="AA3339" s="16"/>
      <c r="AK3339" s="16"/>
      <c r="AL3339" s="17"/>
    </row>
    <row r="3340" spans="9:38" x14ac:dyDescent="0.4">
      <c r="I3340" s="11"/>
      <c r="J3340" s="9"/>
      <c r="K3340" s="9"/>
      <c r="O3340" s="11"/>
      <c r="P3340" s="9"/>
      <c r="Q3340" s="9"/>
      <c r="R3340" s="9"/>
      <c r="S3340" s="9"/>
      <c r="T3340" s="31"/>
      <c r="W3340" s="16"/>
      <c r="X3340" s="9"/>
      <c r="Y3340" s="9"/>
      <c r="AA3340" s="16"/>
      <c r="AK3340" s="16"/>
      <c r="AL3340" s="17"/>
    </row>
    <row r="3341" spans="9:38" x14ac:dyDescent="0.4">
      <c r="I3341" s="11"/>
      <c r="J3341" s="9"/>
      <c r="K3341" s="9"/>
      <c r="O3341" s="11"/>
      <c r="P3341" s="9"/>
      <c r="Q3341" s="9"/>
      <c r="R3341" s="9"/>
      <c r="S3341" s="9"/>
      <c r="T3341" s="31"/>
      <c r="W3341" s="16"/>
      <c r="X3341" s="9"/>
      <c r="Y3341" s="9"/>
      <c r="AA3341" s="16"/>
      <c r="AK3341" s="16"/>
      <c r="AL3341" s="17"/>
    </row>
    <row r="3342" spans="9:38" x14ac:dyDescent="0.4">
      <c r="I3342" s="11"/>
      <c r="J3342" s="9"/>
      <c r="K3342" s="9"/>
      <c r="O3342" s="11"/>
      <c r="P3342" s="9"/>
      <c r="Q3342" s="9"/>
      <c r="R3342" s="9"/>
      <c r="S3342" s="9"/>
      <c r="T3342" s="31"/>
      <c r="W3342" s="16"/>
      <c r="X3342" s="9"/>
      <c r="Y3342" s="9"/>
      <c r="AA3342" s="16"/>
      <c r="AK3342" s="16"/>
      <c r="AL3342" s="17"/>
    </row>
    <row r="3343" spans="9:38" x14ac:dyDescent="0.4">
      <c r="I3343" s="11"/>
      <c r="J3343" s="9"/>
      <c r="K3343" s="9"/>
      <c r="O3343" s="11"/>
      <c r="P3343" s="9"/>
      <c r="Q3343" s="9"/>
      <c r="R3343" s="9"/>
      <c r="S3343" s="9"/>
      <c r="T3343" s="31"/>
      <c r="W3343" s="16"/>
      <c r="X3343" s="9"/>
      <c r="Y3343" s="9"/>
      <c r="AA3343" s="16"/>
      <c r="AK3343" s="16"/>
      <c r="AL3343" s="17"/>
    </row>
    <row r="3344" spans="9:38" x14ac:dyDescent="0.4">
      <c r="I3344" s="11"/>
      <c r="J3344" s="9"/>
      <c r="K3344" s="9"/>
      <c r="O3344" s="11"/>
      <c r="P3344" s="9"/>
      <c r="Q3344" s="9"/>
      <c r="R3344" s="9"/>
      <c r="S3344" s="9"/>
      <c r="T3344" s="31"/>
      <c r="W3344" s="16"/>
      <c r="X3344" s="9"/>
      <c r="Y3344" s="9"/>
      <c r="AA3344" s="16"/>
      <c r="AK3344" s="16"/>
      <c r="AL3344" s="17"/>
    </row>
    <row r="3345" spans="9:38" x14ac:dyDescent="0.4">
      <c r="I3345" s="11"/>
      <c r="J3345" s="9"/>
      <c r="K3345" s="9"/>
      <c r="O3345" s="11"/>
      <c r="P3345" s="9"/>
      <c r="Q3345" s="9"/>
      <c r="R3345" s="9"/>
      <c r="S3345" s="9"/>
      <c r="T3345" s="31"/>
      <c r="W3345" s="16"/>
      <c r="X3345" s="9"/>
      <c r="Y3345" s="9"/>
      <c r="AA3345" s="16"/>
      <c r="AK3345" s="16"/>
      <c r="AL3345" s="17"/>
    </row>
    <row r="3346" spans="9:38" x14ac:dyDescent="0.4">
      <c r="I3346" s="11"/>
      <c r="J3346" s="9"/>
      <c r="K3346" s="9"/>
      <c r="O3346" s="11"/>
      <c r="P3346" s="9"/>
      <c r="Q3346" s="9"/>
      <c r="R3346" s="9"/>
      <c r="S3346" s="9"/>
      <c r="T3346" s="31"/>
      <c r="W3346" s="16"/>
      <c r="X3346" s="9"/>
      <c r="Y3346" s="9"/>
      <c r="AA3346" s="16"/>
      <c r="AK3346" s="16"/>
      <c r="AL3346" s="17"/>
    </row>
    <row r="3347" spans="9:38" x14ac:dyDescent="0.4">
      <c r="I3347" s="11"/>
      <c r="J3347" s="9"/>
      <c r="K3347" s="9"/>
      <c r="O3347" s="11"/>
      <c r="P3347" s="9"/>
      <c r="Q3347" s="9"/>
      <c r="R3347" s="9"/>
      <c r="S3347" s="9"/>
      <c r="T3347" s="31"/>
      <c r="W3347" s="16"/>
      <c r="X3347" s="9"/>
      <c r="Y3347" s="9"/>
      <c r="AA3347" s="16"/>
      <c r="AK3347" s="16"/>
      <c r="AL3347" s="17"/>
    </row>
    <row r="3348" spans="9:38" x14ac:dyDescent="0.4">
      <c r="I3348" s="11"/>
      <c r="J3348" s="9"/>
      <c r="K3348" s="9"/>
      <c r="O3348" s="11"/>
      <c r="P3348" s="9"/>
      <c r="Q3348" s="9"/>
      <c r="R3348" s="9"/>
      <c r="S3348" s="9"/>
      <c r="T3348" s="31"/>
      <c r="W3348" s="16"/>
      <c r="X3348" s="9"/>
      <c r="Y3348" s="9"/>
      <c r="AA3348" s="16"/>
      <c r="AK3348" s="16"/>
      <c r="AL3348" s="17"/>
    </row>
    <row r="3349" spans="9:38" x14ac:dyDescent="0.4">
      <c r="I3349" s="11"/>
      <c r="J3349" s="9"/>
      <c r="K3349" s="9"/>
      <c r="O3349" s="11"/>
      <c r="P3349" s="9"/>
      <c r="Q3349" s="9"/>
      <c r="R3349" s="9"/>
      <c r="S3349" s="9"/>
      <c r="T3349" s="31"/>
      <c r="W3349" s="16"/>
      <c r="X3349" s="9"/>
      <c r="Y3349" s="9"/>
      <c r="AA3349" s="16"/>
      <c r="AK3349" s="16"/>
      <c r="AL3349" s="17"/>
    </row>
    <row r="3350" spans="9:38" x14ac:dyDescent="0.4">
      <c r="I3350" s="11"/>
      <c r="J3350" s="9"/>
      <c r="K3350" s="9"/>
      <c r="O3350" s="11"/>
      <c r="P3350" s="9"/>
      <c r="Q3350" s="9"/>
      <c r="R3350" s="9"/>
      <c r="S3350" s="9"/>
      <c r="T3350" s="31"/>
      <c r="W3350" s="16"/>
      <c r="X3350" s="9"/>
      <c r="Y3350" s="9"/>
      <c r="AA3350" s="16"/>
      <c r="AK3350" s="16"/>
      <c r="AL3350" s="17"/>
    </row>
    <row r="3351" spans="9:38" x14ac:dyDescent="0.4">
      <c r="I3351" s="11"/>
      <c r="J3351" s="9"/>
      <c r="K3351" s="9"/>
      <c r="O3351" s="11"/>
      <c r="P3351" s="9"/>
      <c r="Q3351" s="9"/>
      <c r="R3351" s="9"/>
      <c r="S3351" s="9"/>
      <c r="T3351" s="31"/>
      <c r="W3351" s="16"/>
      <c r="X3351" s="9"/>
      <c r="Y3351" s="9"/>
      <c r="AA3351" s="16"/>
      <c r="AK3351" s="16"/>
      <c r="AL3351" s="17"/>
    </row>
    <row r="3352" spans="9:38" x14ac:dyDescent="0.4">
      <c r="I3352" s="11"/>
      <c r="J3352" s="9"/>
      <c r="K3352" s="9"/>
      <c r="O3352" s="11"/>
      <c r="P3352" s="9"/>
      <c r="Q3352" s="9"/>
      <c r="R3352" s="9"/>
      <c r="S3352" s="9"/>
      <c r="T3352" s="31"/>
      <c r="W3352" s="16"/>
      <c r="X3352" s="9"/>
      <c r="Y3352" s="9"/>
      <c r="AA3352" s="16"/>
      <c r="AK3352" s="16"/>
      <c r="AL3352" s="17"/>
    </row>
    <row r="3353" spans="9:38" x14ac:dyDescent="0.4">
      <c r="I3353" s="11"/>
      <c r="J3353" s="9"/>
      <c r="K3353" s="9"/>
      <c r="O3353" s="11"/>
      <c r="P3353" s="9"/>
      <c r="Q3353" s="9"/>
      <c r="R3353" s="9"/>
      <c r="S3353" s="9"/>
      <c r="T3353" s="31"/>
      <c r="W3353" s="16"/>
      <c r="X3353" s="9"/>
      <c r="Y3353" s="9"/>
      <c r="AA3353" s="16"/>
      <c r="AK3353" s="16"/>
      <c r="AL3353" s="17"/>
    </row>
    <row r="3354" spans="9:38" x14ac:dyDescent="0.4">
      <c r="I3354" s="11"/>
      <c r="J3354" s="9"/>
      <c r="K3354" s="9"/>
      <c r="O3354" s="11"/>
      <c r="P3354" s="9"/>
      <c r="Q3354" s="9"/>
      <c r="R3354" s="9"/>
      <c r="S3354" s="9"/>
      <c r="T3354" s="31"/>
      <c r="W3354" s="16"/>
      <c r="X3354" s="9"/>
      <c r="Y3354" s="9"/>
      <c r="AA3354" s="16"/>
      <c r="AK3354" s="16"/>
      <c r="AL3354" s="17"/>
    </row>
    <row r="3355" spans="9:38" x14ac:dyDescent="0.4">
      <c r="I3355" s="11"/>
      <c r="J3355" s="9"/>
      <c r="K3355" s="9"/>
      <c r="O3355" s="11"/>
      <c r="P3355" s="9"/>
      <c r="Q3355" s="9"/>
      <c r="R3355" s="9"/>
      <c r="S3355" s="9"/>
      <c r="T3355" s="31"/>
      <c r="W3355" s="16"/>
      <c r="X3355" s="9"/>
      <c r="Y3355" s="9"/>
      <c r="AA3355" s="16"/>
      <c r="AK3355" s="16"/>
      <c r="AL3355" s="17"/>
    </row>
    <row r="3356" spans="9:38" x14ac:dyDescent="0.4">
      <c r="I3356" s="11"/>
      <c r="J3356" s="9"/>
      <c r="K3356" s="9"/>
      <c r="O3356" s="11"/>
      <c r="P3356" s="9"/>
      <c r="Q3356" s="9"/>
      <c r="R3356" s="9"/>
      <c r="S3356" s="9"/>
      <c r="T3356" s="31"/>
      <c r="W3356" s="16"/>
      <c r="X3356" s="9"/>
      <c r="Y3356" s="9"/>
      <c r="AA3356" s="16"/>
      <c r="AK3356" s="16"/>
      <c r="AL3356" s="17"/>
    </row>
    <row r="3357" spans="9:38" x14ac:dyDescent="0.4">
      <c r="I3357" s="11"/>
      <c r="J3357" s="9"/>
      <c r="K3357" s="9"/>
      <c r="O3357" s="11"/>
      <c r="P3357" s="9"/>
      <c r="Q3357" s="9"/>
      <c r="R3357" s="9"/>
      <c r="S3357" s="9"/>
      <c r="T3357" s="31"/>
      <c r="W3357" s="16"/>
      <c r="X3357" s="9"/>
      <c r="Y3357" s="9"/>
      <c r="AA3357" s="16"/>
      <c r="AK3357" s="16"/>
      <c r="AL3357" s="17"/>
    </row>
    <row r="3358" spans="9:38" x14ac:dyDescent="0.4">
      <c r="I3358" s="11"/>
      <c r="J3358" s="9"/>
      <c r="K3358" s="9"/>
      <c r="O3358" s="11"/>
      <c r="P3358" s="9"/>
      <c r="Q3358" s="9"/>
      <c r="R3358" s="9"/>
      <c r="S3358" s="9"/>
      <c r="T3358" s="31"/>
      <c r="W3358" s="16"/>
      <c r="X3358" s="9"/>
      <c r="Y3358" s="9"/>
      <c r="AA3358" s="16"/>
      <c r="AK3358" s="16"/>
      <c r="AL3358" s="17"/>
    </row>
    <row r="3359" spans="9:38" x14ac:dyDescent="0.4">
      <c r="I3359" s="11"/>
      <c r="J3359" s="9"/>
      <c r="K3359" s="9"/>
      <c r="O3359" s="11"/>
      <c r="P3359" s="9"/>
      <c r="Q3359" s="9"/>
      <c r="R3359" s="9"/>
      <c r="S3359" s="9"/>
      <c r="T3359" s="31"/>
      <c r="W3359" s="16"/>
      <c r="X3359" s="9"/>
      <c r="Y3359" s="9"/>
      <c r="AA3359" s="16"/>
      <c r="AK3359" s="16"/>
      <c r="AL3359" s="17"/>
    </row>
    <row r="3360" spans="9:38" x14ac:dyDescent="0.4">
      <c r="I3360" s="11"/>
      <c r="J3360" s="9"/>
      <c r="K3360" s="9"/>
      <c r="O3360" s="11"/>
      <c r="P3360" s="9"/>
      <c r="Q3360" s="9"/>
      <c r="R3360" s="9"/>
      <c r="S3360" s="9"/>
      <c r="T3360" s="31"/>
      <c r="W3360" s="16"/>
      <c r="X3360" s="9"/>
      <c r="Y3360" s="9"/>
      <c r="AA3360" s="16"/>
      <c r="AK3360" s="16"/>
      <c r="AL3360" s="17"/>
    </row>
    <row r="3361" spans="9:38" x14ac:dyDescent="0.4">
      <c r="I3361" s="11"/>
      <c r="J3361" s="9"/>
      <c r="K3361" s="9"/>
      <c r="O3361" s="11"/>
      <c r="P3361" s="9"/>
      <c r="Q3361" s="9"/>
      <c r="R3361" s="9"/>
      <c r="S3361" s="9"/>
      <c r="T3361" s="31"/>
      <c r="W3361" s="16"/>
      <c r="X3361" s="9"/>
      <c r="Y3361" s="9"/>
      <c r="AA3361" s="16"/>
      <c r="AK3361" s="16"/>
      <c r="AL3361" s="17"/>
    </row>
    <row r="3362" spans="9:38" x14ac:dyDescent="0.4">
      <c r="I3362" s="11"/>
      <c r="J3362" s="9"/>
      <c r="K3362" s="9"/>
      <c r="O3362" s="11"/>
      <c r="P3362" s="9"/>
      <c r="Q3362" s="9"/>
      <c r="R3362" s="9"/>
      <c r="S3362" s="9"/>
      <c r="T3362" s="31"/>
      <c r="W3362" s="16"/>
      <c r="X3362" s="9"/>
      <c r="Y3362" s="9"/>
      <c r="AA3362" s="16"/>
      <c r="AK3362" s="16"/>
      <c r="AL3362" s="17"/>
    </row>
    <row r="3363" spans="9:38" x14ac:dyDescent="0.4">
      <c r="I3363" s="11"/>
      <c r="J3363" s="9"/>
      <c r="K3363" s="9"/>
      <c r="O3363" s="11"/>
      <c r="P3363" s="9"/>
      <c r="Q3363" s="9"/>
      <c r="R3363" s="9"/>
      <c r="S3363" s="9"/>
      <c r="T3363" s="31"/>
      <c r="W3363" s="16"/>
      <c r="X3363" s="9"/>
      <c r="Y3363" s="9"/>
      <c r="AA3363" s="16"/>
      <c r="AK3363" s="16"/>
      <c r="AL3363" s="17"/>
    </row>
    <row r="3364" spans="9:38" x14ac:dyDescent="0.4">
      <c r="I3364" s="11"/>
      <c r="J3364" s="9"/>
      <c r="K3364" s="9"/>
      <c r="O3364" s="11"/>
      <c r="P3364" s="9"/>
      <c r="Q3364" s="9"/>
      <c r="R3364" s="9"/>
      <c r="S3364" s="9"/>
      <c r="T3364" s="31"/>
      <c r="W3364" s="16"/>
      <c r="X3364" s="9"/>
      <c r="Y3364" s="9"/>
      <c r="AA3364" s="16"/>
      <c r="AK3364" s="16"/>
      <c r="AL3364" s="17"/>
    </row>
    <row r="3365" spans="9:38" x14ac:dyDescent="0.4">
      <c r="I3365" s="11"/>
      <c r="J3365" s="9"/>
      <c r="K3365" s="9"/>
      <c r="O3365" s="11"/>
      <c r="P3365" s="9"/>
      <c r="Q3365" s="9"/>
      <c r="R3365" s="9"/>
      <c r="S3365" s="9"/>
      <c r="T3365" s="31"/>
      <c r="W3365" s="16"/>
      <c r="X3365" s="9"/>
      <c r="Y3365" s="9"/>
      <c r="AA3365" s="16"/>
      <c r="AK3365" s="16"/>
      <c r="AL3365" s="17"/>
    </row>
    <row r="3366" spans="9:38" x14ac:dyDescent="0.4">
      <c r="I3366" s="11"/>
      <c r="J3366" s="9"/>
      <c r="K3366" s="9"/>
      <c r="O3366" s="11"/>
      <c r="P3366" s="9"/>
      <c r="Q3366" s="9"/>
      <c r="R3366" s="9"/>
      <c r="S3366" s="9"/>
      <c r="T3366" s="31"/>
      <c r="W3366" s="16"/>
      <c r="X3366" s="9"/>
      <c r="Y3366" s="9"/>
      <c r="AA3366" s="16"/>
      <c r="AK3366" s="16"/>
      <c r="AL3366" s="17"/>
    </row>
    <row r="3367" spans="9:38" x14ac:dyDescent="0.4">
      <c r="I3367" s="11"/>
      <c r="J3367" s="9"/>
      <c r="K3367" s="9"/>
      <c r="O3367" s="11"/>
      <c r="P3367" s="9"/>
      <c r="Q3367" s="9"/>
      <c r="R3367" s="9"/>
      <c r="S3367" s="9"/>
      <c r="T3367" s="31"/>
      <c r="W3367" s="16"/>
      <c r="X3367" s="9"/>
      <c r="Y3367" s="9"/>
      <c r="AA3367" s="16"/>
      <c r="AK3367" s="16"/>
      <c r="AL3367" s="17"/>
    </row>
    <row r="3368" spans="9:38" x14ac:dyDescent="0.4">
      <c r="I3368" s="11"/>
      <c r="J3368" s="9"/>
      <c r="K3368" s="9"/>
      <c r="O3368" s="11"/>
      <c r="P3368" s="9"/>
      <c r="Q3368" s="9"/>
      <c r="R3368" s="9"/>
      <c r="S3368" s="9"/>
      <c r="T3368" s="31"/>
      <c r="W3368" s="16"/>
      <c r="X3368" s="9"/>
      <c r="Y3368" s="9"/>
      <c r="AA3368" s="16"/>
      <c r="AK3368" s="16"/>
      <c r="AL3368" s="17"/>
    </row>
    <row r="3369" spans="9:38" x14ac:dyDescent="0.4">
      <c r="I3369" s="11"/>
      <c r="J3369" s="9"/>
      <c r="K3369" s="9"/>
      <c r="O3369" s="11"/>
      <c r="P3369" s="9"/>
      <c r="Q3369" s="9"/>
      <c r="R3369" s="9"/>
      <c r="S3369" s="9"/>
      <c r="T3369" s="31"/>
      <c r="W3369" s="16"/>
      <c r="X3369" s="9"/>
      <c r="Y3369" s="9"/>
      <c r="AA3369" s="16"/>
      <c r="AK3369" s="16"/>
      <c r="AL3369" s="17"/>
    </row>
    <row r="3370" spans="9:38" x14ac:dyDescent="0.4">
      <c r="I3370" s="11"/>
      <c r="J3370" s="9"/>
      <c r="K3370" s="9"/>
      <c r="O3370" s="11"/>
      <c r="P3370" s="9"/>
      <c r="Q3370" s="9"/>
      <c r="R3370" s="9"/>
      <c r="S3370" s="9"/>
      <c r="T3370" s="31"/>
      <c r="W3370" s="16"/>
      <c r="X3370" s="9"/>
      <c r="Y3370" s="9"/>
      <c r="AA3370" s="16"/>
      <c r="AK3370" s="16"/>
      <c r="AL3370" s="17"/>
    </row>
    <row r="3371" spans="9:38" x14ac:dyDescent="0.4">
      <c r="I3371" s="11"/>
      <c r="J3371" s="9"/>
      <c r="K3371" s="9"/>
      <c r="O3371" s="11"/>
      <c r="P3371" s="9"/>
      <c r="Q3371" s="9"/>
      <c r="R3371" s="9"/>
      <c r="S3371" s="9"/>
      <c r="T3371" s="31"/>
      <c r="W3371" s="16"/>
      <c r="X3371" s="9"/>
      <c r="Y3371" s="9"/>
      <c r="AA3371" s="16"/>
      <c r="AK3371" s="16"/>
      <c r="AL3371" s="17"/>
    </row>
    <row r="3372" spans="9:38" x14ac:dyDescent="0.4">
      <c r="I3372" s="11"/>
      <c r="J3372" s="9"/>
      <c r="K3372" s="9"/>
      <c r="O3372" s="11"/>
      <c r="P3372" s="9"/>
      <c r="Q3372" s="9"/>
      <c r="R3372" s="9"/>
      <c r="S3372" s="9"/>
      <c r="T3372" s="31"/>
      <c r="W3372" s="16"/>
      <c r="X3372" s="9"/>
      <c r="Y3372" s="9"/>
      <c r="AA3372" s="16"/>
      <c r="AK3372" s="16"/>
      <c r="AL3372" s="17"/>
    </row>
    <row r="3373" spans="9:38" x14ac:dyDescent="0.4">
      <c r="I3373" s="11"/>
      <c r="J3373" s="9"/>
      <c r="K3373" s="9"/>
      <c r="O3373" s="11"/>
      <c r="P3373" s="9"/>
      <c r="Q3373" s="9"/>
      <c r="R3373" s="9"/>
      <c r="S3373" s="9"/>
      <c r="T3373" s="31"/>
      <c r="W3373" s="16"/>
      <c r="X3373" s="9"/>
      <c r="Y3373" s="9"/>
      <c r="AA3373" s="16"/>
      <c r="AK3373" s="16"/>
      <c r="AL3373" s="17"/>
    </row>
    <row r="3374" spans="9:38" x14ac:dyDescent="0.4">
      <c r="I3374" s="11"/>
      <c r="J3374" s="9"/>
      <c r="K3374" s="9"/>
      <c r="O3374" s="11"/>
      <c r="P3374" s="9"/>
      <c r="Q3374" s="9"/>
      <c r="R3374" s="9"/>
      <c r="S3374" s="9"/>
      <c r="T3374" s="31"/>
      <c r="W3374" s="16"/>
      <c r="X3374" s="9"/>
      <c r="Y3374" s="9"/>
      <c r="AA3374" s="16"/>
      <c r="AK3374" s="16"/>
      <c r="AL3374" s="17"/>
    </row>
    <row r="3375" spans="9:38" x14ac:dyDescent="0.4">
      <c r="I3375" s="11"/>
      <c r="J3375" s="9"/>
      <c r="K3375" s="9"/>
      <c r="O3375" s="11"/>
      <c r="P3375" s="9"/>
      <c r="Q3375" s="9"/>
      <c r="R3375" s="9"/>
      <c r="S3375" s="9"/>
      <c r="T3375" s="31"/>
      <c r="W3375" s="16"/>
      <c r="X3375" s="9"/>
      <c r="Y3375" s="9"/>
      <c r="AA3375" s="16"/>
      <c r="AK3375" s="16"/>
      <c r="AL3375" s="17"/>
    </row>
    <row r="3376" spans="9:38" x14ac:dyDescent="0.4">
      <c r="I3376" s="11"/>
      <c r="J3376" s="9"/>
      <c r="K3376" s="9"/>
      <c r="O3376" s="11"/>
      <c r="P3376" s="9"/>
      <c r="Q3376" s="9"/>
      <c r="R3376" s="9"/>
      <c r="S3376" s="9"/>
      <c r="T3376" s="31"/>
      <c r="W3376" s="16"/>
      <c r="X3376" s="9"/>
      <c r="Y3376" s="9"/>
      <c r="AA3376" s="16"/>
      <c r="AK3376" s="16"/>
      <c r="AL3376" s="17"/>
    </row>
    <row r="3377" spans="9:38" x14ac:dyDescent="0.4">
      <c r="I3377" s="11"/>
      <c r="J3377" s="9"/>
      <c r="K3377" s="9"/>
      <c r="O3377" s="11"/>
      <c r="P3377" s="9"/>
      <c r="Q3377" s="9"/>
      <c r="R3377" s="9"/>
      <c r="S3377" s="9"/>
      <c r="T3377" s="31"/>
      <c r="W3377" s="16"/>
      <c r="X3377" s="9"/>
      <c r="Y3377" s="9"/>
      <c r="AA3377" s="16"/>
      <c r="AK3377" s="16"/>
      <c r="AL3377" s="17"/>
    </row>
    <row r="3378" spans="9:38" x14ac:dyDescent="0.4">
      <c r="I3378" s="11"/>
      <c r="J3378" s="9"/>
      <c r="K3378" s="9"/>
      <c r="O3378" s="11"/>
      <c r="P3378" s="9"/>
      <c r="Q3378" s="9"/>
      <c r="R3378" s="9"/>
      <c r="S3378" s="9"/>
      <c r="T3378" s="31"/>
      <c r="W3378" s="16"/>
      <c r="X3378" s="9"/>
      <c r="Y3378" s="9"/>
      <c r="AA3378" s="16"/>
      <c r="AK3378" s="16"/>
      <c r="AL3378" s="17"/>
    </row>
    <row r="3379" spans="9:38" x14ac:dyDescent="0.4">
      <c r="I3379" s="11"/>
      <c r="J3379" s="9"/>
      <c r="K3379" s="9"/>
      <c r="O3379" s="11"/>
      <c r="P3379" s="9"/>
      <c r="Q3379" s="9"/>
      <c r="R3379" s="9"/>
      <c r="S3379" s="9"/>
      <c r="T3379" s="31"/>
      <c r="W3379" s="16"/>
      <c r="X3379" s="9"/>
      <c r="Y3379" s="9"/>
      <c r="AA3379" s="16"/>
      <c r="AK3379" s="16"/>
      <c r="AL3379" s="17"/>
    </row>
    <row r="3380" spans="9:38" x14ac:dyDescent="0.4">
      <c r="I3380" s="11"/>
      <c r="J3380" s="9"/>
      <c r="K3380" s="9"/>
      <c r="O3380" s="11"/>
      <c r="P3380" s="9"/>
      <c r="Q3380" s="9"/>
      <c r="R3380" s="9"/>
      <c r="S3380" s="9"/>
      <c r="T3380" s="31"/>
      <c r="W3380" s="16"/>
      <c r="X3380" s="9"/>
      <c r="Y3380" s="9"/>
      <c r="AA3380" s="16"/>
      <c r="AK3380" s="16"/>
      <c r="AL3380" s="17"/>
    </row>
    <row r="3381" spans="9:38" x14ac:dyDescent="0.4">
      <c r="I3381" s="11"/>
      <c r="J3381" s="9"/>
      <c r="K3381" s="9"/>
      <c r="O3381" s="11"/>
      <c r="P3381" s="9"/>
      <c r="Q3381" s="9"/>
      <c r="R3381" s="9"/>
      <c r="S3381" s="9"/>
      <c r="T3381" s="31"/>
      <c r="W3381" s="16"/>
      <c r="X3381" s="9"/>
      <c r="Y3381" s="9"/>
      <c r="AA3381" s="16"/>
      <c r="AK3381" s="16"/>
      <c r="AL3381" s="17"/>
    </row>
    <row r="3382" spans="9:38" x14ac:dyDescent="0.4">
      <c r="I3382" s="11"/>
      <c r="J3382" s="9"/>
      <c r="K3382" s="9"/>
      <c r="O3382" s="11"/>
      <c r="P3382" s="9"/>
      <c r="Q3382" s="9"/>
      <c r="R3382" s="9"/>
      <c r="S3382" s="9"/>
      <c r="T3382" s="31"/>
      <c r="W3382" s="16"/>
      <c r="X3382" s="9"/>
      <c r="Y3382" s="9"/>
      <c r="AA3382" s="16"/>
      <c r="AK3382" s="16"/>
      <c r="AL3382" s="17"/>
    </row>
    <row r="3383" spans="9:38" x14ac:dyDescent="0.4">
      <c r="I3383" s="11"/>
      <c r="J3383" s="9"/>
      <c r="K3383" s="9"/>
      <c r="O3383" s="11"/>
      <c r="P3383" s="9"/>
      <c r="Q3383" s="9"/>
      <c r="R3383" s="9"/>
      <c r="S3383" s="9"/>
      <c r="T3383" s="31"/>
      <c r="W3383" s="16"/>
      <c r="X3383" s="9"/>
      <c r="Y3383" s="9"/>
      <c r="AA3383" s="16"/>
      <c r="AK3383" s="16"/>
      <c r="AL3383" s="17"/>
    </row>
    <row r="3384" spans="9:38" x14ac:dyDescent="0.4">
      <c r="I3384" s="11"/>
      <c r="J3384" s="9"/>
      <c r="K3384" s="9"/>
      <c r="O3384" s="11"/>
      <c r="P3384" s="9"/>
      <c r="Q3384" s="9"/>
      <c r="R3384" s="9"/>
      <c r="S3384" s="9"/>
      <c r="T3384" s="31"/>
      <c r="W3384" s="16"/>
      <c r="X3384" s="9"/>
      <c r="Y3384" s="9"/>
      <c r="AA3384" s="16"/>
      <c r="AK3384" s="16"/>
      <c r="AL3384" s="17"/>
    </row>
    <row r="3385" spans="9:38" x14ac:dyDescent="0.4">
      <c r="I3385" s="11"/>
      <c r="J3385" s="9"/>
      <c r="K3385" s="9"/>
      <c r="O3385" s="11"/>
      <c r="P3385" s="9"/>
      <c r="Q3385" s="9"/>
      <c r="R3385" s="9"/>
      <c r="S3385" s="9"/>
      <c r="T3385" s="31"/>
      <c r="W3385" s="16"/>
      <c r="X3385" s="9"/>
      <c r="Y3385" s="9"/>
      <c r="AA3385" s="16"/>
      <c r="AK3385" s="16"/>
      <c r="AL3385" s="17"/>
    </row>
    <row r="3386" spans="9:38" x14ac:dyDescent="0.4">
      <c r="I3386" s="11"/>
      <c r="J3386" s="9"/>
      <c r="K3386" s="9"/>
      <c r="O3386" s="11"/>
      <c r="P3386" s="9"/>
      <c r="Q3386" s="9"/>
      <c r="R3386" s="9"/>
      <c r="S3386" s="9"/>
      <c r="T3386" s="31"/>
      <c r="W3386" s="16"/>
      <c r="X3386" s="9"/>
      <c r="Y3386" s="9"/>
      <c r="AA3386" s="16"/>
      <c r="AK3386" s="16"/>
      <c r="AL3386" s="17"/>
    </row>
    <row r="3387" spans="9:38" x14ac:dyDescent="0.4">
      <c r="I3387" s="11"/>
      <c r="J3387" s="9"/>
      <c r="K3387" s="9"/>
      <c r="O3387" s="11"/>
      <c r="P3387" s="9"/>
      <c r="Q3387" s="9"/>
      <c r="R3387" s="9"/>
      <c r="S3387" s="9"/>
      <c r="T3387" s="31"/>
      <c r="W3387" s="16"/>
      <c r="X3387" s="9"/>
      <c r="Y3387" s="9"/>
      <c r="AA3387" s="16"/>
      <c r="AK3387" s="16"/>
      <c r="AL3387" s="17"/>
    </row>
    <row r="3388" spans="9:38" x14ac:dyDescent="0.4">
      <c r="I3388" s="11"/>
      <c r="J3388" s="9"/>
      <c r="K3388" s="9"/>
      <c r="O3388" s="11"/>
      <c r="P3388" s="9"/>
      <c r="Q3388" s="9"/>
      <c r="R3388" s="9"/>
      <c r="S3388" s="9"/>
      <c r="T3388" s="31"/>
      <c r="W3388" s="16"/>
      <c r="X3388" s="9"/>
      <c r="Y3388" s="9"/>
      <c r="AA3388" s="16"/>
      <c r="AK3388" s="16"/>
      <c r="AL3388" s="17"/>
    </row>
    <row r="3389" spans="9:38" x14ac:dyDescent="0.4">
      <c r="I3389" s="11"/>
      <c r="J3389" s="9"/>
      <c r="K3389" s="9"/>
      <c r="O3389" s="11"/>
      <c r="P3389" s="9"/>
      <c r="Q3389" s="9"/>
      <c r="R3389" s="9"/>
      <c r="S3389" s="9"/>
      <c r="T3389" s="31"/>
      <c r="W3389" s="16"/>
      <c r="X3389" s="9"/>
      <c r="Y3389" s="9"/>
      <c r="AA3389" s="16"/>
      <c r="AK3389" s="16"/>
      <c r="AL3389" s="17"/>
    </row>
    <row r="3390" spans="9:38" x14ac:dyDescent="0.4">
      <c r="I3390" s="11"/>
      <c r="J3390" s="9"/>
      <c r="K3390" s="9"/>
      <c r="O3390" s="11"/>
      <c r="P3390" s="9"/>
      <c r="Q3390" s="9"/>
      <c r="R3390" s="9"/>
      <c r="S3390" s="9"/>
      <c r="T3390" s="31"/>
      <c r="W3390" s="16"/>
      <c r="X3390" s="9"/>
      <c r="Y3390" s="9"/>
      <c r="AA3390" s="16"/>
      <c r="AK3390" s="16"/>
      <c r="AL3390" s="17"/>
    </row>
    <row r="3391" spans="9:38" x14ac:dyDescent="0.4">
      <c r="I3391" s="11"/>
      <c r="J3391" s="9"/>
      <c r="K3391" s="9"/>
      <c r="O3391" s="11"/>
      <c r="P3391" s="9"/>
      <c r="Q3391" s="9"/>
      <c r="R3391" s="9"/>
      <c r="S3391" s="9"/>
      <c r="T3391" s="31"/>
      <c r="W3391" s="16"/>
      <c r="X3391" s="9"/>
      <c r="Y3391" s="9"/>
      <c r="AA3391" s="16"/>
      <c r="AK3391" s="16"/>
      <c r="AL3391" s="17"/>
    </row>
    <row r="3392" spans="9:38" x14ac:dyDescent="0.4">
      <c r="I3392" s="11"/>
      <c r="J3392" s="9"/>
      <c r="K3392" s="9"/>
      <c r="O3392" s="11"/>
      <c r="P3392" s="9"/>
      <c r="Q3392" s="9"/>
      <c r="R3392" s="9"/>
      <c r="S3392" s="9"/>
      <c r="T3392" s="31"/>
      <c r="W3392" s="16"/>
      <c r="X3392" s="9"/>
      <c r="Y3392" s="9"/>
      <c r="AA3392" s="16"/>
      <c r="AK3392" s="16"/>
      <c r="AL3392" s="17"/>
    </row>
    <row r="3393" spans="9:38" x14ac:dyDescent="0.4">
      <c r="I3393" s="11"/>
      <c r="J3393" s="9"/>
      <c r="K3393" s="9"/>
      <c r="O3393" s="11"/>
      <c r="P3393" s="9"/>
      <c r="Q3393" s="9"/>
      <c r="R3393" s="9"/>
      <c r="S3393" s="9"/>
      <c r="T3393" s="31"/>
      <c r="W3393" s="16"/>
      <c r="X3393" s="9"/>
      <c r="Y3393" s="9"/>
      <c r="AA3393" s="16"/>
      <c r="AK3393" s="16"/>
      <c r="AL3393" s="17"/>
    </row>
    <row r="3394" spans="9:38" x14ac:dyDescent="0.4">
      <c r="I3394" s="11"/>
      <c r="J3394" s="9"/>
      <c r="K3394" s="9"/>
      <c r="O3394" s="11"/>
      <c r="P3394" s="9"/>
      <c r="Q3394" s="9"/>
      <c r="R3394" s="9"/>
      <c r="S3394" s="9"/>
      <c r="T3394" s="31"/>
      <c r="W3394" s="16"/>
      <c r="X3394" s="9"/>
      <c r="Y3394" s="9"/>
      <c r="AA3394" s="16"/>
      <c r="AK3394" s="16"/>
      <c r="AL3394" s="17"/>
    </row>
    <row r="3395" spans="9:38" x14ac:dyDescent="0.4">
      <c r="I3395" s="11"/>
      <c r="J3395" s="9"/>
      <c r="K3395" s="9"/>
      <c r="O3395" s="11"/>
      <c r="P3395" s="9"/>
      <c r="Q3395" s="9"/>
      <c r="R3395" s="9"/>
      <c r="S3395" s="9"/>
      <c r="T3395" s="31"/>
      <c r="W3395" s="16"/>
      <c r="X3395" s="9"/>
      <c r="Y3395" s="9"/>
      <c r="AA3395" s="16"/>
      <c r="AK3395" s="16"/>
      <c r="AL3395" s="17"/>
    </row>
    <row r="3396" spans="9:38" x14ac:dyDescent="0.4">
      <c r="I3396" s="11"/>
      <c r="J3396" s="9"/>
      <c r="K3396" s="9"/>
      <c r="O3396" s="11"/>
      <c r="P3396" s="9"/>
      <c r="Q3396" s="9"/>
      <c r="R3396" s="9"/>
      <c r="S3396" s="9"/>
      <c r="T3396" s="31"/>
      <c r="W3396" s="16"/>
      <c r="X3396" s="9"/>
      <c r="Y3396" s="9"/>
      <c r="AA3396" s="16"/>
      <c r="AK3396" s="16"/>
      <c r="AL3396" s="17"/>
    </row>
    <row r="3397" spans="9:38" x14ac:dyDescent="0.4">
      <c r="I3397" s="11"/>
      <c r="J3397" s="9"/>
      <c r="K3397" s="9"/>
      <c r="O3397" s="11"/>
      <c r="P3397" s="9"/>
      <c r="Q3397" s="9"/>
      <c r="R3397" s="9"/>
      <c r="S3397" s="9"/>
      <c r="T3397" s="31"/>
      <c r="W3397" s="16"/>
      <c r="X3397" s="9"/>
      <c r="Y3397" s="9"/>
      <c r="AA3397" s="16"/>
      <c r="AK3397" s="16"/>
      <c r="AL3397" s="17"/>
    </row>
    <row r="3398" spans="9:38" x14ac:dyDescent="0.4">
      <c r="I3398" s="11"/>
      <c r="J3398" s="9"/>
      <c r="K3398" s="9"/>
      <c r="O3398" s="11"/>
      <c r="P3398" s="9"/>
      <c r="Q3398" s="9"/>
      <c r="R3398" s="9"/>
      <c r="S3398" s="9"/>
      <c r="T3398" s="31"/>
      <c r="W3398" s="16"/>
      <c r="X3398" s="9"/>
      <c r="Y3398" s="9"/>
      <c r="AA3398" s="16"/>
      <c r="AK3398" s="16"/>
      <c r="AL3398" s="17"/>
    </row>
    <row r="3399" spans="9:38" x14ac:dyDescent="0.4">
      <c r="I3399" s="11"/>
      <c r="J3399" s="9"/>
      <c r="K3399" s="9"/>
      <c r="O3399" s="11"/>
      <c r="P3399" s="9"/>
      <c r="Q3399" s="9"/>
      <c r="R3399" s="9"/>
      <c r="S3399" s="9"/>
      <c r="T3399" s="31"/>
      <c r="W3399" s="16"/>
      <c r="X3399" s="9"/>
      <c r="Y3399" s="9"/>
      <c r="AA3399" s="16"/>
      <c r="AK3399" s="16"/>
      <c r="AL3399" s="17"/>
    </row>
    <row r="3400" spans="9:38" x14ac:dyDescent="0.4">
      <c r="I3400" s="11"/>
      <c r="J3400" s="9"/>
      <c r="K3400" s="9"/>
      <c r="O3400" s="11"/>
      <c r="P3400" s="9"/>
      <c r="Q3400" s="9"/>
      <c r="R3400" s="9"/>
      <c r="S3400" s="9"/>
      <c r="T3400" s="31"/>
      <c r="W3400" s="16"/>
      <c r="X3400" s="9"/>
      <c r="Y3400" s="9"/>
      <c r="AA3400" s="16"/>
      <c r="AK3400" s="16"/>
      <c r="AL3400" s="17"/>
    </row>
    <row r="3401" spans="9:38" x14ac:dyDescent="0.4">
      <c r="I3401" s="11"/>
      <c r="J3401" s="9"/>
      <c r="K3401" s="9"/>
      <c r="O3401" s="11"/>
      <c r="P3401" s="9"/>
      <c r="Q3401" s="9"/>
      <c r="R3401" s="9"/>
      <c r="S3401" s="9"/>
      <c r="T3401" s="31"/>
      <c r="W3401" s="16"/>
      <c r="X3401" s="9"/>
      <c r="Y3401" s="9"/>
      <c r="AA3401" s="16"/>
      <c r="AK3401" s="16"/>
      <c r="AL3401" s="17"/>
    </row>
    <row r="3402" spans="9:38" x14ac:dyDescent="0.4">
      <c r="I3402" s="11"/>
      <c r="J3402" s="9"/>
      <c r="K3402" s="9"/>
      <c r="O3402" s="11"/>
      <c r="P3402" s="9"/>
      <c r="Q3402" s="9"/>
      <c r="R3402" s="9"/>
      <c r="S3402" s="9"/>
      <c r="T3402" s="31"/>
      <c r="W3402" s="16"/>
      <c r="X3402" s="9"/>
      <c r="Y3402" s="9"/>
      <c r="AA3402" s="16"/>
      <c r="AK3402" s="16"/>
      <c r="AL3402" s="17"/>
    </row>
    <row r="3403" spans="9:38" x14ac:dyDescent="0.4">
      <c r="I3403" s="11"/>
      <c r="J3403" s="9"/>
      <c r="K3403" s="9"/>
      <c r="O3403" s="11"/>
      <c r="P3403" s="9"/>
      <c r="Q3403" s="9"/>
      <c r="R3403" s="9"/>
      <c r="S3403" s="9"/>
      <c r="T3403" s="31"/>
      <c r="W3403" s="16"/>
      <c r="X3403" s="9"/>
      <c r="Y3403" s="9"/>
      <c r="AA3403" s="16"/>
      <c r="AK3403" s="16"/>
      <c r="AL3403" s="17"/>
    </row>
    <row r="3404" spans="9:38" x14ac:dyDescent="0.4">
      <c r="I3404" s="11"/>
      <c r="J3404" s="9"/>
      <c r="K3404" s="9"/>
      <c r="O3404" s="11"/>
      <c r="P3404" s="9"/>
      <c r="Q3404" s="9"/>
      <c r="R3404" s="9"/>
      <c r="S3404" s="9"/>
      <c r="T3404" s="31"/>
      <c r="W3404" s="16"/>
      <c r="X3404" s="9"/>
      <c r="Y3404" s="9"/>
      <c r="AA3404" s="16"/>
      <c r="AK3404" s="16"/>
      <c r="AL3404" s="17"/>
    </row>
    <row r="3405" spans="9:38" x14ac:dyDescent="0.4">
      <c r="I3405" s="11"/>
      <c r="J3405" s="9"/>
      <c r="K3405" s="9"/>
      <c r="O3405" s="11"/>
      <c r="P3405" s="9"/>
      <c r="Q3405" s="9"/>
      <c r="R3405" s="9"/>
      <c r="S3405" s="9"/>
      <c r="T3405" s="31"/>
      <c r="W3405" s="16"/>
      <c r="X3405" s="9"/>
      <c r="Y3405" s="9"/>
      <c r="AA3405" s="16"/>
      <c r="AK3405" s="16"/>
      <c r="AL3405" s="17"/>
    </row>
    <row r="3406" spans="9:38" x14ac:dyDescent="0.4">
      <c r="I3406" s="11"/>
      <c r="J3406" s="9"/>
      <c r="K3406" s="9"/>
      <c r="O3406" s="11"/>
      <c r="P3406" s="9"/>
      <c r="Q3406" s="9"/>
      <c r="R3406" s="9"/>
      <c r="S3406" s="9"/>
      <c r="T3406" s="31"/>
      <c r="W3406" s="16"/>
      <c r="X3406" s="9"/>
      <c r="Y3406" s="9"/>
      <c r="AA3406" s="16"/>
      <c r="AK3406" s="16"/>
      <c r="AL3406" s="17"/>
    </row>
    <row r="3407" spans="9:38" x14ac:dyDescent="0.4">
      <c r="I3407" s="11"/>
      <c r="J3407" s="9"/>
      <c r="K3407" s="9"/>
      <c r="O3407" s="11"/>
      <c r="P3407" s="9"/>
      <c r="Q3407" s="9"/>
      <c r="R3407" s="9"/>
      <c r="S3407" s="9"/>
      <c r="T3407" s="31"/>
      <c r="W3407" s="16"/>
      <c r="X3407" s="9"/>
      <c r="Y3407" s="9"/>
      <c r="AA3407" s="16"/>
      <c r="AK3407" s="16"/>
      <c r="AL3407" s="17"/>
    </row>
    <row r="3408" spans="9:38" x14ac:dyDescent="0.4">
      <c r="I3408" s="11"/>
      <c r="J3408" s="9"/>
      <c r="K3408" s="9"/>
      <c r="O3408" s="11"/>
      <c r="P3408" s="9"/>
      <c r="Q3408" s="9"/>
      <c r="R3408" s="9"/>
      <c r="S3408" s="9"/>
      <c r="T3408" s="31"/>
      <c r="W3408" s="16"/>
      <c r="X3408" s="9"/>
      <c r="Y3408" s="9"/>
      <c r="AA3408" s="16"/>
      <c r="AK3408" s="16"/>
      <c r="AL3408" s="17"/>
    </row>
    <row r="3409" spans="9:38" x14ac:dyDescent="0.4">
      <c r="I3409" s="11"/>
      <c r="J3409" s="9"/>
      <c r="K3409" s="9"/>
      <c r="O3409" s="11"/>
      <c r="P3409" s="9"/>
      <c r="Q3409" s="9"/>
      <c r="R3409" s="9"/>
      <c r="S3409" s="9"/>
      <c r="T3409" s="31"/>
      <c r="W3409" s="16"/>
      <c r="X3409" s="9"/>
      <c r="Y3409" s="9"/>
      <c r="AA3409" s="16"/>
      <c r="AK3409" s="16"/>
      <c r="AL3409" s="17"/>
    </row>
    <row r="3410" spans="9:38" x14ac:dyDescent="0.4">
      <c r="I3410" s="11"/>
      <c r="J3410" s="9"/>
      <c r="K3410" s="9"/>
      <c r="O3410" s="11"/>
      <c r="P3410" s="9"/>
      <c r="Q3410" s="9"/>
      <c r="R3410" s="9"/>
      <c r="S3410" s="9"/>
      <c r="T3410" s="31"/>
      <c r="W3410" s="16"/>
      <c r="X3410" s="9"/>
      <c r="Y3410" s="9"/>
      <c r="AA3410" s="16"/>
      <c r="AK3410" s="16"/>
      <c r="AL3410" s="17"/>
    </row>
    <row r="3411" spans="9:38" x14ac:dyDescent="0.4">
      <c r="I3411" s="11"/>
      <c r="J3411" s="9"/>
      <c r="K3411" s="9"/>
      <c r="O3411" s="11"/>
      <c r="P3411" s="9"/>
      <c r="Q3411" s="9"/>
      <c r="R3411" s="9"/>
      <c r="S3411" s="9"/>
      <c r="T3411" s="31"/>
      <c r="W3411" s="16"/>
      <c r="X3411" s="9"/>
      <c r="Y3411" s="9"/>
      <c r="AA3411" s="16"/>
      <c r="AK3411" s="16"/>
      <c r="AL3411" s="17"/>
    </row>
    <row r="3412" spans="9:38" x14ac:dyDescent="0.4">
      <c r="I3412" s="11"/>
      <c r="J3412" s="9"/>
      <c r="K3412" s="9"/>
      <c r="O3412" s="11"/>
      <c r="P3412" s="9"/>
      <c r="Q3412" s="9"/>
      <c r="R3412" s="9"/>
      <c r="S3412" s="9"/>
      <c r="T3412" s="31"/>
      <c r="W3412" s="16"/>
      <c r="X3412" s="9"/>
      <c r="Y3412" s="9"/>
      <c r="AA3412" s="16"/>
      <c r="AK3412" s="16"/>
      <c r="AL3412" s="17"/>
    </row>
    <row r="3413" spans="9:38" x14ac:dyDescent="0.4">
      <c r="I3413" s="11"/>
      <c r="J3413" s="9"/>
      <c r="K3413" s="9"/>
      <c r="O3413" s="11"/>
      <c r="P3413" s="9"/>
      <c r="Q3413" s="9"/>
      <c r="R3413" s="9"/>
      <c r="S3413" s="9"/>
      <c r="T3413" s="31"/>
      <c r="W3413" s="16"/>
      <c r="X3413" s="9"/>
      <c r="Y3413" s="9"/>
      <c r="AA3413" s="16"/>
      <c r="AK3413" s="16"/>
      <c r="AL3413" s="17"/>
    </row>
    <row r="3414" spans="9:38" x14ac:dyDescent="0.4">
      <c r="I3414" s="11"/>
      <c r="J3414" s="9"/>
      <c r="K3414" s="9"/>
      <c r="O3414" s="11"/>
      <c r="P3414" s="9"/>
      <c r="Q3414" s="9"/>
      <c r="R3414" s="9"/>
      <c r="S3414" s="9"/>
      <c r="T3414" s="31"/>
      <c r="W3414" s="16"/>
      <c r="X3414" s="9"/>
      <c r="Y3414" s="9"/>
      <c r="AA3414" s="16"/>
      <c r="AK3414" s="16"/>
      <c r="AL3414" s="17"/>
    </row>
    <row r="3415" spans="9:38" x14ac:dyDescent="0.4">
      <c r="I3415" s="11"/>
      <c r="J3415" s="9"/>
      <c r="K3415" s="9"/>
      <c r="O3415" s="11"/>
      <c r="P3415" s="9"/>
      <c r="Q3415" s="9"/>
      <c r="R3415" s="9"/>
      <c r="S3415" s="9"/>
      <c r="T3415" s="31"/>
      <c r="W3415" s="16"/>
      <c r="X3415" s="9"/>
      <c r="Y3415" s="9"/>
      <c r="AA3415" s="16"/>
      <c r="AK3415" s="16"/>
      <c r="AL3415" s="17"/>
    </row>
    <row r="3416" spans="9:38" x14ac:dyDescent="0.4">
      <c r="I3416" s="11"/>
      <c r="J3416" s="9"/>
      <c r="K3416" s="9"/>
      <c r="O3416" s="11"/>
      <c r="P3416" s="9"/>
      <c r="Q3416" s="9"/>
      <c r="R3416" s="9"/>
      <c r="S3416" s="9"/>
      <c r="T3416" s="31"/>
      <c r="W3416" s="16"/>
      <c r="X3416" s="9"/>
      <c r="Y3416" s="9"/>
      <c r="AA3416" s="16"/>
      <c r="AK3416" s="16"/>
      <c r="AL3416" s="17"/>
    </row>
    <row r="3417" spans="9:38" x14ac:dyDescent="0.4">
      <c r="I3417" s="11"/>
      <c r="J3417" s="9"/>
      <c r="K3417" s="9"/>
      <c r="O3417" s="11"/>
      <c r="P3417" s="9"/>
      <c r="Q3417" s="9"/>
      <c r="R3417" s="9"/>
      <c r="S3417" s="9"/>
      <c r="T3417" s="31"/>
      <c r="W3417" s="16"/>
      <c r="X3417" s="9"/>
      <c r="Y3417" s="9"/>
      <c r="AA3417" s="16"/>
      <c r="AK3417" s="16"/>
      <c r="AL3417" s="17"/>
    </row>
    <row r="3418" spans="9:38" x14ac:dyDescent="0.4">
      <c r="I3418" s="11"/>
      <c r="J3418" s="9"/>
      <c r="K3418" s="9"/>
      <c r="O3418" s="11"/>
      <c r="P3418" s="9"/>
      <c r="Q3418" s="9"/>
      <c r="R3418" s="9"/>
      <c r="S3418" s="9"/>
      <c r="T3418" s="31"/>
      <c r="W3418" s="16"/>
      <c r="X3418" s="9"/>
      <c r="Y3418" s="9"/>
      <c r="AA3418" s="16"/>
      <c r="AK3418" s="16"/>
      <c r="AL3418" s="17"/>
    </row>
    <row r="3419" spans="9:38" x14ac:dyDescent="0.4">
      <c r="I3419" s="11"/>
      <c r="J3419" s="9"/>
      <c r="K3419" s="9"/>
      <c r="O3419" s="11"/>
      <c r="P3419" s="9"/>
      <c r="Q3419" s="9"/>
      <c r="R3419" s="9"/>
      <c r="S3419" s="9"/>
      <c r="T3419" s="31"/>
      <c r="W3419" s="16"/>
      <c r="X3419" s="9"/>
      <c r="Y3419" s="9"/>
      <c r="AA3419" s="16"/>
      <c r="AK3419" s="16"/>
      <c r="AL3419" s="17"/>
    </row>
    <row r="3420" spans="9:38" x14ac:dyDescent="0.4">
      <c r="I3420" s="11"/>
      <c r="J3420" s="9"/>
      <c r="K3420" s="9"/>
      <c r="O3420" s="11"/>
      <c r="P3420" s="9"/>
      <c r="Q3420" s="9"/>
      <c r="R3420" s="9"/>
      <c r="S3420" s="9"/>
      <c r="T3420" s="31"/>
      <c r="W3420" s="16"/>
      <c r="X3420" s="9"/>
      <c r="Y3420" s="9"/>
      <c r="AA3420" s="16"/>
      <c r="AK3420" s="16"/>
      <c r="AL3420" s="17"/>
    </row>
    <row r="3421" spans="9:38" x14ac:dyDescent="0.4">
      <c r="I3421" s="11"/>
      <c r="J3421" s="9"/>
      <c r="K3421" s="9"/>
      <c r="O3421" s="11"/>
      <c r="P3421" s="9"/>
      <c r="Q3421" s="9"/>
      <c r="R3421" s="9"/>
      <c r="S3421" s="9"/>
      <c r="T3421" s="31"/>
      <c r="W3421" s="16"/>
      <c r="X3421" s="9"/>
      <c r="Y3421" s="9"/>
      <c r="AA3421" s="16"/>
      <c r="AK3421" s="16"/>
      <c r="AL3421" s="17"/>
    </row>
    <row r="3422" spans="9:38" x14ac:dyDescent="0.4">
      <c r="I3422" s="11"/>
      <c r="J3422" s="9"/>
      <c r="K3422" s="9"/>
      <c r="O3422" s="11"/>
      <c r="P3422" s="9"/>
      <c r="Q3422" s="9"/>
      <c r="R3422" s="9"/>
      <c r="S3422" s="9"/>
      <c r="T3422" s="31"/>
      <c r="W3422" s="16"/>
      <c r="X3422" s="9"/>
      <c r="Y3422" s="9"/>
      <c r="AA3422" s="16"/>
      <c r="AK3422" s="16"/>
      <c r="AL3422" s="17"/>
    </row>
    <row r="3423" spans="9:38" x14ac:dyDescent="0.4">
      <c r="I3423" s="11"/>
      <c r="J3423" s="9"/>
      <c r="K3423" s="9"/>
      <c r="O3423" s="11"/>
      <c r="P3423" s="9"/>
      <c r="Q3423" s="9"/>
      <c r="R3423" s="9"/>
      <c r="S3423" s="9"/>
      <c r="T3423" s="31"/>
      <c r="W3423" s="16"/>
      <c r="X3423" s="9"/>
      <c r="Y3423" s="9"/>
      <c r="AA3423" s="16"/>
      <c r="AK3423" s="16"/>
      <c r="AL3423" s="17"/>
    </row>
    <row r="3424" spans="9:38" x14ac:dyDescent="0.4">
      <c r="I3424" s="11"/>
      <c r="J3424" s="9"/>
      <c r="K3424" s="9"/>
      <c r="O3424" s="11"/>
      <c r="P3424" s="9"/>
      <c r="Q3424" s="9"/>
      <c r="R3424" s="9"/>
      <c r="S3424" s="9"/>
      <c r="T3424" s="31"/>
      <c r="W3424" s="16"/>
      <c r="X3424" s="9"/>
      <c r="Y3424" s="9"/>
      <c r="AA3424" s="16"/>
      <c r="AK3424" s="16"/>
      <c r="AL3424" s="17"/>
    </row>
    <row r="3425" spans="9:38" x14ac:dyDescent="0.4">
      <c r="I3425" s="11"/>
      <c r="J3425" s="9"/>
      <c r="K3425" s="9"/>
      <c r="O3425" s="11"/>
      <c r="P3425" s="9"/>
      <c r="Q3425" s="9"/>
      <c r="R3425" s="9"/>
      <c r="S3425" s="9"/>
      <c r="T3425" s="31"/>
      <c r="W3425" s="16"/>
      <c r="X3425" s="9"/>
      <c r="Y3425" s="9"/>
      <c r="AA3425" s="16"/>
      <c r="AK3425" s="16"/>
      <c r="AL3425" s="17"/>
    </row>
    <row r="3426" spans="9:38" x14ac:dyDescent="0.4">
      <c r="I3426" s="11"/>
      <c r="J3426" s="9"/>
      <c r="K3426" s="9"/>
      <c r="O3426" s="11"/>
      <c r="P3426" s="9"/>
      <c r="Q3426" s="9"/>
      <c r="R3426" s="9"/>
      <c r="S3426" s="9"/>
      <c r="T3426" s="31"/>
      <c r="W3426" s="16"/>
      <c r="X3426" s="9"/>
      <c r="Y3426" s="9"/>
      <c r="AA3426" s="16"/>
      <c r="AK3426" s="16"/>
      <c r="AL3426" s="17"/>
    </row>
    <row r="3427" spans="9:38" x14ac:dyDescent="0.4">
      <c r="I3427" s="11"/>
      <c r="J3427" s="9"/>
      <c r="K3427" s="9"/>
      <c r="O3427" s="11"/>
      <c r="P3427" s="9"/>
      <c r="Q3427" s="9"/>
      <c r="R3427" s="9"/>
      <c r="S3427" s="9"/>
      <c r="T3427" s="31"/>
      <c r="W3427" s="16"/>
      <c r="X3427" s="9"/>
      <c r="Y3427" s="9"/>
      <c r="AA3427" s="16"/>
      <c r="AK3427" s="16"/>
      <c r="AL3427" s="17"/>
    </row>
    <row r="3428" spans="9:38" x14ac:dyDescent="0.4">
      <c r="I3428" s="11"/>
      <c r="J3428" s="9"/>
      <c r="K3428" s="9"/>
      <c r="O3428" s="11"/>
      <c r="P3428" s="9"/>
      <c r="Q3428" s="9"/>
      <c r="R3428" s="9"/>
      <c r="S3428" s="9"/>
      <c r="T3428" s="31"/>
      <c r="W3428" s="16"/>
      <c r="X3428" s="9"/>
      <c r="Y3428" s="9"/>
      <c r="AA3428" s="16"/>
      <c r="AK3428" s="16"/>
      <c r="AL3428" s="17"/>
    </row>
    <row r="3429" spans="9:38" x14ac:dyDescent="0.4">
      <c r="I3429" s="11"/>
      <c r="J3429" s="9"/>
      <c r="K3429" s="9"/>
      <c r="O3429" s="11"/>
      <c r="P3429" s="9"/>
      <c r="Q3429" s="9"/>
      <c r="R3429" s="9"/>
      <c r="S3429" s="9"/>
      <c r="T3429" s="31"/>
      <c r="W3429" s="16"/>
      <c r="X3429" s="9"/>
      <c r="Y3429" s="9"/>
      <c r="AA3429" s="16"/>
      <c r="AK3429" s="16"/>
      <c r="AL3429" s="17"/>
    </row>
    <row r="3430" spans="9:38" x14ac:dyDescent="0.4">
      <c r="I3430" s="11"/>
      <c r="J3430" s="9"/>
      <c r="K3430" s="9"/>
      <c r="O3430" s="11"/>
      <c r="P3430" s="9"/>
      <c r="Q3430" s="9"/>
      <c r="R3430" s="9"/>
      <c r="S3430" s="9"/>
      <c r="T3430" s="31"/>
      <c r="W3430" s="16"/>
      <c r="X3430" s="9"/>
      <c r="Y3430" s="9"/>
      <c r="AA3430" s="16"/>
      <c r="AK3430" s="16"/>
      <c r="AL3430" s="17"/>
    </row>
    <row r="3431" spans="9:38" x14ac:dyDescent="0.4">
      <c r="I3431" s="11"/>
      <c r="J3431" s="9"/>
      <c r="K3431" s="9"/>
      <c r="O3431" s="11"/>
      <c r="P3431" s="9"/>
      <c r="Q3431" s="9"/>
      <c r="R3431" s="9"/>
      <c r="S3431" s="9"/>
      <c r="T3431" s="31"/>
      <c r="W3431" s="16"/>
      <c r="X3431" s="9"/>
      <c r="Y3431" s="9"/>
      <c r="AA3431" s="16"/>
      <c r="AK3431" s="16"/>
      <c r="AL3431" s="17"/>
    </row>
    <row r="3432" spans="9:38" x14ac:dyDescent="0.4">
      <c r="I3432" s="11"/>
      <c r="J3432" s="9"/>
      <c r="K3432" s="9"/>
      <c r="O3432" s="11"/>
      <c r="P3432" s="9"/>
      <c r="Q3432" s="9"/>
      <c r="R3432" s="9"/>
      <c r="S3432" s="9"/>
      <c r="T3432" s="31"/>
      <c r="W3432" s="16"/>
      <c r="X3432" s="9"/>
      <c r="Y3432" s="9"/>
      <c r="AA3432" s="16"/>
      <c r="AK3432" s="16"/>
      <c r="AL3432" s="17"/>
    </row>
    <row r="3433" spans="9:38" x14ac:dyDescent="0.4">
      <c r="I3433" s="11"/>
      <c r="J3433" s="9"/>
      <c r="K3433" s="9"/>
      <c r="O3433" s="11"/>
      <c r="P3433" s="9"/>
      <c r="Q3433" s="9"/>
      <c r="R3433" s="9"/>
      <c r="S3433" s="9"/>
      <c r="T3433" s="31"/>
      <c r="W3433" s="16"/>
      <c r="X3433" s="9"/>
      <c r="Y3433" s="9"/>
      <c r="AA3433" s="16"/>
      <c r="AK3433" s="16"/>
      <c r="AL3433" s="17"/>
    </row>
    <row r="3434" spans="9:38" x14ac:dyDescent="0.4">
      <c r="I3434" s="11"/>
      <c r="J3434" s="9"/>
      <c r="K3434" s="9"/>
      <c r="O3434" s="11"/>
      <c r="P3434" s="9"/>
      <c r="Q3434" s="9"/>
      <c r="R3434" s="9"/>
      <c r="S3434" s="9"/>
      <c r="T3434" s="31"/>
      <c r="W3434" s="16"/>
      <c r="X3434" s="9"/>
      <c r="Y3434" s="9"/>
      <c r="AA3434" s="16"/>
      <c r="AK3434" s="16"/>
      <c r="AL3434" s="17"/>
    </row>
    <row r="3435" spans="9:38" x14ac:dyDescent="0.4">
      <c r="I3435" s="11"/>
      <c r="J3435" s="9"/>
      <c r="K3435" s="9"/>
      <c r="O3435" s="11"/>
      <c r="P3435" s="9"/>
      <c r="Q3435" s="9"/>
      <c r="R3435" s="9"/>
      <c r="S3435" s="9"/>
      <c r="T3435" s="31"/>
      <c r="W3435" s="16"/>
      <c r="X3435" s="9"/>
      <c r="Y3435" s="9"/>
      <c r="AA3435" s="16"/>
      <c r="AK3435" s="16"/>
      <c r="AL3435" s="17"/>
    </row>
    <row r="3436" spans="9:38" x14ac:dyDescent="0.4">
      <c r="I3436" s="11"/>
      <c r="J3436" s="9"/>
      <c r="K3436" s="9"/>
      <c r="O3436" s="11"/>
      <c r="P3436" s="9"/>
      <c r="Q3436" s="9"/>
      <c r="R3436" s="9"/>
      <c r="S3436" s="9"/>
      <c r="T3436" s="31"/>
      <c r="W3436" s="16"/>
      <c r="X3436" s="9"/>
      <c r="Y3436" s="9"/>
      <c r="AA3436" s="16"/>
      <c r="AK3436" s="16"/>
      <c r="AL3436" s="17"/>
    </row>
    <row r="3437" spans="9:38" x14ac:dyDescent="0.4">
      <c r="I3437" s="11"/>
      <c r="J3437" s="9"/>
      <c r="K3437" s="9"/>
      <c r="O3437" s="11"/>
      <c r="P3437" s="9"/>
      <c r="Q3437" s="9"/>
      <c r="R3437" s="9"/>
      <c r="S3437" s="9"/>
      <c r="T3437" s="31"/>
      <c r="W3437" s="16"/>
      <c r="X3437" s="9"/>
      <c r="Y3437" s="9"/>
      <c r="AA3437" s="16"/>
      <c r="AK3437" s="16"/>
      <c r="AL3437" s="17"/>
    </row>
    <row r="3438" spans="9:38" x14ac:dyDescent="0.4">
      <c r="I3438" s="11"/>
      <c r="J3438" s="9"/>
      <c r="K3438" s="9"/>
      <c r="O3438" s="11"/>
      <c r="P3438" s="9"/>
      <c r="Q3438" s="9"/>
      <c r="R3438" s="9"/>
      <c r="S3438" s="9"/>
      <c r="T3438" s="31"/>
      <c r="W3438" s="16"/>
      <c r="X3438" s="9"/>
      <c r="Y3438" s="9"/>
      <c r="AA3438" s="16"/>
      <c r="AK3438" s="16"/>
      <c r="AL3438" s="17"/>
    </row>
    <row r="3439" spans="9:38" x14ac:dyDescent="0.4">
      <c r="I3439" s="11"/>
      <c r="J3439" s="9"/>
      <c r="K3439" s="9"/>
      <c r="O3439" s="11"/>
      <c r="P3439" s="9"/>
      <c r="Q3439" s="9"/>
      <c r="R3439" s="9"/>
      <c r="S3439" s="9"/>
      <c r="T3439" s="31"/>
      <c r="W3439" s="16"/>
      <c r="X3439" s="9"/>
      <c r="Y3439" s="9"/>
      <c r="AA3439" s="16"/>
      <c r="AK3439" s="16"/>
      <c r="AL3439" s="17"/>
    </row>
    <row r="3440" spans="9:38" x14ac:dyDescent="0.4">
      <c r="I3440" s="11"/>
      <c r="J3440" s="9"/>
      <c r="K3440" s="9"/>
      <c r="O3440" s="11"/>
      <c r="P3440" s="9"/>
      <c r="Q3440" s="9"/>
      <c r="R3440" s="9"/>
      <c r="S3440" s="9"/>
      <c r="T3440" s="31"/>
      <c r="W3440" s="16"/>
      <c r="X3440" s="9"/>
      <c r="Y3440" s="9"/>
      <c r="AA3440" s="16"/>
      <c r="AK3440" s="16"/>
      <c r="AL3440" s="17"/>
    </row>
    <row r="3441" spans="9:38" x14ac:dyDescent="0.4">
      <c r="I3441" s="11"/>
      <c r="J3441" s="9"/>
      <c r="K3441" s="9"/>
      <c r="O3441" s="11"/>
      <c r="P3441" s="9"/>
      <c r="Q3441" s="9"/>
      <c r="R3441" s="9"/>
      <c r="S3441" s="9"/>
      <c r="T3441" s="31"/>
      <c r="W3441" s="16"/>
      <c r="X3441" s="9"/>
      <c r="Y3441" s="9"/>
      <c r="AA3441" s="16"/>
      <c r="AK3441" s="16"/>
      <c r="AL3441" s="17"/>
    </row>
    <row r="3442" spans="9:38" x14ac:dyDescent="0.4">
      <c r="I3442" s="11"/>
      <c r="J3442" s="9"/>
      <c r="K3442" s="9"/>
      <c r="O3442" s="11"/>
      <c r="P3442" s="9"/>
      <c r="Q3442" s="9"/>
      <c r="R3442" s="9"/>
      <c r="S3442" s="9"/>
      <c r="T3442" s="31"/>
      <c r="W3442" s="16"/>
      <c r="X3442" s="9"/>
      <c r="Y3442" s="9"/>
      <c r="AA3442" s="16"/>
      <c r="AK3442" s="16"/>
      <c r="AL3442" s="17"/>
    </row>
    <row r="3443" spans="9:38" x14ac:dyDescent="0.4">
      <c r="I3443" s="11"/>
      <c r="J3443" s="9"/>
      <c r="K3443" s="9"/>
      <c r="O3443" s="11"/>
      <c r="P3443" s="9"/>
      <c r="Q3443" s="9"/>
      <c r="R3443" s="9"/>
      <c r="S3443" s="9"/>
      <c r="T3443" s="31"/>
      <c r="W3443" s="16"/>
      <c r="X3443" s="9"/>
      <c r="Y3443" s="9"/>
      <c r="AA3443" s="16"/>
      <c r="AK3443" s="16"/>
      <c r="AL3443" s="17"/>
    </row>
    <row r="3444" spans="9:38" x14ac:dyDescent="0.4">
      <c r="I3444" s="11"/>
      <c r="J3444" s="9"/>
      <c r="K3444" s="9"/>
      <c r="O3444" s="11"/>
      <c r="P3444" s="9"/>
      <c r="Q3444" s="9"/>
      <c r="R3444" s="9"/>
      <c r="S3444" s="9"/>
      <c r="T3444" s="31"/>
      <c r="W3444" s="16"/>
      <c r="X3444" s="9"/>
      <c r="Y3444" s="9"/>
      <c r="AA3444" s="16"/>
      <c r="AK3444" s="16"/>
      <c r="AL3444" s="17"/>
    </row>
    <row r="3445" spans="9:38" x14ac:dyDescent="0.4">
      <c r="I3445" s="11"/>
      <c r="J3445" s="9"/>
      <c r="K3445" s="9"/>
      <c r="O3445" s="11"/>
      <c r="P3445" s="9"/>
      <c r="Q3445" s="9"/>
      <c r="R3445" s="9"/>
      <c r="S3445" s="9"/>
      <c r="T3445" s="31"/>
      <c r="W3445" s="16"/>
      <c r="X3445" s="9"/>
      <c r="Y3445" s="9"/>
      <c r="AA3445" s="16"/>
      <c r="AK3445" s="16"/>
      <c r="AL3445" s="17"/>
    </row>
    <row r="3446" spans="9:38" x14ac:dyDescent="0.4">
      <c r="I3446" s="11"/>
      <c r="J3446" s="9"/>
      <c r="K3446" s="9"/>
      <c r="O3446" s="11"/>
      <c r="P3446" s="9"/>
      <c r="Q3446" s="9"/>
      <c r="R3446" s="9"/>
      <c r="S3446" s="9"/>
      <c r="T3446" s="31"/>
      <c r="W3446" s="16"/>
      <c r="X3446" s="9"/>
      <c r="Y3446" s="9"/>
      <c r="AA3446" s="16"/>
      <c r="AK3446" s="16"/>
      <c r="AL3446" s="17"/>
    </row>
    <row r="3447" spans="9:38" x14ac:dyDescent="0.4">
      <c r="I3447" s="11"/>
      <c r="J3447" s="9"/>
      <c r="K3447" s="9"/>
      <c r="O3447" s="11"/>
      <c r="P3447" s="9"/>
      <c r="Q3447" s="9"/>
      <c r="R3447" s="9"/>
      <c r="S3447" s="9"/>
      <c r="T3447" s="31"/>
      <c r="W3447" s="16"/>
      <c r="X3447" s="9"/>
      <c r="Y3447" s="9"/>
      <c r="AA3447" s="16"/>
      <c r="AK3447" s="16"/>
      <c r="AL3447" s="17"/>
    </row>
    <row r="3448" spans="9:38" x14ac:dyDescent="0.4">
      <c r="I3448" s="11"/>
      <c r="J3448" s="9"/>
      <c r="K3448" s="9"/>
      <c r="O3448" s="11"/>
      <c r="P3448" s="9"/>
      <c r="Q3448" s="9"/>
      <c r="R3448" s="9"/>
      <c r="S3448" s="9"/>
      <c r="T3448" s="31"/>
      <c r="W3448" s="16"/>
      <c r="X3448" s="9"/>
      <c r="Y3448" s="9"/>
      <c r="AA3448" s="16"/>
      <c r="AK3448" s="16"/>
      <c r="AL3448" s="17"/>
    </row>
    <row r="3449" spans="9:38" x14ac:dyDescent="0.4">
      <c r="I3449" s="11"/>
      <c r="J3449" s="9"/>
      <c r="K3449" s="9"/>
      <c r="O3449" s="11"/>
      <c r="P3449" s="9"/>
      <c r="Q3449" s="9"/>
      <c r="R3449" s="9"/>
      <c r="S3449" s="9"/>
      <c r="T3449" s="31"/>
      <c r="W3449" s="16"/>
      <c r="X3449" s="9"/>
      <c r="Y3449" s="9"/>
      <c r="AA3449" s="16"/>
      <c r="AK3449" s="16"/>
      <c r="AL3449" s="17"/>
    </row>
    <row r="3450" spans="9:38" x14ac:dyDescent="0.4">
      <c r="I3450" s="11"/>
      <c r="J3450" s="9"/>
      <c r="K3450" s="9"/>
      <c r="O3450" s="11"/>
      <c r="P3450" s="9"/>
      <c r="Q3450" s="9"/>
      <c r="R3450" s="9"/>
      <c r="S3450" s="9"/>
      <c r="T3450" s="31"/>
      <c r="W3450" s="16"/>
      <c r="X3450" s="9"/>
      <c r="Y3450" s="9"/>
      <c r="AA3450" s="16"/>
      <c r="AK3450" s="16"/>
      <c r="AL3450" s="17"/>
    </row>
    <row r="3451" spans="9:38" x14ac:dyDescent="0.4">
      <c r="I3451" s="11"/>
      <c r="J3451" s="9"/>
      <c r="K3451" s="9"/>
      <c r="O3451" s="11"/>
      <c r="P3451" s="9"/>
      <c r="Q3451" s="9"/>
      <c r="R3451" s="9"/>
      <c r="S3451" s="9"/>
      <c r="T3451" s="31"/>
      <c r="W3451" s="16"/>
      <c r="X3451" s="9"/>
      <c r="Y3451" s="9"/>
      <c r="AA3451" s="16"/>
      <c r="AK3451" s="16"/>
      <c r="AL3451" s="17"/>
    </row>
    <row r="3452" spans="9:38" x14ac:dyDescent="0.4">
      <c r="I3452" s="11"/>
      <c r="J3452" s="9"/>
      <c r="K3452" s="9"/>
      <c r="O3452" s="11"/>
      <c r="P3452" s="9"/>
      <c r="Q3452" s="9"/>
      <c r="R3452" s="9"/>
      <c r="S3452" s="9"/>
      <c r="T3452" s="31"/>
      <c r="W3452" s="16"/>
      <c r="X3452" s="9"/>
      <c r="Y3452" s="9"/>
      <c r="AA3452" s="16"/>
      <c r="AK3452" s="16"/>
      <c r="AL3452" s="17"/>
    </row>
    <row r="3453" spans="9:38" x14ac:dyDescent="0.4">
      <c r="I3453" s="11"/>
      <c r="J3453" s="9"/>
      <c r="K3453" s="9"/>
      <c r="O3453" s="11"/>
      <c r="P3453" s="9"/>
      <c r="Q3453" s="9"/>
      <c r="R3453" s="9"/>
      <c r="S3453" s="9"/>
      <c r="T3453" s="31"/>
      <c r="W3453" s="16"/>
      <c r="X3453" s="9"/>
      <c r="Y3453" s="9"/>
      <c r="AA3453" s="16"/>
      <c r="AK3453" s="16"/>
      <c r="AL3453" s="17"/>
    </row>
    <row r="3454" spans="9:38" x14ac:dyDescent="0.4">
      <c r="I3454" s="11"/>
      <c r="J3454" s="9"/>
      <c r="K3454" s="9"/>
      <c r="O3454" s="11"/>
      <c r="P3454" s="9"/>
      <c r="Q3454" s="9"/>
      <c r="R3454" s="9"/>
      <c r="S3454" s="9"/>
      <c r="T3454" s="31"/>
      <c r="W3454" s="16"/>
      <c r="X3454" s="9"/>
      <c r="Y3454" s="9"/>
      <c r="AA3454" s="16"/>
      <c r="AK3454" s="16"/>
      <c r="AL3454" s="17"/>
    </row>
    <row r="3455" spans="9:38" x14ac:dyDescent="0.4">
      <c r="I3455" s="11"/>
      <c r="J3455" s="9"/>
      <c r="K3455" s="9"/>
      <c r="O3455" s="11"/>
      <c r="P3455" s="9"/>
      <c r="Q3455" s="9"/>
      <c r="R3455" s="9"/>
      <c r="S3455" s="9"/>
      <c r="T3455" s="31"/>
      <c r="W3455" s="16"/>
      <c r="X3455" s="9"/>
      <c r="Y3455" s="9"/>
      <c r="AA3455" s="16"/>
      <c r="AK3455" s="16"/>
      <c r="AL3455" s="17"/>
    </row>
    <row r="3456" spans="9:38" x14ac:dyDescent="0.4">
      <c r="I3456" s="11"/>
      <c r="J3456" s="9"/>
      <c r="K3456" s="9"/>
      <c r="O3456" s="11"/>
      <c r="P3456" s="9"/>
      <c r="Q3456" s="9"/>
      <c r="R3456" s="9"/>
      <c r="S3456" s="9"/>
      <c r="T3456" s="31"/>
      <c r="W3456" s="16"/>
      <c r="X3456" s="9"/>
      <c r="Y3456" s="9"/>
      <c r="AA3456" s="16"/>
      <c r="AK3456" s="16"/>
      <c r="AL3456" s="17"/>
    </row>
    <row r="3457" spans="9:38" x14ac:dyDescent="0.4">
      <c r="I3457" s="11"/>
      <c r="J3457" s="9"/>
      <c r="K3457" s="9"/>
      <c r="O3457" s="11"/>
      <c r="P3457" s="9"/>
      <c r="Q3457" s="9"/>
      <c r="R3457" s="9"/>
      <c r="S3457" s="9"/>
      <c r="T3457" s="31"/>
      <c r="W3457" s="16"/>
      <c r="X3457" s="9"/>
      <c r="Y3457" s="9"/>
      <c r="AA3457" s="16"/>
      <c r="AK3457" s="16"/>
      <c r="AL3457" s="17"/>
    </row>
    <row r="3458" spans="9:38" x14ac:dyDescent="0.4">
      <c r="I3458" s="11"/>
      <c r="J3458" s="9"/>
      <c r="K3458" s="9"/>
      <c r="O3458" s="11"/>
      <c r="P3458" s="9"/>
      <c r="Q3458" s="9"/>
      <c r="R3458" s="9"/>
      <c r="S3458" s="9"/>
      <c r="T3458" s="31"/>
      <c r="W3458" s="16"/>
      <c r="X3458" s="9"/>
      <c r="Y3458" s="9"/>
      <c r="AA3458" s="16"/>
      <c r="AK3458" s="16"/>
      <c r="AL3458" s="17"/>
    </row>
    <row r="3459" spans="9:38" x14ac:dyDescent="0.4">
      <c r="I3459" s="11"/>
      <c r="J3459" s="9"/>
      <c r="K3459" s="9"/>
      <c r="O3459" s="11"/>
      <c r="P3459" s="9"/>
      <c r="Q3459" s="9"/>
      <c r="R3459" s="9"/>
      <c r="S3459" s="9"/>
      <c r="T3459" s="31"/>
      <c r="W3459" s="16"/>
      <c r="X3459" s="9"/>
      <c r="Y3459" s="9"/>
      <c r="AA3459" s="16"/>
      <c r="AK3459" s="16"/>
      <c r="AL3459" s="17"/>
    </row>
    <row r="3460" spans="9:38" x14ac:dyDescent="0.4">
      <c r="I3460" s="11"/>
      <c r="J3460" s="9"/>
      <c r="K3460" s="9"/>
      <c r="O3460" s="11"/>
      <c r="P3460" s="9"/>
      <c r="Q3460" s="9"/>
      <c r="R3460" s="9"/>
      <c r="S3460" s="9"/>
      <c r="T3460" s="31"/>
      <c r="W3460" s="16"/>
      <c r="X3460" s="9"/>
      <c r="Y3460" s="9"/>
      <c r="AA3460" s="16"/>
      <c r="AK3460" s="16"/>
      <c r="AL3460" s="17"/>
    </row>
    <row r="3461" spans="9:38" x14ac:dyDescent="0.4">
      <c r="I3461" s="11"/>
      <c r="J3461" s="9"/>
      <c r="K3461" s="9"/>
      <c r="O3461" s="11"/>
      <c r="P3461" s="9"/>
      <c r="Q3461" s="9"/>
      <c r="R3461" s="9"/>
      <c r="S3461" s="9"/>
      <c r="T3461" s="31"/>
      <c r="W3461" s="16"/>
      <c r="X3461" s="9"/>
      <c r="Y3461" s="9"/>
      <c r="AA3461" s="16"/>
      <c r="AK3461" s="16"/>
      <c r="AL3461" s="17"/>
    </row>
    <row r="3462" spans="9:38" x14ac:dyDescent="0.4">
      <c r="I3462" s="11"/>
      <c r="J3462" s="9"/>
      <c r="K3462" s="9"/>
      <c r="O3462" s="11"/>
      <c r="P3462" s="9"/>
      <c r="Q3462" s="9"/>
      <c r="R3462" s="9"/>
      <c r="S3462" s="9"/>
      <c r="T3462" s="31"/>
      <c r="W3462" s="16"/>
      <c r="X3462" s="9"/>
      <c r="Y3462" s="9"/>
      <c r="AA3462" s="16"/>
      <c r="AK3462" s="16"/>
      <c r="AL3462" s="17"/>
    </row>
    <row r="3463" spans="9:38" x14ac:dyDescent="0.4">
      <c r="I3463" s="11"/>
      <c r="J3463" s="9"/>
      <c r="K3463" s="9"/>
      <c r="O3463" s="11"/>
      <c r="P3463" s="9"/>
      <c r="Q3463" s="9"/>
      <c r="R3463" s="9"/>
      <c r="S3463" s="9"/>
      <c r="T3463" s="31"/>
      <c r="W3463" s="16"/>
      <c r="X3463" s="9"/>
      <c r="Y3463" s="9"/>
      <c r="AA3463" s="16"/>
      <c r="AK3463" s="16"/>
      <c r="AL3463" s="17"/>
    </row>
    <row r="3464" spans="9:38" x14ac:dyDescent="0.4">
      <c r="I3464" s="11"/>
      <c r="J3464" s="9"/>
      <c r="K3464" s="9"/>
      <c r="O3464" s="11"/>
      <c r="P3464" s="9"/>
      <c r="Q3464" s="9"/>
      <c r="R3464" s="9"/>
      <c r="S3464" s="9"/>
      <c r="T3464" s="31"/>
      <c r="W3464" s="16"/>
      <c r="X3464" s="9"/>
      <c r="Y3464" s="9"/>
      <c r="AA3464" s="16"/>
      <c r="AK3464" s="16"/>
      <c r="AL3464" s="17"/>
    </row>
    <row r="3465" spans="9:38" x14ac:dyDescent="0.4">
      <c r="I3465" s="11"/>
      <c r="J3465" s="9"/>
      <c r="K3465" s="9"/>
      <c r="O3465" s="11"/>
      <c r="P3465" s="9"/>
      <c r="Q3465" s="9"/>
      <c r="R3465" s="9"/>
      <c r="S3465" s="9"/>
      <c r="T3465" s="31"/>
      <c r="W3465" s="16"/>
      <c r="X3465" s="9"/>
      <c r="Y3465" s="9"/>
      <c r="AA3465" s="16"/>
      <c r="AK3465" s="16"/>
      <c r="AL3465" s="17"/>
    </row>
    <row r="3466" spans="9:38" x14ac:dyDescent="0.4">
      <c r="I3466" s="11"/>
      <c r="J3466" s="9"/>
      <c r="K3466" s="9"/>
      <c r="O3466" s="11"/>
      <c r="P3466" s="9"/>
      <c r="Q3466" s="9"/>
      <c r="R3466" s="9"/>
      <c r="S3466" s="9"/>
      <c r="T3466" s="31"/>
      <c r="W3466" s="16"/>
      <c r="X3466" s="9"/>
      <c r="Y3466" s="9"/>
      <c r="AA3466" s="16"/>
      <c r="AK3466" s="16"/>
      <c r="AL3466" s="17"/>
    </row>
    <row r="3467" spans="9:38" x14ac:dyDescent="0.4">
      <c r="I3467" s="11"/>
      <c r="J3467" s="9"/>
      <c r="K3467" s="9"/>
      <c r="O3467" s="11"/>
      <c r="P3467" s="9"/>
      <c r="Q3467" s="9"/>
      <c r="R3467" s="9"/>
      <c r="S3467" s="9"/>
      <c r="T3467" s="31"/>
      <c r="W3467" s="16"/>
      <c r="X3467" s="9"/>
      <c r="Y3467" s="9"/>
      <c r="AA3467" s="16"/>
      <c r="AK3467" s="16"/>
      <c r="AL3467" s="17"/>
    </row>
    <row r="3468" spans="9:38" x14ac:dyDescent="0.4">
      <c r="I3468" s="11"/>
      <c r="J3468" s="9"/>
      <c r="K3468" s="9"/>
      <c r="O3468" s="11"/>
      <c r="P3468" s="9"/>
      <c r="Q3468" s="9"/>
      <c r="R3468" s="9"/>
      <c r="S3468" s="9"/>
      <c r="T3468" s="31"/>
      <c r="W3468" s="16"/>
      <c r="X3468" s="9"/>
      <c r="Y3468" s="9"/>
      <c r="AA3468" s="16"/>
      <c r="AK3468" s="16"/>
      <c r="AL3468" s="17"/>
    </row>
    <row r="3469" spans="9:38" x14ac:dyDescent="0.4">
      <c r="I3469" s="11"/>
      <c r="J3469" s="9"/>
      <c r="K3469" s="9"/>
      <c r="O3469" s="11"/>
      <c r="P3469" s="9"/>
      <c r="Q3469" s="9"/>
      <c r="R3469" s="9"/>
      <c r="S3469" s="9"/>
      <c r="T3469" s="31"/>
      <c r="W3469" s="16"/>
      <c r="X3469" s="9"/>
      <c r="Y3469" s="9"/>
      <c r="AA3469" s="16"/>
      <c r="AK3469" s="16"/>
      <c r="AL3469" s="17"/>
    </row>
    <row r="3470" spans="9:38" x14ac:dyDescent="0.4">
      <c r="I3470" s="11"/>
      <c r="J3470" s="9"/>
      <c r="K3470" s="9"/>
      <c r="O3470" s="11"/>
      <c r="P3470" s="9"/>
      <c r="Q3470" s="9"/>
      <c r="R3470" s="9"/>
      <c r="S3470" s="9"/>
      <c r="T3470" s="31"/>
      <c r="W3470" s="16"/>
      <c r="X3470" s="9"/>
      <c r="Y3470" s="9"/>
      <c r="AA3470" s="16"/>
      <c r="AK3470" s="16"/>
      <c r="AL3470" s="17"/>
    </row>
    <row r="3471" spans="9:38" x14ac:dyDescent="0.4">
      <c r="I3471" s="11"/>
      <c r="J3471" s="9"/>
      <c r="K3471" s="9"/>
      <c r="O3471" s="11"/>
      <c r="P3471" s="9"/>
      <c r="Q3471" s="9"/>
      <c r="R3471" s="9"/>
      <c r="S3471" s="9"/>
      <c r="T3471" s="31"/>
      <c r="W3471" s="16"/>
      <c r="X3471" s="9"/>
      <c r="Y3471" s="9"/>
      <c r="AA3471" s="16"/>
      <c r="AK3471" s="16"/>
      <c r="AL3471" s="17"/>
    </row>
    <row r="3472" spans="9:38" x14ac:dyDescent="0.4">
      <c r="I3472" s="11"/>
      <c r="J3472" s="9"/>
      <c r="K3472" s="9"/>
      <c r="O3472" s="11"/>
      <c r="P3472" s="9"/>
      <c r="Q3472" s="9"/>
      <c r="R3472" s="9"/>
      <c r="S3472" s="9"/>
      <c r="T3472" s="31"/>
      <c r="W3472" s="16"/>
      <c r="X3472" s="9"/>
      <c r="Y3472" s="9"/>
      <c r="AA3472" s="16"/>
      <c r="AK3472" s="16"/>
      <c r="AL3472" s="17"/>
    </row>
    <row r="3473" spans="9:38" x14ac:dyDescent="0.4">
      <c r="I3473" s="11"/>
      <c r="J3473" s="9"/>
      <c r="K3473" s="9"/>
      <c r="O3473" s="11"/>
      <c r="P3473" s="9"/>
      <c r="Q3473" s="9"/>
      <c r="R3473" s="9"/>
      <c r="S3473" s="9"/>
      <c r="T3473" s="31"/>
      <c r="W3473" s="16"/>
      <c r="X3473" s="9"/>
      <c r="Y3473" s="9"/>
      <c r="AA3473" s="16"/>
      <c r="AK3473" s="16"/>
      <c r="AL3473" s="17"/>
    </row>
    <row r="3474" spans="9:38" x14ac:dyDescent="0.4">
      <c r="I3474" s="11"/>
      <c r="J3474" s="9"/>
      <c r="K3474" s="9"/>
      <c r="O3474" s="11"/>
      <c r="P3474" s="9"/>
      <c r="Q3474" s="9"/>
      <c r="R3474" s="9"/>
      <c r="S3474" s="9"/>
      <c r="T3474" s="31"/>
      <c r="W3474" s="16"/>
      <c r="X3474" s="9"/>
      <c r="Y3474" s="9"/>
      <c r="AA3474" s="16"/>
      <c r="AK3474" s="16"/>
      <c r="AL3474" s="17"/>
    </row>
    <row r="3475" spans="9:38" x14ac:dyDescent="0.4">
      <c r="I3475" s="11"/>
      <c r="J3475" s="9"/>
      <c r="K3475" s="9"/>
      <c r="O3475" s="11"/>
      <c r="P3475" s="9"/>
      <c r="Q3475" s="9"/>
      <c r="R3475" s="9"/>
      <c r="S3475" s="9"/>
      <c r="T3475" s="31"/>
      <c r="W3475" s="16"/>
      <c r="X3475" s="9"/>
      <c r="Y3475" s="9"/>
      <c r="AA3475" s="16"/>
      <c r="AK3475" s="16"/>
      <c r="AL3475" s="17"/>
    </row>
    <row r="3476" spans="9:38" x14ac:dyDescent="0.4">
      <c r="I3476" s="11"/>
      <c r="J3476" s="9"/>
      <c r="K3476" s="9"/>
      <c r="O3476" s="11"/>
      <c r="P3476" s="9"/>
      <c r="Q3476" s="9"/>
      <c r="R3476" s="9"/>
      <c r="S3476" s="9"/>
      <c r="T3476" s="31"/>
      <c r="W3476" s="16"/>
      <c r="X3476" s="9"/>
      <c r="Y3476" s="9"/>
      <c r="AA3476" s="16"/>
      <c r="AK3476" s="16"/>
      <c r="AL3476" s="17"/>
    </row>
    <row r="3477" spans="9:38" x14ac:dyDescent="0.4">
      <c r="I3477" s="11"/>
      <c r="J3477" s="9"/>
      <c r="K3477" s="9"/>
      <c r="O3477" s="11"/>
      <c r="P3477" s="9"/>
      <c r="Q3477" s="9"/>
      <c r="R3477" s="9"/>
      <c r="S3477" s="9"/>
      <c r="T3477" s="31"/>
      <c r="W3477" s="16"/>
      <c r="X3477" s="9"/>
      <c r="Y3477" s="9"/>
      <c r="AA3477" s="16"/>
      <c r="AK3477" s="16"/>
      <c r="AL3477" s="17"/>
    </row>
    <row r="3478" spans="9:38" x14ac:dyDescent="0.4">
      <c r="I3478" s="11"/>
      <c r="J3478" s="9"/>
      <c r="K3478" s="9"/>
      <c r="O3478" s="11"/>
      <c r="P3478" s="9"/>
      <c r="Q3478" s="9"/>
      <c r="R3478" s="9"/>
      <c r="S3478" s="9"/>
      <c r="T3478" s="31"/>
      <c r="W3478" s="16"/>
      <c r="X3478" s="9"/>
      <c r="Y3478" s="9"/>
      <c r="AA3478" s="16"/>
      <c r="AK3478" s="16"/>
      <c r="AL3478" s="17"/>
    </row>
    <row r="3479" spans="9:38" x14ac:dyDescent="0.4">
      <c r="I3479" s="11"/>
      <c r="J3479" s="9"/>
      <c r="K3479" s="9"/>
      <c r="O3479" s="11"/>
      <c r="P3479" s="9"/>
      <c r="Q3479" s="9"/>
      <c r="R3479" s="9"/>
      <c r="S3479" s="9"/>
      <c r="T3479" s="31"/>
      <c r="W3479" s="16"/>
      <c r="X3479" s="9"/>
      <c r="Y3479" s="9"/>
      <c r="AA3479" s="16"/>
      <c r="AK3479" s="16"/>
      <c r="AL3479" s="17"/>
    </row>
    <row r="3480" spans="9:38" x14ac:dyDescent="0.4">
      <c r="I3480" s="11"/>
      <c r="J3480" s="9"/>
      <c r="K3480" s="9"/>
      <c r="O3480" s="11"/>
      <c r="P3480" s="9"/>
      <c r="Q3480" s="9"/>
      <c r="R3480" s="9"/>
      <c r="S3480" s="9"/>
      <c r="T3480" s="31"/>
      <c r="W3480" s="16"/>
      <c r="X3480" s="9"/>
      <c r="Y3480" s="9"/>
      <c r="AA3480" s="16"/>
      <c r="AK3480" s="16"/>
      <c r="AL3480" s="17"/>
    </row>
    <row r="3481" spans="9:38" x14ac:dyDescent="0.4">
      <c r="I3481" s="11"/>
      <c r="J3481" s="9"/>
      <c r="K3481" s="9"/>
      <c r="O3481" s="11"/>
      <c r="P3481" s="9"/>
      <c r="Q3481" s="9"/>
      <c r="R3481" s="9"/>
      <c r="S3481" s="9"/>
      <c r="T3481" s="31"/>
      <c r="W3481" s="16"/>
      <c r="X3481" s="9"/>
      <c r="Y3481" s="9"/>
      <c r="AA3481" s="16"/>
      <c r="AK3481" s="16"/>
      <c r="AL3481" s="17"/>
    </row>
    <row r="3482" spans="9:38" x14ac:dyDescent="0.4">
      <c r="I3482" s="11"/>
      <c r="J3482" s="9"/>
      <c r="K3482" s="9"/>
      <c r="O3482" s="11"/>
      <c r="P3482" s="9"/>
      <c r="Q3482" s="9"/>
      <c r="R3482" s="9"/>
      <c r="S3482" s="9"/>
      <c r="T3482" s="31"/>
      <c r="W3482" s="16"/>
      <c r="X3482" s="9"/>
      <c r="Y3482" s="9"/>
      <c r="AA3482" s="16"/>
      <c r="AK3482" s="16"/>
      <c r="AL3482" s="17"/>
    </row>
    <row r="3483" spans="9:38" x14ac:dyDescent="0.4">
      <c r="I3483" s="11"/>
      <c r="J3483" s="9"/>
      <c r="K3483" s="9"/>
      <c r="O3483" s="11"/>
      <c r="P3483" s="9"/>
      <c r="Q3483" s="9"/>
      <c r="R3483" s="9"/>
      <c r="S3483" s="9"/>
      <c r="T3483" s="31"/>
      <c r="W3483" s="16"/>
      <c r="X3483" s="9"/>
      <c r="Y3483" s="9"/>
      <c r="AA3483" s="16"/>
      <c r="AK3483" s="16"/>
      <c r="AL3483" s="17"/>
    </row>
    <row r="3484" spans="9:38" x14ac:dyDescent="0.4">
      <c r="I3484" s="11"/>
      <c r="J3484" s="9"/>
      <c r="K3484" s="9"/>
      <c r="O3484" s="11"/>
      <c r="P3484" s="9"/>
      <c r="Q3484" s="9"/>
      <c r="R3484" s="9"/>
      <c r="S3484" s="9"/>
      <c r="T3484" s="31"/>
      <c r="W3484" s="16"/>
      <c r="X3484" s="9"/>
      <c r="Y3484" s="9"/>
      <c r="AA3484" s="16"/>
      <c r="AK3484" s="16"/>
      <c r="AL3484" s="17"/>
    </row>
    <row r="3485" spans="9:38" x14ac:dyDescent="0.4">
      <c r="I3485" s="11"/>
      <c r="J3485" s="9"/>
      <c r="K3485" s="9"/>
      <c r="O3485" s="11"/>
      <c r="P3485" s="9"/>
      <c r="Q3485" s="9"/>
      <c r="R3485" s="9"/>
      <c r="S3485" s="9"/>
      <c r="T3485" s="31"/>
      <c r="W3485" s="16"/>
      <c r="X3485" s="9"/>
      <c r="Y3485" s="9"/>
      <c r="AA3485" s="16"/>
      <c r="AK3485" s="16"/>
      <c r="AL3485" s="17"/>
    </row>
    <row r="3486" spans="9:38" x14ac:dyDescent="0.4">
      <c r="I3486" s="11"/>
      <c r="J3486" s="9"/>
      <c r="K3486" s="9"/>
      <c r="O3486" s="11"/>
      <c r="P3486" s="9"/>
      <c r="Q3486" s="9"/>
      <c r="R3486" s="9"/>
      <c r="S3486" s="9"/>
      <c r="T3486" s="31"/>
      <c r="W3486" s="16"/>
      <c r="X3486" s="9"/>
      <c r="Y3486" s="9"/>
      <c r="AA3486" s="16"/>
      <c r="AK3486" s="16"/>
      <c r="AL3486" s="17"/>
    </row>
    <row r="3487" spans="9:38" x14ac:dyDescent="0.4">
      <c r="I3487" s="11"/>
      <c r="J3487" s="9"/>
      <c r="K3487" s="9"/>
      <c r="O3487" s="11"/>
      <c r="P3487" s="9"/>
      <c r="Q3487" s="9"/>
      <c r="R3487" s="9"/>
      <c r="S3487" s="9"/>
      <c r="T3487" s="31"/>
      <c r="W3487" s="16"/>
      <c r="X3487" s="9"/>
      <c r="Y3487" s="9"/>
      <c r="AA3487" s="16"/>
      <c r="AK3487" s="16"/>
      <c r="AL3487" s="17"/>
    </row>
    <row r="3488" spans="9:38" x14ac:dyDescent="0.4">
      <c r="I3488" s="11"/>
      <c r="J3488" s="9"/>
      <c r="K3488" s="9"/>
      <c r="O3488" s="11"/>
      <c r="P3488" s="9"/>
      <c r="Q3488" s="9"/>
      <c r="R3488" s="9"/>
      <c r="S3488" s="9"/>
      <c r="T3488" s="31"/>
      <c r="W3488" s="16"/>
      <c r="X3488" s="9"/>
      <c r="Y3488" s="9"/>
      <c r="AA3488" s="16"/>
      <c r="AK3488" s="16"/>
      <c r="AL3488" s="17"/>
    </row>
    <row r="3489" spans="9:38" x14ac:dyDescent="0.4">
      <c r="I3489" s="11"/>
      <c r="J3489" s="9"/>
      <c r="K3489" s="9"/>
      <c r="O3489" s="11"/>
      <c r="P3489" s="9"/>
      <c r="Q3489" s="9"/>
      <c r="R3489" s="9"/>
      <c r="S3489" s="9"/>
      <c r="T3489" s="31"/>
      <c r="W3489" s="16"/>
      <c r="X3489" s="9"/>
      <c r="Y3489" s="9"/>
      <c r="AA3489" s="16"/>
      <c r="AK3489" s="16"/>
      <c r="AL3489" s="17"/>
    </row>
    <row r="3490" spans="9:38" x14ac:dyDescent="0.4">
      <c r="I3490" s="11"/>
      <c r="J3490" s="9"/>
      <c r="K3490" s="9"/>
      <c r="O3490" s="11"/>
      <c r="P3490" s="9"/>
      <c r="Q3490" s="9"/>
      <c r="R3490" s="9"/>
      <c r="S3490" s="9"/>
      <c r="T3490" s="31"/>
      <c r="W3490" s="16"/>
      <c r="X3490" s="9"/>
      <c r="Y3490" s="9"/>
      <c r="AA3490" s="16"/>
      <c r="AK3490" s="16"/>
      <c r="AL3490" s="17"/>
    </row>
    <row r="3491" spans="9:38" x14ac:dyDescent="0.4">
      <c r="I3491" s="11"/>
      <c r="J3491" s="9"/>
      <c r="K3491" s="9"/>
      <c r="O3491" s="11"/>
      <c r="P3491" s="9"/>
      <c r="Q3491" s="9"/>
      <c r="R3491" s="9"/>
      <c r="S3491" s="9"/>
      <c r="T3491" s="31"/>
      <c r="W3491" s="16"/>
      <c r="X3491" s="9"/>
      <c r="Y3491" s="9"/>
      <c r="AA3491" s="16"/>
      <c r="AK3491" s="16"/>
      <c r="AL3491" s="17"/>
    </row>
    <row r="3492" spans="9:38" x14ac:dyDescent="0.4">
      <c r="I3492" s="11"/>
      <c r="J3492" s="9"/>
      <c r="K3492" s="9"/>
      <c r="O3492" s="11"/>
      <c r="P3492" s="9"/>
      <c r="Q3492" s="9"/>
      <c r="R3492" s="9"/>
      <c r="S3492" s="9"/>
      <c r="T3492" s="31"/>
      <c r="W3492" s="16"/>
      <c r="X3492" s="9"/>
      <c r="Y3492" s="9"/>
      <c r="AA3492" s="16"/>
      <c r="AK3492" s="16"/>
      <c r="AL3492" s="17"/>
    </row>
    <row r="3493" spans="9:38" x14ac:dyDescent="0.4">
      <c r="I3493" s="11"/>
      <c r="J3493" s="9"/>
      <c r="K3493" s="9"/>
      <c r="O3493" s="11"/>
      <c r="P3493" s="9"/>
      <c r="Q3493" s="9"/>
      <c r="R3493" s="9"/>
      <c r="S3493" s="9"/>
      <c r="T3493" s="31"/>
      <c r="W3493" s="16"/>
      <c r="X3493" s="9"/>
      <c r="Y3493" s="9"/>
      <c r="AA3493" s="16"/>
      <c r="AK3493" s="16"/>
      <c r="AL3493" s="17"/>
    </row>
    <row r="3494" spans="9:38" x14ac:dyDescent="0.4">
      <c r="I3494" s="11"/>
      <c r="J3494" s="9"/>
      <c r="K3494" s="9"/>
      <c r="O3494" s="11"/>
      <c r="P3494" s="9"/>
      <c r="Q3494" s="9"/>
      <c r="R3494" s="9"/>
      <c r="S3494" s="9"/>
      <c r="T3494" s="31"/>
      <c r="W3494" s="16"/>
      <c r="X3494" s="9"/>
      <c r="Y3494" s="9"/>
      <c r="AA3494" s="16"/>
      <c r="AK3494" s="16"/>
      <c r="AL3494" s="17"/>
    </row>
    <row r="3495" spans="9:38" x14ac:dyDescent="0.4">
      <c r="I3495" s="11"/>
      <c r="J3495" s="9"/>
      <c r="K3495" s="9"/>
      <c r="O3495" s="11"/>
      <c r="P3495" s="9"/>
      <c r="Q3495" s="9"/>
      <c r="R3495" s="9"/>
      <c r="S3495" s="9"/>
      <c r="T3495" s="31"/>
      <c r="W3495" s="16"/>
      <c r="X3495" s="9"/>
      <c r="Y3495" s="9"/>
      <c r="AA3495" s="16"/>
      <c r="AK3495" s="16"/>
      <c r="AL3495" s="17"/>
    </row>
    <row r="3496" spans="9:38" x14ac:dyDescent="0.4">
      <c r="I3496" s="11"/>
      <c r="J3496" s="9"/>
      <c r="K3496" s="9"/>
      <c r="O3496" s="11"/>
      <c r="P3496" s="9"/>
      <c r="Q3496" s="9"/>
      <c r="R3496" s="9"/>
      <c r="S3496" s="9"/>
      <c r="T3496" s="31"/>
      <c r="W3496" s="16"/>
      <c r="X3496" s="9"/>
      <c r="Y3496" s="9"/>
      <c r="AA3496" s="16"/>
      <c r="AK3496" s="16"/>
      <c r="AL3496" s="17"/>
    </row>
    <row r="3497" spans="9:38" x14ac:dyDescent="0.4">
      <c r="I3497" s="11"/>
      <c r="J3497" s="9"/>
      <c r="K3497" s="9"/>
      <c r="O3497" s="11"/>
      <c r="P3497" s="9"/>
      <c r="Q3497" s="9"/>
      <c r="R3497" s="9"/>
      <c r="S3497" s="9"/>
      <c r="T3497" s="31"/>
      <c r="W3497" s="16"/>
      <c r="X3497" s="9"/>
      <c r="Y3497" s="9"/>
      <c r="AA3497" s="16"/>
      <c r="AK3497" s="16"/>
      <c r="AL3497" s="17"/>
    </row>
    <row r="3498" spans="9:38" x14ac:dyDescent="0.4">
      <c r="I3498" s="11"/>
      <c r="J3498" s="9"/>
      <c r="K3498" s="9"/>
      <c r="O3498" s="11"/>
      <c r="P3498" s="9"/>
      <c r="Q3498" s="9"/>
      <c r="R3498" s="9"/>
      <c r="S3498" s="9"/>
      <c r="T3498" s="31"/>
      <c r="W3498" s="16"/>
      <c r="X3498" s="9"/>
      <c r="Y3498" s="9"/>
      <c r="AA3498" s="16"/>
      <c r="AK3498" s="16"/>
      <c r="AL3498" s="17"/>
    </row>
    <row r="3499" spans="9:38" x14ac:dyDescent="0.4">
      <c r="I3499" s="11"/>
      <c r="J3499" s="9"/>
      <c r="K3499" s="9"/>
      <c r="O3499" s="11"/>
      <c r="P3499" s="9"/>
      <c r="Q3499" s="9"/>
      <c r="R3499" s="9"/>
      <c r="S3499" s="9"/>
      <c r="T3499" s="31"/>
      <c r="W3499" s="16"/>
      <c r="X3499" s="9"/>
      <c r="Y3499" s="9"/>
      <c r="AA3499" s="16"/>
      <c r="AK3499" s="16"/>
      <c r="AL3499" s="17"/>
    </row>
    <row r="3500" spans="9:38" x14ac:dyDescent="0.4">
      <c r="I3500" s="11"/>
      <c r="J3500" s="9"/>
      <c r="K3500" s="9"/>
      <c r="O3500" s="11"/>
      <c r="P3500" s="9"/>
      <c r="Q3500" s="9"/>
      <c r="R3500" s="9"/>
      <c r="S3500" s="9"/>
      <c r="T3500" s="31"/>
      <c r="W3500" s="16"/>
      <c r="X3500" s="9"/>
      <c r="Y3500" s="9"/>
      <c r="AA3500" s="16"/>
      <c r="AK3500" s="16"/>
      <c r="AL3500" s="17"/>
    </row>
    <row r="3501" spans="9:38" x14ac:dyDescent="0.4">
      <c r="I3501" s="11"/>
      <c r="J3501" s="9"/>
      <c r="K3501" s="9"/>
      <c r="O3501" s="11"/>
      <c r="P3501" s="9"/>
      <c r="Q3501" s="9"/>
      <c r="R3501" s="9"/>
      <c r="S3501" s="9"/>
      <c r="T3501" s="31"/>
      <c r="W3501" s="16"/>
      <c r="X3501" s="9"/>
      <c r="Y3501" s="9"/>
      <c r="AA3501" s="16"/>
      <c r="AK3501" s="16"/>
      <c r="AL3501" s="17"/>
    </row>
    <row r="3502" spans="9:38" x14ac:dyDescent="0.4">
      <c r="I3502" s="11"/>
      <c r="J3502" s="9"/>
      <c r="K3502" s="9"/>
      <c r="O3502" s="11"/>
      <c r="P3502" s="9"/>
      <c r="Q3502" s="9"/>
      <c r="R3502" s="9"/>
      <c r="S3502" s="9"/>
      <c r="T3502" s="31"/>
      <c r="W3502" s="16"/>
      <c r="X3502" s="9"/>
      <c r="Y3502" s="9"/>
      <c r="AA3502" s="16"/>
      <c r="AK3502" s="16"/>
      <c r="AL3502" s="17"/>
    </row>
    <row r="3503" spans="9:38" x14ac:dyDescent="0.4">
      <c r="I3503" s="11"/>
      <c r="J3503" s="9"/>
      <c r="K3503" s="9"/>
      <c r="O3503" s="11"/>
      <c r="P3503" s="9"/>
      <c r="Q3503" s="9"/>
      <c r="R3503" s="9"/>
      <c r="S3503" s="9"/>
      <c r="T3503" s="31"/>
      <c r="W3503" s="16"/>
      <c r="X3503" s="9"/>
      <c r="Y3503" s="9"/>
      <c r="AA3503" s="16"/>
      <c r="AK3503" s="16"/>
      <c r="AL3503" s="17"/>
    </row>
    <row r="3504" spans="9:38" x14ac:dyDescent="0.4">
      <c r="I3504" s="11"/>
      <c r="J3504" s="9"/>
      <c r="K3504" s="9"/>
      <c r="O3504" s="11"/>
      <c r="P3504" s="9"/>
      <c r="Q3504" s="9"/>
      <c r="R3504" s="9"/>
      <c r="S3504" s="9"/>
      <c r="T3504" s="31"/>
      <c r="W3504" s="16"/>
      <c r="X3504" s="9"/>
      <c r="Y3504" s="9"/>
      <c r="AA3504" s="16"/>
      <c r="AK3504" s="16"/>
      <c r="AL3504" s="17"/>
    </row>
    <row r="3505" spans="9:38" x14ac:dyDescent="0.4">
      <c r="I3505" s="11"/>
      <c r="J3505" s="9"/>
      <c r="K3505" s="9"/>
      <c r="O3505" s="11"/>
      <c r="P3505" s="9"/>
      <c r="Q3505" s="9"/>
      <c r="R3505" s="9"/>
      <c r="S3505" s="9"/>
      <c r="T3505" s="31"/>
      <c r="W3505" s="16"/>
      <c r="X3505" s="9"/>
      <c r="Y3505" s="9"/>
      <c r="AA3505" s="16"/>
      <c r="AK3505" s="16"/>
      <c r="AL3505" s="17"/>
    </row>
    <row r="3506" spans="9:38" x14ac:dyDescent="0.4">
      <c r="I3506" s="11"/>
      <c r="J3506" s="9"/>
      <c r="K3506" s="9"/>
      <c r="O3506" s="11"/>
      <c r="P3506" s="9"/>
      <c r="Q3506" s="9"/>
      <c r="R3506" s="9"/>
      <c r="S3506" s="9"/>
      <c r="T3506" s="31"/>
      <c r="W3506" s="16"/>
      <c r="X3506" s="9"/>
      <c r="Y3506" s="9"/>
      <c r="AA3506" s="16"/>
      <c r="AK3506" s="16"/>
      <c r="AL3506" s="17"/>
    </row>
    <row r="3507" spans="9:38" x14ac:dyDescent="0.4">
      <c r="I3507" s="11"/>
      <c r="J3507" s="9"/>
      <c r="K3507" s="9"/>
      <c r="O3507" s="11"/>
      <c r="P3507" s="9"/>
      <c r="Q3507" s="9"/>
      <c r="R3507" s="9"/>
      <c r="S3507" s="9"/>
      <c r="T3507" s="31"/>
      <c r="W3507" s="16"/>
      <c r="X3507" s="9"/>
      <c r="Y3507" s="9"/>
      <c r="AA3507" s="16"/>
      <c r="AK3507" s="16"/>
      <c r="AL3507" s="17"/>
    </row>
    <row r="3508" spans="9:38" x14ac:dyDescent="0.4">
      <c r="I3508" s="11"/>
      <c r="J3508" s="9"/>
      <c r="K3508" s="9"/>
      <c r="O3508" s="11"/>
      <c r="P3508" s="9"/>
      <c r="Q3508" s="9"/>
      <c r="R3508" s="9"/>
      <c r="S3508" s="9"/>
      <c r="T3508" s="31"/>
      <c r="W3508" s="16"/>
      <c r="X3508" s="9"/>
      <c r="Y3508" s="9"/>
      <c r="AA3508" s="16"/>
      <c r="AK3508" s="16"/>
      <c r="AL3508" s="17"/>
    </row>
    <row r="3509" spans="9:38" x14ac:dyDescent="0.4">
      <c r="I3509" s="11"/>
      <c r="J3509" s="9"/>
      <c r="K3509" s="9"/>
      <c r="O3509" s="11"/>
      <c r="P3509" s="9"/>
      <c r="Q3509" s="9"/>
      <c r="R3509" s="9"/>
      <c r="S3509" s="9"/>
      <c r="T3509" s="31"/>
      <c r="W3509" s="16"/>
      <c r="X3509" s="9"/>
      <c r="Y3509" s="9"/>
      <c r="AA3509" s="16"/>
      <c r="AK3509" s="16"/>
      <c r="AL3509" s="17"/>
    </row>
    <row r="3510" spans="9:38" x14ac:dyDescent="0.4">
      <c r="I3510" s="11"/>
      <c r="J3510" s="9"/>
      <c r="K3510" s="9"/>
      <c r="O3510" s="11"/>
      <c r="P3510" s="9"/>
      <c r="Q3510" s="9"/>
      <c r="R3510" s="9"/>
      <c r="S3510" s="9"/>
      <c r="T3510" s="31"/>
      <c r="W3510" s="16"/>
      <c r="X3510" s="9"/>
      <c r="Y3510" s="9"/>
      <c r="AA3510" s="16"/>
      <c r="AK3510" s="16"/>
      <c r="AL3510" s="17"/>
    </row>
    <row r="3511" spans="9:38" x14ac:dyDescent="0.4">
      <c r="I3511" s="11"/>
      <c r="J3511" s="9"/>
      <c r="K3511" s="9"/>
      <c r="O3511" s="11"/>
      <c r="P3511" s="9"/>
      <c r="Q3511" s="9"/>
      <c r="R3511" s="9"/>
      <c r="S3511" s="9"/>
      <c r="T3511" s="31"/>
      <c r="W3511" s="16"/>
      <c r="X3511" s="9"/>
      <c r="Y3511" s="9"/>
      <c r="AA3511" s="16"/>
      <c r="AK3511" s="16"/>
      <c r="AL3511" s="17"/>
    </row>
    <row r="3512" spans="9:38" x14ac:dyDescent="0.4">
      <c r="I3512" s="11"/>
      <c r="J3512" s="9"/>
      <c r="K3512" s="9"/>
      <c r="O3512" s="11"/>
      <c r="P3512" s="9"/>
      <c r="Q3512" s="9"/>
      <c r="R3512" s="9"/>
      <c r="S3512" s="9"/>
      <c r="T3512" s="31"/>
      <c r="W3512" s="16"/>
      <c r="X3512" s="9"/>
      <c r="Y3512" s="9"/>
      <c r="AA3512" s="16"/>
      <c r="AK3512" s="16"/>
      <c r="AL3512" s="17"/>
    </row>
    <row r="3513" spans="9:38" x14ac:dyDescent="0.4">
      <c r="I3513" s="11"/>
      <c r="J3513" s="9"/>
      <c r="K3513" s="9"/>
      <c r="O3513" s="11"/>
      <c r="P3513" s="9"/>
      <c r="Q3513" s="9"/>
      <c r="R3513" s="9"/>
      <c r="S3513" s="9"/>
      <c r="T3513" s="31"/>
      <c r="W3513" s="16"/>
      <c r="X3513" s="9"/>
      <c r="Y3513" s="9"/>
      <c r="AA3513" s="16"/>
      <c r="AK3513" s="16"/>
      <c r="AL3513" s="17"/>
    </row>
    <row r="3514" spans="9:38" x14ac:dyDescent="0.4">
      <c r="I3514" s="11"/>
      <c r="J3514" s="9"/>
      <c r="K3514" s="9"/>
      <c r="O3514" s="11"/>
      <c r="P3514" s="9"/>
      <c r="Q3514" s="9"/>
      <c r="R3514" s="9"/>
      <c r="S3514" s="9"/>
      <c r="T3514" s="31"/>
      <c r="W3514" s="16"/>
      <c r="X3514" s="9"/>
      <c r="Y3514" s="9"/>
      <c r="AA3514" s="16"/>
      <c r="AK3514" s="16"/>
      <c r="AL3514" s="17"/>
    </row>
    <row r="3515" spans="9:38" x14ac:dyDescent="0.4">
      <c r="I3515" s="11"/>
      <c r="J3515" s="9"/>
      <c r="K3515" s="9"/>
      <c r="O3515" s="11"/>
      <c r="P3515" s="9"/>
      <c r="Q3515" s="9"/>
      <c r="R3515" s="9"/>
      <c r="S3515" s="9"/>
      <c r="T3515" s="31"/>
      <c r="W3515" s="16"/>
      <c r="X3515" s="9"/>
      <c r="Y3515" s="9"/>
      <c r="AA3515" s="16"/>
      <c r="AK3515" s="16"/>
      <c r="AL3515" s="17"/>
    </row>
    <row r="3516" spans="9:38" x14ac:dyDescent="0.4">
      <c r="I3516" s="11"/>
      <c r="J3516" s="9"/>
      <c r="K3516" s="9"/>
      <c r="O3516" s="11"/>
      <c r="P3516" s="9"/>
      <c r="Q3516" s="9"/>
      <c r="R3516" s="9"/>
      <c r="S3516" s="9"/>
      <c r="T3516" s="31"/>
      <c r="W3516" s="16"/>
      <c r="X3516" s="9"/>
      <c r="Y3516" s="9"/>
      <c r="AA3516" s="16"/>
      <c r="AK3516" s="16"/>
      <c r="AL3516" s="17"/>
    </row>
    <row r="3517" spans="9:38" x14ac:dyDescent="0.4">
      <c r="I3517" s="11"/>
      <c r="J3517" s="9"/>
      <c r="K3517" s="9"/>
      <c r="O3517" s="11"/>
      <c r="P3517" s="9"/>
      <c r="Q3517" s="9"/>
      <c r="R3517" s="9"/>
      <c r="S3517" s="9"/>
      <c r="T3517" s="31"/>
      <c r="W3517" s="16"/>
      <c r="X3517" s="9"/>
      <c r="Y3517" s="9"/>
      <c r="AA3517" s="16"/>
      <c r="AK3517" s="16"/>
      <c r="AL3517" s="17"/>
    </row>
    <row r="3518" spans="9:38" x14ac:dyDescent="0.4">
      <c r="I3518" s="11"/>
      <c r="J3518" s="9"/>
      <c r="K3518" s="9"/>
      <c r="O3518" s="11"/>
      <c r="P3518" s="9"/>
      <c r="Q3518" s="9"/>
      <c r="R3518" s="9"/>
      <c r="S3518" s="9"/>
      <c r="T3518" s="31"/>
      <c r="W3518" s="16"/>
      <c r="X3518" s="9"/>
      <c r="Y3518" s="9"/>
      <c r="AA3518" s="16"/>
      <c r="AK3518" s="16"/>
      <c r="AL3518" s="17"/>
    </row>
    <row r="3519" spans="9:38" x14ac:dyDescent="0.4">
      <c r="I3519" s="11"/>
      <c r="J3519" s="9"/>
      <c r="K3519" s="9"/>
      <c r="O3519" s="11"/>
      <c r="P3519" s="9"/>
      <c r="Q3519" s="9"/>
      <c r="R3519" s="9"/>
      <c r="S3519" s="9"/>
      <c r="T3519" s="31"/>
      <c r="W3519" s="16"/>
      <c r="X3519" s="9"/>
      <c r="Y3519" s="9"/>
      <c r="AA3519" s="16"/>
      <c r="AK3519" s="16"/>
      <c r="AL3519" s="17"/>
    </row>
    <row r="3520" spans="9:38" x14ac:dyDescent="0.4">
      <c r="I3520" s="11"/>
      <c r="J3520" s="9"/>
      <c r="K3520" s="9"/>
      <c r="O3520" s="11"/>
      <c r="P3520" s="9"/>
      <c r="Q3520" s="9"/>
      <c r="R3520" s="9"/>
      <c r="S3520" s="9"/>
      <c r="T3520" s="31"/>
      <c r="W3520" s="16"/>
      <c r="X3520" s="9"/>
      <c r="Y3520" s="9"/>
      <c r="AA3520" s="16"/>
      <c r="AK3520" s="16"/>
      <c r="AL3520" s="17"/>
    </row>
    <row r="3521" spans="9:38" x14ac:dyDescent="0.4">
      <c r="I3521" s="11"/>
      <c r="J3521" s="9"/>
      <c r="K3521" s="9"/>
      <c r="O3521" s="11"/>
      <c r="P3521" s="9"/>
      <c r="Q3521" s="9"/>
      <c r="R3521" s="9"/>
      <c r="S3521" s="9"/>
      <c r="T3521" s="31"/>
      <c r="W3521" s="16"/>
      <c r="X3521" s="9"/>
      <c r="Y3521" s="9"/>
      <c r="AA3521" s="16"/>
      <c r="AK3521" s="16"/>
      <c r="AL3521" s="17"/>
    </row>
    <row r="3522" spans="9:38" x14ac:dyDescent="0.4">
      <c r="I3522" s="11"/>
      <c r="J3522" s="9"/>
      <c r="K3522" s="9"/>
      <c r="O3522" s="11"/>
      <c r="P3522" s="9"/>
      <c r="Q3522" s="9"/>
      <c r="R3522" s="9"/>
      <c r="S3522" s="9"/>
      <c r="T3522" s="31"/>
      <c r="W3522" s="16"/>
      <c r="X3522" s="9"/>
      <c r="Y3522" s="9"/>
      <c r="AA3522" s="16"/>
      <c r="AK3522" s="16"/>
      <c r="AL3522" s="17"/>
    </row>
    <row r="3523" spans="9:38" x14ac:dyDescent="0.4">
      <c r="I3523" s="11"/>
      <c r="J3523" s="9"/>
      <c r="K3523" s="9"/>
      <c r="O3523" s="11"/>
      <c r="P3523" s="9"/>
      <c r="Q3523" s="9"/>
      <c r="R3523" s="9"/>
      <c r="S3523" s="9"/>
      <c r="T3523" s="31"/>
      <c r="W3523" s="16"/>
      <c r="X3523" s="9"/>
      <c r="Y3523" s="9"/>
      <c r="AA3523" s="16"/>
      <c r="AK3523" s="16"/>
      <c r="AL3523" s="17"/>
    </row>
    <row r="3524" spans="9:38" x14ac:dyDescent="0.4">
      <c r="I3524" s="11"/>
      <c r="J3524" s="9"/>
      <c r="K3524" s="9"/>
      <c r="O3524" s="11"/>
      <c r="P3524" s="9"/>
      <c r="Q3524" s="9"/>
      <c r="R3524" s="9"/>
      <c r="S3524" s="9"/>
      <c r="T3524" s="31"/>
      <c r="W3524" s="16"/>
      <c r="X3524" s="9"/>
      <c r="Y3524" s="9"/>
      <c r="AA3524" s="16"/>
      <c r="AK3524" s="16"/>
      <c r="AL3524" s="17"/>
    </row>
    <row r="3525" spans="9:38" x14ac:dyDescent="0.4">
      <c r="I3525" s="11"/>
      <c r="J3525" s="9"/>
      <c r="K3525" s="9"/>
      <c r="O3525" s="11"/>
      <c r="P3525" s="9"/>
      <c r="Q3525" s="9"/>
      <c r="R3525" s="9"/>
      <c r="S3525" s="9"/>
      <c r="T3525" s="31"/>
      <c r="W3525" s="16"/>
      <c r="X3525" s="9"/>
      <c r="Y3525" s="9"/>
      <c r="AA3525" s="16"/>
      <c r="AK3525" s="16"/>
      <c r="AL3525" s="17"/>
    </row>
    <row r="3526" spans="9:38" x14ac:dyDescent="0.4">
      <c r="I3526" s="11"/>
      <c r="J3526" s="9"/>
      <c r="K3526" s="9"/>
      <c r="O3526" s="11"/>
      <c r="P3526" s="9"/>
      <c r="Q3526" s="9"/>
      <c r="R3526" s="9"/>
      <c r="S3526" s="9"/>
      <c r="T3526" s="31"/>
      <c r="W3526" s="16"/>
      <c r="X3526" s="9"/>
      <c r="Y3526" s="9"/>
      <c r="AA3526" s="16"/>
      <c r="AK3526" s="16"/>
      <c r="AL3526" s="17"/>
    </row>
    <row r="3527" spans="9:38" x14ac:dyDescent="0.4">
      <c r="I3527" s="11"/>
      <c r="J3527" s="9"/>
      <c r="K3527" s="9"/>
      <c r="O3527" s="11"/>
      <c r="P3527" s="9"/>
      <c r="Q3527" s="9"/>
      <c r="R3527" s="9"/>
      <c r="S3527" s="9"/>
      <c r="T3527" s="31"/>
      <c r="W3527" s="16"/>
      <c r="X3527" s="9"/>
      <c r="Y3527" s="9"/>
      <c r="AA3527" s="16"/>
      <c r="AK3527" s="16"/>
      <c r="AL3527" s="17"/>
    </row>
    <row r="3528" spans="9:38" x14ac:dyDescent="0.4">
      <c r="I3528" s="11"/>
      <c r="J3528" s="9"/>
      <c r="K3528" s="9"/>
      <c r="O3528" s="11"/>
      <c r="P3528" s="9"/>
      <c r="Q3528" s="9"/>
      <c r="R3528" s="9"/>
      <c r="S3528" s="9"/>
      <c r="T3528" s="31"/>
      <c r="W3528" s="16"/>
      <c r="X3528" s="9"/>
      <c r="Y3528" s="9"/>
      <c r="AA3528" s="16"/>
      <c r="AK3528" s="16"/>
      <c r="AL3528" s="17"/>
    </row>
    <row r="3529" spans="9:38" x14ac:dyDescent="0.4">
      <c r="I3529" s="11"/>
      <c r="J3529" s="9"/>
      <c r="K3529" s="9"/>
      <c r="O3529" s="11"/>
      <c r="P3529" s="9"/>
      <c r="Q3529" s="9"/>
      <c r="R3529" s="9"/>
      <c r="S3529" s="9"/>
      <c r="T3529" s="31"/>
      <c r="W3529" s="16"/>
      <c r="X3529" s="9"/>
      <c r="Y3529" s="9"/>
      <c r="AA3529" s="16"/>
      <c r="AK3529" s="16"/>
      <c r="AL3529" s="17"/>
    </row>
    <row r="3530" spans="9:38" x14ac:dyDescent="0.4">
      <c r="I3530" s="11"/>
      <c r="J3530" s="9"/>
      <c r="K3530" s="9"/>
      <c r="O3530" s="11"/>
      <c r="P3530" s="9"/>
      <c r="Q3530" s="9"/>
      <c r="R3530" s="9"/>
      <c r="S3530" s="9"/>
      <c r="T3530" s="31"/>
      <c r="W3530" s="16"/>
      <c r="X3530" s="9"/>
      <c r="Y3530" s="9"/>
      <c r="AA3530" s="16"/>
      <c r="AK3530" s="16"/>
      <c r="AL3530" s="17"/>
    </row>
    <row r="3531" spans="9:38" x14ac:dyDescent="0.4">
      <c r="I3531" s="11"/>
      <c r="J3531" s="9"/>
      <c r="K3531" s="9"/>
      <c r="O3531" s="11"/>
      <c r="P3531" s="9"/>
      <c r="Q3531" s="9"/>
      <c r="R3531" s="9"/>
      <c r="S3531" s="9"/>
      <c r="T3531" s="31"/>
      <c r="W3531" s="16"/>
      <c r="X3531" s="9"/>
      <c r="Y3531" s="9"/>
      <c r="AA3531" s="16"/>
      <c r="AK3531" s="16"/>
      <c r="AL3531" s="17"/>
    </row>
    <row r="3532" spans="9:38" x14ac:dyDescent="0.4">
      <c r="I3532" s="11"/>
      <c r="J3532" s="9"/>
      <c r="K3532" s="9"/>
      <c r="O3532" s="11"/>
      <c r="P3532" s="9"/>
      <c r="Q3532" s="9"/>
      <c r="R3532" s="9"/>
      <c r="S3532" s="9"/>
      <c r="T3532" s="31"/>
      <c r="W3532" s="16"/>
      <c r="X3532" s="9"/>
      <c r="Y3532" s="9"/>
      <c r="AA3532" s="16"/>
      <c r="AK3532" s="16"/>
      <c r="AL3532" s="17"/>
    </row>
    <row r="3533" spans="9:38" x14ac:dyDescent="0.4">
      <c r="I3533" s="11"/>
      <c r="J3533" s="9"/>
      <c r="K3533" s="9"/>
      <c r="O3533" s="11"/>
      <c r="P3533" s="9"/>
      <c r="Q3533" s="9"/>
      <c r="R3533" s="9"/>
      <c r="S3533" s="9"/>
      <c r="T3533" s="31"/>
      <c r="W3533" s="16"/>
      <c r="X3533" s="9"/>
      <c r="Y3533" s="9"/>
      <c r="AA3533" s="16"/>
      <c r="AK3533" s="16"/>
      <c r="AL3533" s="17"/>
    </row>
    <row r="3534" spans="9:38" x14ac:dyDescent="0.4">
      <c r="I3534" s="11"/>
      <c r="J3534" s="9"/>
      <c r="K3534" s="9"/>
      <c r="O3534" s="11"/>
      <c r="P3534" s="9"/>
      <c r="Q3534" s="9"/>
      <c r="R3534" s="9"/>
      <c r="S3534" s="9"/>
      <c r="T3534" s="31"/>
      <c r="W3534" s="16"/>
      <c r="X3534" s="9"/>
      <c r="Y3534" s="9"/>
      <c r="AA3534" s="16"/>
      <c r="AK3534" s="16"/>
      <c r="AL3534" s="17"/>
    </row>
    <row r="3535" spans="9:38" x14ac:dyDescent="0.4">
      <c r="I3535" s="11"/>
      <c r="J3535" s="9"/>
      <c r="K3535" s="9"/>
      <c r="O3535" s="11"/>
      <c r="P3535" s="9"/>
      <c r="Q3535" s="9"/>
      <c r="R3535" s="9"/>
      <c r="S3535" s="9"/>
      <c r="T3535" s="31"/>
      <c r="W3535" s="16"/>
      <c r="X3535" s="9"/>
      <c r="Y3535" s="9"/>
      <c r="AA3535" s="16"/>
      <c r="AK3535" s="16"/>
      <c r="AL3535" s="17"/>
    </row>
    <row r="3536" spans="9:38" x14ac:dyDescent="0.4">
      <c r="I3536" s="11"/>
      <c r="J3536" s="9"/>
      <c r="K3536" s="9"/>
      <c r="O3536" s="11"/>
      <c r="P3536" s="9"/>
      <c r="Q3536" s="9"/>
      <c r="R3536" s="9"/>
      <c r="S3536" s="9"/>
      <c r="T3536" s="31"/>
      <c r="W3536" s="16"/>
      <c r="X3536" s="9"/>
      <c r="Y3536" s="9"/>
      <c r="AA3536" s="16"/>
      <c r="AK3536" s="16"/>
      <c r="AL3536" s="17"/>
    </row>
    <row r="3537" spans="9:38" x14ac:dyDescent="0.4">
      <c r="I3537" s="11"/>
      <c r="J3537" s="9"/>
      <c r="K3537" s="9"/>
      <c r="O3537" s="11"/>
      <c r="P3537" s="9"/>
      <c r="Q3537" s="9"/>
      <c r="R3537" s="9"/>
      <c r="S3537" s="9"/>
      <c r="T3537" s="31"/>
      <c r="W3537" s="16"/>
      <c r="X3537" s="9"/>
      <c r="Y3537" s="9"/>
      <c r="AA3537" s="16"/>
      <c r="AK3537" s="16"/>
      <c r="AL3537" s="17"/>
    </row>
    <row r="3538" spans="9:38" x14ac:dyDescent="0.4">
      <c r="I3538" s="11"/>
      <c r="J3538" s="9"/>
      <c r="K3538" s="9"/>
      <c r="O3538" s="11"/>
      <c r="P3538" s="9"/>
      <c r="Q3538" s="9"/>
      <c r="R3538" s="9"/>
      <c r="S3538" s="9"/>
      <c r="T3538" s="31"/>
      <c r="W3538" s="16"/>
      <c r="X3538" s="9"/>
      <c r="Y3538" s="9"/>
      <c r="AA3538" s="16"/>
      <c r="AK3538" s="16"/>
      <c r="AL3538" s="17"/>
    </row>
    <row r="3539" spans="9:38" x14ac:dyDescent="0.4">
      <c r="I3539" s="11"/>
      <c r="J3539" s="9"/>
      <c r="K3539" s="9"/>
      <c r="O3539" s="11"/>
      <c r="P3539" s="9"/>
      <c r="Q3539" s="9"/>
      <c r="R3539" s="9"/>
      <c r="S3539" s="9"/>
      <c r="T3539" s="31"/>
      <c r="W3539" s="16"/>
      <c r="X3539" s="9"/>
      <c r="Y3539" s="9"/>
      <c r="AA3539" s="16"/>
      <c r="AK3539" s="16"/>
      <c r="AL3539" s="17"/>
    </row>
    <row r="3540" spans="9:38" x14ac:dyDescent="0.4">
      <c r="I3540" s="11"/>
      <c r="J3540" s="9"/>
      <c r="K3540" s="9"/>
      <c r="O3540" s="11"/>
      <c r="P3540" s="9"/>
      <c r="Q3540" s="9"/>
      <c r="R3540" s="9"/>
      <c r="S3540" s="9"/>
      <c r="T3540" s="31"/>
      <c r="W3540" s="16"/>
      <c r="X3540" s="9"/>
      <c r="Y3540" s="9"/>
      <c r="AA3540" s="16"/>
      <c r="AK3540" s="16"/>
      <c r="AL3540" s="17"/>
    </row>
    <row r="3541" spans="9:38" x14ac:dyDescent="0.4">
      <c r="I3541" s="11"/>
      <c r="J3541" s="9"/>
      <c r="K3541" s="9"/>
      <c r="O3541" s="11"/>
      <c r="P3541" s="9"/>
      <c r="Q3541" s="9"/>
      <c r="R3541" s="9"/>
      <c r="S3541" s="9"/>
      <c r="T3541" s="31"/>
      <c r="W3541" s="16"/>
      <c r="X3541" s="9"/>
      <c r="Y3541" s="9"/>
      <c r="AA3541" s="16"/>
      <c r="AK3541" s="16"/>
      <c r="AL3541" s="17"/>
    </row>
    <row r="3542" spans="9:38" x14ac:dyDescent="0.4">
      <c r="I3542" s="11"/>
      <c r="J3542" s="9"/>
      <c r="K3542" s="9"/>
      <c r="O3542" s="11"/>
      <c r="P3542" s="9"/>
      <c r="Q3542" s="9"/>
      <c r="R3542" s="9"/>
      <c r="S3542" s="9"/>
      <c r="T3542" s="31"/>
      <c r="W3542" s="16"/>
      <c r="X3542" s="9"/>
      <c r="Y3542" s="9"/>
      <c r="AA3542" s="16"/>
      <c r="AK3542" s="16"/>
      <c r="AL3542" s="17"/>
    </row>
    <row r="3543" spans="9:38" x14ac:dyDescent="0.4">
      <c r="I3543" s="11"/>
      <c r="J3543" s="9"/>
      <c r="K3543" s="9"/>
      <c r="O3543" s="11"/>
      <c r="P3543" s="9"/>
      <c r="Q3543" s="9"/>
      <c r="R3543" s="9"/>
      <c r="S3543" s="9"/>
      <c r="T3543" s="31"/>
      <c r="W3543" s="16"/>
      <c r="X3543" s="9"/>
      <c r="Y3543" s="9"/>
      <c r="AA3543" s="16"/>
      <c r="AK3543" s="16"/>
      <c r="AL3543" s="17"/>
    </row>
    <row r="3544" spans="9:38" x14ac:dyDescent="0.4">
      <c r="I3544" s="11"/>
      <c r="J3544" s="9"/>
      <c r="K3544" s="9"/>
      <c r="O3544" s="11"/>
      <c r="P3544" s="9"/>
      <c r="Q3544" s="9"/>
      <c r="R3544" s="9"/>
      <c r="S3544" s="9"/>
      <c r="T3544" s="31"/>
      <c r="W3544" s="16"/>
      <c r="X3544" s="9"/>
      <c r="Y3544" s="9"/>
      <c r="AA3544" s="16"/>
      <c r="AK3544" s="16"/>
      <c r="AL3544" s="17"/>
    </row>
    <row r="3545" spans="9:38" x14ac:dyDescent="0.4">
      <c r="I3545" s="11"/>
      <c r="J3545" s="9"/>
      <c r="K3545" s="9"/>
      <c r="O3545" s="11"/>
      <c r="P3545" s="9"/>
      <c r="Q3545" s="9"/>
      <c r="R3545" s="9"/>
      <c r="S3545" s="9"/>
      <c r="T3545" s="31"/>
      <c r="W3545" s="16"/>
      <c r="X3545" s="9"/>
      <c r="Y3545" s="9"/>
      <c r="AA3545" s="16"/>
      <c r="AK3545" s="16"/>
      <c r="AL3545" s="17"/>
    </row>
    <row r="3546" spans="9:38" x14ac:dyDescent="0.4">
      <c r="I3546" s="11"/>
      <c r="J3546" s="9"/>
      <c r="K3546" s="9"/>
      <c r="O3546" s="11"/>
      <c r="P3546" s="9"/>
      <c r="Q3546" s="9"/>
      <c r="R3546" s="9"/>
      <c r="S3546" s="9"/>
      <c r="T3546" s="31"/>
      <c r="W3546" s="16"/>
      <c r="X3546" s="9"/>
      <c r="Y3546" s="9"/>
      <c r="AA3546" s="16"/>
      <c r="AK3546" s="16"/>
      <c r="AL3546" s="17"/>
    </row>
    <row r="3547" spans="9:38" x14ac:dyDescent="0.4">
      <c r="I3547" s="11"/>
      <c r="J3547" s="9"/>
      <c r="K3547" s="9"/>
      <c r="O3547" s="11"/>
      <c r="P3547" s="9"/>
      <c r="Q3547" s="9"/>
      <c r="R3547" s="9"/>
      <c r="S3547" s="9"/>
      <c r="T3547" s="31"/>
      <c r="W3547" s="16"/>
      <c r="X3547" s="9"/>
      <c r="Y3547" s="9"/>
      <c r="AA3547" s="16"/>
      <c r="AK3547" s="16"/>
      <c r="AL3547" s="17"/>
    </row>
    <row r="3548" spans="9:38" x14ac:dyDescent="0.4">
      <c r="I3548" s="11"/>
      <c r="J3548" s="9"/>
      <c r="K3548" s="9"/>
      <c r="O3548" s="11"/>
      <c r="P3548" s="9"/>
      <c r="Q3548" s="9"/>
      <c r="R3548" s="9"/>
      <c r="S3548" s="9"/>
      <c r="T3548" s="31"/>
      <c r="W3548" s="16"/>
      <c r="X3548" s="9"/>
      <c r="Y3548" s="9"/>
      <c r="AA3548" s="16"/>
      <c r="AK3548" s="16"/>
      <c r="AL3548" s="17"/>
    </row>
    <row r="3549" spans="9:38" x14ac:dyDescent="0.4">
      <c r="I3549" s="11"/>
      <c r="J3549" s="9"/>
      <c r="K3549" s="9"/>
      <c r="O3549" s="11"/>
      <c r="P3549" s="9"/>
      <c r="Q3549" s="9"/>
      <c r="R3549" s="9"/>
      <c r="S3549" s="9"/>
      <c r="T3549" s="31"/>
      <c r="W3549" s="16"/>
      <c r="X3549" s="9"/>
      <c r="Y3549" s="9"/>
      <c r="AA3549" s="16"/>
      <c r="AK3549" s="16"/>
      <c r="AL3549" s="17"/>
    </row>
    <row r="3550" spans="9:38" x14ac:dyDescent="0.4">
      <c r="I3550" s="11"/>
      <c r="J3550" s="9"/>
      <c r="K3550" s="9"/>
      <c r="O3550" s="11"/>
      <c r="P3550" s="9"/>
      <c r="Q3550" s="9"/>
      <c r="R3550" s="9"/>
      <c r="S3550" s="9"/>
      <c r="T3550" s="31"/>
      <c r="W3550" s="16"/>
      <c r="X3550" s="9"/>
      <c r="Y3550" s="9"/>
      <c r="AA3550" s="16"/>
      <c r="AK3550" s="16"/>
      <c r="AL3550" s="17"/>
    </row>
    <row r="3551" spans="9:38" x14ac:dyDescent="0.4">
      <c r="I3551" s="11"/>
      <c r="J3551" s="9"/>
      <c r="K3551" s="9"/>
      <c r="O3551" s="11"/>
      <c r="P3551" s="9"/>
      <c r="Q3551" s="9"/>
      <c r="R3551" s="9"/>
      <c r="S3551" s="9"/>
      <c r="T3551" s="31"/>
      <c r="W3551" s="16"/>
      <c r="X3551" s="9"/>
      <c r="Y3551" s="9"/>
      <c r="AA3551" s="16"/>
      <c r="AK3551" s="16"/>
      <c r="AL3551" s="17"/>
    </row>
    <row r="3552" spans="9:38" x14ac:dyDescent="0.4">
      <c r="I3552" s="11"/>
      <c r="J3552" s="9"/>
      <c r="K3552" s="9"/>
      <c r="O3552" s="11"/>
      <c r="P3552" s="9"/>
      <c r="Q3552" s="9"/>
      <c r="R3552" s="9"/>
      <c r="S3552" s="9"/>
      <c r="T3552" s="31"/>
      <c r="W3552" s="16"/>
      <c r="X3552" s="9"/>
      <c r="Y3552" s="9"/>
      <c r="AA3552" s="16"/>
      <c r="AK3552" s="16"/>
      <c r="AL3552" s="17"/>
    </row>
    <row r="3553" spans="9:38" x14ac:dyDescent="0.4">
      <c r="I3553" s="11"/>
      <c r="J3553" s="9"/>
      <c r="K3553" s="9"/>
      <c r="O3553" s="11"/>
      <c r="P3553" s="9"/>
      <c r="Q3553" s="9"/>
      <c r="R3553" s="9"/>
      <c r="S3553" s="9"/>
      <c r="T3553" s="31"/>
      <c r="W3553" s="16"/>
      <c r="X3553" s="9"/>
      <c r="Y3553" s="9"/>
      <c r="AA3553" s="16"/>
      <c r="AK3553" s="16"/>
      <c r="AL3553" s="17"/>
    </row>
    <row r="3554" spans="9:38" x14ac:dyDescent="0.4">
      <c r="I3554" s="11"/>
      <c r="J3554" s="9"/>
      <c r="K3554" s="9"/>
      <c r="O3554" s="11"/>
      <c r="P3554" s="9"/>
      <c r="Q3554" s="9"/>
      <c r="R3554" s="9"/>
      <c r="S3554" s="9"/>
      <c r="T3554" s="31"/>
      <c r="W3554" s="16"/>
      <c r="X3554" s="9"/>
      <c r="Y3554" s="9"/>
      <c r="AA3554" s="16"/>
      <c r="AK3554" s="16"/>
      <c r="AL3554" s="17"/>
    </row>
    <row r="3555" spans="9:38" x14ac:dyDescent="0.4">
      <c r="I3555" s="11"/>
      <c r="J3555" s="9"/>
      <c r="K3555" s="9"/>
      <c r="O3555" s="11"/>
      <c r="P3555" s="9"/>
      <c r="Q3555" s="9"/>
      <c r="R3555" s="9"/>
      <c r="S3555" s="9"/>
      <c r="T3555" s="31"/>
      <c r="W3555" s="16"/>
      <c r="X3555" s="9"/>
      <c r="Y3555" s="9"/>
      <c r="AA3555" s="16"/>
      <c r="AK3555" s="16"/>
      <c r="AL3555" s="17"/>
    </row>
    <row r="3556" spans="9:38" x14ac:dyDescent="0.4">
      <c r="I3556" s="11"/>
      <c r="J3556" s="9"/>
      <c r="K3556" s="9"/>
      <c r="O3556" s="11"/>
      <c r="P3556" s="9"/>
      <c r="Q3556" s="9"/>
      <c r="R3556" s="9"/>
      <c r="S3556" s="9"/>
      <c r="T3556" s="31"/>
      <c r="W3556" s="16"/>
      <c r="X3556" s="9"/>
      <c r="Y3556" s="9"/>
      <c r="AA3556" s="16"/>
      <c r="AK3556" s="16"/>
      <c r="AL3556" s="17"/>
    </row>
    <row r="3557" spans="9:38" x14ac:dyDescent="0.4">
      <c r="I3557" s="11"/>
      <c r="J3557" s="9"/>
      <c r="K3557" s="9"/>
      <c r="O3557" s="11"/>
      <c r="P3557" s="9"/>
      <c r="Q3557" s="9"/>
      <c r="R3557" s="9"/>
      <c r="S3557" s="9"/>
      <c r="T3557" s="31"/>
      <c r="W3557" s="16"/>
      <c r="X3557" s="9"/>
      <c r="Y3557" s="9"/>
      <c r="AA3557" s="16"/>
      <c r="AK3557" s="16"/>
      <c r="AL3557" s="17"/>
    </row>
    <row r="3558" spans="9:38" x14ac:dyDescent="0.4">
      <c r="I3558" s="11"/>
      <c r="J3558" s="9"/>
      <c r="K3558" s="9"/>
      <c r="O3558" s="11"/>
      <c r="P3558" s="9"/>
      <c r="Q3558" s="9"/>
      <c r="R3558" s="9"/>
      <c r="S3558" s="9"/>
      <c r="T3558" s="31"/>
      <c r="W3558" s="16"/>
      <c r="X3558" s="9"/>
      <c r="Y3558" s="9"/>
      <c r="AA3558" s="16"/>
      <c r="AK3558" s="16"/>
      <c r="AL3558" s="17"/>
    </row>
    <row r="3559" spans="9:38" x14ac:dyDescent="0.4">
      <c r="I3559" s="11"/>
      <c r="J3559" s="9"/>
      <c r="K3559" s="9"/>
      <c r="O3559" s="11"/>
      <c r="P3559" s="9"/>
      <c r="Q3559" s="9"/>
      <c r="R3559" s="9"/>
      <c r="S3559" s="9"/>
      <c r="T3559" s="31"/>
      <c r="W3559" s="16"/>
      <c r="X3559" s="9"/>
      <c r="Y3559" s="9"/>
      <c r="AA3559" s="16"/>
      <c r="AK3559" s="16"/>
      <c r="AL3559" s="17"/>
    </row>
    <row r="3560" spans="9:38" x14ac:dyDescent="0.4">
      <c r="I3560" s="11"/>
      <c r="J3560" s="9"/>
      <c r="K3560" s="9"/>
      <c r="O3560" s="11"/>
      <c r="P3560" s="9"/>
      <c r="Q3560" s="9"/>
      <c r="R3560" s="9"/>
      <c r="S3560" s="9"/>
      <c r="T3560" s="31"/>
      <c r="W3560" s="16"/>
      <c r="X3560" s="9"/>
      <c r="Y3560" s="9"/>
      <c r="AA3560" s="16"/>
      <c r="AK3560" s="16"/>
      <c r="AL3560" s="17"/>
    </row>
    <row r="3561" spans="9:38" x14ac:dyDescent="0.4">
      <c r="I3561" s="11"/>
      <c r="J3561" s="9"/>
      <c r="K3561" s="9"/>
      <c r="O3561" s="11"/>
      <c r="P3561" s="9"/>
      <c r="Q3561" s="9"/>
      <c r="R3561" s="9"/>
      <c r="S3561" s="9"/>
      <c r="T3561" s="31"/>
      <c r="W3561" s="16"/>
      <c r="X3561" s="9"/>
      <c r="Y3561" s="9"/>
      <c r="AA3561" s="16"/>
      <c r="AK3561" s="16"/>
      <c r="AL3561" s="17"/>
    </row>
    <row r="3562" spans="9:38" x14ac:dyDescent="0.4">
      <c r="I3562" s="11"/>
      <c r="J3562" s="9"/>
      <c r="K3562" s="9"/>
      <c r="O3562" s="11"/>
      <c r="P3562" s="9"/>
      <c r="Q3562" s="9"/>
      <c r="R3562" s="9"/>
      <c r="S3562" s="9"/>
      <c r="T3562" s="31"/>
      <c r="W3562" s="16"/>
      <c r="X3562" s="9"/>
      <c r="Y3562" s="9"/>
      <c r="AA3562" s="16"/>
      <c r="AK3562" s="16"/>
      <c r="AL3562" s="17"/>
    </row>
    <row r="3563" spans="9:38" x14ac:dyDescent="0.4">
      <c r="I3563" s="11"/>
      <c r="J3563" s="9"/>
      <c r="K3563" s="9"/>
      <c r="O3563" s="11"/>
      <c r="P3563" s="9"/>
      <c r="Q3563" s="9"/>
      <c r="R3563" s="9"/>
      <c r="S3563" s="9"/>
      <c r="T3563" s="31"/>
      <c r="W3563" s="16"/>
      <c r="X3563" s="9"/>
      <c r="Y3563" s="9"/>
      <c r="AA3563" s="16"/>
      <c r="AK3563" s="16"/>
      <c r="AL3563" s="17"/>
    </row>
    <row r="3564" spans="9:38" x14ac:dyDescent="0.4">
      <c r="I3564" s="11"/>
      <c r="J3564" s="9"/>
      <c r="K3564" s="9"/>
      <c r="O3564" s="11"/>
      <c r="P3564" s="9"/>
      <c r="Q3564" s="9"/>
      <c r="R3564" s="9"/>
      <c r="S3564" s="9"/>
      <c r="T3564" s="31"/>
      <c r="W3564" s="16"/>
      <c r="X3564" s="9"/>
      <c r="Y3564" s="9"/>
      <c r="AA3564" s="16"/>
      <c r="AK3564" s="16"/>
      <c r="AL3564" s="17"/>
    </row>
    <row r="3565" spans="9:38" x14ac:dyDescent="0.4">
      <c r="I3565" s="11"/>
      <c r="J3565" s="9"/>
      <c r="K3565" s="9"/>
      <c r="O3565" s="11"/>
      <c r="P3565" s="9"/>
      <c r="Q3565" s="9"/>
      <c r="R3565" s="9"/>
      <c r="S3565" s="9"/>
      <c r="T3565" s="31"/>
      <c r="W3565" s="16"/>
      <c r="X3565" s="9"/>
      <c r="Y3565" s="9"/>
      <c r="AA3565" s="16"/>
      <c r="AK3565" s="16"/>
      <c r="AL3565" s="17"/>
    </row>
    <row r="3566" spans="9:38" x14ac:dyDescent="0.4">
      <c r="I3566" s="11"/>
      <c r="J3566" s="9"/>
      <c r="K3566" s="9"/>
      <c r="O3566" s="11"/>
      <c r="P3566" s="9"/>
      <c r="Q3566" s="9"/>
      <c r="R3566" s="9"/>
      <c r="S3566" s="9"/>
      <c r="T3566" s="31"/>
      <c r="W3566" s="16"/>
      <c r="X3566" s="9"/>
      <c r="Y3566" s="9"/>
      <c r="AA3566" s="16"/>
      <c r="AK3566" s="16"/>
      <c r="AL3566" s="17"/>
    </row>
    <row r="3567" spans="9:38" x14ac:dyDescent="0.4">
      <c r="I3567" s="11"/>
      <c r="J3567" s="9"/>
      <c r="K3567" s="9"/>
      <c r="O3567" s="11"/>
      <c r="P3567" s="9"/>
      <c r="Q3567" s="9"/>
      <c r="R3567" s="9"/>
      <c r="S3567" s="9"/>
      <c r="T3567" s="31"/>
      <c r="W3567" s="16"/>
      <c r="X3567" s="9"/>
      <c r="Y3567" s="9"/>
      <c r="AA3567" s="16"/>
      <c r="AK3567" s="16"/>
      <c r="AL3567" s="17"/>
    </row>
    <row r="3568" spans="9:38" x14ac:dyDescent="0.4">
      <c r="I3568" s="11"/>
      <c r="J3568" s="9"/>
      <c r="K3568" s="9"/>
      <c r="O3568" s="11"/>
      <c r="P3568" s="9"/>
      <c r="Q3568" s="9"/>
      <c r="R3568" s="9"/>
      <c r="S3568" s="9"/>
      <c r="T3568" s="31"/>
      <c r="W3568" s="16"/>
      <c r="X3568" s="9"/>
      <c r="Y3568" s="9"/>
      <c r="AA3568" s="16"/>
      <c r="AK3568" s="16"/>
      <c r="AL3568" s="17"/>
    </row>
    <row r="3569" spans="9:38" x14ac:dyDescent="0.4">
      <c r="I3569" s="11"/>
      <c r="J3569" s="9"/>
      <c r="K3569" s="9"/>
      <c r="O3569" s="11"/>
      <c r="P3569" s="9"/>
      <c r="Q3569" s="9"/>
      <c r="R3569" s="9"/>
      <c r="S3569" s="9"/>
      <c r="T3569" s="31"/>
      <c r="W3569" s="16"/>
      <c r="X3569" s="9"/>
      <c r="Y3569" s="9"/>
      <c r="AA3569" s="16"/>
      <c r="AK3569" s="16"/>
      <c r="AL3569" s="17"/>
    </row>
    <row r="3570" spans="9:38" x14ac:dyDescent="0.4">
      <c r="I3570" s="11"/>
      <c r="J3570" s="9"/>
      <c r="K3570" s="9"/>
      <c r="O3570" s="11"/>
      <c r="P3570" s="9"/>
      <c r="Q3570" s="9"/>
      <c r="R3570" s="9"/>
      <c r="S3570" s="9"/>
      <c r="T3570" s="31"/>
      <c r="W3570" s="16"/>
      <c r="X3570" s="9"/>
      <c r="Y3570" s="9"/>
      <c r="AA3570" s="16"/>
      <c r="AK3570" s="16"/>
      <c r="AL3570" s="17"/>
    </row>
    <row r="3571" spans="9:38" x14ac:dyDescent="0.4">
      <c r="I3571" s="11"/>
      <c r="J3571" s="9"/>
      <c r="K3571" s="9"/>
      <c r="O3571" s="11"/>
      <c r="P3571" s="9"/>
      <c r="Q3571" s="9"/>
      <c r="R3571" s="9"/>
      <c r="S3571" s="9"/>
      <c r="T3571" s="31"/>
      <c r="W3571" s="16"/>
      <c r="X3571" s="9"/>
      <c r="Y3571" s="9"/>
      <c r="AA3571" s="16"/>
      <c r="AK3571" s="16"/>
      <c r="AL3571" s="17"/>
    </row>
    <row r="3572" spans="9:38" x14ac:dyDescent="0.4">
      <c r="I3572" s="11"/>
      <c r="J3572" s="9"/>
      <c r="K3572" s="9"/>
      <c r="O3572" s="11"/>
      <c r="P3572" s="9"/>
      <c r="Q3572" s="9"/>
      <c r="R3572" s="9"/>
      <c r="S3572" s="9"/>
      <c r="T3572" s="31"/>
      <c r="W3572" s="16"/>
      <c r="X3572" s="9"/>
      <c r="Y3572" s="9"/>
      <c r="AA3572" s="16"/>
      <c r="AK3572" s="16"/>
      <c r="AL3572" s="17"/>
    </row>
    <row r="3573" spans="9:38" x14ac:dyDescent="0.4">
      <c r="I3573" s="11"/>
      <c r="J3573" s="9"/>
      <c r="K3573" s="9"/>
      <c r="O3573" s="11"/>
      <c r="P3573" s="9"/>
      <c r="Q3573" s="9"/>
      <c r="R3573" s="9"/>
      <c r="S3573" s="9"/>
      <c r="T3573" s="31"/>
      <c r="W3573" s="16"/>
      <c r="X3573" s="9"/>
      <c r="Y3573" s="9"/>
      <c r="AA3573" s="16"/>
      <c r="AK3573" s="16"/>
      <c r="AL3573" s="17"/>
    </row>
    <row r="3574" spans="9:38" x14ac:dyDescent="0.4">
      <c r="I3574" s="11"/>
      <c r="J3574" s="9"/>
      <c r="K3574" s="9"/>
      <c r="O3574" s="11"/>
      <c r="P3574" s="9"/>
      <c r="Q3574" s="9"/>
      <c r="R3574" s="9"/>
      <c r="S3574" s="9"/>
      <c r="T3574" s="31"/>
      <c r="W3574" s="16"/>
      <c r="X3574" s="9"/>
      <c r="Y3574" s="9"/>
      <c r="AA3574" s="16"/>
      <c r="AK3574" s="16"/>
      <c r="AL3574" s="17"/>
    </row>
    <row r="3575" spans="9:38" x14ac:dyDescent="0.4">
      <c r="I3575" s="11"/>
      <c r="J3575" s="9"/>
      <c r="K3575" s="9"/>
      <c r="O3575" s="11"/>
      <c r="P3575" s="9"/>
      <c r="Q3575" s="9"/>
      <c r="R3575" s="9"/>
      <c r="S3575" s="9"/>
      <c r="T3575" s="31"/>
      <c r="W3575" s="16"/>
      <c r="X3575" s="9"/>
      <c r="Y3575" s="9"/>
      <c r="AA3575" s="16"/>
      <c r="AK3575" s="16"/>
      <c r="AL3575" s="17"/>
    </row>
    <row r="3576" spans="9:38" x14ac:dyDescent="0.4">
      <c r="I3576" s="11"/>
      <c r="J3576" s="9"/>
      <c r="K3576" s="9"/>
      <c r="O3576" s="11"/>
      <c r="P3576" s="9"/>
      <c r="Q3576" s="9"/>
      <c r="R3576" s="9"/>
      <c r="S3576" s="9"/>
      <c r="T3576" s="31"/>
      <c r="W3576" s="16"/>
      <c r="X3576" s="9"/>
      <c r="Y3576" s="9"/>
      <c r="AA3576" s="16"/>
      <c r="AK3576" s="16"/>
      <c r="AL3576" s="17"/>
    </row>
    <row r="3577" spans="9:38" x14ac:dyDescent="0.4">
      <c r="I3577" s="11"/>
      <c r="J3577" s="9"/>
      <c r="K3577" s="9"/>
      <c r="O3577" s="11"/>
      <c r="P3577" s="9"/>
      <c r="Q3577" s="9"/>
      <c r="R3577" s="9"/>
      <c r="S3577" s="9"/>
      <c r="T3577" s="31"/>
      <c r="W3577" s="16"/>
      <c r="X3577" s="9"/>
      <c r="Y3577" s="9"/>
      <c r="AA3577" s="16"/>
      <c r="AK3577" s="16"/>
      <c r="AL3577" s="17"/>
    </row>
    <row r="3578" spans="9:38" x14ac:dyDescent="0.4">
      <c r="I3578" s="11"/>
      <c r="J3578" s="9"/>
      <c r="K3578" s="9"/>
      <c r="O3578" s="11"/>
      <c r="P3578" s="9"/>
      <c r="Q3578" s="9"/>
      <c r="R3578" s="9"/>
      <c r="S3578" s="9"/>
      <c r="T3578" s="31"/>
      <c r="W3578" s="16"/>
      <c r="X3578" s="9"/>
      <c r="Y3578" s="9"/>
      <c r="AA3578" s="16"/>
      <c r="AK3578" s="16"/>
      <c r="AL3578" s="17"/>
    </row>
    <row r="3579" spans="9:38" x14ac:dyDescent="0.4">
      <c r="I3579" s="11"/>
      <c r="J3579" s="9"/>
      <c r="K3579" s="9"/>
      <c r="O3579" s="11"/>
      <c r="P3579" s="9"/>
      <c r="Q3579" s="9"/>
      <c r="R3579" s="9"/>
      <c r="S3579" s="9"/>
      <c r="T3579" s="31"/>
      <c r="W3579" s="16"/>
      <c r="X3579" s="9"/>
      <c r="Y3579" s="9"/>
      <c r="AA3579" s="16"/>
      <c r="AK3579" s="16"/>
      <c r="AL3579" s="17"/>
    </row>
    <row r="3580" spans="9:38" x14ac:dyDescent="0.4">
      <c r="I3580" s="11"/>
      <c r="J3580" s="9"/>
      <c r="K3580" s="9"/>
      <c r="O3580" s="11"/>
      <c r="P3580" s="9"/>
      <c r="Q3580" s="9"/>
      <c r="R3580" s="9"/>
      <c r="S3580" s="9"/>
      <c r="T3580" s="31"/>
      <c r="W3580" s="16"/>
      <c r="X3580" s="9"/>
      <c r="Y3580" s="9"/>
      <c r="AA3580" s="16"/>
      <c r="AK3580" s="16"/>
      <c r="AL3580" s="17"/>
    </row>
    <row r="3581" spans="9:38" x14ac:dyDescent="0.4">
      <c r="I3581" s="11"/>
      <c r="J3581" s="9"/>
      <c r="K3581" s="9"/>
      <c r="O3581" s="11"/>
      <c r="P3581" s="9"/>
      <c r="Q3581" s="9"/>
      <c r="R3581" s="9"/>
      <c r="S3581" s="9"/>
      <c r="T3581" s="31"/>
      <c r="W3581" s="16"/>
      <c r="X3581" s="9"/>
      <c r="Y3581" s="9"/>
      <c r="AA3581" s="16"/>
      <c r="AK3581" s="16"/>
      <c r="AL3581" s="17"/>
    </row>
    <row r="3582" spans="9:38" x14ac:dyDescent="0.4">
      <c r="I3582" s="11"/>
      <c r="J3582" s="9"/>
      <c r="K3582" s="9"/>
      <c r="O3582" s="11"/>
      <c r="P3582" s="9"/>
      <c r="Q3582" s="9"/>
      <c r="R3582" s="9"/>
      <c r="S3582" s="9"/>
      <c r="T3582" s="31"/>
      <c r="W3582" s="16"/>
      <c r="X3582" s="9"/>
      <c r="Y3582" s="9"/>
      <c r="AA3582" s="16"/>
      <c r="AK3582" s="16"/>
      <c r="AL3582" s="17"/>
    </row>
    <row r="3583" spans="9:38" x14ac:dyDescent="0.4">
      <c r="I3583" s="11"/>
      <c r="J3583" s="9"/>
      <c r="K3583" s="9"/>
      <c r="O3583" s="11"/>
      <c r="P3583" s="9"/>
      <c r="Q3583" s="9"/>
      <c r="R3583" s="9"/>
      <c r="S3583" s="9"/>
      <c r="T3583" s="31"/>
      <c r="W3583" s="16"/>
      <c r="X3583" s="9"/>
      <c r="Y3583" s="9"/>
      <c r="AA3583" s="16"/>
      <c r="AK3583" s="16"/>
      <c r="AL3583" s="17"/>
    </row>
    <row r="3584" spans="9:38" x14ac:dyDescent="0.4">
      <c r="I3584" s="11"/>
      <c r="J3584" s="9"/>
      <c r="K3584" s="9"/>
      <c r="O3584" s="11"/>
      <c r="P3584" s="9"/>
      <c r="Q3584" s="9"/>
      <c r="R3584" s="9"/>
      <c r="S3584" s="9"/>
      <c r="T3584" s="31"/>
      <c r="W3584" s="16"/>
      <c r="X3584" s="9"/>
      <c r="Y3584" s="9"/>
      <c r="AA3584" s="16"/>
      <c r="AK3584" s="16"/>
      <c r="AL3584" s="17"/>
    </row>
    <row r="3585" spans="9:38" x14ac:dyDescent="0.4">
      <c r="I3585" s="11"/>
      <c r="J3585" s="9"/>
      <c r="K3585" s="9"/>
      <c r="O3585" s="11"/>
      <c r="P3585" s="9"/>
      <c r="Q3585" s="9"/>
      <c r="R3585" s="9"/>
      <c r="S3585" s="9"/>
      <c r="T3585" s="31"/>
      <c r="W3585" s="16"/>
      <c r="X3585" s="9"/>
      <c r="Y3585" s="9"/>
      <c r="AA3585" s="16"/>
      <c r="AK3585" s="16"/>
      <c r="AL3585" s="17"/>
    </row>
    <row r="3586" spans="9:38" x14ac:dyDescent="0.4">
      <c r="I3586" s="11"/>
      <c r="J3586" s="9"/>
      <c r="K3586" s="9"/>
      <c r="O3586" s="11"/>
      <c r="P3586" s="9"/>
      <c r="Q3586" s="9"/>
      <c r="R3586" s="9"/>
      <c r="S3586" s="9"/>
      <c r="T3586" s="31"/>
      <c r="W3586" s="16"/>
      <c r="X3586" s="9"/>
      <c r="Y3586" s="9"/>
      <c r="AA3586" s="16"/>
      <c r="AK3586" s="16"/>
      <c r="AL3586" s="17"/>
    </row>
    <row r="3587" spans="9:38" x14ac:dyDescent="0.4">
      <c r="I3587" s="11"/>
      <c r="J3587" s="9"/>
      <c r="K3587" s="9"/>
      <c r="O3587" s="11"/>
      <c r="P3587" s="9"/>
      <c r="Q3587" s="9"/>
      <c r="R3587" s="9"/>
      <c r="S3587" s="9"/>
      <c r="T3587" s="31"/>
      <c r="W3587" s="16"/>
      <c r="X3587" s="9"/>
      <c r="Y3587" s="9"/>
      <c r="AA3587" s="16"/>
      <c r="AK3587" s="16"/>
      <c r="AL3587" s="17"/>
    </row>
    <row r="3588" spans="9:38" x14ac:dyDescent="0.4">
      <c r="I3588" s="11"/>
      <c r="J3588" s="9"/>
      <c r="K3588" s="9"/>
      <c r="O3588" s="11"/>
      <c r="P3588" s="9"/>
      <c r="Q3588" s="9"/>
      <c r="R3588" s="9"/>
      <c r="S3588" s="9"/>
      <c r="T3588" s="31"/>
      <c r="W3588" s="16"/>
      <c r="X3588" s="9"/>
      <c r="Y3588" s="9"/>
      <c r="AA3588" s="16"/>
      <c r="AK3588" s="16"/>
      <c r="AL3588" s="17"/>
    </row>
    <row r="3589" spans="9:38" x14ac:dyDescent="0.4">
      <c r="I3589" s="11"/>
      <c r="J3589" s="9"/>
      <c r="K3589" s="9"/>
      <c r="O3589" s="11"/>
      <c r="P3589" s="9"/>
      <c r="Q3589" s="9"/>
      <c r="R3589" s="9"/>
      <c r="S3589" s="9"/>
      <c r="T3589" s="31"/>
      <c r="W3589" s="16"/>
      <c r="X3589" s="9"/>
      <c r="Y3589" s="9"/>
      <c r="AA3589" s="16"/>
      <c r="AK3589" s="16"/>
      <c r="AL3589" s="17"/>
    </row>
    <row r="3590" spans="9:38" x14ac:dyDescent="0.4">
      <c r="I3590" s="11"/>
      <c r="J3590" s="9"/>
      <c r="K3590" s="9"/>
      <c r="O3590" s="11"/>
      <c r="P3590" s="9"/>
      <c r="Q3590" s="9"/>
      <c r="R3590" s="9"/>
      <c r="S3590" s="9"/>
      <c r="T3590" s="31"/>
      <c r="W3590" s="16"/>
      <c r="X3590" s="9"/>
      <c r="Y3590" s="9"/>
      <c r="AA3590" s="16"/>
      <c r="AK3590" s="16"/>
      <c r="AL3590" s="17"/>
    </row>
    <row r="3591" spans="9:38" x14ac:dyDescent="0.4">
      <c r="I3591" s="11"/>
      <c r="J3591" s="9"/>
      <c r="K3591" s="9"/>
      <c r="O3591" s="11"/>
      <c r="P3591" s="9"/>
      <c r="Q3591" s="9"/>
      <c r="R3591" s="9"/>
      <c r="S3591" s="9"/>
      <c r="T3591" s="31"/>
      <c r="W3591" s="16"/>
      <c r="X3591" s="9"/>
      <c r="Y3591" s="9"/>
      <c r="AA3591" s="16"/>
      <c r="AK3591" s="16"/>
      <c r="AL3591" s="17"/>
    </row>
    <row r="3592" spans="9:38" x14ac:dyDescent="0.4">
      <c r="I3592" s="11"/>
      <c r="J3592" s="9"/>
      <c r="K3592" s="9"/>
      <c r="O3592" s="11"/>
      <c r="P3592" s="9"/>
      <c r="Q3592" s="9"/>
      <c r="R3592" s="9"/>
      <c r="S3592" s="9"/>
      <c r="T3592" s="31"/>
      <c r="W3592" s="16"/>
      <c r="X3592" s="9"/>
      <c r="Y3592" s="9"/>
      <c r="AA3592" s="16"/>
      <c r="AK3592" s="16"/>
      <c r="AL3592" s="17"/>
    </row>
    <row r="3593" spans="9:38" x14ac:dyDescent="0.4">
      <c r="I3593" s="11"/>
      <c r="J3593" s="9"/>
      <c r="K3593" s="9"/>
      <c r="O3593" s="11"/>
      <c r="P3593" s="9"/>
      <c r="Q3593" s="9"/>
      <c r="R3593" s="9"/>
      <c r="S3593" s="9"/>
      <c r="T3593" s="31"/>
      <c r="W3593" s="16"/>
      <c r="X3593" s="9"/>
      <c r="Y3593" s="9"/>
      <c r="AA3593" s="16"/>
      <c r="AK3593" s="16"/>
      <c r="AL3593" s="17"/>
    </row>
    <row r="3594" spans="9:38" x14ac:dyDescent="0.4">
      <c r="I3594" s="11"/>
      <c r="J3594" s="9"/>
      <c r="K3594" s="9"/>
      <c r="O3594" s="11"/>
      <c r="P3594" s="9"/>
      <c r="Q3594" s="9"/>
      <c r="R3594" s="9"/>
      <c r="S3594" s="9"/>
      <c r="T3594" s="31"/>
      <c r="W3594" s="16"/>
      <c r="X3594" s="9"/>
      <c r="Y3594" s="9"/>
      <c r="AA3594" s="16"/>
      <c r="AK3594" s="16"/>
      <c r="AL3594" s="17"/>
    </row>
    <row r="3595" spans="9:38" x14ac:dyDescent="0.4">
      <c r="I3595" s="11"/>
      <c r="J3595" s="9"/>
      <c r="K3595" s="9"/>
      <c r="O3595" s="11"/>
      <c r="P3595" s="9"/>
      <c r="Q3595" s="9"/>
      <c r="R3595" s="9"/>
      <c r="S3595" s="9"/>
      <c r="T3595" s="31"/>
      <c r="W3595" s="16"/>
      <c r="X3595" s="9"/>
      <c r="Y3595" s="9"/>
      <c r="AA3595" s="16"/>
      <c r="AK3595" s="16"/>
      <c r="AL3595" s="17"/>
    </row>
    <row r="3596" spans="9:38" x14ac:dyDescent="0.4">
      <c r="I3596" s="11"/>
      <c r="J3596" s="9"/>
      <c r="K3596" s="9"/>
      <c r="O3596" s="11"/>
      <c r="P3596" s="9"/>
      <c r="Q3596" s="9"/>
      <c r="R3596" s="9"/>
      <c r="S3596" s="9"/>
      <c r="T3596" s="31"/>
      <c r="W3596" s="16"/>
      <c r="X3596" s="9"/>
      <c r="Y3596" s="9"/>
      <c r="AA3596" s="16"/>
      <c r="AK3596" s="16"/>
      <c r="AL3596" s="17"/>
    </row>
    <row r="3597" spans="9:38" x14ac:dyDescent="0.4">
      <c r="I3597" s="11"/>
      <c r="J3597" s="9"/>
      <c r="K3597" s="9"/>
      <c r="O3597" s="11"/>
      <c r="P3597" s="9"/>
      <c r="Q3597" s="9"/>
      <c r="R3597" s="9"/>
      <c r="S3597" s="9"/>
      <c r="T3597" s="31"/>
      <c r="W3597" s="16"/>
      <c r="X3597" s="9"/>
      <c r="Y3597" s="9"/>
      <c r="AA3597" s="16"/>
      <c r="AK3597" s="16"/>
      <c r="AL3597" s="17"/>
    </row>
    <row r="3598" spans="9:38" x14ac:dyDescent="0.4">
      <c r="I3598" s="11"/>
      <c r="J3598" s="9"/>
      <c r="K3598" s="9"/>
      <c r="O3598" s="11"/>
      <c r="P3598" s="9"/>
      <c r="Q3598" s="9"/>
      <c r="R3598" s="9"/>
      <c r="S3598" s="9"/>
      <c r="T3598" s="31"/>
      <c r="W3598" s="16"/>
      <c r="X3598" s="9"/>
      <c r="Y3598" s="9"/>
      <c r="AA3598" s="16"/>
      <c r="AK3598" s="16"/>
      <c r="AL3598" s="17"/>
    </row>
    <row r="3599" spans="9:38" x14ac:dyDescent="0.4">
      <c r="I3599" s="11"/>
      <c r="J3599" s="9"/>
      <c r="K3599" s="9"/>
      <c r="O3599" s="11"/>
      <c r="P3599" s="9"/>
      <c r="Q3599" s="9"/>
      <c r="R3599" s="9"/>
      <c r="S3599" s="9"/>
      <c r="T3599" s="31"/>
      <c r="W3599" s="16"/>
      <c r="X3599" s="9"/>
      <c r="Y3599" s="9"/>
      <c r="AA3599" s="16"/>
      <c r="AK3599" s="16"/>
      <c r="AL3599" s="17"/>
    </row>
    <row r="3600" spans="9:38" x14ac:dyDescent="0.4">
      <c r="I3600" s="11"/>
      <c r="J3600" s="9"/>
      <c r="K3600" s="9"/>
      <c r="O3600" s="11"/>
      <c r="P3600" s="9"/>
      <c r="Q3600" s="9"/>
      <c r="R3600" s="9"/>
      <c r="S3600" s="9"/>
      <c r="T3600" s="31"/>
      <c r="W3600" s="16"/>
      <c r="X3600" s="9"/>
      <c r="Y3600" s="9"/>
      <c r="AA3600" s="16"/>
      <c r="AK3600" s="16"/>
      <c r="AL3600" s="17"/>
    </row>
    <row r="3601" spans="9:38" x14ac:dyDescent="0.4">
      <c r="I3601" s="11"/>
      <c r="J3601" s="9"/>
      <c r="K3601" s="9"/>
      <c r="O3601" s="11"/>
      <c r="P3601" s="9"/>
      <c r="Q3601" s="9"/>
      <c r="R3601" s="9"/>
      <c r="S3601" s="9"/>
      <c r="T3601" s="31"/>
      <c r="W3601" s="16"/>
      <c r="X3601" s="9"/>
      <c r="Y3601" s="9"/>
      <c r="AA3601" s="16"/>
      <c r="AK3601" s="16"/>
      <c r="AL3601" s="17"/>
    </row>
    <row r="3602" spans="9:38" x14ac:dyDescent="0.4">
      <c r="I3602" s="11"/>
      <c r="J3602" s="9"/>
      <c r="K3602" s="9"/>
      <c r="O3602" s="11"/>
      <c r="P3602" s="9"/>
      <c r="Q3602" s="9"/>
      <c r="R3602" s="9"/>
      <c r="S3602" s="9"/>
      <c r="T3602" s="31"/>
      <c r="W3602" s="16"/>
      <c r="X3602" s="9"/>
      <c r="Y3602" s="9"/>
      <c r="AA3602" s="16"/>
      <c r="AK3602" s="16"/>
      <c r="AL3602" s="17"/>
    </row>
    <row r="3603" spans="9:38" x14ac:dyDescent="0.4">
      <c r="I3603" s="11"/>
      <c r="J3603" s="9"/>
      <c r="K3603" s="9"/>
      <c r="O3603" s="11"/>
      <c r="P3603" s="9"/>
      <c r="Q3603" s="9"/>
      <c r="R3603" s="9"/>
      <c r="S3603" s="9"/>
      <c r="T3603" s="31"/>
      <c r="W3603" s="16"/>
      <c r="X3603" s="9"/>
      <c r="Y3603" s="9"/>
      <c r="AA3603" s="16"/>
      <c r="AK3603" s="16"/>
      <c r="AL3603" s="17"/>
    </row>
    <row r="3604" spans="9:38" x14ac:dyDescent="0.4">
      <c r="I3604" s="11"/>
      <c r="J3604" s="9"/>
      <c r="K3604" s="9"/>
      <c r="O3604" s="11"/>
      <c r="P3604" s="9"/>
      <c r="Q3604" s="9"/>
      <c r="R3604" s="9"/>
      <c r="S3604" s="9"/>
      <c r="T3604" s="31"/>
      <c r="W3604" s="16"/>
      <c r="X3604" s="9"/>
      <c r="Y3604" s="9"/>
      <c r="AA3604" s="16"/>
      <c r="AK3604" s="16"/>
      <c r="AL3604" s="17"/>
    </row>
    <row r="3605" spans="9:38" x14ac:dyDescent="0.4">
      <c r="I3605" s="11"/>
      <c r="J3605" s="9"/>
      <c r="K3605" s="9"/>
      <c r="O3605" s="11"/>
      <c r="P3605" s="9"/>
      <c r="Q3605" s="9"/>
      <c r="R3605" s="9"/>
      <c r="S3605" s="9"/>
      <c r="T3605" s="31"/>
      <c r="W3605" s="16"/>
      <c r="X3605" s="9"/>
      <c r="Y3605" s="9"/>
      <c r="AA3605" s="16"/>
      <c r="AK3605" s="16"/>
      <c r="AL3605" s="17"/>
    </row>
    <row r="3606" spans="9:38" x14ac:dyDescent="0.4">
      <c r="I3606" s="11"/>
      <c r="J3606" s="9"/>
      <c r="K3606" s="9"/>
      <c r="O3606" s="11"/>
      <c r="P3606" s="9"/>
      <c r="Q3606" s="9"/>
      <c r="R3606" s="9"/>
      <c r="S3606" s="9"/>
      <c r="T3606" s="31"/>
      <c r="W3606" s="16"/>
      <c r="X3606" s="9"/>
      <c r="Y3606" s="9"/>
      <c r="AA3606" s="16"/>
      <c r="AK3606" s="16"/>
      <c r="AL3606" s="17"/>
    </row>
    <row r="3607" spans="9:38" x14ac:dyDescent="0.4">
      <c r="I3607" s="11"/>
      <c r="J3607" s="9"/>
      <c r="K3607" s="9"/>
      <c r="O3607" s="11"/>
      <c r="P3607" s="9"/>
      <c r="Q3607" s="9"/>
      <c r="R3607" s="9"/>
      <c r="S3607" s="9"/>
      <c r="T3607" s="31"/>
      <c r="W3607" s="16"/>
      <c r="X3607" s="9"/>
      <c r="Y3607" s="9"/>
      <c r="AA3607" s="16"/>
      <c r="AK3607" s="16"/>
      <c r="AL3607" s="17"/>
    </row>
    <row r="3608" spans="9:38" x14ac:dyDescent="0.4">
      <c r="I3608" s="11"/>
      <c r="J3608" s="9"/>
      <c r="K3608" s="9"/>
      <c r="O3608" s="11"/>
      <c r="P3608" s="9"/>
      <c r="Q3608" s="9"/>
      <c r="R3608" s="9"/>
      <c r="S3608" s="9"/>
      <c r="T3608" s="31"/>
      <c r="W3608" s="16"/>
      <c r="X3608" s="9"/>
      <c r="Y3608" s="9"/>
      <c r="AA3608" s="16"/>
      <c r="AK3608" s="16"/>
      <c r="AL3608" s="17"/>
    </row>
    <row r="3609" spans="9:38" x14ac:dyDescent="0.4">
      <c r="I3609" s="11"/>
      <c r="J3609" s="9"/>
      <c r="K3609" s="9"/>
      <c r="O3609" s="11"/>
      <c r="P3609" s="9"/>
      <c r="Q3609" s="9"/>
      <c r="R3609" s="9"/>
      <c r="S3609" s="9"/>
      <c r="T3609" s="31"/>
      <c r="W3609" s="16"/>
      <c r="X3609" s="9"/>
      <c r="Y3609" s="9"/>
      <c r="AA3609" s="16"/>
      <c r="AK3609" s="16"/>
      <c r="AL3609" s="17"/>
    </row>
    <row r="3610" spans="9:38" x14ac:dyDescent="0.4">
      <c r="I3610" s="11"/>
      <c r="J3610" s="9"/>
      <c r="K3610" s="9"/>
      <c r="O3610" s="11"/>
      <c r="P3610" s="9"/>
      <c r="Q3610" s="9"/>
      <c r="R3610" s="9"/>
      <c r="S3610" s="9"/>
      <c r="T3610" s="31"/>
      <c r="W3610" s="16"/>
      <c r="X3610" s="9"/>
      <c r="Y3610" s="9"/>
      <c r="AA3610" s="16"/>
      <c r="AK3610" s="16"/>
      <c r="AL3610" s="17"/>
    </row>
    <row r="3611" spans="9:38" x14ac:dyDescent="0.4">
      <c r="I3611" s="11"/>
      <c r="J3611" s="9"/>
      <c r="K3611" s="9"/>
      <c r="O3611" s="11"/>
      <c r="P3611" s="9"/>
      <c r="Q3611" s="9"/>
      <c r="R3611" s="9"/>
      <c r="S3611" s="9"/>
      <c r="T3611" s="31"/>
      <c r="W3611" s="16"/>
      <c r="X3611" s="9"/>
      <c r="Y3611" s="9"/>
      <c r="AA3611" s="16"/>
      <c r="AK3611" s="16"/>
      <c r="AL3611" s="17"/>
    </row>
    <row r="3612" spans="9:38" x14ac:dyDescent="0.4">
      <c r="I3612" s="11"/>
      <c r="J3612" s="9"/>
      <c r="K3612" s="9"/>
      <c r="O3612" s="11"/>
      <c r="P3612" s="9"/>
      <c r="Q3612" s="9"/>
      <c r="R3612" s="9"/>
      <c r="S3612" s="9"/>
      <c r="T3612" s="31"/>
      <c r="W3612" s="16"/>
      <c r="X3612" s="9"/>
      <c r="Y3612" s="9"/>
      <c r="AA3612" s="16"/>
      <c r="AK3612" s="16"/>
      <c r="AL3612" s="17"/>
    </row>
    <row r="3613" spans="9:38" x14ac:dyDescent="0.4">
      <c r="I3613" s="11"/>
      <c r="J3613" s="9"/>
      <c r="K3613" s="9"/>
      <c r="O3613" s="11"/>
      <c r="P3613" s="9"/>
      <c r="Q3613" s="9"/>
      <c r="R3613" s="9"/>
      <c r="S3613" s="9"/>
      <c r="T3613" s="31"/>
      <c r="W3613" s="16"/>
      <c r="X3613" s="9"/>
      <c r="Y3613" s="9"/>
      <c r="AA3613" s="16"/>
      <c r="AK3613" s="16"/>
      <c r="AL3613" s="17"/>
    </row>
    <row r="3614" spans="9:38" x14ac:dyDescent="0.4">
      <c r="I3614" s="11"/>
      <c r="J3614" s="9"/>
      <c r="K3614" s="9"/>
      <c r="O3614" s="11"/>
      <c r="P3614" s="9"/>
      <c r="Q3614" s="9"/>
      <c r="R3614" s="9"/>
      <c r="S3614" s="9"/>
      <c r="T3614" s="31"/>
      <c r="W3614" s="16"/>
      <c r="X3614" s="9"/>
      <c r="Y3614" s="9"/>
      <c r="AA3614" s="16"/>
      <c r="AK3614" s="16"/>
      <c r="AL3614" s="17"/>
    </row>
    <row r="3615" spans="9:38" x14ac:dyDescent="0.4">
      <c r="I3615" s="11"/>
      <c r="J3615" s="9"/>
      <c r="K3615" s="9"/>
      <c r="O3615" s="11"/>
      <c r="P3615" s="9"/>
      <c r="Q3615" s="9"/>
      <c r="R3615" s="9"/>
      <c r="S3615" s="9"/>
      <c r="T3615" s="31"/>
      <c r="W3615" s="16"/>
      <c r="X3615" s="9"/>
      <c r="Y3615" s="9"/>
      <c r="AA3615" s="16"/>
      <c r="AK3615" s="16"/>
      <c r="AL3615" s="17"/>
    </row>
    <row r="3616" spans="9:38" x14ac:dyDescent="0.4">
      <c r="I3616" s="11"/>
      <c r="J3616" s="9"/>
      <c r="K3616" s="9"/>
      <c r="O3616" s="11"/>
      <c r="P3616" s="9"/>
      <c r="Q3616" s="9"/>
      <c r="R3616" s="9"/>
      <c r="S3616" s="9"/>
      <c r="T3616" s="31"/>
      <c r="W3616" s="16"/>
      <c r="X3616" s="9"/>
      <c r="Y3616" s="9"/>
      <c r="AA3616" s="16"/>
      <c r="AK3616" s="16"/>
      <c r="AL3616" s="17"/>
    </row>
    <row r="3617" spans="9:38" x14ac:dyDescent="0.4">
      <c r="I3617" s="11"/>
      <c r="J3617" s="9"/>
      <c r="K3617" s="9"/>
      <c r="O3617" s="11"/>
      <c r="P3617" s="9"/>
      <c r="Q3617" s="9"/>
      <c r="R3617" s="9"/>
      <c r="S3617" s="9"/>
      <c r="T3617" s="31"/>
      <c r="W3617" s="16"/>
      <c r="X3617" s="9"/>
      <c r="Y3617" s="9"/>
      <c r="AA3617" s="16"/>
      <c r="AK3617" s="16"/>
      <c r="AL3617" s="17"/>
    </row>
    <row r="3618" spans="9:38" x14ac:dyDescent="0.4">
      <c r="I3618" s="11"/>
      <c r="J3618" s="9"/>
      <c r="K3618" s="9"/>
      <c r="O3618" s="11"/>
      <c r="P3618" s="9"/>
      <c r="Q3618" s="9"/>
      <c r="R3618" s="9"/>
      <c r="S3618" s="9"/>
      <c r="T3618" s="31"/>
      <c r="W3618" s="16"/>
      <c r="X3618" s="9"/>
      <c r="Y3618" s="9"/>
      <c r="AA3618" s="16"/>
      <c r="AK3618" s="16"/>
      <c r="AL3618" s="17"/>
    </row>
    <row r="3619" spans="9:38" x14ac:dyDescent="0.4">
      <c r="I3619" s="11"/>
      <c r="J3619" s="9"/>
      <c r="K3619" s="9"/>
      <c r="O3619" s="11"/>
      <c r="P3619" s="9"/>
      <c r="Q3619" s="9"/>
      <c r="R3619" s="9"/>
      <c r="S3619" s="9"/>
      <c r="T3619" s="31"/>
      <c r="W3619" s="16"/>
      <c r="X3619" s="9"/>
      <c r="Y3619" s="9"/>
      <c r="AA3619" s="16"/>
      <c r="AK3619" s="16"/>
      <c r="AL3619" s="17"/>
    </row>
    <row r="3620" spans="9:38" x14ac:dyDescent="0.4">
      <c r="I3620" s="11"/>
      <c r="J3620" s="9"/>
      <c r="K3620" s="9"/>
      <c r="O3620" s="11"/>
      <c r="P3620" s="9"/>
      <c r="Q3620" s="9"/>
      <c r="R3620" s="9"/>
      <c r="S3620" s="9"/>
      <c r="T3620" s="31"/>
      <c r="W3620" s="16"/>
      <c r="X3620" s="9"/>
      <c r="Y3620" s="9"/>
      <c r="AA3620" s="16"/>
      <c r="AK3620" s="16"/>
      <c r="AL3620" s="17"/>
    </row>
    <row r="3621" spans="9:38" x14ac:dyDescent="0.4">
      <c r="I3621" s="11"/>
      <c r="J3621" s="9"/>
      <c r="K3621" s="9"/>
      <c r="O3621" s="11"/>
      <c r="P3621" s="9"/>
      <c r="Q3621" s="9"/>
      <c r="R3621" s="9"/>
      <c r="S3621" s="9"/>
      <c r="T3621" s="31"/>
      <c r="W3621" s="16"/>
      <c r="X3621" s="9"/>
      <c r="Y3621" s="9"/>
      <c r="AA3621" s="16"/>
      <c r="AK3621" s="16"/>
      <c r="AL3621" s="17"/>
    </row>
    <row r="3622" spans="9:38" x14ac:dyDescent="0.4">
      <c r="I3622" s="11"/>
      <c r="J3622" s="9"/>
      <c r="K3622" s="9"/>
      <c r="O3622" s="11"/>
      <c r="P3622" s="9"/>
      <c r="Q3622" s="9"/>
      <c r="R3622" s="9"/>
      <c r="S3622" s="9"/>
      <c r="T3622" s="31"/>
      <c r="W3622" s="16"/>
      <c r="X3622" s="9"/>
      <c r="Y3622" s="9"/>
      <c r="AA3622" s="16"/>
      <c r="AK3622" s="16"/>
      <c r="AL3622" s="17"/>
    </row>
    <row r="3623" spans="9:38" x14ac:dyDescent="0.4">
      <c r="I3623" s="11"/>
      <c r="J3623" s="9"/>
      <c r="K3623" s="9"/>
      <c r="O3623" s="11"/>
      <c r="P3623" s="9"/>
      <c r="Q3623" s="9"/>
      <c r="R3623" s="9"/>
      <c r="S3623" s="9"/>
      <c r="T3623" s="31"/>
      <c r="W3623" s="16"/>
      <c r="X3623" s="9"/>
      <c r="Y3623" s="9"/>
      <c r="AA3623" s="16"/>
      <c r="AK3623" s="16"/>
      <c r="AL3623" s="17"/>
    </row>
    <row r="3624" spans="9:38" x14ac:dyDescent="0.4">
      <c r="I3624" s="11"/>
      <c r="J3624" s="9"/>
      <c r="K3624" s="9"/>
      <c r="O3624" s="11"/>
      <c r="P3624" s="9"/>
      <c r="Q3624" s="9"/>
      <c r="R3624" s="9"/>
      <c r="S3624" s="9"/>
      <c r="T3624" s="31"/>
      <c r="W3624" s="16"/>
      <c r="X3624" s="9"/>
      <c r="Y3624" s="9"/>
      <c r="AA3624" s="16"/>
      <c r="AK3624" s="16"/>
      <c r="AL3624" s="17"/>
    </row>
    <row r="3625" spans="9:38" x14ac:dyDescent="0.4">
      <c r="I3625" s="11"/>
      <c r="J3625" s="9"/>
      <c r="K3625" s="9"/>
      <c r="O3625" s="11"/>
      <c r="P3625" s="9"/>
      <c r="Q3625" s="9"/>
      <c r="R3625" s="9"/>
      <c r="S3625" s="9"/>
      <c r="T3625" s="31"/>
      <c r="W3625" s="16"/>
      <c r="X3625" s="9"/>
      <c r="Y3625" s="9"/>
      <c r="AA3625" s="16"/>
      <c r="AK3625" s="16"/>
      <c r="AL3625" s="17"/>
    </row>
    <row r="3626" spans="9:38" x14ac:dyDescent="0.4">
      <c r="I3626" s="11"/>
      <c r="J3626" s="9"/>
      <c r="K3626" s="9"/>
      <c r="O3626" s="11"/>
      <c r="P3626" s="9"/>
      <c r="Q3626" s="9"/>
      <c r="R3626" s="9"/>
      <c r="S3626" s="9"/>
      <c r="T3626" s="31"/>
      <c r="W3626" s="16"/>
      <c r="X3626" s="9"/>
      <c r="Y3626" s="9"/>
      <c r="AA3626" s="16"/>
      <c r="AK3626" s="16"/>
      <c r="AL3626" s="17"/>
    </row>
    <row r="3627" spans="9:38" x14ac:dyDescent="0.4">
      <c r="I3627" s="11"/>
      <c r="J3627" s="9"/>
      <c r="K3627" s="9"/>
      <c r="O3627" s="11"/>
      <c r="P3627" s="9"/>
      <c r="Q3627" s="9"/>
      <c r="R3627" s="9"/>
      <c r="S3627" s="9"/>
      <c r="T3627" s="31"/>
      <c r="W3627" s="16"/>
      <c r="X3627" s="9"/>
      <c r="Y3627" s="9"/>
      <c r="AA3627" s="16"/>
      <c r="AK3627" s="16"/>
      <c r="AL3627" s="17"/>
    </row>
    <row r="3628" spans="9:38" x14ac:dyDescent="0.4">
      <c r="I3628" s="11"/>
      <c r="J3628" s="9"/>
      <c r="K3628" s="9"/>
      <c r="O3628" s="11"/>
      <c r="P3628" s="9"/>
      <c r="Q3628" s="9"/>
      <c r="R3628" s="9"/>
      <c r="S3628" s="9"/>
      <c r="T3628" s="31"/>
      <c r="W3628" s="16"/>
      <c r="X3628" s="9"/>
      <c r="Y3628" s="9"/>
      <c r="AA3628" s="16"/>
      <c r="AK3628" s="16"/>
      <c r="AL3628" s="17"/>
    </row>
    <row r="3629" spans="9:38" x14ac:dyDescent="0.4">
      <c r="I3629" s="11"/>
      <c r="J3629" s="9"/>
      <c r="K3629" s="9"/>
      <c r="O3629" s="11"/>
      <c r="P3629" s="9"/>
      <c r="Q3629" s="9"/>
      <c r="R3629" s="9"/>
      <c r="S3629" s="9"/>
      <c r="T3629" s="31"/>
      <c r="W3629" s="16"/>
      <c r="X3629" s="9"/>
      <c r="Y3629" s="9"/>
      <c r="AA3629" s="16"/>
      <c r="AK3629" s="16"/>
      <c r="AL3629" s="17"/>
    </row>
    <row r="3630" spans="9:38" x14ac:dyDescent="0.4">
      <c r="I3630" s="11"/>
      <c r="J3630" s="9"/>
      <c r="K3630" s="9"/>
      <c r="O3630" s="11"/>
      <c r="P3630" s="9"/>
      <c r="Q3630" s="9"/>
      <c r="R3630" s="9"/>
      <c r="S3630" s="9"/>
      <c r="T3630" s="31"/>
      <c r="W3630" s="16"/>
      <c r="X3630" s="9"/>
      <c r="Y3630" s="9"/>
      <c r="AA3630" s="16"/>
      <c r="AK3630" s="16"/>
      <c r="AL3630" s="17"/>
    </row>
    <row r="3631" spans="9:38" x14ac:dyDescent="0.4">
      <c r="I3631" s="11"/>
      <c r="J3631" s="9"/>
      <c r="K3631" s="9"/>
      <c r="O3631" s="11"/>
      <c r="P3631" s="9"/>
      <c r="Q3631" s="9"/>
      <c r="R3631" s="9"/>
      <c r="S3631" s="9"/>
      <c r="T3631" s="31"/>
      <c r="W3631" s="16"/>
      <c r="X3631" s="9"/>
      <c r="Y3631" s="9"/>
      <c r="AA3631" s="16"/>
      <c r="AK3631" s="16"/>
      <c r="AL3631" s="17"/>
    </row>
    <row r="3632" spans="9:38" x14ac:dyDescent="0.4">
      <c r="I3632" s="11"/>
      <c r="J3632" s="9"/>
      <c r="K3632" s="9"/>
      <c r="O3632" s="11"/>
      <c r="P3632" s="9"/>
      <c r="Q3632" s="9"/>
      <c r="R3632" s="9"/>
      <c r="S3632" s="9"/>
      <c r="T3632" s="31"/>
      <c r="W3632" s="16"/>
      <c r="X3632" s="9"/>
      <c r="Y3632" s="9"/>
      <c r="AA3632" s="16"/>
      <c r="AK3632" s="16"/>
      <c r="AL3632" s="17"/>
    </row>
    <row r="3633" spans="9:38" x14ac:dyDescent="0.4">
      <c r="I3633" s="11"/>
      <c r="J3633" s="9"/>
      <c r="K3633" s="9"/>
      <c r="O3633" s="11"/>
      <c r="P3633" s="9"/>
      <c r="Q3633" s="9"/>
      <c r="R3633" s="9"/>
      <c r="S3633" s="9"/>
      <c r="T3633" s="31"/>
      <c r="W3633" s="16"/>
      <c r="X3633" s="9"/>
      <c r="Y3633" s="9"/>
      <c r="AA3633" s="16"/>
      <c r="AK3633" s="16"/>
      <c r="AL3633" s="17"/>
    </row>
    <row r="3634" spans="9:38" x14ac:dyDescent="0.4">
      <c r="I3634" s="11"/>
      <c r="J3634" s="9"/>
      <c r="K3634" s="9"/>
      <c r="O3634" s="11"/>
      <c r="P3634" s="9"/>
      <c r="Q3634" s="9"/>
      <c r="R3634" s="9"/>
      <c r="S3634" s="9"/>
      <c r="T3634" s="31"/>
      <c r="W3634" s="16"/>
      <c r="X3634" s="9"/>
      <c r="Y3634" s="9"/>
      <c r="AA3634" s="16"/>
      <c r="AK3634" s="16"/>
      <c r="AL3634" s="17"/>
    </row>
    <row r="3635" spans="9:38" x14ac:dyDescent="0.4">
      <c r="I3635" s="11"/>
      <c r="J3635" s="9"/>
      <c r="K3635" s="9"/>
      <c r="O3635" s="11"/>
      <c r="P3635" s="9"/>
      <c r="Q3635" s="9"/>
      <c r="R3635" s="9"/>
      <c r="S3635" s="9"/>
      <c r="T3635" s="31"/>
      <c r="W3635" s="16"/>
      <c r="X3635" s="9"/>
      <c r="Y3635" s="9"/>
      <c r="AA3635" s="16"/>
      <c r="AK3635" s="16"/>
      <c r="AL3635" s="17"/>
    </row>
    <row r="3636" spans="9:38" x14ac:dyDescent="0.4">
      <c r="I3636" s="11"/>
      <c r="J3636" s="9"/>
      <c r="K3636" s="9"/>
      <c r="O3636" s="11"/>
      <c r="P3636" s="9"/>
      <c r="Q3636" s="9"/>
      <c r="R3636" s="9"/>
      <c r="S3636" s="9"/>
      <c r="T3636" s="31"/>
      <c r="W3636" s="16"/>
      <c r="X3636" s="9"/>
      <c r="Y3636" s="9"/>
      <c r="AA3636" s="16"/>
      <c r="AK3636" s="16"/>
      <c r="AL3636" s="17"/>
    </row>
    <row r="3637" spans="9:38" x14ac:dyDescent="0.4">
      <c r="I3637" s="11"/>
      <c r="J3637" s="9"/>
      <c r="K3637" s="9"/>
      <c r="O3637" s="11"/>
      <c r="P3637" s="9"/>
      <c r="Q3637" s="9"/>
      <c r="R3637" s="9"/>
      <c r="S3637" s="9"/>
      <c r="T3637" s="31"/>
      <c r="W3637" s="16"/>
      <c r="X3637" s="9"/>
      <c r="Y3637" s="9"/>
      <c r="AA3637" s="16"/>
      <c r="AK3637" s="16"/>
      <c r="AL3637" s="17"/>
    </row>
    <row r="3638" spans="9:38" x14ac:dyDescent="0.4">
      <c r="I3638" s="11"/>
      <c r="J3638" s="9"/>
      <c r="K3638" s="9"/>
      <c r="O3638" s="11"/>
      <c r="P3638" s="9"/>
      <c r="Q3638" s="9"/>
      <c r="R3638" s="9"/>
      <c r="S3638" s="9"/>
      <c r="T3638" s="31"/>
      <c r="W3638" s="16"/>
      <c r="X3638" s="9"/>
      <c r="Y3638" s="9"/>
      <c r="AA3638" s="16"/>
      <c r="AK3638" s="16"/>
      <c r="AL3638" s="17"/>
    </row>
    <row r="3639" spans="9:38" x14ac:dyDescent="0.4">
      <c r="I3639" s="11"/>
      <c r="J3639" s="9"/>
      <c r="K3639" s="9"/>
      <c r="O3639" s="11"/>
      <c r="P3639" s="9"/>
      <c r="Q3639" s="9"/>
      <c r="R3639" s="9"/>
      <c r="S3639" s="9"/>
      <c r="T3639" s="31"/>
      <c r="W3639" s="16"/>
      <c r="X3639" s="9"/>
      <c r="Y3639" s="9"/>
      <c r="AA3639" s="16"/>
      <c r="AK3639" s="16"/>
      <c r="AL3639" s="17"/>
    </row>
    <row r="3640" spans="9:38" x14ac:dyDescent="0.4">
      <c r="I3640" s="11"/>
      <c r="J3640" s="9"/>
      <c r="K3640" s="9"/>
      <c r="O3640" s="11"/>
      <c r="P3640" s="9"/>
      <c r="Q3640" s="9"/>
      <c r="R3640" s="9"/>
      <c r="S3640" s="9"/>
      <c r="T3640" s="31"/>
      <c r="W3640" s="16"/>
      <c r="X3640" s="9"/>
      <c r="Y3640" s="9"/>
      <c r="AA3640" s="16"/>
      <c r="AK3640" s="16"/>
      <c r="AL3640" s="17"/>
    </row>
    <row r="3641" spans="9:38" x14ac:dyDescent="0.4">
      <c r="I3641" s="11"/>
      <c r="J3641" s="9"/>
      <c r="K3641" s="9"/>
      <c r="O3641" s="11"/>
      <c r="P3641" s="9"/>
      <c r="Q3641" s="9"/>
      <c r="R3641" s="9"/>
      <c r="S3641" s="9"/>
      <c r="T3641" s="31"/>
      <c r="W3641" s="16"/>
      <c r="X3641" s="9"/>
      <c r="Y3641" s="9"/>
      <c r="AA3641" s="16"/>
      <c r="AK3641" s="16"/>
      <c r="AL3641" s="17"/>
    </row>
    <row r="3642" spans="9:38" x14ac:dyDescent="0.4">
      <c r="I3642" s="11"/>
      <c r="J3642" s="9"/>
      <c r="K3642" s="9"/>
      <c r="O3642" s="11"/>
      <c r="P3642" s="9"/>
      <c r="Q3642" s="9"/>
      <c r="R3642" s="9"/>
      <c r="S3642" s="9"/>
      <c r="T3642" s="31"/>
      <c r="W3642" s="16"/>
      <c r="X3642" s="9"/>
      <c r="Y3642" s="9"/>
      <c r="AA3642" s="16"/>
      <c r="AK3642" s="16"/>
      <c r="AL3642" s="17"/>
    </row>
    <row r="3643" spans="9:38" x14ac:dyDescent="0.4">
      <c r="I3643" s="11"/>
      <c r="J3643" s="9"/>
      <c r="K3643" s="9"/>
      <c r="O3643" s="11"/>
      <c r="P3643" s="9"/>
      <c r="Q3643" s="9"/>
      <c r="R3643" s="9"/>
      <c r="S3643" s="9"/>
      <c r="T3643" s="31"/>
      <c r="W3643" s="16"/>
      <c r="X3643" s="9"/>
      <c r="Y3643" s="9"/>
      <c r="AA3643" s="16"/>
      <c r="AK3643" s="16"/>
      <c r="AL3643" s="17"/>
    </row>
    <row r="3644" spans="9:38" x14ac:dyDescent="0.4">
      <c r="I3644" s="11"/>
      <c r="J3644" s="9"/>
      <c r="K3644" s="9"/>
      <c r="O3644" s="11"/>
      <c r="P3644" s="9"/>
      <c r="Q3644" s="9"/>
      <c r="R3644" s="9"/>
      <c r="S3644" s="9"/>
      <c r="T3644" s="31"/>
      <c r="W3644" s="16"/>
      <c r="X3644" s="9"/>
      <c r="Y3644" s="9"/>
      <c r="AA3644" s="16"/>
      <c r="AK3644" s="16"/>
      <c r="AL3644" s="17"/>
    </row>
    <row r="3645" spans="9:38" x14ac:dyDescent="0.4">
      <c r="I3645" s="11"/>
      <c r="J3645" s="9"/>
      <c r="K3645" s="9"/>
      <c r="O3645" s="11"/>
      <c r="P3645" s="9"/>
      <c r="Q3645" s="9"/>
      <c r="R3645" s="9"/>
      <c r="S3645" s="9"/>
      <c r="T3645" s="31"/>
      <c r="W3645" s="16"/>
      <c r="X3645" s="9"/>
      <c r="Y3645" s="9"/>
      <c r="AA3645" s="16"/>
      <c r="AK3645" s="16"/>
      <c r="AL3645" s="17"/>
    </row>
    <row r="3646" spans="9:38" x14ac:dyDescent="0.4">
      <c r="I3646" s="11"/>
      <c r="J3646" s="9"/>
      <c r="K3646" s="9"/>
      <c r="O3646" s="11"/>
      <c r="P3646" s="9"/>
      <c r="Q3646" s="9"/>
      <c r="R3646" s="9"/>
      <c r="S3646" s="9"/>
      <c r="T3646" s="31"/>
      <c r="W3646" s="16"/>
      <c r="X3646" s="9"/>
      <c r="Y3646" s="9"/>
      <c r="AA3646" s="16"/>
      <c r="AK3646" s="16"/>
      <c r="AL3646" s="17"/>
    </row>
    <row r="3647" spans="9:38" x14ac:dyDescent="0.4">
      <c r="I3647" s="11"/>
      <c r="J3647" s="9"/>
      <c r="K3647" s="9"/>
      <c r="O3647" s="11"/>
      <c r="P3647" s="9"/>
      <c r="Q3647" s="9"/>
      <c r="R3647" s="9"/>
      <c r="S3647" s="9"/>
      <c r="T3647" s="31"/>
      <c r="W3647" s="16"/>
      <c r="X3647" s="9"/>
      <c r="Y3647" s="9"/>
      <c r="AA3647" s="16"/>
      <c r="AK3647" s="16"/>
      <c r="AL3647" s="17"/>
    </row>
    <row r="3648" spans="9:38" x14ac:dyDescent="0.4">
      <c r="I3648" s="11"/>
      <c r="J3648" s="9"/>
      <c r="K3648" s="9"/>
      <c r="O3648" s="11"/>
      <c r="P3648" s="9"/>
      <c r="Q3648" s="9"/>
      <c r="R3648" s="9"/>
      <c r="S3648" s="9"/>
      <c r="T3648" s="31"/>
      <c r="W3648" s="16"/>
      <c r="X3648" s="9"/>
      <c r="Y3648" s="9"/>
      <c r="AA3648" s="16"/>
      <c r="AK3648" s="16"/>
      <c r="AL3648" s="17"/>
    </row>
    <row r="3649" spans="9:38" x14ac:dyDescent="0.4">
      <c r="I3649" s="11"/>
      <c r="J3649" s="9"/>
      <c r="K3649" s="9"/>
      <c r="O3649" s="11"/>
      <c r="P3649" s="9"/>
      <c r="Q3649" s="9"/>
      <c r="R3649" s="9"/>
      <c r="S3649" s="9"/>
      <c r="T3649" s="31"/>
      <c r="W3649" s="16"/>
      <c r="X3649" s="9"/>
      <c r="Y3649" s="9"/>
      <c r="AA3649" s="16"/>
      <c r="AK3649" s="16"/>
      <c r="AL3649" s="17"/>
    </row>
    <row r="3650" spans="9:38" x14ac:dyDescent="0.4">
      <c r="I3650" s="11"/>
      <c r="J3650" s="9"/>
      <c r="K3650" s="9"/>
      <c r="O3650" s="11"/>
      <c r="P3650" s="9"/>
      <c r="Q3650" s="9"/>
      <c r="R3650" s="9"/>
      <c r="S3650" s="9"/>
      <c r="T3650" s="31"/>
      <c r="W3650" s="16"/>
      <c r="X3650" s="9"/>
      <c r="Y3650" s="9"/>
      <c r="AA3650" s="16"/>
      <c r="AK3650" s="16"/>
      <c r="AL3650" s="17"/>
    </row>
    <row r="3651" spans="9:38" x14ac:dyDescent="0.4">
      <c r="I3651" s="11"/>
      <c r="J3651" s="9"/>
      <c r="K3651" s="9"/>
      <c r="O3651" s="11"/>
      <c r="P3651" s="9"/>
      <c r="Q3651" s="9"/>
      <c r="R3651" s="9"/>
      <c r="S3651" s="9"/>
      <c r="T3651" s="31"/>
      <c r="W3651" s="16"/>
      <c r="X3651" s="9"/>
      <c r="Y3651" s="9"/>
      <c r="AA3651" s="16"/>
      <c r="AK3651" s="16"/>
      <c r="AL3651" s="17"/>
    </row>
    <row r="3652" spans="9:38" x14ac:dyDescent="0.4">
      <c r="I3652" s="11"/>
      <c r="J3652" s="9"/>
      <c r="K3652" s="9"/>
      <c r="O3652" s="11"/>
      <c r="P3652" s="9"/>
      <c r="Q3652" s="9"/>
      <c r="R3652" s="9"/>
      <c r="S3652" s="9"/>
      <c r="T3652" s="31"/>
      <c r="W3652" s="16"/>
      <c r="X3652" s="9"/>
      <c r="Y3652" s="9"/>
      <c r="AA3652" s="16"/>
      <c r="AK3652" s="16"/>
      <c r="AL3652" s="17"/>
    </row>
    <row r="3653" spans="9:38" x14ac:dyDescent="0.4">
      <c r="I3653" s="11"/>
      <c r="J3653" s="9"/>
      <c r="K3653" s="9"/>
      <c r="O3653" s="11"/>
      <c r="P3653" s="9"/>
      <c r="Q3653" s="9"/>
      <c r="R3653" s="9"/>
      <c r="S3653" s="9"/>
      <c r="T3653" s="31"/>
      <c r="W3653" s="16"/>
      <c r="X3653" s="9"/>
      <c r="Y3653" s="9"/>
      <c r="AA3653" s="16"/>
      <c r="AK3653" s="16"/>
      <c r="AL3653" s="17"/>
    </row>
    <row r="3654" spans="9:38" x14ac:dyDescent="0.4">
      <c r="I3654" s="11"/>
      <c r="J3654" s="9"/>
      <c r="K3654" s="9"/>
      <c r="O3654" s="11"/>
      <c r="P3654" s="9"/>
      <c r="Q3654" s="9"/>
      <c r="R3654" s="9"/>
      <c r="S3654" s="9"/>
      <c r="T3654" s="31"/>
      <c r="W3654" s="16"/>
      <c r="X3654" s="9"/>
      <c r="Y3654" s="9"/>
      <c r="AA3654" s="16"/>
      <c r="AK3654" s="16"/>
      <c r="AL3654" s="17"/>
    </row>
    <row r="3655" spans="9:38" x14ac:dyDescent="0.4">
      <c r="I3655" s="11"/>
      <c r="J3655" s="9"/>
      <c r="K3655" s="9"/>
      <c r="O3655" s="11"/>
      <c r="P3655" s="9"/>
      <c r="Q3655" s="9"/>
      <c r="R3655" s="9"/>
      <c r="S3655" s="9"/>
      <c r="T3655" s="31"/>
      <c r="W3655" s="16"/>
      <c r="X3655" s="9"/>
      <c r="Y3655" s="9"/>
      <c r="AA3655" s="16"/>
      <c r="AK3655" s="16"/>
      <c r="AL3655" s="17"/>
    </row>
    <row r="3656" spans="9:38" x14ac:dyDescent="0.4">
      <c r="I3656" s="11"/>
      <c r="J3656" s="9"/>
      <c r="K3656" s="9"/>
      <c r="O3656" s="11"/>
      <c r="P3656" s="9"/>
      <c r="Q3656" s="9"/>
      <c r="R3656" s="9"/>
      <c r="S3656" s="9"/>
      <c r="T3656" s="31"/>
      <c r="W3656" s="16"/>
      <c r="X3656" s="9"/>
      <c r="Y3656" s="9"/>
      <c r="AA3656" s="16"/>
      <c r="AK3656" s="16"/>
      <c r="AL3656" s="17"/>
    </row>
    <row r="3657" spans="9:38" x14ac:dyDescent="0.4">
      <c r="I3657" s="11"/>
      <c r="J3657" s="9"/>
      <c r="K3657" s="9"/>
      <c r="O3657" s="11"/>
      <c r="P3657" s="9"/>
      <c r="Q3657" s="9"/>
      <c r="R3657" s="9"/>
      <c r="S3657" s="9"/>
      <c r="T3657" s="31"/>
      <c r="W3657" s="16"/>
      <c r="X3657" s="9"/>
      <c r="Y3657" s="9"/>
      <c r="AA3657" s="16"/>
      <c r="AK3657" s="16"/>
      <c r="AL3657" s="17"/>
    </row>
    <row r="3658" spans="9:38" x14ac:dyDescent="0.4">
      <c r="I3658" s="11"/>
      <c r="J3658" s="9"/>
      <c r="K3658" s="9"/>
      <c r="O3658" s="11"/>
      <c r="P3658" s="9"/>
      <c r="Q3658" s="9"/>
      <c r="R3658" s="9"/>
      <c r="S3658" s="9"/>
      <c r="T3658" s="31"/>
      <c r="W3658" s="16"/>
      <c r="X3658" s="9"/>
      <c r="Y3658" s="9"/>
      <c r="AA3658" s="16"/>
      <c r="AK3658" s="16"/>
      <c r="AL3658" s="17"/>
    </row>
    <row r="3659" spans="9:38" x14ac:dyDescent="0.4">
      <c r="I3659" s="11"/>
      <c r="J3659" s="9"/>
      <c r="K3659" s="9"/>
      <c r="O3659" s="11"/>
      <c r="P3659" s="9"/>
      <c r="Q3659" s="9"/>
      <c r="R3659" s="9"/>
      <c r="S3659" s="9"/>
      <c r="T3659" s="31"/>
      <c r="W3659" s="16"/>
      <c r="X3659" s="9"/>
      <c r="Y3659" s="9"/>
      <c r="AA3659" s="16"/>
      <c r="AK3659" s="16"/>
      <c r="AL3659" s="17"/>
    </row>
    <row r="3660" spans="9:38" x14ac:dyDescent="0.4">
      <c r="I3660" s="11"/>
      <c r="J3660" s="9"/>
      <c r="K3660" s="9"/>
      <c r="O3660" s="11"/>
      <c r="P3660" s="9"/>
      <c r="Q3660" s="9"/>
      <c r="R3660" s="9"/>
      <c r="S3660" s="9"/>
      <c r="T3660" s="31"/>
      <c r="W3660" s="16"/>
      <c r="X3660" s="9"/>
      <c r="Y3660" s="9"/>
      <c r="AA3660" s="16"/>
      <c r="AK3660" s="16"/>
      <c r="AL3660" s="17"/>
    </row>
    <row r="3661" spans="9:38" x14ac:dyDescent="0.4">
      <c r="I3661" s="11"/>
      <c r="J3661" s="9"/>
      <c r="K3661" s="9"/>
      <c r="O3661" s="11"/>
      <c r="P3661" s="9"/>
      <c r="Q3661" s="9"/>
      <c r="R3661" s="9"/>
      <c r="S3661" s="9"/>
      <c r="T3661" s="31"/>
      <c r="W3661" s="16"/>
      <c r="X3661" s="9"/>
      <c r="Y3661" s="9"/>
      <c r="AA3661" s="16"/>
      <c r="AK3661" s="16"/>
      <c r="AL3661" s="17"/>
    </row>
    <row r="3662" spans="9:38" x14ac:dyDescent="0.4">
      <c r="I3662" s="11"/>
      <c r="J3662" s="9"/>
      <c r="K3662" s="9"/>
      <c r="O3662" s="11"/>
      <c r="P3662" s="9"/>
      <c r="Q3662" s="9"/>
      <c r="R3662" s="9"/>
      <c r="S3662" s="9"/>
      <c r="T3662" s="31"/>
      <c r="W3662" s="16"/>
      <c r="X3662" s="9"/>
      <c r="Y3662" s="9"/>
      <c r="AA3662" s="16"/>
      <c r="AK3662" s="16"/>
      <c r="AL3662" s="17"/>
    </row>
    <row r="3663" spans="9:38" x14ac:dyDescent="0.4">
      <c r="I3663" s="11"/>
      <c r="J3663" s="9"/>
      <c r="K3663" s="9"/>
      <c r="O3663" s="11"/>
      <c r="P3663" s="9"/>
      <c r="Q3663" s="9"/>
      <c r="R3663" s="9"/>
      <c r="S3663" s="9"/>
      <c r="T3663" s="31"/>
      <c r="W3663" s="16"/>
      <c r="X3663" s="9"/>
      <c r="Y3663" s="9"/>
      <c r="AA3663" s="16"/>
      <c r="AK3663" s="16"/>
      <c r="AL3663" s="17"/>
    </row>
    <row r="3664" spans="9:38" x14ac:dyDescent="0.4">
      <c r="I3664" s="11"/>
      <c r="J3664" s="9"/>
      <c r="K3664" s="9"/>
      <c r="O3664" s="11"/>
      <c r="P3664" s="9"/>
      <c r="Q3664" s="9"/>
      <c r="R3664" s="9"/>
      <c r="S3664" s="9"/>
      <c r="T3664" s="31"/>
      <c r="W3664" s="16"/>
      <c r="X3664" s="9"/>
      <c r="Y3664" s="9"/>
      <c r="AA3664" s="16"/>
      <c r="AK3664" s="16"/>
      <c r="AL3664" s="17"/>
    </row>
    <row r="3665" spans="9:38" x14ac:dyDescent="0.4">
      <c r="I3665" s="11"/>
      <c r="J3665" s="9"/>
      <c r="K3665" s="9"/>
      <c r="O3665" s="11"/>
      <c r="P3665" s="9"/>
      <c r="Q3665" s="9"/>
      <c r="R3665" s="9"/>
      <c r="S3665" s="9"/>
      <c r="T3665" s="31"/>
      <c r="W3665" s="16"/>
      <c r="X3665" s="9"/>
      <c r="Y3665" s="9"/>
      <c r="AA3665" s="16"/>
      <c r="AK3665" s="16"/>
      <c r="AL3665" s="17"/>
    </row>
    <row r="3666" spans="9:38" x14ac:dyDescent="0.4">
      <c r="I3666" s="11"/>
      <c r="J3666" s="9"/>
      <c r="K3666" s="9"/>
      <c r="O3666" s="11"/>
      <c r="P3666" s="9"/>
      <c r="Q3666" s="9"/>
      <c r="R3666" s="9"/>
      <c r="S3666" s="9"/>
      <c r="T3666" s="31"/>
      <c r="W3666" s="16"/>
      <c r="X3666" s="9"/>
      <c r="Y3666" s="9"/>
      <c r="AA3666" s="16"/>
      <c r="AK3666" s="16"/>
      <c r="AL3666" s="17"/>
    </row>
    <row r="3667" spans="9:38" x14ac:dyDescent="0.4">
      <c r="I3667" s="11"/>
      <c r="J3667" s="9"/>
      <c r="K3667" s="9"/>
      <c r="O3667" s="11"/>
      <c r="P3667" s="9"/>
      <c r="Q3667" s="9"/>
      <c r="R3667" s="9"/>
      <c r="S3667" s="9"/>
      <c r="T3667" s="31"/>
      <c r="W3667" s="16"/>
      <c r="X3667" s="9"/>
      <c r="Y3667" s="9"/>
      <c r="AA3667" s="16"/>
      <c r="AK3667" s="16"/>
      <c r="AL3667" s="17"/>
    </row>
    <row r="3668" spans="9:38" x14ac:dyDescent="0.4">
      <c r="I3668" s="11"/>
      <c r="J3668" s="9"/>
      <c r="K3668" s="9"/>
      <c r="O3668" s="11"/>
      <c r="P3668" s="9"/>
      <c r="Q3668" s="9"/>
      <c r="R3668" s="9"/>
      <c r="S3668" s="9"/>
      <c r="T3668" s="31"/>
      <c r="W3668" s="16"/>
      <c r="X3668" s="9"/>
      <c r="Y3668" s="9"/>
      <c r="AA3668" s="16"/>
      <c r="AK3668" s="16"/>
      <c r="AL3668" s="17"/>
    </row>
    <row r="3669" spans="9:38" x14ac:dyDescent="0.4">
      <c r="I3669" s="11"/>
      <c r="J3669" s="9"/>
      <c r="K3669" s="9"/>
      <c r="O3669" s="11"/>
      <c r="P3669" s="9"/>
      <c r="Q3669" s="9"/>
      <c r="R3669" s="9"/>
      <c r="S3669" s="9"/>
      <c r="T3669" s="31"/>
      <c r="W3669" s="16"/>
      <c r="X3669" s="9"/>
      <c r="Y3669" s="9"/>
      <c r="AA3669" s="16"/>
      <c r="AK3669" s="16"/>
      <c r="AL3669" s="17"/>
    </row>
    <row r="3670" spans="9:38" x14ac:dyDescent="0.4">
      <c r="I3670" s="11"/>
      <c r="J3670" s="9"/>
      <c r="K3670" s="9"/>
      <c r="O3670" s="11"/>
      <c r="P3670" s="9"/>
      <c r="Q3670" s="9"/>
      <c r="R3670" s="9"/>
      <c r="S3670" s="9"/>
      <c r="T3670" s="31"/>
      <c r="W3670" s="16"/>
      <c r="X3670" s="9"/>
      <c r="Y3670" s="9"/>
      <c r="AA3670" s="16"/>
      <c r="AK3670" s="16"/>
      <c r="AL3670" s="17"/>
    </row>
    <row r="3671" spans="9:38" x14ac:dyDescent="0.4">
      <c r="I3671" s="11"/>
      <c r="J3671" s="9"/>
      <c r="K3671" s="9"/>
      <c r="O3671" s="11"/>
      <c r="P3671" s="9"/>
      <c r="Q3671" s="9"/>
      <c r="R3671" s="9"/>
      <c r="S3671" s="9"/>
      <c r="T3671" s="31"/>
      <c r="W3671" s="16"/>
      <c r="X3671" s="9"/>
      <c r="Y3671" s="9"/>
      <c r="AA3671" s="16"/>
      <c r="AK3671" s="16"/>
      <c r="AL3671" s="17"/>
    </row>
    <row r="3672" spans="9:38" x14ac:dyDescent="0.4">
      <c r="I3672" s="11"/>
      <c r="J3672" s="9"/>
      <c r="K3672" s="9"/>
      <c r="O3672" s="11"/>
      <c r="P3672" s="9"/>
      <c r="Q3672" s="9"/>
      <c r="R3672" s="9"/>
      <c r="S3672" s="9"/>
      <c r="T3672" s="31"/>
      <c r="W3672" s="16"/>
      <c r="X3672" s="9"/>
      <c r="Y3672" s="9"/>
      <c r="AA3672" s="16"/>
      <c r="AK3672" s="16"/>
      <c r="AL3672" s="17"/>
    </row>
    <row r="3673" spans="9:38" x14ac:dyDescent="0.4">
      <c r="I3673" s="11"/>
      <c r="J3673" s="9"/>
      <c r="K3673" s="9"/>
      <c r="O3673" s="11"/>
      <c r="P3673" s="9"/>
      <c r="Q3673" s="9"/>
      <c r="R3673" s="9"/>
      <c r="S3673" s="9"/>
      <c r="T3673" s="31"/>
      <c r="W3673" s="16"/>
      <c r="X3673" s="9"/>
      <c r="Y3673" s="9"/>
      <c r="AA3673" s="16"/>
      <c r="AK3673" s="16"/>
      <c r="AL3673" s="17"/>
    </row>
    <row r="3674" spans="9:38" x14ac:dyDescent="0.4">
      <c r="I3674" s="11"/>
      <c r="J3674" s="9"/>
      <c r="K3674" s="9"/>
      <c r="O3674" s="11"/>
      <c r="P3674" s="9"/>
      <c r="Q3674" s="9"/>
      <c r="R3674" s="9"/>
      <c r="S3674" s="9"/>
      <c r="T3674" s="31"/>
      <c r="W3674" s="16"/>
      <c r="X3674" s="9"/>
      <c r="Y3674" s="9"/>
      <c r="AA3674" s="16"/>
      <c r="AK3674" s="16"/>
      <c r="AL3674" s="17"/>
    </row>
    <row r="3675" spans="9:38" x14ac:dyDescent="0.4">
      <c r="I3675" s="11"/>
      <c r="J3675" s="9"/>
      <c r="K3675" s="9"/>
      <c r="O3675" s="11"/>
      <c r="P3675" s="9"/>
      <c r="Q3675" s="9"/>
      <c r="R3675" s="9"/>
      <c r="S3675" s="9"/>
      <c r="T3675" s="31"/>
      <c r="W3675" s="16"/>
      <c r="X3675" s="9"/>
      <c r="Y3675" s="9"/>
      <c r="AA3675" s="16"/>
      <c r="AK3675" s="16"/>
      <c r="AL3675" s="17"/>
    </row>
    <row r="3676" spans="9:38" x14ac:dyDescent="0.4">
      <c r="I3676" s="11"/>
      <c r="J3676" s="9"/>
      <c r="K3676" s="9"/>
      <c r="O3676" s="11"/>
      <c r="P3676" s="9"/>
      <c r="Q3676" s="9"/>
      <c r="R3676" s="9"/>
      <c r="S3676" s="9"/>
      <c r="T3676" s="31"/>
      <c r="W3676" s="16"/>
      <c r="X3676" s="9"/>
      <c r="Y3676" s="9"/>
      <c r="AA3676" s="16"/>
      <c r="AK3676" s="16"/>
      <c r="AL3676" s="17"/>
    </row>
    <row r="3677" spans="9:38" x14ac:dyDescent="0.4">
      <c r="I3677" s="11"/>
      <c r="J3677" s="9"/>
      <c r="K3677" s="9"/>
      <c r="O3677" s="11"/>
      <c r="P3677" s="9"/>
      <c r="Q3677" s="9"/>
      <c r="R3677" s="9"/>
      <c r="S3677" s="9"/>
      <c r="T3677" s="31"/>
      <c r="W3677" s="16"/>
      <c r="X3677" s="9"/>
      <c r="Y3677" s="9"/>
      <c r="AA3677" s="16"/>
      <c r="AK3677" s="16"/>
      <c r="AL3677" s="17"/>
    </row>
    <row r="3678" spans="9:38" x14ac:dyDescent="0.4">
      <c r="I3678" s="11"/>
      <c r="J3678" s="9"/>
      <c r="K3678" s="9"/>
      <c r="O3678" s="11"/>
      <c r="P3678" s="9"/>
      <c r="Q3678" s="9"/>
      <c r="R3678" s="9"/>
      <c r="S3678" s="9"/>
      <c r="T3678" s="31"/>
      <c r="W3678" s="16"/>
      <c r="X3678" s="9"/>
      <c r="Y3678" s="9"/>
      <c r="AA3678" s="16"/>
      <c r="AK3678" s="16"/>
      <c r="AL3678" s="17"/>
    </row>
    <row r="3679" spans="9:38" x14ac:dyDescent="0.4">
      <c r="I3679" s="11"/>
      <c r="J3679" s="9"/>
      <c r="K3679" s="9"/>
      <c r="O3679" s="11"/>
      <c r="P3679" s="9"/>
      <c r="Q3679" s="9"/>
      <c r="R3679" s="9"/>
      <c r="S3679" s="9"/>
      <c r="T3679" s="31"/>
      <c r="W3679" s="16"/>
      <c r="X3679" s="9"/>
      <c r="Y3679" s="9"/>
      <c r="AA3679" s="16"/>
      <c r="AK3679" s="16"/>
      <c r="AL3679" s="17"/>
    </row>
    <row r="3680" spans="9:38" x14ac:dyDescent="0.4">
      <c r="I3680" s="11"/>
      <c r="J3680" s="9"/>
      <c r="K3680" s="9"/>
      <c r="O3680" s="11"/>
      <c r="P3680" s="9"/>
      <c r="Q3680" s="9"/>
      <c r="R3680" s="9"/>
      <c r="S3680" s="9"/>
      <c r="T3680" s="31"/>
      <c r="W3680" s="16"/>
      <c r="X3680" s="9"/>
      <c r="Y3680" s="9"/>
      <c r="AA3680" s="16"/>
      <c r="AK3680" s="16"/>
      <c r="AL3680" s="17"/>
    </row>
    <row r="3681" spans="9:38" x14ac:dyDescent="0.4">
      <c r="I3681" s="11"/>
      <c r="J3681" s="9"/>
      <c r="K3681" s="9"/>
      <c r="O3681" s="11"/>
      <c r="P3681" s="9"/>
      <c r="Q3681" s="9"/>
      <c r="R3681" s="9"/>
      <c r="S3681" s="9"/>
      <c r="T3681" s="31"/>
      <c r="W3681" s="16"/>
      <c r="X3681" s="9"/>
      <c r="Y3681" s="9"/>
      <c r="AA3681" s="16"/>
      <c r="AK3681" s="16"/>
      <c r="AL3681" s="17"/>
    </row>
    <row r="3682" spans="9:38" x14ac:dyDescent="0.4">
      <c r="I3682" s="11"/>
      <c r="J3682" s="9"/>
      <c r="K3682" s="9"/>
      <c r="O3682" s="11"/>
      <c r="P3682" s="9"/>
      <c r="Q3682" s="9"/>
      <c r="R3682" s="9"/>
      <c r="S3682" s="9"/>
      <c r="T3682" s="31"/>
      <c r="W3682" s="16"/>
      <c r="X3682" s="9"/>
      <c r="Y3682" s="9"/>
      <c r="AA3682" s="16"/>
      <c r="AK3682" s="16"/>
      <c r="AL3682" s="17"/>
    </row>
    <row r="3683" spans="9:38" x14ac:dyDescent="0.4">
      <c r="I3683" s="11"/>
      <c r="J3683" s="9"/>
      <c r="K3683" s="9"/>
      <c r="O3683" s="11"/>
      <c r="P3683" s="9"/>
      <c r="Q3683" s="9"/>
      <c r="R3683" s="9"/>
      <c r="S3683" s="9"/>
      <c r="T3683" s="31"/>
      <c r="W3683" s="16"/>
      <c r="X3683" s="9"/>
      <c r="Y3683" s="9"/>
      <c r="AA3683" s="16"/>
      <c r="AK3683" s="16"/>
      <c r="AL3683" s="17"/>
    </row>
    <row r="3684" spans="9:38" x14ac:dyDescent="0.4">
      <c r="I3684" s="11"/>
      <c r="J3684" s="9"/>
      <c r="K3684" s="9"/>
      <c r="O3684" s="11"/>
      <c r="P3684" s="9"/>
      <c r="Q3684" s="9"/>
      <c r="R3684" s="9"/>
      <c r="S3684" s="9"/>
      <c r="T3684" s="31"/>
      <c r="W3684" s="16"/>
      <c r="X3684" s="9"/>
      <c r="Y3684" s="9"/>
      <c r="AA3684" s="16"/>
      <c r="AK3684" s="16"/>
      <c r="AL3684" s="17"/>
    </row>
    <row r="3685" spans="9:38" x14ac:dyDescent="0.4">
      <c r="I3685" s="11"/>
      <c r="J3685" s="9"/>
      <c r="K3685" s="9"/>
      <c r="O3685" s="11"/>
      <c r="P3685" s="9"/>
      <c r="Q3685" s="9"/>
      <c r="R3685" s="9"/>
      <c r="S3685" s="9"/>
      <c r="T3685" s="31"/>
      <c r="W3685" s="16"/>
      <c r="X3685" s="9"/>
      <c r="Y3685" s="9"/>
      <c r="AA3685" s="16"/>
      <c r="AK3685" s="16"/>
      <c r="AL3685" s="17"/>
    </row>
    <row r="3686" spans="9:38" x14ac:dyDescent="0.4">
      <c r="I3686" s="11"/>
      <c r="J3686" s="9"/>
      <c r="K3686" s="9"/>
      <c r="O3686" s="11"/>
      <c r="P3686" s="9"/>
      <c r="Q3686" s="9"/>
      <c r="R3686" s="9"/>
      <c r="S3686" s="9"/>
      <c r="T3686" s="31"/>
      <c r="W3686" s="16"/>
      <c r="X3686" s="9"/>
      <c r="Y3686" s="9"/>
      <c r="AA3686" s="16"/>
      <c r="AK3686" s="16"/>
      <c r="AL3686" s="17"/>
    </row>
    <row r="3687" spans="9:38" x14ac:dyDescent="0.4">
      <c r="I3687" s="11"/>
      <c r="J3687" s="9"/>
      <c r="K3687" s="9"/>
      <c r="O3687" s="11"/>
      <c r="P3687" s="9"/>
      <c r="Q3687" s="9"/>
      <c r="R3687" s="9"/>
      <c r="S3687" s="9"/>
      <c r="T3687" s="31"/>
      <c r="W3687" s="16"/>
      <c r="X3687" s="9"/>
      <c r="Y3687" s="9"/>
      <c r="AA3687" s="16"/>
      <c r="AK3687" s="16"/>
      <c r="AL3687" s="17"/>
    </row>
    <row r="3688" spans="9:38" x14ac:dyDescent="0.4">
      <c r="I3688" s="11"/>
      <c r="J3688" s="9"/>
      <c r="K3688" s="9"/>
      <c r="O3688" s="11"/>
      <c r="P3688" s="9"/>
      <c r="Q3688" s="9"/>
      <c r="R3688" s="9"/>
      <c r="S3688" s="9"/>
      <c r="T3688" s="31"/>
      <c r="W3688" s="16"/>
      <c r="X3688" s="9"/>
      <c r="Y3688" s="9"/>
      <c r="AA3688" s="16"/>
      <c r="AK3688" s="16"/>
      <c r="AL3688" s="17"/>
    </row>
    <row r="3689" spans="9:38" x14ac:dyDescent="0.4">
      <c r="I3689" s="11"/>
      <c r="J3689" s="9"/>
      <c r="K3689" s="9"/>
      <c r="O3689" s="11"/>
      <c r="P3689" s="9"/>
      <c r="Q3689" s="9"/>
      <c r="R3689" s="9"/>
      <c r="S3689" s="9"/>
      <c r="T3689" s="31"/>
      <c r="W3689" s="16"/>
      <c r="X3689" s="9"/>
      <c r="Y3689" s="9"/>
      <c r="AA3689" s="16"/>
      <c r="AK3689" s="16"/>
      <c r="AL3689" s="17"/>
    </row>
    <row r="3690" spans="9:38" x14ac:dyDescent="0.4">
      <c r="I3690" s="11"/>
      <c r="J3690" s="9"/>
      <c r="K3690" s="9"/>
      <c r="O3690" s="11"/>
      <c r="P3690" s="9"/>
      <c r="Q3690" s="9"/>
      <c r="R3690" s="9"/>
      <c r="S3690" s="9"/>
      <c r="T3690" s="31"/>
      <c r="W3690" s="16"/>
      <c r="X3690" s="9"/>
      <c r="Y3690" s="9"/>
      <c r="AA3690" s="16"/>
      <c r="AK3690" s="16"/>
      <c r="AL3690" s="17"/>
    </row>
    <row r="3691" spans="9:38" x14ac:dyDescent="0.4">
      <c r="I3691" s="11"/>
      <c r="J3691" s="9"/>
      <c r="K3691" s="9"/>
      <c r="O3691" s="11"/>
      <c r="P3691" s="9"/>
      <c r="Q3691" s="9"/>
      <c r="R3691" s="9"/>
      <c r="S3691" s="9"/>
      <c r="T3691" s="31"/>
      <c r="W3691" s="16"/>
      <c r="X3691" s="9"/>
      <c r="Y3691" s="9"/>
      <c r="AA3691" s="16"/>
      <c r="AK3691" s="16"/>
      <c r="AL3691" s="17"/>
    </row>
    <row r="3692" spans="9:38" x14ac:dyDescent="0.4">
      <c r="I3692" s="11"/>
      <c r="J3692" s="9"/>
      <c r="K3692" s="9"/>
      <c r="O3692" s="11"/>
      <c r="P3692" s="9"/>
      <c r="Q3692" s="9"/>
      <c r="R3692" s="9"/>
      <c r="S3692" s="9"/>
      <c r="T3692" s="31"/>
      <c r="W3692" s="16"/>
      <c r="X3692" s="9"/>
      <c r="Y3692" s="9"/>
      <c r="AA3692" s="16"/>
      <c r="AK3692" s="16"/>
      <c r="AL3692" s="17"/>
    </row>
    <row r="3693" spans="9:38" x14ac:dyDescent="0.4">
      <c r="I3693" s="11"/>
      <c r="J3693" s="9"/>
      <c r="K3693" s="9"/>
      <c r="O3693" s="11"/>
      <c r="P3693" s="9"/>
      <c r="Q3693" s="9"/>
      <c r="R3693" s="9"/>
      <c r="S3693" s="9"/>
      <c r="T3693" s="31"/>
      <c r="W3693" s="16"/>
      <c r="X3693" s="9"/>
      <c r="Y3693" s="9"/>
      <c r="AA3693" s="16"/>
      <c r="AK3693" s="16"/>
      <c r="AL3693" s="17"/>
    </row>
    <row r="3694" spans="9:38" x14ac:dyDescent="0.4">
      <c r="I3694" s="11"/>
      <c r="J3694" s="9"/>
      <c r="K3694" s="9"/>
      <c r="O3694" s="11"/>
      <c r="P3694" s="9"/>
      <c r="Q3694" s="9"/>
      <c r="R3694" s="9"/>
      <c r="S3694" s="9"/>
      <c r="T3694" s="31"/>
      <c r="W3694" s="16"/>
      <c r="X3694" s="9"/>
      <c r="Y3694" s="9"/>
      <c r="AA3694" s="16"/>
      <c r="AK3694" s="16"/>
      <c r="AL3694" s="17"/>
    </row>
    <row r="3695" spans="9:38" x14ac:dyDescent="0.4">
      <c r="I3695" s="11"/>
      <c r="J3695" s="9"/>
      <c r="K3695" s="9"/>
      <c r="O3695" s="11"/>
      <c r="P3695" s="9"/>
      <c r="Q3695" s="9"/>
      <c r="R3695" s="9"/>
      <c r="S3695" s="9"/>
      <c r="T3695" s="31"/>
      <c r="W3695" s="16"/>
      <c r="X3695" s="9"/>
      <c r="Y3695" s="9"/>
      <c r="AA3695" s="16"/>
      <c r="AK3695" s="16"/>
      <c r="AL3695" s="17"/>
    </row>
    <row r="3696" spans="9:38" x14ac:dyDescent="0.4">
      <c r="I3696" s="11"/>
      <c r="J3696" s="9"/>
      <c r="K3696" s="9"/>
      <c r="O3696" s="11"/>
      <c r="P3696" s="9"/>
      <c r="Q3696" s="9"/>
      <c r="R3696" s="9"/>
      <c r="S3696" s="9"/>
      <c r="T3696" s="31"/>
      <c r="W3696" s="16"/>
      <c r="X3696" s="9"/>
      <c r="Y3696" s="9"/>
      <c r="AA3696" s="16"/>
      <c r="AK3696" s="16"/>
      <c r="AL3696" s="17"/>
    </row>
    <row r="3697" spans="9:38" x14ac:dyDescent="0.4">
      <c r="I3697" s="11"/>
      <c r="J3697" s="9"/>
      <c r="K3697" s="9"/>
      <c r="O3697" s="11"/>
      <c r="P3697" s="9"/>
      <c r="Q3697" s="9"/>
      <c r="R3697" s="9"/>
      <c r="S3697" s="9"/>
      <c r="T3697" s="31"/>
      <c r="W3697" s="16"/>
      <c r="X3697" s="9"/>
      <c r="Y3697" s="9"/>
      <c r="AA3697" s="16"/>
      <c r="AK3697" s="16"/>
      <c r="AL3697" s="17"/>
    </row>
    <row r="3698" spans="9:38" x14ac:dyDescent="0.4">
      <c r="I3698" s="11"/>
      <c r="J3698" s="9"/>
      <c r="K3698" s="9"/>
      <c r="O3698" s="11"/>
      <c r="P3698" s="9"/>
      <c r="Q3698" s="9"/>
      <c r="R3698" s="9"/>
      <c r="S3698" s="9"/>
      <c r="T3698" s="31"/>
      <c r="W3698" s="16"/>
      <c r="X3698" s="9"/>
      <c r="Y3698" s="9"/>
      <c r="AA3698" s="16"/>
      <c r="AK3698" s="16"/>
      <c r="AL3698" s="17"/>
    </row>
    <row r="3699" spans="9:38" x14ac:dyDescent="0.4">
      <c r="I3699" s="11"/>
      <c r="J3699" s="9"/>
      <c r="K3699" s="9"/>
      <c r="O3699" s="11"/>
      <c r="P3699" s="9"/>
      <c r="Q3699" s="9"/>
      <c r="R3699" s="9"/>
      <c r="S3699" s="9"/>
      <c r="T3699" s="31"/>
      <c r="W3699" s="16"/>
      <c r="X3699" s="9"/>
      <c r="Y3699" s="9"/>
      <c r="AA3699" s="16"/>
      <c r="AK3699" s="16"/>
      <c r="AL3699" s="17"/>
    </row>
    <row r="3700" spans="9:38" x14ac:dyDescent="0.4">
      <c r="I3700" s="11"/>
      <c r="J3700" s="9"/>
      <c r="K3700" s="9"/>
      <c r="O3700" s="11"/>
      <c r="P3700" s="9"/>
      <c r="Q3700" s="9"/>
      <c r="R3700" s="9"/>
      <c r="S3700" s="9"/>
      <c r="T3700" s="31"/>
      <c r="W3700" s="16"/>
      <c r="X3700" s="9"/>
      <c r="Y3700" s="9"/>
      <c r="AA3700" s="16"/>
      <c r="AK3700" s="16"/>
      <c r="AL3700" s="17"/>
    </row>
    <row r="3701" spans="9:38" x14ac:dyDescent="0.4">
      <c r="I3701" s="11"/>
      <c r="J3701" s="9"/>
      <c r="K3701" s="9"/>
      <c r="O3701" s="11"/>
      <c r="P3701" s="9"/>
      <c r="Q3701" s="9"/>
      <c r="R3701" s="9"/>
      <c r="S3701" s="9"/>
      <c r="T3701" s="31"/>
      <c r="W3701" s="16"/>
      <c r="X3701" s="9"/>
      <c r="Y3701" s="9"/>
      <c r="AA3701" s="16"/>
      <c r="AK3701" s="16"/>
      <c r="AL3701" s="17"/>
    </row>
    <row r="3702" spans="9:38" x14ac:dyDescent="0.4">
      <c r="I3702" s="11"/>
      <c r="J3702" s="9"/>
      <c r="K3702" s="9"/>
      <c r="O3702" s="11"/>
      <c r="P3702" s="9"/>
      <c r="Q3702" s="9"/>
      <c r="R3702" s="9"/>
      <c r="S3702" s="9"/>
      <c r="T3702" s="31"/>
      <c r="W3702" s="16"/>
      <c r="X3702" s="9"/>
      <c r="Y3702" s="9"/>
      <c r="AA3702" s="16"/>
      <c r="AK3702" s="16"/>
      <c r="AL3702" s="17"/>
    </row>
    <row r="3703" spans="9:38" x14ac:dyDescent="0.4">
      <c r="I3703" s="11"/>
      <c r="J3703" s="9"/>
      <c r="K3703" s="9"/>
      <c r="O3703" s="11"/>
      <c r="P3703" s="9"/>
      <c r="Q3703" s="9"/>
      <c r="R3703" s="9"/>
      <c r="S3703" s="9"/>
      <c r="T3703" s="31"/>
      <c r="W3703" s="16"/>
      <c r="X3703" s="9"/>
      <c r="Y3703" s="9"/>
      <c r="AA3703" s="16"/>
      <c r="AK3703" s="16"/>
      <c r="AL3703" s="17"/>
    </row>
    <row r="3704" spans="9:38" x14ac:dyDescent="0.4">
      <c r="I3704" s="11"/>
      <c r="J3704" s="9"/>
      <c r="K3704" s="9"/>
      <c r="O3704" s="11"/>
      <c r="P3704" s="9"/>
      <c r="Q3704" s="9"/>
      <c r="R3704" s="9"/>
      <c r="S3704" s="9"/>
      <c r="T3704" s="31"/>
      <c r="W3704" s="16"/>
      <c r="X3704" s="9"/>
      <c r="Y3704" s="9"/>
      <c r="AA3704" s="16"/>
      <c r="AK3704" s="16"/>
      <c r="AL3704" s="17"/>
    </row>
    <row r="3705" spans="9:38" x14ac:dyDescent="0.4">
      <c r="I3705" s="11"/>
      <c r="J3705" s="9"/>
      <c r="K3705" s="9"/>
      <c r="O3705" s="11"/>
      <c r="P3705" s="9"/>
      <c r="Q3705" s="9"/>
      <c r="R3705" s="9"/>
      <c r="S3705" s="9"/>
      <c r="T3705" s="31"/>
      <c r="W3705" s="16"/>
      <c r="X3705" s="9"/>
      <c r="Y3705" s="9"/>
      <c r="AA3705" s="16"/>
      <c r="AK3705" s="16"/>
      <c r="AL3705" s="17"/>
    </row>
    <row r="3706" spans="9:38" x14ac:dyDescent="0.4">
      <c r="I3706" s="11"/>
      <c r="J3706" s="9"/>
      <c r="K3706" s="9"/>
      <c r="O3706" s="11"/>
      <c r="P3706" s="9"/>
      <c r="Q3706" s="9"/>
      <c r="R3706" s="9"/>
      <c r="S3706" s="9"/>
      <c r="T3706" s="31"/>
      <c r="W3706" s="16"/>
      <c r="X3706" s="9"/>
      <c r="Y3706" s="9"/>
      <c r="AA3706" s="16"/>
      <c r="AK3706" s="16"/>
      <c r="AL3706" s="17"/>
    </row>
    <row r="3707" spans="9:38" x14ac:dyDescent="0.4">
      <c r="I3707" s="11"/>
      <c r="J3707" s="9"/>
      <c r="K3707" s="9"/>
      <c r="O3707" s="11"/>
      <c r="P3707" s="9"/>
      <c r="Q3707" s="9"/>
      <c r="R3707" s="9"/>
      <c r="S3707" s="9"/>
      <c r="T3707" s="31"/>
      <c r="W3707" s="16"/>
      <c r="X3707" s="9"/>
      <c r="Y3707" s="9"/>
      <c r="AA3707" s="16"/>
      <c r="AK3707" s="16"/>
      <c r="AL3707" s="17"/>
    </row>
    <row r="3708" spans="9:38" x14ac:dyDescent="0.4">
      <c r="I3708" s="11"/>
      <c r="J3708" s="9"/>
      <c r="K3708" s="9"/>
      <c r="O3708" s="11"/>
      <c r="P3708" s="9"/>
      <c r="Q3708" s="9"/>
      <c r="R3708" s="9"/>
      <c r="S3708" s="9"/>
      <c r="T3708" s="31"/>
      <c r="W3708" s="16"/>
      <c r="X3708" s="9"/>
      <c r="Y3708" s="9"/>
      <c r="AA3708" s="16"/>
      <c r="AK3708" s="16"/>
      <c r="AL3708" s="17"/>
    </row>
    <row r="3709" spans="9:38" x14ac:dyDescent="0.4">
      <c r="I3709" s="11"/>
      <c r="J3709" s="9"/>
      <c r="K3709" s="9"/>
      <c r="O3709" s="11"/>
      <c r="P3709" s="9"/>
      <c r="Q3709" s="9"/>
      <c r="R3709" s="9"/>
      <c r="S3709" s="9"/>
      <c r="T3709" s="31"/>
      <c r="W3709" s="16"/>
      <c r="X3709" s="9"/>
      <c r="Y3709" s="9"/>
      <c r="AA3709" s="16"/>
      <c r="AK3709" s="16"/>
      <c r="AL3709" s="17"/>
    </row>
    <row r="3710" spans="9:38" x14ac:dyDescent="0.4">
      <c r="I3710" s="11"/>
      <c r="J3710" s="9"/>
      <c r="K3710" s="9"/>
      <c r="O3710" s="11"/>
      <c r="P3710" s="9"/>
      <c r="Q3710" s="9"/>
      <c r="R3710" s="9"/>
      <c r="S3710" s="9"/>
      <c r="T3710" s="31"/>
      <c r="W3710" s="16"/>
      <c r="X3710" s="9"/>
      <c r="Y3710" s="9"/>
      <c r="AA3710" s="16"/>
      <c r="AK3710" s="16"/>
      <c r="AL3710" s="17"/>
    </row>
    <row r="3711" spans="9:38" x14ac:dyDescent="0.4">
      <c r="I3711" s="11"/>
      <c r="J3711" s="9"/>
      <c r="K3711" s="9"/>
      <c r="O3711" s="11"/>
      <c r="P3711" s="9"/>
      <c r="Q3711" s="9"/>
      <c r="R3711" s="9"/>
      <c r="S3711" s="9"/>
      <c r="T3711" s="31"/>
      <c r="W3711" s="16"/>
      <c r="X3711" s="9"/>
      <c r="Y3711" s="9"/>
      <c r="AA3711" s="16"/>
      <c r="AK3711" s="16"/>
      <c r="AL3711" s="17"/>
    </row>
    <row r="3712" spans="9:38" x14ac:dyDescent="0.4">
      <c r="I3712" s="11"/>
      <c r="J3712" s="9"/>
      <c r="K3712" s="9"/>
      <c r="O3712" s="11"/>
      <c r="P3712" s="9"/>
      <c r="Q3712" s="9"/>
      <c r="R3712" s="9"/>
      <c r="S3712" s="9"/>
      <c r="T3712" s="31"/>
      <c r="W3712" s="16"/>
      <c r="X3712" s="9"/>
      <c r="Y3712" s="9"/>
      <c r="AA3712" s="16"/>
      <c r="AK3712" s="16"/>
      <c r="AL3712" s="17"/>
    </row>
    <row r="3713" spans="9:38" x14ac:dyDescent="0.4">
      <c r="I3713" s="11"/>
      <c r="J3713" s="9"/>
      <c r="K3713" s="9"/>
      <c r="O3713" s="11"/>
      <c r="P3713" s="9"/>
      <c r="Q3713" s="9"/>
      <c r="R3713" s="9"/>
      <c r="S3713" s="9"/>
      <c r="T3713" s="31"/>
      <c r="W3713" s="16"/>
      <c r="X3713" s="9"/>
      <c r="Y3713" s="9"/>
      <c r="AA3713" s="16"/>
      <c r="AK3713" s="16"/>
      <c r="AL3713" s="17"/>
    </row>
    <row r="3714" spans="9:38" x14ac:dyDescent="0.4">
      <c r="I3714" s="11"/>
      <c r="J3714" s="9"/>
      <c r="K3714" s="9"/>
      <c r="O3714" s="11"/>
      <c r="P3714" s="9"/>
      <c r="Q3714" s="9"/>
      <c r="R3714" s="9"/>
      <c r="S3714" s="9"/>
      <c r="T3714" s="31"/>
      <c r="W3714" s="16"/>
      <c r="X3714" s="9"/>
      <c r="Y3714" s="9"/>
      <c r="AA3714" s="16"/>
      <c r="AK3714" s="16"/>
      <c r="AL3714" s="17"/>
    </row>
    <row r="3715" spans="9:38" x14ac:dyDescent="0.4">
      <c r="I3715" s="11"/>
      <c r="J3715" s="9"/>
      <c r="K3715" s="9"/>
      <c r="O3715" s="11"/>
      <c r="P3715" s="9"/>
      <c r="Q3715" s="9"/>
      <c r="R3715" s="9"/>
      <c r="S3715" s="9"/>
      <c r="T3715" s="31"/>
      <c r="W3715" s="16"/>
      <c r="X3715" s="9"/>
      <c r="Y3715" s="9"/>
      <c r="AA3715" s="16"/>
      <c r="AK3715" s="16"/>
      <c r="AL3715" s="17"/>
    </row>
    <row r="3716" spans="9:38" x14ac:dyDescent="0.4">
      <c r="I3716" s="11"/>
      <c r="J3716" s="9"/>
      <c r="K3716" s="9"/>
      <c r="O3716" s="11"/>
      <c r="P3716" s="9"/>
      <c r="Q3716" s="9"/>
      <c r="R3716" s="9"/>
      <c r="S3716" s="9"/>
      <c r="T3716" s="31"/>
      <c r="W3716" s="16"/>
      <c r="X3716" s="9"/>
      <c r="Y3716" s="9"/>
      <c r="AA3716" s="16"/>
      <c r="AK3716" s="16"/>
      <c r="AL3716" s="17"/>
    </row>
    <row r="3717" spans="9:38" x14ac:dyDescent="0.4">
      <c r="I3717" s="11"/>
      <c r="J3717" s="9"/>
      <c r="K3717" s="9"/>
      <c r="O3717" s="11"/>
      <c r="P3717" s="9"/>
      <c r="Q3717" s="9"/>
      <c r="R3717" s="9"/>
      <c r="S3717" s="9"/>
      <c r="T3717" s="31"/>
      <c r="W3717" s="16"/>
      <c r="X3717" s="9"/>
      <c r="Y3717" s="9"/>
      <c r="AA3717" s="16"/>
      <c r="AK3717" s="16"/>
      <c r="AL3717" s="17"/>
    </row>
    <row r="3718" spans="9:38" x14ac:dyDescent="0.4">
      <c r="I3718" s="11"/>
      <c r="J3718" s="9"/>
      <c r="K3718" s="9"/>
      <c r="O3718" s="11"/>
      <c r="P3718" s="9"/>
      <c r="Q3718" s="9"/>
      <c r="R3718" s="9"/>
      <c r="S3718" s="9"/>
      <c r="T3718" s="31"/>
      <c r="W3718" s="16"/>
      <c r="X3718" s="9"/>
      <c r="Y3718" s="9"/>
      <c r="AA3718" s="16"/>
      <c r="AK3718" s="16"/>
      <c r="AL3718" s="17"/>
    </row>
    <row r="3719" spans="9:38" x14ac:dyDescent="0.4">
      <c r="I3719" s="11"/>
      <c r="J3719" s="9"/>
      <c r="K3719" s="9"/>
      <c r="O3719" s="11"/>
      <c r="P3719" s="9"/>
      <c r="Q3719" s="9"/>
      <c r="R3719" s="9"/>
      <c r="S3719" s="9"/>
      <c r="T3719" s="31"/>
      <c r="W3719" s="16"/>
      <c r="X3719" s="9"/>
      <c r="Y3719" s="9"/>
      <c r="AA3719" s="16"/>
      <c r="AK3719" s="16"/>
      <c r="AL3719" s="17"/>
    </row>
    <row r="3720" spans="9:38" x14ac:dyDescent="0.4">
      <c r="I3720" s="11"/>
      <c r="J3720" s="9"/>
      <c r="K3720" s="9"/>
      <c r="O3720" s="11"/>
      <c r="P3720" s="9"/>
      <c r="Q3720" s="9"/>
      <c r="R3720" s="9"/>
      <c r="S3720" s="9"/>
      <c r="T3720" s="31"/>
      <c r="W3720" s="16"/>
      <c r="X3720" s="9"/>
      <c r="Y3720" s="9"/>
      <c r="AA3720" s="16"/>
      <c r="AK3720" s="16"/>
      <c r="AL3720" s="17"/>
    </row>
    <row r="3721" spans="9:38" x14ac:dyDescent="0.4">
      <c r="I3721" s="11"/>
      <c r="J3721" s="9"/>
      <c r="K3721" s="9"/>
      <c r="O3721" s="11"/>
      <c r="P3721" s="9"/>
      <c r="Q3721" s="9"/>
      <c r="R3721" s="9"/>
      <c r="S3721" s="9"/>
      <c r="T3721" s="31"/>
      <c r="W3721" s="16"/>
      <c r="X3721" s="9"/>
      <c r="Y3721" s="9"/>
      <c r="AA3721" s="16"/>
      <c r="AK3721" s="16"/>
      <c r="AL3721" s="17"/>
    </row>
    <row r="3722" spans="9:38" x14ac:dyDescent="0.4">
      <c r="I3722" s="11"/>
      <c r="J3722" s="9"/>
      <c r="K3722" s="9"/>
      <c r="O3722" s="11"/>
      <c r="P3722" s="9"/>
      <c r="Q3722" s="9"/>
      <c r="R3722" s="9"/>
      <c r="S3722" s="9"/>
      <c r="T3722" s="31"/>
      <c r="W3722" s="16"/>
      <c r="X3722" s="9"/>
      <c r="Y3722" s="9"/>
      <c r="AA3722" s="16"/>
      <c r="AK3722" s="16"/>
      <c r="AL3722" s="17"/>
    </row>
    <row r="3723" spans="9:38" x14ac:dyDescent="0.4">
      <c r="I3723" s="11"/>
      <c r="J3723" s="9"/>
      <c r="K3723" s="9"/>
      <c r="O3723" s="11"/>
      <c r="P3723" s="9"/>
      <c r="Q3723" s="9"/>
      <c r="R3723" s="9"/>
      <c r="S3723" s="9"/>
      <c r="T3723" s="31"/>
      <c r="W3723" s="16"/>
      <c r="X3723" s="9"/>
      <c r="Y3723" s="9"/>
      <c r="AA3723" s="16"/>
      <c r="AK3723" s="16"/>
      <c r="AL3723" s="17"/>
    </row>
    <row r="3724" spans="9:38" x14ac:dyDescent="0.4">
      <c r="I3724" s="11"/>
      <c r="J3724" s="9"/>
      <c r="K3724" s="9"/>
      <c r="O3724" s="11"/>
      <c r="P3724" s="9"/>
      <c r="Q3724" s="9"/>
      <c r="R3724" s="9"/>
      <c r="S3724" s="9"/>
      <c r="T3724" s="31"/>
      <c r="W3724" s="16"/>
      <c r="X3724" s="9"/>
      <c r="Y3724" s="9"/>
      <c r="AA3724" s="16"/>
      <c r="AK3724" s="16"/>
      <c r="AL3724" s="17"/>
    </row>
    <row r="3725" spans="9:38" x14ac:dyDescent="0.4">
      <c r="I3725" s="11"/>
      <c r="J3725" s="9"/>
      <c r="K3725" s="9"/>
      <c r="O3725" s="11"/>
      <c r="P3725" s="9"/>
      <c r="Q3725" s="9"/>
      <c r="R3725" s="9"/>
      <c r="S3725" s="9"/>
      <c r="T3725" s="31"/>
      <c r="W3725" s="16"/>
      <c r="X3725" s="9"/>
      <c r="Y3725" s="9"/>
      <c r="AA3725" s="16"/>
      <c r="AK3725" s="16"/>
      <c r="AL3725" s="17"/>
    </row>
    <row r="3726" spans="9:38" x14ac:dyDescent="0.4">
      <c r="I3726" s="11"/>
      <c r="J3726" s="9"/>
      <c r="K3726" s="9"/>
      <c r="O3726" s="11"/>
      <c r="P3726" s="9"/>
      <c r="Q3726" s="9"/>
      <c r="R3726" s="9"/>
      <c r="S3726" s="9"/>
      <c r="T3726" s="31"/>
      <c r="W3726" s="16"/>
      <c r="X3726" s="9"/>
      <c r="Y3726" s="9"/>
      <c r="AA3726" s="16"/>
      <c r="AK3726" s="16"/>
      <c r="AL3726" s="17"/>
    </row>
    <row r="3727" spans="9:38" x14ac:dyDescent="0.4">
      <c r="I3727" s="11"/>
      <c r="J3727" s="9"/>
      <c r="K3727" s="9"/>
      <c r="O3727" s="11"/>
      <c r="P3727" s="9"/>
      <c r="Q3727" s="9"/>
      <c r="R3727" s="9"/>
      <c r="S3727" s="9"/>
      <c r="T3727" s="31"/>
      <c r="W3727" s="16"/>
      <c r="X3727" s="9"/>
      <c r="Y3727" s="9"/>
      <c r="AA3727" s="16"/>
      <c r="AK3727" s="16"/>
      <c r="AL3727" s="17"/>
    </row>
    <row r="3728" spans="9:38" x14ac:dyDescent="0.4">
      <c r="I3728" s="11"/>
      <c r="J3728" s="9"/>
      <c r="K3728" s="9"/>
      <c r="O3728" s="11"/>
      <c r="P3728" s="9"/>
      <c r="Q3728" s="9"/>
      <c r="R3728" s="9"/>
      <c r="S3728" s="9"/>
      <c r="T3728" s="31"/>
      <c r="W3728" s="16"/>
      <c r="X3728" s="9"/>
      <c r="Y3728" s="9"/>
      <c r="AA3728" s="16"/>
      <c r="AK3728" s="16"/>
      <c r="AL3728" s="17"/>
    </row>
    <row r="3729" spans="9:38" x14ac:dyDescent="0.4">
      <c r="I3729" s="11"/>
      <c r="J3729" s="9"/>
      <c r="K3729" s="9"/>
      <c r="O3729" s="11"/>
      <c r="P3729" s="9"/>
      <c r="Q3729" s="9"/>
      <c r="R3729" s="9"/>
      <c r="S3729" s="9"/>
      <c r="T3729" s="31"/>
      <c r="W3729" s="16"/>
      <c r="X3729" s="9"/>
      <c r="Y3729" s="9"/>
      <c r="AA3729" s="16"/>
      <c r="AK3729" s="16"/>
      <c r="AL3729" s="17"/>
    </row>
    <row r="3730" spans="9:38" x14ac:dyDescent="0.4">
      <c r="I3730" s="11"/>
      <c r="J3730" s="9"/>
      <c r="K3730" s="9"/>
      <c r="O3730" s="11"/>
      <c r="P3730" s="9"/>
      <c r="Q3730" s="9"/>
      <c r="R3730" s="9"/>
      <c r="S3730" s="9"/>
      <c r="T3730" s="31"/>
      <c r="W3730" s="16"/>
      <c r="X3730" s="9"/>
      <c r="Y3730" s="9"/>
      <c r="AA3730" s="16"/>
      <c r="AK3730" s="16"/>
      <c r="AL3730" s="17"/>
    </row>
    <row r="3731" spans="9:38" x14ac:dyDescent="0.4">
      <c r="I3731" s="11"/>
      <c r="J3731" s="9"/>
      <c r="K3731" s="9"/>
      <c r="O3731" s="11"/>
      <c r="P3731" s="9"/>
      <c r="Q3731" s="9"/>
      <c r="R3731" s="9"/>
      <c r="S3731" s="9"/>
      <c r="T3731" s="31"/>
      <c r="W3731" s="16"/>
      <c r="X3731" s="9"/>
      <c r="Y3731" s="9"/>
      <c r="AA3731" s="16"/>
      <c r="AK3731" s="16"/>
      <c r="AL3731" s="17"/>
    </row>
    <row r="3732" spans="9:38" x14ac:dyDescent="0.4">
      <c r="I3732" s="11"/>
      <c r="J3732" s="9"/>
      <c r="K3732" s="9"/>
      <c r="O3732" s="11"/>
      <c r="P3732" s="9"/>
      <c r="Q3732" s="9"/>
      <c r="R3732" s="9"/>
      <c r="S3732" s="9"/>
      <c r="T3732" s="31"/>
      <c r="W3732" s="16"/>
      <c r="X3732" s="9"/>
      <c r="Y3732" s="9"/>
      <c r="AA3732" s="16"/>
      <c r="AK3732" s="16"/>
      <c r="AL3732" s="17"/>
    </row>
    <row r="3733" spans="9:38" x14ac:dyDescent="0.4">
      <c r="I3733" s="11"/>
      <c r="J3733" s="9"/>
      <c r="K3733" s="9"/>
      <c r="O3733" s="11"/>
      <c r="P3733" s="9"/>
      <c r="Q3733" s="9"/>
      <c r="R3733" s="9"/>
      <c r="S3733" s="9"/>
      <c r="T3733" s="31"/>
      <c r="W3733" s="16"/>
      <c r="X3733" s="9"/>
      <c r="Y3733" s="9"/>
      <c r="AA3733" s="16"/>
      <c r="AK3733" s="16"/>
      <c r="AL3733" s="17"/>
    </row>
    <row r="3734" spans="9:38" x14ac:dyDescent="0.4">
      <c r="I3734" s="11"/>
      <c r="J3734" s="9"/>
      <c r="K3734" s="9"/>
      <c r="O3734" s="11"/>
      <c r="P3734" s="9"/>
      <c r="Q3734" s="9"/>
      <c r="R3734" s="9"/>
      <c r="S3734" s="9"/>
      <c r="T3734" s="31"/>
      <c r="W3734" s="16"/>
      <c r="X3734" s="9"/>
      <c r="Y3734" s="9"/>
      <c r="AA3734" s="16"/>
      <c r="AK3734" s="16"/>
      <c r="AL3734" s="17"/>
    </row>
    <row r="3735" spans="9:38" x14ac:dyDescent="0.4">
      <c r="I3735" s="11"/>
      <c r="J3735" s="9"/>
      <c r="K3735" s="9"/>
      <c r="O3735" s="11"/>
      <c r="P3735" s="9"/>
      <c r="Q3735" s="9"/>
      <c r="R3735" s="9"/>
      <c r="S3735" s="9"/>
      <c r="T3735" s="31"/>
      <c r="W3735" s="16"/>
      <c r="X3735" s="9"/>
      <c r="Y3735" s="9"/>
      <c r="AA3735" s="16"/>
      <c r="AK3735" s="16"/>
      <c r="AL3735" s="17"/>
    </row>
    <row r="3736" spans="9:38" x14ac:dyDescent="0.4">
      <c r="I3736" s="11"/>
      <c r="J3736" s="9"/>
      <c r="K3736" s="9"/>
      <c r="O3736" s="11"/>
      <c r="P3736" s="9"/>
      <c r="Q3736" s="9"/>
      <c r="R3736" s="9"/>
      <c r="S3736" s="9"/>
      <c r="T3736" s="31"/>
      <c r="W3736" s="16"/>
      <c r="X3736" s="9"/>
      <c r="Y3736" s="9"/>
      <c r="AA3736" s="16"/>
      <c r="AK3736" s="16"/>
      <c r="AL3736" s="17"/>
    </row>
    <row r="3737" spans="9:38" x14ac:dyDescent="0.4">
      <c r="I3737" s="11"/>
      <c r="J3737" s="9"/>
      <c r="K3737" s="9"/>
      <c r="O3737" s="11"/>
      <c r="P3737" s="9"/>
      <c r="Q3737" s="9"/>
      <c r="R3737" s="9"/>
      <c r="S3737" s="9"/>
      <c r="T3737" s="31"/>
      <c r="W3737" s="16"/>
      <c r="X3737" s="9"/>
      <c r="Y3737" s="9"/>
      <c r="AA3737" s="16"/>
      <c r="AK3737" s="16"/>
      <c r="AL3737" s="17"/>
    </row>
    <row r="3738" spans="9:38" x14ac:dyDescent="0.4">
      <c r="I3738" s="11"/>
      <c r="J3738" s="9"/>
      <c r="K3738" s="9"/>
      <c r="O3738" s="11"/>
      <c r="P3738" s="9"/>
      <c r="Q3738" s="9"/>
      <c r="R3738" s="9"/>
      <c r="S3738" s="9"/>
      <c r="T3738" s="31"/>
      <c r="W3738" s="16"/>
      <c r="X3738" s="9"/>
      <c r="Y3738" s="9"/>
      <c r="AA3738" s="16"/>
      <c r="AK3738" s="16"/>
      <c r="AL3738" s="17"/>
    </row>
    <row r="3739" spans="9:38" x14ac:dyDescent="0.4">
      <c r="I3739" s="11"/>
      <c r="J3739" s="9"/>
      <c r="K3739" s="9"/>
      <c r="O3739" s="11"/>
      <c r="P3739" s="9"/>
      <c r="Q3739" s="9"/>
      <c r="R3739" s="9"/>
      <c r="S3739" s="9"/>
      <c r="T3739" s="31"/>
      <c r="W3739" s="16"/>
      <c r="X3739" s="9"/>
      <c r="Y3739" s="9"/>
      <c r="AA3739" s="16"/>
      <c r="AK3739" s="16"/>
      <c r="AL3739" s="17"/>
    </row>
    <row r="3740" spans="9:38" x14ac:dyDescent="0.4">
      <c r="I3740" s="11"/>
      <c r="J3740" s="9"/>
      <c r="K3740" s="9"/>
      <c r="O3740" s="11"/>
      <c r="P3740" s="9"/>
      <c r="Q3740" s="9"/>
      <c r="R3740" s="9"/>
      <c r="S3740" s="9"/>
      <c r="T3740" s="31"/>
      <c r="W3740" s="16"/>
      <c r="X3740" s="9"/>
      <c r="Y3740" s="9"/>
      <c r="AA3740" s="16"/>
      <c r="AK3740" s="16"/>
      <c r="AL3740" s="17"/>
    </row>
    <row r="3741" spans="9:38" x14ac:dyDescent="0.4">
      <c r="I3741" s="11"/>
      <c r="J3741" s="9"/>
      <c r="K3741" s="9"/>
      <c r="O3741" s="11"/>
      <c r="P3741" s="9"/>
      <c r="Q3741" s="9"/>
      <c r="R3741" s="9"/>
      <c r="S3741" s="9"/>
      <c r="T3741" s="31"/>
      <c r="W3741" s="16"/>
      <c r="X3741" s="9"/>
      <c r="Y3741" s="9"/>
      <c r="AA3741" s="16"/>
      <c r="AK3741" s="16"/>
      <c r="AL3741" s="17"/>
    </row>
    <row r="3742" spans="9:38" x14ac:dyDescent="0.4">
      <c r="I3742" s="11"/>
      <c r="J3742" s="9"/>
      <c r="K3742" s="9"/>
      <c r="O3742" s="11"/>
      <c r="P3742" s="9"/>
      <c r="Q3742" s="9"/>
      <c r="R3742" s="9"/>
      <c r="S3742" s="9"/>
      <c r="T3742" s="31"/>
      <c r="W3742" s="16"/>
      <c r="X3742" s="9"/>
      <c r="Y3742" s="9"/>
      <c r="AA3742" s="16"/>
      <c r="AK3742" s="16"/>
      <c r="AL3742" s="17"/>
    </row>
    <row r="3743" spans="9:38" x14ac:dyDescent="0.4">
      <c r="I3743" s="11"/>
      <c r="J3743" s="9"/>
      <c r="K3743" s="9"/>
      <c r="O3743" s="11"/>
      <c r="P3743" s="9"/>
      <c r="Q3743" s="9"/>
      <c r="R3743" s="9"/>
      <c r="S3743" s="9"/>
      <c r="T3743" s="31"/>
      <c r="W3743" s="16"/>
      <c r="X3743" s="9"/>
      <c r="Y3743" s="9"/>
      <c r="AA3743" s="16"/>
      <c r="AK3743" s="16"/>
      <c r="AL3743" s="17"/>
    </row>
    <row r="3744" spans="9:38" x14ac:dyDescent="0.4">
      <c r="I3744" s="11"/>
      <c r="J3744" s="9"/>
      <c r="K3744" s="9"/>
      <c r="O3744" s="11"/>
      <c r="P3744" s="9"/>
      <c r="Q3744" s="9"/>
      <c r="R3744" s="9"/>
      <c r="S3744" s="9"/>
      <c r="T3744" s="31"/>
      <c r="W3744" s="16"/>
      <c r="X3744" s="9"/>
      <c r="Y3744" s="9"/>
      <c r="AA3744" s="16"/>
      <c r="AK3744" s="16"/>
      <c r="AL3744" s="17"/>
    </row>
    <row r="3745" spans="9:38" x14ac:dyDescent="0.4">
      <c r="I3745" s="11"/>
      <c r="J3745" s="9"/>
      <c r="K3745" s="9"/>
      <c r="O3745" s="11"/>
      <c r="P3745" s="9"/>
      <c r="Q3745" s="9"/>
      <c r="R3745" s="9"/>
      <c r="S3745" s="9"/>
      <c r="T3745" s="31"/>
      <c r="W3745" s="16"/>
      <c r="X3745" s="9"/>
      <c r="Y3745" s="9"/>
      <c r="AA3745" s="16"/>
      <c r="AK3745" s="16"/>
      <c r="AL3745" s="17"/>
    </row>
    <row r="3746" spans="9:38" x14ac:dyDescent="0.4">
      <c r="I3746" s="11"/>
      <c r="J3746" s="9"/>
      <c r="K3746" s="9"/>
      <c r="O3746" s="11"/>
      <c r="P3746" s="9"/>
      <c r="Q3746" s="9"/>
      <c r="R3746" s="9"/>
      <c r="S3746" s="9"/>
      <c r="T3746" s="31"/>
      <c r="W3746" s="16"/>
      <c r="X3746" s="9"/>
      <c r="Y3746" s="9"/>
      <c r="AA3746" s="16"/>
      <c r="AK3746" s="16"/>
      <c r="AL3746" s="17"/>
    </row>
    <row r="3747" spans="9:38" x14ac:dyDescent="0.4">
      <c r="I3747" s="11"/>
      <c r="J3747" s="9"/>
      <c r="K3747" s="9"/>
      <c r="O3747" s="11"/>
      <c r="P3747" s="9"/>
      <c r="Q3747" s="9"/>
      <c r="R3747" s="9"/>
      <c r="S3747" s="9"/>
      <c r="T3747" s="31"/>
      <c r="W3747" s="16"/>
      <c r="X3747" s="9"/>
      <c r="Y3747" s="9"/>
      <c r="AA3747" s="16"/>
      <c r="AK3747" s="16"/>
      <c r="AL3747" s="17"/>
    </row>
    <row r="3748" spans="9:38" x14ac:dyDescent="0.4">
      <c r="I3748" s="11"/>
      <c r="J3748" s="9"/>
      <c r="K3748" s="9"/>
      <c r="O3748" s="11"/>
      <c r="P3748" s="9"/>
      <c r="Q3748" s="9"/>
      <c r="R3748" s="9"/>
      <c r="S3748" s="9"/>
      <c r="T3748" s="31"/>
      <c r="W3748" s="16"/>
      <c r="X3748" s="9"/>
      <c r="Y3748" s="9"/>
      <c r="AA3748" s="16"/>
      <c r="AK3748" s="16"/>
      <c r="AL3748" s="17"/>
    </row>
    <row r="3749" spans="9:38" x14ac:dyDescent="0.4">
      <c r="I3749" s="11"/>
      <c r="J3749" s="9"/>
      <c r="K3749" s="9"/>
      <c r="O3749" s="11"/>
      <c r="P3749" s="9"/>
      <c r="Q3749" s="9"/>
      <c r="R3749" s="9"/>
      <c r="S3749" s="9"/>
      <c r="T3749" s="31"/>
      <c r="W3749" s="16"/>
      <c r="X3749" s="9"/>
      <c r="Y3749" s="9"/>
      <c r="AA3749" s="16"/>
      <c r="AK3749" s="16"/>
      <c r="AL3749" s="17"/>
    </row>
    <row r="3750" spans="9:38" x14ac:dyDescent="0.4">
      <c r="I3750" s="11"/>
      <c r="J3750" s="9"/>
      <c r="K3750" s="9"/>
      <c r="O3750" s="11"/>
      <c r="P3750" s="9"/>
      <c r="Q3750" s="9"/>
      <c r="R3750" s="9"/>
      <c r="S3750" s="9"/>
      <c r="T3750" s="31"/>
      <c r="W3750" s="16"/>
      <c r="X3750" s="9"/>
      <c r="Y3750" s="9"/>
      <c r="AA3750" s="16"/>
      <c r="AK3750" s="16"/>
      <c r="AL3750" s="17"/>
    </row>
    <row r="3751" spans="9:38" x14ac:dyDescent="0.4">
      <c r="I3751" s="11"/>
      <c r="J3751" s="9"/>
      <c r="K3751" s="9"/>
      <c r="O3751" s="11"/>
      <c r="P3751" s="9"/>
      <c r="Q3751" s="9"/>
      <c r="R3751" s="9"/>
      <c r="S3751" s="9"/>
      <c r="T3751" s="31"/>
      <c r="W3751" s="16"/>
      <c r="X3751" s="9"/>
      <c r="Y3751" s="9"/>
      <c r="AA3751" s="16"/>
      <c r="AK3751" s="16"/>
      <c r="AL3751" s="17"/>
    </row>
    <row r="3752" spans="9:38" x14ac:dyDescent="0.4">
      <c r="I3752" s="11"/>
      <c r="J3752" s="9"/>
      <c r="K3752" s="9"/>
      <c r="O3752" s="11"/>
      <c r="P3752" s="9"/>
      <c r="Q3752" s="9"/>
      <c r="R3752" s="9"/>
      <c r="S3752" s="9"/>
      <c r="T3752" s="31"/>
      <c r="W3752" s="16"/>
      <c r="X3752" s="9"/>
      <c r="Y3752" s="9"/>
      <c r="AA3752" s="16"/>
      <c r="AK3752" s="16"/>
      <c r="AL3752" s="17"/>
    </row>
    <row r="3753" spans="9:38" x14ac:dyDescent="0.4">
      <c r="I3753" s="11"/>
      <c r="J3753" s="9"/>
      <c r="K3753" s="9"/>
      <c r="O3753" s="11"/>
      <c r="P3753" s="9"/>
      <c r="Q3753" s="9"/>
      <c r="R3753" s="9"/>
      <c r="S3753" s="9"/>
      <c r="T3753" s="31"/>
      <c r="W3753" s="16"/>
      <c r="X3753" s="9"/>
      <c r="Y3753" s="9"/>
      <c r="AA3753" s="16"/>
      <c r="AK3753" s="16"/>
      <c r="AL3753" s="17"/>
    </row>
    <row r="3754" spans="9:38" x14ac:dyDescent="0.4">
      <c r="I3754" s="11"/>
      <c r="J3754" s="9"/>
      <c r="K3754" s="9"/>
      <c r="O3754" s="11"/>
      <c r="P3754" s="9"/>
      <c r="Q3754" s="9"/>
      <c r="R3754" s="9"/>
      <c r="S3754" s="9"/>
      <c r="T3754" s="31"/>
      <c r="W3754" s="16"/>
      <c r="X3754" s="9"/>
      <c r="Y3754" s="9"/>
      <c r="AA3754" s="16"/>
      <c r="AK3754" s="16"/>
      <c r="AL3754" s="17"/>
    </row>
    <row r="3755" spans="9:38" x14ac:dyDescent="0.4">
      <c r="I3755" s="11"/>
      <c r="J3755" s="9"/>
      <c r="K3755" s="9"/>
      <c r="O3755" s="11"/>
      <c r="P3755" s="9"/>
      <c r="Q3755" s="9"/>
      <c r="R3755" s="9"/>
      <c r="S3755" s="9"/>
      <c r="T3755" s="31"/>
      <c r="W3755" s="16"/>
      <c r="X3755" s="9"/>
      <c r="Y3755" s="9"/>
      <c r="AA3755" s="16"/>
      <c r="AK3755" s="16"/>
      <c r="AL3755" s="17"/>
    </row>
    <row r="3756" spans="9:38" x14ac:dyDescent="0.4">
      <c r="I3756" s="11"/>
      <c r="J3756" s="9"/>
      <c r="K3756" s="9"/>
      <c r="O3756" s="11"/>
      <c r="P3756" s="9"/>
      <c r="Q3756" s="9"/>
      <c r="R3756" s="9"/>
      <c r="S3756" s="9"/>
      <c r="T3756" s="31"/>
      <c r="W3756" s="16"/>
      <c r="X3756" s="9"/>
      <c r="Y3756" s="9"/>
      <c r="AA3756" s="16"/>
      <c r="AK3756" s="16"/>
      <c r="AL3756" s="17"/>
    </row>
    <row r="3757" spans="9:38" x14ac:dyDescent="0.4">
      <c r="I3757" s="11"/>
      <c r="J3757" s="9"/>
      <c r="K3757" s="9"/>
      <c r="O3757" s="11"/>
      <c r="P3757" s="9"/>
      <c r="Q3757" s="9"/>
      <c r="R3757" s="9"/>
      <c r="S3757" s="9"/>
      <c r="T3757" s="31"/>
      <c r="W3757" s="16"/>
      <c r="X3757" s="9"/>
      <c r="Y3757" s="9"/>
      <c r="AA3757" s="16"/>
      <c r="AK3757" s="16"/>
      <c r="AL3757" s="17"/>
    </row>
    <row r="3758" spans="9:38" x14ac:dyDescent="0.4">
      <c r="I3758" s="11"/>
      <c r="J3758" s="9"/>
      <c r="K3758" s="9"/>
      <c r="O3758" s="11"/>
      <c r="P3758" s="9"/>
      <c r="Q3758" s="9"/>
      <c r="R3758" s="9"/>
      <c r="S3758" s="9"/>
      <c r="T3758" s="31"/>
      <c r="W3758" s="16"/>
      <c r="X3758" s="9"/>
      <c r="Y3758" s="9"/>
      <c r="AA3758" s="16"/>
      <c r="AK3758" s="16"/>
      <c r="AL3758" s="17"/>
    </row>
    <row r="3759" spans="9:38" x14ac:dyDescent="0.4">
      <c r="I3759" s="11"/>
      <c r="J3759" s="9"/>
      <c r="K3759" s="9"/>
      <c r="O3759" s="11"/>
      <c r="P3759" s="9"/>
      <c r="Q3759" s="9"/>
      <c r="R3759" s="9"/>
      <c r="S3759" s="9"/>
      <c r="T3759" s="31"/>
      <c r="W3759" s="16"/>
      <c r="X3759" s="9"/>
      <c r="Y3759" s="9"/>
      <c r="AA3759" s="16"/>
      <c r="AK3759" s="16"/>
      <c r="AL3759" s="17"/>
    </row>
    <row r="3760" spans="9:38" x14ac:dyDescent="0.4">
      <c r="I3760" s="11"/>
      <c r="J3760" s="9"/>
      <c r="K3760" s="9"/>
      <c r="O3760" s="11"/>
      <c r="P3760" s="9"/>
      <c r="Q3760" s="9"/>
      <c r="R3760" s="9"/>
      <c r="S3760" s="9"/>
      <c r="T3760" s="31"/>
      <c r="W3760" s="16"/>
      <c r="X3760" s="9"/>
      <c r="Y3760" s="9"/>
      <c r="AA3760" s="16"/>
      <c r="AK3760" s="16"/>
      <c r="AL3760" s="17"/>
    </row>
    <row r="3761" spans="9:38" x14ac:dyDescent="0.4">
      <c r="I3761" s="11"/>
      <c r="J3761" s="9"/>
      <c r="K3761" s="9"/>
      <c r="O3761" s="11"/>
      <c r="P3761" s="9"/>
      <c r="Q3761" s="9"/>
      <c r="R3761" s="9"/>
      <c r="S3761" s="9"/>
      <c r="T3761" s="31"/>
      <c r="W3761" s="16"/>
      <c r="X3761" s="9"/>
      <c r="Y3761" s="9"/>
      <c r="AA3761" s="16"/>
      <c r="AK3761" s="16"/>
      <c r="AL3761" s="17"/>
    </row>
    <row r="3762" spans="9:38" x14ac:dyDescent="0.4">
      <c r="I3762" s="11"/>
      <c r="J3762" s="9"/>
      <c r="K3762" s="9"/>
      <c r="O3762" s="11"/>
      <c r="P3762" s="9"/>
      <c r="Q3762" s="9"/>
      <c r="R3762" s="9"/>
      <c r="S3762" s="9"/>
      <c r="T3762" s="31"/>
      <c r="W3762" s="16"/>
      <c r="X3762" s="9"/>
      <c r="Y3762" s="9"/>
      <c r="AA3762" s="16"/>
      <c r="AK3762" s="16"/>
      <c r="AL3762" s="17"/>
    </row>
    <row r="3763" spans="9:38" x14ac:dyDescent="0.4">
      <c r="I3763" s="11"/>
      <c r="J3763" s="9"/>
      <c r="K3763" s="9"/>
      <c r="O3763" s="11"/>
      <c r="P3763" s="9"/>
      <c r="Q3763" s="9"/>
      <c r="R3763" s="9"/>
      <c r="S3763" s="9"/>
      <c r="T3763" s="31"/>
      <c r="W3763" s="16"/>
      <c r="X3763" s="9"/>
      <c r="Y3763" s="9"/>
      <c r="AA3763" s="16"/>
      <c r="AK3763" s="16"/>
      <c r="AL3763" s="17"/>
    </row>
    <row r="3764" spans="9:38" x14ac:dyDescent="0.4">
      <c r="I3764" s="11"/>
      <c r="J3764" s="9"/>
      <c r="K3764" s="9"/>
      <c r="O3764" s="11"/>
      <c r="P3764" s="9"/>
      <c r="Q3764" s="9"/>
      <c r="R3764" s="9"/>
      <c r="S3764" s="9"/>
      <c r="T3764" s="31"/>
      <c r="W3764" s="16"/>
      <c r="X3764" s="9"/>
      <c r="Y3764" s="9"/>
      <c r="AA3764" s="16"/>
      <c r="AK3764" s="16"/>
      <c r="AL3764" s="17"/>
    </row>
    <row r="3765" spans="9:38" x14ac:dyDescent="0.4">
      <c r="I3765" s="11"/>
      <c r="J3765" s="9"/>
      <c r="K3765" s="9"/>
      <c r="O3765" s="11"/>
      <c r="P3765" s="9"/>
      <c r="Q3765" s="9"/>
      <c r="R3765" s="9"/>
      <c r="S3765" s="9"/>
      <c r="T3765" s="31"/>
      <c r="W3765" s="16"/>
      <c r="X3765" s="9"/>
      <c r="Y3765" s="9"/>
      <c r="AA3765" s="16"/>
      <c r="AK3765" s="16"/>
      <c r="AL3765" s="17"/>
    </row>
    <row r="3766" spans="9:38" x14ac:dyDescent="0.4">
      <c r="I3766" s="11"/>
      <c r="J3766" s="9"/>
      <c r="K3766" s="9"/>
      <c r="O3766" s="11"/>
      <c r="P3766" s="9"/>
      <c r="Q3766" s="9"/>
      <c r="R3766" s="9"/>
      <c r="S3766" s="9"/>
      <c r="T3766" s="31"/>
      <c r="W3766" s="16"/>
      <c r="X3766" s="9"/>
      <c r="Y3766" s="9"/>
      <c r="AA3766" s="16"/>
      <c r="AK3766" s="16"/>
      <c r="AL3766" s="17"/>
    </row>
    <row r="3767" spans="9:38" x14ac:dyDescent="0.4">
      <c r="I3767" s="11"/>
      <c r="J3767" s="9"/>
      <c r="K3767" s="9"/>
      <c r="O3767" s="11"/>
      <c r="P3767" s="9"/>
      <c r="Q3767" s="9"/>
      <c r="R3767" s="9"/>
      <c r="S3767" s="9"/>
      <c r="T3767" s="31"/>
      <c r="W3767" s="16"/>
      <c r="X3767" s="9"/>
      <c r="Y3767" s="9"/>
      <c r="AA3767" s="16"/>
      <c r="AK3767" s="16"/>
      <c r="AL3767" s="17"/>
    </row>
    <row r="3768" spans="9:38" x14ac:dyDescent="0.4">
      <c r="I3768" s="11"/>
      <c r="J3768" s="9"/>
      <c r="K3768" s="9"/>
      <c r="O3768" s="11"/>
      <c r="P3768" s="9"/>
      <c r="Q3768" s="9"/>
      <c r="R3768" s="9"/>
      <c r="S3768" s="9"/>
      <c r="T3768" s="31"/>
      <c r="W3768" s="16"/>
      <c r="X3768" s="9"/>
      <c r="Y3768" s="9"/>
      <c r="AA3768" s="16"/>
      <c r="AK3768" s="16"/>
      <c r="AL3768" s="17"/>
    </row>
    <row r="3769" spans="9:38" x14ac:dyDescent="0.4">
      <c r="I3769" s="11"/>
      <c r="J3769" s="9"/>
      <c r="K3769" s="9"/>
      <c r="O3769" s="11"/>
      <c r="P3769" s="9"/>
      <c r="Q3769" s="9"/>
      <c r="R3769" s="9"/>
      <c r="S3769" s="9"/>
      <c r="T3769" s="31"/>
      <c r="W3769" s="16"/>
      <c r="X3769" s="9"/>
      <c r="Y3769" s="9"/>
      <c r="AA3769" s="16"/>
      <c r="AK3769" s="16"/>
      <c r="AL3769" s="17"/>
    </row>
    <row r="3770" spans="9:38" x14ac:dyDescent="0.4">
      <c r="I3770" s="11"/>
      <c r="J3770" s="9"/>
      <c r="K3770" s="9"/>
      <c r="O3770" s="11"/>
      <c r="P3770" s="9"/>
      <c r="Q3770" s="9"/>
      <c r="R3770" s="9"/>
      <c r="S3770" s="9"/>
      <c r="T3770" s="31"/>
      <c r="W3770" s="16"/>
      <c r="X3770" s="9"/>
      <c r="Y3770" s="9"/>
      <c r="AA3770" s="16"/>
      <c r="AK3770" s="16"/>
      <c r="AL3770" s="17"/>
    </row>
    <row r="3771" spans="9:38" x14ac:dyDescent="0.4">
      <c r="I3771" s="11"/>
      <c r="J3771" s="9"/>
      <c r="K3771" s="9"/>
      <c r="O3771" s="11"/>
      <c r="P3771" s="9"/>
      <c r="Q3771" s="9"/>
      <c r="R3771" s="9"/>
      <c r="S3771" s="9"/>
      <c r="T3771" s="31"/>
      <c r="W3771" s="16"/>
      <c r="X3771" s="9"/>
      <c r="Y3771" s="9"/>
      <c r="AA3771" s="16"/>
      <c r="AK3771" s="16"/>
      <c r="AL3771" s="17"/>
    </row>
    <row r="3772" spans="9:38" x14ac:dyDescent="0.4">
      <c r="I3772" s="11"/>
      <c r="J3772" s="9"/>
      <c r="K3772" s="9"/>
      <c r="O3772" s="11"/>
      <c r="P3772" s="9"/>
      <c r="Q3772" s="9"/>
      <c r="R3772" s="9"/>
      <c r="S3772" s="9"/>
      <c r="T3772" s="31"/>
      <c r="W3772" s="16"/>
      <c r="X3772" s="9"/>
      <c r="Y3772" s="9"/>
      <c r="AA3772" s="16"/>
      <c r="AK3772" s="16"/>
      <c r="AL3772" s="17"/>
    </row>
    <row r="3773" spans="9:38" x14ac:dyDescent="0.4">
      <c r="I3773" s="11"/>
      <c r="J3773" s="9"/>
      <c r="K3773" s="9"/>
      <c r="O3773" s="11"/>
      <c r="P3773" s="9"/>
      <c r="Q3773" s="9"/>
      <c r="R3773" s="9"/>
      <c r="S3773" s="9"/>
      <c r="T3773" s="31"/>
      <c r="W3773" s="16"/>
      <c r="X3773" s="9"/>
      <c r="Y3773" s="9"/>
      <c r="AA3773" s="16"/>
      <c r="AK3773" s="16"/>
      <c r="AL3773" s="17"/>
    </row>
    <row r="3774" spans="9:38" x14ac:dyDescent="0.4">
      <c r="I3774" s="11"/>
      <c r="J3774" s="9"/>
      <c r="K3774" s="9"/>
      <c r="O3774" s="11"/>
      <c r="P3774" s="9"/>
      <c r="Q3774" s="9"/>
      <c r="R3774" s="9"/>
      <c r="S3774" s="9"/>
      <c r="T3774" s="31"/>
      <c r="W3774" s="16"/>
      <c r="X3774" s="9"/>
      <c r="Y3774" s="9"/>
      <c r="AA3774" s="16"/>
      <c r="AK3774" s="16"/>
      <c r="AL3774" s="17"/>
    </row>
    <row r="3775" spans="9:38" x14ac:dyDescent="0.4">
      <c r="I3775" s="11"/>
      <c r="J3775" s="9"/>
      <c r="K3775" s="9"/>
      <c r="O3775" s="11"/>
      <c r="P3775" s="9"/>
      <c r="Q3775" s="9"/>
      <c r="R3775" s="9"/>
      <c r="S3775" s="9"/>
      <c r="T3775" s="31"/>
      <c r="W3775" s="16"/>
      <c r="X3775" s="9"/>
      <c r="Y3775" s="9"/>
      <c r="AA3775" s="16"/>
      <c r="AK3775" s="16"/>
      <c r="AL3775" s="17"/>
    </row>
    <row r="3776" spans="9:38" x14ac:dyDescent="0.4">
      <c r="I3776" s="11"/>
      <c r="J3776" s="9"/>
      <c r="K3776" s="9"/>
      <c r="O3776" s="11"/>
      <c r="P3776" s="9"/>
      <c r="Q3776" s="9"/>
      <c r="R3776" s="9"/>
      <c r="S3776" s="9"/>
      <c r="T3776" s="31"/>
      <c r="W3776" s="16"/>
      <c r="X3776" s="9"/>
      <c r="Y3776" s="9"/>
      <c r="AA3776" s="16"/>
      <c r="AK3776" s="16"/>
      <c r="AL3776" s="17"/>
    </row>
    <row r="3777" spans="9:38" x14ac:dyDescent="0.4">
      <c r="I3777" s="11"/>
      <c r="J3777" s="9"/>
      <c r="K3777" s="9"/>
      <c r="O3777" s="11"/>
      <c r="P3777" s="9"/>
      <c r="Q3777" s="9"/>
      <c r="R3777" s="9"/>
      <c r="S3777" s="9"/>
      <c r="T3777" s="31"/>
      <c r="W3777" s="16"/>
      <c r="X3777" s="9"/>
      <c r="Y3777" s="9"/>
      <c r="AA3777" s="16"/>
      <c r="AK3777" s="16"/>
      <c r="AL3777" s="17"/>
    </row>
    <row r="3778" spans="9:38" x14ac:dyDescent="0.4">
      <c r="I3778" s="11"/>
      <c r="J3778" s="9"/>
      <c r="K3778" s="9"/>
      <c r="O3778" s="11"/>
      <c r="P3778" s="9"/>
      <c r="Q3778" s="9"/>
      <c r="R3778" s="9"/>
      <c r="S3778" s="9"/>
      <c r="T3778" s="31"/>
      <c r="W3778" s="16"/>
      <c r="X3778" s="9"/>
      <c r="Y3778" s="9"/>
      <c r="AA3778" s="16"/>
      <c r="AK3778" s="16"/>
      <c r="AL3778" s="17"/>
    </row>
    <row r="3779" spans="9:38" x14ac:dyDescent="0.4">
      <c r="I3779" s="11"/>
      <c r="J3779" s="9"/>
      <c r="K3779" s="9"/>
      <c r="O3779" s="11"/>
      <c r="P3779" s="9"/>
      <c r="Q3779" s="9"/>
      <c r="R3779" s="9"/>
      <c r="S3779" s="9"/>
      <c r="T3779" s="31"/>
      <c r="W3779" s="16"/>
      <c r="X3779" s="9"/>
      <c r="Y3779" s="9"/>
      <c r="AA3779" s="16"/>
      <c r="AK3779" s="16"/>
      <c r="AL3779" s="17"/>
    </row>
    <row r="3780" spans="9:38" x14ac:dyDescent="0.4">
      <c r="I3780" s="11"/>
      <c r="J3780" s="9"/>
      <c r="K3780" s="9"/>
      <c r="O3780" s="11"/>
      <c r="P3780" s="9"/>
      <c r="Q3780" s="9"/>
      <c r="R3780" s="9"/>
      <c r="S3780" s="9"/>
      <c r="T3780" s="31"/>
      <c r="W3780" s="16"/>
      <c r="X3780" s="9"/>
      <c r="Y3780" s="9"/>
      <c r="AA3780" s="16"/>
      <c r="AK3780" s="16"/>
      <c r="AL3780" s="17"/>
    </row>
    <row r="3781" spans="9:38" x14ac:dyDescent="0.4">
      <c r="I3781" s="11"/>
      <c r="J3781" s="9"/>
      <c r="K3781" s="9"/>
      <c r="O3781" s="11"/>
      <c r="P3781" s="9"/>
      <c r="Q3781" s="9"/>
      <c r="R3781" s="9"/>
      <c r="S3781" s="9"/>
      <c r="T3781" s="31"/>
      <c r="W3781" s="16"/>
      <c r="X3781" s="9"/>
      <c r="Y3781" s="9"/>
      <c r="AA3781" s="16"/>
      <c r="AK3781" s="16"/>
      <c r="AL3781" s="17"/>
    </row>
    <row r="3782" spans="9:38" x14ac:dyDescent="0.4">
      <c r="I3782" s="11"/>
      <c r="J3782" s="9"/>
      <c r="K3782" s="9"/>
      <c r="O3782" s="11"/>
      <c r="P3782" s="9"/>
      <c r="Q3782" s="9"/>
      <c r="R3782" s="9"/>
      <c r="S3782" s="9"/>
      <c r="T3782" s="31"/>
      <c r="W3782" s="16"/>
      <c r="X3782" s="9"/>
      <c r="Y3782" s="9"/>
      <c r="AA3782" s="16"/>
      <c r="AK3782" s="16"/>
      <c r="AL3782" s="17"/>
    </row>
    <row r="3783" spans="9:38" x14ac:dyDescent="0.4">
      <c r="I3783" s="11"/>
      <c r="J3783" s="9"/>
      <c r="K3783" s="9"/>
      <c r="O3783" s="11"/>
      <c r="P3783" s="9"/>
      <c r="Q3783" s="9"/>
      <c r="R3783" s="9"/>
      <c r="S3783" s="9"/>
      <c r="T3783" s="31"/>
      <c r="W3783" s="16"/>
      <c r="X3783" s="9"/>
      <c r="Y3783" s="9"/>
      <c r="AA3783" s="16"/>
      <c r="AK3783" s="16"/>
      <c r="AL3783" s="17"/>
    </row>
    <row r="3784" spans="9:38" x14ac:dyDescent="0.4">
      <c r="I3784" s="11"/>
      <c r="J3784" s="9"/>
      <c r="K3784" s="9"/>
      <c r="O3784" s="11"/>
      <c r="P3784" s="9"/>
      <c r="Q3784" s="9"/>
      <c r="R3784" s="9"/>
      <c r="S3784" s="9"/>
      <c r="T3784" s="31"/>
      <c r="W3784" s="16"/>
      <c r="X3784" s="9"/>
      <c r="Y3784" s="9"/>
      <c r="AA3784" s="16"/>
      <c r="AK3784" s="16"/>
      <c r="AL3784" s="17"/>
    </row>
    <row r="3785" spans="9:38" x14ac:dyDescent="0.4">
      <c r="I3785" s="11"/>
      <c r="J3785" s="9"/>
      <c r="K3785" s="9"/>
      <c r="O3785" s="11"/>
      <c r="P3785" s="9"/>
      <c r="Q3785" s="9"/>
      <c r="R3785" s="9"/>
      <c r="S3785" s="9"/>
      <c r="T3785" s="31"/>
      <c r="W3785" s="16"/>
      <c r="X3785" s="9"/>
      <c r="Y3785" s="9"/>
      <c r="AA3785" s="16"/>
      <c r="AK3785" s="16"/>
      <c r="AL3785" s="17"/>
    </row>
    <row r="3786" spans="9:38" x14ac:dyDescent="0.4">
      <c r="I3786" s="11"/>
      <c r="J3786" s="9"/>
      <c r="K3786" s="9"/>
      <c r="O3786" s="11"/>
      <c r="P3786" s="9"/>
      <c r="Q3786" s="9"/>
      <c r="R3786" s="9"/>
      <c r="S3786" s="9"/>
      <c r="T3786" s="31"/>
      <c r="W3786" s="16"/>
      <c r="X3786" s="9"/>
      <c r="Y3786" s="9"/>
      <c r="AA3786" s="16"/>
      <c r="AK3786" s="16"/>
      <c r="AL3786" s="17"/>
    </row>
    <row r="3787" spans="9:38" x14ac:dyDescent="0.4">
      <c r="I3787" s="11"/>
      <c r="J3787" s="9"/>
      <c r="K3787" s="9"/>
      <c r="O3787" s="11"/>
      <c r="P3787" s="9"/>
      <c r="Q3787" s="9"/>
      <c r="R3787" s="9"/>
      <c r="S3787" s="9"/>
      <c r="T3787" s="31"/>
      <c r="W3787" s="16"/>
      <c r="X3787" s="9"/>
      <c r="Y3787" s="9"/>
      <c r="AA3787" s="16"/>
      <c r="AK3787" s="16"/>
      <c r="AL3787" s="17"/>
    </row>
    <row r="3788" spans="9:38" x14ac:dyDescent="0.4">
      <c r="I3788" s="11"/>
      <c r="J3788" s="9"/>
      <c r="K3788" s="9"/>
      <c r="O3788" s="11"/>
      <c r="P3788" s="9"/>
      <c r="Q3788" s="9"/>
      <c r="R3788" s="9"/>
      <c r="S3788" s="9"/>
      <c r="T3788" s="31"/>
      <c r="W3788" s="16"/>
      <c r="X3788" s="9"/>
      <c r="Y3788" s="9"/>
      <c r="AA3788" s="16"/>
      <c r="AK3788" s="16"/>
      <c r="AL3788" s="17"/>
    </row>
    <row r="3789" spans="9:38" x14ac:dyDescent="0.4">
      <c r="I3789" s="11"/>
      <c r="J3789" s="9"/>
      <c r="K3789" s="9"/>
      <c r="O3789" s="11"/>
      <c r="P3789" s="9"/>
      <c r="Q3789" s="9"/>
      <c r="R3789" s="9"/>
      <c r="S3789" s="9"/>
      <c r="T3789" s="31"/>
      <c r="W3789" s="16"/>
      <c r="X3789" s="9"/>
      <c r="Y3789" s="9"/>
      <c r="AA3789" s="16"/>
      <c r="AK3789" s="16"/>
      <c r="AL3789" s="17"/>
    </row>
    <row r="3790" spans="9:38" x14ac:dyDescent="0.4">
      <c r="I3790" s="11"/>
      <c r="J3790" s="9"/>
      <c r="K3790" s="9"/>
      <c r="O3790" s="11"/>
      <c r="P3790" s="9"/>
      <c r="Q3790" s="9"/>
      <c r="R3790" s="9"/>
      <c r="S3790" s="9"/>
      <c r="T3790" s="31"/>
      <c r="W3790" s="16"/>
      <c r="X3790" s="9"/>
      <c r="Y3790" s="9"/>
      <c r="AA3790" s="16"/>
      <c r="AK3790" s="16"/>
      <c r="AL3790" s="17"/>
    </row>
    <row r="3791" spans="9:38" x14ac:dyDescent="0.4">
      <c r="I3791" s="11"/>
      <c r="J3791" s="9"/>
      <c r="K3791" s="9"/>
      <c r="O3791" s="11"/>
      <c r="P3791" s="9"/>
      <c r="Q3791" s="9"/>
      <c r="R3791" s="9"/>
      <c r="S3791" s="9"/>
      <c r="T3791" s="31"/>
      <c r="W3791" s="16"/>
      <c r="X3791" s="9"/>
      <c r="Y3791" s="9"/>
      <c r="AA3791" s="16"/>
      <c r="AK3791" s="16"/>
      <c r="AL3791" s="17"/>
    </row>
    <row r="3792" spans="9:38" x14ac:dyDescent="0.4">
      <c r="I3792" s="11"/>
      <c r="J3792" s="9"/>
      <c r="K3792" s="9"/>
      <c r="O3792" s="11"/>
      <c r="P3792" s="9"/>
      <c r="Q3792" s="9"/>
      <c r="R3792" s="9"/>
      <c r="S3792" s="9"/>
      <c r="T3792" s="31"/>
      <c r="W3792" s="16"/>
      <c r="X3792" s="9"/>
      <c r="Y3792" s="9"/>
      <c r="AA3792" s="16"/>
      <c r="AK3792" s="16"/>
      <c r="AL3792" s="17"/>
    </row>
    <row r="3793" spans="9:38" x14ac:dyDescent="0.4">
      <c r="I3793" s="11"/>
      <c r="J3793" s="9"/>
      <c r="K3793" s="9"/>
      <c r="O3793" s="11"/>
      <c r="P3793" s="9"/>
      <c r="Q3793" s="9"/>
      <c r="R3793" s="9"/>
      <c r="S3793" s="9"/>
      <c r="T3793" s="31"/>
      <c r="W3793" s="16"/>
      <c r="X3793" s="9"/>
      <c r="Y3793" s="9"/>
      <c r="AA3793" s="16"/>
      <c r="AK3793" s="16"/>
      <c r="AL3793" s="17"/>
    </row>
    <row r="3794" spans="9:38" x14ac:dyDescent="0.4">
      <c r="I3794" s="11"/>
      <c r="J3794" s="9"/>
      <c r="K3794" s="9"/>
      <c r="O3794" s="11"/>
      <c r="P3794" s="9"/>
      <c r="Q3794" s="9"/>
      <c r="R3794" s="9"/>
      <c r="S3794" s="9"/>
      <c r="T3794" s="31"/>
      <c r="W3794" s="16"/>
      <c r="X3794" s="9"/>
      <c r="Y3794" s="9"/>
      <c r="AA3794" s="16"/>
      <c r="AK3794" s="16"/>
      <c r="AL3794" s="17"/>
    </row>
    <row r="3795" spans="9:38" x14ac:dyDescent="0.4">
      <c r="I3795" s="11"/>
      <c r="J3795" s="9"/>
      <c r="K3795" s="9"/>
      <c r="O3795" s="11"/>
      <c r="P3795" s="9"/>
      <c r="Q3795" s="9"/>
      <c r="R3795" s="9"/>
      <c r="S3795" s="9"/>
      <c r="T3795" s="31"/>
      <c r="W3795" s="16"/>
      <c r="X3795" s="9"/>
      <c r="Y3795" s="9"/>
      <c r="AA3795" s="16"/>
      <c r="AK3795" s="16"/>
      <c r="AL3795" s="17"/>
    </row>
    <row r="3796" spans="9:38" x14ac:dyDescent="0.4">
      <c r="I3796" s="11"/>
      <c r="J3796" s="9"/>
      <c r="K3796" s="9"/>
      <c r="O3796" s="11"/>
      <c r="P3796" s="9"/>
      <c r="Q3796" s="9"/>
      <c r="R3796" s="9"/>
      <c r="S3796" s="9"/>
      <c r="T3796" s="31"/>
      <c r="W3796" s="16"/>
      <c r="X3796" s="9"/>
      <c r="Y3796" s="9"/>
      <c r="AA3796" s="16"/>
      <c r="AK3796" s="16"/>
      <c r="AL3796" s="17"/>
    </row>
    <row r="3797" spans="9:38" x14ac:dyDescent="0.4">
      <c r="I3797" s="11"/>
      <c r="J3797" s="9"/>
      <c r="K3797" s="9"/>
      <c r="O3797" s="11"/>
      <c r="P3797" s="9"/>
      <c r="Q3797" s="9"/>
      <c r="R3797" s="9"/>
      <c r="S3797" s="9"/>
      <c r="T3797" s="31"/>
      <c r="W3797" s="16"/>
      <c r="X3797" s="9"/>
      <c r="Y3797" s="9"/>
      <c r="AA3797" s="16"/>
      <c r="AK3797" s="16"/>
      <c r="AL3797" s="17"/>
    </row>
    <row r="3798" spans="9:38" x14ac:dyDescent="0.4">
      <c r="I3798" s="11"/>
      <c r="J3798" s="9"/>
      <c r="K3798" s="9"/>
      <c r="O3798" s="11"/>
      <c r="P3798" s="9"/>
      <c r="Q3798" s="9"/>
      <c r="R3798" s="9"/>
      <c r="S3798" s="9"/>
      <c r="T3798" s="31"/>
      <c r="W3798" s="16"/>
      <c r="X3798" s="9"/>
      <c r="Y3798" s="9"/>
      <c r="AA3798" s="16"/>
      <c r="AK3798" s="16"/>
      <c r="AL3798" s="17"/>
    </row>
    <row r="3799" spans="9:38" x14ac:dyDescent="0.4">
      <c r="I3799" s="11"/>
      <c r="J3799" s="9"/>
      <c r="K3799" s="9"/>
      <c r="O3799" s="11"/>
      <c r="P3799" s="9"/>
      <c r="Q3799" s="9"/>
      <c r="R3799" s="9"/>
      <c r="S3799" s="9"/>
      <c r="T3799" s="31"/>
      <c r="W3799" s="16"/>
      <c r="X3799" s="9"/>
      <c r="Y3799" s="9"/>
      <c r="AA3799" s="16"/>
      <c r="AK3799" s="16"/>
      <c r="AL3799" s="17"/>
    </row>
    <row r="3800" spans="9:38" x14ac:dyDescent="0.4">
      <c r="I3800" s="11"/>
      <c r="J3800" s="9"/>
      <c r="K3800" s="9"/>
      <c r="O3800" s="11"/>
      <c r="P3800" s="9"/>
      <c r="Q3800" s="9"/>
      <c r="R3800" s="9"/>
      <c r="S3800" s="9"/>
      <c r="T3800" s="31"/>
      <c r="W3800" s="16"/>
      <c r="X3800" s="9"/>
      <c r="Y3800" s="9"/>
      <c r="AA3800" s="16"/>
      <c r="AK3800" s="16"/>
      <c r="AL3800" s="17"/>
    </row>
    <row r="3801" spans="9:38" x14ac:dyDescent="0.4">
      <c r="I3801" s="11"/>
      <c r="J3801" s="9"/>
      <c r="K3801" s="9"/>
      <c r="O3801" s="11"/>
      <c r="P3801" s="9"/>
      <c r="Q3801" s="9"/>
      <c r="R3801" s="9"/>
      <c r="S3801" s="9"/>
      <c r="T3801" s="31"/>
      <c r="W3801" s="16"/>
      <c r="X3801" s="9"/>
      <c r="Y3801" s="9"/>
      <c r="AA3801" s="16"/>
      <c r="AK3801" s="16"/>
      <c r="AL3801" s="17"/>
    </row>
    <row r="3802" spans="9:38" x14ac:dyDescent="0.4">
      <c r="I3802" s="11"/>
      <c r="J3802" s="9"/>
      <c r="K3802" s="9"/>
      <c r="O3802" s="11"/>
      <c r="P3802" s="9"/>
      <c r="Q3802" s="9"/>
      <c r="R3802" s="9"/>
      <c r="S3802" s="9"/>
      <c r="T3802" s="31"/>
      <c r="W3802" s="16"/>
      <c r="X3802" s="9"/>
      <c r="Y3802" s="9"/>
      <c r="AA3802" s="16"/>
      <c r="AK3802" s="16"/>
      <c r="AL3802" s="17"/>
    </row>
    <row r="3803" spans="9:38" x14ac:dyDescent="0.4">
      <c r="I3803" s="11"/>
      <c r="J3803" s="9"/>
      <c r="K3803" s="9"/>
      <c r="O3803" s="11"/>
      <c r="P3803" s="9"/>
      <c r="Q3803" s="9"/>
      <c r="R3803" s="9"/>
      <c r="S3803" s="9"/>
      <c r="T3803" s="31"/>
      <c r="W3803" s="16"/>
      <c r="X3803" s="9"/>
      <c r="Y3803" s="9"/>
      <c r="AA3803" s="16"/>
      <c r="AK3803" s="16"/>
      <c r="AL3803" s="17"/>
    </row>
    <row r="3804" spans="9:38" x14ac:dyDescent="0.4">
      <c r="I3804" s="11"/>
      <c r="J3804" s="9"/>
      <c r="K3804" s="9"/>
      <c r="O3804" s="11"/>
      <c r="P3804" s="9"/>
      <c r="Q3804" s="9"/>
      <c r="R3804" s="9"/>
      <c r="S3804" s="9"/>
      <c r="T3804" s="31"/>
      <c r="W3804" s="16"/>
      <c r="X3804" s="9"/>
      <c r="Y3804" s="9"/>
      <c r="AA3804" s="16"/>
      <c r="AK3804" s="16"/>
      <c r="AL3804" s="17"/>
    </row>
    <row r="3805" spans="9:38" x14ac:dyDescent="0.4">
      <c r="I3805" s="11"/>
      <c r="J3805" s="9"/>
      <c r="K3805" s="9"/>
      <c r="O3805" s="11"/>
      <c r="P3805" s="9"/>
      <c r="Q3805" s="9"/>
      <c r="R3805" s="9"/>
      <c r="S3805" s="9"/>
      <c r="T3805" s="31"/>
      <c r="W3805" s="16"/>
      <c r="X3805" s="9"/>
      <c r="Y3805" s="9"/>
      <c r="AA3805" s="16"/>
      <c r="AK3805" s="16"/>
      <c r="AL3805" s="17"/>
    </row>
    <row r="3806" spans="9:38" x14ac:dyDescent="0.4">
      <c r="I3806" s="11"/>
      <c r="J3806" s="9"/>
      <c r="K3806" s="9"/>
      <c r="O3806" s="11"/>
      <c r="P3806" s="9"/>
      <c r="Q3806" s="9"/>
      <c r="R3806" s="9"/>
      <c r="S3806" s="9"/>
      <c r="T3806" s="31"/>
      <c r="W3806" s="16"/>
      <c r="X3806" s="9"/>
      <c r="Y3806" s="9"/>
      <c r="AA3806" s="16"/>
      <c r="AK3806" s="16"/>
      <c r="AL3806" s="17"/>
    </row>
    <row r="3807" spans="9:38" x14ac:dyDescent="0.4">
      <c r="I3807" s="11"/>
      <c r="J3807" s="9"/>
      <c r="K3807" s="9"/>
      <c r="O3807" s="11"/>
      <c r="P3807" s="9"/>
      <c r="Q3807" s="9"/>
      <c r="R3807" s="9"/>
      <c r="S3807" s="9"/>
      <c r="T3807" s="31"/>
      <c r="W3807" s="16"/>
      <c r="X3807" s="9"/>
      <c r="Y3807" s="9"/>
      <c r="AA3807" s="16"/>
      <c r="AK3807" s="16"/>
      <c r="AL3807" s="17"/>
    </row>
    <row r="3808" spans="9:38" x14ac:dyDescent="0.4">
      <c r="I3808" s="11"/>
      <c r="J3808" s="9"/>
      <c r="K3808" s="9"/>
      <c r="O3808" s="11"/>
      <c r="P3808" s="9"/>
      <c r="Q3808" s="9"/>
      <c r="R3808" s="9"/>
      <c r="S3808" s="9"/>
      <c r="T3808" s="31"/>
      <c r="W3808" s="16"/>
      <c r="X3808" s="9"/>
      <c r="Y3808" s="9"/>
      <c r="AA3808" s="16"/>
      <c r="AK3808" s="16"/>
      <c r="AL3808" s="17"/>
    </row>
    <row r="3809" spans="9:38" x14ac:dyDescent="0.4">
      <c r="I3809" s="11"/>
      <c r="J3809" s="9"/>
      <c r="K3809" s="9"/>
      <c r="O3809" s="11"/>
      <c r="P3809" s="9"/>
      <c r="Q3809" s="9"/>
      <c r="R3809" s="9"/>
      <c r="S3809" s="9"/>
      <c r="T3809" s="31"/>
      <c r="W3809" s="16"/>
      <c r="X3809" s="9"/>
      <c r="Y3809" s="9"/>
      <c r="AA3809" s="16"/>
      <c r="AK3809" s="16"/>
      <c r="AL3809" s="17"/>
    </row>
    <row r="3810" spans="9:38" x14ac:dyDescent="0.4">
      <c r="I3810" s="11"/>
      <c r="J3810" s="9"/>
      <c r="K3810" s="9"/>
      <c r="O3810" s="11"/>
      <c r="P3810" s="9"/>
      <c r="Q3810" s="9"/>
      <c r="R3810" s="9"/>
      <c r="S3810" s="9"/>
      <c r="T3810" s="31"/>
      <c r="W3810" s="16"/>
      <c r="X3810" s="9"/>
      <c r="Y3810" s="9"/>
      <c r="AA3810" s="16"/>
      <c r="AK3810" s="16"/>
      <c r="AL3810" s="17"/>
    </row>
    <row r="3811" spans="9:38" x14ac:dyDescent="0.4">
      <c r="I3811" s="11"/>
      <c r="J3811" s="9"/>
      <c r="K3811" s="9"/>
      <c r="O3811" s="11"/>
      <c r="P3811" s="9"/>
      <c r="Q3811" s="9"/>
      <c r="R3811" s="9"/>
      <c r="S3811" s="9"/>
      <c r="T3811" s="31"/>
      <c r="W3811" s="16"/>
      <c r="X3811" s="9"/>
      <c r="Y3811" s="9"/>
      <c r="AA3811" s="16"/>
      <c r="AK3811" s="16"/>
      <c r="AL3811" s="17"/>
    </row>
    <row r="3812" spans="9:38" x14ac:dyDescent="0.4">
      <c r="I3812" s="11"/>
      <c r="J3812" s="9"/>
      <c r="K3812" s="9"/>
      <c r="O3812" s="11"/>
      <c r="P3812" s="9"/>
      <c r="Q3812" s="9"/>
      <c r="R3812" s="9"/>
      <c r="S3812" s="9"/>
      <c r="T3812" s="31"/>
      <c r="W3812" s="16"/>
      <c r="X3812" s="9"/>
      <c r="Y3812" s="9"/>
      <c r="AA3812" s="16"/>
      <c r="AK3812" s="16"/>
      <c r="AL3812" s="17"/>
    </row>
    <row r="3813" spans="9:38" x14ac:dyDescent="0.4">
      <c r="I3813" s="11"/>
      <c r="J3813" s="9"/>
      <c r="K3813" s="9"/>
      <c r="O3813" s="11"/>
      <c r="P3813" s="9"/>
      <c r="Q3813" s="9"/>
      <c r="R3813" s="9"/>
      <c r="S3813" s="9"/>
      <c r="T3813" s="31"/>
      <c r="W3813" s="16"/>
      <c r="X3813" s="9"/>
      <c r="Y3813" s="9"/>
      <c r="AA3813" s="16"/>
      <c r="AK3813" s="16"/>
      <c r="AL3813" s="17"/>
    </row>
    <row r="3814" spans="9:38" x14ac:dyDescent="0.4">
      <c r="I3814" s="11"/>
      <c r="J3814" s="9"/>
      <c r="K3814" s="9"/>
      <c r="O3814" s="11"/>
      <c r="P3814" s="9"/>
      <c r="Q3814" s="9"/>
      <c r="R3814" s="9"/>
      <c r="S3814" s="9"/>
      <c r="T3814" s="31"/>
      <c r="W3814" s="16"/>
      <c r="X3814" s="9"/>
      <c r="Y3814" s="9"/>
      <c r="AA3814" s="16"/>
      <c r="AK3814" s="16"/>
      <c r="AL3814" s="17"/>
    </row>
    <row r="3815" spans="9:38" x14ac:dyDescent="0.4">
      <c r="I3815" s="11"/>
      <c r="J3815" s="9"/>
      <c r="K3815" s="9"/>
      <c r="O3815" s="11"/>
      <c r="P3815" s="9"/>
      <c r="Q3815" s="9"/>
      <c r="R3815" s="9"/>
      <c r="S3815" s="9"/>
      <c r="T3815" s="31"/>
      <c r="W3815" s="16"/>
      <c r="X3815" s="9"/>
      <c r="Y3815" s="9"/>
      <c r="AA3815" s="16"/>
      <c r="AK3815" s="16"/>
      <c r="AL3815" s="17"/>
    </row>
    <row r="3816" spans="9:38" x14ac:dyDescent="0.4">
      <c r="I3816" s="11"/>
      <c r="J3816" s="9"/>
      <c r="K3816" s="9"/>
      <c r="O3816" s="11"/>
      <c r="P3816" s="9"/>
      <c r="Q3816" s="9"/>
      <c r="R3816" s="9"/>
      <c r="S3816" s="9"/>
      <c r="T3816" s="31"/>
      <c r="W3816" s="16"/>
      <c r="X3816" s="9"/>
      <c r="Y3816" s="9"/>
      <c r="AA3816" s="16"/>
      <c r="AK3816" s="16"/>
      <c r="AL3816" s="17"/>
    </row>
    <row r="3817" spans="9:38" x14ac:dyDescent="0.4">
      <c r="I3817" s="11"/>
      <c r="J3817" s="9"/>
      <c r="K3817" s="9"/>
      <c r="O3817" s="11"/>
      <c r="P3817" s="9"/>
      <c r="Q3817" s="9"/>
      <c r="R3817" s="9"/>
      <c r="S3817" s="9"/>
      <c r="T3817" s="31"/>
      <c r="W3817" s="16"/>
      <c r="X3817" s="9"/>
      <c r="Y3817" s="9"/>
      <c r="AA3817" s="16"/>
      <c r="AK3817" s="16"/>
      <c r="AL3817" s="17"/>
    </row>
    <row r="3818" spans="9:38" x14ac:dyDescent="0.4">
      <c r="I3818" s="11"/>
      <c r="J3818" s="9"/>
      <c r="K3818" s="9"/>
      <c r="O3818" s="11"/>
      <c r="P3818" s="9"/>
      <c r="Q3818" s="9"/>
      <c r="R3818" s="9"/>
      <c r="S3818" s="9"/>
      <c r="T3818" s="31"/>
      <c r="W3818" s="16"/>
      <c r="X3818" s="9"/>
      <c r="Y3818" s="9"/>
      <c r="AA3818" s="16"/>
      <c r="AK3818" s="16"/>
      <c r="AL3818" s="17"/>
    </row>
    <row r="3819" spans="9:38" x14ac:dyDescent="0.4">
      <c r="I3819" s="11"/>
      <c r="J3819" s="9"/>
      <c r="K3819" s="9"/>
      <c r="O3819" s="11"/>
      <c r="P3819" s="9"/>
      <c r="Q3819" s="9"/>
      <c r="R3819" s="9"/>
      <c r="S3819" s="9"/>
      <c r="T3819" s="31"/>
      <c r="W3819" s="16"/>
      <c r="X3819" s="9"/>
      <c r="Y3819" s="9"/>
      <c r="AA3819" s="16"/>
      <c r="AK3819" s="16"/>
      <c r="AL3819" s="17"/>
    </row>
    <row r="3820" spans="9:38" x14ac:dyDescent="0.4">
      <c r="I3820" s="11"/>
      <c r="J3820" s="9"/>
      <c r="K3820" s="9"/>
      <c r="O3820" s="11"/>
      <c r="P3820" s="9"/>
      <c r="Q3820" s="9"/>
      <c r="R3820" s="9"/>
      <c r="S3820" s="9"/>
      <c r="T3820" s="31"/>
      <c r="W3820" s="16"/>
      <c r="X3820" s="9"/>
      <c r="Y3820" s="9"/>
      <c r="AA3820" s="16"/>
      <c r="AK3820" s="16"/>
      <c r="AL3820" s="17"/>
    </row>
    <row r="3821" spans="9:38" x14ac:dyDescent="0.4">
      <c r="I3821" s="11"/>
      <c r="J3821" s="9"/>
      <c r="K3821" s="9"/>
      <c r="O3821" s="11"/>
      <c r="P3821" s="9"/>
      <c r="Q3821" s="9"/>
      <c r="R3821" s="9"/>
      <c r="S3821" s="9"/>
      <c r="T3821" s="31"/>
      <c r="W3821" s="16"/>
      <c r="X3821" s="9"/>
      <c r="Y3821" s="9"/>
      <c r="AA3821" s="16"/>
      <c r="AK3821" s="16"/>
      <c r="AL3821" s="17"/>
    </row>
    <row r="3822" spans="9:38" x14ac:dyDescent="0.4">
      <c r="I3822" s="11"/>
      <c r="J3822" s="9"/>
      <c r="K3822" s="9"/>
      <c r="O3822" s="11"/>
      <c r="P3822" s="9"/>
      <c r="Q3822" s="9"/>
      <c r="R3822" s="9"/>
      <c r="S3822" s="9"/>
      <c r="T3822" s="31"/>
      <c r="W3822" s="16"/>
      <c r="X3822" s="9"/>
      <c r="Y3822" s="9"/>
      <c r="AA3822" s="16"/>
      <c r="AK3822" s="16"/>
      <c r="AL3822" s="17"/>
    </row>
    <row r="3823" spans="9:38" x14ac:dyDescent="0.4">
      <c r="I3823" s="11"/>
      <c r="J3823" s="9"/>
      <c r="K3823" s="9"/>
      <c r="O3823" s="11"/>
      <c r="P3823" s="9"/>
      <c r="Q3823" s="9"/>
      <c r="R3823" s="9"/>
      <c r="S3823" s="9"/>
      <c r="T3823" s="31"/>
      <c r="W3823" s="16"/>
      <c r="X3823" s="9"/>
      <c r="Y3823" s="9"/>
      <c r="AA3823" s="16"/>
      <c r="AK3823" s="16"/>
      <c r="AL3823" s="17"/>
    </row>
    <row r="3824" spans="9:38" x14ac:dyDescent="0.4">
      <c r="I3824" s="11"/>
      <c r="J3824" s="9"/>
      <c r="K3824" s="9"/>
      <c r="O3824" s="11"/>
      <c r="P3824" s="9"/>
      <c r="Q3824" s="9"/>
      <c r="R3824" s="9"/>
      <c r="S3824" s="9"/>
      <c r="T3824" s="31"/>
      <c r="W3824" s="16"/>
      <c r="X3824" s="9"/>
      <c r="Y3824" s="9"/>
      <c r="AA3824" s="16"/>
      <c r="AK3824" s="16"/>
      <c r="AL3824" s="17"/>
    </row>
    <row r="3825" spans="9:38" x14ac:dyDescent="0.4">
      <c r="I3825" s="11"/>
      <c r="J3825" s="9"/>
      <c r="K3825" s="9"/>
      <c r="O3825" s="11"/>
      <c r="P3825" s="9"/>
      <c r="Q3825" s="9"/>
      <c r="R3825" s="9"/>
      <c r="S3825" s="9"/>
      <c r="T3825" s="31"/>
      <c r="W3825" s="16"/>
      <c r="X3825" s="9"/>
      <c r="Y3825" s="9"/>
      <c r="AA3825" s="16"/>
      <c r="AK3825" s="16"/>
      <c r="AL3825" s="17"/>
    </row>
    <row r="3826" spans="9:38" x14ac:dyDescent="0.4">
      <c r="I3826" s="11"/>
      <c r="J3826" s="9"/>
      <c r="K3826" s="9"/>
      <c r="O3826" s="11"/>
      <c r="P3826" s="9"/>
      <c r="Q3826" s="9"/>
      <c r="R3826" s="9"/>
      <c r="S3826" s="9"/>
      <c r="T3826" s="31"/>
      <c r="W3826" s="16"/>
      <c r="X3826" s="9"/>
      <c r="Y3826" s="9"/>
      <c r="AA3826" s="16"/>
      <c r="AK3826" s="16"/>
      <c r="AL3826" s="17"/>
    </row>
    <row r="3827" spans="9:38" x14ac:dyDescent="0.4">
      <c r="I3827" s="11"/>
      <c r="J3827" s="9"/>
      <c r="K3827" s="9"/>
      <c r="O3827" s="11"/>
      <c r="P3827" s="9"/>
      <c r="Q3827" s="9"/>
      <c r="R3827" s="9"/>
      <c r="S3827" s="9"/>
      <c r="T3827" s="31"/>
      <c r="W3827" s="16"/>
      <c r="X3827" s="9"/>
      <c r="Y3827" s="9"/>
      <c r="AA3827" s="16"/>
      <c r="AK3827" s="16"/>
      <c r="AL3827" s="17"/>
    </row>
    <row r="3828" spans="9:38" x14ac:dyDescent="0.4">
      <c r="I3828" s="11"/>
      <c r="J3828" s="9"/>
      <c r="K3828" s="9"/>
      <c r="O3828" s="11"/>
      <c r="P3828" s="9"/>
      <c r="Q3828" s="9"/>
      <c r="R3828" s="9"/>
      <c r="S3828" s="9"/>
      <c r="T3828" s="31"/>
      <c r="W3828" s="16"/>
      <c r="X3828" s="9"/>
      <c r="Y3828" s="9"/>
      <c r="AA3828" s="16"/>
      <c r="AK3828" s="16"/>
      <c r="AL3828" s="17"/>
    </row>
    <row r="3829" spans="9:38" x14ac:dyDescent="0.4">
      <c r="I3829" s="11"/>
      <c r="J3829" s="9"/>
      <c r="K3829" s="9"/>
      <c r="O3829" s="11"/>
      <c r="P3829" s="9"/>
      <c r="Q3829" s="9"/>
      <c r="R3829" s="9"/>
      <c r="S3829" s="9"/>
      <c r="T3829" s="31"/>
      <c r="W3829" s="16"/>
      <c r="X3829" s="9"/>
      <c r="Y3829" s="9"/>
      <c r="AA3829" s="16"/>
      <c r="AK3829" s="16"/>
      <c r="AL3829" s="17"/>
    </row>
    <row r="3830" spans="9:38" x14ac:dyDescent="0.4">
      <c r="I3830" s="11"/>
      <c r="J3830" s="9"/>
      <c r="K3830" s="9"/>
      <c r="O3830" s="11"/>
      <c r="P3830" s="9"/>
      <c r="Q3830" s="9"/>
      <c r="R3830" s="9"/>
      <c r="S3830" s="9"/>
      <c r="T3830" s="31"/>
      <c r="W3830" s="16"/>
      <c r="X3830" s="9"/>
      <c r="Y3830" s="9"/>
      <c r="AA3830" s="16"/>
      <c r="AK3830" s="16"/>
      <c r="AL3830" s="17"/>
    </row>
    <row r="3831" spans="9:38" x14ac:dyDescent="0.4">
      <c r="I3831" s="11"/>
      <c r="J3831" s="9"/>
      <c r="K3831" s="9"/>
      <c r="O3831" s="11"/>
      <c r="P3831" s="9"/>
      <c r="Q3831" s="9"/>
      <c r="R3831" s="9"/>
      <c r="S3831" s="9"/>
      <c r="T3831" s="31"/>
      <c r="W3831" s="16"/>
      <c r="X3831" s="9"/>
      <c r="Y3831" s="9"/>
      <c r="AA3831" s="16"/>
      <c r="AK3831" s="16"/>
      <c r="AL3831" s="17"/>
    </row>
    <row r="3832" spans="9:38" x14ac:dyDescent="0.4">
      <c r="I3832" s="11"/>
      <c r="J3832" s="9"/>
      <c r="K3832" s="9"/>
      <c r="O3832" s="11"/>
      <c r="P3832" s="9"/>
      <c r="Q3832" s="9"/>
      <c r="R3832" s="9"/>
      <c r="S3832" s="9"/>
      <c r="T3832" s="31"/>
      <c r="W3832" s="16"/>
      <c r="X3832" s="9"/>
      <c r="Y3832" s="9"/>
      <c r="AA3832" s="16"/>
      <c r="AK3832" s="16"/>
      <c r="AL3832" s="17"/>
    </row>
    <row r="3833" spans="9:38" x14ac:dyDescent="0.4">
      <c r="I3833" s="11"/>
      <c r="J3833" s="9"/>
      <c r="K3833" s="9"/>
      <c r="O3833" s="11"/>
      <c r="P3833" s="9"/>
      <c r="Q3833" s="9"/>
      <c r="R3833" s="9"/>
      <c r="S3833" s="9"/>
      <c r="T3833" s="31"/>
      <c r="W3833" s="16"/>
      <c r="X3833" s="9"/>
      <c r="Y3833" s="9"/>
      <c r="AA3833" s="16"/>
      <c r="AK3833" s="16"/>
      <c r="AL3833" s="17"/>
    </row>
    <row r="3834" spans="9:38" x14ac:dyDescent="0.4">
      <c r="I3834" s="11"/>
      <c r="J3834" s="9"/>
      <c r="K3834" s="9"/>
      <c r="O3834" s="11"/>
      <c r="P3834" s="9"/>
      <c r="Q3834" s="9"/>
      <c r="R3834" s="9"/>
      <c r="S3834" s="9"/>
      <c r="T3834" s="31"/>
      <c r="W3834" s="16"/>
      <c r="X3834" s="9"/>
      <c r="Y3834" s="9"/>
      <c r="AA3834" s="16"/>
      <c r="AK3834" s="16"/>
      <c r="AL3834" s="17"/>
    </row>
    <row r="3835" spans="9:38" x14ac:dyDescent="0.4">
      <c r="I3835" s="11"/>
      <c r="J3835" s="9"/>
      <c r="K3835" s="9"/>
      <c r="O3835" s="11"/>
      <c r="P3835" s="9"/>
      <c r="Q3835" s="9"/>
      <c r="R3835" s="9"/>
      <c r="S3835" s="9"/>
      <c r="T3835" s="31"/>
      <c r="W3835" s="16"/>
      <c r="X3835" s="9"/>
      <c r="Y3835" s="9"/>
      <c r="AA3835" s="16"/>
      <c r="AK3835" s="16"/>
      <c r="AL3835" s="17"/>
    </row>
    <row r="3836" spans="9:38" x14ac:dyDescent="0.4">
      <c r="I3836" s="11"/>
      <c r="J3836" s="9"/>
      <c r="K3836" s="9"/>
      <c r="O3836" s="11"/>
      <c r="P3836" s="9"/>
      <c r="Q3836" s="9"/>
      <c r="R3836" s="9"/>
      <c r="S3836" s="9"/>
      <c r="T3836" s="31"/>
      <c r="W3836" s="16"/>
      <c r="X3836" s="9"/>
      <c r="Y3836" s="9"/>
      <c r="AA3836" s="16"/>
      <c r="AK3836" s="16"/>
      <c r="AL3836" s="17"/>
    </row>
    <row r="3837" spans="9:38" x14ac:dyDescent="0.4">
      <c r="I3837" s="11"/>
      <c r="J3837" s="9"/>
      <c r="K3837" s="9"/>
      <c r="O3837" s="11"/>
      <c r="P3837" s="9"/>
      <c r="Q3837" s="9"/>
      <c r="R3837" s="9"/>
      <c r="S3837" s="9"/>
      <c r="T3837" s="31"/>
      <c r="W3837" s="16"/>
      <c r="X3837" s="9"/>
      <c r="Y3837" s="9"/>
      <c r="AA3837" s="16"/>
      <c r="AK3837" s="16"/>
      <c r="AL3837" s="17"/>
    </row>
    <row r="3838" spans="9:38" x14ac:dyDescent="0.4">
      <c r="I3838" s="11"/>
      <c r="J3838" s="9"/>
      <c r="K3838" s="9"/>
      <c r="O3838" s="11"/>
      <c r="P3838" s="9"/>
      <c r="Q3838" s="9"/>
      <c r="R3838" s="9"/>
      <c r="S3838" s="9"/>
      <c r="T3838" s="31"/>
      <c r="W3838" s="16"/>
      <c r="X3838" s="9"/>
      <c r="Y3838" s="9"/>
      <c r="AA3838" s="16"/>
      <c r="AK3838" s="16"/>
      <c r="AL3838" s="17"/>
    </row>
    <row r="3839" spans="9:38" x14ac:dyDescent="0.4">
      <c r="I3839" s="11"/>
      <c r="J3839" s="9"/>
      <c r="K3839" s="9"/>
      <c r="O3839" s="11"/>
      <c r="P3839" s="9"/>
      <c r="Q3839" s="9"/>
      <c r="R3839" s="9"/>
      <c r="S3839" s="9"/>
      <c r="T3839" s="31"/>
      <c r="W3839" s="16"/>
      <c r="X3839" s="9"/>
      <c r="Y3839" s="9"/>
      <c r="AA3839" s="16"/>
      <c r="AK3839" s="16"/>
      <c r="AL3839" s="17"/>
    </row>
    <row r="3840" spans="9:38" x14ac:dyDescent="0.4">
      <c r="I3840" s="11"/>
      <c r="J3840" s="9"/>
      <c r="K3840" s="9"/>
      <c r="O3840" s="11"/>
      <c r="P3840" s="9"/>
      <c r="Q3840" s="9"/>
      <c r="R3840" s="9"/>
      <c r="S3840" s="9"/>
      <c r="T3840" s="31"/>
      <c r="W3840" s="16"/>
      <c r="X3840" s="9"/>
      <c r="Y3840" s="9"/>
      <c r="AA3840" s="16"/>
      <c r="AK3840" s="16"/>
      <c r="AL3840" s="17"/>
    </row>
    <row r="3841" spans="9:38" x14ac:dyDescent="0.4">
      <c r="I3841" s="11"/>
      <c r="J3841" s="9"/>
      <c r="K3841" s="9"/>
      <c r="O3841" s="11"/>
      <c r="P3841" s="9"/>
      <c r="Q3841" s="9"/>
      <c r="R3841" s="9"/>
      <c r="S3841" s="9"/>
      <c r="T3841" s="31"/>
      <c r="W3841" s="16"/>
      <c r="X3841" s="9"/>
      <c r="Y3841" s="9"/>
      <c r="AA3841" s="16"/>
      <c r="AK3841" s="16"/>
      <c r="AL3841" s="17"/>
    </row>
    <row r="3842" spans="9:38" x14ac:dyDescent="0.4">
      <c r="I3842" s="11"/>
      <c r="J3842" s="9"/>
      <c r="K3842" s="9"/>
      <c r="O3842" s="11"/>
      <c r="P3842" s="9"/>
      <c r="Q3842" s="9"/>
      <c r="R3842" s="9"/>
      <c r="S3842" s="9"/>
      <c r="T3842" s="31"/>
      <c r="W3842" s="16"/>
      <c r="X3842" s="9"/>
      <c r="Y3842" s="9"/>
      <c r="AA3842" s="16"/>
      <c r="AK3842" s="16"/>
      <c r="AL3842" s="17"/>
    </row>
    <row r="3843" spans="9:38" x14ac:dyDescent="0.4">
      <c r="I3843" s="11"/>
      <c r="J3843" s="9"/>
      <c r="K3843" s="9"/>
      <c r="O3843" s="11"/>
      <c r="P3843" s="9"/>
      <c r="Q3843" s="9"/>
      <c r="R3843" s="9"/>
      <c r="S3843" s="9"/>
      <c r="T3843" s="31"/>
      <c r="W3843" s="16"/>
      <c r="X3843" s="9"/>
      <c r="Y3843" s="9"/>
      <c r="AA3843" s="16"/>
      <c r="AK3843" s="16"/>
      <c r="AL3843" s="17"/>
    </row>
    <row r="3844" spans="9:38" x14ac:dyDescent="0.4">
      <c r="I3844" s="11"/>
      <c r="J3844" s="9"/>
      <c r="K3844" s="9"/>
      <c r="O3844" s="11"/>
      <c r="P3844" s="9"/>
      <c r="Q3844" s="9"/>
      <c r="R3844" s="9"/>
      <c r="S3844" s="9"/>
      <c r="T3844" s="31"/>
      <c r="W3844" s="16"/>
      <c r="X3844" s="9"/>
      <c r="Y3844" s="9"/>
      <c r="AA3844" s="16"/>
      <c r="AK3844" s="16"/>
      <c r="AL3844" s="17"/>
    </row>
    <row r="3845" spans="9:38" x14ac:dyDescent="0.4">
      <c r="I3845" s="11"/>
      <c r="J3845" s="9"/>
      <c r="K3845" s="9"/>
      <c r="O3845" s="11"/>
      <c r="P3845" s="9"/>
      <c r="Q3845" s="9"/>
      <c r="R3845" s="9"/>
      <c r="S3845" s="9"/>
      <c r="T3845" s="31"/>
      <c r="W3845" s="16"/>
      <c r="X3845" s="9"/>
      <c r="Y3845" s="9"/>
      <c r="AA3845" s="16"/>
      <c r="AK3845" s="16"/>
      <c r="AL3845" s="17"/>
    </row>
    <row r="3846" spans="9:38" x14ac:dyDescent="0.4">
      <c r="I3846" s="11"/>
      <c r="J3846" s="9"/>
      <c r="K3846" s="9"/>
      <c r="O3846" s="11"/>
      <c r="P3846" s="9"/>
      <c r="Q3846" s="9"/>
      <c r="R3846" s="9"/>
      <c r="S3846" s="9"/>
      <c r="T3846" s="31"/>
      <c r="W3846" s="16"/>
      <c r="X3846" s="9"/>
      <c r="Y3846" s="9"/>
      <c r="AA3846" s="16"/>
      <c r="AK3846" s="16"/>
      <c r="AL3846" s="17"/>
    </row>
    <row r="3847" spans="9:38" x14ac:dyDescent="0.4">
      <c r="I3847" s="11"/>
      <c r="J3847" s="9"/>
      <c r="K3847" s="9"/>
      <c r="O3847" s="11"/>
      <c r="P3847" s="9"/>
      <c r="Q3847" s="9"/>
      <c r="R3847" s="9"/>
      <c r="S3847" s="9"/>
      <c r="T3847" s="31"/>
      <c r="W3847" s="16"/>
      <c r="X3847" s="9"/>
      <c r="Y3847" s="9"/>
      <c r="AA3847" s="16"/>
      <c r="AK3847" s="16"/>
      <c r="AL3847" s="17"/>
    </row>
    <row r="3848" spans="9:38" x14ac:dyDescent="0.4">
      <c r="I3848" s="11"/>
      <c r="J3848" s="9"/>
      <c r="K3848" s="9"/>
      <c r="O3848" s="11"/>
      <c r="P3848" s="9"/>
      <c r="Q3848" s="9"/>
      <c r="R3848" s="9"/>
      <c r="S3848" s="9"/>
      <c r="T3848" s="31"/>
      <c r="W3848" s="16"/>
      <c r="X3848" s="9"/>
      <c r="Y3848" s="9"/>
      <c r="AA3848" s="16"/>
      <c r="AK3848" s="16"/>
      <c r="AL3848" s="17"/>
    </row>
    <row r="3849" spans="9:38" x14ac:dyDescent="0.4">
      <c r="I3849" s="11"/>
      <c r="J3849" s="9"/>
      <c r="K3849" s="9"/>
      <c r="O3849" s="11"/>
      <c r="P3849" s="9"/>
      <c r="Q3849" s="9"/>
      <c r="R3849" s="9"/>
      <c r="S3849" s="9"/>
      <c r="T3849" s="31"/>
      <c r="W3849" s="16"/>
      <c r="X3849" s="9"/>
      <c r="Y3849" s="9"/>
      <c r="AA3849" s="16"/>
      <c r="AK3849" s="16"/>
      <c r="AL3849" s="17"/>
    </row>
    <row r="3850" spans="9:38" x14ac:dyDescent="0.4">
      <c r="I3850" s="11"/>
      <c r="J3850" s="9"/>
      <c r="K3850" s="9"/>
      <c r="O3850" s="11"/>
      <c r="P3850" s="9"/>
      <c r="Q3850" s="9"/>
      <c r="R3850" s="9"/>
      <c r="S3850" s="9"/>
      <c r="T3850" s="31"/>
      <c r="W3850" s="16"/>
      <c r="X3850" s="9"/>
      <c r="Y3850" s="9"/>
      <c r="AA3850" s="16"/>
      <c r="AK3850" s="16"/>
      <c r="AL3850" s="17"/>
    </row>
    <row r="3851" spans="9:38" x14ac:dyDescent="0.4">
      <c r="I3851" s="11"/>
      <c r="J3851" s="9"/>
      <c r="K3851" s="9"/>
      <c r="O3851" s="11"/>
      <c r="P3851" s="9"/>
      <c r="Q3851" s="9"/>
      <c r="R3851" s="9"/>
      <c r="S3851" s="9"/>
      <c r="T3851" s="31"/>
      <c r="W3851" s="16"/>
      <c r="X3851" s="9"/>
      <c r="Y3851" s="9"/>
      <c r="AA3851" s="16"/>
      <c r="AK3851" s="16"/>
      <c r="AL3851" s="17"/>
    </row>
    <row r="3852" spans="9:38" x14ac:dyDescent="0.4">
      <c r="I3852" s="11"/>
      <c r="J3852" s="9"/>
      <c r="K3852" s="9"/>
      <c r="O3852" s="11"/>
      <c r="P3852" s="9"/>
      <c r="Q3852" s="9"/>
      <c r="R3852" s="9"/>
      <c r="S3852" s="9"/>
      <c r="T3852" s="31"/>
      <c r="W3852" s="16"/>
      <c r="X3852" s="9"/>
      <c r="Y3852" s="9"/>
      <c r="AA3852" s="16"/>
      <c r="AK3852" s="16"/>
      <c r="AL3852" s="17"/>
    </row>
    <row r="3853" spans="9:38" x14ac:dyDescent="0.4">
      <c r="I3853" s="11"/>
      <c r="J3853" s="9"/>
      <c r="K3853" s="9"/>
      <c r="O3853" s="11"/>
      <c r="P3853" s="9"/>
      <c r="Q3853" s="9"/>
      <c r="R3853" s="9"/>
      <c r="S3853" s="9"/>
      <c r="T3853" s="31"/>
      <c r="W3853" s="16"/>
      <c r="X3853" s="9"/>
      <c r="Y3853" s="9"/>
      <c r="AA3853" s="16"/>
      <c r="AK3853" s="16"/>
      <c r="AL3853" s="17"/>
    </row>
    <row r="3854" spans="9:38" x14ac:dyDescent="0.4">
      <c r="I3854" s="11"/>
      <c r="J3854" s="9"/>
      <c r="K3854" s="9"/>
      <c r="O3854" s="11"/>
      <c r="P3854" s="9"/>
      <c r="Q3854" s="9"/>
      <c r="R3854" s="9"/>
      <c r="S3854" s="9"/>
      <c r="T3854" s="31"/>
      <c r="W3854" s="16"/>
      <c r="X3854" s="9"/>
      <c r="Y3854" s="9"/>
      <c r="AA3854" s="16"/>
      <c r="AK3854" s="16"/>
      <c r="AL3854" s="17"/>
    </row>
    <row r="3855" spans="9:38" x14ac:dyDescent="0.4">
      <c r="I3855" s="11"/>
      <c r="J3855" s="9"/>
      <c r="K3855" s="9"/>
      <c r="O3855" s="11"/>
      <c r="P3855" s="9"/>
      <c r="Q3855" s="9"/>
      <c r="R3855" s="9"/>
      <c r="S3855" s="9"/>
      <c r="T3855" s="31"/>
      <c r="W3855" s="16"/>
      <c r="X3855" s="9"/>
      <c r="Y3855" s="9"/>
      <c r="AA3855" s="16"/>
      <c r="AK3855" s="16"/>
      <c r="AL3855" s="17"/>
    </row>
    <row r="3856" spans="9:38" x14ac:dyDescent="0.4">
      <c r="I3856" s="11"/>
      <c r="J3856" s="9"/>
      <c r="K3856" s="9"/>
      <c r="O3856" s="11"/>
      <c r="P3856" s="9"/>
      <c r="Q3856" s="9"/>
      <c r="R3856" s="9"/>
      <c r="S3856" s="9"/>
      <c r="T3856" s="31"/>
      <c r="W3856" s="16"/>
      <c r="X3856" s="9"/>
      <c r="Y3856" s="9"/>
      <c r="AA3856" s="16"/>
      <c r="AK3856" s="16"/>
      <c r="AL3856" s="17"/>
    </row>
    <row r="3857" spans="9:38" x14ac:dyDescent="0.4">
      <c r="I3857" s="11"/>
      <c r="J3857" s="9"/>
      <c r="K3857" s="9"/>
      <c r="O3857" s="11"/>
      <c r="P3857" s="9"/>
      <c r="Q3857" s="9"/>
      <c r="R3857" s="9"/>
      <c r="S3857" s="9"/>
      <c r="T3857" s="31"/>
      <c r="W3857" s="16"/>
      <c r="X3857" s="9"/>
      <c r="Y3857" s="9"/>
      <c r="AA3857" s="16"/>
      <c r="AK3857" s="16"/>
      <c r="AL3857" s="17"/>
    </row>
    <row r="3858" spans="9:38" x14ac:dyDescent="0.4">
      <c r="I3858" s="11"/>
      <c r="J3858" s="9"/>
      <c r="K3858" s="9"/>
      <c r="O3858" s="11"/>
      <c r="P3858" s="9"/>
      <c r="Q3858" s="9"/>
      <c r="R3858" s="9"/>
      <c r="S3858" s="9"/>
      <c r="T3858" s="31"/>
      <c r="W3858" s="16"/>
      <c r="X3858" s="9"/>
      <c r="Y3858" s="9"/>
      <c r="AA3858" s="16"/>
      <c r="AK3858" s="16"/>
      <c r="AL3858" s="17"/>
    </row>
    <row r="3859" spans="9:38" x14ac:dyDescent="0.4">
      <c r="I3859" s="11"/>
      <c r="J3859" s="9"/>
      <c r="K3859" s="9"/>
      <c r="O3859" s="11"/>
      <c r="P3859" s="9"/>
      <c r="Q3859" s="9"/>
      <c r="R3859" s="9"/>
      <c r="S3859" s="9"/>
      <c r="T3859" s="31"/>
      <c r="W3859" s="16"/>
      <c r="X3859" s="9"/>
      <c r="Y3859" s="9"/>
      <c r="AA3859" s="16"/>
      <c r="AK3859" s="16"/>
      <c r="AL3859" s="17"/>
    </row>
    <row r="3860" spans="9:38" x14ac:dyDescent="0.4">
      <c r="I3860" s="11"/>
      <c r="J3860" s="9"/>
      <c r="K3860" s="9"/>
      <c r="O3860" s="11"/>
      <c r="P3860" s="9"/>
      <c r="Q3860" s="9"/>
      <c r="R3860" s="9"/>
      <c r="S3860" s="9"/>
      <c r="T3860" s="31"/>
      <c r="W3860" s="16"/>
      <c r="X3860" s="9"/>
      <c r="Y3860" s="9"/>
      <c r="AA3860" s="16"/>
      <c r="AK3860" s="16"/>
      <c r="AL3860" s="17"/>
    </row>
    <row r="3861" spans="9:38" x14ac:dyDescent="0.4">
      <c r="I3861" s="11"/>
      <c r="J3861" s="9"/>
      <c r="K3861" s="9"/>
      <c r="O3861" s="11"/>
      <c r="P3861" s="9"/>
      <c r="Q3861" s="9"/>
      <c r="R3861" s="9"/>
      <c r="S3861" s="9"/>
      <c r="T3861" s="31"/>
      <c r="W3861" s="16"/>
      <c r="X3861" s="9"/>
      <c r="Y3861" s="9"/>
      <c r="AA3861" s="16"/>
      <c r="AK3861" s="16"/>
      <c r="AL3861" s="17"/>
    </row>
    <row r="3862" spans="9:38" x14ac:dyDescent="0.4">
      <c r="I3862" s="11"/>
      <c r="J3862" s="9"/>
      <c r="K3862" s="9"/>
      <c r="O3862" s="11"/>
      <c r="P3862" s="9"/>
      <c r="Q3862" s="9"/>
      <c r="R3862" s="9"/>
      <c r="S3862" s="9"/>
      <c r="T3862" s="31"/>
      <c r="W3862" s="16"/>
      <c r="X3862" s="9"/>
      <c r="Y3862" s="9"/>
      <c r="AA3862" s="16"/>
      <c r="AK3862" s="16"/>
      <c r="AL3862" s="17"/>
    </row>
    <row r="3863" spans="9:38" x14ac:dyDescent="0.4">
      <c r="I3863" s="11"/>
      <c r="J3863" s="9"/>
      <c r="K3863" s="9"/>
      <c r="O3863" s="11"/>
      <c r="P3863" s="9"/>
      <c r="Q3863" s="9"/>
      <c r="R3863" s="9"/>
      <c r="S3863" s="9"/>
      <c r="T3863" s="31"/>
      <c r="W3863" s="16"/>
      <c r="X3863" s="9"/>
      <c r="Y3863" s="9"/>
      <c r="AA3863" s="16"/>
      <c r="AK3863" s="16"/>
      <c r="AL3863" s="17"/>
    </row>
    <row r="3864" spans="9:38" x14ac:dyDescent="0.4">
      <c r="I3864" s="11"/>
      <c r="J3864" s="9"/>
      <c r="K3864" s="9"/>
      <c r="O3864" s="11"/>
      <c r="P3864" s="9"/>
      <c r="Q3864" s="9"/>
      <c r="R3864" s="9"/>
      <c r="S3864" s="9"/>
      <c r="T3864" s="31"/>
      <c r="W3864" s="16"/>
      <c r="X3864" s="9"/>
      <c r="Y3864" s="9"/>
      <c r="AA3864" s="16"/>
      <c r="AK3864" s="16"/>
      <c r="AL3864" s="17"/>
    </row>
    <row r="3865" spans="9:38" x14ac:dyDescent="0.4">
      <c r="I3865" s="11"/>
      <c r="J3865" s="9"/>
      <c r="K3865" s="9"/>
      <c r="O3865" s="11"/>
      <c r="P3865" s="9"/>
      <c r="Q3865" s="9"/>
      <c r="R3865" s="9"/>
      <c r="S3865" s="9"/>
      <c r="T3865" s="31"/>
      <c r="W3865" s="16"/>
      <c r="X3865" s="9"/>
      <c r="Y3865" s="9"/>
      <c r="AA3865" s="16"/>
      <c r="AK3865" s="16"/>
      <c r="AL3865" s="17"/>
    </row>
    <row r="3866" spans="9:38" x14ac:dyDescent="0.4">
      <c r="I3866" s="11"/>
      <c r="J3866" s="9"/>
      <c r="K3866" s="9"/>
      <c r="O3866" s="11"/>
      <c r="P3866" s="9"/>
      <c r="Q3866" s="9"/>
      <c r="R3866" s="9"/>
      <c r="S3866" s="9"/>
      <c r="T3866" s="31"/>
      <c r="W3866" s="16"/>
      <c r="X3866" s="9"/>
      <c r="Y3866" s="9"/>
      <c r="AA3866" s="16"/>
      <c r="AK3866" s="16"/>
      <c r="AL3866" s="17"/>
    </row>
    <row r="3867" spans="9:38" x14ac:dyDescent="0.4">
      <c r="I3867" s="11"/>
      <c r="J3867" s="9"/>
      <c r="K3867" s="9"/>
      <c r="O3867" s="11"/>
      <c r="P3867" s="9"/>
      <c r="Q3867" s="9"/>
      <c r="R3867" s="9"/>
      <c r="S3867" s="9"/>
      <c r="T3867" s="31"/>
      <c r="W3867" s="16"/>
      <c r="X3867" s="9"/>
      <c r="Y3867" s="9"/>
      <c r="AA3867" s="16"/>
      <c r="AK3867" s="16"/>
      <c r="AL3867" s="17"/>
    </row>
    <row r="3868" spans="9:38" x14ac:dyDescent="0.4">
      <c r="I3868" s="11"/>
      <c r="J3868" s="9"/>
      <c r="K3868" s="9"/>
      <c r="O3868" s="11"/>
      <c r="P3868" s="9"/>
      <c r="Q3868" s="9"/>
      <c r="R3868" s="9"/>
      <c r="S3868" s="9"/>
      <c r="T3868" s="31"/>
      <c r="W3868" s="16"/>
      <c r="X3868" s="9"/>
      <c r="Y3868" s="9"/>
      <c r="AA3868" s="16"/>
      <c r="AK3868" s="16"/>
      <c r="AL3868" s="17"/>
    </row>
    <row r="3869" spans="9:38" x14ac:dyDescent="0.4">
      <c r="I3869" s="11"/>
      <c r="J3869" s="9"/>
      <c r="K3869" s="9"/>
      <c r="O3869" s="11"/>
      <c r="P3869" s="9"/>
      <c r="Q3869" s="9"/>
      <c r="R3869" s="9"/>
      <c r="S3869" s="9"/>
      <c r="T3869" s="31"/>
      <c r="W3869" s="16"/>
      <c r="X3869" s="9"/>
      <c r="Y3869" s="9"/>
      <c r="AA3869" s="16"/>
      <c r="AK3869" s="16"/>
      <c r="AL3869" s="17"/>
    </row>
    <row r="3870" spans="9:38" x14ac:dyDescent="0.4">
      <c r="I3870" s="11"/>
      <c r="J3870" s="9"/>
      <c r="K3870" s="9"/>
      <c r="O3870" s="11"/>
      <c r="P3870" s="9"/>
      <c r="Q3870" s="9"/>
      <c r="R3870" s="9"/>
      <c r="S3870" s="9"/>
      <c r="T3870" s="31"/>
      <c r="W3870" s="16"/>
      <c r="X3870" s="9"/>
      <c r="Y3870" s="9"/>
      <c r="AA3870" s="16"/>
      <c r="AK3870" s="16"/>
      <c r="AL3870" s="17"/>
    </row>
    <row r="3871" spans="9:38" x14ac:dyDescent="0.4">
      <c r="I3871" s="11"/>
      <c r="J3871" s="9"/>
      <c r="K3871" s="9"/>
      <c r="O3871" s="11"/>
      <c r="P3871" s="9"/>
      <c r="Q3871" s="9"/>
      <c r="R3871" s="9"/>
      <c r="S3871" s="9"/>
      <c r="T3871" s="31"/>
      <c r="W3871" s="16"/>
      <c r="X3871" s="9"/>
      <c r="Y3871" s="9"/>
      <c r="AA3871" s="16"/>
      <c r="AK3871" s="16"/>
      <c r="AL3871" s="17"/>
    </row>
    <row r="3872" spans="9:38" x14ac:dyDescent="0.4">
      <c r="I3872" s="11"/>
      <c r="J3872" s="9"/>
      <c r="K3872" s="9"/>
      <c r="O3872" s="11"/>
      <c r="P3872" s="9"/>
      <c r="Q3872" s="9"/>
      <c r="R3872" s="9"/>
      <c r="S3872" s="9"/>
      <c r="T3872" s="31"/>
      <c r="W3872" s="16"/>
      <c r="X3872" s="9"/>
      <c r="Y3872" s="9"/>
      <c r="AA3872" s="16"/>
      <c r="AK3872" s="16"/>
      <c r="AL3872" s="17"/>
    </row>
    <row r="3873" spans="9:38" x14ac:dyDescent="0.4">
      <c r="I3873" s="11"/>
      <c r="J3873" s="9"/>
      <c r="K3873" s="9"/>
      <c r="O3873" s="11"/>
      <c r="P3873" s="9"/>
      <c r="Q3873" s="9"/>
      <c r="R3873" s="9"/>
      <c r="S3873" s="9"/>
      <c r="T3873" s="31"/>
      <c r="W3873" s="16"/>
      <c r="X3873" s="9"/>
      <c r="Y3873" s="9"/>
      <c r="AA3873" s="16"/>
      <c r="AK3873" s="16"/>
      <c r="AL3873" s="17"/>
    </row>
    <row r="3874" spans="9:38" x14ac:dyDescent="0.4">
      <c r="I3874" s="11"/>
      <c r="J3874" s="9"/>
      <c r="K3874" s="9"/>
      <c r="O3874" s="11"/>
      <c r="P3874" s="9"/>
      <c r="Q3874" s="9"/>
      <c r="R3874" s="9"/>
      <c r="S3874" s="9"/>
      <c r="T3874" s="31"/>
      <c r="W3874" s="16"/>
      <c r="X3874" s="9"/>
      <c r="Y3874" s="9"/>
      <c r="AA3874" s="16"/>
      <c r="AK3874" s="16"/>
      <c r="AL3874" s="17"/>
    </row>
    <row r="3875" spans="9:38" x14ac:dyDescent="0.4">
      <c r="I3875" s="11"/>
      <c r="J3875" s="9"/>
      <c r="K3875" s="9"/>
      <c r="O3875" s="11"/>
      <c r="P3875" s="9"/>
      <c r="Q3875" s="9"/>
      <c r="R3875" s="9"/>
      <c r="S3875" s="9"/>
      <c r="T3875" s="31"/>
      <c r="W3875" s="16"/>
      <c r="X3875" s="9"/>
      <c r="Y3875" s="9"/>
      <c r="AA3875" s="16"/>
      <c r="AK3875" s="16"/>
      <c r="AL3875" s="17"/>
    </row>
    <row r="3876" spans="9:38" x14ac:dyDescent="0.4">
      <c r="I3876" s="11"/>
      <c r="J3876" s="9"/>
      <c r="K3876" s="9"/>
      <c r="O3876" s="11"/>
      <c r="P3876" s="9"/>
      <c r="Q3876" s="9"/>
      <c r="R3876" s="9"/>
      <c r="S3876" s="9"/>
      <c r="T3876" s="31"/>
      <c r="W3876" s="16"/>
      <c r="X3876" s="9"/>
      <c r="Y3876" s="9"/>
      <c r="AA3876" s="16"/>
      <c r="AK3876" s="16"/>
      <c r="AL3876" s="17"/>
    </row>
    <row r="3877" spans="9:38" x14ac:dyDescent="0.4">
      <c r="I3877" s="11"/>
      <c r="J3877" s="9"/>
      <c r="K3877" s="9"/>
      <c r="O3877" s="11"/>
      <c r="P3877" s="9"/>
      <c r="Q3877" s="9"/>
      <c r="R3877" s="9"/>
      <c r="S3877" s="9"/>
      <c r="T3877" s="31"/>
      <c r="W3877" s="16"/>
      <c r="X3877" s="9"/>
      <c r="Y3877" s="9"/>
      <c r="AA3877" s="16"/>
      <c r="AK3877" s="16"/>
      <c r="AL3877" s="17"/>
    </row>
    <row r="3878" spans="9:38" x14ac:dyDescent="0.4">
      <c r="I3878" s="11"/>
      <c r="J3878" s="9"/>
      <c r="K3878" s="9"/>
      <c r="O3878" s="11"/>
      <c r="P3878" s="9"/>
      <c r="Q3878" s="9"/>
      <c r="R3878" s="9"/>
      <c r="S3878" s="9"/>
      <c r="T3878" s="31"/>
      <c r="W3878" s="16"/>
      <c r="X3878" s="9"/>
      <c r="Y3878" s="9"/>
      <c r="AA3878" s="16"/>
      <c r="AK3878" s="16"/>
      <c r="AL3878" s="17"/>
    </row>
    <row r="3879" spans="9:38" x14ac:dyDescent="0.4">
      <c r="I3879" s="11"/>
      <c r="J3879" s="9"/>
      <c r="K3879" s="9"/>
      <c r="O3879" s="11"/>
      <c r="P3879" s="9"/>
      <c r="Q3879" s="9"/>
      <c r="R3879" s="9"/>
      <c r="S3879" s="9"/>
      <c r="T3879" s="31"/>
      <c r="W3879" s="16"/>
      <c r="X3879" s="9"/>
      <c r="Y3879" s="9"/>
      <c r="AA3879" s="16"/>
      <c r="AK3879" s="16"/>
      <c r="AL3879" s="17"/>
    </row>
    <row r="3880" spans="9:38" x14ac:dyDescent="0.4">
      <c r="I3880" s="11"/>
      <c r="J3880" s="9"/>
      <c r="K3880" s="9"/>
      <c r="O3880" s="11"/>
      <c r="P3880" s="9"/>
      <c r="Q3880" s="9"/>
      <c r="R3880" s="9"/>
      <c r="S3880" s="9"/>
      <c r="T3880" s="31"/>
      <c r="W3880" s="16"/>
      <c r="X3880" s="9"/>
      <c r="Y3880" s="9"/>
      <c r="AA3880" s="16"/>
      <c r="AK3880" s="16"/>
      <c r="AL3880" s="17"/>
    </row>
    <row r="3881" spans="9:38" x14ac:dyDescent="0.4">
      <c r="I3881" s="11"/>
      <c r="J3881" s="9"/>
      <c r="K3881" s="9"/>
      <c r="O3881" s="11"/>
      <c r="P3881" s="9"/>
      <c r="Q3881" s="9"/>
      <c r="R3881" s="9"/>
      <c r="S3881" s="9"/>
      <c r="T3881" s="31"/>
      <c r="W3881" s="16"/>
      <c r="X3881" s="9"/>
      <c r="Y3881" s="9"/>
      <c r="AA3881" s="16"/>
      <c r="AK3881" s="16"/>
      <c r="AL3881" s="17"/>
    </row>
    <row r="3882" spans="9:38" x14ac:dyDescent="0.4">
      <c r="I3882" s="11"/>
      <c r="J3882" s="9"/>
      <c r="K3882" s="9"/>
      <c r="O3882" s="11"/>
      <c r="P3882" s="9"/>
      <c r="Q3882" s="9"/>
      <c r="R3882" s="9"/>
      <c r="S3882" s="9"/>
      <c r="T3882" s="31"/>
      <c r="W3882" s="16"/>
      <c r="X3882" s="9"/>
      <c r="Y3882" s="9"/>
      <c r="AA3882" s="16"/>
      <c r="AK3882" s="16"/>
      <c r="AL3882" s="17"/>
    </row>
    <row r="3883" spans="9:38" x14ac:dyDescent="0.4">
      <c r="I3883" s="11"/>
      <c r="J3883" s="9"/>
      <c r="K3883" s="9"/>
      <c r="O3883" s="11"/>
      <c r="P3883" s="9"/>
      <c r="Q3883" s="9"/>
      <c r="R3883" s="9"/>
      <c r="S3883" s="9"/>
      <c r="T3883" s="31"/>
      <c r="W3883" s="16"/>
      <c r="X3883" s="9"/>
      <c r="Y3883" s="9"/>
      <c r="AA3883" s="16"/>
      <c r="AK3883" s="16"/>
      <c r="AL3883" s="17"/>
    </row>
    <row r="3884" spans="9:38" x14ac:dyDescent="0.4">
      <c r="I3884" s="11"/>
      <c r="J3884" s="9"/>
      <c r="K3884" s="9"/>
      <c r="O3884" s="11"/>
      <c r="P3884" s="9"/>
      <c r="Q3884" s="9"/>
      <c r="R3884" s="9"/>
      <c r="S3884" s="9"/>
      <c r="T3884" s="31"/>
      <c r="W3884" s="16"/>
      <c r="X3884" s="9"/>
      <c r="Y3884" s="9"/>
      <c r="AA3884" s="16"/>
      <c r="AK3884" s="16"/>
      <c r="AL3884" s="17"/>
    </row>
    <row r="3885" spans="9:38" x14ac:dyDescent="0.4">
      <c r="I3885" s="11"/>
      <c r="J3885" s="9"/>
      <c r="K3885" s="9"/>
      <c r="O3885" s="11"/>
      <c r="P3885" s="9"/>
      <c r="Q3885" s="9"/>
      <c r="R3885" s="9"/>
      <c r="S3885" s="9"/>
      <c r="T3885" s="31"/>
      <c r="W3885" s="16"/>
      <c r="X3885" s="9"/>
      <c r="Y3885" s="9"/>
      <c r="AA3885" s="16"/>
      <c r="AK3885" s="16"/>
      <c r="AL3885" s="17"/>
    </row>
    <row r="3886" spans="9:38" x14ac:dyDescent="0.4">
      <c r="I3886" s="11"/>
      <c r="J3886" s="9"/>
      <c r="K3886" s="9"/>
      <c r="O3886" s="11"/>
      <c r="P3886" s="9"/>
      <c r="Q3886" s="9"/>
      <c r="R3886" s="9"/>
      <c r="S3886" s="9"/>
      <c r="T3886" s="31"/>
      <c r="W3886" s="16"/>
      <c r="X3886" s="9"/>
      <c r="Y3886" s="9"/>
      <c r="AA3886" s="16"/>
      <c r="AK3886" s="16"/>
      <c r="AL3886" s="17"/>
    </row>
    <row r="3887" spans="9:38" x14ac:dyDescent="0.4">
      <c r="I3887" s="11"/>
      <c r="J3887" s="9"/>
      <c r="K3887" s="9"/>
      <c r="O3887" s="11"/>
      <c r="P3887" s="9"/>
      <c r="Q3887" s="9"/>
      <c r="R3887" s="9"/>
      <c r="S3887" s="9"/>
      <c r="T3887" s="31"/>
      <c r="W3887" s="16"/>
      <c r="X3887" s="9"/>
      <c r="Y3887" s="9"/>
      <c r="AA3887" s="16"/>
      <c r="AK3887" s="16"/>
      <c r="AL3887" s="17"/>
    </row>
    <row r="3888" spans="9:38" x14ac:dyDescent="0.4">
      <c r="I3888" s="11"/>
      <c r="J3888" s="9"/>
      <c r="K3888" s="9"/>
      <c r="O3888" s="11"/>
      <c r="P3888" s="9"/>
      <c r="Q3888" s="9"/>
      <c r="R3888" s="9"/>
      <c r="S3888" s="9"/>
      <c r="T3888" s="31"/>
      <c r="W3888" s="16"/>
      <c r="X3888" s="9"/>
      <c r="Y3888" s="9"/>
      <c r="AA3888" s="16"/>
      <c r="AK3888" s="16"/>
      <c r="AL3888" s="17"/>
    </row>
    <row r="3889" spans="9:38" x14ac:dyDescent="0.4">
      <c r="I3889" s="11"/>
      <c r="J3889" s="9"/>
      <c r="K3889" s="9"/>
      <c r="O3889" s="11"/>
      <c r="P3889" s="9"/>
      <c r="Q3889" s="9"/>
      <c r="R3889" s="9"/>
      <c r="S3889" s="9"/>
      <c r="T3889" s="31"/>
      <c r="W3889" s="16"/>
      <c r="X3889" s="9"/>
      <c r="Y3889" s="9"/>
      <c r="AA3889" s="16"/>
      <c r="AK3889" s="16"/>
      <c r="AL3889" s="17"/>
    </row>
    <row r="3890" spans="9:38" x14ac:dyDescent="0.4">
      <c r="I3890" s="11"/>
      <c r="J3890" s="9"/>
      <c r="K3890" s="9"/>
      <c r="O3890" s="11"/>
      <c r="P3890" s="9"/>
      <c r="Q3890" s="9"/>
      <c r="R3890" s="9"/>
      <c r="S3890" s="9"/>
      <c r="T3890" s="31"/>
      <c r="W3890" s="16"/>
      <c r="X3890" s="9"/>
      <c r="Y3890" s="9"/>
      <c r="AA3890" s="16"/>
      <c r="AK3890" s="16"/>
      <c r="AL3890" s="17"/>
    </row>
    <row r="3891" spans="9:38" x14ac:dyDescent="0.4">
      <c r="I3891" s="11"/>
      <c r="J3891" s="9"/>
      <c r="K3891" s="9"/>
      <c r="O3891" s="11"/>
      <c r="P3891" s="9"/>
      <c r="Q3891" s="9"/>
      <c r="R3891" s="9"/>
      <c r="S3891" s="9"/>
      <c r="T3891" s="31"/>
      <c r="W3891" s="16"/>
      <c r="X3891" s="9"/>
      <c r="Y3891" s="9"/>
      <c r="AA3891" s="16"/>
      <c r="AK3891" s="16"/>
      <c r="AL3891" s="17"/>
    </row>
    <row r="3892" spans="9:38" x14ac:dyDescent="0.4">
      <c r="I3892" s="11"/>
      <c r="J3892" s="9"/>
      <c r="K3892" s="9"/>
      <c r="O3892" s="11"/>
      <c r="P3892" s="9"/>
      <c r="Q3892" s="9"/>
      <c r="R3892" s="9"/>
      <c r="S3892" s="9"/>
      <c r="T3892" s="31"/>
      <c r="W3892" s="16"/>
      <c r="X3892" s="9"/>
      <c r="Y3892" s="9"/>
      <c r="AA3892" s="16"/>
      <c r="AK3892" s="16"/>
      <c r="AL3892" s="17"/>
    </row>
    <row r="3893" spans="9:38" x14ac:dyDescent="0.4">
      <c r="I3893" s="11"/>
      <c r="J3893" s="9"/>
      <c r="K3893" s="9"/>
      <c r="O3893" s="11"/>
      <c r="P3893" s="9"/>
      <c r="Q3893" s="9"/>
      <c r="R3893" s="9"/>
      <c r="S3893" s="9"/>
      <c r="T3893" s="31"/>
      <c r="W3893" s="16"/>
      <c r="X3893" s="9"/>
      <c r="Y3893" s="9"/>
      <c r="AA3893" s="16"/>
      <c r="AK3893" s="16"/>
      <c r="AL3893" s="17"/>
    </row>
    <row r="3894" spans="9:38" x14ac:dyDescent="0.4">
      <c r="I3894" s="11"/>
      <c r="J3894" s="9"/>
      <c r="K3894" s="9"/>
      <c r="O3894" s="11"/>
      <c r="P3894" s="9"/>
      <c r="Q3894" s="9"/>
      <c r="R3894" s="9"/>
      <c r="S3894" s="9"/>
      <c r="T3894" s="31"/>
      <c r="W3894" s="16"/>
      <c r="X3894" s="9"/>
      <c r="Y3894" s="9"/>
      <c r="AA3894" s="16"/>
      <c r="AK3894" s="16"/>
      <c r="AL3894" s="17"/>
    </row>
    <row r="3895" spans="9:38" x14ac:dyDescent="0.4">
      <c r="I3895" s="11"/>
      <c r="J3895" s="9"/>
      <c r="K3895" s="9"/>
      <c r="O3895" s="11"/>
      <c r="P3895" s="9"/>
      <c r="Q3895" s="9"/>
      <c r="R3895" s="9"/>
      <c r="S3895" s="9"/>
      <c r="T3895" s="31"/>
      <c r="W3895" s="16"/>
      <c r="X3895" s="9"/>
      <c r="Y3895" s="9"/>
      <c r="AA3895" s="16"/>
      <c r="AK3895" s="16"/>
      <c r="AL3895" s="17"/>
    </row>
    <row r="3896" spans="9:38" x14ac:dyDescent="0.4">
      <c r="I3896" s="11"/>
      <c r="J3896" s="9"/>
      <c r="K3896" s="9"/>
      <c r="O3896" s="11"/>
      <c r="P3896" s="9"/>
      <c r="Q3896" s="9"/>
      <c r="R3896" s="9"/>
      <c r="S3896" s="9"/>
      <c r="T3896" s="31"/>
      <c r="W3896" s="16"/>
      <c r="X3896" s="9"/>
      <c r="Y3896" s="9"/>
      <c r="AA3896" s="16"/>
      <c r="AK3896" s="16"/>
      <c r="AL3896" s="17"/>
    </row>
    <row r="3897" spans="9:38" x14ac:dyDescent="0.4">
      <c r="I3897" s="11"/>
      <c r="J3897" s="9"/>
      <c r="K3897" s="9"/>
      <c r="O3897" s="11"/>
      <c r="P3897" s="9"/>
      <c r="Q3897" s="9"/>
      <c r="R3897" s="9"/>
      <c r="S3897" s="9"/>
      <c r="T3897" s="31"/>
      <c r="W3897" s="16"/>
      <c r="X3897" s="9"/>
      <c r="Y3897" s="9"/>
      <c r="AA3897" s="16"/>
      <c r="AK3897" s="16"/>
      <c r="AL3897" s="17"/>
    </row>
    <row r="3898" spans="9:38" x14ac:dyDescent="0.4">
      <c r="I3898" s="11"/>
      <c r="J3898" s="9"/>
      <c r="K3898" s="9"/>
      <c r="O3898" s="11"/>
      <c r="P3898" s="9"/>
      <c r="Q3898" s="9"/>
      <c r="R3898" s="9"/>
      <c r="S3898" s="9"/>
      <c r="T3898" s="31"/>
      <c r="W3898" s="16"/>
      <c r="X3898" s="9"/>
      <c r="Y3898" s="9"/>
      <c r="AA3898" s="16"/>
      <c r="AK3898" s="16"/>
      <c r="AL3898" s="17"/>
    </row>
    <row r="3899" spans="9:38" x14ac:dyDescent="0.4">
      <c r="I3899" s="11"/>
      <c r="J3899" s="9"/>
      <c r="K3899" s="9"/>
      <c r="O3899" s="11"/>
      <c r="P3899" s="9"/>
      <c r="Q3899" s="9"/>
      <c r="R3899" s="9"/>
      <c r="S3899" s="9"/>
      <c r="T3899" s="31"/>
      <c r="W3899" s="16"/>
      <c r="X3899" s="9"/>
      <c r="Y3899" s="9"/>
      <c r="AA3899" s="16"/>
      <c r="AK3899" s="16"/>
      <c r="AL3899" s="17"/>
    </row>
    <row r="3900" spans="9:38" x14ac:dyDescent="0.4">
      <c r="I3900" s="11"/>
      <c r="J3900" s="9"/>
      <c r="K3900" s="9"/>
      <c r="O3900" s="11"/>
      <c r="P3900" s="9"/>
      <c r="Q3900" s="9"/>
      <c r="R3900" s="9"/>
      <c r="S3900" s="9"/>
      <c r="T3900" s="31"/>
      <c r="W3900" s="16"/>
      <c r="X3900" s="9"/>
      <c r="Y3900" s="9"/>
      <c r="AA3900" s="16"/>
      <c r="AK3900" s="16"/>
      <c r="AL3900" s="17"/>
    </row>
    <row r="3901" spans="9:38" x14ac:dyDescent="0.4">
      <c r="I3901" s="11"/>
      <c r="J3901" s="9"/>
      <c r="K3901" s="9"/>
      <c r="O3901" s="11"/>
      <c r="P3901" s="9"/>
      <c r="Q3901" s="9"/>
      <c r="R3901" s="9"/>
      <c r="S3901" s="9"/>
      <c r="T3901" s="31"/>
      <c r="W3901" s="16"/>
      <c r="X3901" s="9"/>
      <c r="Y3901" s="9"/>
      <c r="AA3901" s="16"/>
      <c r="AK3901" s="16"/>
      <c r="AL3901" s="17"/>
    </row>
    <row r="3902" spans="9:38" x14ac:dyDescent="0.4">
      <c r="I3902" s="11"/>
      <c r="J3902" s="9"/>
      <c r="K3902" s="9"/>
      <c r="O3902" s="11"/>
      <c r="P3902" s="9"/>
      <c r="Q3902" s="9"/>
      <c r="R3902" s="9"/>
      <c r="S3902" s="9"/>
      <c r="T3902" s="31"/>
      <c r="W3902" s="16"/>
      <c r="X3902" s="9"/>
      <c r="Y3902" s="9"/>
      <c r="AA3902" s="16"/>
      <c r="AK3902" s="16"/>
      <c r="AL3902" s="17"/>
    </row>
    <row r="3903" spans="9:38" x14ac:dyDescent="0.4">
      <c r="I3903" s="11"/>
      <c r="J3903" s="9"/>
      <c r="K3903" s="9"/>
      <c r="O3903" s="11"/>
      <c r="P3903" s="9"/>
      <c r="Q3903" s="9"/>
      <c r="R3903" s="9"/>
      <c r="S3903" s="9"/>
      <c r="T3903" s="31"/>
      <c r="W3903" s="16"/>
      <c r="X3903" s="9"/>
      <c r="Y3903" s="9"/>
      <c r="AA3903" s="16"/>
      <c r="AK3903" s="16"/>
      <c r="AL3903" s="17"/>
    </row>
    <row r="3904" spans="9:38" x14ac:dyDescent="0.4">
      <c r="I3904" s="11"/>
      <c r="J3904" s="9"/>
      <c r="K3904" s="9"/>
      <c r="O3904" s="11"/>
      <c r="P3904" s="9"/>
      <c r="Q3904" s="9"/>
      <c r="R3904" s="9"/>
      <c r="S3904" s="9"/>
      <c r="T3904" s="31"/>
      <c r="W3904" s="16"/>
      <c r="X3904" s="9"/>
      <c r="Y3904" s="9"/>
      <c r="AA3904" s="16"/>
      <c r="AK3904" s="16"/>
      <c r="AL3904" s="17"/>
    </row>
    <row r="3905" spans="9:38" x14ac:dyDescent="0.4">
      <c r="I3905" s="11"/>
      <c r="J3905" s="9"/>
      <c r="K3905" s="9"/>
      <c r="O3905" s="11"/>
      <c r="P3905" s="9"/>
      <c r="Q3905" s="9"/>
      <c r="R3905" s="9"/>
      <c r="S3905" s="9"/>
      <c r="T3905" s="31"/>
      <c r="W3905" s="16"/>
      <c r="X3905" s="9"/>
      <c r="Y3905" s="9"/>
      <c r="AA3905" s="16"/>
      <c r="AK3905" s="16"/>
      <c r="AL3905" s="17"/>
    </row>
    <row r="3906" spans="9:38" x14ac:dyDescent="0.4">
      <c r="I3906" s="11"/>
      <c r="J3906" s="9"/>
      <c r="K3906" s="9"/>
      <c r="O3906" s="11"/>
      <c r="P3906" s="9"/>
      <c r="Q3906" s="9"/>
      <c r="R3906" s="9"/>
      <c r="S3906" s="9"/>
      <c r="T3906" s="31"/>
      <c r="W3906" s="16"/>
      <c r="X3906" s="9"/>
      <c r="Y3906" s="9"/>
      <c r="AA3906" s="16"/>
      <c r="AK3906" s="16"/>
      <c r="AL3906" s="17"/>
    </row>
    <row r="3907" spans="9:38" x14ac:dyDescent="0.4">
      <c r="I3907" s="11"/>
      <c r="J3907" s="9"/>
      <c r="K3907" s="9"/>
      <c r="O3907" s="11"/>
      <c r="P3907" s="9"/>
      <c r="Q3907" s="9"/>
      <c r="R3907" s="9"/>
      <c r="S3907" s="9"/>
      <c r="T3907" s="31"/>
      <c r="W3907" s="16"/>
      <c r="X3907" s="9"/>
      <c r="Y3907" s="9"/>
      <c r="AA3907" s="16"/>
      <c r="AK3907" s="16"/>
      <c r="AL3907" s="17"/>
    </row>
    <row r="3908" spans="9:38" x14ac:dyDescent="0.4">
      <c r="I3908" s="11"/>
      <c r="J3908" s="9"/>
      <c r="K3908" s="9"/>
      <c r="O3908" s="11"/>
      <c r="P3908" s="9"/>
      <c r="Q3908" s="9"/>
      <c r="R3908" s="9"/>
      <c r="S3908" s="9"/>
      <c r="T3908" s="31"/>
      <c r="W3908" s="16"/>
      <c r="X3908" s="9"/>
      <c r="Y3908" s="9"/>
      <c r="AA3908" s="16"/>
      <c r="AK3908" s="16"/>
      <c r="AL3908" s="17"/>
    </row>
    <row r="3909" spans="9:38" x14ac:dyDescent="0.4">
      <c r="I3909" s="11"/>
      <c r="J3909" s="9"/>
      <c r="K3909" s="9"/>
      <c r="O3909" s="11"/>
      <c r="P3909" s="9"/>
      <c r="Q3909" s="9"/>
      <c r="R3909" s="9"/>
      <c r="S3909" s="9"/>
      <c r="T3909" s="31"/>
      <c r="W3909" s="16"/>
      <c r="X3909" s="9"/>
      <c r="Y3909" s="9"/>
      <c r="AA3909" s="16"/>
      <c r="AK3909" s="16"/>
      <c r="AL3909" s="17"/>
    </row>
    <row r="3910" spans="9:38" x14ac:dyDescent="0.4">
      <c r="I3910" s="11"/>
      <c r="J3910" s="9"/>
      <c r="K3910" s="9"/>
      <c r="O3910" s="11"/>
      <c r="P3910" s="9"/>
      <c r="Q3910" s="9"/>
      <c r="R3910" s="9"/>
      <c r="S3910" s="9"/>
      <c r="T3910" s="31"/>
      <c r="W3910" s="16"/>
      <c r="X3910" s="9"/>
      <c r="Y3910" s="9"/>
      <c r="AA3910" s="16"/>
      <c r="AK3910" s="16"/>
      <c r="AL3910" s="17"/>
    </row>
    <row r="3911" spans="9:38" x14ac:dyDescent="0.4">
      <c r="I3911" s="11"/>
      <c r="J3911" s="9"/>
      <c r="K3911" s="9"/>
      <c r="O3911" s="11"/>
      <c r="P3911" s="9"/>
      <c r="Q3911" s="9"/>
      <c r="R3911" s="9"/>
      <c r="S3911" s="9"/>
      <c r="T3911" s="31"/>
      <c r="W3911" s="16"/>
      <c r="X3911" s="9"/>
      <c r="Y3911" s="9"/>
      <c r="AA3911" s="16"/>
      <c r="AK3911" s="16"/>
      <c r="AL3911" s="17"/>
    </row>
    <row r="3912" spans="9:38" x14ac:dyDescent="0.4">
      <c r="I3912" s="11"/>
      <c r="J3912" s="9"/>
      <c r="K3912" s="9"/>
      <c r="O3912" s="11"/>
      <c r="P3912" s="9"/>
      <c r="Q3912" s="9"/>
      <c r="R3912" s="9"/>
      <c r="S3912" s="9"/>
      <c r="T3912" s="31"/>
      <c r="W3912" s="16"/>
      <c r="X3912" s="9"/>
      <c r="Y3912" s="9"/>
      <c r="AA3912" s="16"/>
      <c r="AK3912" s="16"/>
      <c r="AL3912" s="17"/>
    </row>
    <row r="3913" spans="9:38" x14ac:dyDescent="0.4">
      <c r="I3913" s="11"/>
      <c r="J3913" s="9"/>
      <c r="K3913" s="9"/>
      <c r="O3913" s="11"/>
      <c r="P3913" s="9"/>
      <c r="Q3913" s="9"/>
      <c r="R3913" s="9"/>
      <c r="S3913" s="9"/>
      <c r="T3913" s="31"/>
      <c r="W3913" s="16"/>
      <c r="X3913" s="9"/>
      <c r="Y3913" s="9"/>
      <c r="AA3913" s="16"/>
      <c r="AK3913" s="16"/>
      <c r="AL3913" s="17"/>
    </row>
    <row r="3914" spans="9:38" x14ac:dyDescent="0.4">
      <c r="I3914" s="11"/>
      <c r="J3914" s="9"/>
      <c r="K3914" s="9"/>
      <c r="O3914" s="11"/>
      <c r="P3914" s="9"/>
      <c r="Q3914" s="9"/>
      <c r="R3914" s="9"/>
      <c r="S3914" s="9"/>
      <c r="T3914" s="31"/>
      <c r="W3914" s="16"/>
      <c r="X3914" s="9"/>
      <c r="Y3914" s="9"/>
      <c r="AA3914" s="16"/>
      <c r="AK3914" s="16"/>
      <c r="AL3914" s="17"/>
    </row>
    <row r="3915" spans="9:38" x14ac:dyDescent="0.4">
      <c r="I3915" s="11"/>
      <c r="J3915" s="9"/>
      <c r="K3915" s="9"/>
      <c r="O3915" s="11"/>
      <c r="P3915" s="9"/>
      <c r="Q3915" s="9"/>
      <c r="R3915" s="9"/>
      <c r="S3915" s="9"/>
      <c r="T3915" s="31"/>
      <c r="W3915" s="16"/>
      <c r="X3915" s="9"/>
      <c r="Y3915" s="9"/>
      <c r="AA3915" s="16"/>
      <c r="AK3915" s="16"/>
      <c r="AL3915" s="17"/>
    </row>
    <row r="3916" spans="9:38" x14ac:dyDescent="0.4">
      <c r="I3916" s="11"/>
      <c r="J3916" s="9"/>
      <c r="K3916" s="9"/>
      <c r="O3916" s="11"/>
      <c r="P3916" s="9"/>
      <c r="Q3916" s="9"/>
      <c r="R3916" s="9"/>
      <c r="S3916" s="9"/>
      <c r="T3916" s="31"/>
      <c r="W3916" s="16"/>
      <c r="X3916" s="9"/>
      <c r="Y3916" s="9"/>
      <c r="AA3916" s="16"/>
      <c r="AK3916" s="16"/>
      <c r="AL3916" s="17"/>
    </row>
    <row r="3917" spans="9:38" x14ac:dyDescent="0.4">
      <c r="I3917" s="11"/>
      <c r="J3917" s="9"/>
      <c r="K3917" s="9"/>
      <c r="O3917" s="11"/>
      <c r="P3917" s="9"/>
      <c r="Q3917" s="9"/>
      <c r="R3917" s="9"/>
      <c r="S3917" s="9"/>
      <c r="T3917" s="31"/>
      <c r="W3917" s="16"/>
      <c r="X3917" s="9"/>
      <c r="Y3917" s="9"/>
      <c r="AA3917" s="16"/>
      <c r="AK3917" s="16"/>
      <c r="AL3917" s="17"/>
    </row>
    <row r="3918" spans="9:38" x14ac:dyDescent="0.4">
      <c r="I3918" s="11"/>
      <c r="J3918" s="9"/>
      <c r="K3918" s="9"/>
      <c r="O3918" s="11"/>
      <c r="P3918" s="9"/>
      <c r="Q3918" s="9"/>
      <c r="R3918" s="9"/>
      <c r="S3918" s="9"/>
      <c r="T3918" s="31"/>
      <c r="W3918" s="16"/>
      <c r="X3918" s="9"/>
      <c r="Y3918" s="9"/>
      <c r="AA3918" s="16"/>
      <c r="AK3918" s="16"/>
      <c r="AL3918" s="17"/>
    </row>
    <row r="3919" spans="9:38" x14ac:dyDescent="0.4">
      <c r="I3919" s="11"/>
      <c r="J3919" s="9"/>
      <c r="K3919" s="9"/>
      <c r="O3919" s="11"/>
      <c r="P3919" s="9"/>
      <c r="Q3919" s="9"/>
      <c r="R3919" s="9"/>
      <c r="S3919" s="9"/>
      <c r="T3919" s="31"/>
      <c r="W3919" s="16"/>
      <c r="X3919" s="9"/>
      <c r="Y3919" s="9"/>
      <c r="AA3919" s="16"/>
      <c r="AK3919" s="16"/>
      <c r="AL3919" s="17"/>
    </row>
    <row r="3920" spans="9:38" x14ac:dyDescent="0.4">
      <c r="I3920" s="11"/>
      <c r="J3920" s="9"/>
      <c r="K3920" s="9"/>
      <c r="O3920" s="11"/>
      <c r="P3920" s="9"/>
      <c r="Q3920" s="9"/>
      <c r="R3920" s="9"/>
      <c r="S3920" s="9"/>
      <c r="T3920" s="31"/>
      <c r="W3920" s="16"/>
      <c r="X3920" s="9"/>
      <c r="Y3920" s="9"/>
      <c r="AA3920" s="16"/>
      <c r="AK3920" s="16"/>
      <c r="AL3920" s="17"/>
    </row>
    <row r="3921" spans="9:38" x14ac:dyDescent="0.4">
      <c r="I3921" s="11"/>
      <c r="J3921" s="9"/>
      <c r="K3921" s="9"/>
      <c r="O3921" s="11"/>
      <c r="P3921" s="9"/>
      <c r="Q3921" s="9"/>
      <c r="R3921" s="9"/>
      <c r="S3921" s="9"/>
      <c r="T3921" s="31"/>
      <c r="W3921" s="16"/>
      <c r="X3921" s="9"/>
      <c r="Y3921" s="9"/>
      <c r="AA3921" s="16"/>
      <c r="AK3921" s="16"/>
      <c r="AL3921" s="17"/>
    </row>
    <row r="3922" spans="9:38" x14ac:dyDescent="0.4">
      <c r="I3922" s="11"/>
      <c r="J3922" s="9"/>
      <c r="K3922" s="9"/>
      <c r="O3922" s="11"/>
      <c r="P3922" s="9"/>
      <c r="Q3922" s="9"/>
      <c r="R3922" s="9"/>
      <c r="S3922" s="9"/>
      <c r="T3922" s="31"/>
      <c r="W3922" s="16"/>
      <c r="X3922" s="9"/>
      <c r="Y3922" s="9"/>
      <c r="AA3922" s="16"/>
      <c r="AK3922" s="16"/>
      <c r="AL3922" s="17"/>
    </row>
    <row r="3923" spans="9:38" x14ac:dyDescent="0.4">
      <c r="I3923" s="11"/>
      <c r="J3923" s="9"/>
      <c r="K3923" s="9"/>
      <c r="O3923" s="11"/>
      <c r="P3923" s="9"/>
      <c r="Q3923" s="9"/>
      <c r="R3923" s="9"/>
      <c r="S3923" s="9"/>
      <c r="T3923" s="31"/>
      <c r="W3923" s="16"/>
      <c r="X3923" s="9"/>
      <c r="Y3923" s="9"/>
      <c r="AA3923" s="16"/>
      <c r="AK3923" s="16"/>
      <c r="AL3923" s="17"/>
    </row>
    <row r="3924" spans="9:38" x14ac:dyDescent="0.4">
      <c r="I3924" s="11"/>
      <c r="J3924" s="9"/>
      <c r="K3924" s="9"/>
      <c r="O3924" s="11"/>
      <c r="P3924" s="9"/>
      <c r="Q3924" s="9"/>
      <c r="R3924" s="9"/>
      <c r="S3924" s="9"/>
      <c r="T3924" s="31"/>
      <c r="W3924" s="16"/>
      <c r="X3924" s="9"/>
      <c r="Y3924" s="9"/>
      <c r="AA3924" s="16"/>
      <c r="AK3924" s="16"/>
      <c r="AL3924" s="17"/>
    </row>
    <row r="3925" spans="9:38" x14ac:dyDescent="0.4">
      <c r="I3925" s="11"/>
      <c r="J3925" s="9"/>
      <c r="K3925" s="9"/>
      <c r="O3925" s="11"/>
      <c r="P3925" s="9"/>
      <c r="Q3925" s="9"/>
      <c r="R3925" s="9"/>
      <c r="S3925" s="9"/>
      <c r="T3925" s="31"/>
      <c r="W3925" s="16"/>
      <c r="X3925" s="9"/>
      <c r="Y3925" s="9"/>
      <c r="AA3925" s="16"/>
      <c r="AK3925" s="16"/>
      <c r="AL3925" s="17"/>
    </row>
    <row r="3926" spans="9:38" x14ac:dyDescent="0.4">
      <c r="I3926" s="11"/>
      <c r="J3926" s="9"/>
      <c r="K3926" s="9"/>
      <c r="O3926" s="11"/>
      <c r="P3926" s="9"/>
      <c r="Q3926" s="9"/>
      <c r="R3926" s="9"/>
      <c r="S3926" s="9"/>
      <c r="T3926" s="31"/>
      <c r="W3926" s="16"/>
      <c r="X3926" s="9"/>
      <c r="Y3926" s="9"/>
      <c r="AA3926" s="16"/>
      <c r="AK3926" s="16"/>
      <c r="AL3926" s="17"/>
    </row>
    <row r="3927" spans="9:38" x14ac:dyDescent="0.4">
      <c r="I3927" s="11"/>
      <c r="J3927" s="9"/>
      <c r="K3927" s="9"/>
      <c r="O3927" s="11"/>
      <c r="P3927" s="9"/>
      <c r="Q3927" s="9"/>
      <c r="R3927" s="9"/>
      <c r="S3927" s="9"/>
      <c r="T3927" s="31"/>
      <c r="W3927" s="16"/>
      <c r="X3927" s="9"/>
      <c r="Y3927" s="9"/>
      <c r="AA3927" s="16"/>
      <c r="AK3927" s="16"/>
      <c r="AL3927" s="17"/>
    </row>
    <row r="3928" spans="9:38" x14ac:dyDescent="0.4">
      <c r="I3928" s="11"/>
      <c r="J3928" s="9"/>
      <c r="K3928" s="9"/>
      <c r="O3928" s="11"/>
      <c r="P3928" s="9"/>
      <c r="Q3928" s="9"/>
      <c r="R3928" s="9"/>
      <c r="S3928" s="9"/>
      <c r="T3928" s="31"/>
      <c r="W3928" s="16"/>
      <c r="X3928" s="9"/>
      <c r="Y3928" s="9"/>
      <c r="AA3928" s="16"/>
      <c r="AK3928" s="16"/>
      <c r="AL3928" s="17"/>
    </row>
    <row r="3929" spans="9:38" x14ac:dyDescent="0.4">
      <c r="I3929" s="11"/>
      <c r="J3929" s="9"/>
      <c r="K3929" s="9"/>
      <c r="O3929" s="11"/>
      <c r="P3929" s="9"/>
      <c r="Q3929" s="9"/>
      <c r="R3929" s="9"/>
      <c r="S3929" s="9"/>
      <c r="T3929" s="31"/>
      <c r="W3929" s="16"/>
      <c r="X3929" s="9"/>
      <c r="Y3929" s="9"/>
      <c r="AA3929" s="16"/>
      <c r="AK3929" s="16"/>
      <c r="AL3929" s="17"/>
    </row>
    <row r="3930" spans="9:38" x14ac:dyDescent="0.4">
      <c r="I3930" s="11"/>
      <c r="J3930" s="9"/>
      <c r="K3930" s="9"/>
      <c r="O3930" s="11"/>
      <c r="P3930" s="9"/>
      <c r="Q3930" s="9"/>
      <c r="R3930" s="9"/>
      <c r="S3930" s="9"/>
      <c r="T3930" s="31"/>
      <c r="W3930" s="16"/>
      <c r="X3930" s="9"/>
      <c r="Y3930" s="9"/>
      <c r="AA3930" s="16"/>
      <c r="AK3930" s="16"/>
      <c r="AL3930" s="17"/>
    </row>
    <row r="3931" spans="9:38" x14ac:dyDescent="0.4">
      <c r="I3931" s="11"/>
      <c r="J3931" s="9"/>
      <c r="K3931" s="9"/>
      <c r="O3931" s="11"/>
      <c r="P3931" s="9"/>
      <c r="Q3931" s="9"/>
      <c r="R3931" s="9"/>
      <c r="S3931" s="9"/>
      <c r="T3931" s="31"/>
      <c r="W3931" s="16"/>
      <c r="X3931" s="9"/>
      <c r="Y3931" s="9"/>
      <c r="AA3931" s="16"/>
      <c r="AK3931" s="16"/>
      <c r="AL3931" s="17"/>
    </row>
    <row r="3932" spans="9:38" x14ac:dyDescent="0.4">
      <c r="I3932" s="11"/>
      <c r="J3932" s="9"/>
      <c r="K3932" s="9"/>
      <c r="O3932" s="11"/>
      <c r="P3932" s="9"/>
      <c r="Q3932" s="9"/>
      <c r="R3932" s="9"/>
      <c r="S3932" s="9"/>
      <c r="T3932" s="31"/>
      <c r="W3932" s="16"/>
      <c r="X3932" s="9"/>
      <c r="Y3932" s="9"/>
      <c r="AA3932" s="16"/>
      <c r="AK3932" s="16"/>
      <c r="AL3932" s="17"/>
    </row>
    <row r="3933" spans="9:38" x14ac:dyDescent="0.4">
      <c r="I3933" s="11"/>
      <c r="J3933" s="9"/>
      <c r="K3933" s="9"/>
      <c r="O3933" s="11"/>
      <c r="P3933" s="9"/>
      <c r="Q3933" s="9"/>
      <c r="R3933" s="9"/>
      <c r="S3933" s="9"/>
      <c r="T3933" s="31"/>
      <c r="W3933" s="16"/>
      <c r="X3933" s="9"/>
      <c r="Y3933" s="9"/>
      <c r="AA3933" s="16"/>
      <c r="AK3933" s="16"/>
      <c r="AL3933" s="17"/>
    </row>
    <row r="3934" spans="9:38" x14ac:dyDescent="0.4">
      <c r="I3934" s="11"/>
      <c r="J3934" s="9"/>
      <c r="K3934" s="9"/>
      <c r="O3934" s="11"/>
      <c r="P3934" s="9"/>
      <c r="Q3934" s="9"/>
      <c r="R3934" s="9"/>
      <c r="S3934" s="9"/>
      <c r="T3934" s="31"/>
      <c r="W3934" s="16"/>
      <c r="X3934" s="9"/>
      <c r="Y3934" s="9"/>
      <c r="AA3934" s="16"/>
      <c r="AK3934" s="16"/>
      <c r="AL3934" s="17"/>
    </row>
    <row r="3935" spans="9:38" x14ac:dyDescent="0.4">
      <c r="I3935" s="11"/>
      <c r="J3935" s="9"/>
      <c r="K3935" s="9"/>
      <c r="O3935" s="11"/>
      <c r="P3935" s="9"/>
      <c r="Q3935" s="9"/>
      <c r="R3935" s="9"/>
      <c r="S3935" s="9"/>
      <c r="T3935" s="31"/>
      <c r="W3935" s="16"/>
      <c r="X3935" s="9"/>
      <c r="Y3935" s="9"/>
      <c r="AA3935" s="16"/>
      <c r="AK3935" s="16"/>
      <c r="AL3935" s="17"/>
    </row>
    <row r="3936" spans="9:38" x14ac:dyDescent="0.4">
      <c r="I3936" s="11"/>
      <c r="J3936" s="9"/>
      <c r="K3936" s="9"/>
      <c r="O3936" s="11"/>
      <c r="P3936" s="9"/>
      <c r="Q3936" s="9"/>
      <c r="R3936" s="9"/>
      <c r="S3936" s="9"/>
      <c r="T3936" s="31"/>
      <c r="W3936" s="16"/>
      <c r="X3936" s="9"/>
      <c r="Y3936" s="9"/>
      <c r="AA3936" s="16"/>
      <c r="AK3936" s="16"/>
      <c r="AL3936" s="17"/>
    </row>
    <row r="3937" spans="9:38" x14ac:dyDescent="0.4">
      <c r="I3937" s="11"/>
      <c r="J3937" s="9"/>
      <c r="K3937" s="9"/>
      <c r="O3937" s="11"/>
      <c r="P3937" s="9"/>
      <c r="Q3937" s="9"/>
      <c r="R3937" s="9"/>
      <c r="S3937" s="9"/>
      <c r="T3937" s="31"/>
      <c r="W3937" s="16"/>
      <c r="X3937" s="9"/>
      <c r="Y3937" s="9"/>
      <c r="AA3937" s="16"/>
      <c r="AK3937" s="16"/>
      <c r="AL3937" s="17"/>
    </row>
    <row r="3938" spans="9:38" x14ac:dyDescent="0.4">
      <c r="I3938" s="11"/>
      <c r="J3938" s="9"/>
      <c r="K3938" s="9"/>
      <c r="O3938" s="11"/>
      <c r="P3938" s="9"/>
      <c r="Q3938" s="9"/>
      <c r="R3938" s="9"/>
      <c r="S3938" s="9"/>
      <c r="T3938" s="31"/>
      <c r="W3938" s="16"/>
      <c r="X3938" s="9"/>
      <c r="Y3938" s="9"/>
      <c r="AA3938" s="16"/>
      <c r="AK3938" s="16"/>
      <c r="AL3938" s="17"/>
    </row>
    <row r="3939" spans="9:38" x14ac:dyDescent="0.4">
      <c r="I3939" s="11"/>
      <c r="J3939" s="9"/>
      <c r="K3939" s="9"/>
      <c r="O3939" s="11"/>
      <c r="P3939" s="9"/>
      <c r="Q3939" s="9"/>
      <c r="R3939" s="9"/>
      <c r="S3939" s="9"/>
      <c r="T3939" s="31"/>
      <c r="W3939" s="16"/>
      <c r="X3939" s="9"/>
      <c r="Y3939" s="9"/>
      <c r="AA3939" s="16"/>
      <c r="AK3939" s="16"/>
      <c r="AL3939" s="17"/>
    </row>
    <row r="3940" spans="9:38" x14ac:dyDescent="0.4">
      <c r="I3940" s="11"/>
      <c r="J3940" s="9"/>
      <c r="K3940" s="9"/>
      <c r="O3940" s="11"/>
      <c r="P3940" s="9"/>
      <c r="Q3940" s="9"/>
      <c r="R3940" s="9"/>
      <c r="S3940" s="9"/>
      <c r="T3940" s="31"/>
      <c r="W3940" s="16"/>
      <c r="X3940" s="9"/>
      <c r="Y3940" s="9"/>
      <c r="AA3940" s="16"/>
      <c r="AK3940" s="16"/>
      <c r="AL3940" s="17"/>
    </row>
    <row r="3941" spans="9:38" x14ac:dyDescent="0.4">
      <c r="I3941" s="11"/>
      <c r="J3941" s="9"/>
      <c r="K3941" s="9"/>
      <c r="O3941" s="11"/>
      <c r="P3941" s="9"/>
      <c r="Q3941" s="9"/>
      <c r="R3941" s="9"/>
      <c r="S3941" s="9"/>
      <c r="T3941" s="31"/>
      <c r="W3941" s="16"/>
      <c r="X3941" s="9"/>
      <c r="Y3941" s="9"/>
      <c r="AA3941" s="16"/>
      <c r="AK3941" s="16"/>
      <c r="AL3941" s="17"/>
    </row>
    <row r="3942" spans="9:38" x14ac:dyDescent="0.4">
      <c r="I3942" s="11"/>
      <c r="J3942" s="9"/>
      <c r="K3942" s="9"/>
      <c r="O3942" s="11"/>
      <c r="P3942" s="9"/>
      <c r="Q3942" s="9"/>
      <c r="R3942" s="9"/>
      <c r="S3942" s="9"/>
      <c r="T3942" s="31"/>
      <c r="W3942" s="16"/>
      <c r="X3942" s="9"/>
      <c r="Y3942" s="9"/>
      <c r="AA3942" s="16"/>
      <c r="AK3942" s="16"/>
      <c r="AL3942" s="17"/>
    </row>
    <row r="3943" spans="9:38" x14ac:dyDescent="0.4">
      <c r="I3943" s="11"/>
      <c r="J3943" s="9"/>
      <c r="K3943" s="9"/>
      <c r="O3943" s="11"/>
      <c r="P3943" s="9"/>
      <c r="Q3943" s="9"/>
      <c r="R3943" s="9"/>
      <c r="S3943" s="9"/>
      <c r="T3943" s="31"/>
      <c r="W3943" s="16"/>
      <c r="X3943" s="9"/>
      <c r="Y3943" s="9"/>
      <c r="AA3943" s="16"/>
      <c r="AK3943" s="16"/>
      <c r="AL3943" s="17"/>
    </row>
    <row r="3944" spans="9:38" x14ac:dyDescent="0.4">
      <c r="I3944" s="11"/>
      <c r="J3944" s="9"/>
      <c r="K3944" s="9"/>
      <c r="O3944" s="11"/>
      <c r="P3944" s="9"/>
      <c r="Q3944" s="9"/>
      <c r="R3944" s="9"/>
      <c r="S3944" s="9"/>
      <c r="T3944" s="31"/>
      <c r="W3944" s="16"/>
      <c r="X3944" s="9"/>
      <c r="Y3944" s="9"/>
      <c r="AA3944" s="16"/>
      <c r="AK3944" s="16"/>
      <c r="AL3944" s="17"/>
    </row>
    <row r="3945" spans="9:38" x14ac:dyDescent="0.4">
      <c r="I3945" s="11"/>
      <c r="J3945" s="9"/>
      <c r="K3945" s="9"/>
      <c r="O3945" s="11"/>
      <c r="P3945" s="9"/>
      <c r="Q3945" s="9"/>
      <c r="R3945" s="9"/>
      <c r="S3945" s="9"/>
      <c r="T3945" s="31"/>
      <c r="W3945" s="16"/>
      <c r="X3945" s="9"/>
      <c r="Y3945" s="9"/>
      <c r="AA3945" s="16"/>
      <c r="AK3945" s="16"/>
      <c r="AL3945" s="17"/>
    </row>
    <row r="3946" spans="9:38" x14ac:dyDescent="0.4">
      <c r="I3946" s="11"/>
      <c r="J3946" s="9"/>
      <c r="K3946" s="9"/>
      <c r="O3946" s="11"/>
      <c r="P3946" s="9"/>
      <c r="Q3946" s="9"/>
      <c r="R3946" s="9"/>
      <c r="S3946" s="9"/>
      <c r="T3946" s="31"/>
      <c r="W3946" s="16"/>
      <c r="X3946" s="9"/>
      <c r="Y3946" s="9"/>
      <c r="AA3946" s="16"/>
      <c r="AK3946" s="16"/>
      <c r="AL3946" s="17"/>
    </row>
    <row r="3947" spans="9:38" x14ac:dyDescent="0.4">
      <c r="I3947" s="11"/>
      <c r="J3947" s="9"/>
      <c r="K3947" s="9"/>
      <c r="O3947" s="11"/>
      <c r="P3947" s="9"/>
      <c r="Q3947" s="9"/>
      <c r="R3947" s="9"/>
      <c r="S3947" s="9"/>
      <c r="T3947" s="31"/>
      <c r="W3947" s="16"/>
      <c r="X3947" s="9"/>
      <c r="Y3947" s="9"/>
      <c r="AA3947" s="16"/>
      <c r="AK3947" s="16"/>
      <c r="AL3947" s="17"/>
    </row>
    <row r="3948" spans="9:38" x14ac:dyDescent="0.4">
      <c r="I3948" s="11"/>
      <c r="J3948" s="9"/>
      <c r="K3948" s="9"/>
      <c r="O3948" s="11"/>
      <c r="P3948" s="9"/>
      <c r="Q3948" s="9"/>
      <c r="R3948" s="9"/>
      <c r="S3948" s="9"/>
      <c r="T3948" s="31"/>
      <c r="W3948" s="16"/>
      <c r="X3948" s="9"/>
      <c r="Y3948" s="9"/>
      <c r="AA3948" s="16"/>
      <c r="AK3948" s="16"/>
      <c r="AL3948" s="17"/>
    </row>
    <row r="3949" spans="9:38" x14ac:dyDescent="0.4">
      <c r="I3949" s="11"/>
      <c r="J3949" s="9"/>
      <c r="K3949" s="9"/>
      <c r="O3949" s="11"/>
      <c r="P3949" s="9"/>
      <c r="Q3949" s="9"/>
      <c r="R3949" s="9"/>
      <c r="S3949" s="9"/>
      <c r="T3949" s="31"/>
      <c r="W3949" s="16"/>
      <c r="X3949" s="9"/>
      <c r="Y3949" s="9"/>
      <c r="AA3949" s="16"/>
      <c r="AK3949" s="16"/>
      <c r="AL3949" s="17"/>
    </row>
    <row r="3950" spans="9:38" x14ac:dyDescent="0.4">
      <c r="I3950" s="11"/>
      <c r="J3950" s="9"/>
      <c r="K3950" s="9"/>
      <c r="O3950" s="11"/>
      <c r="P3950" s="9"/>
      <c r="Q3950" s="9"/>
      <c r="R3950" s="9"/>
      <c r="S3950" s="9"/>
      <c r="T3950" s="31"/>
      <c r="W3950" s="16"/>
      <c r="X3950" s="9"/>
      <c r="Y3950" s="9"/>
      <c r="AA3950" s="16"/>
      <c r="AK3950" s="16"/>
      <c r="AL3950" s="17"/>
    </row>
    <row r="3951" spans="9:38" x14ac:dyDescent="0.4">
      <c r="I3951" s="11"/>
      <c r="J3951" s="9"/>
      <c r="K3951" s="9"/>
      <c r="O3951" s="11"/>
      <c r="P3951" s="9"/>
      <c r="Q3951" s="9"/>
      <c r="R3951" s="9"/>
      <c r="S3951" s="9"/>
      <c r="T3951" s="31"/>
      <c r="W3951" s="16"/>
      <c r="X3951" s="9"/>
      <c r="Y3951" s="9"/>
      <c r="AA3951" s="16"/>
      <c r="AK3951" s="16"/>
      <c r="AL3951" s="17"/>
    </row>
    <row r="3952" spans="9:38" x14ac:dyDescent="0.4">
      <c r="I3952" s="11"/>
      <c r="J3952" s="9"/>
      <c r="K3952" s="9"/>
      <c r="O3952" s="11"/>
      <c r="P3952" s="9"/>
      <c r="Q3952" s="9"/>
      <c r="R3952" s="9"/>
      <c r="S3952" s="9"/>
      <c r="T3952" s="31"/>
      <c r="W3952" s="16"/>
      <c r="X3952" s="9"/>
      <c r="Y3952" s="9"/>
      <c r="AA3952" s="16"/>
      <c r="AK3952" s="16"/>
      <c r="AL3952" s="17"/>
    </row>
    <row r="3953" spans="9:38" x14ac:dyDescent="0.4">
      <c r="I3953" s="11"/>
      <c r="J3953" s="9"/>
      <c r="K3953" s="9"/>
      <c r="O3953" s="11"/>
      <c r="P3953" s="9"/>
      <c r="Q3953" s="9"/>
      <c r="R3953" s="9"/>
      <c r="S3953" s="9"/>
      <c r="T3953" s="31"/>
      <c r="W3953" s="16"/>
      <c r="X3953" s="9"/>
      <c r="Y3953" s="9"/>
      <c r="AA3953" s="16"/>
      <c r="AK3953" s="16"/>
      <c r="AL3953" s="17"/>
    </row>
    <row r="3954" spans="9:38" x14ac:dyDescent="0.4">
      <c r="I3954" s="11"/>
      <c r="J3954" s="9"/>
      <c r="K3954" s="9"/>
      <c r="O3954" s="11"/>
      <c r="P3954" s="9"/>
      <c r="Q3954" s="9"/>
      <c r="R3954" s="9"/>
      <c r="S3954" s="9"/>
      <c r="T3954" s="31"/>
      <c r="W3954" s="16"/>
      <c r="X3954" s="9"/>
      <c r="Y3954" s="9"/>
      <c r="AA3954" s="16"/>
      <c r="AK3954" s="16"/>
      <c r="AL3954" s="17"/>
    </row>
    <row r="3955" spans="9:38" x14ac:dyDescent="0.4">
      <c r="I3955" s="11"/>
      <c r="J3955" s="9"/>
      <c r="K3955" s="9"/>
      <c r="O3955" s="11"/>
      <c r="P3955" s="9"/>
      <c r="Q3955" s="9"/>
      <c r="R3955" s="9"/>
      <c r="S3955" s="9"/>
      <c r="T3955" s="31"/>
      <c r="W3955" s="16"/>
      <c r="X3955" s="9"/>
      <c r="Y3955" s="9"/>
      <c r="AA3955" s="16"/>
      <c r="AK3955" s="16"/>
      <c r="AL3955" s="17"/>
    </row>
    <row r="3956" spans="9:38" x14ac:dyDescent="0.4">
      <c r="I3956" s="11"/>
      <c r="J3956" s="9"/>
      <c r="K3956" s="9"/>
      <c r="O3956" s="11"/>
      <c r="P3956" s="9"/>
      <c r="Q3956" s="9"/>
      <c r="R3956" s="9"/>
      <c r="S3956" s="9"/>
      <c r="T3956" s="31"/>
      <c r="W3956" s="16"/>
      <c r="X3956" s="9"/>
      <c r="Y3956" s="9"/>
      <c r="AA3956" s="16"/>
      <c r="AK3956" s="16"/>
      <c r="AL3956" s="17"/>
    </row>
    <row r="3957" spans="9:38" x14ac:dyDescent="0.4">
      <c r="I3957" s="11"/>
      <c r="J3957" s="9"/>
      <c r="K3957" s="9"/>
      <c r="O3957" s="11"/>
      <c r="P3957" s="9"/>
      <c r="Q3957" s="9"/>
      <c r="R3957" s="9"/>
      <c r="S3957" s="9"/>
      <c r="T3957" s="31"/>
      <c r="W3957" s="16"/>
      <c r="X3957" s="9"/>
      <c r="Y3957" s="9"/>
      <c r="AA3957" s="16"/>
      <c r="AK3957" s="16"/>
      <c r="AL3957" s="17"/>
    </row>
    <row r="3958" spans="9:38" x14ac:dyDescent="0.4">
      <c r="I3958" s="11"/>
      <c r="J3958" s="9"/>
      <c r="K3958" s="9"/>
      <c r="O3958" s="11"/>
      <c r="P3958" s="9"/>
      <c r="Q3958" s="9"/>
      <c r="R3958" s="9"/>
      <c r="S3958" s="9"/>
      <c r="T3958" s="31"/>
      <c r="W3958" s="16"/>
      <c r="X3958" s="9"/>
      <c r="Y3958" s="9"/>
      <c r="AA3958" s="16"/>
      <c r="AK3958" s="16"/>
      <c r="AL3958" s="17"/>
    </row>
    <row r="3959" spans="9:38" x14ac:dyDescent="0.4">
      <c r="I3959" s="11"/>
      <c r="J3959" s="9"/>
      <c r="K3959" s="9"/>
      <c r="O3959" s="11"/>
      <c r="P3959" s="9"/>
      <c r="Q3959" s="9"/>
      <c r="R3959" s="9"/>
      <c r="S3959" s="9"/>
      <c r="T3959" s="31"/>
      <c r="W3959" s="16"/>
      <c r="X3959" s="9"/>
      <c r="Y3959" s="9"/>
      <c r="AA3959" s="16"/>
      <c r="AK3959" s="16"/>
      <c r="AL3959" s="17"/>
    </row>
    <row r="3960" spans="9:38" x14ac:dyDescent="0.4">
      <c r="I3960" s="11"/>
      <c r="J3960" s="9"/>
      <c r="K3960" s="9"/>
      <c r="O3960" s="11"/>
      <c r="P3960" s="9"/>
      <c r="Q3960" s="9"/>
      <c r="R3960" s="9"/>
      <c r="S3960" s="9"/>
      <c r="T3960" s="31"/>
      <c r="W3960" s="16"/>
      <c r="X3960" s="9"/>
      <c r="Y3960" s="9"/>
      <c r="AA3960" s="16"/>
      <c r="AK3960" s="16"/>
      <c r="AL3960" s="17"/>
    </row>
    <row r="3961" spans="9:38" x14ac:dyDescent="0.4">
      <c r="I3961" s="11"/>
      <c r="J3961" s="9"/>
      <c r="K3961" s="9"/>
      <c r="O3961" s="11"/>
      <c r="P3961" s="9"/>
      <c r="Q3961" s="9"/>
      <c r="R3961" s="9"/>
      <c r="S3961" s="9"/>
      <c r="T3961" s="31"/>
      <c r="W3961" s="16"/>
      <c r="X3961" s="9"/>
      <c r="Y3961" s="9"/>
      <c r="AA3961" s="16"/>
      <c r="AK3961" s="16"/>
      <c r="AL3961" s="17"/>
    </row>
    <row r="3962" spans="9:38" x14ac:dyDescent="0.4">
      <c r="I3962" s="11"/>
      <c r="J3962" s="9"/>
      <c r="K3962" s="9"/>
      <c r="O3962" s="11"/>
      <c r="P3962" s="9"/>
      <c r="Q3962" s="9"/>
      <c r="R3962" s="9"/>
      <c r="S3962" s="9"/>
      <c r="T3962" s="31"/>
      <c r="W3962" s="16"/>
      <c r="X3962" s="9"/>
      <c r="Y3962" s="9"/>
      <c r="AA3962" s="16"/>
      <c r="AK3962" s="16"/>
      <c r="AL3962" s="17"/>
    </row>
    <row r="3963" spans="9:38" x14ac:dyDescent="0.4">
      <c r="I3963" s="11"/>
      <c r="J3963" s="9"/>
      <c r="K3963" s="9"/>
      <c r="O3963" s="11"/>
      <c r="P3963" s="9"/>
      <c r="Q3963" s="9"/>
      <c r="R3963" s="9"/>
      <c r="S3963" s="9"/>
      <c r="T3963" s="31"/>
      <c r="W3963" s="16"/>
      <c r="X3963" s="9"/>
      <c r="Y3963" s="9"/>
      <c r="AA3963" s="16"/>
      <c r="AK3963" s="16"/>
      <c r="AL3963" s="17"/>
    </row>
    <row r="3964" spans="9:38" x14ac:dyDescent="0.4">
      <c r="I3964" s="11"/>
      <c r="J3964" s="9"/>
      <c r="K3964" s="9"/>
      <c r="O3964" s="11"/>
      <c r="P3964" s="9"/>
      <c r="Q3964" s="9"/>
      <c r="R3964" s="9"/>
      <c r="S3964" s="9"/>
      <c r="T3964" s="31"/>
      <c r="W3964" s="16"/>
      <c r="X3964" s="9"/>
      <c r="Y3964" s="9"/>
      <c r="AA3964" s="16"/>
      <c r="AK3964" s="16"/>
      <c r="AL3964" s="17"/>
    </row>
    <row r="3965" spans="9:38" x14ac:dyDescent="0.4">
      <c r="I3965" s="11"/>
      <c r="J3965" s="9"/>
      <c r="K3965" s="9"/>
      <c r="O3965" s="11"/>
      <c r="P3965" s="9"/>
      <c r="Q3965" s="9"/>
      <c r="R3965" s="9"/>
      <c r="S3965" s="9"/>
      <c r="T3965" s="31"/>
      <c r="W3965" s="16"/>
      <c r="X3965" s="9"/>
      <c r="Y3965" s="9"/>
      <c r="AA3965" s="16"/>
      <c r="AK3965" s="16"/>
      <c r="AL3965" s="17"/>
    </row>
    <row r="3966" spans="9:38" x14ac:dyDescent="0.4">
      <c r="I3966" s="11"/>
      <c r="J3966" s="9"/>
      <c r="K3966" s="9"/>
      <c r="O3966" s="11"/>
      <c r="P3966" s="9"/>
      <c r="Q3966" s="9"/>
      <c r="R3966" s="9"/>
      <c r="S3966" s="9"/>
      <c r="T3966" s="31"/>
      <c r="W3966" s="16"/>
      <c r="X3966" s="9"/>
      <c r="Y3966" s="9"/>
      <c r="AA3966" s="16"/>
      <c r="AK3966" s="16"/>
      <c r="AL3966" s="17"/>
    </row>
    <row r="3967" spans="9:38" x14ac:dyDescent="0.4">
      <c r="I3967" s="11"/>
      <c r="J3967" s="9"/>
      <c r="K3967" s="9"/>
      <c r="O3967" s="11"/>
      <c r="P3967" s="9"/>
      <c r="Q3967" s="9"/>
      <c r="R3967" s="9"/>
      <c r="S3967" s="9"/>
      <c r="T3967" s="31"/>
      <c r="W3967" s="16"/>
      <c r="X3967" s="9"/>
      <c r="Y3967" s="9"/>
      <c r="AA3967" s="16"/>
      <c r="AK3967" s="16"/>
      <c r="AL3967" s="17"/>
    </row>
    <row r="3968" spans="9:38" x14ac:dyDescent="0.4">
      <c r="I3968" s="11"/>
      <c r="J3968" s="9"/>
      <c r="K3968" s="9"/>
      <c r="O3968" s="11"/>
      <c r="P3968" s="9"/>
      <c r="Q3968" s="9"/>
      <c r="R3968" s="9"/>
      <c r="S3968" s="9"/>
      <c r="T3968" s="31"/>
      <c r="W3968" s="16"/>
      <c r="X3968" s="9"/>
      <c r="Y3968" s="9"/>
      <c r="AA3968" s="16"/>
      <c r="AK3968" s="16"/>
      <c r="AL3968" s="17"/>
    </row>
    <row r="3969" spans="9:38" x14ac:dyDescent="0.4">
      <c r="I3969" s="11"/>
      <c r="J3969" s="9"/>
      <c r="K3969" s="9"/>
      <c r="O3969" s="11"/>
      <c r="P3969" s="9"/>
      <c r="Q3969" s="9"/>
      <c r="R3969" s="9"/>
      <c r="S3969" s="9"/>
      <c r="T3969" s="31"/>
      <c r="W3969" s="16"/>
      <c r="X3969" s="9"/>
      <c r="Y3969" s="9"/>
      <c r="AA3969" s="16"/>
      <c r="AK3969" s="16"/>
      <c r="AL3969" s="17"/>
    </row>
    <row r="3970" spans="9:38" x14ac:dyDescent="0.4">
      <c r="I3970" s="11"/>
      <c r="J3970" s="9"/>
      <c r="K3970" s="9"/>
      <c r="O3970" s="11"/>
      <c r="P3970" s="9"/>
      <c r="Q3970" s="9"/>
      <c r="R3970" s="9"/>
      <c r="S3970" s="9"/>
      <c r="T3970" s="31"/>
      <c r="W3970" s="16"/>
      <c r="X3970" s="9"/>
      <c r="Y3970" s="9"/>
      <c r="AA3970" s="16"/>
      <c r="AK3970" s="16"/>
      <c r="AL3970" s="17"/>
    </row>
    <row r="3971" spans="9:38" x14ac:dyDescent="0.4">
      <c r="I3971" s="11"/>
      <c r="J3971" s="9"/>
      <c r="K3971" s="9"/>
      <c r="O3971" s="11"/>
      <c r="P3971" s="9"/>
      <c r="Q3971" s="9"/>
      <c r="R3971" s="9"/>
      <c r="S3971" s="9"/>
      <c r="T3971" s="31"/>
      <c r="W3971" s="16"/>
      <c r="X3971" s="9"/>
      <c r="Y3971" s="9"/>
      <c r="AA3971" s="16"/>
      <c r="AK3971" s="16"/>
      <c r="AL3971" s="17"/>
    </row>
    <row r="3972" spans="9:38" x14ac:dyDescent="0.4">
      <c r="I3972" s="11"/>
      <c r="J3972" s="9"/>
      <c r="K3972" s="9"/>
      <c r="O3972" s="11"/>
      <c r="P3972" s="9"/>
      <c r="Q3972" s="9"/>
      <c r="R3972" s="9"/>
      <c r="S3972" s="9"/>
      <c r="T3972" s="31"/>
      <c r="W3972" s="16"/>
      <c r="X3972" s="9"/>
      <c r="Y3972" s="9"/>
      <c r="AA3972" s="16"/>
      <c r="AK3972" s="16"/>
      <c r="AL3972" s="17"/>
    </row>
    <row r="3973" spans="9:38" x14ac:dyDescent="0.4">
      <c r="I3973" s="11"/>
      <c r="J3973" s="9"/>
      <c r="K3973" s="9"/>
      <c r="O3973" s="11"/>
      <c r="P3973" s="9"/>
      <c r="Q3973" s="9"/>
      <c r="R3973" s="9"/>
      <c r="S3973" s="9"/>
      <c r="T3973" s="31"/>
      <c r="W3973" s="16"/>
      <c r="X3973" s="9"/>
      <c r="Y3973" s="9"/>
      <c r="AA3973" s="16"/>
      <c r="AK3973" s="16"/>
      <c r="AL3973" s="17"/>
    </row>
    <row r="3974" spans="9:38" x14ac:dyDescent="0.4">
      <c r="I3974" s="11"/>
      <c r="J3974" s="9"/>
      <c r="K3974" s="9"/>
      <c r="O3974" s="11"/>
      <c r="P3974" s="9"/>
      <c r="Q3974" s="9"/>
      <c r="R3974" s="9"/>
      <c r="S3974" s="9"/>
      <c r="T3974" s="31"/>
      <c r="W3974" s="16"/>
      <c r="X3974" s="9"/>
      <c r="Y3974" s="9"/>
      <c r="AA3974" s="16"/>
      <c r="AK3974" s="16"/>
      <c r="AL3974" s="17"/>
    </row>
    <row r="3975" spans="9:38" x14ac:dyDescent="0.4">
      <c r="I3975" s="11"/>
      <c r="J3975" s="9"/>
      <c r="K3975" s="9"/>
      <c r="O3975" s="11"/>
      <c r="P3975" s="9"/>
      <c r="Q3975" s="9"/>
      <c r="R3975" s="9"/>
      <c r="S3975" s="9"/>
      <c r="T3975" s="31"/>
      <c r="W3975" s="16"/>
      <c r="X3975" s="9"/>
      <c r="Y3975" s="9"/>
      <c r="AA3975" s="16"/>
      <c r="AK3975" s="16"/>
      <c r="AL3975" s="17"/>
    </row>
    <row r="3976" spans="9:38" x14ac:dyDescent="0.4">
      <c r="I3976" s="11"/>
      <c r="J3976" s="9"/>
      <c r="K3976" s="9"/>
      <c r="O3976" s="11"/>
      <c r="P3976" s="9"/>
      <c r="Q3976" s="9"/>
      <c r="R3976" s="9"/>
      <c r="S3976" s="9"/>
      <c r="T3976" s="31"/>
      <c r="W3976" s="16"/>
      <c r="X3976" s="9"/>
      <c r="Y3976" s="9"/>
      <c r="AA3976" s="16"/>
      <c r="AK3976" s="16"/>
      <c r="AL3976" s="17"/>
    </row>
    <row r="3977" spans="9:38" x14ac:dyDescent="0.4">
      <c r="I3977" s="11"/>
      <c r="J3977" s="9"/>
      <c r="K3977" s="9"/>
      <c r="O3977" s="11"/>
      <c r="P3977" s="9"/>
      <c r="Q3977" s="9"/>
      <c r="R3977" s="9"/>
      <c r="S3977" s="9"/>
      <c r="T3977" s="31"/>
      <c r="W3977" s="16"/>
      <c r="X3977" s="9"/>
      <c r="Y3977" s="9"/>
      <c r="AA3977" s="16"/>
      <c r="AK3977" s="16"/>
      <c r="AL3977" s="17"/>
    </row>
    <row r="3978" spans="9:38" x14ac:dyDescent="0.4">
      <c r="I3978" s="11"/>
      <c r="J3978" s="9"/>
      <c r="K3978" s="9"/>
      <c r="O3978" s="11"/>
      <c r="P3978" s="9"/>
      <c r="Q3978" s="9"/>
      <c r="R3978" s="9"/>
      <c r="S3978" s="9"/>
      <c r="T3978" s="31"/>
      <c r="W3978" s="16"/>
      <c r="X3978" s="9"/>
      <c r="Y3978" s="9"/>
      <c r="AA3978" s="16"/>
      <c r="AK3978" s="16"/>
      <c r="AL3978" s="17"/>
    </row>
    <row r="3979" spans="9:38" x14ac:dyDescent="0.4">
      <c r="I3979" s="11"/>
      <c r="J3979" s="9"/>
      <c r="K3979" s="9"/>
      <c r="O3979" s="11"/>
      <c r="P3979" s="9"/>
      <c r="Q3979" s="9"/>
      <c r="R3979" s="9"/>
      <c r="S3979" s="9"/>
      <c r="T3979" s="31"/>
      <c r="W3979" s="16"/>
      <c r="X3979" s="9"/>
      <c r="Y3979" s="9"/>
      <c r="AA3979" s="16"/>
      <c r="AK3979" s="16"/>
      <c r="AL3979" s="17"/>
    </row>
    <row r="3980" spans="9:38" x14ac:dyDescent="0.4">
      <c r="I3980" s="11"/>
      <c r="J3980" s="9"/>
      <c r="K3980" s="9"/>
      <c r="O3980" s="11"/>
      <c r="P3980" s="9"/>
      <c r="Q3980" s="9"/>
      <c r="R3980" s="9"/>
      <c r="S3980" s="9"/>
      <c r="T3980" s="31"/>
      <c r="W3980" s="16"/>
      <c r="X3980" s="9"/>
      <c r="Y3980" s="9"/>
      <c r="AA3980" s="16"/>
      <c r="AK3980" s="16"/>
      <c r="AL3980" s="17"/>
    </row>
    <row r="3981" spans="9:38" x14ac:dyDescent="0.4">
      <c r="I3981" s="11"/>
      <c r="J3981" s="9"/>
      <c r="K3981" s="9"/>
      <c r="O3981" s="11"/>
      <c r="P3981" s="9"/>
      <c r="Q3981" s="9"/>
      <c r="R3981" s="9"/>
      <c r="S3981" s="9"/>
      <c r="T3981" s="31"/>
      <c r="W3981" s="16"/>
      <c r="X3981" s="9"/>
      <c r="Y3981" s="9"/>
      <c r="AA3981" s="16"/>
      <c r="AK3981" s="16"/>
      <c r="AL3981" s="17"/>
    </row>
    <row r="3982" spans="9:38" x14ac:dyDescent="0.4">
      <c r="I3982" s="11"/>
      <c r="J3982" s="9"/>
      <c r="K3982" s="9"/>
      <c r="O3982" s="11"/>
      <c r="P3982" s="9"/>
      <c r="Q3982" s="9"/>
      <c r="R3982" s="9"/>
      <c r="S3982" s="9"/>
      <c r="T3982" s="31"/>
      <c r="W3982" s="16"/>
      <c r="X3982" s="9"/>
      <c r="Y3982" s="9"/>
      <c r="AA3982" s="16"/>
      <c r="AK3982" s="16"/>
      <c r="AL3982" s="17"/>
    </row>
    <row r="3983" spans="9:38" x14ac:dyDescent="0.4">
      <c r="I3983" s="11"/>
      <c r="J3983" s="9"/>
      <c r="K3983" s="9"/>
      <c r="O3983" s="11"/>
      <c r="P3983" s="9"/>
      <c r="Q3983" s="9"/>
      <c r="R3983" s="9"/>
      <c r="S3983" s="9"/>
      <c r="T3983" s="31"/>
      <c r="W3983" s="16"/>
      <c r="X3983" s="9"/>
      <c r="Y3983" s="9"/>
      <c r="AA3983" s="16"/>
      <c r="AK3983" s="16"/>
      <c r="AL3983" s="17"/>
    </row>
    <row r="3984" spans="9:38" x14ac:dyDescent="0.4">
      <c r="I3984" s="11"/>
      <c r="J3984" s="9"/>
      <c r="K3984" s="9"/>
      <c r="O3984" s="11"/>
      <c r="P3984" s="9"/>
      <c r="Q3984" s="9"/>
      <c r="R3984" s="9"/>
      <c r="S3984" s="9"/>
      <c r="T3984" s="31"/>
      <c r="W3984" s="16"/>
      <c r="X3984" s="9"/>
      <c r="Y3984" s="9"/>
      <c r="AA3984" s="16"/>
      <c r="AK3984" s="16"/>
      <c r="AL3984" s="17"/>
    </row>
    <row r="3985" spans="9:38" x14ac:dyDescent="0.4">
      <c r="I3985" s="11"/>
      <c r="J3985" s="9"/>
      <c r="K3985" s="9"/>
      <c r="O3985" s="11"/>
      <c r="P3985" s="9"/>
      <c r="Q3985" s="9"/>
      <c r="R3985" s="9"/>
      <c r="S3985" s="9"/>
      <c r="T3985" s="31"/>
      <c r="W3985" s="16"/>
      <c r="X3985" s="9"/>
      <c r="Y3985" s="9"/>
      <c r="AA3985" s="16"/>
      <c r="AK3985" s="16"/>
      <c r="AL3985" s="17"/>
    </row>
    <row r="3986" spans="9:38" x14ac:dyDescent="0.4">
      <c r="I3986" s="11"/>
      <c r="J3986" s="9"/>
      <c r="K3986" s="9"/>
      <c r="O3986" s="11"/>
      <c r="P3986" s="9"/>
      <c r="Q3986" s="9"/>
      <c r="R3986" s="9"/>
      <c r="S3986" s="9"/>
      <c r="T3986" s="31"/>
      <c r="W3986" s="16"/>
      <c r="X3986" s="9"/>
      <c r="Y3986" s="9"/>
      <c r="AA3986" s="16"/>
      <c r="AK3986" s="16"/>
      <c r="AL3986" s="17"/>
    </row>
    <row r="3987" spans="9:38" x14ac:dyDescent="0.4">
      <c r="I3987" s="11"/>
      <c r="J3987" s="9"/>
      <c r="K3987" s="9"/>
      <c r="O3987" s="11"/>
      <c r="P3987" s="9"/>
      <c r="Q3987" s="9"/>
      <c r="R3987" s="9"/>
      <c r="S3987" s="9"/>
      <c r="T3987" s="31"/>
      <c r="W3987" s="16"/>
      <c r="X3987" s="9"/>
      <c r="Y3987" s="9"/>
      <c r="AA3987" s="16"/>
      <c r="AK3987" s="16"/>
      <c r="AL3987" s="17"/>
    </row>
    <row r="3988" spans="9:38" x14ac:dyDescent="0.4">
      <c r="I3988" s="11"/>
      <c r="J3988" s="9"/>
      <c r="K3988" s="9"/>
      <c r="O3988" s="11"/>
      <c r="P3988" s="9"/>
      <c r="Q3988" s="9"/>
      <c r="R3988" s="9"/>
      <c r="S3988" s="9"/>
      <c r="T3988" s="31"/>
      <c r="W3988" s="16"/>
      <c r="X3988" s="9"/>
      <c r="Y3988" s="9"/>
      <c r="AA3988" s="16"/>
      <c r="AK3988" s="16"/>
      <c r="AL3988" s="17"/>
    </row>
    <row r="3989" spans="9:38" x14ac:dyDescent="0.4">
      <c r="I3989" s="11"/>
      <c r="J3989" s="9"/>
      <c r="K3989" s="9"/>
      <c r="O3989" s="11"/>
      <c r="P3989" s="9"/>
      <c r="Q3989" s="9"/>
      <c r="R3989" s="9"/>
      <c r="S3989" s="9"/>
      <c r="T3989" s="31"/>
      <c r="W3989" s="16"/>
      <c r="X3989" s="9"/>
      <c r="Y3989" s="9"/>
      <c r="AA3989" s="16"/>
      <c r="AK3989" s="16"/>
      <c r="AL3989" s="17"/>
    </row>
    <row r="3990" spans="9:38" x14ac:dyDescent="0.4">
      <c r="I3990" s="11"/>
      <c r="J3990" s="9"/>
      <c r="K3990" s="9"/>
      <c r="O3990" s="11"/>
      <c r="P3990" s="9"/>
      <c r="Q3990" s="9"/>
      <c r="R3990" s="9"/>
      <c r="S3990" s="9"/>
      <c r="T3990" s="31"/>
      <c r="W3990" s="16"/>
      <c r="X3990" s="9"/>
      <c r="Y3990" s="9"/>
      <c r="AA3990" s="16"/>
      <c r="AK3990" s="16"/>
      <c r="AL3990" s="17"/>
    </row>
    <row r="3991" spans="9:38" x14ac:dyDescent="0.4">
      <c r="I3991" s="11"/>
      <c r="J3991" s="9"/>
      <c r="K3991" s="9"/>
      <c r="O3991" s="11"/>
      <c r="P3991" s="9"/>
      <c r="Q3991" s="9"/>
      <c r="R3991" s="9"/>
      <c r="S3991" s="9"/>
      <c r="T3991" s="31"/>
      <c r="W3991" s="16"/>
      <c r="X3991" s="9"/>
      <c r="Y3991" s="9"/>
      <c r="AA3991" s="16"/>
      <c r="AK3991" s="16"/>
      <c r="AL3991" s="17"/>
    </row>
    <row r="3992" spans="9:38" x14ac:dyDescent="0.4">
      <c r="I3992" s="11"/>
      <c r="J3992" s="9"/>
      <c r="K3992" s="9"/>
      <c r="O3992" s="11"/>
      <c r="P3992" s="9"/>
      <c r="Q3992" s="9"/>
      <c r="R3992" s="9"/>
      <c r="S3992" s="9"/>
      <c r="T3992" s="31"/>
      <c r="W3992" s="16"/>
      <c r="X3992" s="9"/>
      <c r="Y3992" s="9"/>
      <c r="AA3992" s="16"/>
      <c r="AK3992" s="16"/>
      <c r="AL3992" s="17"/>
    </row>
    <row r="3993" spans="9:38" x14ac:dyDescent="0.4">
      <c r="I3993" s="11"/>
      <c r="J3993" s="9"/>
      <c r="K3993" s="9"/>
      <c r="O3993" s="11"/>
      <c r="P3993" s="9"/>
      <c r="Q3993" s="9"/>
      <c r="R3993" s="9"/>
      <c r="S3993" s="9"/>
      <c r="T3993" s="31"/>
      <c r="W3993" s="16"/>
      <c r="X3993" s="9"/>
      <c r="Y3993" s="9"/>
      <c r="AA3993" s="16"/>
      <c r="AK3993" s="16"/>
      <c r="AL3993" s="17"/>
    </row>
    <row r="3994" spans="9:38" x14ac:dyDescent="0.4">
      <c r="I3994" s="11"/>
      <c r="J3994" s="9"/>
      <c r="K3994" s="9"/>
      <c r="O3994" s="11"/>
      <c r="P3994" s="9"/>
      <c r="Q3994" s="9"/>
      <c r="R3994" s="9"/>
      <c r="S3994" s="9"/>
      <c r="T3994" s="31"/>
      <c r="W3994" s="16"/>
      <c r="X3994" s="9"/>
      <c r="Y3994" s="9"/>
      <c r="AA3994" s="16"/>
      <c r="AK3994" s="16"/>
      <c r="AL3994" s="17"/>
    </row>
    <row r="3995" spans="9:38" x14ac:dyDescent="0.4">
      <c r="I3995" s="11"/>
      <c r="J3995" s="9"/>
      <c r="K3995" s="9"/>
      <c r="O3995" s="11"/>
      <c r="P3995" s="9"/>
      <c r="Q3995" s="9"/>
      <c r="R3995" s="9"/>
      <c r="S3995" s="9"/>
      <c r="T3995" s="31"/>
      <c r="W3995" s="16"/>
      <c r="X3995" s="9"/>
      <c r="Y3995" s="9"/>
      <c r="AA3995" s="16"/>
      <c r="AK3995" s="16"/>
      <c r="AL3995" s="17"/>
    </row>
    <row r="3996" spans="9:38" x14ac:dyDescent="0.4">
      <c r="I3996" s="11"/>
      <c r="J3996" s="9"/>
      <c r="K3996" s="9"/>
      <c r="O3996" s="11"/>
      <c r="P3996" s="9"/>
      <c r="Q3996" s="9"/>
      <c r="R3996" s="9"/>
      <c r="S3996" s="9"/>
      <c r="T3996" s="31"/>
      <c r="W3996" s="16"/>
      <c r="X3996" s="9"/>
      <c r="Y3996" s="9"/>
      <c r="AA3996" s="16"/>
      <c r="AK3996" s="16"/>
      <c r="AL3996" s="17"/>
    </row>
    <row r="3997" spans="9:38" x14ac:dyDescent="0.4">
      <c r="I3997" s="11"/>
      <c r="J3997" s="9"/>
      <c r="K3997" s="9"/>
      <c r="O3997" s="11"/>
      <c r="P3997" s="9"/>
      <c r="Q3997" s="9"/>
      <c r="R3997" s="9"/>
      <c r="S3997" s="9"/>
      <c r="T3997" s="31"/>
      <c r="W3997" s="16"/>
      <c r="X3997" s="9"/>
      <c r="Y3997" s="9"/>
      <c r="AA3997" s="16"/>
      <c r="AK3997" s="16"/>
      <c r="AL3997" s="17"/>
    </row>
    <row r="3998" spans="9:38" x14ac:dyDescent="0.4">
      <c r="I3998" s="11"/>
      <c r="J3998" s="9"/>
      <c r="K3998" s="9"/>
      <c r="O3998" s="11"/>
      <c r="P3998" s="9"/>
      <c r="Q3998" s="9"/>
      <c r="R3998" s="9"/>
      <c r="S3998" s="9"/>
      <c r="T3998" s="31"/>
      <c r="W3998" s="16"/>
      <c r="X3998" s="9"/>
      <c r="Y3998" s="9"/>
      <c r="AA3998" s="16"/>
      <c r="AK3998" s="16"/>
      <c r="AL3998" s="17"/>
    </row>
    <row r="3999" spans="9:38" x14ac:dyDescent="0.4">
      <c r="I3999" s="11"/>
      <c r="J3999" s="9"/>
      <c r="K3999" s="9"/>
      <c r="O3999" s="11"/>
      <c r="P3999" s="9"/>
      <c r="Q3999" s="9"/>
      <c r="R3999" s="9"/>
      <c r="S3999" s="9"/>
      <c r="T3999" s="31"/>
      <c r="W3999" s="16"/>
      <c r="X3999" s="9"/>
      <c r="Y3999" s="9"/>
      <c r="AA3999" s="16"/>
      <c r="AK3999" s="16"/>
      <c r="AL3999" s="17"/>
    </row>
    <row r="4000" spans="9:38" x14ac:dyDescent="0.4">
      <c r="I4000" s="11"/>
      <c r="J4000" s="9"/>
      <c r="K4000" s="9"/>
      <c r="O4000" s="11"/>
      <c r="P4000" s="9"/>
      <c r="Q4000" s="9"/>
      <c r="R4000" s="9"/>
      <c r="S4000" s="9"/>
      <c r="T4000" s="31"/>
      <c r="W4000" s="16"/>
      <c r="X4000" s="9"/>
      <c r="Y4000" s="9"/>
      <c r="AA4000" s="16"/>
      <c r="AK4000" s="16"/>
      <c r="AL4000" s="17"/>
    </row>
    <row r="4001" spans="9:38" x14ac:dyDescent="0.4">
      <c r="I4001" s="11"/>
      <c r="J4001" s="9"/>
      <c r="K4001" s="9"/>
      <c r="O4001" s="11"/>
      <c r="P4001" s="9"/>
      <c r="Q4001" s="9"/>
      <c r="R4001" s="9"/>
      <c r="S4001" s="9"/>
      <c r="T4001" s="31"/>
      <c r="W4001" s="16"/>
      <c r="X4001" s="9"/>
      <c r="Y4001" s="9"/>
      <c r="AA4001" s="16"/>
      <c r="AK4001" s="16"/>
      <c r="AL4001" s="17"/>
    </row>
    <row r="4002" spans="9:38" x14ac:dyDescent="0.4">
      <c r="I4002" s="11"/>
      <c r="J4002" s="9"/>
      <c r="K4002" s="9"/>
      <c r="O4002" s="11"/>
      <c r="P4002" s="9"/>
      <c r="Q4002" s="9"/>
      <c r="R4002" s="9"/>
      <c r="S4002" s="9"/>
      <c r="T4002" s="31"/>
      <c r="W4002" s="16"/>
      <c r="X4002" s="9"/>
      <c r="Y4002" s="9"/>
      <c r="AA4002" s="16"/>
      <c r="AK4002" s="16"/>
      <c r="AL4002" s="17"/>
    </row>
    <row r="4003" spans="9:38" x14ac:dyDescent="0.4">
      <c r="I4003" s="11"/>
      <c r="J4003" s="9"/>
      <c r="K4003" s="9"/>
      <c r="O4003" s="11"/>
      <c r="P4003" s="9"/>
      <c r="Q4003" s="9"/>
      <c r="R4003" s="9"/>
      <c r="S4003" s="9"/>
      <c r="T4003" s="31"/>
      <c r="W4003" s="16"/>
      <c r="X4003" s="9"/>
      <c r="Y4003" s="9"/>
      <c r="AA4003" s="16"/>
      <c r="AK4003" s="16"/>
      <c r="AL4003" s="17"/>
    </row>
    <row r="4004" spans="9:38" x14ac:dyDescent="0.4">
      <c r="I4004" s="11"/>
      <c r="J4004" s="9"/>
      <c r="K4004" s="9"/>
      <c r="O4004" s="11"/>
      <c r="P4004" s="9"/>
      <c r="Q4004" s="9"/>
      <c r="R4004" s="9"/>
      <c r="S4004" s="9"/>
      <c r="T4004" s="31"/>
      <c r="W4004" s="16"/>
      <c r="X4004" s="9"/>
      <c r="Y4004" s="9"/>
      <c r="AA4004" s="16"/>
      <c r="AK4004" s="16"/>
      <c r="AL4004" s="17"/>
    </row>
    <row r="4005" spans="9:38" x14ac:dyDescent="0.4">
      <c r="I4005" s="11"/>
      <c r="J4005" s="9"/>
      <c r="K4005" s="9"/>
      <c r="O4005" s="11"/>
      <c r="P4005" s="9"/>
      <c r="Q4005" s="9"/>
      <c r="R4005" s="9"/>
      <c r="S4005" s="9"/>
      <c r="T4005" s="31"/>
      <c r="W4005" s="16"/>
      <c r="X4005" s="9"/>
      <c r="Y4005" s="9"/>
      <c r="AA4005" s="16"/>
      <c r="AK4005" s="16"/>
      <c r="AL4005" s="17"/>
    </row>
    <row r="4006" spans="9:38" x14ac:dyDescent="0.4">
      <c r="I4006" s="11"/>
      <c r="J4006" s="9"/>
      <c r="K4006" s="9"/>
      <c r="O4006" s="11"/>
      <c r="P4006" s="9"/>
      <c r="Q4006" s="9"/>
      <c r="R4006" s="9"/>
      <c r="S4006" s="9"/>
      <c r="T4006" s="31"/>
      <c r="W4006" s="16"/>
      <c r="X4006" s="9"/>
      <c r="Y4006" s="9"/>
      <c r="AA4006" s="16"/>
      <c r="AK4006" s="16"/>
      <c r="AL4006" s="17"/>
    </row>
    <row r="4007" spans="9:38" x14ac:dyDescent="0.4">
      <c r="I4007" s="11"/>
      <c r="J4007" s="9"/>
      <c r="K4007" s="9"/>
      <c r="O4007" s="11"/>
      <c r="P4007" s="9"/>
      <c r="Q4007" s="9"/>
      <c r="R4007" s="9"/>
      <c r="S4007" s="9"/>
      <c r="T4007" s="31"/>
      <c r="W4007" s="16"/>
      <c r="X4007" s="9"/>
      <c r="Y4007" s="9"/>
      <c r="AA4007" s="16"/>
      <c r="AK4007" s="16"/>
      <c r="AL4007" s="17"/>
    </row>
    <row r="4008" spans="9:38" x14ac:dyDescent="0.4">
      <c r="I4008" s="11"/>
      <c r="J4008" s="9"/>
      <c r="K4008" s="9"/>
      <c r="O4008" s="11"/>
      <c r="P4008" s="9"/>
      <c r="Q4008" s="9"/>
      <c r="R4008" s="9"/>
      <c r="S4008" s="9"/>
      <c r="T4008" s="31"/>
      <c r="W4008" s="16"/>
      <c r="X4008" s="9"/>
      <c r="Y4008" s="9"/>
      <c r="AA4008" s="16"/>
      <c r="AK4008" s="16"/>
      <c r="AL4008" s="17"/>
    </row>
    <row r="4009" spans="9:38" x14ac:dyDescent="0.4">
      <c r="I4009" s="11"/>
      <c r="J4009" s="9"/>
      <c r="K4009" s="9"/>
      <c r="O4009" s="11"/>
      <c r="P4009" s="9"/>
      <c r="Q4009" s="9"/>
      <c r="R4009" s="9"/>
      <c r="S4009" s="9"/>
      <c r="T4009" s="31"/>
      <c r="W4009" s="16"/>
      <c r="X4009" s="9"/>
      <c r="Y4009" s="9"/>
      <c r="AA4009" s="16"/>
      <c r="AK4009" s="16"/>
      <c r="AL4009" s="17"/>
    </row>
    <row r="4010" spans="9:38" x14ac:dyDescent="0.4">
      <c r="I4010" s="11"/>
      <c r="J4010" s="9"/>
      <c r="K4010" s="9"/>
      <c r="O4010" s="11"/>
      <c r="P4010" s="9"/>
      <c r="Q4010" s="9"/>
      <c r="R4010" s="9"/>
      <c r="S4010" s="9"/>
      <c r="T4010" s="31"/>
      <c r="W4010" s="16"/>
      <c r="X4010" s="9"/>
      <c r="Y4010" s="9"/>
      <c r="AA4010" s="16"/>
      <c r="AK4010" s="16"/>
      <c r="AL4010" s="17"/>
    </row>
    <row r="4011" spans="9:38" x14ac:dyDescent="0.4">
      <c r="I4011" s="11"/>
      <c r="J4011" s="9"/>
      <c r="K4011" s="9"/>
      <c r="O4011" s="11"/>
      <c r="P4011" s="9"/>
      <c r="Q4011" s="9"/>
      <c r="R4011" s="9"/>
      <c r="S4011" s="9"/>
      <c r="T4011" s="31"/>
      <c r="W4011" s="16"/>
      <c r="X4011" s="9"/>
      <c r="Y4011" s="9"/>
      <c r="AA4011" s="16"/>
      <c r="AK4011" s="16"/>
      <c r="AL4011" s="17"/>
    </row>
    <row r="4012" spans="9:38" x14ac:dyDescent="0.4">
      <c r="I4012" s="11"/>
      <c r="J4012" s="9"/>
      <c r="K4012" s="9"/>
      <c r="O4012" s="11"/>
      <c r="P4012" s="9"/>
      <c r="Q4012" s="9"/>
      <c r="R4012" s="9"/>
      <c r="S4012" s="9"/>
      <c r="T4012" s="31"/>
      <c r="W4012" s="16"/>
      <c r="X4012" s="9"/>
      <c r="Y4012" s="9"/>
      <c r="AA4012" s="16"/>
      <c r="AK4012" s="16"/>
      <c r="AL4012" s="17"/>
    </row>
    <row r="4013" spans="9:38" x14ac:dyDescent="0.4">
      <c r="I4013" s="11"/>
      <c r="J4013" s="9"/>
      <c r="K4013" s="9"/>
      <c r="O4013" s="11"/>
      <c r="P4013" s="9"/>
      <c r="Q4013" s="9"/>
      <c r="R4013" s="9"/>
      <c r="S4013" s="9"/>
      <c r="T4013" s="31"/>
      <c r="W4013" s="16"/>
      <c r="X4013" s="9"/>
      <c r="Y4013" s="9"/>
      <c r="AA4013" s="16"/>
      <c r="AK4013" s="16"/>
      <c r="AL4013" s="17"/>
    </row>
    <row r="4014" spans="9:38" x14ac:dyDescent="0.4">
      <c r="I4014" s="11"/>
      <c r="J4014" s="9"/>
      <c r="K4014" s="9"/>
      <c r="O4014" s="11"/>
      <c r="P4014" s="9"/>
      <c r="Q4014" s="9"/>
      <c r="R4014" s="9"/>
      <c r="S4014" s="9"/>
      <c r="T4014" s="31"/>
      <c r="W4014" s="16"/>
      <c r="X4014" s="9"/>
      <c r="Y4014" s="9"/>
      <c r="AA4014" s="16"/>
      <c r="AK4014" s="16"/>
      <c r="AL4014" s="17"/>
    </row>
    <row r="4015" spans="9:38" x14ac:dyDescent="0.4">
      <c r="I4015" s="11"/>
      <c r="J4015" s="9"/>
      <c r="K4015" s="9"/>
      <c r="O4015" s="11"/>
      <c r="P4015" s="9"/>
      <c r="Q4015" s="9"/>
      <c r="R4015" s="9"/>
      <c r="S4015" s="9"/>
      <c r="T4015" s="31"/>
      <c r="W4015" s="16"/>
      <c r="X4015" s="9"/>
      <c r="Y4015" s="9"/>
      <c r="AA4015" s="16"/>
      <c r="AK4015" s="16"/>
      <c r="AL4015" s="17"/>
    </row>
    <row r="4016" spans="9:38" x14ac:dyDescent="0.4">
      <c r="I4016" s="11"/>
      <c r="J4016" s="9"/>
      <c r="K4016" s="9"/>
      <c r="O4016" s="11"/>
      <c r="P4016" s="9"/>
      <c r="Q4016" s="9"/>
      <c r="R4016" s="9"/>
      <c r="S4016" s="9"/>
      <c r="T4016" s="31"/>
      <c r="W4016" s="16"/>
      <c r="X4016" s="9"/>
      <c r="Y4016" s="9"/>
      <c r="AA4016" s="16"/>
      <c r="AK4016" s="16"/>
      <c r="AL4016" s="17"/>
    </row>
    <row r="4017" spans="9:38" x14ac:dyDescent="0.4">
      <c r="I4017" s="11"/>
      <c r="J4017" s="9"/>
      <c r="K4017" s="9"/>
      <c r="O4017" s="11"/>
      <c r="P4017" s="9"/>
      <c r="Q4017" s="9"/>
      <c r="R4017" s="9"/>
      <c r="S4017" s="9"/>
      <c r="T4017" s="31"/>
      <c r="W4017" s="16"/>
      <c r="X4017" s="9"/>
      <c r="Y4017" s="9"/>
      <c r="AA4017" s="16"/>
      <c r="AK4017" s="16"/>
      <c r="AL4017" s="17"/>
    </row>
    <row r="4018" spans="9:38" x14ac:dyDescent="0.4">
      <c r="I4018" s="11"/>
      <c r="J4018" s="9"/>
      <c r="K4018" s="9"/>
      <c r="O4018" s="11"/>
      <c r="P4018" s="9"/>
      <c r="Q4018" s="9"/>
      <c r="R4018" s="9"/>
      <c r="S4018" s="9"/>
      <c r="T4018" s="31"/>
      <c r="W4018" s="16"/>
      <c r="X4018" s="9"/>
      <c r="Y4018" s="9"/>
      <c r="AA4018" s="16"/>
      <c r="AK4018" s="16"/>
      <c r="AL4018" s="17"/>
    </row>
    <row r="4019" spans="9:38" x14ac:dyDescent="0.4">
      <c r="I4019" s="11"/>
      <c r="J4019" s="9"/>
      <c r="K4019" s="9"/>
      <c r="O4019" s="11"/>
      <c r="P4019" s="9"/>
      <c r="Q4019" s="9"/>
      <c r="R4019" s="9"/>
      <c r="S4019" s="9"/>
      <c r="T4019" s="31"/>
      <c r="W4019" s="16"/>
      <c r="X4019" s="9"/>
      <c r="Y4019" s="9"/>
      <c r="AA4019" s="16"/>
      <c r="AK4019" s="16"/>
      <c r="AL4019" s="17"/>
    </row>
    <row r="4020" spans="9:38" x14ac:dyDescent="0.4">
      <c r="I4020" s="11"/>
      <c r="J4020" s="9"/>
      <c r="K4020" s="9"/>
      <c r="O4020" s="11"/>
      <c r="P4020" s="9"/>
      <c r="Q4020" s="9"/>
      <c r="R4020" s="9"/>
      <c r="S4020" s="9"/>
      <c r="T4020" s="31"/>
      <c r="W4020" s="16"/>
      <c r="X4020" s="9"/>
      <c r="Y4020" s="9"/>
      <c r="AA4020" s="16"/>
      <c r="AK4020" s="16"/>
      <c r="AL4020" s="17"/>
    </row>
    <row r="4021" spans="9:38" x14ac:dyDescent="0.4">
      <c r="I4021" s="11"/>
      <c r="J4021" s="9"/>
      <c r="K4021" s="9"/>
      <c r="O4021" s="11"/>
      <c r="P4021" s="9"/>
      <c r="Q4021" s="9"/>
      <c r="R4021" s="9"/>
      <c r="S4021" s="9"/>
      <c r="T4021" s="31"/>
      <c r="W4021" s="16"/>
      <c r="X4021" s="9"/>
      <c r="Y4021" s="9"/>
      <c r="AA4021" s="16"/>
      <c r="AK4021" s="16"/>
      <c r="AL4021" s="17"/>
    </row>
    <row r="4022" spans="9:38" x14ac:dyDescent="0.4">
      <c r="I4022" s="11"/>
      <c r="J4022" s="9"/>
      <c r="K4022" s="9"/>
      <c r="O4022" s="11"/>
      <c r="P4022" s="9"/>
      <c r="Q4022" s="9"/>
      <c r="R4022" s="9"/>
      <c r="S4022" s="9"/>
      <c r="T4022" s="31"/>
      <c r="W4022" s="16"/>
      <c r="X4022" s="9"/>
      <c r="Y4022" s="9"/>
      <c r="AA4022" s="16"/>
      <c r="AK4022" s="16"/>
      <c r="AL4022" s="17"/>
    </row>
    <row r="4023" spans="9:38" x14ac:dyDescent="0.4">
      <c r="I4023" s="11"/>
      <c r="J4023" s="9"/>
      <c r="K4023" s="9"/>
      <c r="O4023" s="11"/>
      <c r="P4023" s="9"/>
      <c r="Q4023" s="9"/>
      <c r="R4023" s="9"/>
      <c r="S4023" s="9"/>
      <c r="T4023" s="31"/>
      <c r="W4023" s="16"/>
      <c r="X4023" s="9"/>
      <c r="Y4023" s="9"/>
      <c r="AA4023" s="16"/>
      <c r="AK4023" s="16"/>
      <c r="AL4023" s="17"/>
    </row>
    <row r="4024" spans="9:38" x14ac:dyDescent="0.4">
      <c r="I4024" s="11"/>
      <c r="J4024" s="9"/>
      <c r="K4024" s="9"/>
      <c r="O4024" s="11"/>
      <c r="P4024" s="9"/>
      <c r="Q4024" s="9"/>
      <c r="R4024" s="9"/>
      <c r="S4024" s="9"/>
      <c r="T4024" s="31"/>
      <c r="W4024" s="16"/>
      <c r="X4024" s="9"/>
      <c r="Y4024" s="9"/>
      <c r="AA4024" s="16"/>
      <c r="AK4024" s="16"/>
      <c r="AL4024" s="17"/>
    </row>
    <row r="4025" spans="9:38" x14ac:dyDescent="0.4">
      <c r="I4025" s="11"/>
      <c r="J4025" s="9"/>
      <c r="K4025" s="9"/>
      <c r="O4025" s="11"/>
      <c r="P4025" s="9"/>
      <c r="Q4025" s="9"/>
      <c r="R4025" s="9"/>
      <c r="S4025" s="9"/>
      <c r="T4025" s="31"/>
      <c r="W4025" s="16"/>
      <c r="X4025" s="9"/>
      <c r="Y4025" s="9"/>
      <c r="AA4025" s="16"/>
      <c r="AK4025" s="16"/>
      <c r="AL4025" s="17"/>
    </row>
    <row r="4026" spans="9:38" x14ac:dyDescent="0.4">
      <c r="I4026" s="11"/>
      <c r="J4026" s="9"/>
      <c r="K4026" s="9"/>
      <c r="O4026" s="11"/>
      <c r="P4026" s="9"/>
      <c r="Q4026" s="9"/>
      <c r="R4026" s="9"/>
      <c r="S4026" s="9"/>
      <c r="T4026" s="31"/>
      <c r="W4026" s="16"/>
      <c r="X4026" s="9"/>
      <c r="Y4026" s="9"/>
      <c r="AA4026" s="16"/>
      <c r="AK4026" s="16"/>
      <c r="AL4026" s="17"/>
    </row>
    <row r="4027" spans="9:38" x14ac:dyDescent="0.4">
      <c r="I4027" s="11"/>
      <c r="J4027" s="9"/>
      <c r="K4027" s="9"/>
      <c r="O4027" s="11"/>
      <c r="P4027" s="9"/>
      <c r="Q4027" s="9"/>
      <c r="R4027" s="9"/>
      <c r="S4027" s="9"/>
      <c r="T4027" s="31"/>
      <c r="W4027" s="16"/>
      <c r="X4027" s="9"/>
      <c r="Y4027" s="9"/>
      <c r="AA4027" s="16"/>
      <c r="AK4027" s="16"/>
      <c r="AL4027" s="17"/>
    </row>
    <row r="4028" spans="9:38" x14ac:dyDescent="0.4">
      <c r="I4028" s="11"/>
      <c r="J4028" s="9"/>
      <c r="K4028" s="9"/>
      <c r="O4028" s="11"/>
      <c r="P4028" s="9"/>
      <c r="Q4028" s="9"/>
      <c r="R4028" s="9"/>
      <c r="S4028" s="9"/>
      <c r="T4028" s="31"/>
      <c r="W4028" s="16"/>
      <c r="X4028" s="9"/>
      <c r="Y4028" s="9"/>
      <c r="AA4028" s="16"/>
      <c r="AK4028" s="16"/>
      <c r="AL4028" s="17"/>
    </row>
    <row r="4029" spans="9:38" x14ac:dyDescent="0.4">
      <c r="I4029" s="11"/>
      <c r="J4029" s="9"/>
      <c r="K4029" s="9"/>
      <c r="O4029" s="11"/>
      <c r="P4029" s="9"/>
      <c r="Q4029" s="9"/>
      <c r="R4029" s="9"/>
      <c r="S4029" s="9"/>
      <c r="T4029" s="31"/>
      <c r="W4029" s="16"/>
      <c r="X4029" s="9"/>
      <c r="Y4029" s="9"/>
      <c r="AA4029" s="16"/>
      <c r="AK4029" s="16"/>
      <c r="AL4029" s="17"/>
    </row>
    <row r="4030" spans="9:38" x14ac:dyDescent="0.4">
      <c r="I4030" s="11"/>
      <c r="J4030" s="9"/>
      <c r="K4030" s="9"/>
      <c r="O4030" s="11"/>
      <c r="P4030" s="9"/>
      <c r="Q4030" s="9"/>
      <c r="R4030" s="9"/>
      <c r="S4030" s="9"/>
      <c r="T4030" s="31"/>
      <c r="W4030" s="16"/>
      <c r="X4030" s="9"/>
      <c r="Y4030" s="9"/>
      <c r="AA4030" s="16"/>
      <c r="AK4030" s="16"/>
      <c r="AL4030" s="17"/>
    </row>
    <row r="4031" spans="9:38" x14ac:dyDescent="0.4">
      <c r="I4031" s="11"/>
      <c r="J4031" s="9"/>
      <c r="K4031" s="9"/>
      <c r="O4031" s="11"/>
      <c r="P4031" s="9"/>
      <c r="Q4031" s="9"/>
      <c r="R4031" s="9"/>
      <c r="S4031" s="9"/>
      <c r="T4031" s="31"/>
      <c r="W4031" s="16"/>
      <c r="X4031" s="9"/>
      <c r="Y4031" s="9"/>
      <c r="AA4031" s="16"/>
      <c r="AK4031" s="16"/>
      <c r="AL4031" s="17"/>
    </row>
    <row r="4032" spans="9:38" x14ac:dyDescent="0.4">
      <c r="I4032" s="11"/>
      <c r="J4032" s="9"/>
      <c r="K4032" s="9"/>
      <c r="O4032" s="11"/>
      <c r="P4032" s="9"/>
      <c r="Q4032" s="9"/>
      <c r="R4032" s="9"/>
      <c r="S4032" s="9"/>
      <c r="T4032" s="31"/>
      <c r="W4032" s="16"/>
      <c r="X4032" s="9"/>
      <c r="Y4032" s="9"/>
      <c r="AA4032" s="16"/>
      <c r="AK4032" s="16"/>
      <c r="AL4032" s="17"/>
    </row>
    <row r="4033" spans="9:38" x14ac:dyDescent="0.4">
      <c r="I4033" s="11"/>
      <c r="J4033" s="9"/>
      <c r="K4033" s="9"/>
      <c r="O4033" s="11"/>
      <c r="P4033" s="9"/>
      <c r="Q4033" s="9"/>
      <c r="R4033" s="9"/>
      <c r="S4033" s="9"/>
      <c r="T4033" s="31"/>
      <c r="W4033" s="16"/>
      <c r="X4033" s="9"/>
      <c r="Y4033" s="9"/>
      <c r="AA4033" s="16"/>
      <c r="AK4033" s="16"/>
      <c r="AL4033" s="17"/>
    </row>
    <row r="4034" spans="9:38" x14ac:dyDescent="0.4">
      <c r="I4034" s="11"/>
      <c r="J4034" s="9"/>
      <c r="K4034" s="9"/>
      <c r="O4034" s="11"/>
      <c r="P4034" s="9"/>
      <c r="Q4034" s="9"/>
      <c r="R4034" s="9"/>
      <c r="S4034" s="9"/>
      <c r="T4034" s="31"/>
      <c r="W4034" s="16"/>
      <c r="X4034" s="9"/>
      <c r="Y4034" s="9"/>
      <c r="AA4034" s="16"/>
      <c r="AK4034" s="16"/>
      <c r="AL4034" s="17"/>
    </row>
    <row r="4035" spans="9:38" x14ac:dyDescent="0.4">
      <c r="I4035" s="11"/>
      <c r="J4035" s="9"/>
      <c r="K4035" s="9"/>
      <c r="O4035" s="11"/>
      <c r="P4035" s="9"/>
      <c r="Q4035" s="9"/>
      <c r="R4035" s="9"/>
      <c r="S4035" s="9"/>
      <c r="T4035" s="31"/>
      <c r="W4035" s="16"/>
      <c r="X4035" s="9"/>
      <c r="Y4035" s="9"/>
      <c r="AA4035" s="16"/>
      <c r="AK4035" s="16"/>
      <c r="AL4035" s="17"/>
    </row>
    <row r="4036" spans="9:38" x14ac:dyDescent="0.4">
      <c r="I4036" s="11"/>
      <c r="J4036" s="9"/>
      <c r="K4036" s="9"/>
      <c r="O4036" s="11"/>
      <c r="P4036" s="9"/>
      <c r="Q4036" s="9"/>
      <c r="R4036" s="9"/>
      <c r="S4036" s="9"/>
      <c r="T4036" s="31"/>
      <c r="W4036" s="16"/>
      <c r="X4036" s="9"/>
      <c r="Y4036" s="9"/>
      <c r="AA4036" s="16"/>
      <c r="AK4036" s="16"/>
      <c r="AL4036" s="17"/>
    </row>
    <row r="4037" spans="9:38" x14ac:dyDescent="0.4">
      <c r="I4037" s="11"/>
      <c r="J4037" s="9"/>
      <c r="K4037" s="9"/>
      <c r="O4037" s="11"/>
      <c r="P4037" s="9"/>
      <c r="Q4037" s="9"/>
      <c r="R4037" s="9"/>
      <c r="S4037" s="9"/>
      <c r="T4037" s="31"/>
      <c r="W4037" s="16"/>
      <c r="X4037" s="9"/>
      <c r="Y4037" s="9"/>
      <c r="AA4037" s="16"/>
      <c r="AK4037" s="16"/>
      <c r="AL4037" s="17"/>
    </row>
    <row r="4038" spans="9:38" x14ac:dyDescent="0.4">
      <c r="I4038" s="11"/>
      <c r="J4038" s="9"/>
      <c r="K4038" s="9"/>
      <c r="O4038" s="11"/>
      <c r="P4038" s="9"/>
      <c r="Q4038" s="9"/>
      <c r="R4038" s="9"/>
      <c r="S4038" s="9"/>
      <c r="T4038" s="31"/>
      <c r="W4038" s="16"/>
      <c r="X4038" s="9"/>
      <c r="Y4038" s="9"/>
      <c r="AA4038" s="16"/>
      <c r="AK4038" s="16"/>
      <c r="AL4038" s="17"/>
    </row>
    <row r="4039" spans="9:38" x14ac:dyDescent="0.4">
      <c r="I4039" s="11"/>
      <c r="J4039" s="9"/>
      <c r="K4039" s="9"/>
      <c r="O4039" s="11"/>
      <c r="P4039" s="9"/>
      <c r="Q4039" s="9"/>
      <c r="R4039" s="9"/>
      <c r="S4039" s="9"/>
      <c r="T4039" s="31"/>
      <c r="W4039" s="16"/>
      <c r="X4039" s="9"/>
      <c r="Y4039" s="9"/>
      <c r="AA4039" s="16"/>
      <c r="AK4039" s="16"/>
      <c r="AL4039" s="17"/>
    </row>
    <row r="4040" spans="9:38" x14ac:dyDescent="0.4">
      <c r="I4040" s="11"/>
      <c r="J4040" s="9"/>
      <c r="K4040" s="9"/>
      <c r="O4040" s="11"/>
      <c r="P4040" s="9"/>
      <c r="Q4040" s="9"/>
      <c r="R4040" s="9"/>
      <c r="S4040" s="9"/>
      <c r="T4040" s="31"/>
      <c r="W4040" s="16"/>
      <c r="X4040" s="9"/>
      <c r="Y4040" s="9"/>
      <c r="AA4040" s="16"/>
      <c r="AK4040" s="16"/>
      <c r="AL4040" s="17"/>
    </row>
    <row r="4041" spans="9:38" x14ac:dyDescent="0.4">
      <c r="I4041" s="11"/>
      <c r="J4041" s="9"/>
      <c r="K4041" s="9"/>
      <c r="O4041" s="11"/>
      <c r="P4041" s="9"/>
      <c r="Q4041" s="9"/>
      <c r="R4041" s="9"/>
      <c r="S4041" s="9"/>
      <c r="T4041" s="31"/>
      <c r="W4041" s="16"/>
      <c r="X4041" s="9"/>
      <c r="Y4041" s="9"/>
      <c r="AA4041" s="16"/>
      <c r="AK4041" s="16"/>
      <c r="AL4041" s="17"/>
    </row>
    <row r="4042" spans="9:38" x14ac:dyDescent="0.4">
      <c r="I4042" s="11"/>
      <c r="J4042" s="9"/>
      <c r="K4042" s="9"/>
      <c r="O4042" s="11"/>
      <c r="P4042" s="9"/>
      <c r="Q4042" s="9"/>
      <c r="R4042" s="9"/>
      <c r="S4042" s="9"/>
      <c r="T4042" s="31"/>
      <c r="W4042" s="16"/>
      <c r="X4042" s="9"/>
      <c r="Y4042" s="9"/>
      <c r="AA4042" s="16"/>
      <c r="AK4042" s="16"/>
      <c r="AL4042" s="17"/>
    </row>
    <row r="4043" spans="9:38" x14ac:dyDescent="0.4">
      <c r="I4043" s="11"/>
      <c r="J4043" s="9"/>
      <c r="K4043" s="9"/>
      <c r="O4043" s="11"/>
      <c r="P4043" s="9"/>
      <c r="Q4043" s="9"/>
      <c r="R4043" s="9"/>
      <c r="S4043" s="9"/>
      <c r="T4043" s="31"/>
      <c r="W4043" s="16"/>
      <c r="X4043" s="9"/>
      <c r="Y4043" s="9"/>
      <c r="AA4043" s="16"/>
      <c r="AK4043" s="16"/>
      <c r="AL4043" s="17"/>
    </row>
    <row r="4044" spans="9:38" x14ac:dyDescent="0.4">
      <c r="I4044" s="11"/>
      <c r="J4044" s="9"/>
      <c r="K4044" s="9"/>
      <c r="O4044" s="11"/>
      <c r="P4044" s="9"/>
      <c r="Q4044" s="9"/>
      <c r="R4044" s="9"/>
      <c r="S4044" s="9"/>
      <c r="T4044" s="31"/>
      <c r="W4044" s="16"/>
      <c r="X4044" s="9"/>
      <c r="Y4044" s="9"/>
      <c r="AA4044" s="16"/>
      <c r="AK4044" s="16"/>
      <c r="AL4044" s="17"/>
    </row>
    <row r="4045" spans="9:38" x14ac:dyDescent="0.4">
      <c r="I4045" s="11"/>
      <c r="J4045" s="9"/>
      <c r="K4045" s="9"/>
      <c r="O4045" s="11"/>
      <c r="P4045" s="9"/>
      <c r="Q4045" s="9"/>
      <c r="R4045" s="9"/>
      <c r="S4045" s="9"/>
      <c r="T4045" s="31"/>
      <c r="W4045" s="16"/>
      <c r="X4045" s="9"/>
      <c r="Y4045" s="9"/>
      <c r="AA4045" s="16"/>
      <c r="AK4045" s="16"/>
      <c r="AL4045" s="17"/>
    </row>
    <row r="4046" spans="9:38" x14ac:dyDescent="0.4">
      <c r="I4046" s="11"/>
      <c r="J4046" s="9"/>
      <c r="K4046" s="9"/>
      <c r="O4046" s="11"/>
      <c r="P4046" s="9"/>
      <c r="Q4046" s="9"/>
      <c r="R4046" s="9"/>
      <c r="S4046" s="9"/>
      <c r="T4046" s="31"/>
      <c r="W4046" s="16"/>
      <c r="X4046" s="9"/>
      <c r="Y4046" s="9"/>
      <c r="AA4046" s="16"/>
      <c r="AK4046" s="16"/>
      <c r="AL4046" s="17"/>
    </row>
    <row r="4047" spans="9:38" x14ac:dyDescent="0.4">
      <c r="I4047" s="11"/>
      <c r="J4047" s="9"/>
      <c r="K4047" s="9"/>
      <c r="O4047" s="11"/>
      <c r="P4047" s="9"/>
      <c r="Q4047" s="9"/>
      <c r="R4047" s="9"/>
      <c r="S4047" s="9"/>
      <c r="T4047" s="31"/>
      <c r="W4047" s="16"/>
      <c r="X4047" s="9"/>
      <c r="Y4047" s="9"/>
      <c r="AA4047" s="16"/>
      <c r="AK4047" s="16"/>
      <c r="AL4047" s="17"/>
    </row>
    <row r="4048" spans="9:38" x14ac:dyDescent="0.4">
      <c r="I4048" s="11"/>
      <c r="J4048" s="9"/>
      <c r="K4048" s="9"/>
      <c r="O4048" s="11"/>
      <c r="P4048" s="9"/>
      <c r="Q4048" s="9"/>
      <c r="R4048" s="9"/>
      <c r="S4048" s="9"/>
      <c r="T4048" s="31"/>
      <c r="W4048" s="16"/>
      <c r="X4048" s="9"/>
      <c r="Y4048" s="9"/>
      <c r="AA4048" s="16"/>
      <c r="AK4048" s="16"/>
      <c r="AL4048" s="17"/>
    </row>
    <row r="4049" spans="9:38" x14ac:dyDescent="0.4">
      <c r="I4049" s="11"/>
      <c r="J4049" s="9"/>
      <c r="K4049" s="9"/>
      <c r="O4049" s="11"/>
      <c r="P4049" s="9"/>
      <c r="Q4049" s="9"/>
      <c r="R4049" s="9"/>
      <c r="S4049" s="9"/>
      <c r="T4049" s="31"/>
      <c r="W4049" s="16"/>
      <c r="X4049" s="9"/>
      <c r="Y4049" s="9"/>
      <c r="AA4049" s="16"/>
      <c r="AK4049" s="16"/>
      <c r="AL4049" s="17"/>
    </row>
    <row r="4050" spans="9:38" x14ac:dyDescent="0.4">
      <c r="I4050" s="11"/>
      <c r="J4050" s="9"/>
      <c r="K4050" s="9"/>
      <c r="O4050" s="11"/>
      <c r="P4050" s="9"/>
      <c r="Q4050" s="9"/>
      <c r="R4050" s="9"/>
      <c r="S4050" s="9"/>
      <c r="T4050" s="31"/>
      <c r="W4050" s="16"/>
      <c r="X4050" s="9"/>
      <c r="Y4050" s="9"/>
      <c r="AA4050" s="16"/>
      <c r="AK4050" s="16"/>
      <c r="AL4050" s="17"/>
    </row>
    <row r="4051" spans="9:38" x14ac:dyDescent="0.4">
      <c r="I4051" s="11"/>
      <c r="J4051" s="9"/>
      <c r="K4051" s="9"/>
      <c r="O4051" s="11"/>
      <c r="P4051" s="9"/>
      <c r="Q4051" s="9"/>
      <c r="R4051" s="9"/>
      <c r="S4051" s="9"/>
      <c r="T4051" s="31"/>
      <c r="W4051" s="16"/>
      <c r="X4051" s="9"/>
      <c r="Y4051" s="9"/>
      <c r="AA4051" s="16"/>
      <c r="AK4051" s="16"/>
      <c r="AL4051" s="17"/>
    </row>
    <row r="4052" spans="9:38" x14ac:dyDescent="0.4">
      <c r="I4052" s="11"/>
      <c r="J4052" s="9"/>
      <c r="K4052" s="9"/>
      <c r="O4052" s="11"/>
      <c r="P4052" s="9"/>
      <c r="Q4052" s="9"/>
      <c r="R4052" s="9"/>
      <c r="S4052" s="9"/>
      <c r="T4052" s="31"/>
      <c r="W4052" s="16"/>
      <c r="X4052" s="9"/>
      <c r="Y4052" s="9"/>
      <c r="AA4052" s="16"/>
      <c r="AK4052" s="16"/>
      <c r="AL4052" s="17"/>
    </row>
    <row r="4053" spans="9:38" x14ac:dyDescent="0.4">
      <c r="I4053" s="11"/>
      <c r="J4053" s="9"/>
      <c r="K4053" s="9"/>
      <c r="O4053" s="11"/>
      <c r="P4053" s="9"/>
      <c r="Q4053" s="9"/>
      <c r="R4053" s="9"/>
      <c r="S4053" s="9"/>
      <c r="T4053" s="31"/>
      <c r="W4053" s="16"/>
      <c r="X4053" s="9"/>
      <c r="Y4053" s="9"/>
      <c r="AA4053" s="16"/>
      <c r="AK4053" s="16"/>
      <c r="AL4053" s="17"/>
    </row>
    <row r="4054" spans="9:38" x14ac:dyDescent="0.4">
      <c r="I4054" s="11"/>
      <c r="J4054" s="9"/>
      <c r="K4054" s="9"/>
      <c r="O4054" s="11"/>
      <c r="P4054" s="9"/>
      <c r="Q4054" s="9"/>
      <c r="R4054" s="9"/>
      <c r="S4054" s="9"/>
      <c r="T4054" s="31"/>
      <c r="W4054" s="16"/>
      <c r="X4054" s="9"/>
      <c r="Y4054" s="9"/>
      <c r="AA4054" s="16"/>
      <c r="AK4054" s="16"/>
      <c r="AL4054" s="17"/>
    </row>
    <row r="4055" spans="9:38" x14ac:dyDescent="0.4">
      <c r="I4055" s="11"/>
      <c r="J4055" s="9"/>
      <c r="K4055" s="9"/>
      <c r="O4055" s="11"/>
      <c r="P4055" s="9"/>
      <c r="Q4055" s="9"/>
      <c r="R4055" s="9"/>
      <c r="S4055" s="9"/>
      <c r="T4055" s="31"/>
      <c r="W4055" s="16"/>
      <c r="X4055" s="9"/>
      <c r="Y4055" s="9"/>
      <c r="AA4055" s="16"/>
      <c r="AK4055" s="16"/>
      <c r="AL4055" s="17"/>
    </row>
    <row r="4056" spans="9:38" x14ac:dyDescent="0.4">
      <c r="I4056" s="11"/>
      <c r="J4056" s="9"/>
      <c r="K4056" s="9"/>
      <c r="O4056" s="11"/>
      <c r="P4056" s="9"/>
      <c r="Q4056" s="9"/>
      <c r="R4056" s="9"/>
      <c r="S4056" s="9"/>
      <c r="T4056" s="31"/>
      <c r="W4056" s="16"/>
      <c r="X4056" s="9"/>
      <c r="Y4056" s="9"/>
      <c r="AA4056" s="16"/>
      <c r="AK4056" s="16"/>
      <c r="AL4056" s="17"/>
    </row>
    <row r="4057" spans="9:38" x14ac:dyDescent="0.4">
      <c r="I4057" s="11"/>
      <c r="J4057" s="9"/>
      <c r="K4057" s="9"/>
      <c r="O4057" s="11"/>
      <c r="P4057" s="9"/>
      <c r="Q4057" s="9"/>
      <c r="R4057" s="9"/>
      <c r="S4057" s="9"/>
      <c r="T4057" s="31"/>
      <c r="W4057" s="16"/>
      <c r="X4057" s="9"/>
      <c r="Y4057" s="9"/>
      <c r="AA4057" s="16"/>
      <c r="AK4057" s="16"/>
      <c r="AL4057" s="17"/>
    </row>
    <row r="4058" spans="9:38" x14ac:dyDescent="0.4">
      <c r="I4058" s="11"/>
      <c r="J4058" s="9"/>
      <c r="K4058" s="9"/>
      <c r="O4058" s="11"/>
      <c r="P4058" s="9"/>
      <c r="Q4058" s="9"/>
      <c r="R4058" s="9"/>
      <c r="S4058" s="9"/>
      <c r="T4058" s="31"/>
      <c r="W4058" s="16"/>
      <c r="X4058" s="9"/>
      <c r="Y4058" s="9"/>
      <c r="AA4058" s="16"/>
      <c r="AK4058" s="16"/>
      <c r="AL4058" s="17"/>
    </row>
    <row r="4059" spans="9:38" x14ac:dyDescent="0.4">
      <c r="I4059" s="11"/>
      <c r="J4059" s="9"/>
      <c r="K4059" s="9"/>
      <c r="O4059" s="11"/>
      <c r="P4059" s="9"/>
      <c r="Q4059" s="9"/>
      <c r="R4059" s="9"/>
      <c r="S4059" s="9"/>
      <c r="T4059" s="31"/>
      <c r="W4059" s="16"/>
      <c r="X4059" s="9"/>
      <c r="Y4059" s="9"/>
      <c r="AA4059" s="16"/>
      <c r="AK4059" s="16"/>
      <c r="AL4059" s="17"/>
    </row>
    <row r="4060" spans="9:38" x14ac:dyDescent="0.4">
      <c r="I4060" s="11"/>
      <c r="J4060" s="9"/>
      <c r="K4060" s="9"/>
      <c r="O4060" s="11"/>
      <c r="P4060" s="9"/>
      <c r="Q4060" s="9"/>
      <c r="R4060" s="9"/>
      <c r="S4060" s="9"/>
      <c r="T4060" s="31"/>
      <c r="W4060" s="16"/>
      <c r="X4060" s="9"/>
      <c r="Y4060" s="9"/>
      <c r="AA4060" s="16"/>
      <c r="AK4060" s="16"/>
      <c r="AL4060" s="17"/>
    </row>
    <row r="4061" spans="9:38" x14ac:dyDescent="0.4">
      <c r="I4061" s="11"/>
      <c r="J4061" s="9"/>
      <c r="K4061" s="9"/>
      <c r="O4061" s="11"/>
      <c r="P4061" s="9"/>
      <c r="Q4061" s="9"/>
      <c r="R4061" s="9"/>
      <c r="S4061" s="9"/>
      <c r="T4061" s="31"/>
      <c r="W4061" s="16"/>
      <c r="X4061" s="9"/>
      <c r="Y4061" s="9"/>
      <c r="AA4061" s="16"/>
      <c r="AK4061" s="16"/>
      <c r="AL4061" s="17"/>
    </row>
    <row r="4062" spans="9:38" x14ac:dyDescent="0.4">
      <c r="I4062" s="11"/>
      <c r="J4062" s="9"/>
      <c r="K4062" s="9"/>
      <c r="O4062" s="11"/>
      <c r="P4062" s="9"/>
      <c r="Q4062" s="9"/>
      <c r="R4062" s="9"/>
      <c r="S4062" s="9"/>
      <c r="T4062" s="31"/>
      <c r="W4062" s="16"/>
      <c r="X4062" s="9"/>
      <c r="Y4062" s="9"/>
      <c r="AA4062" s="16"/>
      <c r="AK4062" s="16"/>
      <c r="AL4062" s="17"/>
    </row>
    <row r="4063" spans="9:38" x14ac:dyDescent="0.4">
      <c r="I4063" s="11"/>
      <c r="J4063" s="9"/>
      <c r="K4063" s="9"/>
      <c r="O4063" s="11"/>
      <c r="P4063" s="9"/>
      <c r="Q4063" s="9"/>
      <c r="R4063" s="9"/>
      <c r="S4063" s="9"/>
      <c r="T4063" s="31"/>
      <c r="W4063" s="16"/>
      <c r="X4063" s="9"/>
      <c r="Y4063" s="9"/>
      <c r="AA4063" s="16"/>
      <c r="AK4063" s="16"/>
      <c r="AL4063" s="17"/>
    </row>
    <row r="4064" spans="9:38" x14ac:dyDescent="0.4">
      <c r="I4064" s="11"/>
      <c r="J4064" s="9"/>
      <c r="K4064" s="9"/>
      <c r="O4064" s="11"/>
      <c r="P4064" s="9"/>
      <c r="Q4064" s="9"/>
      <c r="R4064" s="9"/>
      <c r="S4064" s="9"/>
      <c r="T4064" s="31"/>
      <c r="W4064" s="16"/>
      <c r="X4064" s="9"/>
      <c r="Y4064" s="9"/>
      <c r="AA4064" s="16"/>
      <c r="AK4064" s="16"/>
      <c r="AL4064" s="17"/>
    </row>
    <row r="4065" spans="9:38" x14ac:dyDescent="0.4">
      <c r="I4065" s="11"/>
      <c r="J4065" s="9"/>
      <c r="K4065" s="9"/>
      <c r="O4065" s="11"/>
      <c r="P4065" s="9"/>
      <c r="Q4065" s="9"/>
      <c r="R4065" s="9"/>
      <c r="S4065" s="9"/>
      <c r="T4065" s="31"/>
      <c r="W4065" s="16"/>
      <c r="X4065" s="9"/>
      <c r="Y4065" s="9"/>
      <c r="AA4065" s="16"/>
      <c r="AK4065" s="16"/>
      <c r="AL4065" s="17"/>
    </row>
    <row r="4066" spans="9:38" x14ac:dyDescent="0.4">
      <c r="I4066" s="11"/>
      <c r="J4066" s="9"/>
      <c r="K4066" s="9"/>
      <c r="O4066" s="11"/>
      <c r="P4066" s="9"/>
      <c r="Q4066" s="9"/>
      <c r="R4066" s="9"/>
      <c r="S4066" s="9"/>
      <c r="T4066" s="31"/>
      <c r="W4066" s="16"/>
      <c r="X4066" s="9"/>
      <c r="Y4066" s="9"/>
      <c r="AA4066" s="16"/>
      <c r="AK4066" s="16"/>
      <c r="AL4066" s="17"/>
    </row>
    <row r="4067" spans="9:38" x14ac:dyDescent="0.4">
      <c r="I4067" s="11"/>
      <c r="J4067" s="9"/>
      <c r="K4067" s="9"/>
      <c r="O4067" s="11"/>
      <c r="P4067" s="9"/>
      <c r="Q4067" s="9"/>
      <c r="R4067" s="9"/>
      <c r="S4067" s="9"/>
      <c r="T4067" s="31"/>
      <c r="W4067" s="16"/>
      <c r="X4067" s="9"/>
      <c r="Y4067" s="9"/>
      <c r="AA4067" s="16"/>
      <c r="AK4067" s="16"/>
      <c r="AL4067" s="17"/>
    </row>
    <row r="4068" spans="9:38" x14ac:dyDescent="0.4">
      <c r="I4068" s="11"/>
      <c r="J4068" s="9"/>
      <c r="K4068" s="9"/>
      <c r="O4068" s="11"/>
      <c r="P4068" s="9"/>
      <c r="Q4068" s="9"/>
      <c r="R4068" s="9"/>
      <c r="S4068" s="9"/>
      <c r="T4068" s="31"/>
      <c r="W4068" s="16"/>
      <c r="X4068" s="9"/>
      <c r="Y4068" s="9"/>
      <c r="AA4068" s="16"/>
      <c r="AK4068" s="16"/>
      <c r="AL4068" s="17"/>
    </row>
    <row r="4069" spans="9:38" x14ac:dyDescent="0.4">
      <c r="I4069" s="11"/>
      <c r="J4069" s="9"/>
      <c r="K4069" s="9"/>
      <c r="O4069" s="11"/>
      <c r="P4069" s="9"/>
      <c r="Q4069" s="9"/>
      <c r="R4069" s="9"/>
      <c r="S4069" s="9"/>
      <c r="T4069" s="31"/>
      <c r="W4069" s="16"/>
      <c r="X4069" s="9"/>
      <c r="Y4069" s="9"/>
      <c r="AA4069" s="16"/>
      <c r="AK4069" s="16"/>
      <c r="AL4069" s="17"/>
    </row>
    <row r="4070" spans="9:38" x14ac:dyDescent="0.4">
      <c r="I4070" s="11"/>
      <c r="J4070" s="9"/>
      <c r="K4070" s="9"/>
      <c r="O4070" s="11"/>
      <c r="P4070" s="9"/>
      <c r="Q4070" s="9"/>
      <c r="R4070" s="9"/>
      <c r="S4070" s="9"/>
      <c r="T4070" s="31"/>
      <c r="W4070" s="16"/>
      <c r="X4070" s="9"/>
      <c r="Y4070" s="9"/>
      <c r="AA4070" s="16"/>
      <c r="AK4070" s="16"/>
      <c r="AL4070" s="17"/>
    </row>
    <row r="4071" spans="9:38" x14ac:dyDescent="0.4">
      <c r="I4071" s="11"/>
      <c r="J4071" s="9"/>
      <c r="K4071" s="9"/>
      <c r="O4071" s="11"/>
      <c r="P4071" s="9"/>
      <c r="Q4071" s="9"/>
      <c r="R4071" s="9"/>
      <c r="S4071" s="9"/>
      <c r="T4071" s="31"/>
      <c r="W4071" s="16"/>
      <c r="X4071" s="9"/>
      <c r="Y4071" s="9"/>
      <c r="AA4071" s="16"/>
      <c r="AK4071" s="16"/>
      <c r="AL4071" s="17"/>
    </row>
    <row r="4072" spans="9:38" x14ac:dyDescent="0.4">
      <c r="I4072" s="11"/>
      <c r="J4072" s="9"/>
      <c r="K4072" s="9"/>
      <c r="O4072" s="11"/>
      <c r="P4072" s="9"/>
      <c r="Q4072" s="9"/>
      <c r="R4072" s="9"/>
      <c r="S4072" s="9"/>
      <c r="T4072" s="31"/>
      <c r="W4072" s="16"/>
      <c r="X4072" s="9"/>
      <c r="Y4072" s="9"/>
      <c r="AA4072" s="16"/>
      <c r="AK4072" s="16"/>
      <c r="AL4072" s="17"/>
    </row>
    <row r="4073" spans="9:38" x14ac:dyDescent="0.4">
      <c r="I4073" s="11"/>
      <c r="J4073" s="9"/>
      <c r="K4073" s="9"/>
      <c r="O4073" s="11"/>
      <c r="P4073" s="9"/>
      <c r="Q4073" s="9"/>
      <c r="R4073" s="9"/>
      <c r="S4073" s="9"/>
      <c r="T4073" s="31"/>
      <c r="W4073" s="16"/>
      <c r="X4073" s="9"/>
      <c r="Y4073" s="9"/>
      <c r="AA4073" s="16"/>
      <c r="AK4073" s="16"/>
      <c r="AL4073" s="17"/>
    </row>
    <row r="4074" spans="9:38" x14ac:dyDescent="0.4">
      <c r="I4074" s="11"/>
      <c r="J4074" s="9"/>
      <c r="K4074" s="9"/>
      <c r="O4074" s="11"/>
      <c r="P4074" s="9"/>
      <c r="Q4074" s="9"/>
      <c r="R4074" s="9"/>
      <c r="S4074" s="9"/>
      <c r="T4074" s="31"/>
      <c r="W4074" s="16"/>
      <c r="X4074" s="9"/>
      <c r="Y4074" s="9"/>
      <c r="AA4074" s="16"/>
      <c r="AK4074" s="16"/>
      <c r="AL4074" s="17"/>
    </row>
    <row r="4075" spans="9:38" x14ac:dyDescent="0.4">
      <c r="I4075" s="11"/>
      <c r="J4075" s="9"/>
      <c r="K4075" s="9"/>
      <c r="O4075" s="11"/>
      <c r="P4075" s="9"/>
      <c r="Q4075" s="9"/>
      <c r="R4075" s="9"/>
      <c r="S4075" s="9"/>
      <c r="T4075" s="31"/>
      <c r="W4075" s="16"/>
      <c r="X4075" s="9"/>
      <c r="Y4075" s="9"/>
      <c r="AA4075" s="16"/>
      <c r="AK4075" s="16"/>
      <c r="AL4075" s="17"/>
    </row>
    <row r="4076" spans="9:38" x14ac:dyDescent="0.4">
      <c r="I4076" s="11"/>
      <c r="J4076" s="9"/>
      <c r="K4076" s="9"/>
      <c r="O4076" s="11"/>
      <c r="P4076" s="9"/>
      <c r="Q4076" s="9"/>
      <c r="R4076" s="9"/>
      <c r="S4076" s="9"/>
      <c r="T4076" s="31"/>
      <c r="W4076" s="16"/>
      <c r="X4076" s="9"/>
      <c r="Y4076" s="9"/>
      <c r="AA4076" s="16"/>
      <c r="AK4076" s="16"/>
      <c r="AL4076" s="17"/>
    </row>
    <row r="4077" spans="9:38" x14ac:dyDescent="0.4">
      <c r="I4077" s="11"/>
      <c r="J4077" s="9"/>
      <c r="K4077" s="9"/>
      <c r="O4077" s="11"/>
      <c r="P4077" s="9"/>
      <c r="Q4077" s="9"/>
      <c r="R4077" s="9"/>
      <c r="S4077" s="9"/>
      <c r="T4077" s="31"/>
      <c r="W4077" s="16"/>
      <c r="X4077" s="9"/>
      <c r="Y4077" s="9"/>
      <c r="AA4077" s="16"/>
      <c r="AK4077" s="16"/>
      <c r="AL4077" s="17"/>
    </row>
    <row r="4078" spans="9:38" x14ac:dyDescent="0.4">
      <c r="I4078" s="11"/>
      <c r="J4078" s="9"/>
      <c r="K4078" s="9"/>
      <c r="O4078" s="11"/>
      <c r="P4078" s="9"/>
      <c r="Q4078" s="9"/>
      <c r="R4078" s="9"/>
      <c r="S4078" s="9"/>
      <c r="T4078" s="31"/>
      <c r="W4078" s="16"/>
      <c r="X4078" s="9"/>
      <c r="Y4078" s="9"/>
      <c r="AA4078" s="16"/>
      <c r="AK4078" s="16"/>
      <c r="AL4078" s="17"/>
    </row>
    <row r="4079" spans="9:38" x14ac:dyDescent="0.4">
      <c r="I4079" s="11"/>
      <c r="J4079" s="9"/>
      <c r="K4079" s="9"/>
      <c r="O4079" s="11"/>
      <c r="P4079" s="9"/>
      <c r="Q4079" s="9"/>
      <c r="R4079" s="9"/>
      <c r="S4079" s="9"/>
      <c r="T4079" s="31"/>
      <c r="W4079" s="16"/>
      <c r="X4079" s="9"/>
      <c r="Y4079" s="9"/>
      <c r="AA4079" s="16"/>
      <c r="AK4079" s="16"/>
      <c r="AL4079" s="17"/>
    </row>
    <row r="4080" spans="9:38" x14ac:dyDescent="0.4">
      <c r="I4080" s="11"/>
      <c r="J4080" s="9"/>
      <c r="K4080" s="9"/>
      <c r="O4080" s="11"/>
      <c r="P4080" s="9"/>
      <c r="Q4080" s="9"/>
      <c r="R4080" s="9"/>
      <c r="S4080" s="9"/>
      <c r="T4080" s="31"/>
      <c r="W4080" s="16"/>
      <c r="X4080" s="9"/>
      <c r="Y4080" s="9"/>
      <c r="AA4080" s="16"/>
      <c r="AK4080" s="16"/>
      <c r="AL4080" s="17"/>
    </row>
    <row r="4081" spans="9:38" x14ac:dyDescent="0.4">
      <c r="I4081" s="11"/>
      <c r="J4081" s="9"/>
      <c r="K4081" s="9"/>
      <c r="O4081" s="11"/>
      <c r="P4081" s="9"/>
      <c r="Q4081" s="9"/>
      <c r="R4081" s="9"/>
      <c r="S4081" s="9"/>
      <c r="T4081" s="31"/>
      <c r="W4081" s="16"/>
      <c r="X4081" s="9"/>
      <c r="Y4081" s="9"/>
      <c r="AA4081" s="16"/>
      <c r="AK4081" s="16"/>
      <c r="AL4081" s="17"/>
    </row>
    <row r="4082" spans="9:38" x14ac:dyDescent="0.4">
      <c r="I4082" s="11"/>
      <c r="J4082" s="9"/>
      <c r="K4082" s="9"/>
      <c r="O4082" s="11"/>
      <c r="P4082" s="9"/>
      <c r="Q4082" s="9"/>
      <c r="R4082" s="9"/>
      <c r="S4082" s="9"/>
      <c r="T4082" s="31"/>
      <c r="W4082" s="16"/>
      <c r="X4082" s="9"/>
      <c r="Y4082" s="9"/>
      <c r="AA4082" s="16"/>
      <c r="AK4082" s="16"/>
      <c r="AL4082" s="17"/>
    </row>
    <row r="4083" spans="9:38" x14ac:dyDescent="0.4">
      <c r="I4083" s="11"/>
      <c r="J4083" s="9"/>
      <c r="K4083" s="9"/>
      <c r="O4083" s="11"/>
      <c r="P4083" s="9"/>
      <c r="Q4083" s="9"/>
      <c r="R4083" s="9"/>
      <c r="S4083" s="9"/>
      <c r="T4083" s="31"/>
      <c r="W4083" s="16"/>
      <c r="X4083" s="9"/>
      <c r="Y4083" s="9"/>
      <c r="AA4083" s="16"/>
      <c r="AK4083" s="16"/>
      <c r="AL4083" s="17"/>
    </row>
    <row r="4084" spans="9:38" x14ac:dyDescent="0.4">
      <c r="I4084" s="11"/>
      <c r="J4084" s="9"/>
      <c r="K4084" s="9"/>
      <c r="O4084" s="11"/>
      <c r="P4084" s="9"/>
      <c r="Q4084" s="9"/>
      <c r="R4084" s="9"/>
      <c r="S4084" s="9"/>
      <c r="T4084" s="31"/>
      <c r="W4084" s="16"/>
      <c r="X4084" s="9"/>
      <c r="Y4084" s="9"/>
      <c r="AA4084" s="16"/>
      <c r="AK4084" s="16"/>
      <c r="AL4084" s="17"/>
    </row>
    <row r="4085" spans="9:38" x14ac:dyDescent="0.4">
      <c r="I4085" s="11"/>
      <c r="J4085" s="9"/>
      <c r="K4085" s="9"/>
      <c r="O4085" s="11"/>
      <c r="P4085" s="9"/>
      <c r="Q4085" s="9"/>
      <c r="R4085" s="9"/>
      <c r="S4085" s="9"/>
      <c r="T4085" s="31"/>
      <c r="W4085" s="16"/>
      <c r="X4085" s="9"/>
      <c r="Y4085" s="9"/>
      <c r="AA4085" s="16"/>
      <c r="AK4085" s="16"/>
      <c r="AL4085" s="17"/>
    </row>
    <row r="4086" spans="9:38" x14ac:dyDescent="0.4">
      <c r="I4086" s="11"/>
      <c r="J4086" s="9"/>
      <c r="K4086" s="9"/>
      <c r="O4086" s="11"/>
      <c r="P4086" s="9"/>
      <c r="Q4086" s="9"/>
      <c r="R4086" s="9"/>
      <c r="S4086" s="9"/>
      <c r="T4086" s="31"/>
      <c r="W4086" s="16"/>
      <c r="X4086" s="9"/>
      <c r="Y4086" s="9"/>
      <c r="AA4086" s="16"/>
      <c r="AK4086" s="16"/>
      <c r="AL4086" s="17"/>
    </row>
    <row r="4087" spans="9:38" x14ac:dyDescent="0.4">
      <c r="I4087" s="11"/>
      <c r="J4087" s="9"/>
      <c r="K4087" s="9"/>
      <c r="O4087" s="11"/>
      <c r="P4087" s="9"/>
      <c r="Q4087" s="9"/>
      <c r="R4087" s="9"/>
      <c r="S4087" s="9"/>
      <c r="T4087" s="31"/>
      <c r="W4087" s="16"/>
      <c r="X4087" s="9"/>
      <c r="Y4087" s="9"/>
      <c r="AA4087" s="16"/>
      <c r="AK4087" s="16"/>
      <c r="AL4087" s="17"/>
    </row>
    <row r="4088" spans="9:38" x14ac:dyDescent="0.4">
      <c r="I4088" s="11"/>
      <c r="J4088" s="9"/>
      <c r="K4088" s="9"/>
      <c r="O4088" s="11"/>
      <c r="P4088" s="9"/>
      <c r="Q4088" s="9"/>
      <c r="R4088" s="9"/>
      <c r="S4088" s="9"/>
      <c r="T4088" s="31"/>
      <c r="W4088" s="16"/>
      <c r="X4088" s="9"/>
      <c r="Y4088" s="9"/>
      <c r="AA4088" s="16"/>
      <c r="AK4088" s="16"/>
      <c r="AL4088" s="17"/>
    </row>
    <row r="4089" spans="9:38" x14ac:dyDescent="0.4">
      <c r="I4089" s="11"/>
      <c r="J4089" s="9"/>
      <c r="K4089" s="9"/>
      <c r="O4089" s="11"/>
      <c r="P4089" s="9"/>
      <c r="Q4089" s="9"/>
      <c r="R4089" s="9"/>
      <c r="S4089" s="9"/>
      <c r="T4089" s="31"/>
      <c r="W4089" s="16"/>
      <c r="X4089" s="9"/>
      <c r="Y4089" s="9"/>
      <c r="AA4089" s="16"/>
      <c r="AK4089" s="16"/>
      <c r="AL4089" s="17"/>
    </row>
    <row r="4090" spans="9:38" x14ac:dyDescent="0.4">
      <c r="I4090" s="11"/>
      <c r="J4090" s="9"/>
      <c r="K4090" s="9"/>
      <c r="O4090" s="11"/>
      <c r="P4090" s="9"/>
      <c r="Q4090" s="9"/>
      <c r="R4090" s="9"/>
      <c r="S4090" s="9"/>
      <c r="T4090" s="31"/>
      <c r="W4090" s="16"/>
      <c r="X4090" s="9"/>
      <c r="Y4090" s="9"/>
      <c r="AA4090" s="16"/>
      <c r="AK4090" s="16"/>
      <c r="AL4090" s="17"/>
    </row>
    <row r="4091" spans="9:38" x14ac:dyDescent="0.4">
      <c r="I4091" s="11"/>
      <c r="J4091" s="9"/>
      <c r="K4091" s="9"/>
      <c r="O4091" s="11"/>
      <c r="P4091" s="9"/>
      <c r="Q4091" s="9"/>
      <c r="R4091" s="9"/>
      <c r="S4091" s="9"/>
      <c r="T4091" s="31"/>
      <c r="W4091" s="16"/>
      <c r="X4091" s="9"/>
      <c r="Y4091" s="9"/>
      <c r="AA4091" s="16"/>
      <c r="AK4091" s="16"/>
      <c r="AL4091" s="17"/>
    </row>
    <row r="4092" spans="9:38" x14ac:dyDescent="0.4">
      <c r="I4092" s="11"/>
      <c r="J4092" s="9"/>
      <c r="K4092" s="9"/>
      <c r="O4092" s="11"/>
      <c r="P4092" s="9"/>
      <c r="Q4092" s="9"/>
      <c r="R4092" s="9"/>
      <c r="S4092" s="9"/>
      <c r="T4092" s="31"/>
      <c r="W4092" s="16"/>
      <c r="X4092" s="9"/>
      <c r="Y4092" s="9"/>
      <c r="AA4092" s="16"/>
      <c r="AK4092" s="16"/>
      <c r="AL4092" s="17"/>
    </row>
    <row r="4093" spans="9:38" x14ac:dyDescent="0.4">
      <c r="I4093" s="11"/>
      <c r="J4093" s="9"/>
      <c r="K4093" s="9"/>
      <c r="O4093" s="11"/>
      <c r="P4093" s="9"/>
      <c r="Q4093" s="9"/>
      <c r="R4093" s="9"/>
      <c r="S4093" s="9"/>
      <c r="T4093" s="31"/>
      <c r="W4093" s="16"/>
      <c r="X4093" s="9"/>
      <c r="Y4093" s="9"/>
      <c r="AA4093" s="16"/>
      <c r="AK4093" s="16"/>
      <c r="AL4093" s="17"/>
    </row>
    <row r="4094" spans="9:38" x14ac:dyDescent="0.4">
      <c r="I4094" s="11"/>
      <c r="J4094" s="9"/>
      <c r="K4094" s="9"/>
      <c r="O4094" s="11"/>
      <c r="P4094" s="9"/>
      <c r="Q4094" s="9"/>
      <c r="R4094" s="9"/>
      <c r="S4094" s="9"/>
      <c r="T4094" s="31"/>
      <c r="W4094" s="16"/>
      <c r="X4094" s="9"/>
      <c r="Y4094" s="9"/>
      <c r="AA4094" s="16"/>
      <c r="AK4094" s="16"/>
      <c r="AL4094" s="17"/>
    </row>
    <row r="4095" spans="9:38" x14ac:dyDescent="0.4">
      <c r="I4095" s="11"/>
      <c r="J4095" s="9"/>
      <c r="K4095" s="9"/>
      <c r="O4095" s="11"/>
      <c r="P4095" s="9"/>
      <c r="Q4095" s="9"/>
      <c r="R4095" s="9"/>
      <c r="S4095" s="9"/>
      <c r="T4095" s="31"/>
      <c r="W4095" s="16"/>
      <c r="X4095" s="9"/>
      <c r="Y4095" s="9"/>
      <c r="AA4095" s="16"/>
      <c r="AK4095" s="16"/>
      <c r="AL4095" s="17"/>
    </row>
    <row r="4096" spans="9:38" x14ac:dyDescent="0.4">
      <c r="I4096" s="11"/>
      <c r="J4096" s="9"/>
      <c r="K4096" s="9"/>
      <c r="O4096" s="11"/>
      <c r="P4096" s="9"/>
      <c r="Q4096" s="9"/>
      <c r="R4096" s="9"/>
      <c r="S4096" s="9"/>
      <c r="T4096" s="31"/>
      <c r="W4096" s="16"/>
      <c r="X4096" s="9"/>
      <c r="Y4096" s="9"/>
      <c r="AA4096" s="16"/>
      <c r="AK4096" s="16"/>
      <c r="AL4096" s="17"/>
    </row>
    <row r="4097" spans="9:38" x14ac:dyDescent="0.4">
      <c r="I4097" s="11"/>
      <c r="J4097" s="9"/>
      <c r="K4097" s="9"/>
      <c r="O4097" s="11"/>
      <c r="P4097" s="9"/>
      <c r="Q4097" s="9"/>
      <c r="R4097" s="9"/>
      <c r="S4097" s="9"/>
      <c r="T4097" s="31"/>
      <c r="W4097" s="16"/>
      <c r="X4097" s="9"/>
      <c r="Y4097" s="9"/>
      <c r="AA4097" s="16"/>
      <c r="AK4097" s="16"/>
      <c r="AL4097" s="17"/>
    </row>
    <row r="4098" spans="9:38" x14ac:dyDescent="0.4">
      <c r="I4098" s="11"/>
      <c r="J4098" s="9"/>
      <c r="K4098" s="9"/>
      <c r="O4098" s="11"/>
      <c r="P4098" s="9"/>
      <c r="Q4098" s="9"/>
      <c r="R4098" s="9"/>
      <c r="S4098" s="9"/>
      <c r="T4098" s="31"/>
      <c r="W4098" s="16"/>
      <c r="X4098" s="9"/>
      <c r="Y4098" s="9"/>
      <c r="AA4098" s="16"/>
      <c r="AK4098" s="16"/>
      <c r="AL4098" s="17"/>
    </row>
    <row r="4099" spans="9:38" x14ac:dyDescent="0.4">
      <c r="I4099" s="11"/>
      <c r="J4099" s="9"/>
      <c r="K4099" s="9"/>
      <c r="O4099" s="11"/>
      <c r="P4099" s="9"/>
      <c r="Q4099" s="9"/>
      <c r="R4099" s="9"/>
      <c r="S4099" s="9"/>
      <c r="T4099" s="31"/>
      <c r="W4099" s="16"/>
      <c r="X4099" s="9"/>
      <c r="Y4099" s="9"/>
      <c r="AA4099" s="16"/>
      <c r="AK4099" s="16"/>
      <c r="AL4099" s="17"/>
    </row>
    <row r="4100" spans="9:38" x14ac:dyDescent="0.4">
      <c r="I4100" s="11"/>
      <c r="J4100" s="9"/>
      <c r="K4100" s="9"/>
      <c r="O4100" s="11"/>
      <c r="P4100" s="9"/>
      <c r="Q4100" s="9"/>
      <c r="R4100" s="9"/>
      <c r="S4100" s="9"/>
      <c r="T4100" s="31"/>
      <c r="W4100" s="16"/>
      <c r="X4100" s="9"/>
      <c r="Y4100" s="9"/>
      <c r="AA4100" s="16"/>
      <c r="AK4100" s="16"/>
      <c r="AL4100" s="17"/>
    </row>
    <row r="4101" spans="9:38" x14ac:dyDescent="0.4">
      <c r="I4101" s="11"/>
      <c r="J4101" s="9"/>
      <c r="K4101" s="9"/>
      <c r="O4101" s="11"/>
      <c r="P4101" s="9"/>
      <c r="Q4101" s="9"/>
      <c r="R4101" s="9"/>
      <c r="S4101" s="9"/>
      <c r="T4101" s="31"/>
      <c r="W4101" s="16"/>
      <c r="X4101" s="9"/>
      <c r="Y4101" s="9"/>
      <c r="AA4101" s="16"/>
      <c r="AK4101" s="16"/>
      <c r="AL4101" s="17"/>
    </row>
    <row r="4102" spans="9:38" x14ac:dyDescent="0.4">
      <c r="I4102" s="11"/>
      <c r="J4102" s="9"/>
      <c r="K4102" s="9"/>
      <c r="O4102" s="11"/>
      <c r="P4102" s="9"/>
      <c r="Q4102" s="9"/>
      <c r="R4102" s="9"/>
      <c r="S4102" s="9"/>
      <c r="T4102" s="31"/>
      <c r="W4102" s="16"/>
      <c r="X4102" s="9"/>
      <c r="Y4102" s="9"/>
      <c r="AA4102" s="16"/>
      <c r="AK4102" s="16"/>
      <c r="AL4102" s="17"/>
    </row>
    <row r="4103" spans="9:38" x14ac:dyDescent="0.4">
      <c r="I4103" s="11"/>
      <c r="J4103" s="9"/>
      <c r="K4103" s="9"/>
      <c r="O4103" s="11"/>
      <c r="P4103" s="9"/>
      <c r="Q4103" s="9"/>
      <c r="R4103" s="9"/>
      <c r="S4103" s="9"/>
      <c r="T4103" s="31"/>
      <c r="W4103" s="16"/>
      <c r="X4103" s="9"/>
      <c r="Y4103" s="9"/>
      <c r="AA4103" s="16"/>
      <c r="AK4103" s="16"/>
      <c r="AL4103" s="17"/>
    </row>
    <row r="4104" spans="9:38" x14ac:dyDescent="0.4">
      <c r="I4104" s="11"/>
      <c r="J4104" s="9"/>
      <c r="K4104" s="9"/>
      <c r="O4104" s="11"/>
      <c r="P4104" s="9"/>
      <c r="Q4104" s="9"/>
      <c r="R4104" s="9"/>
      <c r="S4104" s="9"/>
      <c r="T4104" s="31"/>
      <c r="W4104" s="16"/>
      <c r="X4104" s="9"/>
      <c r="Y4104" s="9"/>
      <c r="AA4104" s="16"/>
      <c r="AK4104" s="16"/>
      <c r="AL4104" s="17"/>
    </row>
    <row r="4105" spans="9:38" x14ac:dyDescent="0.4">
      <c r="I4105" s="11"/>
      <c r="J4105" s="9"/>
      <c r="K4105" s="9"/>
      <c r="O4105" s="11"/>
      <c r="P4105" s="9"/>
      <c r="Q4105" s="9"/>
      <c r="R4105" s="9"/>
      <c r="S4105" s="9"/>
      <c r="T4105" s="31"/>
      <c r="W4105" s="16"/>
      <c r="X4105" s="9"/>
      <c r="Y4105" s="9"/>
      <c r="AA4105" s="16"/>
      <c r="AK4105" s="16"/>
      <c r="AL4105" s="17"/>
    </row>
    <row r="4106" spans="9:38" x14ac:dyDescent="0.4">
      <c r="I4106" s="11"/>
      <c r="J4106" s="9"/>
      <c r="K4106" s="9"/>
      <c r="O4106" s="11"/>
      <c r="P4106" s="9"/>
      <c r="Q4106" s="9"/>
      <c r="R4106" s="9"/>
      <c r="S4106" s="9"/>
      <c r="T4106" s="31"/>
      <c r="W4106" s="16"/>
      <c r="X4106" s="9"/>
      <c r="Y4106" s="9"/>
      <c r="AA4106" s="16"/>
      <c r="AK4106" s="16"/>
      <c r="AL4106" s="17"/>
    </row>
    <row r="4107" spans="9:38" x14ac:dyDescent="0.4">
      <c r="I4107" s="11"/>
      <c r="J4107" s="9"/>
      <c r="K4107" s="9"/>
      <c r="O4107" s="11"/>
      <c r="P4107" s="9"/>
      <c r="Q4107" s="9"/>
      <c r="R4107" s="9"/>
      <c r="S4107" s="9"/>
      <c r="T4107" s="31"/>
      <c r="W4107" s="16"/>
      <c r="X4107" s="9"/>
      <c r="Y4107" s="9"/>
      <c r="AA4107" s="16"/>
      <c r="AK4107" s="16"/>
      <c r="AL4107" s="17"/>
    </row>
    <row r="4108" spans="9:38" x14ac:dyDescent="0.4">
      <c r="I4108" s="11"/>
      <c r="J4108" s="9"/>
      <c r="K4108" s="9"/>
      <c r="O4108" s="11"/>
      <c r="P4108" s="9"/>
      <c r="Q4108" s="9"/>
      <c r="R4108" s="9"/>
      <c r="S4108" s="9"/>
      <c r="T4108" s="31"/>
      <c r="W4108" s="16"/>
      <c r="X4108" s="9"/>
      <c r="Y4108" s="9"/>
      <c r="AA4108" s="16"/>
      <c r="AK4108" s="16"/>
      <c r="AL4108" s="17"/>
    </row>
    <row r="4109" spans="9:38" x14ac:dyDescent="0.4">
      <c r="I4109" s="11"/>
      <c r="J4109" s="9"/>
      <c r="K4109" s="9"/>
      <c r="O4109" s="11"/>
      <c r="P4109" s="9"/>
      <c r="Q4109" s="9"/>
      <c r="R4109" s="9"/>
      <c r="S4109" s="9"/>
      <c r="T4109" s="31"/>
      <c r="W4109" s="16"/>
      <c r="X4109" s="9"/>
      <c r="Y4109" s="9"/>
      <c r="AA4109" s="16"/>
      <c r="AK4109" s="16"/>
      <c r="AL4109" s="17"/>
    </row>
    <row r="4110" spans="9:38" x14ac:dyDescent="0.4">
      <c r="I4110" s="11"/>
      <c r="J4110" s="9"/>
      <c r="K4110" s="9"/>
      <c r="O4110" s="11"/>
      <c r="P4110" s="9"/>
      <c r="Q4110" s="9"/>
      <c r="R4110" s="9"/>
      <c r="S4110" s="9"/>
      <c r="T4110" s="31"/>
      <c r="W4110" s="16"/>
      <c r="X4110" s="9"/>
      <c r="Y4110" s="9"/>
      <c r="AA4110" s="16"/>
      <c r="AK4110" s="16"/>
      <c r="AL4110" s="17"/>
    </row>
    <row r="4111" spans="9:38" x14ac:dyDescent="0.4">
      <c r="I4111" s="11"/>
      <c r="J4111" s="9"/>
      <c r="K4111" s="9"/>
      <c r="O4111" s="11"/>
      <c r="P4111" s="9"/>
      <c r="Q4111" s="9"/>
      <c r="R4111" s="9"/>
      <c r="S4111" s="9"/>
      <c r="T4111" s="31"/>
      <c r="W4111" s="16"/>
      <c r="X4111" s="9"/>
      <c r="Y4111" s="9"/>
      <c r="AA4111" s="16"/>
      <c r="AK4111" s="16"/>
      <c r="AL4111" s="17"/>
    </row>
    <row r="4112" spans="9:38" x14ac:dyDescent="0.4">
      <c r="I4112" s="11"/>
      <c r="J4112" s="9"/>
      <c r="K4112" s="9"/>
      <c r="O4112" s="11"/>
      <c r="P4112" s="9"/>
      <c r="Q4112" s="9"/>
      <c r="R4112" s="9"/>
      <c r="S4112" s="9"/>
      <c r="T4112" s="31"/>
      <c r="W4112" s="16"/>
      <c r="X4112" s="9"/>
      <c r="Y4112" s="9"/>
      <c r="AA4112" s="16"/>
      <c r="AK4112" s="16"/>
      <c r="AL4112" s="17"/>
    </row>
    <row r="4113" spans="9:38" x14ac:dyDescent="0.4">
      <c r="I4113" s="11"/>
      <c r="J4113" s="9"/>
      <c r="K4113" s="9"/>
      <c r="O4113" s="11"/>
      <c r="P4113" s="9"/>
      <c r="Q4113" s="9"/>
      <c r="R4113" s="9"/>
      <c r="S4113" s="9"/>
      <c r="T4113" s="31"/>
      <c r="W4113" s="16"/>
      <c r="X4113" s="9"/>
      <c r="Y4113" s="9"/>
      <c r="AA4113" s="16"/>
      <c r="AK4113" s="16"/>
      <c r="AL4113" s="17"/>
    </row>
    <row r="4114" spans="9:38" x14ac:dyDescent="0.4">
      <c r="I4114" s="11"/>
      <c r="J4114" s="9"/>
      <c r="K4114" s="9"/>
      <c r="O4114" s="11"/>
      <c r="P4114" s="9"/>
      <c r="Q4114" s="9"/>
      <c r="R4114" s="9"/>
      <c r="S4114" s="9"/>
      <c r="T4114" s="31"/>
      <c r="W4114" s="16"/>
      <c r="X4114" s="9"/>
      <c r="Y4114" s="9"/>
      <c r="AA4114" s="16"/>
      <c r="AK4114" s="16"/>
      <c r="AL4114" s="17"/>
    </row>
    <row r="4115" spans="9:38" x14ac:dyDescent="0.4">
      <c r="I4115" s="11"/>
      <c r="J4115" s="9"/>
      <c r="K4115" s="9"/>
      <c r="O4115" s="11"/>
      <c r="P4115" s="9"/>
      <c r="Q4115" s="9"/>
      <c r="R4115" s="9"/>
      <c r="S4115" s="9"/>
      <c r="T4115" s="31"/>
      <c r="W4115" s="16"/>
      <c r="X4115" s="9"/>
      <c r="Y4115" s="9"/>
      <c r="AA4115" s="16"/>
      <c r="AK4115" s="16"/>
      <c r="AL4115" s="17"/>
    </row>
    <row r="4116" spans="9:38" x14ac:dyDescent="0.4">
      <c r="I4116" s="11"/>
      <c r="J4116" s="9"/>
      <c r="K4116" s="9"/>
      <c r="O4116" s="11"/>
      <c r="P4116" s="9"/>
      <c r="Q4116" s="9"/>
      <c r="R4116" s="9"/>
      <c r="S4116" s="9"/>
      <c r="T4116" s="31"/>
      <c r="W4116" s="16"/>
      <c r="X4116" s="9"/>
      <c r="Y4116" s="9"/>
      <c r="AA4116" s="16"/>
      <c r="AK4116" s="16"/>
      <c r="AL4116" s="17"/>
    </row>
    <row r="4117" spans="9:38" x14ac:dyDescent="0.4">
      <c r="I4117" s="11"/>
      <c r="J4117" s="9"/>
      <c r="K4117" s="9"/>
      <c r="O4117" s="11"/>
      <c r="P4117" s="9"/>
      <c r="Q4117" s="9"/>
      <c r="R4117" s="9"/>
      <c r="S4117" s="9"/>
      <c r="T4117" s="31"/>
      <c r="W4117" s="16"/>
      <c r="X4117" s="9"/>
      <c r="Y4117" s="9"/>
      <c r="AA4117" s="16"/>
      <c r="AK4117" s="16"/>
      <c r="AL4117" s="17"/>
    </row>
    <row r="4118" spans="9:38" x14ac:dyDescent="0.4">
      <c r="I4118" s="11"/>
      <c r="J4118" s="9"/>
      <c r="K4118" s="9"/>
      <c r="O4118" s="11"/>
      <c r="P4118" s="9"/>
      <c r="Q4118" s="9"/>
      <c r="R4118" s="9"/>
      <c r="S4118" s="9"/>
      <c r="T4118" s="31"/>
      <c r="W4118" s="16"/>
      <c r="X4118" s="9"/>
      <c r="Y4118" s="9"/>
      <c r="AA4118" s="16"/>
      <c r="AK4118" s="16"/>
      <c r="AL4118" s="17"/>
    </row>
    <row r="4119" spans="9:38" x14ac:dyDescent="0.4">
      <c r="I4119" s="11"/>
      <c r="J4119" s="9"/>
      <c r="K4119" s="9"/>
      <c r="O4119" s="11"/>
      <c r="P4119" s="9"/>
      <c r="Q4119" s="9"/>
      <c r="R4119" s="9"/>
      <c r="S4119" s="9"/>
      <c r="T4119" s="31"/>
      <c r="W4119" s="16"/>
      <c r="X4119" s="9"/>
      <c r="Y4119" s="9"/>
      <c r="AA4119" s="16"/>
      <c r="AK4119" s="16"/>
      <c r="AL4119" s="17"/>
    </row>
    <row r="4120" spans="9:38" x14ac:dyDescent="0.4">
      <c r="I4120" s="11"/>
      <c r="J4120" s="9"/>
      <c r="K4120" s="9"/>
      <c r="O4120" s="11"/>
      <c r="P4120" s="9"/>
      <c r="Q4120" s="9"/>
      <c r="R4120" s="9"/>
      <c r="S4120" s="9"/>
      <c r="T4120" s="31"/>
      <c r="W4120" s="16"/>
      <c r="X4120" s="9"/>
      <c r="Y4120" s="9"/>
      <c r="AA4120" s="16"/>
      <c r="AK4120" s="16"/>
      <c r="AL4120" s="17"/>
    </row>
    <row r="4121" spans="9:38" x14ac:dyDescent="0.4">
      <c r="I4121" s="11"/>
      <c r="J4121" s="9"/>
      <c r="K4121" s="9"/>
      <c r="O4121" s="11"/>
      <c r="P4121" s="9"/>
      <c r="Q4121" s="9"/>
      <c r="R4121" s="9"/>
      <c r="S4121" s="9"/>
      <c r="T4121" s="31"/>
      <c r="W4121" s="16"/>
      <c r="X4121" s="9"/>
      <c r="Y4121" s="9"/>
      <c r="AA4121" s="16"/>
      <c r="AK4121" s="16"/>
      <c r="AL4121" s="17"/>
    </row>
    <row r="4122" spans="9:38" x14ac:dyDescent="0.4">
      <c r="I4122" s="11"/>
      <c r="J4122" s="9"/>
      <c r="K4122" s="9"/>
      <c r="O4122" s="11"/>
      <c r="P4122" s="9"/>
      <c r="Q4122" s="9"/>
      <c r="R4122" s="9"/>
      <c r="S4122" s="9"/>
      <c r="T4122" s="31"/>
      <c r="W4122" s="16"/>
      <c r="X4122" s="9"/>
      <c r="Y4122" s="9"/>
      <c r="AA4122" s="16"/>
      <c r="AK4122" s="16"/>
      <c r="AL4122" s="17"/>
    </row>
    <row r="4123" spans="9:38" x14ac:dyDescent="0.4">
      <c r="I4123" s="11"/>
      <c r="J4123" s="9"/>
      <c r="K4123" s="9"/>
      <c r="O4123" s="11"/>
      <c r="P4123" s="9"/>
      <c r="Q4123" s="9"/>
      <c r="R4123" s="9"/>
      <c r="S4123" s="9"/>
      <c r="T4123" s="31"/>
      <c r="W4123" s="16"/>
      <c r="X4123" s="9"/>
      <c r="Y4123" s="9"/>
      <c r="AA4123" s="16"/>
      <c r="AK4123" s="16"/>
      <c r="AL4123" s="17"/>
    </row>
    <row r="4124" spans="9:38" x14ac:dyDescent="0.4">
      <c r="I4124" s="11"/>
      <c r="J4124" s="9"/>
      <c r="K4124" s="9"/>
      <c r="O4124" s="11"/>
      <c r="P4124" s="9"/>
      <c r="Q4124" s="9"/>
      <c r="R4124" s="9"/>
      <c r="S4124" s="9"/>
      <c r="T4124" s="31"/>
      <c r="W4124" s="16"/>
      <c r="X4124" s="9"/>
      <c r="Y4124" s="9"/>
      <c r="AA4124" s="16"/>
      <c r="AK4124" s="16"/>
      <c r="AL4124" s="17"/>
    </row>
    <row r="4125" spans="9:38" x14ac:dyDescent="0.4">
      <c r="I4125" s="11"/>
      <c r="J4125" s="9"/>
      <c r="K4125" s="9"/>
      <c r="O4125" s="11"/>
      <c r="P4125" s="9"/>
      <c r="Q4125" s="9"/>
      <c r="R4125" s="9"/>
      <c r="S4125" s="9"/>
      <c r="T4125" s="31"/>
      <c r="W4125" s="16"/>
      <c r="X4125" s="9"/>
      <c r="Y4125" s="9"/>
      <c r="AA4125" s="16"/>
      <c r="AK4125" s="16"/>
      <c r="AL4125" s="17"/>
    </row>
    <row r="4126" spans="9:38" x14ac:dyDescent="0.4">
      <c r="I4126" s="11"/>
      <c r="J4126" s="9"/>
      <c r="K4126" s="9"/>
      <c r="O4126" s="11"/>
      <c r="P4126" s="9"/>
      <c r="Q4126" s="9"/>
      <c r="R4126" s="9"/>
      <c r="S4126" s="9"/>
      <c r="T4126" s="31"/>
      <c r="W4126" s="16"/>
      <c r="X4126" s="9"/>
      <c r="Y4126" s="9"/>
      <c r="AA4126" s="16"/>
      <c r="AK4126" s="16"/>
      <c r="AL4126" s="17"/>
    </row>
    <row r="4127" spans="9:38" x14ac:dyDescent="0.4">
      <c r="I4127" s="11"/>
      <c r="J4127" s="9"/>
      <c r="K4127" s="9"/>
      <c r="O4127" s="11"/>
      <c r="P4127" s="9"/>
      <c r="Q4127" s="9"/>
      <c r="R4127" s="9"/>
      <c r="S4127" s="9"/>
      <c r="T4127" s="31"/>
      <c r="W4127" s="16"/>
      <c r="X4127" s="9"/>
      <c r="Y4127" s="9"/>
      <c r="AA4127" s="16"/>
      <c r="AK4127" s="16"/>
      <c r="AL4127" s="17"/>
    </row>
    <row r="4128" spans="9:38" x14ac:dyDescent="0.4">
      <c r="I4128" s="11"/>
      <c r="J4128" s="9"/>
      <c r="K4128" s="9"/>
      <c r="O4128" s="11"/>
      <c r="P4128" s="9"/>
      <c r="Q4128" s="9"/>
      <c r="R4128" s="9"/>
      <c r="S4128" s="9"/>
      <c r="T4128" s="31"/>
      <c r="W4128" s="16"/>
      <c r="X4128" s="9"/>
      <c r="Y4128" s="9"/>
      <c r="AA4128" s="16"/>
      <c r="AK4128" s="16"/>
      <c r="AL4128" s="17"/>
    </row>
    <row r="4129" spans="9:38" x14ac:dyDescent="0.4">
      <c r="I4129" s="11"/>
      <c r="J4129" s="9"/>
      <c r="K4129" s="9"/>
      <c r="O4129" s="11"/>
      <c r="P4129" s="9"/>
      <c r="Q4129" s="9"/>
      <c r="R4129" s="9"/>
      <c r="S4129" s="9"/>
      <c r="T4129" s="31"/>
      <c r="W4129" s="16"/>
      <c r="X4129" s="9"/>
      <c r="Y4129" s="9"/>
      <c r="AA4129" s="16"/>
      <c r="AK4129" s="16"/>
      <c r="AL4129" s="17"/>
    </row>
    <row r="4130" spans="9:38" x14ac:dyDescent="0.4">
      <c r="I4130" s="11"/>
      <c r="J4130" s="9"/>
      <c r="K4130" s="9"/>
      <c r="O4130" s="11"/>
      <c r="P4130" s="9"/>
      <c r="Q4130" s="9"/>
      <c r="R4130" s="9"/>
      <c r="S4130" s="9"/>
      <c r="T4130" s="31"/>
      <c r="W4130" s="16"/>
      <c r="X4130" s="9"/>
      <c r="Y4130" s="9"/>
      <c r="AA4130" s="16"/>
      <c r="AK4130" s="16"/>
      <c r="AL4130" s="17"/>
    </row>
    <row r="4131" spans="9:38" x14ac:dyDescent="0.4">
      <c r="I4131" s="11"/>
      <c r="J4131" s="9"/>
      <c r="K4131" s="9"/>
      <c r="O4131" s="11"/>
      <c r="P4131" s="9"/>
      <c r="Q4131" s="9"/>
      <c r="R4131" s="9"/>
      <c r="S4131" s="9"/>
      <c r="T4131" s="31"/>
      <c r="W4131" s="16"/>
      <c r="X4131" s="9"/>
      <c r="Y4131" s="9"/>
      <c r="AA4131" s="16"/>
      <c r="AK4131" s="16"/>
      <c r="AL4131" s="17"/>
    </row>
    <row r="4132" spans="9:38" x14ac:dyDescent="0.4">
      <c r="I4132" s="11"/>
      <c r="J4132" s="9"/>
      <c r="K4132" s="9"/>
      <c r="O4132" s="11"/>
      <c r="P4132" s="9"/>
      <c r="Q4132" s="9"/>
      <c r="R4132" s="9"/>
      <c r="S4132" s="9"/>
      <c r="T4132" s="31"/>
      <c r="W4132" s="16"/>
      <c r="X4132" s="9"/>
      <c r="Y4132" s="9"/>
      <c r="AA4132" s="16"/>
      <c r="AK4132" s="16"/>
      <c r="AL4132" s="17"/>
    </row>
    <row r="4133" spans="9:38" x14ac:dyDescent="0.4">
      <c r="I4133" s="11"/>
      <c r="J4133" s="9"/>
      <c r="K4133" s="9"/>
      <c r="O4133" s="11"/>
      <c r="P4133" s="9"/>
      <c r="Q4133" s="9"/>
      <c r="R4133" s="9"/>
      <c r="S4133" s="9"/>
      <c r="T4133" s="31"/>
      <c r="W4133" s="16"/>
      <c r="X4133" s="9"/>
      <c r="Y4133" s="9"/>
      <c r="AA4133" s="16"/>
      <c r="AK4133" s="16"/>
      <c r="AL4133" s="17"/>
    </row>
    <row r="4134" spans="9:38" x14ac:dyDescent="0.4">
      <c r="I4134" s="11"/>
      <c r="J4134" s="9"/>
      <c r="K4134" s="9"/>
      <c r="O4134" s="11"/>
      <c r="P4134" s="9"/>
      <c r="Q4134" s="9"/>
      <c r="R4134" s="9"/>
      <c r="S4134" s="9"/>
      <c r="T4134" s="31"/>
      <c r="W4134" s="16"/>
      <c r="X4134" s="9"/>
      <c r="Y4134" s="9"/>
      <c r="AA4134" s="16"/>
      <c r="AK4134" s="16"/>
      <c r="AL4134" s="17"/>
    </row>
    <row r="4135" spans="9:38" x14ac:dyDescent="0.4">
      <c r="I4135" s="11"/>
      <c r="J4135" s="9"/>
      <c r="K4135" s="9"/>
      <c r="O4135" s="11"/>
      <c r="P4135" s="9"/>
      <c r="Q4135" s="9"/>
      <c r="R4135" s="9"/>
      <c r="S4135" s="9"/>
      <c r="T4135" s="31"/>
      <c r="W4135" s="16"/>
      <c r="X4135" s="9"/>
      <c r="Y4135" s="9"/>
      <c r="AA4135" s="16"/>
      <c r="AK4135" s="16"/>
      <c r="AL4135" s="17"/>
    </row>
    <row r="4136" spans="9:38" x14ac:dyDescent="0.4">
      <c r="I4136" s="11"/>
      <c r="J4136" s="9"/>
      <c r="K4136" s="9"/>
      <c r="O4136" s="11"/>
      <c r="P4136" s="9"/>
      <c r="Q4136" s="9"/>
      <c r="R4136" s="9"/>
      <c r="S4136" s="9"/>
      <c r="T4136" s="31"/>
      <c r="W4136" s="16"/>
      <c r="X4136" s="9"/>
      <c r="Y4136" s="9"/>
      <c r="AA4136" s="16"/>
      <c r="AK4136" s="16"/>
      <c r="AL4136" s="17"/>
    </row>
    <row r="4137" spans="9:38" x14ac:dyDescent="0.4">
      <c r="I4137" s="11"/>
      <c r="J4137" s="9"/>
      <c r="K4137" s="9"/>
      <c r="O4137" s="11"/>
      <c r="P4137" s="9"/>
      <c r="Q4137" s="9"/>
      <c r="R4137" s="9"/>
      <c r="S4137" s="9"/>
      <c r="T4137" s="31"/>
      <c r="W4137" s="16"/>
      <c r="X4137" s="9"/>
      <c r="Y4137" s="9"/>
      <c r="AA4137" s="16"/>
      <c r="AK4137" s="16"/>
      <c r="AL4137" s="17"/>
    </row>
    <row r="4138" spans="9:38" x14ac:dyDescent="0.4">
      <c r="I4138" s="11"/>
      <c r="J4138" s="9"/>
      <c r="K4138" s="9"/>
      <c r="O4138" s="11"/>
      <c r="P4138" s="9"/>
      <c r="Q4138" s="9"/>
      <c r="R4138" s="9"/>
      <c r="S4138" s="9"/>
      <c r="T4138" s="31"/>
      <c r="W4138" s="16"/>
      <c r="X4138" s="9"/>
      <c r="Y4138" s="9"/>
      <c r="AA4138" s="16"/>
      <c r="AK4138" s="16"/>
      <c r="AL4138" s="17"/>
    </row>
    <row r="4139" spans="9:38" x14ac:dyDescent="0.4">
      <c r="I4139" s="11"/>
      <c r="J4139" s="9"/>
      <c r="K4139" s="9"/>
      <c r="O4139" s="11"/>
      <c r="P4139" s="9"/>
      <c r="Q4139" s="9"/>
      <c r="R4139" s="9"/>
      <c r="S4139" s="9"/>
      <c r="T4139" s="31"/>
      <c r="W4139" s="16"/>
      <c r="X4139" s="9"/>
      <c r="Y4139" s="9"/>
      <c r="AA4139" s="16"/>
      <c r="AK4139" s="16"/>
      <c r="AL4139" s="17"/>
    </row>
    <row r="4140" spans="9:38" x14ac:dyDescent="0.4">
      <c r="I4140" s="11"/>
      <c r="J4140" s="9"/>
      <c r="K4140" s="9"/>
      <c r="O4140" s="11"/>
      <c r="P4140" s="9"/>
      <c r="Q4140" s="9"/>
      <c r="R4140" s="9"/>
      <c r="S4140" s="9"/>
      <c r="T4140" s="31"/>
      <c r="W4140" s="16"/>
      <c r="X4140" s="9"/>
      <c r="Y4140" s="9"/>
      <c r="AA4140" s="16"/>
      <c r="AK4140" s="16"/>
      <c r="AL4140" s="17"/>
    </row>
    <row r="4141" spans="9:38" x14ac:dyDescent="0.4">
      <c r="I4141" s="11"/>
      <c r="J4141" s="9"/>
      <c r="K4141" s="9"/>
      <c r="O4141" s="11"/>
      <c r="P4141" s="9"/>
      <c r="Q4141" s="9"/>
      <c r="R4141" s="9"/>
      <c r="S4141" s="9"/>
      <c r="T4141" s="31"/>
      <c r="W4141" s="16"/>
      <c r="X4141" s="9"/>
      <c r="Y4141" s="9"/>
      <c r="AA4141" s="16"/>
      <c r="AK4141" s="16"/>
      <c r="AL4141" s="17"/>
    </row>
    <row r="4142" spans="9:38" x14ac:dyDescent="0.4">
      <c r="I4142" s="11"/>
      <c r="J4142" s="9"/>
      <c r="K4142" s="9"/>
      <c r="O4142" s="11"/>
      <c r="P4142" s="9"/>
      <c r="Q4142" s="9"/>
      <c r="R4142" s="9"/>
      <c r="S4142" s="9"/>
      <c r="T4142" s="31"/>
      <c r="W4142" s="16"/>
      <c r="X4142" s="9"/>
      <c r="Y4142" s="9"/>
      <c r="AA4142" s="16"/>
      <c r="AK4142" s="16"/>
      <c r="AL4142" s="17"/>
    </row>
    <row r="4143" spans="9:38" x14ac:dyDescent="0.4">
      <c r="I4143" s="11"/>
      <c r="J4143" s="9"/>
      <c r="K4143" s="9"/>
      <c r="O4143" s="11"/>
      <c r="P4143" s="9"/>
      <c r="Q4143" s="9"/>
      <c r="R4143" s="9"/>
      <c r="S4143" s="9"/>
      <c r="T4143" s="31"/>
      <c r="W4143" s="16"/>
      <c r="X4143" s="9"/>
      <c r="Y4143" s="9"/>
      <c r="AA4143" s="16"/>
      <c r="AK4143" s="16"/>
      <c r="AL4143" s="17"/>
    </row>
    <row r="4144" spans="9:38" x14ac:dyDescent="0.4">
      <c r="I4144" s="11"/>
      <c r="J4144" s="9"/>
      <c r="K4144" s="9"/>
      <c r="O4144" s="11"/>
      <c r="P4144" s="9"/>
      <c r="Q4144" s="9"/>
      <c r="R4144" s="9"/>
      <c r="S4144" s="9"/>
      <c r="T4144" s="31"/>
      <c r="W4144" s="16"/>
      <c r="X4144" s="9"/>
      <c r="Y4144" s="9"/>
      <c r="AA4144" s="16"/>
      <c r="AK4144" s="16"/>
      <c r="AL4144" s="17"/>
    </row>
    <row r="4145" spans="9:38" x14ac:dyDescent="0.4">
      <c r="I4145" s="11"/>
      <c r="J4145" s="9"/>
      <c r="K4145" s="9"/>
      <c r="O4145" s="11"/>
      <c r="P4145" s="9"/>
      <c r="Q4145" s="9"/>
      <c r="R4145" s="9"/>
      <c r="S4145" s="9"/>
      <c r="T4145" s="31"/>
      <c r="W4145" s="16"/>
      <c r="X4145" s="9"/>
      <c r="Y4145" s="9"/>
      <c r="AA4145" s="16"/>
      <c r="AK4145" s="16"/>
      <c r="AL4145" s="17"/>
    </row>
    <row r="4146" spans="9:38" x14ac:dyDescent="0.4">
      <c r="I4146" s="11"/>
      <c r="J4146" s="9"/>
      <c r="K4146" s="9"/>
      <c r="O4146" s="11"/>
      <c r="P4146" s="9"/>
      <c r="Q4146" s="9"/>
      <c r="R4146" s="9"/>
      <c r="S4146" s="9"/>
      <c r="T4146" s="31"/>
      <c r="W4146" s="16"/>
      <c r="X4146" s="9"/>
      <c r="Y4146" s="9"/>
      <c r="AA4146" s="16"/>
      <c r="AK4146" s="16"/>
      <c r="AL4146" s="17"/>
    </row>
    <row r="4147" spans="9:38" x14ac:dyDescent="0.4">
      <c r="I4147" s="11"/>
      <c r="J4147" s="9"/>
      <c r="K4147" s="9"/>
      <c r="O4147" s="11"/>
      <c r="P4147" s="9"/>
      <c r="Q4147" s="9"/>
      <c r="R4147" s="9"/>
      <c r="S4147" s="9"/>
      <c r="T4147" s="31"/>
      <c r="W4147" s="16"/>
      <c r="X4147" s="9"/>
      <c r="Y4147" s="9"/>
      <c r="AA4147" s="16"/>
      <c r="AK4147" s="16"/>
      <c r="AL4147" s="17"/>
    </row>
    <row r="4148" spans="9:38" x14ac:dyDescent="0.4">
      <c r="I4148" s="11"/>
      <c r="J4148" s="9"/>
      <c r="K4148" s="9"/>
      <c r="O4148" s="11"/>
      <c r="P4148" s="9"/>
      <c r="Q4148" s="9"/>
      <c r="R4148" s="9"/>
      <c r="S4148" s="9"/>
      <c r="T4148" s="31"/>
      <c r="W4148" s="16"/>
      <c r="X4148" s="9"/>
      <c r="Y4148" s="9"/>
      <c r="AA4148" s="16"/>
      <c r="AK4148" s="16"/>
      <c r="AL4148" s="17"/>
    </row>
    <row r="4149" spans="9:38" x14ac:dyDescent="0.4">
      <c r="I4149" s="11"/>
      <c r="J4149" s="9"/>
      <c r="K4149" s="9"/>
      <c r="O4149" s="11"/>
      <c r="P4149" s="9"/>
      <c r="Q4149" s="9"/>
      <c r="R4149" s="9"/>
      <c r="S4149" s="9"/>
      <c r="T4149" s="31"/>
      <c r="W4149" s="16"/>
      <c r="X4149" s="9"/>
      <c r="Y4149" s="9"/>
      <c r="AA4149" s="16"/>
      <c r="AK4149" s="16"/>
      <c r="AL4149" s="17"/>
    </row>
    <row r="4150" spans="9:38" x14ac:dyDescent="0.4">
      <c r="I4150" s="11"/>
      <c r="J4150" s="9"/>
      <c r="K4150" s="9"/>
      <c r="O4150" s="11"/>
      <c r="P4150" s="9"/>
      <c r="Q4150" s="9"/>
      <c r="R4150" s="9"/>
      <c r="S4150" s="9"/>
      <c r="T4150" s="31"/>
      <c r="W4150" s="16"/>
      <c r="X4150" s="9"/>
      <c r="Y4150" s="9"/>
      <c r="AA4150" s="16"/>
      <c r="AK4150" s="16"/>
      <c r="AL4150" s="17"/>
    </row>
    <row r="4151" spans="9:38" x14ac:dyDescent="0.4">
      <c r="I4151" s="11"/>
      <c r="J4151" s="9"/>
      <c r="K4151" s="9"/>
      <c r="O4151" s="11"/>
      <c r="P4151" s="9"/>
      <c r="Q4151" s="9"/>
      <c r="R4151" s="9"/>
      <c r="S4151" s="9"/>
      <c r="T4151" s="31"/>
      <c r="W4151" s="16"/>
      <c r="X4151" s="9"/>
      <c r="Y4151" s="9"/>
      <c r="AA4151" s="16"/>
      <c r="AK4151" s="16"/>
      <c r="AL4151" s="17"/>
    </row>
    <row r="4152" spans="9:38" x14ac:dyDescent="0.4">
      <c r="I4152" s="11"/>
      <c r="J4152" s="9"/>
      <c r="K4152" s="9"/>
      <c r="O4152" s="11"/>
      <c r="P4152" s="9"/>
      <c r="Q4152" s="9"/>
      <c r="R4152" s="9"/>
      <c r="S4152" s="9"/>
      <c r="T4152" s="31"/>
      <c r="W4152" s="16"/>
      <c r="X4152" s="9"/>
      <c r="Y4152" s="9"/>
      <c r="AA4152" s="16"/>
      <c r="AK4152" s="16"/>
      <c r="AL4152" s="17"/>
    </row>
    <row r="4153" spans="9:38" x14ac:dyDescent="0.4">
      <c r="I4153" s="11"/>
      <c r="J4153" s="9"/>
      <c r="K4153" s="9"/>
      <c r="O4153" s="11"/>
      <c r="P4153" s="9"/>
      <c r="Q4153" s="9"/>
      <c r="R4153" s="9"/>
      <c r="S4153" s="9"/>
      <c r="T4153" s="31"/>
      <c r="W4153" s="16"/>
      <c r="X4153" s="9"/>
      <c r="Y4153" s="9"/>
      <c r="AA4153" s="16"/>
      <c r="AK4153" s="16"/>
      <c r="AL4153" s="17"/>
    </row>
    <row r="4154" spans="9:38" x14ac:dyDescent="0.4">
      <c r="I4154" s="11"/>
      <c r="J4154" s="9"/>
      <c r="K4154" s="9"/>
      <c r="O4154" s="11"/>
      <c r="P4154" s="9"/>
      <c r="Q4154" s="9"/>
      <c r="R4154" s="9"/>
      <c r="S4154" s="9"/>
      <c r="T4154" s="31"/>
      <c r="W4154" s="16"/>
      <c r="X4154" s="9"/>
      <c r="Y4154" s="9"/>
      <c r="AA4154" s="16"/>
      <c r="AK4154" s="16"/>
      <c r="AL4154" s="17"/>
    </row>
    <row r="4155" spans="9:38" x14ac:dyDescent="0.4">
      <c r="O4155" s="11"/>
      <c r="P4155" s="9"/>
      <c r="Q4155" s="9"/>
      <c r="R4155" s="9"/>
      <c r="S4155" s="9"/>
      <c r="T4155" s="31"/>
      <c r="W4155" s="16"/>
      <c r="AA4155" s="16"/>
    </row>
    <row r="4156" spans="9:38" x14ac:dyDescent="0.4">
      <c r="W4156" s="16"/>
    </row>
    <row r="4157" spans="9:38" x14ac:dyDescent="0.4">
      <c r="W4157" s="16"/>
    </row>
    <row r="4158" spans="9:38" x14ac:dyDescent="0.4">
      <c r="W4158" s="16"/>
    </row>
    <row r="4159" spans="9:38" x14ac:dyDescent="0.4">
      <c r="W4159" s="16"/>
    </row>
    <row r="4160" spans="9:38" x14ac:dyDescent="0.4">
      <c r="W4160" s="16"/>
    </row>
    <row r="4161" spans="23:23" x14ac:dyDescent="0.4">
      <c r="W4161" s="16"/>
    </row>
    <row r="4162" spans="23:23" x14ac:dyDescent="0.4">
      <c r="W4162" s="16"/>
    </row>
    <row r="4163" spans="23:23" x14ac:dyDescent="0.4">
      <c r="W4163" s="16"/>
    </row>
    <row r="4164" spans="23:23" x14ac:dyDescent="0.4">
      <c r="W4164" s="16"/>
    </row>
    <row r="4165" spans="23:23" x14ac:dyDescent="0.4">
      <c r="W4165" s="16"/>
    </row>
    <row r="4166" spans="23:23" x14ac:dyDescent="0.4">
      <c r="W4166" s="16"/>
    </row>
    <row r="4167" spans="23:23" x14ac:dyDescent="0.4">
      <c r="W4167" s="16"/>
    </row>
    <row r="4168" spans="23:23" x14ac:dyDescent="0.4">
      <c r="W4168" s="16"/>
    </row>
    <row r="4169" spans="23:23" x14ac:dyDescent="0.4">
      <c r="W4169" s="16"/>
    </row>
    <row r="4170" spans="23:23" x14ac:dyDescent="0.4">
      <c r="W4170" s="16"/>
    </row>
    <row r="4171" spans="23:23" x14ac:dyDescent="0.4">
      <c r="W4171" s="16"/>
    </row>
    <row r="4172" spans="23:23" x14ac:dyDescent="0.4">
      <c r="W4172" s="16"/>
    </row>
    <row r="4173" spans="23:23" x14ac:dyDescent="0.4">
      <c r="W4173" s="16"/>
    </row>
    <row r="4174" spans="23:23" x14ac:dyDescent="0.4">
      <c r="W4174" s="16"/>
    </row>
    <row r="4175" spans="23:23" x14ac:dyDescent="0.4">
      <c r="W4175" s="16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价格</vt:lpstr>
      <vt:lpstr>库存</vt:lpstr>
      <vt:lpstr>开工</vt:lpstr>
      <vt:lpstr>价差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lkf</dc:creator>
  <cp:lastModifiedBy>Yutong Jiang</cp:lastModifiedBy>
  <dcterms:created xsi:type="dcterms:W3CDTF">2015-06-05T18:19:34Z</dcterms:created>
  <dcterms:modified xsi:type="dcterms:W3CDTF">2026-09-27T05:58:56Z</dcterms:modified>
</cp:coreProperties>
</file>